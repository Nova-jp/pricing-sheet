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BC11A4C0-BB68-4F3E-BAE1-51A9FCDDD2A9}" xr6:coauthVersionLast="47" xr6:coauthVersionMax="47" xr10:uidLastSave="{00000000-0000-0000-0000-000000000000}"/>
  <bookViews>
    <workbookView xWindow="2280" yWindow="2280" windowWidth="14400" windowHeight="8170" xr2:uid="{F109E07F-C2B9-41F3-853A-1EF4B605D85F}"/>
  </bookViews>
  <sheets>
    <sheet name="PCA" sheetId="6" r:id="rId1"/>
    <sheet name="VolPCA" sheetId="9" r:id="rId2"/>
    <sheet name="VolHV" sheetId="10" r:id="rId3"/>
    <sheet name="BOJ" sheetId="11" r:id="rId4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Recon">_xlfn.ANCHORARRAY(PCA!$H$34)</definedName>
    <definedName name="PCA_Resid">_xlfn.ANCHORARRAY(PCA!$I$34)</definedName>
    <definedName name="PCA_Tenor">_xlfn.ANCHORARRAY(PCA!$E$34)</definedName>
    <definedName name="PCA_window">PCA!$B$5</definedName>
    <definedName name="PCA_テナー">_xlfn.ANCHORARRAY(PCA!$AB$4)</definedName>
    <definedName name="PCA_モード">PCA!$B$6</definedName>
    <definedName name="PCA_推定基準日">PCA!$B$4</definedName>
    <definedName name="PCA_比較日">PCA!$B$10</definedName>
    <definedName name="PCA_標準化">PCA!$B$7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k">VolPCA!$B$11</definedName>
    <definedName name="VOL_window">VolPCA!$B$5</definedName>
    <definedName name="VOL_モード">VolPCA!$B$6</definedName>
    <definedName name="VOL_原資産">_xlfn.ANCHORARRAY(VolPCA!$JE$4)</definedName>
    <definedName name="VOL_推定基準日">VolPCA!$B$4</definedName>
    <definedName name="VOL_比較日">VolPCA!$B$10</definedName>
    <definedName name="VOL_標準化">VolPCA!$B$7</definedName>
    <definedName name="VOL_満期">_xlfn.ANCHORARRAY(VolPCA!$JD$4)</definedName>
    <definedName name="VOL_銘柄">_xlfn.ANCHORARRAY(VolPCA!$JG$4)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11" l="1"/>
  <c r="B34" i="11" a="1"/>
  <c r="D33" i="11"/>
  <c r="B33" i="11" a="1"/>
  <c r="D32" i="11"/>
  <c r="B32" i="11" a="1"/>
  <c r="D31" i="11"/>
  <c r="B31" i="11" a="1"/>
  <c r="D30" i="11"/>
  <c r="B30" i="11" a="1"/>
  <c r="D29" i="11"/>
  <c r="B29" i="11" a="1"/>
  <c r="D28" i="11"/>
  <c r="B28" i="11" a="1"/>
  <c r="D27" i="11"/>
  <c r="B27" i="11" a="1"/>
  <c r="D26" i="11"/>
  <c r="B26" i="11" a="1"/>
  <c r="D25" i="11"/>
  <c r="B25" i="11" a="1"/>
  <c r="D24" i="11"/>
  <c r="B24" i="11" a="1"/>
  <c r="D23" i="11"/>
  <c r="B23" i="11" a="1"/>
  <c r="D22" i="11"/>
  <c r="B22" i="11" a="1"/>
  <c r="H17" i="11"/>
  <c r="G17" i="11"/>
  <c r="E17" i="11" a="1"/>
  <c r="D17" i="11"/>
  <c r="C17" i="11" a="1"/>
  <c r="B17" i="11" a="1"/>
  <c r="H16" i="11"/>
  <c r="G16" i="11"/>
  <c r="E16" i="11" a="1"/>
  <c r="D16" i="11"/>
  <c r="C16" i="11" a="1"/>
  <c r="B16" i="11" a="1"/>
  <c r="H15" i="11"/>
  <c r="G15" i="11"/>
  <c r="E15" i="11" a="1"/>
  <c r="D15" i="11"/>
  <c r="C15" i="11" a="1"/>
  <c r="B15" i="11" a="1"/>
  <c r="H14" i="11"/>
  <c r="G14" i="11"/>
  <c r="E14" i="11" a="1"/>
  <c r="D14" i="11"/>
  <c r="C14" i="11" a="1"/>
  <c r="B14" i="11" a="1"/>
  <c r="H13" i="11"/>
  <c r="G13" i="11"/>
  <c r="E13" i="11" a="1"/>
  <c r="D13" i="11"/>
  <c r="C13" i="11" a="1"/>
  <c r="B13" i="11" a="1"/>
  <c r="H12" i="11"/>
  <c r="G12" i="11"/>
  <c r="E12" i="11" a="1"/>
  <c r="D12" i="11"/>
  <c r="C12" i="11" a="1"/>
  <c r="B12" i="11" a="1"/>
  <c r="H11" i="11"/>
  <c r="G11" i="11"/>
  <c r="E11" i="11" a="1"/>
  <c r="D11" i="11"/>
  <c r="C11" i="11" a="1"/>
  <c r="B11" i="11" a="1"/>
  <c r="H10" i="11"/>
  <c r="G10" i="11"/>
  <c r="E10" i="11" a="1"/>
  <c r="D10" i="11"/>
  <c r="C10" i="11" a="1"/>
  <c r="B10" i="11" a="1"/>
  <c r="H9" i="11"/>
  <c r="G9" i="11"/>
  <c r="E9" i="11" a="1"/>
  <c r="D9" i="11"/>
  <c r="C9" i="11" a="1"/>
  <c r="B9" i="11" a="1"/>
  <c r="H8" i="11"/>
  <c r="G8" i="11"/>
  <c r="E8" i="11" a="1"/>
  <c r="D8" i="11"/>
  <c r="C8" i="11" a="1"/>
  <c r="B8" i="11" a="1"/>
  <c r="C22" i="11" a="1"/>
  <c r="F8" i="11" a="1"/>
  <c r="P3" i="11" a="1"/>
  <c r="K3" i="11" a="1"/>
  <c r="B3" i="11" a="1"/>
  <c r="D1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a="1"/>
  <c r="F34" i="6" a="1"/>
  <c r="H4" i="6" a="1"/>
  <c r="JE4" i="9" a="1"/>
  <c r="JD4" i="9" a="1"/>
  <c r="AB4" i="6" a="1"/>
  <c r="JG4" i="9" a="1"/>
  <c r="V35" i="9" a="1"/>
  <c r="G35" i="9" a="1"/>
  <c r="AC4" i="6" a="1"/>
  <c r="E4" i="6" a="1"/>
  <c r="Z17" i="6" a="1"/>
  <c r="BJ5" i="9" l="1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M34" i="6" a="1"/>
  <c r="L34" i="6" a="1"/>
  <c r="V34" i="6" a="1"/>
  <c r="W34" i="6" a="1"/>
  <c r="E34" i="6" a="1"/>
  <c r="U34" i="6" a="1"/>
  <c r="X34" i="6" a="1"/>
  <c r="T34" i="6" a="1"/>
  <c r="G34" i="6" a="1"/>
  <c r="AJ60" i="9" a="1"/>
  <c r="F36" i="9" a="1"/>
  <c r="U60" i="9" a="1"/>
  <c r="U12" i="9" a="1"/>
  <c r="U36" i="9" a="1"/>
  <c r="AK59" i="9" a="1"/>
  <c r="F60" i="9" a="1"/>
  <c r="N34" i="6" a="1"/>
  <c r="F12" i="9" a="1"/>
  <c r="V59" i="9" a="1"/>
  <c r="G59" i="9" a="1"/>
  <c r="G11" i="9" a="1"/>
  <c r="V11" i="9" a="1"/>
  <c r="BF17" i="9" a="1"/>
  <c r="BP4" i="9" a="1"/>
  <c r="F4" i="9" a="1"/>
  <c r="AW4" i="10" l="1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P34" i="6" a="1"/>
  <c r="H34" i="6" a="1"/>
  <c r="Q34" i="6" a="1"/>
  <c r="S34" i="6" a="1"/>
  <c r="BL5" i="9" a="1"/>
  <c r="BK5" i="9" a="1"/>
  <c r="BI5" i="9" a="1"/>
  <c r="AJ12" i="9" a="1"/>
  <c r="AK12" i="9" a="1"/>
  <c r="J34" i="6" a="1"/>
  <c r="O34" i="6" s="1" a="1"/>
  <c r="BH4" i="10" l="1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G60" i="9" a="1"/>
  <c r="V60" i="9" a="1"/>
  <c r="AK60" i="9" a="1"/>
  <c r="V12" i="9" a="1"/>
  <c r="AL12" i="9" s="1" a="1"/>
  <c r="BM5" i="9" a="1"/>
  <c r="I34" i="6" a="1"/>
  <c r="AN12" i="9" a="1"/>
  <c r="V36" i="9" a="1"/>
  <c r="AO12" i="9" a="1"/>
  <c r="AM12" i="9" a="1"/>
  <c r="BN5" i="9" l="1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<sst xmlns="http://schemas.openxmlformats.org/spreadsheetml/2006/main" count="409" uniqueCount="200">
  <si>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</si>
  <si>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</si>
  <si>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</si>
  <si>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</si>
  <si>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</si>
  <si>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</si>
  <si>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</si>
  <si>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</si>
  <si>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</si>
  <si>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</si>
  <si>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</si>
  <si>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</si>
  <si>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</si>
  <si>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</si>
  <si>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</si>
  <si>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</si>
  <si>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</si>
  <si>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</si>
  <si>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</si>
  <si>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</si>
  <si>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</si>
  <si>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</si>
  <si>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</si>
  <si>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</si>
  <si>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</si>
  <si>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</si>
  <si>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</si>
  <si>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</si>
  <si>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</si>
  <si>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</si>
  <si>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</si>
  <si>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</si>
  <si>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</si>
  <si>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</si>
  <si>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</si>
  <si>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</si>
  <si>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</si>
  <si>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</si>
  <si>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</si>
  <si>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</si>
  <si>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</si>
  <si>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比較日</t>
  </si>
  <si>
    <t>モード</t>
  </si>
  <si>
    <t>レベル</t>
  </si>
  <si>
    <t>window(営業日)</t>
  </si>
  <si>
    <t>主成分数 k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</si>
  <si>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</si>
  <si>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</si>
  <si>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</si>
  <si>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</si>
  <si>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</si>
  <si>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</si>
  <si>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</si>
  <si>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</si>
  <si>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</si>
  <si>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</si>
  <si>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</si>
  <si>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</si>
  <si>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</si>
  <si>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</si>
  <si>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</si>
  <si>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</si>
  <si>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</si>
  <si>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</si>
  <si>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</si>
  <si>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</si>
  <si>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</si>
  <si>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</si>
  <si>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満期</t>
  </si>
  <si>
    <t>原資産</t>
  </si>
  <si>
    <t>銘柄</t>
  </si>
  <si>
    <t>1Y</t>
  </si>
  <si>
    <t>2Y</t>
  </si>
  <si>
    <t>3Y</t>
  </si>
  <si>
    <t>主成分ベクトルの推定</t>
  </si>
  <si>
    <t>推定基準日</t>
  </si>
  <si>
    <t>標準化</t>
  </si>
  <si>
    <t>なし</t>
  </si>
  <si>
    <t>比較</t>
  </si>
  <si>
    <t>銘柄 = 選んだ満期 × 選んだ原資産の格子の全点(並び順が結果の行・列の順)</t>
  </si>
  <si>
    <t>選択満期</t>
  </si>
  <si>
    <t>選択原資産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</si>
  <si>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</si>
  <si>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</si>
  <si>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</si>
  <si>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</si>
  <si>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</si>
  <si>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</si>
  <si>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</si>
  <si>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</si>
  <si>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</si>
  <si>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</si>
  <si>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</si>
  <si>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</si>
  <si>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</si>
  <si>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</si>
  <si>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</si>
  <si>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</si>
  <si>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</si>
  <si>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</si>
  <si>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</si>
  <si>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</si>
  <si>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</si>
  <si>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</si>
  <si>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</si>
  <si>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</si>
  <si>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</si>
  <si>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</si>
  <si>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</si>
  <si>
    <t>計算領域(UDFの出力。直接編集しない)</t>
  </si>
  <si>
    <t>PCA(スワップ)</t>
  </si>
  <si>
    <t>計算領域(UDFの出力と銘柄ごとの計算。直接編集しない)</t>
  </si>
  <si>
    <t>VolPCA(スワップションATMノーマルvol、bp)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</si>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</sst>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</numFmts>
  <fonts count="12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abSelected="1" topLeftCell="D11" workbookViewId="0"/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79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LiveInfo("swap",_xlfn.ANCHORARRAY($CA$4))</f>
      </c>
      <c r="E1" s="17" t="s">
        <v>116</v>
      </c>
    </row>
    <row r="2" spans="1:79" ht="22.5" x14ac:dyDescent="0.55000000000000004">
      <c r="A2" t="s">
        <v>110</v>
      </c>
      <c r="E2" s="1"/>
      <c r="Z2" s="1" t="s">
        <v>109</v>
      </c>
      <c r="CA2" t="s">
        <v>117</v>
      </c>
    </row>
    <row r="3" spans="1:79" x14ac:dyDescent="0.55000000000000004">
      <c r="A3" s="4" t="s">
        <v>74</v>
      </c>
      <c r="E3" t="s">
        <v>82</v>
      </c>
      <c r="H3" t="s">
        <v>83</v>
      </c>
      <c r="AB3" t="s">
        <v>49</v>
      </c>
      <c r="AC3" t="s">
        <v>85</v>
      </c>
    </row>
    <row r="4" spans="1:79" x14ac:dyDescent="0.55000000000000004">
      <c r="A4" t="s">
        <v>75</v>
      </c>
      <c r="B4" s="3"/>
      <c r="E4" cm="1">
        <f t="array" aca="1" ref="E4:F8" ca="1">PcaWindow(PCA_テナー,PCA_モード,PCA_標準化,PCA_window,PCA_推定基準日,PCA_比較日)</f>
      </c>
      <c r="F4" s="7">
        <f ca="1"/>
      </c>
      <c r="H4" cm="1">
        <f t="array" aca="1" ref="H4:I7" ca="1">PcaActualInfo(PCA_テナー,PCA_モード,PCA_比較日,_xlfn.CHOOSECOLS(_xlfn.ANCHORARRAY($CA$4),1,2))</f>
      </c>
      <c r="I4" s="7">
        <f ca="1"/>
      </c>
      <c r="O4" t="s">
        <v>86</v>
      </c>
      <c r="AA4" s="7"/>
      <c r="AB4" cm="1">
        <f t="array" ref="AB4:AB16">_xlfn._xlws.FILTER($A$15:$A$56,$B$15:$B$56="○")</f>
      </c>
      <c r="AC4" cm="1">
        <f t="array" aca="1" ref="AC4:AR17" ca="1">PcaModel(PCA_テナー,PCA_モード,PCA_標準化,PCA_window,PCA_推定基準日,PCA_比較日)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CA4" cm="1">
        <f t="array" aca="1" ref="CA4" ca="1">IF($B$1="Fixed",LiveSnapshot("swap"),LiveQuotes("swap"))</f>
      </c>
    </row>
    <row r="5" spans="1:79" x14ac:dyDescent="0.55000000000000004">
      <c r="A5" t="s">
        <v>44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87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</row>
    <row r="6" spans="1:79" x14ac:dyDescent="0.55000000000000004">
      <c r="A6" t="s">
        <v>42</v>
      </c>
      <c r="B6" s="2" t="s">
        <v>43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</row>
    <row r="7" spans="1:79" x14ac:dyDescent="0.55000000000000004">
      <c r="A7" t="s">
        <v>76</v>
      </c>
      <c r="B7" s="2" t="s">
        <v>77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</row>
    <row r="8" spans="1:79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</row>
    <row r="9" spans="1:79" x14ac:dyDescent="0.55000000000000004">
      <c r="A9" s="4" t="s">
        <v>78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</row>
    <row r="10" spans="1:79" x14ac:dyDescent="0.55000000000000004">
      <c r="A10" t="s">
        <v>41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</row>
    <row r="11" spans="1:79" x14ac:dyDescent="0.55000000000000004">
      <c r="A11" t="s">
        <v>45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</row>
    <row r="12" spans="1:79" x14ac:dyDescent="0.55000000000000004"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</row>
    <row r="13" spans="1:79" x14ac:dyDescent="0.55000000000000004">
      <c r="A13" t="s">
        <v>46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</row>
    <row r="14" spans="1:79" x14ac:dyDescent="0.55000000000000004">
      <c r="A14" s="5" t="s">
        <v>47</v>
      </c>
      <c r="B14" s="5" t="s">
        <v>48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</row>
    <row r="15" spans="1:79" x14ac:dyDescent="0.55000000000000004">
      <c r="A15" t="s">
        <v>0</v>
      </c>
      <c r="B15" s="6" t="s">
        <v>52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</row>
    <row r="16" spans="1:79" x14ac:dyDescent="0.55000000000000004">
      <c r="A16" t="s">
        <v>1</v>
      </c>
      <c r="B16" s="6" t="s">
        <v>52</v>
      </c>
      <c r="Z16" t="s">
        <v>84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</row>
    <row r="17" spans="1:44" x14ac:dyDescent="0.55000000000000004">
      <c r="A17" t="s">
        <v>2</v>
      </c>
      <c r="B17" s="6" t="s">
        <v>52</v>
      </c>
      <c r="Z17" cm="1">
        <f t="array" aca="1" ref="Z17:AA30" ca="1">PcaEigen(PCA_テナー,PCA_モード,PCA_標準化,PCA_window,PCA_推定基準日,PCA_比較日)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</row>
    <row r="18" spans="1:44" x14ac:dyDescent="0.55000000000000004">
      <c r="A18" t="s">
        <v>3</v>
      </c>
      <c r="B18" s="6" t="s">
        <v>52</v>
      </c>
      <c r="Z18">
        <f ca="1"/>
      </c>
      <c r="AA18">
        <f ca="1"/>
      </c>
    </row>
    <row r="19" spans="1:44" x14ac:dyDescent="0.55000000000000004">
      <c r="A19" t="s">
        <v>4</v>
      </c>
      <c r="B19" s="6" t="s">
        <v>52</v>
      </c>
      <c r="Z19">
        <f ca="1"/>
      </c>
      <c r="AA19">
        <f ca="1"/>
      </c>
    </row>
    <row r="20" spans="1:44" x14ac:dyDescent="0.55000000000000004">
      <c r="A20" t="s">
        <v>5</v>
      </c>
      <c r="B20" s="6" t="s">
        <v>52</v>
      </c>
      <c r="Z20">
        <f ca="1"/>
      </c>
      <c r="AA20">
        <f ca="1"/>
      </c>
    </row>
    <row r="21" spans="1:44" x14ac:dyDescent="0.55000000000000004">
      <c r="A21" t="s">
        <v>6</v>
      </c>
      <c r="B21" s="6" t="s">
        <v>52</v>
      </c>
      <c r="Z21">
        <f ca="1"/>
      </c>
      <c r="AA21">
        <f ca="1"/>
      </c>
    </row>
    <row r="22" spans="1:44" x14ac:dyDescent="0.55000000000000004">
      <c r="A22" t="s">
        <v>7</v>
      </c>
      <c r="B22" s="6" t="s">
        <v>52</v>
      </c>
      <c r="Z22">
        <f ca="1"/>
      </c>
      <c r="AA22">
        <f ca="1"/>
      </c>
    </row>
    <row r="23" spans="1:44" x14ac:dyDescent="0.55000000000000004">
      <c r="A23" t="s">
        <v>8</v>
      </c>
      <c r="B23" s="6" t="s">
        <v>52</v>
      </c>
      <c r="Z23">
        <f ca="1"/>
      </c>
      <c r="AA23">
        <f ca="1"/>
      </c>
    </row>
    <row r="24" spans="1:44" x14ac:dyDescent="0.55000000000000004">
      <c r="A24" t="s">
        <v>9</v>
      </c>
      <c r="B24" s="6" t="s">
        <v>52</v>
      </c>
      <c r="Z24">
        <f ca="1"/>
      </c>
      <c r="AA24">
        <f ca="1"/>
      </c>
    </row>
    <row r="25" spans="1:44" x14ac:dyDescent="0.55000000000000004">
      <c r="A25" t="s">
        <v>10</v>
      </c>
      <c r="B25" s="6" t="s">
        <v>52</v>
      </c>
      <c r="Z25">
        <f ca="1"/>
      </c>
      <c r="AA25">
        <f ca="1"/>
      </c>
    </row>
    <row r="26" spans="1:44" x14ac:dyDescent="0.55000000000000004">
      <c r="A26" t="s">
        <v>11</v>
      </c>
      <c r="B26" s="6" t="s">
        <v>52</v>
      </c>
      <c r="Z26">
        <f ca="1"/>
      </c>
      <c r="AA26">
        <f ca="1"/>
      </c>
    </row>
    <row r="27" spans="1:44" x14ac:dyDescent="0.55000000000000004">
      <c r="A27" t="s">
        <v>12</v>
      </c>
      <c r="B27" s="6" t="s">
        <v>52</v>
      </c>
      <c r="Z27">
        <f ca="1"/>
      </c>
      <c r="AA27">
        <f ca="1"/>
      </c>
    </row>
    <row r="28" spans="1:44" x14ac:dyDescent="0.55000000000000004">
      <c r="A28" t="s">
        <v>50</v>
      </c>
      <c r="B28" s="6" t="s">
        <v>51</v>
      </c>
      <c r="Z28">
        <f ca="1"/>
      </c>
      <c r="AA28">
        <f ca="1"/>
      </c>
    </row>
    <row r="29" spans="1:44" x14ac:dyDescent="0.55000000000000004">
      <c r="A29" t="s">
        <v>13</v>
      </c>
      <c r="B29" s="6" t="s">
        <v>52</v>
      </c>
      <c r="Z29">
        <f ca="1"/>
      </c>
      <c r="AA29">
        <f ca="1"/>
      </c>
    </row>
    <row r="30" spans="1:44" x14ac:dyDescent="0.55000000000000004">
      <c r="A30" t="s">
        <v>14</v>
      </c>
      <c r="B30" s="6" t="s">
        <v>52</v>
      </c>
      <c r="Z30">
        <f ca="1"/>
      </c>
      <c r="AA30">
        <f ca="1"/>
      </c>
    </row>
    <row r="31" spans="1:44" x14ac:dyDescent="0.55000000000000004">
      <c r="A31" t="s">
        <v>15</v>
      </c>
      <c r="B31" s="6" t="s">
        <v>52</v>
      </c>
    </row>
    <row r="32" spans="1:44" x14ac:dyDescent="0.55000000000000004">
      <c r="A32" t="s">
        <v>16</v>
      </c>
      <c r="B32" s="6" t="s">
        <v>51</v>
      </c>
      <c r="E32" s="4" t="s">
        <v>66</v>
      </c>
      <c r="L32" s="4" t="s">
        <v>57</v>
      </c>
      <c r="S32" s="4" t="s">
        <v>67</v>
      </c>
    </row>
    <row r="33" spans="1:24" ht="55.5" x14ac:dyDescent="0.55000000000000004">
      <c r="A33" t="s">
        <v>17</v>
      </c>
      <c r="B33" s="6" t="s">
        <v>51</v>
      </c>
      <c r="E33" s="9" t="s">
        <v>47</v>
      </c>
      <c r="F33" s="9" t="s">
        <v>54</v>
      </c>
      <c r="G33" s="9" t="s">
        <v>88</v>
      </c>
      <c r="H33" s="9" t="s">
        <v>55</v>
      </c>
      <c r="I33" s="9" t="s">
        <v>56</v>
      </c>
      <c r="J33" s="9" t="s">
        <v>89</v>
      </c>
      <c r="L33" s="9" t="s">
        <v>57</v>
      </c>
      <c r="M33" s="9" t="s">
        <v>90</v>
      </c>
      <c r="N33" s="9" t="s">
        <v>58</v>
      </c>
      <c r="O33" s="9" t="s">
        <v>59</v>
      </c>
      <c r="P33" s="9" t="s">
        <v>91</v>
      </c>
      <c r="Q33" s="9" t="s">
        <v>60</v>
      </c>
      <c r="S33" s="9" t="s">
        <v>47</v>
      </c>
      <c r="T33" s="9" t="s">
        <v>61</v>
      </c>
      <c r="U33" s="9" t="s">
        <v>62</v>
      </c>
      <c r="V33" s="9" t="s">
        <v>63</v>
      </c>
      <c r="W33" s="9" t="s">
        <v>64</v>
      </c>
      <c r="X33" s="9" t="s">
        <v>65</v>
      </c>
    </row>
    <row r="34" spans="1:24" x14ac:dyDescent="0.55000000000000004">
      <c r="A34" t="s">
        <v>18</v>
      </c>
      <c r="B34" s="6" t="s">
        <v>51</v>
      </c>
      <c r="E34" cm="1">
        <f t="array" aca="1" ref="E34:E46" ca="1">_xlfn.DROP(_xlfn.TAKE(_xlfn.ANCHORARRAY($AC$4),,1),1)</f>
      </c>
      <c r="F34" s="10" cm="1">
        <f t="array" aca="1" ref="F34:F46" ca="1">PcaActual(PCA_テナー,PCA_モード,PCA_比較日,_xlfn.CHOOSECOLS(_xlfn.ANCHORARRAY($CA$4),1,2))</f>
      </c>
      <c r="G34" s="10" cm="1">
        <f t="array" aca="1" ref="G34:G46" ca="1">_xlfn.DROP(_xlfn.CHOOSECOLS(_xlfn.ANCHORARRAY($AC$4),2),1)</f>
      </c>
      <c r="H34" s="10" cm="1">
        <f t="array" aca="1" ref="H34:H46" ca="1">_xlfn.LET(_xlpm.m,_xlfn.ANCHORARRAY(G34),_xlpm.s,_xlfn.DROP(_xlfn.CHOOSECOLS(_xlfn.ANCHORARRAY($AC$4),3),1),_xlpm.x,_xlfn.ANCHORARRAY(F34),_xlpm.V,_xlfn.TAKE(_xlfn.DROP(_xlfn.ANCHORARRAY($AC$4),1,3),,PCA_k),_xlpm.m+_xlpm.s*MMULT(_xlpm.V,MMULT(TRANSPOSE(_xlpm.V),(_xlpm.x-_xlpm.m)/_xlpm.s)))</f>
      </c>
      <c r="I34" s="11" cm="1">
        <f t="array" aca="1" ref="I34:I46" ca="1">(_xlfn.ANCHORARRAY(F34)-_xlfn.ANCHORARRAY(H34))*100</f>
      </c>
      <c r="J34" s="11" cm="1">
        <f t="array" aca="1" ref="J34:J46" ca="1">(_xlfn.ANCHORARRAY(F34)-_xlfn.ANCHORARRAY(G34))*100</f>
      </c>
      <c r="L34" cm="1">
        <f t="array" aca="1" ref="L34:L46" ca="1">_xlfn.DROP(_xlfn.TAKE(_xlfn.ANCHORARRAY($Z$17),,1),1)</f>
      </c>
      <c r="M34" s="11" cm="1">
        <f t="array" aca="1" ref="M34:M46" ca="1">_xlfn.DROP(_xlfn.CHOOSECOLS(_xlfn.ANCHORARRAY($Z$17),2),1)</f>
      </c>
      <c r="N34" s="12" cm="1">
        <f t="array" aca="1" ref="N34:N46" ca="1">_xlfn.ANCHORARRAY(M34)/SUM(_xlfn.ANCHORARRAY(M34))</f>
      </c>
      <c r="O34" s="12" cm="1">
        <f t="array" aca="1" ref="O34:O46" ca="1">_xlfn.SCAN(0,_xlfn.ANCHORARRAY(N34),_xlfn.LAMBDA(_xlpm.a,_xlpm.b,_xlpm.a+_xlpm.b))</f>
      </c>
      <c r="P34" s="11" cm="1">
        <f t="array" aca="1" ref="P34:P46" ca="1">MMULT(TRANSPOSE(_xlfn.DROP(_xlfn.ANCHORARRAY($AC$4),1,3)),(_xlfn.ANCHORARRAY(F34)-_xlfn.ANCHORARRAY(G34))/_xlfn.DROP(_xlfn.CHOOSECOLS(_xlfn.ANCHORARRAY($AC$4),3),1))*IF(PCA_標準化="あり",1,100)</f>
      </c>
      <c r="Q34" cm="1">
        <f t="array" aca="1" ref="Q34:Q46" ca="1">IF(_xlfn.SEQUENCE(ROWS(_xlfn.ANCHORARRAY(L34)))&lt;=PCA_k,"○","")</f>
      </c>
      <c r="S34" cm="1">
        <f t="array" aca="1" ref="S34:S46" ca="1">_xlfn.ANCHORARRAY(E34)</f>
      </c>
      <c r="T34" s="13" cm="1">
        <f t="array" aca="1" ref="T34:T46" ca="1">_xlfn.LET(_xlpm.V,_xlfn.DROP(_xlfn.ANCHORARRAY($AC$4),1,3),IF(1&lt;=COLUMNS(_xlpm.V),_xlfn.CHOOSECOLS(_xlpm.V,MIN(1,COLUMNS(_xlpm.V))),IF(_xlfn.SEQUENCE(ROWS(_xlpm.V)),NA())))</f>
      </c>
      <c r="U34" s="13" cm="1">
        <f t="array" aca="1" ref="U34:U46" ca="1">_xlfn.LET(_xlpm.V,_xlfn.DROP(_xlfn.ANCHORARRAY($AC$4),1,3),IF(2&lt;=COLUMNS(_xlpm.V),_xlfn.CHOOSECOLS(_xlpm.V,MIN(2,COLUMNS(_xlpm.V))),IF(_xlfn.SEQUENCE(ROWS(_xlpm.V)),NA())))</f>
      </c>
      <c r="V34" s="13" cm="1">
        <f t="array" aca="1" ref="V34:V46" ca="1">_xlfn.LET(_xlpm.V,_xlfn.DROP(_xlfn.ANCHORARRAY($AC$4),1,3),IF(3&lt;=COLUMNS(_xlpm.V),_xlfn.CHOOSECOLS(_xlpm.V,MIN(3,COLUMNS(_xlpm.V))),IF(_xlfn.SEQUENCE(ROWS(_xlpm.V)),NA())))</f>
      </c>
      <c r="W34" s="13" cm="1">
        <f t="array" aca="1" ref="W34:W46" ca="1">_xlfn.LET(_xlpm.V,_xlfn.DROP(_xlfn.ANCHORARRAY($AC$4),1,3),IF(4&lt;=COLUMNS(_xlpm.V),_xlfn.CHOOSECOLS(_xlpm.V,MIN(4,COLUMNS(_xlpm.V))),IF(_xlfn.SEQUENCE(ROWS(_xlpm.V)),NA())))</f>
      </c>
      <c r="X34" s="13" cm="1">
        <f t="array" aca="1" ref="X34:X46" ca="1">_xlfn.LET(_xlpm.V,_xlfn.DROP(_xlfn.ANCHORARRAY($AC$4),1,3),IF(5&lt;=COLUMNS(_xlpm.V),_xlfn.CHOOSECOLS(_xlpm.V,MIN(5,COLUMNS(_xlpm.V))),IF(_xlfn.SEQUENCE(ROWS(_xlpm.V)),NA())))</f>
      </c>
    </row>
    <row r="35" spans="1:24" x14ac:dyDescent="0.55000000000000004">
      <c r="A35" t="s">
        <v>19</v>
      </c>
      <c r="B35" s="6" t="s">
        <v>51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</row>
    <row r="36" spans="1:24" x14ac:dyDescent="0.55000000000000004">
      <c r="A36" t="s">
        <v>20</v>
      </c>
      <c r="B36" s="6" t="s">
        <v>52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</row>
    <row r="37" spans="1:24" x14ac:dyDescent="0.55000000000000004">
      <c r="A37" t="s">
        <v>21</v>
      </c>
      <c r="B37" s="6" t="s">
        <v>51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</row>
    <row r="38" spans="1:24" x14ac:dyDescent="0.55000000000000004">
      <c r="A38" t="s">
        <v>22</v>
      </c>
      <c r="B38" s="6" t="s">
        <v>52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</row>
    <row r="39" spans="1:24" x14ac:dyDescent="0.55000000000000004">
      <c r="A39" t="s">
        <v>23</v>
      </c>
      <c r="B39" s="6" t="s">
        <v>52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</row>
    <row r="40" spans="1:24" x14ac:dyDescent="0.55000000000000004">
      <c r="A40" t="s">
        <v>24</v>
      </c>
      <c r="B40" s="6" t="s">
        <v>51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</row>
    <row r="41" spans="1:24" x14ac:dyDescent="0.55000000000000004">
      <c r="A41" t="s">
        <v>25</v>
      </c>
      <c r="B41" s="6" t="s">
        <v>52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</row>
    <row r="42" spans="1:24" x14ac:dyDescent="0.55000000000000004">
      <c r="A42" t="s">
        <v>26</v>
      </c>
      <c r="B42" s="6" t="s">
        <v>51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</row>
    <row r="43" spans="1:24" x14ac:dyDescent="0.55000000000000004">
      <c r="A43" t="s">
        <v>27</v>
      </c>
      <c r="B43" s="6" t="s">
        <v>51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</row>
    <row r="44" spans="1:24" x14ac:dyDescent="0.55000000000000004">
      <c r="A44" t="s">
        <v>28</v>
      </c>
      <c r="B44" s="6" t="s">
        <v>51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</row>
    <row r="45" spans="1:24" x14ac:dyDescent="0.55000000000000004">
      <c r="A45" t="s">
        <v>29</v>
      </c>
      <c r="B45" s="6" t="s">
        <v>51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</row>
    <row r="46" spans="1:24" x14ac:dyDescent="0.55000000000000004">
      <c r="A46" t="s">
        <v>30</v>
      </c>
      <c r="B46" s="6" t="s">
        <v>51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</row>
    <row r="47" spans="1:24" x14ac:dyDescent="0.55000000000000004">
      <c r="A47" t="s">
        <v>31</v>
      </c>
      <c r="B47" s="6" t="s">
        <v>52</v>
      </c>
      <c r="F47" s="10"/>
      <c r="G47" s="10"/>
      <c r="H47" s="10"/>
      <c r="I47" s="11"/>
      <c r="J47" s="11"/>
      <c r="M47" s="11"/>
      <c r="N47" s="12"/>
      <c r="O47" s="12"/>
      <c r="P47" s="11"/>
      <c r="T47" s="13"/>
      <c r="U47" s="13"/>
      <c r="V47" s="13"/>
      <c r="W47" s="13"/>
      <c r="X47" s="13"/>
    </row>
    <row r="48" spans="1:24" x14ac:dyDescent="0.55000000000000004">
      <c r="A48" t="s">
        <v>32</v>
      </c>
      <c r="B48" s="6" t="s">
        <v>51</v>
      </c>
      <c r="F48" s="10"/>
      <c r="G48" s="10"/>
      <c r="H48" s="10"/>
      <c r="I48" s="11"/>
      <c r="J48" s="11"/>
      <c r="M48" s="11"/>
      <c r="N48" s="12"/>
      <c r="O48" s="12"/>
      <c r="P48" s="11"/>
      <c r="T48" s="13"/>
      <c r="U48" s="13"/>
      <c r="V48" s="13"/>
      <c r="W48" s="13"/>
      <c r="X48" s="13"/>
    </row>
    <row r="49" spans="1:24" x14ac:dyDescent="0.55000000000000004">
      <c r="A49" t="s">
        <v>33</v>
      </c>
      <c r="B49" s="6" t="s">
        <v>52</v>
      </c>
      <c r="F49" s="10"/>
      <c r="G49" s="10"/>
      <c r="H49" s="10"/>
      <c r="I49" s="11"/>
      <c r="J49" s="11"/>
      <c r="M49" s="11"/>
      <c r="N49" s="12"/>
      <c r="O49" s="12"/>
      <c r="P49" s="11"/>
      <c r="T49" s="13"/>
      <c r="U49" s="13"/>
      <c r="V49" s="13"/>
      <c r="W49" s="13"/>
      <c r="X49" s="13"/>
    </row>
    <row r="50" spans="1:24" x14ac:dyDescent="0.55000000000000004">
      <c r="A50" t="s">
        <v>34</v>
      </c>
      <c r="B50" s="6" t="s">
        <v>52</v>
      </c>
      <c r="F50" s="10"/>
      <c r="G50" s="10"/>
      <c r="H50" s="10"/>
      <c r="I50" s="11"/>
      <c r="J50" s="11"/>
      <c r="M50" s="11"/>
      <c r="N50" s="12"/>
      <c r="O50" s="12"/>
      <c r="P50" s="11"/>
      <c r="T50" s="13"/>
      <c r="U50" s="13"/>
      <c r="V50" s="13"/>
      <c r="W50" s="13"/>
      <c r="X50" s="13"/>
    </row>
    <row r="51" spans="1:24" x14ac:dyDescent="0.55000000000000004">
      <c r="A51" t="s">
        <v>35</v>
      </c>
      <c r="B51" s="6" t="s">
        <v>52</v>
      </c>
      <c r="F51" s="10"/>
      <c r="G51" s="10"/>
      <c r="H51" s="10"/>
      <c r="I51" s="11"/>
      <c r="J51" s="11"/>
      <c r="M51" s="11"/>
      <c r="N51" s="12"/>
      <c r="O51" s="12"/>
      <c r="P51" s="11"/>
      <c r="T51" s="13"/>
      <c r="U51" s="13"/>
      <c r="V51" s="13"/>
      <c r="W51" s="13"/>
      <c r="X51" s="13"/>
    </row>
    <row r="52" spans="1:24" x14ac:dyDescent="0.55000000000000004">
      <c r="A52" t="s">
        <v>36</v>
      </c>
      <c r="B52" s="6" t="s">
        <v>52</v>
      </c>
      <c r="F52" s="10"/>
      <c r="G52" s="10"/>
      <c r="H52" s="10"/>
      <c r="I52" s="11"/>
      <c r="J52" s="11"/>
      <c r="M52" s="11"/>
      <c r="N52" s="12"/>
      <c r="O52" s="12"/>
      <c r="P52" s="11"/>
      <c r="T52" s="13"/>
      <c r="U52" s="13"/>
      <c r="V52" s="13"/>
      <c r="W52" s="13"/>
      <c r="X52" s="13"/>
    </row>
    <row r="53" spans="1:24" x14ac:dyDescent="0.55000000000000004">
      <c r="A53" t="s">
        <v>37</v>
      </c>
      <c r="B53" s="6" t="s">
        <v>52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52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52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52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8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prompt="なし=分散共分散(bp)のPCA / あり=z-score(相関行列)のPCA" sqref="B7" xr:uid="{7ED64B26-97CF-402C-B083-0FFB42FD6806}">
      <formula1>"あり,なし"</formula1>
    </dataValidation>
    <dataValidation type="list" allowBlank="1" showInputMessage="1" showErrorMessage="1" prompt="レベル=水準のPCA / 日次変化=前営業日からの変化のPCA" sqref="B6" xr:uid="{3E3DC664-42D4-4B04-8857-77743F4A2966}">
      <formula1>"レベル,日次変化"</formula1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空欄=今日(RealTimeのライブの値)。日付=DBのその日の引け値。推定基準日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LiveInfo("vol",_xlfn.ANCHORARRAY($LA$3))</f>
      </c>
      <c r="E1" s="17" t="s">
        <v>116</v>
      </c>
    </row>
    <row r="2" spans="1:315" ht="22.5" x14ac:dyDescent="0.55000000000000004">
      <c r="A2" t="s">
        <v>112</v>
      </c>
      <c r="F2" s="1"/>
      <c r="BF2" s="1" t="s">
        <v>111</v>
      </c>
      <c r="LA2" t="s">
        <v>118</v>
      </c>
    </row>
    <row r="3" spans="1:315" x14ac:dyDescent="0.55000000000000004">
      <c r="A3" s="4" t="s">
        <v>74</v>
      </c>
      <c r="F3" t="s">
        <v>82</v>
      </c>
      <c r="I3" t="s">
        <v>83</v>
      </c>
      <c r="BI3" t="s">
        <v>93</v>
      </c>
      <c r="BP3" t="s">
        <v>92</v>
      </c>
      <c r="JD3" t="s">
        <v>80</v>
      </c>
      <c r="JE3" t="s">
        <v>81</v>
      </c>
      <c r="JG3" t="s">
        <v>70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75</v>
      </c>
      <c r="B4" s="3"/>
      <c r="F4" cm="1">
        <f t="array" ref="F4:G8">PcaWindow(VOL_銘柄,VOL_モード,VOL_標準化,VOL_window,VOL_推定基準日,VOL_比較日,"vol")</f>
      </c>
      <c r="G4" s="7"/>
      <c r="I4" cm="1">
        <f t="array" aca="1" ref="I4:J7" ca="1">PcaActualInfo(VOL_銘柄,VOL_モード,VOL_比較日,_xlfn.ANCHORARRAY($LA$3),"vol")</f>
      </c>
      <c r="J4" s="7">
        <f ca="1"/>
      </c>
      <c r="P4" t="s">
        <v>98</v>
      </c>
      <c r="BG4" s="7"/>
      <c r="BI4" s="5" t="s">
        <v>70</v>
      </c>
      <c r="BJ4" s="5" t="s">
        <v>53</v>
      </c>
      <c r="BK4" s="5" t="s">
        <v>94</v>
      </c>
      <c r="BL4" s="5" t="s">
        <v>95</v>
      </c>
      <c r="BM4" s="5" t="s">
        <v>96</v>
      </c>
      <c r="BN4" s="5" t="s">
        <v>97</v>
      </c>
      <c r="BP4" cm="1">
        <f t="array" ref="BP4:JB196">PcaModel(VOL_銘柄,VOL_モード,VOL_標準化,VOL_window,VOL_推定基準日,VOL_比較日,"vol")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44</v>
      </c>
      <c r="B5" s="2">
        <v>250</v>
      </c>
      <c r="G5" s="7"/>
      <c r="I5">
        <f ca="1"/>
      </c>
      <c r="J5">
        <f ca="1"/>
      </c>
      <c r="P5" t="s">
        <v>99</v>
      </c>
      <c r="BG5" s="7"/>
      <c r="BI5" cm="1">
        <f t="array" ref="BI5:BI196">_xlfn.DROP(_xlfn.TAKE(_xlfn.ANCHORARRAY($BP$4),,1),1)</f>
      </c>
      <c r="BJ5" s="11" cm="1">
        <f t="array" aca="1" ref="BJ5:BJ196" ca="1">PcaActual(VOL_銘柄,VOL_モード,VOL_比較日,_xlfn.ANCHORARRAY($LA$3),"vol")</f>
      </c>
      <c r="BK5" s="11" cm="1">
        <f t="array" ref="BK5:BK196">_xlfn.DROP(_xlfn.CHOOSECOLS(_xlfn.ANCHORARRAY($BP$4),2),1)</f>
      </c>
      <c r="BL5" s="11" cm="1">
        <f t="array" ref="BL5:BL196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_xlfn.LET(_xlpm.m,_xlfn.ANCHORARRAY(BK5),_xlpm.s,_xlfn.ANCHORARRAY(BL5),_xlpm.x,_xlfn.ANCHORARRAY(BJ5),_xlpm.V,_xlfn.TAKE(_xlfn.DROP(_xlfn.ANCHORARRAY($BP$4),1,3),,VOL_k),_xlpm.m+_xlpm.s*MMULT(_xlpm.V,MMULT(TRANSPOSE(_xlpm.V),(_xlpm.x-_xlpm.m)/_xlpm.s)))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42</v>
      </c>
      <c r="B6" s="2" t="s">
        <v>43</v>
      </c>
      <c r="I6">
        <f ca="1"/>
      </c>
      <c r="J6" s="7">
        <f ca="1"/>
      </c>
      <c r="BJ6" s="11">
        <f ca="1"/>
      </c>
      <c r="BK6" s="11"/>
      <c r="BL6" s="11"/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76</v>
      </c>
      <c r="B7" s="2" t="s">
        <v>77</v>
      </c>
      <c r="I7">
        <f ca="1"/>
      </c>
      <c r="J7" s="8">
        <f ca="1"/>
      </c>
      <c r="BJ7" s="11">
        <f ca="1"/>
      </c>
      <c r="BK7" s="11"/>
      <c r="BL7" s="11"/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J8" s="11">
        <f ca="1"/>
      </c>
      <c r="BK8" s="11"/>
      <c r="BL8" s="11"/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78</v>
      </c>
      <c r="BJ9" s="11">
        <f ca="1"/>
      </c>
      <c r="BK9" s="11"/>
      <c r="BL9" s="11"/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41</v>
      </c>
      <c r="B10" s="3"/>
      <c r="F10" s="4" t="s">
        <v>100</v>
      </c>
      <c r="U10" s="4" t="s">
        <v>102</v>
      </c>
      <c r="AJ10" s="4" t="s">
        <v>108</v>
      </c>
      <c r="BJ10" s="11">
        <f ca="1"/>
      </c>
      <c r="BK10" s="11"/>
      <c r="BL10" s="11"/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45</v>
      </c>
      <c r="B11" s="2">
        <v>3</v>
      </c>
      <c r="F11" s="5" t="s">
        <v>101</v>
      </c>
      <c r="G11" cm="1">
        <f t="array" ref="G11:R11">TRANSPOSE(VOL_原資産)</f>
      </c>
      <c r="U11" s="5" t="s">
        <v>101</v>
      </c>
      <c r="V11" cm="1">
        <f t="array" ref="V11:AG11">TRANSPOSE(VOL_原資産)</f>
      </c>
      <c r="AJ11" s="5" t="s">
        <v>57</v>
      </c>
      <c r="AK11" s="5" t="s">
        <v>90</v>
      </c>
      <c r="AL11" s="5" t="s">
        <v>58</v>
      </c>
      <c r="AM11" s="5" t="s">
        <v>59</v>
      </c>
      <c r="AN11" s="5" t="s">
        <v>91</v>
      </c>
      <c r="AO11" s="5" t="s">
        <v>60</v>
      </c>
      <c r="BG11" s="7"/>
      <c r="BJ11" s="11">
        <f ca="1"/>
      </c>
      <c r="BK11" s="11"/>
      <c r="BL11" s="11"/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VOL_満期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VOL_満期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ref="AJ12:AJ21">_xlfn.TAKE(_xlfn.DROP(_xlfn.TAKE(_xlfn.ANCHORARRAY($BF$17),,1),1),10)</f>
      </c>
      <c r="AK12" s="11" cm="1">
        <f t="array" ref="AK12:AK21">_xlfn.TAKE(_xlfn.DROP(_xlfn.CHOOSECOLS(_xlfn.ANCHORARRAY($BF$17),2),1),10)</f>
      </c>
      <c r="AL12" s="12" cm="1">
        <f t="array" ref="AL12:AL21">_xlfn.ANCHORARRAY(AK12)/SUM(_xlfn.DROP(_xlfn.CHOOSECOLS(_xlfn.ANCHORARRAY($BF$17),2),1))</f>
      </c>
      <c r="AM12" s="12" cm="1">
        <f t="array" ref="AM12:AM21">_xlfn.SCAN(0,_xlfn.ANCHORARRAY(AL12),_xlfn.LAMBDA(_xlpm.a,_xlpm.b,_xlpm.a+_xlpm.b))</f>
      </c>
      <c r="AN12" s="11" cm="1">
        <f t="array" aca="1" ref="AN12:AN21" ca="1">_xlfn.TAKE(MMULT(TRANSPOSE(_xlfn.DROP(_xlfn.ANCHORARRAY($BP$4),1,3)),(_xlfn.ANCHORARRAY($BJ$5)-_xlfn.ANCHORARRAY($BK$5))/_xlfn.ANCHORARRAY($BL$5)),10)</f>
      </c>
      <c r="AO12" s="14" cm="1">
        <f t="array" ref="AO12:AO21">IF(_xlfn.SEQUENCE(ROWS(_xlfn.ANCHORARRAY(AJ12)))&lt;=VOL_k,"○","")</f>
      </c>
      <c r="BJ12" s="11">
        <f ca="1"/>
      </c>
      <c r="BK12" s="11"/>
      <c r="BL12" s="11"/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79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/>
      <c r="AK13" s="11"/>
      <c r="AL13" s="12"/>
      <c r="AM13" s="12"/>
      <c r="AN13" s="11">
        <f ca="1"/>
      </c>
      <c r="AO13" s="14"/>
      <c r="BG13" s="7"/>
      <c r="BJ13" s="11">
        <f ca="1"/>
      </c>
      <c r="BK13" s="11"/>
      <c r="BL13" s="11"/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68</v>
      </c>
      <c r="B14" s="5" t="s">
        <v>48</v>
      </c>
      <c r="C14" s="5" t="s">
        <v>69</v>
      </c>
      <c r="D14" s="5" t="s">
        <v>48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/>
      <c r="AK14" s="11"/>
      <c r="AL14" s="12"/>
      <c r="AM14" s="12"/>
      <c r="AN14" s="11">
        <f ca="1"/>
      </c>
      <c r="AO14" s="14"/>
      <c r="BJ14" s="11">
        <f ca="1"/>
      </c>
      <c r="BK14" s="11"/>
      <c r="BL14" s="11"/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51</v>
      </c>
      <c r="C15" t="s">
        <v>71</v>
      </c>
      <c r="D15" s="6" t="s">
        <v>51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/>
      <c r="AK15" s="11"/>
      <c r="AL15" s="12"/>
      <c r="AM15" s="12"/>
      <c r="AN15" s="11">
        <f ca="1"/>
      </c>
      <c r="AO15" s="14"/>
      <c r="BJ15" s="11">
        <f ca="1"/>
      </c>
      <c r="BK15" s="11"/>
      <c r="BL15" s="11"/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51</v>
      </c>
      <c r="C16" t="s">
        <v>72</v>
      </c>
      <c r="D16" s="6" t="s">
        <v>51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/>
      <c r="AK16" s="11"/>
      <c r="AL16" s="12"/>
      <c r="AM16" s="12"/>
      <c r="AN16" s="11">
        <f ca="1"/>
      </c>
      <c r="AO16" s="14"/>
      <c r="BF16" t="s">
        <v>84</v>
      </c>
      <c r="BJ16" s="11">
        <f ca="1"/>
      </c>
      <c r="BK16" s="11"/>
      <c r="BL16" s="11"/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51</v>
      </c>
      <c r="C17" t="s">
        <v>73</v>
      </c>
      <c r="D17" s="6" t="s">
        <v>51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/>
      <c r="AK17" s="11"/>
      <c r="AL17" s="12"/>
      <c r="AM17" s="12"/>
      <c r="AN17" s="11">
        <f ca="1"/>
      </c>
      <c r="AO17" s="14"/>
      <c r="BF17" cm="1">
        <f t="array" ref="BF17:BG209">PcaEigen(VOL_銘柄,VOL_モード,VOL_標準化,VOL_window,VOL_推定基準日,VOL_比較日,"vol")</f>
      </c>
      <c r="BJ17" s="11">
        <f ca="1"/>
      </c>
      <c r="BK17" s="11"/>
      <c r="BL17" s="11"/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51</v>
      </c>
      <c r="C18" t="s">
        <v>18</v>
      </c>
      <c r="D18" s="6" t="s">
        <v>51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/>
      <c r="AK18" s="11"/>
      <c r="AL18" s="12"/>
      <c r="AM18" s="12"/>
      <c r="AN18" s="11">
        <f ca="1"/>
      </c>
      <c r="AO18" s="14"/>
      <c r="BJ18" s="11">
        <f ca="1"/>
      </c>
      <c r="BK18" s="11"/>
      <c r="BL18" s="11"/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51</v>
      </c>
      <c r="C19" t="s">
        <v>19</v>
      </c>
      <c r="D19" s="6" t="s">
        <v>51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/>
      <c r="AK19" s="11"/>
      <c r="AL19" s="12"/>
      <c r="AM19" s="12"/>
      <c r="AN19" s="11">
        <f ca="1"/>
      </c>
      <c r="AO19" s="14"/>
      <c r="BJ19" s="11">
        <f ca="1"/>
      </c>
      <c r="BK19" s="11"/>
      <c r="BL19" s="11"/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71</v>
      </c>
      <c r="B20" s="6" t="s">
        <v>51</v>
      </c>
      <c r="C20" t="s">
        <v>20</v>
      </c>
      <c r="D20" s="6" t="s">
        <v>51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/>
      <c r="AK20" s="11"/>
      <c r="AL20" s="12"/>
      <c r="AM20" s="12"/>
      <c r="AN20" s="11">
        <f ca="1"/>
      </c>
      <c r="AO20" s="14"/>
      <c r="BJ20" s="11">
        <f ca="1"/>
      </c>
      <c r="BK20" s="11"/>
      <c r="BL20" s="11"/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72</v>
      </c>
      <c r="B21" s="6" t="s">
        <v>51</v>
      </c>
      <c r="C21" t="s">
        <v>21</v>
      </c>
      <c r="D21" s="6" t="s">
        <v>51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/>
      <c r="AK21" s="11"/>
      <c r="AL21" s="12"/>
      <c r="AM21" s="12"/>
      <c r="AN21" s="11">
        <f ca="1"/>
      </c>
      <c r="AO21" s="14"/>
      <c r="BJ21" s="11">
        <f ca="1"/>
      </c>
      <c r="BK21" s="11"/>
      <c r="BL21" s="11"/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73</v>
      </c>
      <c r="B22" s="6" t="s">
        <v>51</v>
      </c>
      <c r="C22" t="s">
        <v>22</v>
      </c>
      <c r="D22" s="6" t="s">
        <v>51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J22" s="11">
        <f ca="1"/>
      </c>
      <c r="BK22" s="11"/>
      <c r="BL22" s="11"/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51</v>
      </c>
      <c r="C23" t="s">
        <v>23</v>
      </c>
      <c r="D23" s="6" t="s">
        <v>51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J23" s="11">
        <f ca="1"/>
      </c>
      <c r="BK23" s="11"/>
      <c r="BL23" s="11"/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51</v>
      </c>
      <c r="C24" t="s">
        <v>24</v>
      </c>
      <c r="D24" s="6" t="s">
        <v>51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J24" s="11">
        <f ca="1"/>
      </c>
      <c r="BK24" s="11"/>
      <c r="BL24" s="11"/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51</v>
      </c>
      <c r="C25" t="s">
        <v>27</v>
      </c>
      <c r="D25" s="6" t="s">
        <v>51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J25" s="11">
        <f ca="1"/>
      </c>
      <c r="BK25" s="11"/>
      <c r="BL25" s="11"/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51</v>
      </c>
      <c r="C26" t="s">
        <v>28</v>
      </c>
      <c r="D26" s="6" t="s">
        <v>51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J26" s="11">
        <f ca="1"/>
      </c>
      <c r="BK26" s="11"/>
      <c r="BL26" s="11"/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51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J27" s="11">
        <f ca="1"/>
      </c>
      <c r="BK27" s="11"/>
      <c r="BL27" s="11"/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51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J28" s="11">
        <f ca="1"/>
      </c>
      <c r="BK28" s="11"/>
      <c r="BL28" s="11"/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51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J29" s="11">
        <f ca="1"/>
      </c>
      <c r="BK29" s="11"/>
      <c r="BL29" s="11"/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51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J30" s="11">
        <f ca="1"/>
      </c>
      <c r="BK30" s="11"/>
      <c r="BL30" s="11"/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J31" s="11">
        <f ca="1"/>
      </c>
      <c r="BK31" s="11"/>
      <c r="BL31" s="11"/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J32" s="11">
        <f ca="1"/>
      </c>
      <c r="BK32" s="11"/>
      <c r="BL32" s="11"/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J33" s="11">
        <f ca="1"/>
      </c>
      <c r="BK33" s="11"/>
      <c r="BL33" s="11"/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103</v>
      </c>
      <c r="U34" s="4" t="s">
        <v>104</v>
      </c>
      <c r="BJ34" s="11">
        <f ca="1"/>
      </c>
      <c r="BK34" s="11"/>
      <c r="BL34" s="11"/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101</v>
      </c>
      <c r="G35" cm="1">
        <f t="array" ref="G35:R35">TRANSPOSE(VOL_原資産)</f>
      </c>
      <c r="U35" s="5" t="s">
        <v>101</v>
      </c>
      <c r="V35" cm="1">
        <f t="array" ref="V35:AG35">TRANSPOSE(VOL_原資産)</f>
      </c>
      <c r="BJ35" s="11">
        <f ca="1"/>
      </c>
      <c r="BK35" s="11"/>
      <c r="BL35" s="11"/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VOL_満期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VOL_満期</f>
      </c>
      <c r="V36" s="14" cm="1">
        <f t="array" ref="V36:AG51">_xlfn.XLOOKUP(_xlfn.ANCHORARRAY(U36)&amp;"x"&amp;_xlfn.ANCHORARRAY(V35),_xlfn.ANCHORARRAY($BI$5),_xlfn.ANCHORARRAY($BK$5))</f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BJ36" s="11">
        <f ca="1"/>
      </c>
      <c r="BK36" s="11"/>
      <c r="BL36" s="11"/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BJ37" s="11">
        <f ca="1"/>
      </c>
      <c r="BK37" s="11"/>
      <c r="BL37" s="11"/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BJ38" s="11">
        <f ca="1"/>
      </c>
      <c r="BK38" s="11"/>
      <c r="BL38" s="11"/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BJ39" s="11">
        <f ca="1"/>
      </c>
      <c r="BK39" s="11"/>
      <c r="BL39" s="11"/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BJ40" s="11">
        <f ca="1"/>
      </c>
      <c r="BK40" s="11"/>
      <c r="BL40" s="11"/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BJ41" s="11">
        <f ca="1"/>
      </c>
      <c r="BK41" s="11"/>
      <c r="BL41" s="11"/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BJ42" s="11">
        <f ca="1"/>
      </c>
      <c r="BK42" s="11"/>
      <c r="BL42" s="11"/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BJ43" s="11">
        <f ca="1"/>
      </c>
      <c r="BK43" s="11"/>
      <c r="BL43" s="11"/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BJ44" s="11">
        <f ca="1"/>
      </c>
      <c r="BK44" s="11"/>
      <c r="BL44" s="11"/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BJ45" s="11">
        <f ca="1"/>
      </c>
      <c r="BK45" s="11"/>
      <c r="BL45" s="11"/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BJ46" s="11">
        <f ca="1"/>
      </c>
      <c r="BK46" s="11"/>
      <c r="BL46" s="11"/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BJ47" s="11">
        <f ca="1"/>
      </c>
      <c r="BK47" s="11"/>
      <c r="BL47" s="11"/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BJ48" s="11">
        <f ca="1"/>
      </c>
      <c r="BK48" s="11"/>
      <c r="BL48" s="11"/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J49" s="11">
        <f ca="1"/>
      </c>
      <c r="BK49" s="11"/>
      <c r="BL49" s="11"/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J50" s="11">
        <f ca="1"/>
      </c>
      <c r="BK50" s="11"/>
      <c r="BL50" s="11"/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J51" s="11">
        <f ca="1"/>
      </c>
      <c r="BK51" s="11"/>
      <c r="BL51" s="11"/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J52" s="11">
        <f ca="1"/>
      </c>
      <c r="BK52" s="11"/>
      <c r="BL52" s="11"/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J53" s="11">
        <f ca="1"/>
      </c>
      <c r="BK53" s="11"/>
      <c r="BL53" s="11"/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J54" s="11">
        <f ca="1"/>
      </c>
      <c r="BK54" s="11"/>
      <c r="BL54" s="11"/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J55" s="11">
        <f ca="1"/>
      </c>
      <c r="BK55" s="11"/>
      <c r="BL55" s="11"/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J56" s="11">
        <f ca="1"/>
      </c>
      <c r="BK56" s="11"/>
      <c r="BL56" s="11"/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J57" s="11">
        <f ca="1"/>
      </c>
      <c r="BK57" s="11"/>
      <c r="BL57" s="11"/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105</v>
      </c>
      <c r="U58" s="4" t="s">
        <v>106</v>
      </c>
      <c r="AJ58" s="4" t="s">
        <v>107</v>
      </c>
      <c r="BJ58" s="11">
        <f ca="1"/>
      </c>
      <c r="BK58" s="11"/>
      <c r="BL58" s="11"/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101</v>
      </c>
      <c r="G59" cm="1">
        <f t="array" ref="G59:R59">TRANSPOSE(VOL_原資産)</f>
      </c>
      <c r="U59" s="5" t="s">
        <v>101</v>
      </c>
      <c r="V59" cm="1">
        <f t="array" ref="V59:AG59">TRANSPOSE(VOL_原資産)</f>
      </c>
      <c r="AJ59" s="5" t="s">
        <v>101</v>
      </c>
      <c r="AK59" cm="1">
        <f t="array" ref="AK59:AV59">TRANSPOSE(VOL_原資産)</f>
      </c>
      <c r="BJ59" s="11">
        <f ca="1"/>
      </c>
      <c r="BK59" s="11"/>
      <c r="BL59" s="11"/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VOL_満期</f>
      </c>
      <c r="G60" s="13" cm="1">
        <f t="array" ref="G60:R75">_xlfn.XLOOKUP(_xlfn.ANCHORARRAY(F60)&amp;"x"&amp;_xlfn.ANCHORARRAY(G59),_xlfn.ANCHORARRAY($BI$5),_xlfn.LET(_xlpm.V,_xlfn.DROP(_xlfn.ANCHORARRAY($BP$4),1,3),IF(1&lt;=COLUMNS(_xlpm.V),_xlfn.CHOOSECOLS(_xlpm.V,MIN(1,COLUMNS(_xlpm.V))),IF(_xlfn.SEQUENCE(ROWS(_xlpm.V)),NA()))))</f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 cm="1">
        <f t="array" ref="U60:U75">VOL_満期</f>
      </c>
      <c r="V60" s="13" cm="1">
        <f t="array" ref="V60:AG75">_xlfn.XLOOKUP(_xlfn.ANCHORARRAY(U60)&amp;"x"&amp;_xlfn.ANCHORARRAY(V59),_xlfn.ANCHORARRAY($BI$5),_xlfn.LET(_xlpm.V,_xlfn.DROP(_xlfn.ANCHORARRAY($BP$4),1,3),IF(2&lt;=COLUMNS(_xlpm.V),_xlfn.CHOOSECOLS(_xlpm.V,MIN(2,COLUMNS(_xlpm.V))),IF(_xlfn.SEQUENCE(ROWS(_xlpm.V)),NA()))))</f>
      </c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 cm="1">
        <f t="array" ref="AJ60:AJ75">VOL_満期</f>
      </c>
      <c r="AK60" s="13" cm="1">
        <f t="array" ref="AK60:AV75">_xlfn.XLOOKUP(_xlfn.ANCHORARRAY(AJ60)&amp;"x"&amp;_xlfn.ANCHORARRAY(AK59),_xlfn.ANCHORARRAY($BI$5),_xlfn.LET(_xlpm.V,_xlfn.DROP(_xlfn.ANCHORARRAY($BP$4),1,3),IF(3&lt;=COLUMNS(_xlpm.V),_xlfn.CHOOSECOLS(_xlpm.V,MIN(3,COLUMNS(_xlpm.V))),IF(_xlfn.SEQUENCE(ROWS(_xlpm.V)),NA()))))</f>
      </c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J60" s="11">
        <f ca="1"/>
      </c>
      <c r="BK60" s="11"/>
      <c r="BL60" s="11"/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J61" s="11">
        <f ca="1"/>
      </c>
      <c r="BK61" s="11"/>
      <c r="BL61" s="11"/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J62" s="11">
        <f ca="1"/>
      </c>
      <c r="BK62" s="11"/>
      <c r="BL62" s="11"/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J63" s="11">
        <f ca="1"/>
      </c>
      <c r="BK63" s="11"/>
      <c r="BL63" s="11"/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J64" s="11">
        <f ca="1"/>
      </c>
      <c r="BK64" s="11"/>
      <c r="BL64" s="11"/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J65" s="11">
        <f ca="1"/>
      </c>
      <c r="BK65" s="11"/>
      <c r="BL65" s="11"/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J66" s="11">
        <f ca="1"/>
      </c>
      <c r="BK66" s="11"/>
      <c r="BL66" s="11"/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J67" s="11">
        <f ca="1"/>
      </c>
      <c r="BK67" s="11"/>
      <c r="BL67" s="11"/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J68" s="11">
        <f ca="1"/>
      </c>
      <c r="BK68" s="11"/>
      <c r="BL68" s="11"/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J69" s="11">
        <f ca="1"/>
      </c>
      <c r="BK69" s="11"/>
      <c r="BL69" s="11"/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J70" s="11">
        <f ca="1"/>
      </c>
      <c r="BK70" s="11"/>
      <c r="BL70" s="11"/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J71" s="11">
        <f ca="1"/>
      </c>
      <c r="BK71" s="11"/>
      <c r="BL71" s="11"/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J72" s="11">
        <f ca="1"/>
      </c>
      <c r="BK72" s="11"/>
      <c r="BL72" s="11"/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J73" s="11">
        <f ca="1"/>
      </c>
      <c r="BK73" s="11"/>
      <c r="BL73" s="11"/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J74" s="11">
        <f ca="1"/>
      </c>
      <c r="BK74" s="11"/>
      <c r="BL74" s="11"/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J75" s="11">
        <f ca="1"/>
      </c>
      <c r="BK75" s="11"/>
      <c r="BL75" s="11"/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J76" s="11">
        <f ca="1"/>
      </c>
      <c r="BK76" s="11"/>
      <c r="BL76" s="11"/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J77" s="11">
        <f ca="1"/>
      </c>
      <c r="BK77" s="11"/>
      <c r="BL77" s="11"/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J78" s="11">
        <f ca="1"/>
      </c>
      <c r="BK78" s="11"/>
      <c r="BL78" s="11"/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J79" s="11">
        <f ca="1"/>
      </c>
      <c r="BK79" s="11"/>
      <c r="BL79" s="11"/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J80" s="11">
        <f ca="1"/>
      </c>
      <c r="BK80" s="11"/>
      <c r="BL80" s="11"/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58:315" x14ac:dyDescent="0.55000000000000004">
      <c r="BJ81" s="11">
        <f ca="1"/>
      </c>
      <c r="BK81" s="11"/>
      <c r="BL81" s="11"/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58:315" x14ac:dyDescent="0.55000000000000004">
      <c r="BJ82" s="11">
        <f ca="1"/>
      </c>
      <c r="BK82" s="11"/>
      <c r="BL82" s="11"/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58:315" x14ac:dyDescent="0.55000000000000004">
      <c r="BJ83" s="11">
        <f ca="1"/>
      </c>
      <c r="BK83" s="11"/>
      <c r="BL83" s="11"/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58:315" x14ac:dyDescent="0.55000000000000004">
      <c r="BJ84" s="11">
        <f ca="1"/>
      </c>
      <c r="BK84" s="11"/>
      <c r="BL84" s="11"/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58:315" x14ac:dyDescent="0.55000000000000004">
      <c r="BJ85" s="11">
        <f ca="1"/>
      </c>
      <c r="BK85" s="11"/>
      <c r="BL85" s="11"/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58:315" x14ac:dyDescent="0.55000000000000004">
      <c r="BJ86" s="11">
        <f ca="1"/>
      </c>
      <c r="BK86" s="11"/>
      <c r="BL86" s="11"/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58:315" x14ac:dyDescent="0.55000000000000004">
      <c r="BJ87" s="11">
        <f ca="1"/>
      </c>
      <c r="BK87" s="11"/>
      <c r="BL87" s="11"/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58:315" x14ac:dyDescent="0.55000000000000004">
      <c r="BJ88" s="11">
        <f ca="1"/>
      </c>
      <c r="BK88" s="11"/>
      <c r="BL88" s="11"/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58:315" x14ac:dyDescent="0.55000000000000004">
      <c r="BJ89" s="11">
        <f ca="1"/>
      </c>
      <c r="BK89" s="11"/>
      <c r="BL89" s="11"/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58:315" x14ac:dyDescent="0.55000000000000004">
      <c r="BJ90" s="11">
        <f ca="1"/>
      </c>
      <c r="BK90" s="11"/>
      <c r="BL90" s="11"/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58:315" x14ac:dyDescent="0.55000000000000004">
      <c r="BJ91" s="11">
        <f ca="1"/>
      </c>
      <c r="BK91" s="11"/>
      <c r="BL91" s="11"/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58:315" x14ac:dyDescent="0.55000000000000004">
      <c r="BJ92" s="11">
        <f ca="1"/>
      </c>
      <c r="BK92" s="11"/>
      <c r="BL92" s="11"/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58:315" x14ac:dyDescent="0.55000000000000004">
      <c r="BJ93" s="11">
        <f ca="1"/>
      </c>
      <c r="BK93" s="11"/>
      <c r="BL93" s="11"/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58:315" x14ac:dyDescent="0.55000000000000004">
      <c r="BJ94" s="11">
        <f ca="1"/>
      </c>
      <c r="BK94" s="11"/>
      <c r="BL94" s="11"/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58:315" x14ac:dyDescent="0.55000000000000004">
      <c r="BJ95" s="11">
        <f ca="1"/>
      </c>
      <c r="BK95" s="11"/>
      <c r="BL95" s="11"/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58:315" x14ac:dyDescent="0.55000000000000004">
      <c r="BJ96" s="11">
        <f ca="1"/>
      </c>
      <c r="BK96" s="11"/>
      <c r="BL96" s="11"/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58:315" x14ac:dyDescent="0.55000000000000004">
      <c r="BJ97" s="11">
        <f ca="1"/>
      </c>
      <c r="BK97" s="11"/>
      <c r="BL97" s="11"/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58:315" x14ac:dyDescent="0.55000000000000004">
      <c r="BJ98" s="11">
        <f ca="1"/>
      </c>
      <c r="BK98" s="11"/>
      <c r="BL98" s="11"/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58:315" x14ac:dyDescent="0.55000000000000004">
      <c r="BJ99" s="11">
        <f ca="1"/>
      </c>
      <c r="BK99" s="11"/>
      <c r="BL99" s="11"/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58:315" x14ac:dyDescent="0.55000000000000004">
      <c r="BJ100" s="11">
        <f ca="1"/>
      </c>
      <c r="BK100" s="11"/>
      <c r="BL100" s="11"/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J101" s="11">
        <f ca="1"/>
      </c>
      <c r="BK101" s="11"/>
      <c r="BL101" s="11"/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J102" s="11">
        <f ca="1"/>
      </c>
      <c r="BK102" s="11"/>
      <c r="BL102" s="11"/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J103" s="11">
        <f ca="1"/>
      </c>
      <c r="BK103" s="11"/>
      <c r="BL103" s="11"/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J104" s="11">
        <f ca="1"/>
      </c>
      <c r="BK104" s="11"/>
      <c r="BL104" s="11"/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J105" s="11">
        <f ca="1"/>
      </c>
      <c r="BK105" s="11"/>
      <c r="BL105" s="11"/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J106" s="11">
        <f ca="1"/>
      </c>
      <c r="BK106" s="11"/>
      <c r="BL106" s="11"/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J107" s="11">
        <f ca="1"/>
      </c>
      <c r="BK107" s="11"/>
      <c r="BL107" s="11"/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J108" s="11">
        <f ca="1"/>
      </c>
      <c r="BK108" s="11"/>
      <c r="BL108" s="11"/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J109" s="11">
        <f ca="1"/>
      </c>
      <c r="BK109" s="11"/>
      <c r="BL109" s="11"/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J110" s="11">
        <f ca="1"/>
      </c>
      <c r="BK110" s="11"/>
      <c r="BL110" s="11"/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J111" s="11">
        <f ca="1"/>
      </c>
      <c r="BK111" s="11"/>
      <c r="BL111" s="11"/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J112" s="11">
        <f ca="1"/>
      </c>
      <c r="BK112" s="11"/>
      <c r="BL112" s="11"/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J113" s="11">
        <f ca="1"/>
      </c>
      <c r="BK113" s="11"/>
      <c r="BL113" s="11"/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J114" s="11">
        <f ca="1"/>
      </c>
      <c r="BK114" s="11"/>
      <c r="BL114" s="11"/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J115" s="11">
        <f ca="1"/>
      </c>
      <c r="BK115" s="11"/>
      <c r="BL115" s="11"/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J116" s="11">
        <f ca="1"/>
      </c>
      <c r="BK116" s="11"/>
      <c r="BL116" s="11"/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J117" s="11">
        <f ca="1"/>
      </c>
      <c r="BK117" s="11"/>
      <c r="BL117" s="11"/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J118" s="11">
        <f ca="1"/>
      </c>
      <c r="BK118" s="11"/>
      <c r="BL118" s="11"/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J119" s="11">
        <f ca="1"/>
      </c>
      <c r="BK119" s="11"/>
      <c r="BL119" s="11"/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J120" s="11">
        <f ca="1"/>
      </c>
      <c r="BK120" s="11"/>
      <c r="BL120" s="11"/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J121" s="11">
        <f ca="1"/>
      </c>
      <c r="BK121" s="11"/>
      <c r="BL121" s="11"/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J122" s="11">
        <f ca="1"/>
      </c>
      <c r="BK122" s="11"/>
      <c r="BL122" s="11"/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J123" s="11">
        <f ca="1"/>
      </c>
      <c r="BK123" s="11"/>
      <c r="BL123" s="11"/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J124" s="11">
        <f ca="1"/>
      </c>
      <c r="BK124" s="11"/>
      <c r="BL124" s="11"/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J125" s="11">
        <f ca="1"/>
      </c>
      <c r="BK125" s="11"/>
      <c r="BL125" s="11"/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J126" s="11">
        <f ca="1"/>
      </c>
      <c r="BK126" s="11"/>
      <c r="BL126" s="11"/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J127" s="11">
        <f ca="1"/>
      </c>
      <c r="BK127" s="11"/>
      <c r="BL127" s="11"/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J128" s="11">
        <f ca="1"/>
      </c>
      <c r="BK128" s="11"/>
      <c r="BL128" s="11"/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J129" s="11">
        <f ca="1"/>
      </c>
      <c r="BK129" s="11"/>
      <c r="BL129" s="11"/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J130" s="11">
        <f ca="1"/>
      </c>
      <c r="BK130" s="11"/>
      <c r="BL130" s="11"/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J131" s="11">
        <f ca="1"/>
      </c>
      <c r="BK131" s="11"/>
      <c r="BL131" s="11"/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J132" s="11">
        <f ca="1"/>
      </c>
      <c r="BK132" s="11"/>
      <c r="BL132" s="11"/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J133" s="11">
        <f ca="1"/>
      </c>
      <c r="BK133" s="11"/>
      <c r="BL133" s="11"/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J134" s="11">
        <f ca="1"/>
      </c>
      <c r="BK134" s="11"/>
      <c r="BL134" s="11"/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J135" s="11">
        <f ca="1"/>
      </c>
      <c r="BK135" s="11"/>
      <c r="BL135" s="11"/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J136" s="11">
        <f ca="1"/>
      </c>
      <c r="BK136" s="11"/>
      <c r="BL136" s="11"/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J137" s="11">
        <f ca="1"/>
      </c>
      <c r="BK137" s="11"/>
      <c r="BL137" s="11"/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J138" s="11">
        <f ca="1"/>
      </c>
      <c r="BK138" s="11"/>
      <c r="BL138" s="11"/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J139" s="11">
        <f ca="1"/>
      </c>
      <c r="BK139" s="11"/>
      <c r="BL139" s="11"/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J140" s="11">
        <f ca="1"/>
      </c>
      <c r="BK140" s="11"/>
      <c r="BL140" s="11"/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J141" s="11">
        <f ca="1"/>
      </c>
      <c r="BK141" s="11"/>
      <c r="BL141" s="11"/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J142" s="11">
        <f ca="1"/>
      </c>
      <c r="BK142" s="11"/>
      <c r="BL142" s="11"/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J143" s="11">
        <f ca="1"/>
      </c>
      <c r="BK143" s="11"/>
      <c r="BL143" s="11"/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J144" s="11">
        <f ca="1"/>
      </c>
      <c r="BK144" s="11"/>
      <c r="BL144" s="11"/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J145" s="11">
        <f ca="1"/>
      </c>
      <c r="BK145" s="11"/>
      <c r="BL145" s="11"/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J146" s="11">
        <f ca="1"/>
      </c>
      <c r="BK146" s="11"/>
      <c r="BL146" s="11"/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J147" s="11">
        <f ca="1"/>
      </c>
      <c r="BK147" s="11"/>
      <c r="BL147" s="11"/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J148" s="11">
        <f ca="1"/>
      </c>
      <c r="BK148" s="11"/>
      <c r="BL148" s="11"/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J149" s="11">
        <f ca="1"/>
      </c>
      <c r="BK149" s="11"/>
      <c r="BL149" s="11"/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J150" s="11">
        <f ca="1"/>
      </c>
      <c r="BK150" s="11"/>
      <c r="BL150" s="11"/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J151" s="11">
        <f ca="1"/>
      </c>
      <c r="BK151" s="11"/>
      <c r="BL151" s="11"/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J152" s="11">
        <f ca="1"/>
      </c>
      <c r="BK152" s="11"/>
      <c r="BL152" s="11"/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J153" s="11">
        <f ca="1"/>
      </c>
      <c r="BK153" s="11"/>
      <c r="BL153" s="11"/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J154" s="11">
        <f ca="1"/>
      </c>
      <c r="BK154" s="11"/>
      <c r="BL154" s="11"/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J155" s="11">
        <f ca="1"/>
      </c>
      <c r="BK155" s="11"/>
      <c r="BL155" s="11"/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J156" s="11">
        <f ca="1"/>
      </c>
      <c r="BK156" s="11"/>
      <c r="BL156" s="11"/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J157" s="11">
        <f ca="1"/>
      </c>
      <c r="BK157" s="11"/>
      <c r="BL157" s="11"/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J158" s="11">
        <f ca="1"/>
      </c>
      <c r="BK158" s="11"/>
      <c r="BL158" s="11"/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J159" s="11">
        <f ca="1"/>
      </c>
      <c r="BK159" s="11"/>
      <c r="BL159" s="11"/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J160" s="11">
        <f ca="1"/>
      </c>
      <c r="BK160" s="11"/>
      <c r="BL160" s="11"/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J161" s="11">
        <f ca="1"/>
      </c>
      <c r="BK161" s="11"/>
      <c r="BL161" s="11"/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58:315" x14ac:dyDescent="0.55000000000000004">
      <c r="BJ162" s="11">
        <f ca="1"/>
      </c>
      <c r="BK162" s="11"/>
      <c r="BL162" s="11"/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58:315" x14ac:dyDescent="0.55000000000000004">
      <c r="BJ163" s="11">
        <f ca="1"/>
      </c>
      <c r="BK163" s="11"/>
      <c r="BL163" s="11"/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58:315" x14ac:dyDescent="0.55000000000000004">
      <c r="BJ164" s="11">
        <f ca="1"/>
      </c>
      <c r="BK164" s="11"/>
      <c r="BL164" s="11"/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58:315" x14ac:dyDescent="0.55000000000000004">
      <c r="BJ165" s="11">
        <f ca="1"/>
      </c>
      <c r="BK165" s="11"/>
      <c r="BL165" s="11"/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58:315" x14ac:dyDescent="0.55000000000000004">
      <c r="BJ166" s="11">
        <f ca="1"/>
      </c>
      <c r="BK166" s="11"/>
      <c r="BL166" s="11"/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58:315" x14ac:dyDescent="0.55000000000000004">
      <c r="BJ167" s="11">
        <f ca="1"/>
      </c>
      <c r="BK167" s="11"/>
      <c r="BL167" s="11"/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58:315" x14ac:dyDescent="0.55000000000000004">
      <c r="BJ168" s="11">
        <f ca="1"/>
      </c>
      <c r="BK168" s="11"/>
      <c r="BL168" s="11"/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58:315" x14ac:dyDescent="0.55000000000000004">
      <c r="BJ169" s="11">
        <f ca="1"/>
      </c>
      <c r="BK169" s="11"/>
      <c r="BL169" s="11"/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58:315" x14ac:dyDescent="0.55000000000000004">
      <c r="BJ170" s="11">
        <f ca="1"/>
      </c>
      <c r="BK170" s="11"/>
      <c r="BL170" s="11"/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58:315" x14ac:dyDescent="0.55000000000000004">
      <c r="BJ171" s="11">
        <f ca="1"/>
      </c>
      <c r="BK171" s="11"/>
      <c r="BL171" s="11"/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58:315" x14ac:dyDescent="0.55000000000000004">
      <c r="BJ172" s="11">
        <f ca="1"/>
      </c>
      <c r="BK172" s="11"/>
      <c r="BL172" s="11"/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58:315" x14ac:dyDescent="0.55000000000000004">
      <c r="BJ173" s="11">
        <f ca="1"/>
      </c>
      <c r="BK173" s="11"/>
      <c r="BL173" s="11"/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58:315" x14ac:dyDescent="0.55000000000000004">
      <c r="BJ174" s="11">
        <f ca="1"/>
      </c>
      <c r="BK174" s="11"/>
      <c r="BL174" s="11"/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58:315" x14ac:dyDescent="0.55000000000000004">
      <c r="BJ175" s="11">
        <f ca="1"/>
      </c>
      <c r="BK175" s="11"/>
      <c r="BL175" s="11"/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58:315" x14ac:dyDescent="0.55000000000000004">
      <c r="BJ176" s="11">
        <f ca="1"/>
      </c>
      <c r="BK176" s="11"/>
      <c r="BL176" s="11"/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58:315" x14ac:dyDescent="0.55000000000000004">
      <c r="BJ177" s="11">
        <f ca="1"/>
      </c>
      <c r="BK177" s="11"/>
      <c r="BL177" s="11"/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58:315" x14ac:dyDescent="0.55000000000000004">
      <c r="BJ178" s="11">
        <f ca="1"/>
      </c>
      <c r="BK178" s="11"/>
      <c r="BL178" s="11"/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58:315" x14ac:dyDescent="0.55000000000000004">
      <c r="BJ179" s="11">
        <f ca="1"/>
      </c>
      <c r="BK179" s="11"/>
      <c r="BL179" s="11"/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58:315" x14ac:dyDescent="0.55000000000000004">
      <c r="BJ180" s="11">
        <f ca="1"/>
      </c>
      <c r="BK180" s="11"/>
      <c r="BL180" s="11"/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58:315" x14ac:dyDescent="0.55000000000000004">
      <c r="BJ181" s="11">
        <f ca="1"/>
      </c>
      <c r="BK181" s="11"/>
      <c r="BL181" s="11"/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58:315" x14ac:dyDescent="0.55000000000000004">
      <c r="BJ182" s="11">
        <f ca="1"/>
      </c>
      <c r="BK182" s="11"/>
      <c r="BL182" s="11"/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58:315" x14ac:dyDescent="0.55000000000000004">
      <c r="BJ183" s="11">
        <f ca="1"/>
      </c>
      <c r="BK183" s="11"/>
      <c r="BL183" s="11"/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58:315" x14ac:dyDescent="0.55000000000000004">
      <c r="BJ184" s="11">
        <f ca="1"/>
      </c>
      <c r="BK184" s="11"/>
      <c r="BL184" s="11"/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58:315" x14ac:dyDescent="0.55000000000000004">
      <c r="BJ185" s="11">
        <f ca="1"/>
      </c>
      <c r="BK185" s="11"/>
      <c r="BL185" s="11"/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58:315" x14ac:dyDescent="0.55000000000000004">
      <c r="BJ186" s="11">
        <f ca="1"/>
      </c>
      <c r="BK186" s="11"/>
      <c r="BL186" s="11"/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58:315" x14ac:dyDescent="0.55000000000000004">
      <c r="BJ187" s="11">
        <f ca="1"/>
      </c>
      <c r="BK187" s="11"/>
      <c r="BL187" s="11"/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58:315" x14ac:dyDescent="0.55000000000000004">
      <c r="BJ188" s="11">
        <f ca="1"/>
      </c>
      <c r="BK188" s="11"/>
      <c r="BL188" s="11"/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58:315" x14ac:dyDescent="0.55000000000000004">
      <c r="BJ189" s="11">
        <f ca="1"/>
      </c>
      <c r="BK189" s="11"/>
      <c r="BL189" s="11"/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58:315" x14ac:dyDescent="0.55000000000000004">
      <c r="BJ190" s="11">
        <f ca="1"/>
      </c>
      <c r="BK190" s="11"/>
      <c r="BL190" s="11"/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58:315" x14ac:dyDescent="0.55000000000000004">
      <c r="BJ191" s="11">
        <f ca="1"/>
      </c>
      <c r="BK191" s="11"/>
      <c r="BL191" s="11"/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58:315" x14ac:dyDescent="0.55000000000000004">
      <c r="BJ192" s="11">
        <f ca="1"/>
      </c>
      <c r="BK192" s="11"/>
      <c r="BL192" s="11"/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58:315" x14ac:dyDescent="0.55000000000000004">
      <c r="BJ193" s="11">
        <f ca="1"/>
      </c>
      <c r="BK193" s="11"/>
      <c r="BL193" s="11"/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58:315" x14ac:dyDescent="0.55000000000000004">
      <c r="BJ194" s="11">
        <f ca="1"/>
      </c>
      <c r="BK194" s="11"/>
      <c r="BL194" s="11"/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58:315" x14ac:dyDescent="0.55000000000000004">
      <c r="BJ195" s="11">
        <f ca="1"/>
      </c>
      <c r="BK195" s="11"/>
      <c r="BL195" s="11"/>
      <c r="BM195" s="11">
        <f ca="1"/>
      </c>
      <c r="BN195" s="11">
        <f ca="1"/>
      </c>
    </row>
    <row r="196" spans="58:315" x14ac:dyDescent="0.55000000000000004">
      <c r="BJ196" s="11">
        <f ca="1"/>
      </c>
      <c r="BK196" s="11"/>
      <c r="BL196" s="11"/>
      <c r="BM196" s="11">
        <f ca="1"/>
      </c>
      <c r="BN196" s="11">
        <f ca="1"/>
      </c>
    </row>
    <row r="197" spans="58:315" x14ac:dyDescent="0.55000000000000004">
      <c r="BJ197" s="11"/>
      <c r="BK197" s="11"/>
      <c r="BL197" s="11"/>
      <c r="BM197" s="11"/>
      <c r="BN197" s="11"/>
    </row>
    <row r="198" spans="58:315" x14ac:dyDescent="0.55000000000000004">
      <c r="BJ198" s="11"/>
      <c r="BK198" s="11"/>
      <c r="BL198" s="11"/>
      <c r="BM198" s="11"/>
      <c r="BN198" s="11"/>
    </row>
    <row r="199" spans="58:315" x14ac:dyDescent="0.55000000000000004">
      <c r="BJ199" s="11"/>
      <c r="BK199" s="11"/>
      <c r="BL199" s="11"/>
      <c r="BM199" s="11"/>
      <c r="BN199" s="11"/>
    </row>
    <row r="200" spans="58:315" x14ac:dyDescent="0.55000000000000004">
      <c r="BJ200" s="11"/>
      <c r="BK200" s="11"/>
      <c r="BL200" s="11"/>
      <c r="BM200" s="11"/>
      <c r="BN200" s="11"/>
    </row>
    <row r="201" spans="58:315" x14ac:dyDescent="0.55000000000000004">
      <c r="BJ201" s="11"/>
      <c r="BK201" s="11"/>
      <c r="BL201" s="11"/>
      <c r="BM201" s="11"/>
      <c r="BN201" s="11"/>
    </row>
    <row r="202" spans="58:315" x14ac:dyDescent="0.55000000000000004">
      <c r="BJ202" s="11"/>
      <c r="BK202" s="11"/>
      <c r="BL202" s="11"/>
      <c r="BM202" s="11"/>
      <c r="BN202" s="11"/>
    </row>
    <row r="203" spans="58:315" x14ac:dyDescent="0.55000000000000004">
      <c r="BJ203" s="11"/>
      <c r="BK203" s="11"/>
      <c r="BL203" s="11"/>
      <c r="BM203" s="11"/>
      <c r="BN203" s="11"/>
    </row>
    <row r="204" spans="58:315" x14ac:dyDescent="0.55000000000000004">
      <c r="BJ204" s="11"/>
      <c r="BK204" s="11"/>
      <c r="BL204" s="11"/>
      <c r="BM204" s="11"/>
      <c r="BN204" s="11"/>
    </row>
    <row r="205" spans="58:315" x14ac:dyDescent="0.55000000000000004">
      <c r="BJ205" s="11"/>
      <c r="BK205" s="11"/>
      <c r="BL205" s="11"/>
      <c r="BM205" s="11"/>
      <c r="BN205" s="11"/>
    </row>
    <row r="206" spans="58:315" x14ac:dyDescent="0.55000000000000004">
      <c r="BJ206" s="11"/>
      <c r="BK206" s="11"/>
      <c r="BL206" s="11"/>
      <c r="BM206" s="11"/>
      <c r="BN206" s="11"/>
    </row>
    <row r="207" spans="58:315" x14ac:dyDescent="0.55000000000000004">
      <c r="BJ207" s="11"/>
      <c r="BK207" s="11"/>
      <c r="BL207" s="11"/>
      <c r="BM207" s="11"/>
      <c r="BN207" s="11"/>
    </row>
    <row r="208" spans="58:315" x14ac:dyDescent="0.55000000000000004">
      <c r="BJ208" s="11"/>
      <c r="BK208" s="11"/>
      <c r="BL208" s="11"/>
      <c r="BM208" s="11"/>
      <c r="BN208" s="11"/>
    </row>
    <row r="209" spans="58:66" x14ac:dyDescent="0.55000000000000004">
      <c r="BJ209" s="11"/>
      <c r="BK209" s="11"/>
      <c r="BL209" s="11"/>
      <c r="BM209" s="11"/>
      <c r="BN209" s="11"/>
    </row>
    <row r="210" spans="58:66" x14ac:dyDescent="0.55000000000000004">
      <c r="BJ210" s="11"/>
      <c r="BK210" s="11"/>
      <c r="BL210" s="11"/>
      <c r="BM210" s="11"/>
      <c r="BN210" s="11"/>
    </row>
    <row r="211" spans="58:66" x14ac:dyDescent="0.55000000000000004">
      <c r="BJ211" s="11"/>
      <c r="BK211" s="11"/>
      <c r="BL211" s="11"/>
      <c r="BM211" s="11"/>
      <c r="BN211" s="11"/>
    </row>
    <row r="212" spans="58:66" x14ac:dyDescent="0.55000000000000004">
      <c r="BJ212" s="11"/>
      <c r="BK212" s="11"/>
      <c r="BL212" s="11"/>
      <c r="BM212" s="11"/>
      <c r="BN212" s="11"/>
    </row>
    <row r="213" spans="58:66" x14ac:dyDescent="0.55000000000000004">
      <c r="BJ213" s="11"/>
      <c r="BK213" s="11"/>
      <c r="BL213" s="11"/>
      <c r="BM213" s="11"/>
      <c r="BN213" s="11"/>
    </row>
    <row r="214" spans="58:66" x14ac:dyDescent="0.55000000000000004">
      <c r="BJ214" s="11"/>
      <c r="BK214" s="11"/>
      <c r="BL214" s="11"/>
      <c r="BM214" s="11"/>
      <c r="BN214" s="11"/>
    </row>
    <row r="215" spans="58:66" x14ac:dyDescent="0.55000000000000004">
      <c r="BJ215" s="11"/>
      <c r="BK215" s="11"/>
      <c r="BL215" s="11"/>
      <c r="BM215" s="11"/>
      <c r="BN215" s="11"/>
    </row>
    <row r="216" spans="58:66" x14ac:dyDescent="0.55000000000000004">
      <c r="BJ216" s="11"/>
      <c r="BK216" s="11"/>
      <c r="BL216" s="11"/>
      <c r="BM216" s="11"/>
      <c r="BN216" s="11"/>
    </row>
    <row r="217" spans="58:66" x14ac:dyDescent="0.55000000000000004">
      <c r="BJ217" s="11"/>
      <c r="BK217" s="11"/>
      <c r="BL217" s="11"/>
      <c r="BM217" s="11"/>
      <c r="BN217" s="11"/>
    </row>
    <row r="218" spans="58:66" x14ac:dyDescent="0.55000000000000004">
      <c r="BJ218" s="11"/>
      <c r="BK218" s="11"/>
      <c r="BL218" s="11"/>
      <c r="BM218" s="11"/>
      <c r="BN218" s="11"/>
    </row>
    <row r="219" spans="58:66" x14ac:dyDescent="0.55000000000000004">
      <c r="BJ219" s="11"/>
      <c r="BK219" s="11"/>
      <c r="BL219" s="11"/>
      <c r="BM219" s="11"/>
      <c r="BN219" s="11"/>
    </row>
    <row r="220" spans="58:66" x14ac:dyDescent="0.55000000000000004">
      <c r="BJ220" s="11"/>
      <c r="BK220" s="11"/>
      <c r="BL220" s="11"/>
      <c r="BM220" s="11"/>
      <c r="BN220" s="11"/>
    </row>
    <row r="221" spans="58:66" x14ac:dyDescent="0.55000000000000004">
      <c r="BJ221" s="11"/>
      <c r="BK221" s="11"/>
      <c r="BL221" s="11"/>
      <c r="BM221" s="11"/>
      <c r="BN221" s="11"/>
    </row>
    <row r="222" spans="58:66" x14ac:dyDescent="0.55000000000000004">
      <c r="BJ222" s="11"/>
      <c r="BK222" s="11"/>
      <c r="BL222" s="11"/>
      <c r="BM222" s="11"/>
      <c r="BN222" s="11"/>
    </row>
    <row r="223" spans="58:66" x14ac:dyDescent="0.55000000000000004">
      <c r="BJ223" s="11"/>
      <c r="BK223" s="11"/>
      <c r="BL223" s="11"/>
      <c r="BM223" s="11"/>
      <c r="BN223" s="11"/>
    </row>
    <row r="224" spans="58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prompt="なし=分散共分散(bp)のPCA / あり=z-score(相関行列)のPCA" sqref="B7" xr:uid="{C11F1F3B-7BFF-41EA-B0CF-D344E3570384}">
      <formula1>"あり,なし"</formula1>
    </dataValidation>
    <dataValidation type="list" allowBlank="1" showInputMessage="1" showErrorMessage="1" prompt="レベル=水準のPCA / 日次変化=前営業日からの変化のPCA" sqref="B6" xr:uid="{B9D60DA8-60B7-4CE1-AFE0-A74D35E6CB11}">
      <formula1>"レベル,日次変化"</formula1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空欄=今日(RealTimeのライブの値)。日付=DBのその日の引け値。推定基準日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119</v>
      </c>
      <c r="B1" s="2" t="s">
        <v>114</v>
      </c>
      <c r="C1" t="s">
        <v>120</v>
      </c>
      <c r="D1" s="19" cm="1">
        <f t="array" aca="1" ref="D1" ca="1">LiveInfo("vol",_xlfn.ANCHORARRAY($BB$3))</f>
      </c>
      <c r="E1" t="s">
        <v>121</v>
      </c>
    </row>
    <row r="2" spans="1:63" ht="20" x14ac:dyDescent="0.55000000000000004">
      <c r="A2" s="20" t="s">
        <v>122</v>
      </c>
      <c r="AB2" s="4" t="s">
        <v>135</v>
      </c>
      <c r="AL2" s="23"/>
      <c r="AV2" s="24" t="s">
        <v>151</v>
      </c>
      <c r="BB2" s="4" t="s">
        <v>152</v>
      </c>
      <c r="BF2" s="23" t="s">
        <v>153</v>
      </c>
      <c r="BG2" s="24"/>
      <c r="BH2" s="24"/>
      <c r="BI2" s="24"/>
      <c r="BJ2" s="24"/>
      <c r="BK2" s="24"/>
    </row>
    <row r="3" spans="1:63" x14ac:dyDescent="0.55000000000000004">
      <c r="A3" s="4" t="s">
        <v>123</v>
      </c>
      <c r="F3" s="4" t="s">
        <v>154</v>
      </c>
      <c r="AB3" cm="1">
        <f t="array" ref="AB3:AH467">VolHistory($B$5:$B$7)</f>
      </c>
      <c r="AL3" s="23" t="s">
        <v>136</v>
      </c>
      <c r="AM3" s="24" t="s">
        <v>137</v>
      </c>
      <c r="AN3" s="24" t="s">
        <v>138</v>
      </c>
      <c r="AO3" s="24" t="s">
        <v>139</v>
      </c>
      <c r="AP3" s="24" t="s">
        <v>140</v>
      </c>
      <c r="AQ3" s="24" t="s">
        <v>141</v>
      </c>
      <c r="AR3" s="24" t="s">
        <v>142</v>
      </c>
      <c r="AS3" s="24" t="s">
        <v>143</v>
      </c>
      <c r="AT3" s="24" t="s">
        <v>144</v>
      </c>
      <c r="AU3" s="24" t="s">
        <v>145</v>
      </c>
      <c r="AV3" s="24" t="s">
        <v>146</v>
      </c>
      <c r="AW3" s="24" t="s">
        <v>147</v>
      </c>
      <c r="AX3" s="24" t="s">
        <v>148</v>
      </c>
      <c r="AY3" s="24" t="s">
        <v>149</v>
      </c>
      <c r="AZ3" s="24" t="s">
        <v>150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136</v>
      </c>
      <c r="BG3" s="24" t="s">
        <v>146</v>
      </c>
      <c r="BH3" s="24" t="s">
        <v>147</v>
      </c>
      <c r="BI3" s="24" t="s">
        <v>148</v>
      </c>
      <c r="BJ3" s="24" t="s">
        <v>149</v>
      </c>
      <c r="BK3" s="24" t="s">
        <v>150</v>
      </c>
    </row>
    <row r="4" spans="1:63" x14ac:dyDescent="0.55000000000000004">
      <c r="A4" s="4" t="s">
        <v>124</v>
      </c>
      <c r="B4" s="4" t="s">
        <v>125</v>
      </c>
      <c r="C4" s="4" t="s">
        <v>126</v>
      </c>
      <c r="D4" s="4" t="s">
        <v>127</v>
      </c>
      <c r="F4" s="25"/>
      <c r="G4" s="26" t="s">
        <v>155</v>
      </c>
      <c r="H4" s="26" t="s">
        <v>156</v>
      </c>
      <c r="I4" s="26" t="s">
        <v>157</v>
      </c>
      <c r="J4" s="26" t="s">
        <v>158</v>
      </c>
      <c r="AL4" s="7" cm="1">
        <f t="array" ref="AL4:AL467">_xlfn.DROP(_xlfn.TAKE(VHV_Data,,1),1)</f>
      </c>
      <c r="AM4" s="14" cm="1">
        <f t="array" ref="AM4:AM467">IF($B$5="",NA(),_xlfn.LET(_xlpm.h,_xlfn.TAKE(VHV_Data,1),_xlpm.v,_xlfn.DROP(_xlfn.CHOOSECOLS(VHV_Data,_xlfn.XMATCH($B$5&amp;" IV",_xlpm.h)),1),IF(_xlpm.v="",NA(),_xlpm.v)))</f>
      </c>
      <c r="AN4" s="14" cm="1">
        <f t="array" ref="AN4:AN467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ref="AO4:AO467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ref="AP4:AP467">IF($B$6="",NA(),_xlfn.LET(_xlpm.h,_xlfn.TAKE(VHV_Data,1),_xlpm.v,_xlfn.DROP(_xlfn.CHOOSECOLS(VHV_Data,_xlfn.XMATCH($B$6&amp;" IV",_xlpm.h)),1),IF(_xlpm.v="",NA(),_xlpm.v)))</f>
      </c>
      <c r="AQ4" s="14" cm="1">
        <f t="array" ref="AQ4:AQ467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ref="AR4:AR467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ref="AS4">IF($B$7="",NA(),_xlfn.LET(_xlpm.h,_xlfn.TAKE(VHV_Data,1),_xlpm.v,_xlfn.DROP(_xlfn.CHOOSECOLS(VHV_Data,_xlfn.XMATCH($B$7&amp;" IV",_xlpm.h)),1),IF(_xlpm.v="",NA(),_xlpm.v)))</f>
      </c>
      <c r="AT4" s="14" cm="1">
        <f t="array" ref="AT4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ref="AU4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ref="AV4:AV467">IF($B$5="",0,$C$5*_xlfn.ANCHORARRAY(AM4))+IF($B$6="",0,$C$6*_xlfn.ANCHORARRAY(AP4))+IF($B$7="",0,$C$7*_xlfn.ANCHORARRAY(AS4))</f>
      </c>
      <c r="AW4" s="14" cm="1">
        <f t="array" ref="AW4:AW467">IF($B$5="",0,$C$5*_xlfn.ANCHORARRAY(AN4))+IF($B$6="",0,$C$6*_xlfn.ANCHORARRAY(AQ4))+IF($B$7="",0,$C$7*_xlfn.ANCHORARRAY(AT4))</f>
      </c>
      <c r="AX4" s="14" cm="1">
        <f t="array" ref="AX4:AX467">IF($B$5="",0,$C$5*_xlfn.ANCHORARRAY(AO4))+IF($B$6="",0,$C$6*_xlfn.ANCHORARRAY(AR4))+IF($B$7="",0,$C$7*_xlfn.ANCHORARRAY(AU4))</f>
      </c>
      <c r="AY4" s="14" cm="1">
        <f t="array" ref="AY4:AY467">_xlfn.ANCHORARRAY(AV4)-_xlfn.ANCHORARRAY(AW4)</f>
      </c>
      <c r="AZ4" s="14" cm="1">
        <f t="array" ref="AZ4:AZ467">_xlfn.ANCHORARRAY(AV4)-_xlfn.ANCHORARRAY(AX4)</f>
      </c>
      <c r="BB4">
        <f ca="1"/>
      </c>
      <c r="BC4">
        <f ca="1"/>
      </c>
      <c r="BD4">
        <f ca="1"/>
      </c>
      <c r="BF4" s="7" cm="1">
        <f t="array" ref="BF4:BF467">_xlfn._xlws.FILTER(_xlfn.ANCHORARRAY(AL4),_xlfn.ANCHORARRAY(AL4)&gt;=IF(VHV_From="",0,VHV_From))</f>
      </c>
      <c r="BG4" s="14" cm="1">
        <f t="array" ref="BG4:BG467">_xlfn._xlws.FILTER(_xlfn.ANCHORARRAY(AV4),_xlfn.ANCHORARRAY(AL4)&gt;=IF(VHV_From="",0,VHV_From))</f>
      </c>
      <c r="BH4" s="14" cm="1">
        <f t="array" ref="BH4:BH467">_xlfn._xlws.FILTER(_xlfn.ANCHORARRAY(AW4),_xlfn.ANCHORARRAY(AL4)&gt;=IF(VHV_From="",0,VHV_From))</f>
      </c>
      <c r="BI4" s="14" cm="1">
        <f t="array" ref="BI4:BI467">_xlfn._xlws.FILTER(_xlfn.ANCHORARRAY(AX4),_xlfn.ANCHORARRAY(AL4)&gt;=IF(VHV_From="",0,VHV_From))</f>
      </c>
      <c r="BJ4" s="14" cm="1">
        <f t="array" ref="BJ4:BJ467">_xlfn._xlws.FILTER(_xlfn.ANCHORARRAY(AY4),_xlfn.ANCHORARRAY(AL4)&gt;=IF(VHV_From="",0,VHV_From))</f>
      </c>
      <c r="BK4" s="14" cm="1">
        <f t="array" ref="BK4:BK467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168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125</v>
      </c>
      <c r="G5" s="27">
        <f>IF($B$5="","",$B$5)</f>
      </c>
      <c r="H5" s="27">
        <f>IF($B$6="","",$B$6)</f>
      </c>
      <c r="I5" s="27">
        <f>IF($B$7="","",$B$7)</f>
      </c>
      <c r="J5" s="27" t="s">
        <v>167</v>
      </c>
      <c r="AL5" s="7"/>
      <c r="AM5" s="14"/>
      <c r="AN5" s="14"/>
      <c r="AO5" s="14"/>
      <c r="AP5" s="14"/>
      <c r="AQ5" s="14"/>
      <c r="AR5" s="14"/>
      <c r="AV5" s="14"/>
      <c r="AW5" s="14"/>
      <c r="AX5" s="14"/>
      <c r="AY5" s="14"/>
      <c r="AZ5" s="14"/>
      <c r="BB5">
        <f ca="1"/>
      </c>
      <c r="BC5">
        <f ca="1"/>
      </c>
      <c r="BD5">
        <f ca="1"/>
      </c>
      <c r="BF5" s="7"/>
      <c r="BG5" s="14"/>
      <c r="BH5" s="14"/>
      <c r="BI5" s="14"/>
      <c r="BJ5" s="14"/>
      <c r="BK5" s="14"/>
    </row>
    <row r="6" spans="1:63" x14ac:dyDescent="0.55000000000000004">
      <c r="A6" s="21">
        <v>2</v>
      </c>
      <c r="B6" s="2" t="s">
        <v>169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159</v>
      </c>
      <c r="G6" s="28">
        <f>IF($B$5="","",MAX(VHV_Date))</f>
      </c>
      <c r="H6" s="28">
        <f>IF($B$6="","",MAX(VHV_Date))</f>
      </c>
      <c r="I6" s="28">
        <f>IF($B$7="","",MAX(VHV_Date))</f>
      </c>
      <c r="J6" s="28">
        <f>MAX(VHV_Date)</f>
      </c>
      <c r="AL6" s="7"/>
      <c r="AM6" s="14"/>
      <c r="AN6" s="14"/>
      <c r="AO6" s="14"/>
      <c r="AP6" s="14"/>
      <c r="AQ6" s="14"/>
      <c r="AR6" s="14"/>
      <c r="AV6" s="14"/>
      <c r="AW6" s="14"/>
      <c r="AX6" s="14"/>
      <c r="AY6" s="14"/>
      <c r="AZ6" s="14"/>
      <c r="BB6">
        <f ca="1"/>
      </c>
      <c r="BC6">
        <f ca="1"/>
      </c>
      <c r="BD6">
        <f ca="1"/>
      </c>
      <c r="BF6" s="7"/>
      <c r="BG6" s="14"/>
      <c r="BH6" s="14"/>
      <c r="BI6" s="14"/>
      <c r="BJ6" s="14"/>
      <c r="BK6" s="14"/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160</v>
      </c>
      <c r="G7" s="29" cm="1">
        <f t="array" ref="G7">IF($B$5="","",_xlfn.TAKE(_xlfn.ANCHORARRAY(AM4),-1))</f>
      </c>
      <c r="H7" s="29" cm="1">
        <f t="array" ref="H7">IF($B$6="","",_xlfn.TAKE(_xlfn.ANCHORARRAY(AP4),-1))</f>
      </c>
      <c r="I7" s="29" cm="1">
        <f t="array" ref="I7">IF($B$7="","",_xlfn.TAKE(_xlfn.ANCHORARRAY(AS4),-1))</f>
      </c>
      <c r="J7" s="29" cm="1">
        <f t="array" ref="J7">_xlfn.TAKE(_xlfn.ANCHORARRAY(AV4),-1)</f>
      </c>
      <c r="AL7" s="7"/>
      <c r="AM7" s="14"/>
      <c r="AN7" s="14"/>
      <c r="AO7" s="14"/>
      <c r="AP7" s="14"/>
      <c r="AQ7" s="14"/>
      <c r="AR7" s="14"/>
      <c r="AV7" s="14"/>
      <c r="AW7" s="14"/>
      <c r="AX7" s="14"/>
      <c r="AY7" s="14"/>
      <c r="AZ7" s="14"/>
      <c r="BB7">
        <f ca="1"/>
      </c>
      <c r="BC7">
        <f ca="1"/>
      </c>
      <c r="BD7">
        <f ca="1"/>
      </c>
      <c r="BF7" s="7"/>
      <c r="BG7" s="14"/>
      <c r="BH7" s="14"/>
      <c r="BI7" s="14"/>
      <c r="BJ7" s="14"/>
      <c r="BK7" s="14"/>
    </row>
    <row r="8" spans="1:63" x14ac:dyDescent="0.55000000000000004">
      <c r="F8" s="25" t="s">
        <v>161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ref="I8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L8" s="7"/>
      <c r="AM8" s="14"/>
      <c r="AN8" s="14"/>
      <c r="AO8" s="14"/>
      <c r="AP8" s="14"/>
      <c r="AQ8" s="14"/>
      <c r="AR8" s="14"/>
      <c r="AV8" s="14"/>
      <c r="AW8" s="14"/>
      <c r="AX8" s="14"/>
      <c r="AY8" s="14"/>
      <c r="AZ8" s="14"/>
      <c r="BB8">
        <f ca="1"/>
      </c>
      <c r="BC8">
        <f ca="1"/>
      </c>
      <c r="BD8">
        <f ca="1"/>
      </c>
      <c r="BF8" s="7"/>
      <c r="BG8" s="14"/>
      <c r="BH8" s="14"/>
      <c r="BI8" s="14"/>
      <c r="BJ8" s="14"/>
      <c r="BK8" s="14"/>
    </row>
    <row r="9" spans="1:63" x14ac:dyDescent="0.55000000000000004">
      <c r="A9" t="s">
        <v>127</v>
      </c>
      <c r="B9" s="2" t="s">
        <v>128</v>
      </c>
      <c r="F9" s="25" t="s">
        <v>162</v>
      </c>
      <c r="G9" s="29" cm="1">
        <f t="array" ref="G9">IF($B$5="","",_xlfn.TAKE(_xlfn.ANCHORARRAY(AN4),-1))</f>
      </c>
      <c r="H9" s="29" cm="1">
        <f t="array" ref="H9">IF($B$6="","",_xlfn.TAKE(_xlfn.ANCHORARRAY(AQ4),-1))</f>
      </c>
      <c r="I9" s="29" cm="1">
        <f t="array" ref="I9">IF($B$7="","",_xlfn.TAKE(_xlfn.ANCHORARRAY(AT4),-1))</f>
      </c>
      <c r="J9" s="29" cm="1">
        <f t="array" ref="J9">_xlfn.TAKE(_xlfn.ANCHORARRAY(AW4),-1)</f>
      </c>
      <c r="AL9" s="7"/>
      <c r="AM9" s="14"/>
      <c r="AN9" s="14"/>
      <c r="AO9" s="14"/>
      <c r="AP9" s="14"/>
      <c r="AQ9" s="14"/>
      <c r="AR9" s="14"/>
      <c r="AV9" s="14"/>
      <c r="AW9" s="14"/>
      <c r="AX9" s="14"/>
      <c r="AY9" s="14"/>
      <c r="AZ9" s="14"/>
      <c r="BB9">
        <f ca="1"/>
      </c>
      <c r="BC9">
        <f ca="1"/>
      </c>
      <c r="BD9">
        <f ca="1"/>
      </c>
      <c r="BF9" s="7"/>
      <c r="BG9" s="14"/>
      <c r="BH9" s="14"/>
      <c r="BI9" s="14"/>
      <c r="BJ9" s="14"/>
      <c r="BK9" s="14"/>
    </row>
    <row r="10" spans="1:63" x14ac:dyDescent="0.55000000000000004">
      <c r="A10" t="s">
        <v>129</v>
      </c>
      <c r="B10" s="2">
        <v>126</v>
      </c>
      <c r="F10" s="25" t="s">
        <v>163</v>
      </c>
      <c r="G10" s="29" cm="1">
        <f t="array" ref="G10">IF($B$5="","",_xlfn.TAKE(_xlfn.ANCHORARRAY(AO4),-1))</f>
      </c>
      <c r="H10" s="29" cm="1">
        <f t="array" ref="H10">IF($B$6="","",_xlfn.TAKE(_xlfn.ANCHORARRAY(AR4),-1))</f>
      </c>
      <c r="I10" s="29" cm="1">
        <f t="array" ref="I10">IF($B$7="","",_xlfn.TAKE(_xlfn.ANCHORARRAY(AU4),-1))</f>
      </c>
      <c r="J10" s="29" cm="1">
        <f t="array" ref="J10">_xlfn.TAKE(_xlfn.ANCHORARRAY(AX4),-1)</f>
      </c>
      <c r="AL10" s="7"/>
      <c r="AM10" s="14"/>
      <c r="AN10" s="14"/>
      <c r="AO10" s="14"/>
      <c r="AP10" s="14"/>
      <c r="AQ10" s="14"/>
      <c r="AR10" s="14"/>
      <c r="AV10" s="14"/>
      <c r="AW10" s="14"/>
      <c r="AX10" s="14"/>
      <c r="AY10" s="14"/>
      <c r="AZ10" s="14"/>
      <c r="BB10">
        <f ca="1"/>
      </c>
      <c r="BC10">
        <f ca="1"/>
      </c>
      <c r="BD10">
        <f ca="1"/>
      </c>
      <c r="BF10" s="7"/>
      <c r="BG10" s="14"/>
      <c r="BH10" s="14"/>
      <c r="BI10" s="14"/>
      <c r="BJ10" s="14"/>
      <c r="BK10" s="14"/>
    </row>
    <row r="11" spans="1:63" x14ac:dyDescent="0.55000000000000004">
      <c r="A11" t="s">
        <v>130</v>
      </c>
      <c r="B11" s="2">
        <v>20</v>
      </c>
      <c r="F11" s="25" t="s">
        <v>149</v>
      </c>
      <c r="G11" s="29">
        <f>IF($B$5="","",G7-G9)</f>
      </c>
      <c r="H11" s="29">
        <f>IF($B$6="","",H7-H9)</f>
      </c>
      <c r="I11" s="29">
        <f>IF($B$7="","",I7-I9)</f>
      </c>
      <c r="J11" s="29">
        <f>J7-J9</f>
      </c>
      <c r="AL11" s="7"/>
      <c r="AM11" s="14"/>
      <c r="AN11" s="14"/>
      <c r="AO11" s="14"/>
      <c r="AP11" s="14"/>
      <c r="AQ11" s="14"/>
      <c r="AR11" s="14"/>
      <c r="AV11" s="14"/>
      <c r="AW11" s="14"/>
      <c r="AX11" s="14"/>
      <c r="AY11" s="14"/>
      <c r="AZ11" s="14"/>
      <c r="BB11">
        <f ca="1"/>
      </c>
      <c r="BC11">
        <f ca="1"/>
      </c>
      <c r="BD11">
        <f ca="1"/>
      </c>
      <c r="BF11" s="7"/>
      <c r="BG11" s="14"/>
      <c r="BH11" s="14"/>
      <c r="BI11" s="14"/>
      <c r="BJ11" s="14"/>
      <c r="BK11" s="14"/>
    </row>
    <row r="12" spans="1:63" x14ac:dyDescent="0.55000000000000004">
      <c r="A12" t="s">
        <v>131</v>
      </c>
      <c r="B12" s="2">
        <v>252</v>
      </c>
      <c r="F12" s="25" t="s">
        <v>164</v>
      </c>
      <c r="G12" s="29">
        <f ca="1">IF($B$5="","",G8-G9)</f>
      </c>
      <c r="H12" s="29">
        <f ca="1">IF($B$6="","",H8-H9)</f>
      </c>
      <c r="I12" s="29">
        <f>IF($B$7="","",I8-I9)</f>
      </c>
      <c r="J12" s="29">
        <f ca="1">J8-J9</f>
      </c>
      <c r="AL12" s="7"/>
      <c r="AM12" s="14"/>
      <c r="AN12" s="14"/>
      <c r="AO12" s="14"/>
      <c r="AP12" s="14"/>
      <c r="AQ12" s="14"/>
      <c r="AR12" s="14"/>
      <c r="AV12" s="14"/>
      <c r="AW12" s="14"/>
      <c r="AX12" s="14"/>
      <c r="AY12" s="14"/>
      <c r="AZ12" s="14"/>
      <c r="BB12">
        <f ca="1"/>
      </c>
      <c r="BC12">
        <f ca="1"/>
      </c>
      <c r="BD12">
        <f ca="1"/>
      </c>
      <c r="BF12" s="7"/>
      <c r="BG12" s="14"/>
      <c r="BH12" s="14"/>
      <c r="BI12" s="14"/>
      <c r="BJ12" s="14"/>
      <c r="BK12" s="14"/>
    </row>
    <row r="13" spans="1:63" x14ac:dyDescent="0.55000000000000004">
      <c r="A13" t="s">
        <v>132</v>
      </c>
      <c r="B13" s="3"/>
      <c r="F13" s="25" t="s">
        <v>150</v>
      </c>
      <c r="G13" s="29">
        <f>IF($B$5="","",G7-G10)</f>
      </c>
      <c r="H13" s="29">
        <f>IF($B$6="","",H7-H10)</f>
      </c>
      <c r="I13" s="29">
        <f>IF($B$7="","",I7-I10)</f>
      </c>
      <c r="J13" s="29">
        <f>J7-J10</f>
      </c>
      <c r="AL13" s="7"/>
      <c r="AM13" s="14"/>
      <c r="AN13" s="14"/>
      <c r="AO13" s="14"/>
      <c r="AP13" s="14"/>
      <c r="AQ13" s="14"/>
      <c r="AR13" s="14"/>
      <c r="AV13" s="14"/>
      <c r="AW13" s="14"/>
      <c r="AX13" s="14"/>
      <c r="AY13" s="14"/>
      <c r="AZ13" s="14"/>
      <c r="BB13">
        <f ca="1"/>
      </c>
      <c r="BC13">
        <f ca="1"/>
      </c>
      <c r="BD13">
        <f ca="1"/>
      </c>
      <c r="BF13" s="7"/>
      <c r="BG13" s="14"/>
      <c r="BH13" s="14"/>
      <c r="BI13" s="14"/>
      <c r="BJ13" s="14"/>
      <c r="BK13" s="14"/>
    </row>
    <row r="14" spans="1:63" x14ac:dyDescent="0.55000000000000004">
      <c r="F14" s="25" t="s">
        <v>165</v>
      </c>
      <c r="G14" s="30" cm="1">
        <f t="array" ref="G14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ref="H14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ref="I14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ref="J14">_xlfn.LET(_xlpm.s,_xlfn._xlws.FILTER(VHV_ChGap,ISNUMBER(VHV_ChGap)),SUM(--(_xlpm.s&lt;=J11))/ROWS(_xlpm.s))</f>
      </c>
      <c r="AL14" s="7"/>
      <c r="AM14" s="14"/>
      <c r="AN14" s="14"/>
      <c r="AO14" s="14"/>
      <c r="AP14" s="14"/>
      <c r="AQ14" s="14"/>
      <c r="AR14" s="14"/>
      <c r="AV14" s="14"/>
      <c r="AW14" s="14"/>
      <c r="AX14" s="14"/>
      <c r="AY14" s="14"/>
      <c r="AZ14" s="14"/>
      <c r="BB14">
        <f ca="1"/>
      </c>
      <c r="BC14">
        <f ca="1"/>
      </c>
      <c r="BD14">
        <f ca="1"/>
      </c>
      <c r="BF14" s="7"/>
      <c r="BG14" s="14"/>
      <c r="BH14" s="14"/>
      <c r="BI14" s="14"/>
      <c r="BJ14" s="14"/>
      <c r="BK14" s="14"/>
    </row>
    <row r="15" spans="1:63" x14ac:dyDescent="0.55000000000000004">
      <c r="A15" s="22" t="s">
        <v>133</v>
      </c>
      <c r="F15" s="25" t="s">
        <v>166</v>
      </c>
      <c r="G15" s="30" cm="1">
        <f t="array" ref="G15">IF($B$5="","",_xlfn.LET(_xlpm.g,_xlfn.ANCHORARRAY(AM4),_xlpm.s,_xlfn._xlws.FILTER(_xlpm.g,ISNUMBER(_xlpm.g)*(VHV_Date&gt;=IF(VHV_From="",0,VHV_From))),SUM(--(_xlpm.s&lt;=G7))/ROWS(_xlpm.s)))</f>
      </c>
      <c r="H15" s="30" cm="1">
        <f t="array" ref="H15">IF($B$6="","",_xlfn.LET(_xlpm.g,_xlfn.ANCHORARRAY(AP4),_xlpm.s,_xlfn._xlws.FILTER(_xlpm.g,ISNUMBER(_xlpm.g)*(VHV_Date&gt;=IF(VHV_From="",0,VHV_From))),SUM(--(_xlpm.s&lt;=H7))/ROWS(_xlpm.s)))</f>
      </c>
      <c r="I15" s="30" cm="1">
        <f t="array" ref="I15">IF($B$7="","",_xlfn.LET(_xlpm.g,_xlfn.ANCHORARRAY(AS4),_xlpm.s,_xlfn._xlws.FILTER(_xlpm.g,ISNUMBER(_xlpm.g)*(VHV_Date&gt;=IF(VHV_From="",0,VHV_From))),SUM(--(_xlpm.s&lt;=I7))/ROWS(_xlpm.s)))</f>
      </c>
      <c r="J15" s="30" cm="1">
        <f t="array" ref="J15">_xlfn.LET(_xlpm.s,_xlfn._xlws.FILTER(VHV_ChIV,ISNUMBER(VHV_ChIV)),SUM(--(_xlpm.s&lt;=J7))/ROWS(_xlpm.s))</f>
      </c>
      <c r="AL15" s="7"/>
      <c r="AM15" s="14"/>
      <c r="AN15" s="14"/>
      <c r="AO15" s="14"/>
      <c r="AP15" s="14"/>
      <c r="AQ15" s="14"/>
      <c r="AR15" s="14"/>
      <c r="AV15" s="14"/>
      <c r="AW15" s="14"/>
      <c r="AX15" s="14"/>
      <c r="AY15" s="14"/>
      <c r="AZ15" s="14"/>
      <c r="BB15">
        <f ca="1"/>
      </c>
      <c r="BC15">
        <f ca="1"/>
      </c>
      <c r="BD15">
        <f ca="1"/>
      </c>
      <c r="BF15" s="7"/>
      <c r="BG15" s="14"/>
      <c r="BH15" s="14"/>
      <c r="BI15" s="14"/>
      <c r="BJ15" s="14"/>
      <c r="BK15" s="14"/>
    </row>
    <row r="16" spans="1:63" x14ac:dyDescent="0.55000000000000004">
      <c r="A16" s="22" t="s">
        <v>134</v>
      </c>
      <c r="F16" s="25" t="s">
        <v>127</v>
      </c>
      <c r="G16" s="31">
        <f>IF($B$5="","",$D$5)</f>
      </c>
      <c r="H16" s="31">
        <f>IF($B$6="","",$D$6)</f>
      </c>
      <c r="I16" s="31">
        <f>IF($B$7="","",$D$7)</f>
      </c>
      <c r="J16" s="31"/>
      <c r="AL16" s="7"/>
      <c r="AM16" s="14"/>
      <c r="AN16" s="14"/>
      <c r="AO16" s="14"/>
      <c r="AP16" s="14"/>
      <c r="AQ16" s="14"/>
      <c r="AR16" s="14"/>
      <c r="AV16" s="14"/>
      <c r="AW16" s="14"/>
      <c r="AX16" s="14"/>
      <c r="AY16" s="14"/>
      <c r="AZ16" s="14"/>
      <c r="BB16">
        <f ca="1"/>
      </c>
      <c r="BC16">
        <f ca="1"/>
      </c>
      <c r="BD16">
        <f ca="1"/>
      </c>
      <c r="BF16" s="7"/>
      <c r="BG16" s="14"/>
      <c r="BH16" s="14"/>
      <c r="BI16" s="14"/>
      <c r="BJ16" s="14"/>
      <c r="BK16" s="14"/>
    </row>
    <row r="17" spans="28:63" x14ac:dyDescent="0.55000000000000004">
      <c r="AL17" s="7"/>
      <c r="AM17" s="14"/>
      <c r="AN17" s="14"/>
      <c r="AO17" s="14"/>
      <c r="AP17" s="14"/>
      <c r="AQ17" s="14"/>
      <c r="AR17" s="14"/>
      <c r="AV17" s="14"/>
      <c r="AW17" s="14"/>
      <c r="AX17" s="14"/>
      <c r="AY17" s="14"/>
      <c r="AZ17" s="14"/>
      <c r="BB17">
        <f ca="1"/>
      </c>
      <c r="BC17">
        <f ca="1"/>
      </c>
      <c r="BD17">
        <f ca="1"/>
      </c>
      <c r="BF17" s="7"/>
      <c r="BG17" s="14"/>
      <c r="BH17" s="14"/>
      <c r="BI17" s="14"/>
      <c r="BJ17" s="14"/>
      <c r="BK17" s="14"/>
    </row>
    <row r="18" spans="28:63" x14ac:dyDescent="0.55000000000000004">
      <c r="AL18" s="7"/>
      <c r="AM18" s="14"/>
      <c r="AN18" s="14"/>
      <c r="AO18" s="14"/>
      <c r="AP18" s="14"/>
      <c r="AQ18" s="14"/>
      <c r="AR18" s="14"/>
      <c r="AV18" s="14"/>
      <c r="AW18" s="14"/>
      <c r="AX18" s="14"/>
      <c r="AY18" s="14"/>
      <c r="AZ18" s="14"/>
      <c r="BB18">
        <f ca="1"/>
      </c>
      <c r="BC18">
        <f ca="1"/>
      </c>
      <c r="BD18">
        <f ca="1"/>
      </c>
      <c r="BF18" s="7"/>
      <c r="BG18" s="14"/>
      <c r="BH18" s="14"/>
      <c r="BI18" s="14"/>
      <c r="BJ18" s="14"/>
      <c r="BK18" s="14"/>
    </row>
    <row r="19" spans="28:63" x14ac:dyDescent="0.55000000000000004">
      <c r="AL19" s="7"/>
      <c r="AM19" s="14"/>
      <c r="AN19" s="14"/>
      <c r="AO19" s="14"/>
      <c r="AP19" s="14"/>
      <c r="AQ19" s="14"/>
      <c r="AR19" s="14"/>
      <c r="AV19" s="14"/>
      <c r="AW19" s="14"/>
      <c r="AX19" s="14"/>
      <c r="AY19" s="14"/>
      <c r="AZ19" s="14"/>
      <c r="BB19">
        <f ca="1"/>
      </c>
      <c r="BC19">
        <f ca="1"/>
      </c>
      <c r="BD19">
        <f ca="1"/>
      </c>
      <c r="BF19" s="7"/>
      <c r="BG19" s="14"/>
      <c r="BH19" s="14"/>
      <c r="BI19" s="14"/>
      <c r="BJ19" s="14"/>
      <c r="BK19" s="14"/>
    </row>
    <row r="20" spans="28:63" x14ac:dyDescent="0.55000000000000004">
      <c r="AL20" s="7"/>
      <c r="AM20" s="14"/>
      <c r="AN20" s="14"/>
      <c r="AO20" s="14"/>
      <c r="AP20" s="14"/>
      <c r="AQ20" s="14"/>
      <c r="AR20" s="14"/>
      <c r="AV20" s="14"/>
      <c r="AW20" s="14"/>
      <c r="AX20" s="14"/>
      <c r="AY20" s="14"/>
      <c r="AZ20" s="14"/>
      <c r="BB20">
        <f ca="1"/>
      </c>
      <c r="BC20">
        <f ca="1"/>
      </c>
      <c r="BD20">
        <f ca="1"/>
      </c>
      <c r="BF20" s="7"/>
      <c r="BG20" s="14"/>
      <c r="BH20" s="14"/>
      <c r="BI20" s="14"/>
      <c r="BJ20" s="14"/>
      <c r="BK20" s="14"/>
    </row>
    <row r="21" spans="28:63" x14ac:dyDescent="0.55000000000000004">
      <c r="AL21" s="7"/>
      <c r="AM21" s="14"/>
      <c r="AN21" s="14"/>
      <c r="AO21" s="14"/>
      <c r="AP21" s="14"/>
      <c r="AQ21" s="14"/>
      <c r="AR21" s="14"/>
      <c r="AV21" s="14"/>
      <c r="AW21" s="14"/>
      <c r="AX21" s="14"/>
      <c r="AY21" s="14"/>
      <c r="AZ21" s="14"/>
      <c r="BB21">
        <f ca="1"/>
      </c>
      <c r="BC21">
        <f ca="1"/>
      </c>
      <c r="BD21">
        <f ca="1"/>
      </c>
      <c r="BF21" s="7"/>
      <c r="BG21" s="14"/>
      <c r="BH21" s="14"/>
      <c r="BI21" s="14"/>
      <c r="BJ21" s="14"/>
      <c r="BK21" s="14"/>
    </row>
    <row r="22" spans="28:63" x14ac:dyDescent="0.55000000000000004">
      <c r="AL22" s="7"/>
      <c r="AM22" s="14"/>
      <c r="AN22" s="14"/>
      <c r="AO22" s="14"/>
      <c r="AP22" s="14"/>
      <c r="AQ22" s="14"/>
      <c r="AR22" s="14"/>
      <c r="AV22" s="14"/>
      <c r="AW22" s="14"/>
      <c r="AX22" s="14"/>
      <c r="AY22" s="14"/>
      <c r="AZ22" s="14"/>
      <c r="BB22">
        <f ca="1"/>
      </c>
      <c r="BC22">
        <f ca="1"/>
      </c>
      <c r="BD22">
        <f ca="1"/>
      </c>
      <c r="BF22" s="7"/>
      <c r="BG22" s="14"/>
      <c r="BH22" s="14"/>
      <c r="BI22" s="14"/>
      <c r="BJ22" s="14"/>
      <c r="BK22" s="14"/>
    </row>
    <row r="23" spans="28:63" x14ac:dyDescent="0.55000000000000004">
      <c r="AL23" s="7"/>
      <c r="AM23" s="14"/>
      <c r="AN23" s="14"/>
      <c r="AO23" s="14"/>
      <c r="AP23" s="14"/>
      <c r="AQ23" s="14"/>
      <c r="AR23" s="14"/>
      <c r="AV23" s="14"/>
      <c r="AW23" s="14"/>
      <c r="AX23" s="14"/>
      <c r="AY23" s="14"/>
      <c r="AZ23" s="14"/>
      <c r="BB23">
        <f ca="1"/>
      </c>
      <c r="BC23">
        <f ca="1"/>
      </c>
      <c r="BD23">
        <f ca="1"/>
      </c>
      <c r="BF23" s="7"/>
      <c r="BG23" s="14"/>
      <c r="BH23" s="14"/>
      <c r="BI23" s="14"/>
      <c r="BJ23" s="14"/>
      <c r="BK23" s="14"/>
    </row>
    <row r="24" spans="28:63" x14ac:dyDescent="0.55000000000000004">
      <c r="AL24" s="7"/>
      <c r="AM24" s="14"/>
      <c r="AN24" s="14"/>
      <c r="AO24" s="14"/>
      <c r="AP24" s="14"/>
      <c r="AQ24" s="14"/>
      <c r="AR24" s="14"/>
      <c r="AV24" s="14"/>
      <c r="AW24" s="14"/>
      <c r="AX24" s="14"/>
      <c r="AY24" s="14"/>
      <c r="AZ24" s="14"/>
      <c r="BB24">
        <f ca="1"/>
      </c>
      <c r="BC24">
        <f ca="1"/>
      </c>
      <c r="BD24">
        <f ca="1"/>
      </c>
      <c r="BF24" s="7"/>
      <c r="BG24" s="14"/>
      <c r="BH24" s="14"/>
      <c r="BI24" s="14"/>
      <c r="BJ24" s="14"/>
      <c r="BK24" s="14"/>
    </row>
    <row r="25" spans="28:63" x14ac:dyDescent="0.55000000000000004">
      <c r="AL25" s="7"/>
      <c r="AM25" s="14"/>
      <c r="AN25" s="14"/>
      <c r="AO25" s="14"/>
      <c r="AP25" s="14"/>
      <c r="AQ25" s="14"/>
      <c r="AR25" s="14"/>
      <c r="AV25" s="14"/>
      <c r="AW25" s="14"/>
      <c r="AX25" s="14"/>
      <c r="AY25" s="14"/>
      <c r="AZ25" s="14"/>
      <c r="BB25">
        <f ca="1"/>
      </c>
      <c r="BC25">
        <f ca="1"/>
      </c>
      <c r="BD25">
        <f ca="1"/>
      </c>
      <c r="BF25" s="7"/>
      <c r="BG25" s="14"/>
      <c r="BH25" s="14"/>
      <c r="BI25" s="14"/>
      <c r="BJ25" s="14"/>
      <c r="BK25" s="14"/>
    </row>
    <row r="26" spans="28:63" x14ac:dyDescent="0.55000000000000004">
      <c r="AL26" s="7"/>
      <c r="AM26" s="14"/>
      <c r="AN26" s="14"/>
      <c r="AO26" s="14"/>
      <c r="AP26" s="14"/>
      <c r="AQ26" s="14"/>
      <c r="AR26" s="14"/>
      <c r="AV26" s="14"/>
      <c r="AW26" s="14"/>
      <c r="AX26" s="14"/>
      <c r="AY26" s="14"/>
      <c r="AZ26" s="14"/>
      <c r="BB26">
        <f ca="1"/>
      </c>
      <c r="BC26">
        <f ca="1"/>
      </c>
      <c r="BD26">
        <f ca="1"/>
      </c>
      <c r="BF26" s="7"/>
      <c r="BG26" s="14"/>
      <c r="BH26" s="14"/>
      <c r="BI26" s="14"/>
      <c r="BJ26" s="14"/>
      <c r="BK26" s="14"/>
    </row>
    <row r="27" spans="28:63" x14ac:dyDescent="0.55000000000000004">
      <c r="AL27" s="7"/>
      <c r="AM27" s="14"/>
      <c r="AN27" s="14"/>
      <c r="AO27" s="14"/>
      <c r="AP27" s="14"/>
      <c r="AQ27" s="14"/>
      <c r="AR27" s="14"/>
      <c r="AV27" s="14"/>
      <c r="AW27" s="14"/>
      <c r="AX27" s="14"/>
      <c r="AY27" s="14"/>
      <c r="AZ27" s="14"/>
      <c r="BB27">
        <f ca="1"/>
      </c>
      <c r="BC27">
        <f ca="1"/>
      </c>
      <c r="BD27">
        <f ca="1"/>
      </c>
      <c r="BF27" s="7"/>
      <c r="BG27" s="14"/>
      <c r="BH27" s="14"/>
      <c r="BI27" s="14"/>
      <c r="BJ27" s="14"/>
      <c r="BK27" s="14"/>
    </row>
    <row r="28" spans="28:63" x14ac:dyDescent="0.55000000000000004">
      <c r="AL28" s="7"/>
      <c r="AM28" s="14"/>
      <c r="AN28" s="14"/>
      <c r="AO28" s="14"/>
      <c r="AP28" s="14"/>
      <c r="AQ28" s="14"/>
      <c r="AR28" s="14"/>
      <c r="AV28" s="14"/>
      <c r="AW28" s="14"/>
      <c r="AX28" s="14"/>
      <c r="AY28" s="14"/>
      <c r="AZ28" s="14"/>
      <c r="BB28">
        <f ca="1"/>
      </c>
      <c r="BC28">
        <f ca="1"/>
      </c>
      <c r="BD28">
        <f ca="1"/>
      </c>
      <c r="BF28" s="7"/>
      <c r="BG28" s="14"/>
      <c r="BH28" s="14"/>
      <c r="BI28" s="14"/>
      <c r="BJ28" s="14"/>
      <c r="BK28" s="14"/>
    </row>
    <row r="29" spans="28:63" x14ac:dyDescent="0.55000000000000004">
      <c r="AL29" s="7"/>
      <c r="AM29" s="14"/>
      <c r="AN29" s="14"/>
      <c r="AO29" s="14"/>
      <c r="AP29" s="14"/>
      <c r="AQ29" s="14"/>
      <c r="AR29" s="14"/>
      <c r="AV29" s="14"/>
      <c r="AW29" s="14"/>
      <c r="AX29" s="14"/>
      <c r="AY29" s="14"/>
      <c r="AZ29" s="14"/>
      <c r="BB29">
        <f ca="1"/>
      </c>
      <c r="BC29">
        <f ca="1"/>
      </c>
      <c r="BD29">
        <f ca="1"/>
      </c>
      <c r="BF29" s="7"/>
      <c r="BG29" s="14"/>
      <c r="BH29" s="14"/>
      <c r="BI29" s="14"/>
      <c r="BJ29" s="14"/>
      <c r="BK29" s="14"/>
    </row>
    <row r="30" spans="28:63" x14ac:dyDescent="0.55000000000000004">
      <c r="AL30" s="7"/>
      <c r="AM30" s="14"/>
      <c r="AN30" s="14"/>
      <c r="AO30" s="14"/>
      <c r="AP30" s="14"/>
      <c r="AQ30" s="14"/>
      <c r="AR30" s="14"/>
      <c r="AV30" s="14"/>
      <c r="AW30" s="14"/>
      <c r="AX30" s="14"/>
      <c r="AY30" s="14"/>
      <c r="AZ30" s="14"/>
      <c r="BB30">
        <f ca="1"/>
      </c>
      <c r="BC30">
        <f ca="1"/>
      </c>
      <c r="BD30">
        <f ca="1"/>
      </c>
      <c r="BF30" s="7"/>
      <c r="BG30" s="14"/>
      <c r="BH30" s="14"/>
      <c r="BI30" s="14"/>
      <c r="BJ30" s="14"/>
      <c r="BK30" s="14"/>
    </row>
    <row r="31" spans="28:63" x14ac:dyDescent="0.55000000000000004">
      <c r="AL31" s="7"/>
      <c r="AM31" s="14"/>
      <c r="AN31" s="14"/>
      <c r="AO31" s="14"/>
      <c r="AP31" s="14"/>
      <c r="AQ31" s="14"/>
      <c r="AR31" s="14"/>
      <c r="AV31" s="14"/>
      <c r="AW31" s="14"/>
      <c r="AX31" s="14"/>
      <c r="AY31" s="14"/>
      <c r="AZ31" s="14"/>
      <c r="BB31">
        <f ca="1"/>
      </c>
      <c r="BC31">
        <f ca="1"/>
      </c>
      <c r="BD31">
        <f ca="1"/>
      </c>
      <c r="BF31" s="7"/>
      <c r="BG31" s="14"/>
      <c r="BH31" s="14"/>
      <c r="BI31" s="14"/>
      <c r="BJ31" s="14"/>
      <c r="BK31" s="14"/>
    </row>
    <row r="32" spans="28:63" x14ac:dyDescent="0.55000000000000004">
      <c r="AL32" s="7"/>
      <c r="AM32" s="14"/>
      <c r="AN32" s="14"/>
      <c r="AO32" s="14"/>
      <c r="AP32" s="14"/>
      <c r="AQ32" s="14"/>
      <c r="AR32" s="14"/>
      <c r="AV32" s="14"/>
      <c r="AW32" s="14"/>
      <c r="AX32" s="14"/>
      <c r="AY32" s="14"/>
      <c r="AZ32" s="14"/>
      <c r="BB32">
        <f ca="1"/>
      </c>
      <c r="BC32">
        <f ca="1"/>
      </c>
      <c r="BD32">
        <f ca="1"/>
      </c>
      <c r="BF32" s="7"/>
      <c r="BG32" s="14"/>
      <c r="BH32" s="14"/>
      <c r="BI32" s="14"/>
      <c r="BJ32" s="14"/>
      <c r="BK32" s="14"/>
    </row>
    <row r="33" spans="28:63" x14ac:dyDescent="0.55000000000000004">
      <c r="AL33" s="7"/>
      <c r="AM33" s="14"/>
      <c r="AN33" s="14"/>
      <c r="AO33" s="14"/>
      <c r="AP33" s="14"/>
      <c r="AQ33" s="14"/>
      <c r="AR33" s="14"/>
      <c r="AV33" s="14"/>
      <c r="AW33" s="14"/>
      <c r="AX33" s="14"/>
      <c r="AY33" s="14"/>
      <c r="AZ33" s="14"/>
      <c r="BB33">
        <f ca="1"/>
      </c>
      <c r="BC33">
        <f ca="1"/>
      </c>
      <c r="BD33">
        <f ca="1"/>
      </c>
      <c r="BF33" s="7"/>
      <c r="BG33" s="14"/>
      <c r="BH33" s="14"/>
      <c r="BI33" s="14"/>
      <c r="BJ33" s="14"/>
      <c r="BK33" s="14"/>
    </row>
    <row r="34" spans="28:63" x14ac:dyDescent="0.55000000000000004">
      <c r="AL34" s="7"/>
      <c r="AM34" s="14"/>
      <c r="AN34" s="14"/>
      <c r="AO34" s="14"/>
      <c r="AP34" s="14"/>
      <c r="AQ34" s="14"/>
      <c r="AR34" s="14"/>
      <c r="AV34" s="14"/>
      <c r="AW34" s="14"/>
      <c r="AX34" s="14"/>
      <c r="AY34" s="14"/>
      <c r="AZ34" s="14"/>
      <c r="BB34">
        <f ca="1"/>
      </c>
      <c r="BC34">
        <f ca="1"/>
      </c>
      <c r="BD34">
        <f ca="1"/>
      </c>
      <c r="BF34" s="7"/>
      <c r="BG34" s="14"/>
      <c r="BH34" s="14"/>
      <c r="BI34" s="14"/>
      <c r="BJ34" s="14"/>
      <c r="BK34" s="14"/>
    </row>
    <row r="35" spans="28:63" x14ac:dyDescent="0.55000000000000004">
      <c r="AL35" s="7"/>
      <c r="AM35" s="14"/>
      <c r="AN35" s="14"/>
      <c r="AO35" s="14"/>
      <c r="AP35" s="14"/>
      <c r="AQ35" s="14"/>
      <c r="AR35" s="14"/>
      <c r="AV35" s="14"/>
      <c r="AW35" s="14"/>
      <c r="AX35" s="14"/>
      <c r="AY35" s="14"/>
      <c r="AZ35" s="14"/>
      <c r="BB35">
        <f ca="1"/>
      </c>
      <c r="BC35">
        <f ca="1"/>
      </c>
      <c r="BD35">
        <f ca="1"/>
      </c>
      <c r="BF35" s="7"/>
      <c r="BG35" s="14"/>
      <c r="BH35" s="14"/>
      <c r="BI35" s="14"/>
      <c r="BJ35" s="14"/>
      <c r="BK35" s="14"/>
    </row>
    <row r="36" spans="28:63" x14ac:dyDescent="0.55000000000000004">
      <c r="AL36" s="7"/>
      <c r="AM36" s="14"/>
      <c r="AN36" s="14"/>
      <c r="AO36" s="14"/>
      <c r="AP36" s="14"/>
      <c r="AQ36" s="14"/>
      <c r="AR36" s="14"/>
      <c r="AV36" s="14"/>
      <c r="AW36" s="14"/>
      <c r="AX36" s="14"/>
      <c r="AY36" s="14"/>
      <c r="AZ36" s="14"/>
      <c r="BB36">
        <f ca="1"/>
      </c>
      <c r="BC36">
        <f ca="1"/>
      </c>
      <c r="BD36">
        <f ca="1"/>
      </c>
      <c r="BF36" s="7"/>
      <c r="BG36" s="14"/>
      <c r="BH36" s="14"/>
      <c r="BI36" s="14"/>
      <c r="BJ36" s="14"/>
      <c r="BK36" s="14"/>
    </row>
    <row r="37" spans="28:63" x14ac:dyDescent="0.55000000000000004">
      <c r="AL37" s="7"/>
      <c r="AM37" s="14"/>
      <c r="AN37" s="14"/>
      <c r="AO37" s="14"/>
      <c r="AP37" s="14"/>
      <c r="AQ37" s="14"/>
      <c r="AR37" s="14"/>
      <c r="AV37" s="14"/>
      <c r="AW37" s="14"/>
      <c r="AX37" s="14"/>
      <c r="AY37" s="14"/>
      <c r="AZ37" s="14"/>
      <c r="BB37">
        <f ca="1"/>
      </c>
      <c r="BC37">
        <f ca="1"/>
      </c>
      <c r="BD37">
        <f ca="1"/>
      </c>
      <c r="BF37" s="7"/>
      <c r="BG37" s="14"/>
      <c r="BH37" s="14"/>
      <c r="BI37" s="14"/>
      <c r="BJ37" s="14"/>
      <c r="BK37" s="14"/>
    </row>
    <row r="38" spans="28:63" x14ac:dyDescent="0.55000000000000004">
      <c r="AL38" s="7"/>
      <c r="AM38" s="14"/>
      <c r="AN38" s="14"/>
      <c r="AO38" s="14"/>
      <c r="AP38" s="14"/>
      <c r="AQ38" s="14"/>
      <c r="AR38" s="14"/>
      <c r="AV38" s="14"/>
      <c r="AW38" s="14"/>
      <c r="AX38" s="14"/>
      <c r="AY38" s="14"/>
      <c r="AZ38" s="14"/>
      <c r="BB38">
        <f ca="1"/>
      </c>
      <c r="BC38">
        <f ca="1"/>
      </c>
      <c r="BD38">
        <f ca="1"/>
      </c>
      <c r="BF38" s="7"/>
      <c r="BG38" s="14"/>
      <c r="BH38" s="14"/>
      <c r="BI38" s="14"/>
      <c r="BJ38" s="14"/>
      <c r="BK38" s="14"/>
    </row>
    <row r="39" spans="28:63" x14ac:dyDescent="0.55000000000000004">
      <c r="AL39" s="7"/>
      <c r="AM39" s="14"/>
      <c r="AN39" s="14"/>
      <c r="AO39" s="14"/>
      <c r="AP39" s="14"/>
      <c r="AQ39" s="14"/>
      <c r="AR39" s="14"/>
      <c r="AV39" s="14"/>
      <c r="AW39" s="14"/>
      <c r="AX39" s="14"/>
      <c r="AY39" s="14"/>
      <c r="AZ39" s="14"/>
      <c r="BB39">
        <f ca="1"/>
      </c>
      <c r="BC39">
        <f ca="1"/>
      </c>
      <c r="BD39">
        <f ca="1"/>
      </c>
      <c r="BF39" s="7"/>
      <c r="BG39" s="14"/>
      <c r="BH39" s="14"/>
      <c r="BI39" s="14"/>
      <c r="BJ39" s="14"/>
      <c r="BK39" s="14"/>
    </row>
    <row r="40" spans="28:63" x14ac:dyDescent="0.55000000000000004">
      <c r="AL40" s="7"/>
      <c r="AM40" s="14"/>
      <c r="AN40" s="14"/>
      <c r="AO40" s="14"/>
      <c r="AP40" s="14"/>
      <c r="AQ40" s="14"/>
      <c r="AR40" s="14"/>
      <c r="AV40" s="14"/>
      <c r="AW40" s="14"/>
      <c r="AX40" s="14"/>
      <c r="AY40" s="14"/>
      <c r="AZ40" s="14"/>
      <c r="BB40">
        <f ca="1"/>
      </c>
      <c r="BC40">
        <f ca="1"/>
      </c>
      <c r="BD40">
        <f ca="1"/>
      </c>
      <c r="BF40" s="7"/>
      <c r="BG40" s="14"/>
      <c r="BH40" s="14"/>
      <c r="BI40" s="14"/>
      <c r="BJ40" s="14"/>
      <c r="BK40" s="14"/>
    </row>
    <row r="41" spans="28:63" x14ac:dyDescent="0.55000000000000004">
      <c r="AL41" s="7"/>
      <c r="AM41" s="14"/>
      <c r="AN41" s="14"/>
      <c r="AO41" s="14"/>
      <c r="AP41" s="14"/>
      <c r="AQ41" s="14"/>
      <c r="AR41" s="14"/>
      <c r="AV41" s="14"/>
      <c r="AW41" s="14"/>
      <c r="AX41" s="14"/>
      <c r="AY41" s="14"/>
      <c r="AZ41" s="14"/>
      <c r="BB41">
        <f ca="1"/>
      </c>
      <c r="BC41">
        <f ca="1"/>
      </c>
      <c r="BD41">
        <f ca="1"/>
      </c>
      <c r="BF41" s="7"/>
      <c r="BG41" s="14"/>
      <c r="BH41" s="14"/>
      <c r="BI41" s="14"/>
      <c r="BJ41" s="14"/>
      <c r="BK41" s="14"/>
    </row>
    <row r="42" spans="28:63" x14ac:dyDescent="0.55000000000000004">
      <c r="AL42" s="7"/>
      <c r="AM42" s="14"/>
      <c r="AN42" s="14"/>
      <c r="AO42" s="14"/>
      <c r="AP42" s="14"/>
      <c r="AQ42" s="14"/>
      <c r="AR42" s="14"/>
      <c r="AV42" s="14"/>
      <c r="AW42" s="14"/>
      <c r="AX42" s="14"/>
      <c r="AY42" s="14"/>
      <c r="AZ42" s="14"/>
      <c r="BB42">
        <f ca="1"/>
      </c>
      <c r="BC42">
        <f ca="1"/>
      </c>
      <c r="BD42">
        <f ca="1"/>
      </c>
      <c r="BF42" s="7"/>
      <c r="BG42" s="14"/>
      <c r="BH42" s="14"/>
      <c r="BI42" s="14"/>
      <c r="BJ42" s="14"/>
      <c r="BK42" s="14"/>
    </row>
    <row r="43" spans="28:63" x14ac:dyDescent="0.55000000000000004">
      <c r="AL43" s="7"/>
      <c r="AM43" s="14"/>
      <c r="AN43" s="14"/>
      <c r="AO43" s="14"/>
      <c r="AP43" s="14"/>
      <c r="AQ43" s="14"/>
      <c r="AR43" s="14"/>
      <c r="AV43" s="14"/>
      <c r="AW43" s="14"/>
      <c r="AX43" s="14"/>
      <c r="AY43" s="14"/>
      <c r="AZ43" s="14"/>
      <c r="BB43">
        <f ca="1"/>
      </c>
      <c r="BC43">
        <f ca="1"/>
      </c>
      <c r="BD43">
        <f ca="1"/>
      </c>
      <c r="BF43" s="7"/>
      <c r="BG43" s="14"/>
      <c r="BH43" s="14"/>
      <c r="BI43" s="14"/>
      <c r="BJ43" s="14"/>
      <c r="BK43" s="14"/>
    </row>
    <row r="44" spans="28:63" x14ac:dyDescent="0.55000000000000004">
      <c r="AL44" s="7"/>
      <c r="AM44" s="14"/>
      <c r="AN44" s="14"/>
      <c r="AO44" s="14"/>
      <c r="AP44" s="14"/>
      <c r="AQ44" s="14"/>
      <c r="AR44" s="14"/>
      <c r="AV44" s="14"/>
      <c r="AW44" s="14"/>
      <c r="AX44" s="14"/>
      <c r="AY44" s="14"/>
      <c r="AZ44" s="14"/>
      <c r="BB44">
        <f ca="1"/>
      </c>
      <c r="BC44">
        <f ca="1"/>
      </c>
      <c r="BD44">
        <f ca="1"/>
      </c>
      <c r="BF44" s="7"/>
      <c r="BG44" s="14"/>
      <c r="BH44" s="14"/>
      <c r="BI44" s="14"/>
      <c r="BJ44" s="14"/>
      <c r="BK44" s="14"/>
    </row>
    <row r="45" spans="28:63" x14ac:dyDescent="0.55000000000000004">
      <c r="AL45" s="7"/>
      <c r="AM45" s="14"/>
      <c r="AN45" s="14"/>
      <c r="AO45" s="14"/>
      <c r="AP45" s="14"/>
      <c r="AQ45" s="14"/>
      <c r="AR45" s="14"/>
      <c r="AV45" s="14"/>
      <c r="AW45" s="14"/>
      <c r="AX45" s="14"/>
      <c r="AY45" s="14"/>
      <c r="AZ45" s="14"/>
      <c r="BB45">
        <f ca="1"/>
      </c>
      <c r="BC45">
        <f ca="1"/>
      </c>
      <c r="BD45">
        <f ca="1"/>
      </c>
      <c r="BF45" s="7"/>
      <c r="BG45" s="14"/>
      <c r="BH45" s="14"/>
      <c r="BI45" s="14"/>
      <c r="BJ45" s="14"/>
      <c r="BK45" s="14"/>
    </row>
    <row r="46" spans="28:63" x14ac:dyDescent="0.55000000000000004">
      <c r="AL46" s="7"/>
      <c r="AM46" s="14"/>
      <c r="AN46" s="14"/>
      <c r="AO46" s="14"/>
      <c r="AP46" s="14"/>
      <c r="AQ46" s="14"/>
      <c r="AR46" s="14"/>
      <c r="AV46" s="14"/>
      <c r="AW46" s="14"/>
      <c r="AX46" s="14"/>
      <c r="AY46" s="14"/>
      <c r="AZ46" s="14"/>
      <c r="BB46">
        <f ca="1"/>
      </c>
      <c r="BC46">
        <f ca="1"/>
      </c>
      <c r="BD46">
        <f ca="1"/>
      </c>
      <c r="BF46" s="7"/>
      <c r="BG46" s="14"/>
      <c r="BH46" s="14"/>
      <c r="BI46" s="14"/>
      <c r="BJ46" s="14"/>
      <c r="BK46" s="14"/>
    </row>
    <row r="47" spans="28:63" x14ac:dyDescent="0.55000000000000004">
      <c r="AL47" s="7"/>
      <c r="AM47" s="14"/>
      <c r="AN47" s="14"/>
      <c r="AO47" s="14"/>
      <c r="AP47" s="14"/>
      <c r="AQ47" s="14"/>
      <c r="AR47" s="14"/>
      <c r="AV47" s="14"/>
      <c r="AW47" s="14"/>
      <c r="AX47" s="14"/>
      <c r="AY47" s="14"/>
      <c r="AZ47" s="14"/>
      <c r="BB47">
        <f ca="1"/>
      </c>
      <c r="BC47">
        <f ca="1"/>
      </c>
      <c r="BD47">
        <f ca="1"/>
      </c>
      <c r="BF47" s="7"/>
      <c r="BG47" s="14"/>
      <c r="BH47" s="14"/>
      <c r="BI47" s="14"/>
      <c r="BJ47" s="14"/>
      <c r="BK47" s="14"/>
    </row>
    <row r="48" spans="28:63" x14ac:dyDescent="0.55000000000000004">
      <c r="AL48" s="7"/>
      <c r="AM48" s="14"/>
      <c r="AN48" s="14"/>
      <c r="AO48" s="14"/>
      <c r="AP48" s="14"/>
      <c r="AQ48" s="14"/>
      <c r="AR48" s="14"/>
      <c r="AV48" s="14"/>
      <c r="AW48" s="14"/>
      <c r="AX48" s="14"/>
      <c r="AY48" s="14"/>
      <c r="AZ48" s="14"/>
      <c r="BB48">
        <f ca="1"/>
      </c>
      <c r="BC48">
        <f ca="1"/>
      </c>
      <c r="BD48">
        <f ca="1"/>
      </c>
      <c r="BF48" s="7"/>
      <c r="BG48" s="14"/>
      <c r="BH48" s="14"/>
      <c r="BI48" s="14"/>
      <c r="BJ48" s="14"/>
      <c r="BK48" s="14"/>
    </row>
    <row r="49" spans="28:63" x14ac:dyDescent="0.55000000000000004">
      <c r="AL49" s="7"/>
      <c r="AM49" s="14"/>
      <c r="AN49" s="14"/>
      <c r="AO49" s="14"/>
      <c r="AP49" s="14"/>
      <c r="AQ49" s="14"/>
      <c r="AR49" s="14"/>
      <c r="AV49" s="14"/>
      <c r="AW49" s="14"/>
      <c r="AX49" s="14"/>
      <c r="AY49" s="14"/>
      <c r="AZ49" s="14"/>
      <c r="BB49">
        <f ca="1"/>
      </c>
      <c r="BC49">
        <f ca="1"/>
      </c>
      <c r="BD49">
        <f ca="1"/>
      </c>
      <c r="BF49" s="7"/>
      <c r="BG49" s="14"/>
      <c r="BH49" s="14"/>
      <c r="BI49" s="14"/>
      <c r="BJ49" s="14"/>
      <c r="BK49" s="14"/>
    </row>
    <row r="50" spans="28:63" x14ac:dyDescent="0.55000000000000004">
      <c r="AL50" s="7"/>
      <c r="AM50" s="14"/>
      <c r="AN50" s="14"/>
      <c r="AO50" s="14"/>
      <c r="AP50" s="14"/>
      <c r="AQ50" s="14"/>
      <c r="AR50" s="14"/>
      <c r="AV50" s="14"/>
      <c r="AW50" s="14"/>
      <c r="AX50" s="14"/>
      <c r="AY50" s="14"/>
      <c r="AZ50" s="14"/>
      <c r="BB50">
        <f ca="1"/>
      </c>
      <c r="BC50">
        <f ca="1"/>
      </c>
      <c r="BD50">
        <f ca="1"/>
      </c>
      <c r="BF50" s="7"/>
      <c r="BG50" s="14"/>
      <c r="BH50" s="14"/>
      <c r="BI50" s="14"/>
      <c r="BJ50" s="14"/>
      <c r="BK50" s="14"/>
    </row>
    <row r="51" spans="28:63" x14ac:dyDescent="0.55000000000000004">
      <c r="AL51" s="7"/>
      <c r="AM51" s="14"/>
      <c r="AN51" s="14"/>
      <c r="AO51" s="14"/>
      <c r="AP51" s="14"/>
      <c r="AQ51" s="14"/>
      <c r="AR51" s="14"/>
      <c r="AV51" s="14"/>
      <c r="AW51" s="14"/>
      <c r="AX51" s="14"/>
      <c r="AY51" s="14"/>
      <c r="AZ51" s="14"/>
      <c r="BB51">
        <f ca="1"/>
      </c>
      <c r="BC51">
        <f ca="1"/>
      </c>
      <c r="BD51">
        <f ca="1"/>
      </c>
      <c r="BF51" s="7"/>
      <c r="BG51" s="14"/>
      <c r="BH51" s="14"/>
      <c r="BI51" s="14"/>
      <c r="BJ51" s="14"/>
      <c r="BK51" s="14"/>
    </row>
    <row r="52" spans="28:63" x14ac:dyDescent="0.55000000000000004">
      <c r="AL52" s="7"/>
      <c r="AM52" s="14"/>
      <c r="AN52" s="14"/>
      <c r="AO52" s="14"/>
      <c r="AP52" s="14"/>
      <c r="AQ52" s="14"/>
      <c r="AR52" s="14"/>
      <c r="AV52" s="14"/>
      <c r="AW52" s="14"/>
      <c r="AX52" s="14"/>
      <c r="AY52" s="14"/>
      <c r="AZ52" s="14"/>
      <c r="BB52">
        <f ca="1"/>
      </c>
      <c r="BC52">
        <f ca="1"/>
      </c>
      <c r="BD52">
        <f ca="1"/>
      </c>
      <c r="BF52" s="7"/>
      <c r="BG52" s="14"/>
      <c r="BH52" s="14"/>
      <c r="BI52" s="14"/>
      <c r="BJ52" s="14"/>
      <c r="BK52" s="14"/>
    </row>
    <row r="53" spans="28:63" x14ac:dyDescent="0.55000000000000004">
      <c r="AL53" s="7"/>
      <c r="AM53" s="14"/>
      <c r="AN53" s="14"/>
      <c r="AO53" s="14"/>
      <c r="AP53" s="14"/>
      <c r="AQ53" s="14"/>
      <c r="AR53" s="14"/>
      <c r="AV53" s="14"/>
      <c r="AW53" s="14"/>
      <c r="AX53" s="14"/>
      <c r="AY53" s="14"/>
      <c r="AZ53" s="14"/>
      <c r="BB53">
        <f ca="1"/>
      </c>
      <c r="BC53">
        <f ca="1"/>
      </c>
      <c r="BD53">
        <f ca="1"/>
      </c>
      <c r="BF53" s="7"/>
      <c r="BG53" s="14"/>
      <c r="BH53" s="14"/>
      <c r="BI53" s="14"/>
      <c r="BJ53" s="14"/>
      <c r="BK53" s="14"/>
    </row>
    <row r="54" spans="28:63" x14ac:dyDescent="0.55000000000000004">
      <c r="AL54" s="7"/>
      <c r="AM54" s="14"/>
      <c r="AN54" s="14"/>
      <c r="AO54" s="14"/>
      <c r="AP54" s="14"/>
      <c r="AQ54" s="14"/>
      <c r="AR54" s="14"/>
      <c r="AV54" s="14"/>
      <c r="AW54" s="14"/>
      <c r="AX54" s="14"/>
      <c r="AY54" s="14"/>
      <c r="AZ54" s="14"/>
      <c r="BB54">
        <f ca="1"/>
      </c>
      <c r="BC54">
        <f ca="1"/>
      </c>
      <c r="BD54">
        <f ca="1"/>
      </c>
      <c r="BF54" s="7"/>
      <c r="BG54" s="14"/>
      <c r="BH54" s="14"/>
      <c r="BI54" s="14"/>
      <c r="BJ54" s="14"/>
      <c r="BK54" s="14"/>
    </row>
    <row r="55" spans="28:63" x14ac:dyDescent="0.55000000000000004">
      <c r="AL55" s="7"/>
      <c r="AM55" s="14"/>
      <c r="AN55" s="14"/>
      <c r="AO55" s="14"/>
      <c r="AP55" s="14"/>
      <c r="AQ55" s="14"/>
      <c r="AR55" s="14"/>
      <c r="AV55" s="14"/>
      <c r="AW55" s="14"/>
      <c r="AX55" s="14"/>
      <c r="AY55" s="14"/>
      <c r="AZ55" s="14"/>
      <c r="BB55">
        <f ca="1"/>
      </c>
      <c r="BC55">
        <f ca="1"/>
      </c>
      <c r="BD55">
        <f ca="1"/>
      </c>
      <c r="BF55" s="7"/>
      <c r="BG55" s="14"/>
      <c r="BH55" s="14"/>
      <c r="BI55" s="14"/>
      <c r="BJ55" s="14"/>
      <c r="BK55" s="14"/>
    </row>
    <row r="56" spans="28:63" x14ac:dyDescent="0.55000000000000004">
      <c r="AL56" s="7"/>
      <c r="AM56" s="14"/>
      <c r="AN56" s="14"/>
      <c r="AO56" s="14"/>
      <c r="AP56" s="14"/>
      <c r="AQ56" s="14"/>
      <c r="AR56" s="14"/>
      <c r="AV56" s="14"/>
      <c r="AW56" s="14"/>
      <c r="AX56" s="14"/>
      <c r="AY56" s="14"/>
      <c r="AZ56" s="14"/>
      <c r="BB56">
        <f ca="1"/>
      </c>
      <c r="BC56">
        <f ca="1"/>
      </c>
      <c r="BD56">
        <f ca="1"/>
      </c>
      <c r="BF56" s="7"/>
      <c r="BG56" s="14"/>
      <c r="BH56" s="14"/>
      <c r="BI56" s="14"/>
      <c r="BJ56" s="14"/>
      <c r="BK56" s="14"/>
    </row>
    <row r="57" spans="28:63" x14ac:dyDescent="0.55000000000000004">
      <c r="AL57" s="7"/>
      <c r="AM57" s="14"/>
      <c r="AN57" s="14"/>
      <c r="AO57" s="14"/>
      <c r="AP57" s="14"/>
      <c r="AQ57" s="14"/>
      <c r="AR57" s="14"/>
      <c r="AV57" s="14"/>
      <c r="AW57" s="14"/>
      <c r="AX57" s="14"/>
      <c r="AY57" s="14"/>
      <c r="AZ57" s="14"/>
      <c r="BB57">
        <f ca="1"/>
      </c>
      <c r="BC57">
        <f ca="1"/>
      </c>
      <c r="BD57">
        <f ca="1"/>
      </c>
      <c r="BF57" s="7"/>
      <c r="BG57" s="14"/>
      <c r="BH57" s="14"/>
      <c r="BI57" s="14"/>
      <c r="BJ57" s="14"/>
      <c r="BK57" s="14"/>
    </row>
    <row r="58" spans="28:63" x14ac:dyDescent="0.55000000000000004">
      <c r="AL58" s="7"/>
      <c r="AM58" s="14"/>
      <c r="AN58" s="14"/>
      <c r="AO58" s="14"/>
      <c r="AP58" s="14"/>
      <c r="AQ58" s="14"/>
      <c r="AR58" s="14"/>
      <c r="AV58" s="14"/>
      <c r="AW58" s="14"/>
      <c r="AX58" s="14"/>
      <c r="AY58" s="14"/>
      <c r="AZ58" s="14"/>
      <c r="BB58">
        <f ca="1"/>
      </c>
      <c r="BC58">
        <f ca="1"/>
      </c>
      <c r="BD58">
        <f ca="1"/>
      </c>
      <c r="BF58" s="7"/>
      <c r="BG58" s="14"/>
      <c r="BH58" s="14"/>
      <c r="BI58" s="14"/>
      <c r="BJ58" s="14"/>
      <c r="BK58" s="14"/>
    </row>
    <row r="59" spans="28:63" x14ac:dyDescent="0.55000000000000004">
      <c r="AL59" s="7"/>
      <c r="AM59" s="14"/>
      <c r="AN59" s="14"/>
      <c r="AO59" s="14"/>
      <c r="AP59" s="14"/>
      <c r="AQ59" s="14"/>
      <c r="AR59" s="14"/>
      <c r="AV59" s="14"/>
      <c r="AW59" s="14"/>
      <c r="AX59" s="14"/>
      <c r="AY59" s="14"/>
      <c r="AZ59" s="14"/>
      <c r="BB59">
        <f ca="1"/>
      </c>
      <c r="BC59">
        <f ca="1"/>
      </c>
      <c r="BD59">
        <f ca="1"/>
      </c>
      <c r="BF59" s="7"/>
      <c r="BG59" s="14"/>
      <c r="BH59" s="14"/>
      <c r="BI59" s="14"/>
      <c r="BJ59" s="14"/>
      <c r="BK59" s="14"/>
    </row>
    <row r="60" spans="28:63" x14ac:dyDescent="0.55000000000000004">
      <c r="AL60" s="7"/>
      <c r="AM60" s="14"/>
      <c r="AN60" s="14"/>
      <c r="AO60" s="14"/>
      <c r="AP60" s="14"/>
      <c r="AQ60" s="14"/>
      <c r="AR60" s="14"/>
      <c r="AV60" s="14"/>
      <c r="AW60" s="14"/>
      <c r="AX60" s="14"/>
      <c r="AY60" s="14"/>
      <c r="AZ60" s="14"/>
      <c r="BB60">
        <f ca="1"/>
      </c>
      <c r="BC60">
        <f ca="1"/>
      </c>
      <c r="BD60">
        <f ca="1"/>
      </c>
      <c r="BF60" s="7"/>
      <c r="BG60" s="14"/>
      <c r="BH60" s="14"/>
      <c r="BI60" s="14"/>
      <c r="BJ60" s="14"/>
      <c r="BK60" s="14"/>
    </row>
    <row r="61" spans="28:63" x14ac:dyDescent="0.55000000000000004">
      <c r="AL61" s="7"/>
      <c r="AM61" s="14"/>
      <c r="AN61" s="14"/>
      <c r="AO61" s="14"/>
      <c r="AP61" s="14"/>
      <c r="AQ61" s="14"/>
      <c r="AR61" s="14"/>
      <c r="AV61" s="14"/>
      <c r="AW61" s="14"/>
      <c r="AX61" s="14"/>
      <c r="AY61" s="14"/>
      <c r="AZ61" s="14"/>
      <c r="BB61">
        <f ca="1"/>
      </c>
      <c r="BC61">
        <f ca="1"/>
      </c>
      <c r="BD61">
        <f ca="1"/>
      </c>
      <c r="BF61" s="7"/>
      <c r="BG61" s="14"/>
      <c r="BH61" s="14"/>
      <c r="BI61" s="14"/>
      <c r="BJ61" s="14"/>
      <c r="BK61" s="14"/>
    </row>
    <row r="62" spans="28:63" x14ac:dyDescent="0.55000000000000004">
      <c r="AL62" s="7"/>
      <c r="AM62" s="14"/>
      <c r="AN62" s="14"/>
      <c r="AO62" s="14"/>
      <c r="AP62" s="14"/>
      <c r="AQ62" s="14"/>
      <c r="AR62" s="14"/>
      <c r="AV62" s="14"/>
      <c r="AW62" s="14"/>
      <c r="AX62" s="14"/>
      <c r="AY62" s="14"/>
      <c r="AZ62" s="14"/>
      <c r="BB62">
        <f ca="1"/>
      </c>
      <c r="BC62">
        <f ca="1"/>
      </c>
      <c r="BD62">
        <f ca="1"/>
      </c>
      <c r="BF62" s="7"/>
      <c r="BG62" s="14"/>
      <c r="BH62" s="14"/>
      <c r="BI62" s="14"/>
      <c r="BJ62" s="14"/>
      <c r="BK62" s="14"/>
    </row>
    <row r="63" spans="28:63" x14ac:dyDescent="0.55000000000000004">
      <c r="AL63" s="7"/>
      <c r="AM63" s="14"/>
      <c r="AN63" s="14"/>
      <c r="AO63" s="14"/>
      <c r="AP63" s="14"/>
      <c r="AQ63" s="14"/>
      <c r="AR63" s="14"/>
      <c r="AV63" s="14"/>
      <c r="AW63" s="14"/>
      <c r="AX63" s="14"/>
      <c r="AY63" s="14"/>
      <c r="AZ63" s="14"/>
      <c r="BB63">
        <f ca="1"/>
      </c>
      <c r="BC63">
        <f ca="1"/>
      </c>
      <c r="BD63">
        <f ca="1"/>
      </c>
      <c r="BF63" s="7"/>
      <c r="BG63" s="14"/>
      <c r="BH63" s="14"/>
      <c r="BI63" s="14"/>
      <c r="BJ63" s="14"/>
      <c r="BK63" s="14"/>
    </row>
    <row r="64" spans="28:63" x14ac:dyDescent="0.55000000000000004">
      <c r="AL64" s="7"/>
      <c r="AM64" s="14"/>
      <c r="AN64" s="14"/>
      <c r="AO64" s="14"/>
      <c r="AP64" s="14"/>
      <c r="AQ64" s="14"/>
      <c r="AR64" s="14"/>
      <c r="AV64" s="14"/>
      <c r="AW64" s="14"/>
      <c r="AX64" s="14"/>
      <c r="AY64" s="14"/>
      <c r="AZ64" s="14"/>
      <c r="BB64">
        <f ca="1"/>
      </c>
      <c r="BC64">
        <f ca="1"/>
      </c>
      <c r="BD64">
        <f ca="1"/>
      </c>
      <c r="BF64" s="7"/>
      <c r="BG64" s="14"/>
      <c r="BH64" s="14"/>
      <c r="BI64" s="14"/>
      <c r="BJ64" s="14"/>
      <c r="BK64" s="14"/>
    </row>
    <row r="65" spans="28:63" x14ac:dyDescent="0.55000000000000004">
      <c r="AL65" s="7"/>
      <c r="AM65" s="14"/>
      <c r="AN65" s="14"/>
      <c r="AO65" s="14"/>
      <c r="AP65" s="14"/>
      <c r="AQ65" s="14"/>
      <c r="AR65" s="14"/>
      <c r="AV65" s="14"/>
      <c r="AW65" s="14"/>
      <c r="AX65" s="14"/>
      <c r="AY65" s="14"/>
      <c r="AZ65" s="14"/>
      <c r="BB65">
        <f ca="1"/>
      </c>
      <c r="BC65">
        <f ca="1"/>
      </c>
      <c r="BD65">
        <f ca="1"/>
      </c>
      <c r="BF65" s="7"/>
      <c r="BG65" s="14"/>
      <c r="BH65" s="14"/>
      <c r="BI65" s="14"/>
      <c r="BJ65" s="14"/>
      <c r="BK65" s="14"/>
    </row>
    <row r="66" spans="28:63" x14ac:dyDescent="0.55000000000000004">
      <c r="AL66" s="7"/>
      <c r="AM66" s="14"/>
      <c r="AN66" s="14"/>
      <c r="AO66" s="14"/>
      <c r="AP66" s="14"/>
      <c r="AQ66" s="14"/>
      <c r="AR66" s="14"/>
      <c r="AV66" s="14"/>
      <c r="AW66" s="14"/>
      <c r="AX66" s="14"/>
      <c r="AY66" s="14"/>
      <c r="AZ66" s="14"/>
      <c r="BB66">
        <f ca="1"/>
      </c>
      <c r="BC66">
        <f ca="1"/>
      </c>
      <c r="BD66">
        <f ca="1"/>
      </c>
      <c r="BF66" s="7"/>
      <c r="BG66" s="14"/>
      <c r="BH66" s="14"/>
      <c r="BI66" s="14"/>
      <c r="BJ66" s="14"/>
      <c r="BK66" s="14"/>
    </row>
    <row r="67" spans="28:63" x14ac:dyDescent="0.55000000000000004">
      <c r="AL67" s="7"/>
      <c r="AM67" s="14"/>
      <c r="AN67" s="14"/>
      <c r="AO67" s="14"/>
      <c r="AP67" s="14"/>
      <c r="AQ67" s="14"/>
      <c r="AR67" s="14"/>
      <c r="AV67" s="14"/>
      <c r="AW67" s="14"/>
      <c r="AX67" s="14"/>
      <c r="AY67" s="14"/>
      <c r="AZ67" s="14"/>
      <c r="BB67">
        <f ca="1"/>
      </c>
      <c r="BC67">
        <f ca="1"/>
      </c>
      <c r="BD67">
        <f ca="1"/>
      </c>
      <c r="BF67" s="7"/>
      <c r="BG67" s="14"/>
      <c r="BH67" s="14"/>
      <c r="BI67" s="14"/>
      <c r="BJ67" s="14"/>
      <c r="BK67" s="14"/>
    </row>
    <row r="68" spans="28:63" x14ac:dyDescent="0.55000000000000004">
      <c r="AL68" s="7"/>
      <c r="AM68" s="14"/>
      <c r="AN68" s="14"/>
      <c r="AO68" s="14"/>
      <c r="AP68" s="14"/>
      <c r="AQ68" s="14"/>
      <c r="AR68" s="14"/>
      <c r="AV68" s="14"/>
      <c r="AW68" s="14"/>
      <c r="AX68" s="14"/>
      <c r="AY68" s="14"/>
      <c r="AZ68" s="14"/>
      <c r="BB68">
        <f ca="1"/>
      </c>
      <c r="BC68">
        <f ca="1"/>
      </c>
      <c r="BD68">
        <f ca="1"/>
      </c>
      <c r="BF68" s="7"/>
      <c r="BG68" s="14"/>
      <c r="BH68" s="14"/>
      <c r="BI68" s="14"/>
      <c r="BJ68" s="14"/>
      <c r="BK68" s="14"/>
    </row>
    <row r="69" spans="28:63" x14ac:dyDescent="0.55000000000000004">
      <c r="AL69" s="7"/>
      <c r="AM69" s="14"/>
      <c r="AN69" s="14"/>
      <c r="AO69" s="14"/>
      <c r="AP69" s="14"/>
      <c r="AQ69" s="14"/>
      <c r="AR69" s="14"/>
      <c r="AV69" s="14"/>
      <c r="AW69" s="14"/>
      <c r="AX69" s="14"/>
      <c r="AY69" s="14"/>
      <c r="AZ69" s="14"/>
      <c r="BB69">
        <f ca="1"/>
      </c>
      <c r="BC69">
        <f ca="1"/>
      </c>
      <c r="BD69">
        <f ca="1"/>
      </c>
      <c r="BF69" s="7"/>
      <c r="BG69" s="14"/>
      <c r="BH69" s="14"/>
      <c r="BI69" s="14"/>
      <c r="BJ69" s="14"/>
      <c r="BK69" s="14"/>
    </row>
    <row r="70" spans="28:63" x14ac:dyDescent="0.55000000000000004">
      <c r="AL70" s="7"/>
      <c r="AM70" s="14"/>
      <c r="AN70" s="14"/>
      <c r="AO70" s="14"/>
      <c r="AP70" s="14"/>
      <c r="AQ70" s="14"/>
      <c r="AR70" s="14"/>
      <c r="AV70" s="14"/>
      <c r="AW70" s="14"/>
      <c r="AX70" s="14"/>
      <c r="AY70" s="14"/>
      <c r="AZ70" s="14"/>
      <c r="BB70">
        <f ca="1"/>
      </c>
      <c r="BC70">
        <f ca="1"/>
      </c>
      <c r="BD70">
        <f ca="1"/>
      </c>
      <c r="BF70" s="7"/>
      <c r="BG70" s="14"/>
      <c r="BH70" s="14"/>
      <c r="BI70" s="14"/>
      <c r="BJ70" s="14"/>
      <c r="BK70" s="14"/>
    </row>
    <row r="71" spans="28:63" x14ac:dyDescent="0.55000000000000004">
      <c r="AL71" s="7"/>
      <c r="AM71" s="14"/>
      <c r="AN71" s="14"/>
      <c r="AO71" s="14"/>
      <c r="AP71" s="14"/>
      <c r="AQ71" s="14"/>
      <c r="AR71" s="14"/>
      <c r="AV71" s="14"/>
      <c r="AW71" s="14"/>
      <c r="AX71" s="14"/>
      <c r="AY71" s="14"/>
      <c r="AZ71" s="14"/>
      <c r="BB71">
        <f ca="1"/>
      </c>
      <c r="BC71">
        <f ca="1"/>
      </c>
      <c r="BD71">
        <f ca="1"/>
      </c>
      <c r="BF71" s="7"/>
      <c r="BG71" s="14"/>
      <c r="BH71" s="14"/>
      <c r="BI71" s="14"/>
      <c r="BJ71" s="14"/>
      <c r="BK71" s="14"/>
    </row>
    <row r="72" spans="28:63" x14ac:dyDescent="0.55000000000000004">
      <c r="AL72" s="7"/>
      <c r="AM72" s="14"/>
      <c r="AN72" s="14"/>
      <c r="AO72" s="14"/>
      <c r="AP72" s="14"/>
      <c r="AQ72" s="14"/>
      <c r="AR72" s="14"/>
      <c r="AV72" s="14"/>
      <c r="AW72" s="14"/>
      <c r="AX72" s="14"/>
      <c r="AY72" s="14"/>
      <c r="AZ72" s="14"/>
      <c r="BB72">
        <f ca="1"/>
      </c>
      <c r="BC72">
        <f ca="1"/>
      </c>
      <c r="BD72">
        <f ca="1"/>
      </c>
      <c r="BF72" s="7"/>
      <c r="BG72" s="14"/>
      <c r="BH72" s="14"/>
      <c r="BI72" s="14"/>
      <c r="BJ72" s="14"/>
      <c r="BK72" s="14"/>
    </row>
    <row r="73" spans="28:63" x14ac:dyDescent="0.55000000000000004">
      <c r="AL73" s="7"/>
      <c r="AM73" s="14"/>
      <c r="AN73" s="14"/>
      <c r="AO73" s="14"/>
      <c r="AP73" s="14"/>
      <c r="AQ73" s="14"/>
      <c r="AR73" s="14"/>
      <c r="AV73" s="14"/>
      <c r="AW73" s="14"/>
      <c r="AX73" s="14"/>
      <c r="AY73" s="14"/>
      <c r="AZ73" s="14"/>
      <c r="BB73">
        <f ca="1"/>
      </c>
      <c r="BC73">
        <f ca="1"/>
      </c>
      <c r="BD73">
        <f ca="1"/>
      </c>
      <c r="BF73" s="7"/>
      <c r="BG73" s="14"/>
      <c r="BH73" s="14"/>
      <c r="BI73" s="14"/>
      <c r="BJ73" s="14"/>
      <c r="BK73" s="14"/>
    </row>
    <row r="74" spans="28:63" x14ac:dyDescent="0.55000000000000004">
      <c r="AL74" s="7"/>
      <c r="AM74" s="14"/>
      <c r="AN74" s="14"/>
      <c r="AO74" s="14"/>
      <c r="AP74" s="14"/>
      <c r="AQ74" s="14"/>
      <c r="AR74" s="14"/>
      <c r="AV74" s="14"/>
      <c r="AW74" s="14"/>
      <c r="AX74" s="14"/>
      <c r="AY74" s="14"/>
      <c r="AZ74" s="14"/>
      <c r="BB74">
        <f ca="1"/>
      </c>
      <c r="BC74">
        <f ca="1"/>
      </c>
      <c r="BD74">
        <f ca="1"/>
      </c>
      <c r="BF74" s="7"/>
      <c r="BG74" s="14"/>
      <c r="BH74" s="14"/>
      <c r="BI74" s="14"/>
      <c r="BJ74" s="14"/>
      <c r="BK74" s="14"/>
    </row>
    <row r="75" spans="28:63" x14ac:dyDescent="0.55000000000000004">
      <c r="AL75" s="7"/>
      <c r="AM75" s="14"/>
      <c r="AN75" s="14"/>
      <c r="AO75" s="14"/>
      <c r="AP75" s="14"/>
      <c r="AQ75" s="14"/>
      <c r="AR75" s="14"/>
      <c r="AV75" s="14"/>
      <c r="AW75" s="14"/>
      <c r="AX75" s="14"/>
      <c r="AY75" s="14"/>
      <c r="AZ75" s="14"/>
      <c r="BB75">
        <f ca="1"/>
      </c>
      <c r="BC75">
        <f ca="1"/>
      </c>
      <c r="BD75">
        <f ca="1"/>
      </c>
      <c r="BF75" s="7"/>
      <c r="BG75" s="14"/>
      <c r="BH75" s="14"/>
      <c r="BI75" s="14"/>
      <c r="BJ75" s="14"/>
      <c r="BK75" s="14"/>
    </row>
    <row r="76" spans="28:63" x14ac:dyDescent="0.55000000000000004">
      <c r="AL76" s="7"/>
      <c r="AM76" s="14"/>
      <c r="AN76" s="14"/>
      <c r="AO76" s="14"/>
      <c r="AP76" s="14"/>
      <c r="AQ76" s="14"/>
      <c r="AR76" s="14"/>
      <c r="AV76" s="14"/>
      <c r="AW76" s="14"/>
      <c r="AX76" s="14"/>
      <c r="AY76" s="14"/>
      <c r="AZ76" s="14"/>
      <c r="BB76">
        <f ca="1"/>
      </c>
      <c r="BC76">
        <f ca="1"/>
      </c>
      <c r="BD76">
        <f ca="1"/>
      </c>
      <c r="BF76" s="7"/>
      <c r="BG76" s="14"/>
      <c r="BH76" s="14"/>
      <c r="BI76" s="14"/>
      <c r="BJ76" s="14"/>
      <c r="BK76" s="14"/>
    </row>
    <row r="77" spans="28:63" x14ac:dyDescent="0.55000000000000004">
      <c r="AL77" s="7"/>
      <c r="AM77" s="14"/>
      <c r="AN77" s="14"/>
      <c r="AO77" s="14"/>
      <c r="AP77" s="14"/>
      <c r="AQ77" s="14"/>
      <c r="AR77" s="14"/>
      <c r="AV77" s="14"/>
      <c r="AW77" s="14"/>
      <c r="AX77" s="14"/>
      <c r="AY77" s="14"/>
      <c r="AZ77" s="14"/>
      <c r="BB77">
        <f ca="1"/>
      </c>
      <c r="BC77">
        <f ca="1"/>
      </c>
      <c r="BD77">
        <f ca="1"/>
      </c>
      <c r="BF77" s="7"/>
      <c r="BG77" s="14"/>
      <c r="BH77" s="14"/>
      <c r="BI77" s="14"/>
      <c r="BJ77" s="14"/>
      <c r="BK77" s="14"/>
    </row>
    <row r="78" spans="28:63" x14ac:dyDescent="0.55000000000000004">
      <c r="AL78" s="7"/>
      <c r="AM78" s="14"/>
      <c r="AN78" s="14"/>
      <c r="AO78" s="14"/>
      <c r="AP78" s="14"/>
      <c r="AQ78" s="14"/>
      <c r="AR78" s="14"/>
      <c r="AV78" s="14"/>
      <c r="AW78" s="14"/>
      <c r="AX78" s="14"/>
      <c r="AY78" s="14"/>
      <c r="AZ78" s="14"/>
      <c r="BB78">
        <f ca="1"/>
      </c>
      <c r="BC78">
        <f ca="1"/>
      </c>
      <c r="BD78">
        <f ca="1"/>
      </c>
      <c r="BF78" s="7"/>
      <c r="BG78" s="14"/>
      <c r="BH78" s="14"/>
      <c r="BI78" s="14"/>
      <c r="BJ78" s="14"/>
      <c r="BK78" s="14"/>
    </row>
    <row r="79" spans="28:63" x14ac:dyDescent="0.55000000000000004">
      <c r="AL79" s="7"/>
      <c r="AM79" s="14"/>
      <c r="AN79" s="14"/>
      <c r="AO79" s="14"/>
      <c r="AP79" s="14"/>
      <c r="AQ79" s="14"/>
      <c r="AR79" s="14"/>
      <c r="AV79" s="14"/>
      <c r="AW79" s="14"/>
      <c r="AX79" s="14"/>
      <c r="AY79" s="14"/>
      <c r="AZ79" s="14"/>
      <c r="BB79">
        <f ca="1"/>
      </c>
      <c r="BC79">
        <f ca="1"/>
      </c>
      <c r="BD79">
        <f ca="1"/>
      </c>
      <c r="BF79" s="7"/>
      <c r="BG79" s="14"/>
      <c r="BH79" s="14"/>
      <c r="BI79" s="14"/>
      <c r="BJ79" s="14"/>
      <c r="BK79" s="14"/>
    </row>
    <row r="80" spans="28:63" x14ac:dyDescent="0.55000000000000004">
      <c r="AL80" s="7"/>
      <c r="AM80" s="14"/>
      <c r="AN80" s="14"/>
      <c r="AO80" s="14"/>
      <c r="AP80" s="14"/>
      <c r="AQ80" s="14"/>
      <c r="AR80" s="14"/>
      <c r="AV80" s="14"/>
      <c r="AW80" s="14"/>
      <c r="AX80" s="14"/>
      <c r="AY80" s="14"/>
      <c r="AZ80" s="14"/>
      <c r="BB80">
        <f ca="1"/>
      </c>
      <c r="BC80">
        <f ca="1"/>
      </c>
      <c r="BD80">
        <f ca="1"/>
      </c>
      <c r="BF80" s="7"/>
      <c r="BG80" s="14"/>
      <c r="BH80" s="14"/>
      <c r="BI80" s="14"/>
      <c r="BJ80" s="14"/>
      <c r="BK80" s="14"/>
    </row>
    <row r="81" spans="28:63" x14ac:dyDescent="0.55000000000000004">
      <c r="AL81" s="7"/>
      <c r="AM81" s="14"/>
      <c r="AN81" s="14"/>
      <c r="AO81" s="14"/>
      <c r="AP81" s="14"/>
      <c r="AQ81" s="14"/>
      <c r="AR81" s="14"/>
      <c r="AV81" s="14"/>
      <c r="AW81" s="14"/>
      <c r="AX81" s="14"/>
      <c r="AY81" s="14"/>
      <c r="AZ81" s="14"/>
      <c r="BB81">
        <f ca="1"/>
      </c>
      <c r="BC81">
        <f ca="1"/>
      </c>
      <c r="BD81">
        <f ca="1"/>
      </c>
      <c r="BF81" s="7"/>
      <c r="BG81" s="14"/>
      <c r="BH81" s="14"/>
      <c r="BI81" s="14"/>
      <c r="BJ81" s="14"/>
      <c r="BK81" s="14"/>
    </row>
    <row r="82" spans="28:63" x14ac:dyDescent="0.55000000000000004">
      <c r="AL82" s="7"/>
      <c r="AM82" s="14"/>
      <c r="AN82" s="14"/>
      <c r="AO82" s="14"/>
      <c r="AP82" s="14"/>
      <c r="AQ82" s="14"/>
      <c r="AR82" s="14"/>
      <c r="AV82" s="14"/>
      <c r="AW82" s="14"/>
      <c r="AX82" s="14"/>
      <c r="AY82" s="14"/>
      <c r="AZ82" s="14"/>
      <c r="BB82">
        <f ca="1"/>
      </c>
      <c r="BC82">
        <f ca="1"/>
      </c>
      <c r="BD82">
        <f ca="1"/>
      </c>
      <c r="BF82" s="7"/>
      <c r="BG82" s="14"/>
      <c r="BH82" s="14"/>
      <c r="BI82" s="14"/>
      <c r="BJ82" s="14"/>
      <c r="BK82" s="14"/>
    </row>
    <row r="83" spans="28:63" x14ac:dyDescent="0.55000000000000004">
      <c r="AL83" s="7"/>
      <c r="AM83" s="14"/>
      <c r="AN83" s="14"/>
      <c r="AO83" s="14"/>
      <c r="AP83" s="14"/>
      <c r="AQ83" s="14"/>
      <c r="AR83" s="14"/>
      <c r="AV83" s="14"/>
      <c r="AW83" s="14"/>
      <c r="AX83" s="14"/>
      <c r="AY83" s="14"/>
      <c r="AZ83" s="14"/>
      <c r="BB83">
        <f ca="1"/>
      </c>
      <c r="BC83">
        <f ca="1"/>
      </c>
      <c r="BD83">
        <f ca="1"/>
      </c>
      <c r="BF83" s="7"/>
      <c r="BG83" s="14"/>
      <c r="BH83" s="14"/>
      <c r="BI83" s="14"/>
      <c r="BJ83" s="14"/>
      <c r="BK83" s="14"/>
    </row>
    <row r="84" spans="28:63" x14ac:dyDescent="0.55000000000000004">
      <c r="AL84" s="7"/>
      <c r="AM84" s="14"/>
      <c r="AN84" s="14"/>
      <c r="AO84" s="14"/>
      <c r="AP84" s="14"/>
      <c r="AQ84" s="14"/>
      <c r="AR84" s="14"/>
      <c r="AV84" s="14"/>
      <c r="AW84" s="14"/>
      <c r="AX84" s="14"/>
      <c r="AY84" s="14"/>
      <c r="AZ84" s="14"/>
      <c r="BB84">
        <f ca="1"/>
      </c>
      <c r="BC84">
        <f ca="1"/>
      </c>
      <c r="BD84">
        <f ca="1"/>
      </c>
      <c r="BF84" s="7"/>
      <c r="BG84" s="14"/>
      <c r="BH84" s="14"/>
      <c r="BI84" s="14"/>
      <c r="BJ84" s="14"/>
      <c r="BK84" s="14"/>
    </row>
    <row r="85" spans="28:63" x14ac:dyDescent="0.55000000000000004">
      <c r="AL85" s="7"/>
      <c r="AM85" s="14"/>
      <c r="AN85" s="14"/>
      <c r="AO85" s="14"/>
      <c r="AP85" s="14"/>
      <c r="AQ85" s="14"/>
      <c r="AR85" s="14"/>
      <c r="AV85" s="14"/>
      <c r="AW85" s="14"/>
      <c r="AX85" s="14"/>
      <c r="AY85" s="14"/>
      <c r="AZ85" s="14"/>
      <c r="BB85">
        <f ca="1"/>
      </c>
      <c r="BC85">
        <f ca="1"/>
      </c>
      <c r="BD85">
        <f ca="1"/>
      </c>
      <c r="BF85" s="7"/>
      <c r="BG85" s="14"/>
      <c r="BH85" s="14"/>
      <c r="BI85" s="14"/>
      <c r="BJ85" s="14"/>
      <c r="BK85" s="14"/>
    </row>
    <row r="86" spans="28:63" x14ac:dyDescent="0.55000000000000004">
      <c r="AL86" s="7"/>
      <c r="AM86" s="14"/>
      <c r="AN86" s="14"/>
      <c r="AO86" s="14"/>
      <c r="AP86" s="14"/>
      <c r="AQ86" s="14"/>
      <c r="AR86" s="14"/>
      <c r="AV86" s="14"/>
      <c r="AW86" s="14"/>
      <c r="AX86" s="14"/>
      <c r="AY86" s="14"/>
      <c r="AZ86" s="14"/>
      <c r="BB86">
        <f ca="1"/>
      </c>
      <c r="BC86">
        <f ca="1"/>
      </c>
      <c r="BD86">
        <f ca="1"/>
      </c>
      <c r="BF86" s="7"/>
      <c r="BG86" s="14"/>
      <c r="BH86" s="14"/>
      <c r="BI86" s="14"/>
      <c r="BJ86" s="14"/>
      <c r="BK86" s="14"/>
    </row>
    <row r="87" spans="28:63" x14ac:dyDescent="0.55000000000000004">
      <c r="AL87" s="7"/>
      <c r="AM87" s="14"/>
      <c r="AN87" s="14"/>
      <c r="AO87" s="14"/>
      <c r="AP87" s="14"/>
      <c r="AQ87" s="14"/>
      <c r="AR87" s="14"/>
      <c r="AV87" s="14"/>
      <c r="AW87" s="14"/>
      <c r="AX87" s="14"/>
      <c r="AY87" s="14"/>
      <c r="AZ87" s="14"/>
      <c r="BB87">
        <f ca="1"/>
      </c>
      <c r="BC87">
        <f ca="1"/>
      </c>
      <c r="BD87">
        <f ca="1"/>
      </c>
      <c r="BF87" s="7"/>
      <c r="BG87" s="14"/>
      <c r="BH87" s="14"/>
      <c r="BI87" s="14"/>
      <c r="BJ87" s="14"/>
      <c r="BK87" s="14"/>
    </row>
    <row r="88" spans="28:63" x14ac:dyDescent="0.55000000000000004">
      <c r="AL88" s="7"/>
      <c r="AM88" s="14"/>
      <c r="AN88" s="14"/>
      <c r="AO88" s="14"/>
      <c r="AP88" s="14"/>
      <c r="AQ88" s="14"/>
      <c r="AR88" s="14"/>
      <c r="AV88" s="14"/>
      <c r="AW88" s="14"/>
      <c r="AX88" s="14"/>
      <c r="AY88" s="14"/>
      <c r="AZ88" s="14"/>
      <c r="BB88">
        <f ca="1"/>
      </c>
      <c r="BC88">
        <f ca="1"/>
      </c>
      <c r="BD88">
        <f ca="1"/>
      </c>
      <c r="BF88" s="7"/>
      <c r="BG88" s="14"/>
      <c r="BH88" s="14"/>
      <c r="BI88" s="14"/>
      <c r="BJ88" s="14"/>
      <c r="BK88" s="14"/>
    </row>
    <row r="89" spans="28:63" x14ac:dyDescent="0.55000000000000004">
      <c r="AL89" s="7"/>
      <c r="AM89" s="14"/>
      <c r="AN89" s="14"/>
      <c r="AO89" s="14"/>
      <c r="AP89" s="14"/>
      <c r="AQ89" s="14"/>
      <c r="AR89" s="14"/>
      <c r="AV89" s="14"/>
      <c r="AW89" s="14"/>
      <c r="AX89" s="14"/>
      <c r="AY89" s="14"/>
      <c r="AZ89" s="14"/>
      <c r="BB89">
        <f ca="1"/>
      </c>
      <c r="BC89">
        <f ca="1"/>
      </c>
      <c r="BD89">
        <f ca="1"/>
      </c>
      <c r="BF89" s="7"/>
      <c r="BG89" s="14"/>
      <c r="BH89" s="14"/>
      <c r="BI89" s="14"/>
      <c r="BJ89" s="14"/>
      <c r="BK89" s="14"/>
    </row>
    <row r="90" spans="28:63" x14ac:dyDescent="0.55000000000000004">
      <c r="AL90" s="7"/>
      <c r="AM90" s="14"/>
      <c r="AN90" s="14"/>
      <c r="AO90" s="14"/>
      <c r="AP90" s="14"/>
      <c r="AQ90" s="14"/>
      <c r="AR90" s="14"/>
      <c r="AV90" s="14"/>
      <c r="AW90" s="14"/>
      <c r="AX90" s="14"/>
      <c r="AY90" s="14"/>
      <c r="AZ90" s="14"/>
      <c r="BB90">
        <f ca="1"/>
      </c>
      <c r="BC90">
        <f ca="1"/>
      </c>
      <c r="BD90">
        <f ca="1"/>
      </c>
      <c r="BF90" s="7"/>
      <c r="BG90" s="14"/>
      <c r="BH90" s="14"/>
      <c r="BI90" s="14"/>
      <c r="BJ90" s="14"/>
      <c r="BK90" s="14"/>
    </row>
    <row r="91" spans="28:63" x14ac:dyDescent="0.55000000000000004">
      <c r="AL91" s="7"/>
      <c r="AM91" s="14"/>
      <c r="AN91" s="14"/>
      <c r="AO91" s="14"/>
      <c r="AP91" s="14"/>
      <c r="AQ91" s="14"/>
      <c r="AR91" s="14"/>
      <c r="AV91" s="14"/>
      <c r="AW91" s="14"/>
      <c r="AX91" s="14"/>
      <c r="AY91" s="14"/>
      <c r="AZ91" s="14"/>
      <c r="BB91">
        <f ca="1"/>
      </c>
      <c r="BC91">
        <f ca="1"/>
      </c>
      <c r="BD91">
        <f ca="1"/>
      </c>
      <c r="BF91" s="7"/>
      <c r="BG91" s="14"/>
      <c r="BH91" s="14"/>
      <c r="BI91" s="14"/>
      <c r="BJ91" s="14"/>
      <c r="BK91" s="14"/>
    </row>
    <row r="92" spans="28:63" x14ac:dyDescent="0.55000000000000004">
      <c r="AL92" s="7"/>
      <c r="AM92" s="14"/>
      <c r="AN92" s="14"/>
      <c r="AO92" s="14"/>
      <c r="AP92" s="14"/>
      <c r="AQ92" s="14"/>
      <c r="AR92" s="14"/>
      <c r="AV92" s="14"/>
      <c r="AW92" s="14"/>
      <c r="AX92" s="14"/>
      <c r="AY92" s="14"/>
      <c r="AZ92" s="14"/>
      <c r="BB92">
        <f ca="1"/>
      </c>
      <c r="BC92">
        <f ca="1"/>
      </c>
      <c r="BD92">
        <f ca="1"/>
      </c>
      <c r="BF92" s="7"/>
      <c r="BG92" s="14"/>
      <c r="BH92" s="14"/>
      <c r="BI92" s="14"/>
      <c r="BJ92" s="14"/>
      <c r="BK92" s="14"/>
    </row>
    <row r="93" spans="28:63" x14ac:dyDescent="0.55000000000000004">
      <c r="AL93" s="7"/>
      <c r="AM93" s="14"/>
      <c r="AN93" s="14"/>
      <c r="AO93" s="14"/>
      <c r="AP93" s="14"/>
      <c r="AQ93" s="14"/>
      <c r="AR93" s="14"/>
      <c r="AV93" s="14"/>
      <c r="AW93" s="14"/>
      <c r="AX93" s="14"/>
      <c r="AY93" s="14"/>
      <c r="AZ93" s="14"/>
      <c r="BB93">
        <f ca="1"/>
      </c>
      <c r="BC93">
        <f ca="1"/>
      </c>
      <c r="BD93">
        <f ca="1"/>
      </c>
      <c r="BF93" s="7"/>
      <c r="BG93" s="14"/>
      <c r="BH93" s="14"/>
      <c r="BI93" s="14"/>
      <c r="BJ93" s="14"/>
      <c r="BK93" s="14"/>
    </row>
    <row r="94" spans="28:63" x14ac:dyDescent="0.55000000000000004">
      <c r="AL94" s="7"/>
      <c r="AM94" s="14"/>
      <c r="AN94" s="14"/>
      <c r="AO94" s="14"/>
      <c r="AP94" s="14"/>
      <c r="AQ94" s="14"/>
      <c r="AR94" s="14"/>
      <c r="AV94" s="14"/>
      <c r="AW94" s="14"/>
      <c r="AX94" s="14"/>
      <c r="AY94" s="14"/>
      <c r="AZ94" s="14"/>
      <c r="BB94">
        <f ca="1"/>
      </c>
      <c r="BC94">
        <f ca="1"/>
      </c>
      <c r="BD94">
        <f ca="1"/>
      </c>
      <c r="BF94" s="7"/>
      <c r="BG94" s="14"/>
      <c r="BH94" s="14"/>
      <c r="BI94" s="14"/>
      <c r="BJ94" s="14"/>
      <c r="BK94" s="14"/>
    </row>
    <row r="95" spans="28:63" x14ac:dyDescent="0.55000000000000004">
      <c r="AL95" s="7"/>
      <c r="AM95" s="14"/>
      <c r="AN95" s="14"/>
      <c r="AO95" s="14"/>
      <c r="AP95" s="14"/>
      <c r="AQ95" s="14"/>
      <c r="AR95" s="14"/>
      <c r="AV95" s="14"/>
      <c r="AW95" s="14"/>
      <c r="AX95" s="14"/>
      <c r="AY95" s="14"/>
      <c r="AZ95" s="14"/>
      <c r="BB95">
        <f ca="1"/>
      </c>
      <c r="BC95">
        <f ca="1"/>
      </c>
      <c r="BD95">
        <f ca="1"/>
      </c>
      <c r="BF95" s="7"/>
      <c r="BG95" s="14"/>
      <c r="BH95" s="14"/>
      <c r="BI95" s="14"/>
      <c r="BJ95" s="14"/>
      <c r="BK95" s="14"/>
    </row>
    <row r="96" spans="28:63" x14ac:dyDescent="0.55000000000000004">
      <c r="AL96" s="7"/>
      <c r="AM96" s="14"/>
      <c r="AN96" s="14"/>
      <c r="AO96" s="14"/>
      <c r="AP96" s="14"/>
      <c r="AQ96" s="14"/>
      <c r="AR96" s="14"/>
      <c r="AV96" s="14"/>
      <c r="AW96" s="14"/>
      <c r="AX96" s="14"/>
      <c r="AY96" s="14"/>
      <c r="AZ96" s="14"/>
      <c r="BB96">
        <f ca="1"/>
      </c>
      <c r="BC96">
        <f ca="1"/>
      </c>
      <c r="BD96">
        <f ca="1"/>
      </c>
      <c r="BF96" s="7"/>
      <c r="BG96" s="14"/>
      <c r="BH96" s="14"/>
      <c r="BI96" s="14"/>
      <c r="BJ96" s="14"/>
      <c r="BK96" s="14"/>
    </row>
    <row r="97" spans="28:63" x14ac:dyDescent="0.55000000000000004">
      <c r="AL97" s="7"/>
      <c r="AM97" s="14"/>
      <c r="AN97" s="14"/>
      <c r="AO97" s="14"/>
      <c r="AP97" s="14"/>
      <c r="AQ97" s="14"/>
      <c r="AR97" s="14"/>
      <c r="AV97" s="14"/>
      <c r="AW97" s="14"/>
      <c r="AX97" s="14"/>
      <c r="AY97" s="14"/>
      <c r="AZ97" s="14"/>
      <c r="BB97">
        <f ca="1"/>
      </c>
      <c r="BC97">
        <f ca="1"/>
      </c>
      <c r="BD97">
        <f ca="1"/>
      </c>
      <c r="BF97" s="7"/>
      <c r="BG97" s="14"/>
      <c r="BH97" s="14"/>
      <c r="BI97" s="14"/>
      <c r="BJ97" s="14"/>
      <c r="BK97" s="14"/>
    </row>
    <row r="98" spans="28:63" x14ac:dyDescent="0.55000000000000004">
      <c r="AL98" s="7"/>
      <c r="AM98" s="14"/>
      <c r="AN98" s="14"/>
      <c r="AO98" s="14"/>
      <c r="AP98" s="14"/>
      <c r="AQ98" s="14"/>
      <c r="AR98" s="14"/>
      <c r="AV98" s="14"/>
      <c r="AW98" s="14"/>
      <c r="AX98" s="14"/>
      <c r="AY98" s="14"/>
      <c r="AZ98" s="14"/>
      <c r="BB98">
        <f ca="1"/>
      </c>
      <c r="BC98">
        <f ca="1"/>
      </c>
      <c r="BD98">
        <f ca="1"/>
      </c>
      <c r="BF98" s="7"/>
      <c r="BG98" s="14"/>
      <c r="BH98" s="14"/>
      <c r="BI98" s="14"/>
      <c r="BJ98" s="14"/>
      <c r="BK98" s="14"/>
    </row>
    <row r="99" spans="28:63" x14ac:dyDescent="0.55000000000000004">
      <c r="AL99" s="7"/>
      <c r="AM99" s="14"/>
      <c r="AN99" s="14"/>
      <c r="AO99" s="14"/>
      <c r="AP99" s="14"/>
      <c r="AQ99" s="14"/>
      <c r="AR99" s="14"/>
      <c r="AV99" s="14"/>
      <c r="AW99" s="14"/>
      <c r="AX99" s="14"/>
      <c r="AY99" s="14"/>
      <c r="AZ99" s="14"/>
      <c r="BB99">
        <f ca="1"/>
      </c>
      <c r="BC99">
        <f ca="1"/>
      </c>
      <c r="BD99">
        <f ca="1"/>
      </c>
      <c r="BF99" s="7"/>
      <c r="BG99" s="14"/>
      <c r="BH99" s="14"/>
      <c r="BI99" s="14"/>
      <c r="BJ99" s="14"/>
      <c r="BK99" s="14"/>
    </row>
    <row r="100" spans="28:63" x14ac:dyDescent="0.55000000000000004">
      <c r="AL100" s="7"/>
      <c r="AM100" s="14"/>
      <c r="AN100" s="14"/>
      <c r="AO100" s="14"/>
      <c r="AP100" s="14"/>
      <c r="AQ100" s="14"/>
      <c r="AR100" s="14"/>
      <c r="AV100" s="14"/>
      <c r="AW100" s="14"/>
      <c r="AX100" s="14"/>
      <c r="AY100" s="14"/>
      <c r="AZ100" s="14"/>
      <c r="BB100">
        <f ca="1"/>
      </c>
      <c r="BC100">
        <f ca="1"/>
      </c>
      <c r="BD100">
        <f ca="1"/>
      </c>
      <c r="BF100" s="7"/>
      <c r="BG100" s="14"/>
      <c r="BH100" s="14"/>
      <c r="BI100" s="14"/>
      <c r="BJ100" s="14"/>
      <c r="BK100" s="14"/>
    </row>
    <row r="101" spans="28:63" x14ac:dyDescent="0.55000000000000004">
      <c r="AL101" s="7"/>
      <c r="AM101" s="14"/>
      <c r="AN101" s="14"/>
      <c r="AO101" s="14"/>
      <c r="AP101" s="14"/>
      <c r="AQ101" s="14"/>
      <c r="AR101" s="14"/>
      <c r="AV101" s="14"/>
      <c r="AW101" s="14"/>
      <c r="AX101" s="14"/>
      <c r="AY101" s="14"/>
      <c r="AZ101" s="14"/>
      <c r="BB101">
        <f ca="1"/>
      </c>
      <c r="BC101">
        <f ca="1"/>
      </c>
      <c r="BD101">
        <f ca="1"/>
      </c>
      <c r="BF101" s="7"/>
      <c r="BG101" s="14"/>
      <c r="BH101" s="14"/>
      <c r="BI101" s="14"/>
      <c r="BJ101" s="14"/>
      <c r="BK101" s="14"/>
    </row>
    <row r="102" spans="28:63" x14ac:dyDescent="0.55000000000000004">
      <c r="AL102" s="7"/>
      <c r="AM102" s="14"/>
      <c r="AN102" s="14"/>
      <c r="AO102" s="14"/>
      <c r="AP102" s="14"/>
      <c r="AQ102" s="14"/>
      <c r="AR102" s="14"/>
      <c r="AV102" s="14"/>
      <c r="AW102" s="14"/>
      <c r="AX102" s="14"/>
      <c r="AY102" s="14"/>
      <c r="AZ102" s="14"/>
      <c r="BB102">
        <f ca="1"/>
      </c>
      <c r="BC102">
        <f ca="1"/>
      </c>
      <c r="BD102">
        <f ca="1"/>
      </c>
      <c r="BF102" s="7"/>
      <c r="BG102" s="14"/>
      <c r="BH102" s="14"/>
      <c r="BI102" s="14"/>
      <c r="BJ102" s="14"/>
      <c r="BK102" s="14"/>
    </row>
    <row r="103" spans="28:63" x14ac:dyDescent="0.55000000000000004">
      <c r="AL103" s="7"/>
      <c r="AM103" s="14"/>
      <c r="AN103" s="14"/>
      <c r="AO103" s="14"/>
      <c r="AP103" s="14"/>
      <c r="AQ103" s="14"/>
      <c r="AR103" s="14"/>
      <c r="AV103" s="14"/>
      <c r="AW103" s="14"/>
      <c r="AX103" s="14"/>
      <c r="AY103" s="14"/>
      <c r="AZ103" s="14"/>
      <c r="BB103">
        <f ca="1"/>
      </c>
      <c r="BC103">
        <f ca="1"/>
      </c>
      <c r="BD103">
        <f ca="1"/>
      </c>
      <c r="BF103" s="7"/>
      <c r="BG103" s="14"/>
      <c r="BH103" s="14"/>
      <c r="BI103" s="14"/>
      <c r="BJ103" s="14"/>
      <c r="BK103" s="14"/>
    </row>
    <row r="104" spans="28:63" x14ac:dyDescent="0.55000000000000004">
      <c r="AL104" s="7"/>
      <c r="AM104" s="14"/>
      <c r="AN104" s="14"/>
      <c r="AO104" s="14"/>
      <c r="AP104" s="14"/>
      <c r="AQ104" s="14"/>
      <c r="AR104" s="14"/>
      <c r="AV104" s="14"/>
      <c r="AW104" s="14"/>
      <c r="AX104" s="14"/>
      <c r="AY104" s="14"/>
      <c r="AZ104" s="14"/>
      <c r="BB104">
        <f ca="1"/>
      </c>
      <c r="BC104">
        <f ca="1"/>
      </c>
      <c r="BD104">
        <f ca="1"/>
      </c>
      <c r="BF104" s="7"/>
      <c r="BG104" s="14"/>
      <c r="BH104" s="14"/>
      <c r="BI104" s="14"/>
      <c r="BJ104" s="14"/>
      <c r="BK104" s="14"/>
    </row>
    <row r="105" spans="28:63" x14ac:dyDescent="0.55000000000000004">
      <c r="AL105" s="7"/>
      <c r="AM105" s="14"/>
      <c r="AN105" s="14"/>
      <c r="AO105" s="14"/>
      <c r="AP105" s="14"/>
      <c r="AQ105" s="14"/>
      <c r="AR105" s="14"/>
      <c r="AV105" s="14"/>
      <c r="AW105" s="14"/>
      <c r="AX105" s="14"/>
      <c r="AY105" s="14"/>
      <c r="AZ105" s="14"/>
      <c r="BB105">
        <f ca="1"/>
      </c>
      <c r="BC105">
        <f ca="1"/>
      </c>
      <c r="BD105">
        <f ca="1"/>
      </c>
      <c r="BF105" s="7"/>
      <c r="BG105" s="14"/>
      <c r="BH105" s="14"/>
      <c r="BI105" s="14"/>
      <c r="BJ105" s="14"/>
      <c r="BK105" s="14"/>
    </row>
    <row r="106" spans="28:63" x14ac:dyDescent="0.55000000000000004">
      <c r="AL106" s="7"/>
      <c r="AM106" s="14"/>
      <c r="AN106" s="14"/>
      <c r="AO106" s="14"/>
      <c r="AP106" s="14"/>
      <c r="AQ106" s="14"/>
      <c r="AR106" s="14"/>
      <c r="AV106" s="14"/>
      <c r="AW106" s="14"/>
      <c r="AX106" s="14"/>
      <c r="AY106" s="14"/>
      <c r="AZ106" s="14"/>
      <c r="BB106">
        <f ca="1"/>
      </c>
      <c r="BC106">
        <f ca="1"/>
      </c>
      <c r="BD106">
        <f ca="1"/>
      </c>
      <c r="BF106" s="7"/>
      <c r="BG106" s="14"/>
      <c r="BH106" s="14"/>
      <c r="BI106" s="14"/>
      <c r="BJ106" s="14"/>
      <c r="BK106" s="14"/>
    </row>
    <row r="107" spans="28:63" x14ac:dyDescent="0.55000000000000004">
      <c r="AL107" s="7"/>
      <c r="AM107" s="14"/>
      <c r="AN107" s="14"/>
      <c r="AO107" s="14"/>
      <c r="AP107" s="14"/>
      <c r="AQ107" s="14"/>
      <c r="AR107" s="14"/>
      <c r="AV107" s="14"/>
      <c r="AW107" s="14"/>
      <c r="AX107" s="14"/>
      <c r="AY107" s="14"/>
      <c r="AZ107" s="14"/>
      <c r="BB107">
        <f ca="1"/>
      </c>
      <c r="BC107">
        <f ca="1"/>
      </c>
      <c r="BD107">
        <f ca="1"/>
      </c>
      <c r="BF107" s="7"/>
      <c r="BG107" s="14"/>
      <c r="BH107" s="14"/>
      <c r="BI107" s="14"/>
      <c r="BJ107" s="14"/>
      <c r="BK107" s="14"/>
    </row>
    <row r="108" spans="28:63" x14ac:dyDescent="0.55000000000000004">
      <c r="AL108" s="7"/>
      <c r="AM108" s="14"/>
      <c r="AN108" s="14"/>
      <c r="AO108" s="14"/>
      <c r="AP108" s="14"/>
      <c r="AQ108" s="14"/>
      <c r="AR108" s="14"/>
      <c r="AV108" s="14"/>
      <c r="AW108" s="14"/>
      <c r="AX108" s="14"/>
      <c r="AY108" s="14"/>
      <c r="AZ108" s="14"/>
      <c r="BB108">
        <f ca="1"/>
      </c>
      <c r="BC108">
        <f ca="1"/>
      </c>
      <c r="BD108">
        <f ca="1"/>
      </c>
      <c r="BF108" s="7"/>
      <c r="BG108" s="14"/>
      <c r="BH108" s="14"/>
      <c r="BI108" s="14"/>
      <c r="BJ108" s="14"/>
      <c r="BK108" s="14"/>
    </row>
    <row r="109" spans="28:63" x14ac:dyDescent="0.55000000000000004">
      <c r="AL109" s="7"/>
      <c r="AM109" s="14"/>
      <c r="AN109" s="14"/>
      <c r="AO109" s="14"/>
      <c r="AP109" s="14"/>
      <c r="AQ109" s="14"/>
      <c r="AR109" s="14"/>
      <c r="AV109" s="14"/>
      <c r="AW109" s="14"/>
      <c r="AX109" s="14"/>
      <c r="AY109" s="14"/>
      <c r="AZ109" s="14"/>
      <c r="BB109">
        <f ca="1"/>
      </c>
      <c r="BC109">
        <f ca="1"/>
      </c>
      <c r="BD109">
        <f ca="1"/>
      </c>
      <c r="BF109" s="7"/>
      <c r="BG109" s="14"/>
      <c r="BH109" s="14"/>
      <c r="BI109" s="14"/>
      <c r="BJ109" s="14"/>
      <c r="BK109" s="14"/>
    </row>
    <row r="110" spans="28:63" x14ac:dyDescent="0.55000000000000004">
      <c r="AL110" s="7"/>
      <c r="AM110" s="14"/>
      <c r="AN110" s="14"/>
      <c r="AO110" s="14"/>
      <c r="AP110" s="14"/>
      <c r="AQ110" s="14"/>
      <c r="AR110" s="14"/>
      <c r="AV110" s="14"/>
      <c r="AW110" s="14"/>
      <c r="AX110" s="14"/>
      <c r="AY110" s="14"/>
      <c r="AZ110" s="14"/>
      <c r="BB110">
        <f ca="1"/>
      </c>
      <c r="BC110">
        <f ca="1"/>
      </c>
      <c r="BD110">
        <f ca="1"/>
      </c>
      <c r="BF110" s="7"/>
      <c r="BG110" s="14"/>
      <c r="BH110" s="14"/>
      <c r="BI110" s="14"/>
      <c r="BJ110" s="14"/>
      <c r="BK110" s="14"/>
    </row>
    <row r="111" spans="28:63" x14ac:dyDescent="0.55000000000000004">
      <c r="AL111" s="7"/>
      <c r="AM111" s="14"/>
      <c r="AN111" s="14"/>
      <c r="AO111" s="14"/>
      <c r="AP111" s="14"/>
      <c r="AQ111" s="14"/>
      <c r="AR111" s="14"/>
      <c r="AV111" s="14"/>
      <c r="AW111" s="14"/>
      <c r="AX111" s="14"/>
      <c r="AY111" s="14"/>
      <c r="AZ111" s="14"/>
      <c r="BB111">
        <f ca="1"/>
      </c>
      <c r="BC111">
        <f ca="1"/>
      </c>
      <c r="BD111">
        <f ca="1"/>
      </c>
      <c r="BF111" s="7"/>
      <c r="BG111" s="14"/>
      <c r="BH111" s="14"/>
      <c r="BI111" s="14"/>
      <c r="BJ111" s="14"/>
      <c r="BK111" s="14"/>
    </row>
    <row r="112" spans="28:63" x14ac:dyDescent="0.55000000000000004">
      <c r="AL112" s="7"/>
      <c r="AM112" s="14"/>
      <c r="AN112" s="14"/>
      <c r="AO112" s="14"/>
      <c r="AP112" s="14"/>
      <c r="AQ112" s="14"/>
      <c r="AR112" s="14"/>
      <c r="AV112" s="14"/>
      <c r="AW112" s="14"/>
      <c r="AX112" s="14"/>
      <c r="AY112" s="14"/>
      <c r="AZ112" s="14"/>
      <c r="BB112">
        <f ca="1"/>
      </c>
      <c r="BC112">
        <f ca="1"/>
      </c>
      <c r="BD112">
        <f ca="1"/>
      </c>
      <c r="BF112" s="7"/>
      <c r="BG112" s="14"/>
      <c r="BH112" s="14"/>
      <c r="BI112" s="14"/>
      <c r="BJ112" s="14"/>
      <c r="BK112" s="14"/>
    </row>
    <row r="113" spans="28:63" x14ac:dyDescent="0.55000000000000004">
      <c r="AL113" s="7"/>
      <c r="AM113" s="14"/>
      <c r="AN113" s="14"/>
      <c r="AO113" s="14"/>
      <c r="AP113" s="14"/>
      <c r="AQ113" s="14"/>
      <c r="AR113" s="14"/>
      <c r="AV113" s="14"/>
      <c r="AW113" s="14"/>
      <c r="AX113" s="14"/>
      <c r="AY113" s="14"/>
      <c r="AZ113" s="14"/>
      <c r="BB113">
        <f ca="1"/>
      </c>
      <c r="BC113">
        <f ca="1"/>
      </c>
      <c r="BD113">
        <f ca="1"/>
      </c>
      <c r="BF113" s="7"/>
      <c r="BG113" s="14"/>
      <c r="BH113" s="14"/>
      <c r="BI113" s="14"/>
      <c r="BJ113" s="14"/>
      <c r="BK113" s="14"/>
    </row>
    <row r="114" spans="28:63" x14ac:dyDescent="0.55000000000000004">
      <c r="AL114" s="7"/>
      <c r="AM114" s="14"/>
      <c r="AN114" s="14"/>
      <c r="AO114" s="14"/>
      <c r="AP114" s="14"/>
      <c r="AQ114" s="14"/>
      <c r="AR114" s="14"/>
      <c r="AV114" s="14"/>
      <c r="AW114" s="14"/>
      <c r="AX114" s="14"/>
      <c r="AY114" s="14"/>
      <c r="AZ114" s="14"/>
      <c r="BB114">
        <f ca="1"/>
      </c>
      <c r="BC114">
        <f ca="1"/>
      </c>
      <c r="BD114">
        <f ca="1"/>
      </c>
      <c r="BF114" s="7"/>
      <c r="BG114" s="14"/>
      <c r="BH114" s="14"/>
      <c r="BI114" s="14"/>
      <c r="BJ114" s="14"/>
      <c r="BK114" s="14"/>
    </row>
    <row r="115" spans="28:63" x14ac:dyDescent="0.55000000000000004">
      <c r="AL115" s="7"/>
      <c r="AM115" s="14"/>
      <c r="AN115" s="14"/>
      <c r="AO115" s="14"/>
      <c r="AP115" s="14"/>
      <c r="AQ115" s="14"/>
      <c r="AR115" s="14"/>
      <c r="AV115" s="14"/>
      <c r="AW115" s="14"/>
      <c r="AX115" s="14"/>
      <c r="AY115" s="14"/>
      <c r="AZ115" s="14"/>
      <c r="BB115">
        <f ca="1"/>
      </c>
      <c r="BC115">
        <f ca="1"/>
      </c>
      <c r="BD115">
        <f ca="1"/>
      </c>
      <c r="BF115" s="7"/>
      <c r="BG115" s="14"/>
      <c r="BH115" s="14"/>
      <c r="BI115" s="14"/>
      <c r="BJ115" s="14"/>
      <c r="BK115" s="14"/>
    </row>
    <row r="116" spans="28:63" x14ac:dyDescent="0.55000000000000004">
      <c r="AL116" s="7"/>
      <c r="AM116" s="14"/>
      <c r="AN116" s="14"/>
      <c r="AO116" s="14"/>
      <c r="AP116" s="14"/>
      <c r="AQ116" s="14"/>
      <c r="AR116" s="14"/>
      <c r="AV116" s="14"/>
      <c r="AW116" s="14"/>
      <c r="AX116" s="14"/>
      <c r="AY116" s="14"/>
      <c r="AZ116" s="14"/>
      <c r="BB116">
        <f ca="1"/>
      </c>
      <c r="BC116">
        <f ca="1"/>
      </c>
      <c r="BD116">
        <f ca="1"/>
      </c>
      <c r="BF116" s="7"/>
      <c r="BG116" s="14"/>
      <c r="BH116" s="14"/>
      <c r="BI116" s="14"/>
      <c r="BJ116" s="14"/>
      <c r="BK116" s="14"/>
    </row>
    <row r="117" spans="28:63" x14ac:dyDescent="0.55000000000000004">
      <c r="AL117" s="7"/>
      <c r="AM117" s="14"/>
      <c r="AN117" s="14"/>
      <c r="AO117" s="14"/>
      <c r="AP117" s="14"/>
      <c r="AQ117" s="14"/>
      <c r="AR117" s="14"/>
      <c r="AV117" s="14"/>
      <c r="AW117" s="14"/>
      <c r="AX117" s="14"/>
      <c r="AY117" s="14"/>
      <c r="AZ117" s="14"/>
      <c r="BB117">
        <f ca="1"/>
      </c>
      <c r="BC117">
        <f ca="1"/>
      </c>
      <c r="BD117">
        <f ca="1"/>
      </c>
      <c r="BF117" s="7"/>
      <c r="BG117" s="14"/>
      <c r="BH117" s="14"/>
      <c r="BI117" s="14"/>
      <c r="BJ117" s="14"/>
      <c r="BK117" s="14"/>
    </row>
    <row r="118" spans="28:63" x14ac:dyDescent="0.55000000000000004">
      <c r="AL118" s="7"/>
      <c r="AM118" s="14"/>
      <c r="AN118" s="14"/>
      <c r="AO118" s="14"/>
      <c r="AP118" s="14"/>
      <c r="AQ118" s="14"/>
      <c r="AR118" s="14"/>
      <c r="AV118" s="14"/>
      <c r="AW118" s="14"/>
      <c r="AX118" s="14"/>
      <c r="AY118" s="14"/>
      <c r="AZ118" s="14"/>
      <c r="BB118">
        <f ca="1"/>
      </c>
      <c r="BC118">
        <f ca="1"/>
      </c>
      <c r="BD118">
        <f ca="1"/>
      </c>
      <c r="BF118" s="7"/>
      <c r="BG118" s="14"/>
      <c r="BH118" s="14"/>
      <c r="BI118" s="14"/>
      <c r="BJ118" s="14"/>
      <c r="BK118" s="14"/>
    </row>
    <row r="119" spans="28:63" x14ac:dyDescent="0.55000000000000004">
      <c r="AL119" s="7"/>
      <c r="AM119" s="14"/>
      <c r="AN119" s="14"/>
      <c r="AO119" s="14"/>
      <c r="AP119" s="14"/>
      <c r="AQ119" s="14"/>
      <c r="AR119" s="14"/>
      <c r="AV119" s="14"/>
      <c r="AW119" s="14"/>
      <c r="AX119" s="14"/>
      <c r="AY119" s="14"/>
      <c r="AZ119" s="14"/>
      <c r="BB119">
        <f ca="1"/>
      </c>
      <c r="BC119">
        <f ca="1"/>
      </c>
      <c r="BD119">
        <f ca="1"/>
      </c>
      <c r="BF119" s="7"/>
      <c r="BG119" s="14"/>
      <c r="BH119" s="14"/>
      <c r="BI119" s="14"/>
      <c r="BJ119" s="14"/>
      <c r="BK119" s="14"/>
    </row>
    <row r="120" spans="28:63" x14ac:dyDescent="0.55000000000000004">
      <c r="AL120" s="7"/>
      <c r="AM120" s="14"/>
      <c r="AN120" s="14"/>
      <c r="AO120" s="14"/>
      <c r="AP120" s="14"/>
      <c r="AQ120" s="14"/>
      <c r="AR120" s="14"/>
      <c r="AV120" s="14"/>
      <c r="AW120" s="14"/>
      <c r="AX120" s="14"/>
      <c r="AY120" s="14"/>
      <c r="AZ120" s="14"/>
      <c r="BB120">
        <f ca="1"/>
      </c>
      <c r="BC120">
        <f ca="1"/>
      </c>
      <c r="BD120">
        <f ca="1"/>
      </c>
      <c r="BF120" s="7"/>
      <c r="BG120" s="14"/>
      <c r="BH120" s="14"/>
      <c r="BI120" s="14"/>
      <c r="BJ120" s="14"/>
      <c r="BK120" s="14"/>
    </row>
    <row r="121" spans="28:63" x14ac:dyDescent="0.55000000000000004">
      <c r="AL121" s="7"/>
      <c r="AM121" s="14"/>
      <c r="AN121" s="14"/>
      <c r="AO121" s="14"/>
      <c r="AP121" s="14"/>
      <c r="AQ121" s="14"/>
      <c r="AR121" s="14"/>
      <c r="AV121" s="14"/>
      <c r="AW121" s="14"/>
      <c r="AX121" s="14"/>
      <c r="AY121" s="14"/>
      <c r="AZ121" s="14"/>
      <c r="BB121">
        <f ca="1"/>
      </c>
      <c r="BC121">
        <f ca="1"/>
      </c>
      <c r="BD121">
        <f ca="1"/>
      </c>
      <c r="BF121" s="7"/>
      <c r="BG121" s="14"/>
      <c r="BH121" s="14"/>
      <c r="BI121" s="14"/>
      <c r="BJ121" s="14"/>
      <c r="BK121" s="14"/>
    </row>
    <row r="122" spans="28:63" x14ac:dyDescent="0.55000000000000004">
      <c r="AL122" s="7"/>
      <c r="AM122" s="14"/>
      <c r="AN122" s="14"/>
      <c r="AO122" s="14"/>
      <c r="AP122" s="14"/>
      <c r="AQ122" s="14"/>
      <c r="AR122" s="14"/>
      <c r="AV122" s="14"/>
      <c r="AW122" s="14"/>
      <c r="AX122" s="14"/>
      <c r="AY122" s="14"/>
      <c r="AZ122" s="14"/>
      <c r="BB122">
        <f ca="1"/>
      </c>
      <c r="BC122">
        <f ca="1"/>
      </c>
      <c r="BD122">
        <f ca="1"/>
      </c>
      <c r="BF122" s="7"/>
      <c r="BG122" s="14"/>
      <c r="BH122" s="14"/>
      <c r="BI122" s="14"/>
      <c r="BJ122" s="14"/>
      <c r="BK122" s="14"/>
    </row>
    <row r="123" spans="28:63" x14ac:dyDescent="0.55000000000000004">
      <c r="AL123" s="7"/>
      <c r="AM123" s="14"/>
      <c r="AN123" s="14"/>
      <c r="AO123" s="14"/>
      <c r="AP123" s="14"/>
      <c r="AQ123" s="14"/>
      <c r="AR123" s="14"/>
      <c r="AV123" s="14"/>
      <c r="AW123" s="14"/>
      <c r="AX123" s="14"/>
      <c r="AY123" s="14"/>
      <c r="AZ123" s="14"/>
      <c r="BB123">
        <f ca="1"/>
      </c>
      <c r="BC123">
        <f ca="1"/>
      </c>
      <c r="BD123">
        <f ca="1"/>
      </c>
      <c r="BF123" s="7"/>
      <c r="BG123" s="14"/>
      <c r="BH123" s="14"/>
      <c r="BI123" s="14"/>
      <c r="BJ123" s="14"/>
      <c r="BK123" s="14"/>
    </row>
    <row r="124" spans="28:63" x14ac:dyDescent="0.55000000000000004">
      <c r="AL124" s="7"/>
      <c r="AM124" s="14"/>
      <c r="AN124" s="14"/>
      <c r="AO124" s="14"/>
      <c r="AP124" s="14"/>
      <c r="AQ124" s="14"/>
      <c r="AR124" s="14"/>
      <c r="AV124" s="14"/>
      <c r="AW124" s="14"/>
      <c r="AX124" s="14"/>
      <c r="AY124" s="14"/>
      <c r="AZ124" s="14"/>
      <c r="BB124">
        <f ca="1"/>
      </c>
      <c r="BC124">
        <f ca="1"/>
      </c>
      <c r="BD124">
        <f ca="1"/>
      </c>
      <c r="BF124" s="7"/>
      <c r="BG124" s="14"/>
      <c r="BH124" s="14"/>
      <c r="BI124" s="14"/>
      <c r="BJ124" s="14"/>
      <c r="BK124" s="14"/>
    </row>
    <row r="125" spans="28:63" x14ac:dyDescent="0.55000000000000004">
      <c r="AL125" s="7"/>
      <c r="AM125" s="14"/>
      <c r="AN125" s="14"/>
      <c r="AO125" s="14"/>
      <c r="AP125" s="14"/>
      <c r="AQ125" s="14"/>
      <c r="AR125" s="14"/>
      <c r="AV125" s="14"/>
      <c r="AW125" s="14"/>
      <c r="AX125" s="14"/>
      <c r="AY125" s="14"/>
      <c r="AZ125" s="14"/>
      <c r="BB125">
        <f ca="1"/>
      </c>
      <c r="BC125">
        <f ca="1"/>
      </c>
      <c r="BD125">
        <f ca="1"/>
      </c>
      <c r="BF125" s="7"/>
      <c r="BG125" s="14"/>
      <c r="BH125" s="14"/>
      <c r="BI125" s="14"/>
      <c r="BJ125" s="14"/>
      <c r="BK125" s="14"/>
    </row>
    <row r="126" spans="28:63" x14ac:dyDescent="0.55000000000000004">
      <c r="AL126" s="7"/>
      <c r="AM126" s="14"/>
      <c r="AN126" s="14"/>
      <c r="AO126" s="14"/>
      <c r="AP126" s="14"/>
      <c r="AQ126" s="14"/>
      <c r="AR126" s="14"/>
      <c r="AV126" s="14"/>
      <c r="AW126" s="14"/>
      <c r="AX126" s="14"/>
      <c r="AY126" s="14"/>
      <c r="AZ126" s="14"/>
      <c r="BB126">
        <f ca="1"/>
      </c>
      <c r="BC126">
        <f ca="1"/>
      </c>
      <c r="BD126">
        <f ca="1"/>
      </c>
      <c r="BF126" s="7"/>
      <c r="BG126" s="14"/>
      <c r="BH126" s="14"/>
      <c r="BI126" s="14"/>
      <c r="BJ126" s="14"/>
      <c r="BK126" s="14"/>
    </row>
    <row r="127" spans="28:63" x14ac:dyDescent="0.55000000000000004">
      <c r="AL127" s="7"/>
      <c r="AM127" s="14"/>
      <c r="AN127" s="14"/>
      <c r="AO127" s="14"/>
      <c r="AP127" s="14"/>
      <c r="AQ127" s="14"/>
      <c r="AR127" s="14"/>
      <c r="AV127" s="14"/>
      <c r="AW127" s="14"/>
      <c r="AX127" s="14"/>
      <c r="AY127" s="14"/>
      <c r="AZ127" s="14"/>
      <c r="BB127">
        <f ca="1"/>
      </c>
      <c r="BC127">
        <f ca="1"/>
      </c>
      <c r="BD127">
        <f ca="1"/>
      </c>
      <c r="BF127" s="7"/>
      <c r="BG127" s="14"/>
      <c r="BH127" s="14"/>
      <c r="BI127" s="14"/>
      <c r="BJ127" s="14"/>
      <c r="BK127" s="14"/>
    </row>
    <row r="128" spans="28:63" x14ac:dyDescent="0.55000000000000004">
      <c r="AL128" s="7"/>
      <c r="AM128" s="14"/>
      <c r="AN128" s="14"/>
      <c r="AO128" s="14"/>
      <c r="AP128" s="14"/>
      <c r="AQ128" s="14"/>
      <c r="AR128" s="14"/>
      <c r="AV128" s="14"/>
      <c r="AW128" s="14"/>
      <c r="AX128" s="14"/>
      <c r="AY128" s="14"/>
      <c r="AZ128" s="14"/>
      <c r="BB128">
        <f ca="1"/>
      </c>
      <c r="BC128">
        <f ca="1"/>
      </c>
      <c r="BD128">
        <f ca="1"/>
      </c>
      <c r="BF128" s="7"/>
      <c r="BG128" s="14"/>
      <c r="BH128" s="14"/>
      <c r="BI128" s="14"/>
      <c r="BJ128" s="14"/>
      <c r="BK128" s="14"/>
    </row>
    <row r="129" spans="28:63" x14ac:dyDescent="0.55000000000000004">
      <c r="AL129" s="7"/>
      <c r="AM129" s="14"/>
      <c r="AN129" s="14"/>
      <c r="AO129" s="14"/>
      <c r="AP129" s="14"/>
      <c r="AQ129" s="14"/>
      <c r="AR129" s="14"/>
      <c r="AV129" s="14"/>
      <c r="AW129" s="14"/>
      <c r="AX129" s="14"/>
      <c r="AY129" s="14"/>
      <c r="AZ129" s="14"/>
      <c r="BB129">
        <f ca="1"/>
      </c>
      <c r="BC129">
        <f ca="1"/>
      </c>
      <c r="BD129">
        <f ca="1"/>
      </c>
      <c r="BF129" s="7"/>
      <c r="BG129" s="14"/>
      <c r="BH129" s="14"/>
      <c r="BI129" s="14"/>
      <c r="BJ129" s="14"/>
      <c r="BK129" s="14"/>
    </row>
    <row r="130" spans="28:63" x14ac:dyDescent="0.55000000000000004">
      <c r="AL130" s="7"/>
      <c r="AM130" s="14"/>
      <c r="AN130" s="14"/>
      <c r="AO130" s="14"/>
      <c r="AP130" s="14"/>
      <c r="AQ130" s="14"/>
      <c r="AR130" s="14"/>
      <c r="AV130" s="14"/>
      <c r="AW130" s="14"/>
      <c r="AX130" s="14"/>
      <c r="AY130" s="14"/>
      <c r="AZ130" s="14"/>
      <c r="BB130">
        <f ca="1"/>
      </c>
      <c r="BC130">
        <f ca="1"/>
      </c>
      <c r="BD130">
        <f ca="1"/>
      </c>
      <c r="BF130" s="7"/>
      <c r="BG130" s="14"/>
      <c r="BH130" s="14"/>
      <c r="BI130" s="14"/>
      <c r="BJ130" s="14"/>
      <c r="BK130" s="14"/>
    </row>
    <row r="131" spans="28:63" x14ac:dyDescent="0.55000000000000004">
      <c r="AL131" s="7"/>
      <c r="AM131" s="14"/>
      <c r="AN131" s="14"/>
      <c r="AO131" s="14"/>
      <c r="AP131" s="14"/>
      <c r="AQ131" s="14"/>
      <c r="AR131" s="14"/>
      <c r="AV131" s="14"/>
      <c r="AW131" s="14"/>
      <c r="AX131" s="14"/>
      <c r="AY131" s="14"/>
      <c r="AZ131" s="14"/>
      <c r="BB131">
        <f ca="1"/>
      </c>
      <c r="BC131">
        <f ca="1"/>
      </c>
      <c r="BD131">
        <f ca="1"/>
      </c>
      <c r="BF131" s="7"/>
      <c r="BG131" s="14"/>
      <c r="BH131" s="14"/>
      <c r="BI131" s="14"/>
      <c r="BJ131" s="14"/>
      <c r="BK131" s="14"/>
    </row>
    <row r="132" spans="28:63" x14ac:dyDescent="0.55000000000000004">
      <c r="AL132" s="7"/>
      <c r="AM132" s="14"/>
      <c r="AN132" s="14"/>
      <c r="AO132" s="14"/>
      <c r="AP132" s="14"/>
      <c r="AQ132" s="14"/>
      <c r="AR132" s="14"/>
      <c r="AV132" s="14"/>
      <c r="AW132" s="14"/>
      <c r="AX132" s="14"/>
      <c r="AY132" s="14"/>
      <c r="AZ132" s="14"/>
      <c r="BB132">
        <f ca="1"/>
      </c>
      <c r="BC132">
        <f ca="1"/>
      </c>
      <c r="BD132">
        <f ca="1"/>
      </c>
      <c r="BF132" s="7"/>
      <c r="BG132" s="14"/>
      <c r="BH132" s="14"/>
      <c r="BI132" s="14"/>
      <c r="BJ132" s="14"/>
      <c r="BK132" s="14"/>
    </row>
    <row r="133" spans="28:63" x14ac:dyDescent="0.55000000000000004">
      <c r="AL133" s="7"/>
      <c r="AM133" s="14"/>
      <c r="AN133" s="14"/>
      <c r="AO133" s="14"/>
      <c r="AP133" s="14"/>
      <c r="AQ133" s="14"/>
      <c r="AR133" s="14"/>
      <c r="AV133" s="14"/>
      <c r="AW133" s="14"/>
      <c r="AX133" s="14"/>
      <c r="AY133" s="14"/>
      <c r="AZ133" s="14"/>
      <c r="BB133">
        <f ca="1"/>
      </c>
      <c r="BC133">
        <f ca="1"/>
      </c>
      <c r="BD133">
        <f ca="1"/>
      </c>
      <c r="BF133" s="7"/>
      <c r="BG133" s="14"/>
      <c r="BH133" s="14"/>
      <c r="BI133" s="14"/>
      <c r="BJ133" s="14"/>
      <c r="BK133" s="14"/>
    </row>
    <row r="134" spans="28:63" x14ac:dyDescent="0.55000000000000004">
      <c r="AL134" s="7"/>
      <c r="AM134" s="14"/>
      <c r="AN134" s="14"/>
      <c r="AO134" s="14"/>
      <c r="AP134" s="14"/>
      <c r="AQ134" s="14"/>
      <c r="AR134" s="14"/>
      <c r="AV134" s="14"/>
      <c r="AW134" s="14"/>
      <c r="AX134" s="14"/>
      <c r="AY134" s="14"/>
      <c r="AZ134" s="14"/>
      <c r="BB134">
        <f ca="1"/>
      </c>
      <c r="BC134">
        <f ca="1"/>
      </c>
      <c r="BD134">
        <f ca="1"/>
      </c>
      <c r="BF134" s="7"/>
      <c r="BG134" s="14"/>
      <c r="BH134" s="14"/>
      <c r="BI134" s="14"/>
      <c r="BJ134" s="14"/>
      <c r="BK134" s="14"/>
    </row>
    <row r="135" spans="28:63" x14ac:dyDescent="0.55000000000000004">
      <c r="AL135" s="7"/>
      <c r="AM135" s="14"/>
      <c r="AN135" s="14"/>
      <c r="AO135" s="14"/>
      <c r="AP135" s="14"/>
      <c r="AQ135" s="14"/>
      <c r="AR135" s="14"/>
      <c r="AV135" s="14"/>
      <c r="AW135" s="14"/>
      <c r="AX135" s="14"/>
      <c r="AY135" s="14"/>
      <c r="AZ135" s="14"/>
      <c r="BB135">
        <f ca="1"/>
      </c>
      <c r="BC135">
        <f ca="1"/>
      </c>
      <c r="BD135">
        <f ca="1"/>
      </c>
      <c r="BF135" s="7"/>
      <c r="BG135" s="14"/>
      <c r="BH135" s="14"/>
      <c r="BI135" s="14"/>
      <c r="BJ135" s="14"/>
      <c r="BK135" s="14"/>
    </row>
    <row r="136" spans="28:63" x14ac:dyDescent="0.55000000000000004">
      <c r="AL136" s="7"/>
      <c r="AM136" s="14"/>
      <c r="AN136" s="14"/>
      <c r="AO136" s="14"/>
      <c r="AP136" s="14"/>
      <c r="AQ136" s="14"/>
      <c r="AR136" s="14"/>
      <c r="AV136" s="14"/>
      <c r="AW136" s="14"/>
      <c r="AX136" s="14"/>
      <c r="AY136" s="14"/>
      <c r="AZ136" s="14"/>
      <c r="BB136">
        <f ca="1"/>
      </c>
      <c r="BC136">
        <f ca="1"/>
      </c>
      <c r="BD136">
        <f ca="1"/>
      </c>
      <c r="BF136" s="7"/>
      <c r="BG136" s="14"/>
      <c r="BH136" s="14"/>
      <c r="BI136" s="14"/>
      <c r="BJ136" s="14"/>
      <c r="BK136" s="14"/>
    </row>
    <row r="137" spans="28:63" x14ac:dyDescent="0.55000000000000004">
      <c r="AL137" s="7"/>
      <c r="AM137" s="14"/>
      <c r="AN137" s="14"/>
      <c r="AO137" s="14"/>
      <c r="AP137" s="14"/>
      <c r="AQ137" s="14"/>
      <c r="AR137" s="14"/>
      <c r="AV137" s="14"/>
      <c r="AW137" s="14"/>
      <c r="AX137" s="14"/>
      <c r="AY137" s="14"/>
      <c r="AZ137" s="14"/>
      <c r="BB137">
        <f ca="1"/>
      </c>
      <c r="BC137">
        <f ca="1"/>
      </c>
      <c r="BD137">
        <f ca="1"/>
      </c>
      <c r="BF137" s="7"/>
      <c r="BG137" s="14"/>
      <c r="BH137" s="14"/>
      <c r="BI137" s="14"/>
      <c r="BJ137" s="14"/>
      <c r="BK137" s="14"/>
    </row>
    <row r="138" spans="28:63" x14ac:dyDescent="0.55000000000000004">
      <c r="AL138" s="7"/>
      <c r="AM138" s="14"/>
      <c r="AN138" s="14"/>
      <c r="AO138" s="14"/>
      <c r="AP138" s="14"/>
      <c r="AQ138" s="14"/>
      <c r="AR138" s="14"/>
      <c r="AV138" s="14"/>
      <c r="AW138" s="14"/>
      <c r="AX138" s="14"/>
      <c r="AY138" s="14"/>
      <c r="AZ138" s="14"/>
      <c r="BB138">
        <f ca="1"/>
      </c>
      <c r="BC138">
        <f ca="1"/>
      </c>
      <c r="BD138">
        <f ca="1"/>
      </c>
      <c r="BF138" s="7"/>
      <c r="BG138" s="14"/>
      <c r="BH138" s="14"/>
      <c r="BI138" s="14"/>
      <c r="BJ138" s="14"/>
      <c r="BK138" s="14"/>
    </row>
    <row r="139" spans="28:63" x14ac:dyDescent="0.55000000000000004">
      <c r="AL139" s="7"/>
      <c r="AM139" s="14"/>
      <c r="AN139" s="14"/>
      <c r="AO139" s="14"/>
      <c r="AP139" s="14"/>
      <c r="AQ139" s="14"/>
      <c r="AR139" s="14"/>
      <c r="AV139" s="14"/>
      <c r="AW139" s="14"/>
      <c r="AX139" s="14"/>
      <c r="AY139" s="14"/>
      <c r="AZ139" s="14"/>
      <c r="BB139">
        <f ca="1"/>
      </c>
      <c r="BC139">
        <f ca="1"/>
      </c>
      <c r="BD139">
        <f ca="1"/>
      </c>
      <c r="BF139" s="7"/>
      <c r="BG139" s="14"/>
      <c r="BH139" s="14"/>
      <c r="BI139" s="14"/>
      <c r="BJ139" s="14"/>
      <c r="BK139" s="14"/>
    </row>
    <row r="140" spans="28:63" x14ac:dyDescent="0.55000000000000004">
      <c r="AL140" s="7"/>
      <c r="AM140" s="14"/>
      <c r="AN140" s="14"/>
      <c r="AO140" s="14"/>
      <c r="AP140" s="14"/>
      <c r="AQ140" s="14"/>
      <c r="AR140" s="14"/>
      <c r="AV140" s="14"/>
      <c r="AW140" s="14"/>
      <c r="AX140" s="14"/>
      <c r="AY140" s="14"/>
      <c r="AZ140" s="14"/>
      <c r="BB140">
        <f ca="1"/>
      </c>
      <c r="BC140">
        <f ca="1"/>
      </c>
      <c r="BD140">
        <f ca="1"/>
      </c>
      <c r="BF140" s="7"/>
      <c r="BG140" s="14"/>
      <c r="BH140" s="14"/>
      <c r="BI140" s="14"/>
      <c r="BJ140" s="14"/>
      <c r="BK140" s="14"/>
    </row>
    <row r="141" spans="28:63" x14ac:dyDescent="0.55000000000000004">
      <c r="AL141" s="7"/>
      <c r="AM141" s="14"/>
      <c r="AN141" s="14"/>
      <c r="AO141" s="14"/>
      <c r="AP141" s="14"/>
      <c r="AQ141" s="14"/>
      <c r="AR141" s="14"/>
      <c r="AV141" s="14"/>
      <c r="AW141" s="14"/>
      <c r="AX141" s="14"/>
      <c r="AY141" s="14"/>
      <c r="AZ141" s="14"/>
      <c r="BB141">
        <f ca="1"/>
      </c>
      <c r="BC141">
        <f ca="1"/>
      </c>
      <c r="BD141">
        <f ca="1"/>
      </c>
      <c r="BF141" s="7"/>
      <c r="BG141" s="14"/>
      <c r="BH141" s="14"/>
      <c r="BI141" s="14"/>
      <c r="BJ141" s="14"/>
      <c r="BK141" s="14"/>
    </row>
    <row r="142" spans="28:63" x14ac:dyDescent="0.55000000000000004">
      <c r="AL142" s="7"/>
      <c r="AM142" s="14"/>
      <c r="AN142" s="14"/>
      <c r="AO142" s="14"/>
      <c r="AP142" s="14"/>
      <c r="AQ142" s="14"/>
      <c r="AR142" s="14"/>
      <c r="AV142" s="14"/>
      <c r="AW142" s="14"/>
      <c r="AX142" s="14"/>
      <c r="AY142" s="14"/>
      <c r="AZ142" s="14"/>
      <c r="BB142">
        <f ca="1"/>
      </c>
      <c r="BC142">
        <f ca="1"/>
      </c>
      <c r="BD142">
        <f ca="1"/>
      </c>
      <c r="BF142" s="7"/>
      <c r="BG142" s="14"/>
      <c r="BH142" s="14"/>
      <c r="BI142" s="14"/>
      <c r="BJ142" s="14"/>
      <c r="BK142" s="14"/>
    </row>
    <row r="143" spans="28:63" x14ac:dyDescent="0.55000000000000004">
      <c r="AL143" s="7"/>
      <c r="AM143" s="14"/>
      <c r="AN143" s="14"/>
      <c r="AO143" s="14"/>
      <c r="AP143" s="14"/>
      <c r="AQ143" s="14"/>
      <c r="AR143" s="14"/>
      <c r="AV143" s="14"/>
      <c r="AW143" s="14"/>
      <c r="AX143" s="14"/>
      <c r="AY143" s="14"/>
      <c r="AZ143" s="14"/>
      <c r="BB143">
        <f ca="1"/>
      </c>
      <c r="BC143">
        <f ca="1"/>
      </c>
      <c r="BD143">
        <f ca="1"/>
      </c>
      <c r="BF143" s="7"/>
      <c r="BG143" s="14"/>
      <c r="BH143" s="14"/>
      <c r="BI143" s="14"/>
      <c r="BJ143" s="14"/>
      <c r="BK143" s="14"/>
    </row>
    <row r="144" spans="28:63" x14ac:dyDescent="0.55000000000000004">
      <c r="AL144" s="7"/>
      <c r="AM144" s="14"/>
      <c r="AN144" s="14"/>
      <c r="AO144" s="14"/>
      <c r="AP144" s="14"/>
      <c r="AQ144" s="14"/>
      <c r="AR144" s="14"/>
      <c r="AV144" s="14"/>
      <c r="AW144" s="14"/>
      <c r="AX144" s="14"/>
      <c r="AY144" s="14"/>
      <c r="AZ144" s="14"/>
      <c r="BB144">
        <f ca="1"/>
      </c>
      <c r="BC144">
        <f ca="1"/>
      </c>
      <c r="BD144">
        <f ca="1"/>
      </c>
      <c r="BF144" s="7"/>
      <c r="BG144" s="14"/>
      <c r="BH144" s="14"/>
      <c r="BI144" s="14"/>
      <c r="BJ144" s="14"/>
      <c r="BK144" s="14"/>
    </row>
    <row r="145" spans="28:63" x14ac:dyDescent="0.55000000000000004">
      <c r="AL145" s="7"/>
      <c r="AM145" s="14"/>
      <c r="AN145" s="14"/>
      <c r="AO145" s="14"/>
      <c r="AP145" s="14"/>
      <c r="AQ145" s="14"/>
      <c r="AR145" s="14"/>
      <c r="AV145" s="14"/>
      <c r="AW145" s="14"/>
      <c r="AX145" s="14"/>
      <c r="AY145" s="14"/>
      <c r="AZ145" s="14"/>
      <c r="BB145">
        <f ca="1"/>
      </c>
      <c r="BC145">
        <f ca="1"/>
      </c>
      <c r="BD145">
        <f ca="1"/>
      </c>
      <c r="BF145" s="7"/>
      <c r="BG145" s="14"/>
      <c r="BH145" s="14"/>
      <c r="BI145" s="14"/>
      <c r="BJ145" s="14"/>
      <c r="BK145" s="14"/>
    </row>
    <row r="146" spans="28:63" x14ac:dyDescent="0.55000000000000004">
      <c r="AL146" s="7"/>
      <c r="AM146" s="14"/>
      <c r="AN146" s="14"/>
      <c r="AO146" s="14"/>
      <c r="AP146" s="14"/>
      <c r="AQ146" s="14"/>
      <c r="AR146" s="14"/>
      <c r="AV146" s="14"/>
      <c r="AW146" s="14"/>
      <c r="AX146" s="14"/>
      <c r="AY146" s="14"/>
      <c r="AZ146" s="14"/>
      <c r="BB146">
        <f ca="1"/>
      </c>
      <c r="BC146">
        <f ca="1"/>
      </c>
      <c r="BD146">
        <f ca="1"/>
      </c>
      <c r="BF146" s="7"/>
      <c r="BG146" s="14"/>
      <c r="BH146" s="14"/>
      <c r="BI146" s="14"/>
      <c r="BJ146" s="14"/>
      <c r="BK146" s="14"/>
    </row>
    <row r="147" spans="28:63" x14ac:dyDescent="0.55000000000000004">
      <c r="AL147" s="7"/>
      <c r="AM147" s="14"/>
      <c r="AN147" s="14"/>
      <c r="AO147" s="14"/>
      <c r="AP147" s="14"/>
      <c r="AQ147" s="14"/>
      <c r="AR147" s="14"/>
      <c r="AV147" s="14"/>
      <c r="AW147" s="14"/>
      <c r="AX147" s="14"/>
      <c r="AY147" s="14"/>
      <c r="AZ147" s="14"/>
      <c r="BB147">
        <f ca="1"/>
      </c>
      <c r="BC147">
        <f ca="1"/>
      </c>
      <c r="BD147">
        <f ca="1"/>
      </c>
      <c r="BF147" s="7"/>
      <c r="BG147" s="14"/>
      <c r="BH147" s="14"/>
      <c r="BI147" s="14"/>
      <c r="BJ147" s="14"/>
      <c r="BK147" s="14"/>
    </row>
    <row r="148" spans="28:63" x14ac:dyDescent="0.55000000000000004">
      <c r="AL148" s="7"/>
      <c r="AM148" s="14"/>
      <c r="AN148" s="14"/>
      <c r="AO148" s="14"/>
      <c r="AP148" s="14"/>
      <c r="AQ148" s="14"/>
      <c r="AR148" s="14"/>
      <c r="AV148" s="14"/>
      <c r="AW148" s="14"/>
      <c r="AX148" s="14"/>
      <c r="AY148" s="14"/>
      <c r="AZ148" s="14"/>
      <c r="BB148">
        <f ca="1"/>
      </c>
      <c r="BC148">
        <f ca="1"/>
      </c>
      <c r="BD148">
        <f ca="1"/>
      </c>
      <c r="BF148" s="7"/>
      <c r="BG148" s="14"/>
      <c r="BH148" s="14"/>
      <c r="BI148" s="14"/>
      <c r="BJ148" s="14"/>
      <c r="BK148" s="14"/>
    </row>
    <row r="149" spans="28:63" x14ac:dyDescent="0.55000000000000004">
      <c r="AL149" s="7"/>
      <c r="AM149" s="14"/>
      <c r="AN149" s="14"/>
      <c r="AO149" s="14"/>
      <c r="AP149" s="14"/>
      <c r="AQ149" s="14"/>
      <c r="AR149" s="14"/>
      <c r="AV149" s="14"/>
      <c r="AW149" s="14"/>
      <c r="AX149" s="14"/>
      <c r="AY149" s="14"/>
      <c r="AZ149" s="14"/>
      <c r="BB149">
        <f ca="1"/>
      </c>
      <c r="BC149">
        <f ca="1"/>
      </c>
      <c r="BD149">
        <f ca="1"/>
      </c>
      <c r="BF149" s="7"/>
      <c r="BG149" s="14"/>
      <c r="BH149" s="14"/>
      <c r="BI149" s="14"/>
      <c r="BJ149" s="14"/>
      <c r="BK149" s="14"/>
    </row>
    <row r="150" spans="28:63" x14ac:dyDescent="0.55000000000000004">
      <c r="AL150" s="7"/>
      <c r="AM150" s="14"/>
      <c r="AN150" s="14"/>
      <c r="AO150" s="14"/>
      <c r="AP150" s="14"/>
      <c r="AQ150" s="14"/>
      <c r="AR150" s="14"/>
      <c r="AV150" s="14"/>
      <c r="AW150" s="14"/>
      <c r="AX150" s="14"/>
      <c r="AY150" s="14"/>
      <c r="AZ150" s="14"/>
      <c r="BB150">
        <f ca="1"/>
      </c>
      <c r="BC150">
        <f ca="1"/>
      </c>
      <c r="BD150">
        <f ca="1"/>
      </c>
      <c r="BF150" s="7"/>
      <c r="BG150" s="14"/>
      <c r="BH150" s="14"/>
      <c r="BI150" s="14"/>
      <c r="BJ150" s="14"/>
      <c r="BK150" s="14"/>
    </row>
    <row r="151" spans="28:63" x14ac:dyDescent="0.55000000000000004">
      <c r="AL151" s="7"/>
      <c r="AM151" s="14"/>
      <c r="AN151" s="14"/>
      <c r="AO151" s="14"/>
      <c r="AP151" s="14"/>
      <c r="AQ151" s="14"/>
      <c r="AR151" s="14"/>
      <c r="AV151" s="14"/>
      <c r="AW151" s="14"/>
      <c r="AX151" s="14"/>
      <c r="AY151" s="14"/>
      <c r="AZ151" s="14"/>
      <c r="BB151">
        <f ca="1"/>
      </c>
      <c r="BC151">
        <f ca="1"/>
      </c>
      <c r="BD151">
        <f ca="1"/>
      </c>
      <c r="BF151" s="7"/>
      <c r="BG151" s="14"/>
      <c r="BH151" s="14"/>
      <c r="BI151" s="14"/>
      <c r="BJ151" s="14"/>
      <c r="BK151" s="14"/>
    </row>
    <row r="152" spans="28:63" x14ac:dyDescent="0.55000000000000004">
      <c r="AL152" s="7"/>
      <c r="AM152" s="14"/>
      <c r="AN152" s="14"/>
      <c r="AO152" s="14"/>
      <c r="AP152" s="14"/>
      <c r="AQ152" s="14"/>
      <c r="AR152" s="14"/>
      <c r="AV152" s="14"/>
      <c r="AW152" s="14"/>
      <c r="AX152" s="14"/>
      <c r="AY152" s="14"/>
      <c r="AZ152" s="14"/>
      <c r="BB152">
        <f ca="1"/>
      </c>
      <c r="BC152">
        <f ca="1"/>
      </c>
      <c r="BD152">
        <f ca="1"/>
      </c>
      <c r="BF152" s="7"/>
      <c r="BG152" s="14"/>
      <c r="BH152" s="14"/>
      <c r="BI152" s="14"/>
      <c r="BJ152" s="14"/>
      <c r="BK152" s="14"/>
    </row>
    <row r="153" spans="28:63" x14ac:dyDescent="0.55000000000000004">
      <c r="AL153" s="7"/>
      <c r="AM153" s="14"/>
      <c r="AN153" s="14"/>
      <c r="AO153" s="14"/>
      <c r="AP153" s="14"/>
      <c r="AQ153" s="14"/>
      <c r="AR153" s="14"/>
      <c r="AV153" s="14"/>
      <c r="AW153" s="14"/>
      <c r="AX153" s="14"/>
      <c r="AY153" s="14"/>
      <c r="AZ153" s="14"/>
      <c r="BB153">
        <f ca="1"/>
      </c>
      <c r="BC153">
        <f ca="1"/>
      </c>
      <c r="BD153">
        <f ca="1"/>
      </c>
      <c r="BF153" s="7"/>
      <c r="BG153" s="14"/>
      <c r="BH153" s="14"/>
      <c r="BI153" s="14"/>
      <c r="BJ153" s="14"/>
      <c r="BK153" s="14"/>
    </row>
    <row r="154" spans="28:63" x14ac:dyDescent="0.55000000000000004">
      <c r="AL154" s="7"/>
      <c r="AM154" s="14"/>
      <c r="AN154" s="14"/>
      <c r="AO154" s="14"/>
      <c r="AP154" s="14"/>
      <c r="AQ154" s="14"/>
      <c r="AR154" s="14"/>
      <c r="AV154" s="14"/>
      <c r="AW154" s="14"/>
      <c r="AX154" s="14"/>
      <c r="AY154" s="14"/>
      <c r="AZ154" s="14"/>
      <c r="BB154">
        <f ca="1"/>
      </c>
      <c r="BC154">
        <f ca="1"/>
      </c>
      <c r="BD154">
        <f ca="1"/>
      </c>
      <c r="BF154" s="7"/>
      <c r="BG154" s="14"/>
      <c r="BH154" s="14"/>
      <c r="BI154" s="14"/>
      <c r="BJ154" s="14"/>
      <c r="BK154" s="14"/>
    </row>
    <row r="155" spans="28:63" x14ac:dyDescent="0.55000000000000004">
      <c r="AL155" s="7"/>
      <c r="AM155" s="14"/>
      <c r="AN155" s="14"/>
      <c r="AO155" s="14"/>
      <c r="AP155" s="14"/>
      <c r="AQ155" s="14"/>
      <c r="AR155" s="14"/>
      <c r="AV155" s="14"/>
      <c r="AW155" s="14"/>
      <c r="AX155" s="14"/>
      <c r="AY155" s="14"/>
      <c r="AZ155" s="14"/>
      <c r="BB155">
        <f ca="1"/>
      </c>
      <c r="BC155">
        <f ca="1"/>
      </c>
      <c r="BD155">
        <f ca="1"/>
      </c>
      <c r="BF155" s="7"/>
      <c r="BG155" s="14"/>
      <c r="BH155" s="14"/>
      <c r="BI155" s="14"/>
      <c r="BJ155" s="14"/>
      <c r="BK155" s="14"/>
    </row>
    <row r="156" spans="28:63" x14ac:dyDescent="0.55000000000000004">
      <c r="AL156" s="7"/>
      <c r="AM156" s="14"/>
      <c r="AN156" s="14"/>
      <c r="AO156" s="14"/>
      <c r="AP156" s="14"/>
      <c r="AQ156" s="14"/>
      <c r="AR156" s="14"/>
      <c r="AV156" s="14"/>
      <c r="AW156" s="14"/>
      <c r="AX156" s="14"/>
      <c r="AY156" s="14"/>
      <c r="AZ156" s="14"/>
      <c r="BB156">
        <f ca="1"/>
      </c>
      <c r="BC156">
        <f ca="1"/>
      </c>
      <c r="BD156">
        <f ca="1"/>
      </c>
      <c r="BF156" s="7"/>
      <c r="BG156" s="14"/>
      <c r="BH156" s="14"/>
      <c r="BI156" s="14"/>
      <c r="BJ156" s="14"/>
      <c r="BK156" s="14"/>
    </row>
    <row r="157" spans="28:63" x14ac:dyDescent="0.55000000000000004">
      <c r="AL157" s="7"/>
      <c r="AM157" s="14"/>
      <c r="AN157" s="14"/>
      <c r="AO157" s="14"/>
      <c r="AP157" s="14"/>
      <c r="AQ157" s="14"/>
      <c r="AR157" s="14"/>
      <c r="AV157" s="14"/>
      <c r="AW157" s="14"/>
      <c r="AX157" s="14"/>
      <c r="AY157" s="14"/>
      <c r="AZ157" s="14"/>
      <c r="BB157">
        <f ca="1"/>
      </c>
      <c r="BC157">
        <f ca="1"/>
      </c>
      <c r="BD157">
        <f ca="1"/>
      </c>
      <c r="BF157" s="7"/>
      <c r="BG157" s="14"/>
      <c r="BH157" s="14"/>
      <c r="BI157" s="14"/>
      <c r="BJ157" s="14"/>
      <c r="BK157" s="14"/>
    </row>
    <row r="158" spans="28:63" x14ac:dyDescent="0.55000000000000004">
      <c r="AL158" s="7"/>
      <c r="AM158" s="14"/>
      <c r="AN158" s="14"/>
      <c r="AO158" s="14"/>
      <c r="AP158" s="14"/>
      <c r="AQ158" s="14"/>
      <c r="AR158" s="14"/>
      <c r="AV158" s="14"/>
      <c r="AW158" s="14"/>
      <c r="AX158" s="14"/>
      <c r="AY158" s="14"/>
      <c r="AZ158" s="14"/>
      <c r="BB158">
        <f ca="1"/>
      </c>
      <c r="BC158">
        <f ca="1"/>
      </c>
      <c r="BD158">
        <f ca="1"/>
      </c>
      <c r="BF158" s="7"/>
      <c r="BG158" s="14"/>
      <c r="BH158" s="14"/>
      <c r="BI158" s="14"/>
      <c r="BJ158" s="14"/>
      <c r="BK158" s="14"/>
    </row>
    <row r="159" spans="28:63" x14ac:dyDescent="0.55000000000000004">
      <c r="AL159" s="7"/>
      <c r="AM159" s="14"/>
      <c r="AN159" s="14"/>
      <c r="AO159" s="14"/>
      <c r="AP159" s="14"/>
      <c r="AQ159" s="14"/>
      <c r="AR159" s="14"/>
      <c r="AV159" s="14"/>
      <c r="AW159" s="14"/>
      <c r="AX159" s="14"/>
      <c r="AY159" s="14"/>
      <c r="AZ159" s="14"/>
      <c r="BB159">
        <f ca="1"/>
      </c>
      <c r="BC159">
        <f ca="1"/>
      </c>
      <c r="BD159">
        <f ca="1"/>
      </c>
      <c r="BF159" s="7"/>
      <c r="BG159" s="14"/>
      <c r="BH159" s="14"/>
      <c r="BI159" s="14"/>
      <c r="BJ159" s="14"/>
      <c r="BK159" s="14"/>
    </row>
    <row r="160" spans="28:63" x14ac:dyDescent="0.55000000000000004">
      <c r="AL160" s="7"/>
      <c r="AM160" s="14"/>
      <c r="AN160" s="14"/>
      <c r="AO160" s="14"/>
      <c r="AP160" s="14"/>
      <c r="AQ160" s="14"/>
      <c r="AR160" s="14"/>
      <c r="AV160" s="14"/>
      <c r="AW160" s="14"/>
      <c r="AX160" s="14"/>
      <c r="AY160" s="14"/>
      <c r="AZ160" s="14"/>
      <c r="BB160">
        <f ca="1"/>
      </c>
      <c r="BC160">
        <f ca="1"/>
      </c>
      <c r="BD160">
        <f ca="1"/>
      </c>
      <c r="BF160" s="7"/>
      <c r="BG160" s="14"/>
      <c r="BH160" s="14"/>
      <c r="BI160" s="14"/>
      <c r="BJ160" s="14"/>
      <c r="BK160" s="14"/>
    </row>
    <row r="161" spans="28:63" x14ac:dyDescent="0.55000000000000004">
      <c r="AL161" s="7"/>
      <c r="AM161" s="14"/>
      <c r="AN161" s="14"/>
      <c r="AO161" s="14"/>
      <c r="AP161" s="14"/>
      <c r="AQ161" s="14"/>
      <c r="AR161" s="14"/>
      <c r="AV161" s="14"/>
      <c r="AW161" s="14"/>
      <c r="AX161" s="14"/>
      <c r="AY161" s="14"/>
      <c r="AZ161" s="14"/>
      <c r="BB161">
        <f ca="1"/>
      </c>
      <c r="BC161">
        <f ca="1"/>
      </c>
      <c r="BD161">
        <f ca="1"/>
      </c>
      <c r="BF161" s="7"/>
      <c r="BG161" s="14"/>
      <c r="BH161" s="14"/>
      <c r="BI161" s="14"/>
      <c r="BJ161" s="14"/>
      <c r="BK161" s="14"/>
    </row>
    <row r="162" spans="28:63" x14ac:dyDescent="0.55000000000000004">
      <c r="AL162" s="7"/>
      <c r="AM162" s="14"/>
      <c r="AN162" s="14"/>
      <c r="AO162" s="14"/>
      <c r="AP162" s="14"/>
      <c r="AQ162" s="14"/>
      <c r="AR162" s="14"/>
      <c r="AV162" s="14"/>
      <c r="AW162" s="14"/>
      <c r="AX162" s="14"/>
      <c r="AY162" s="14"/>
      <c r="AZ162" s="14"/>
      <c r="BB162">
        <f ca="1"/>
      </c>
      <c r="BC162">
        <f ca="1"/>
      </c>
      <c r="BD162">
        <f ca="1"/>
      </c>
      <c r="BF162" s="7"/>
      <c r="BG162" s="14"/>
      <c r="BH162" s="14"/>
      <c r="BI162" s="14"/>
      <c r="BJ162" s="14"/>
      <c r="BK162" s="14"/>
    </row>
    <row r="163" spans="28:63" x14ac:dyDescent="0.55000000000000004">
      <c r="AL163" s="7"/>
      <c r="AM163" s="14"/>
      <c r="AN163" s="14"/>
      <c r="AO163" s="14"/>
      <c r="AP163" s="14"/>
      <c r="AQ163" s="14"/>
      <c r="AR163" s="14"/>
      <c r="AV163" s="14"/>
      <c r="AW163" s="14"/>
      <c r="AX163" s="14"/>
      <c r="AY163" s="14"/>
      <c r="AZ163" s="14"/>
      <c r="BB163">
        <f ca="1"/>
      </c>
      <c r="BC163">
        <f ca="1"/>
      </c>
      <c r="BD163">
        <f ca="1"/>
      </c>
      <c r="BF163" s="7"/>
      <c r="BG163" s="14"/>
      <c r="BH163" s="14"/>
      <c r="BI163" s="14"/>
      <c r="BJ163" s="14"/>
      <c r="BK163" s="14"/>
    </row>
    <row r="164" spans="28:63" x14ac:dyDescent="0.55000000000000004">
      <c r="AL164" s="7"/>
      <c r="AM164" s="14"/>
      <c r="AN164" s="14"/>
      <c r="AO164" s="14"/>
      <c r="AP164" s="14"/>
      <c r="AQ164" s="14"/>
      <c r="AR164" s="14"/>
      <c r="AV164" s="14"/>
      <c r="AW164" s="14"/>
      <c r="AX164" s="14"/>
      <c r="AY164" s="14"/>
      <c r="AZ164" s="14"/>
      <c r="BB164">
        <f ca="1"/>
      </c>
      <c r="BC164">
        <f ca="1"/>
      </c>
      <c r="BD164">
        <f ca="1"/>
      </c>
      <c r="BF164" s="7"/>
      <c r="BG164" s="14"/>
      <c r="BH164" s="14"/>
      <c r="BI164" s="14"/>
      <c r="BJ164" s="14"/>
      <c r="BK164" s="14"/>
    </row>
    <row r="165" spans="28:63" x14ac:dyDescent="0.55000000000000004">
      <c r="AL165" s="7"/>
      <c r="AM165" s="14"/>
      <c r="AN165" s="14"/>
      <c r="AO165" s="14"/>
      <c r="AP165" s="14"/>
      <c r="AQ165" s="14"/>
      <c r="AR165" s="14"/>
      <c r="AV165" s="14"/>
      <c r="AW165" s="14"/>
      <c r="AX165" s="14"/>
      <c r="AY165" s="14"/>
      <c r="AZ165" s="14"/>
      <c r="BB165">
        <f ca="1"/>
      </c>
      <c r="BC165">
        <f ca="1"/>
      </c>
      <c r="BD165">
        <f ca="1"/>
      </c>
      <c r="BF165" s="7"/>
      <c r="BG165" s="14"/>
      <c r="BH165" s="14"/>
      <c r="BI165" s="14"/>
      <c r="BJ165" s="14"/>
      <c r="BK165" s="14"/>
    </row>
    <row r="166" spans="28:63" x14ac:dyDescent="0.55000000000000004">
      <c r="AL166" s="7"/>
      <c r="AM166" s="14"/>
      <c r="AN166" s="14"/>
      <c r="AO166" s="14"/>
      <c r="AP166" s="14"/>
      <c r="AQ166" s="14"/>
      <c r="AR166" s="14"/>
      <c r="AV166" s="14"/>
      <c r="AW166" s="14"/>
      <c r="AX166" s="14"/>
      <c r="AY166" s="14"/>
      <c r="AZ166" s="14"/>
      <c r="BB166">
        <f ca="1"/>
      </c>
      <c r="BC166">
        <f ca="1"/>
      </c>
      <c r="BD166">
        <f ca="1"/>
      </c>
      <c r="BF166" s="7"/>
      <c r="BG166" s="14"/>
      <c r="BH166" s="14"/>
      <c r="BI166" s="14"/>
      <c r="BJ166" s="14"/>
      <c r="BK166" s="14"/>
    </row>
    <row r="167" spans="28:63" x14ac:dyDescent="0.55000000000000004">
      <c r="AL167" s="7"/>
      <c r="AM167" s="14"/>
      <c r="AN167" s="14"/>
      <c r="AO167" s="14"/>
      <c r="AP167" s="14"/>
      <c r="AQ167" s="14"/>
      <c r="AR167" s="14"/>
      <c r="AV167" s="14"/>
      <c r="AW167" s="14"/>
      <c r="AX167" s="14"/>
      <c r="AY167" s="14"/>
      <c r="AZ167" s="14"/>
      <c r="BB167">
        <f ca="1"/>
      </c>
      <c r="BC167">
        <f ca="1"/>
      </c>
      <c r="BD167">
        <f ca="1"/>
      </c>
      <c r="BF167" s="7"/>
      <c r="BG167" s="14"/>
      <c r="BH167" s="14"/>
      <c r="BI167" s="14"/>
      <c r="BJ167" s="14"/>
      <c r="BK167" s="14"/>
    </row>
    <row r="168" spans="28:63" x14ac:dyDescent="0.55000000000000004">
      <c r="AL168" s="7"/>
      <c r="AM168" s="14"/>
      <c r="AN168" s="14"/>
      <c r="AO168" s="14"/>
      <c r="AP168" s="14"/>
      <c r="AQ168" s="14"/>
      <c r="AR168" s="14"/>
      <c r="AV168" s="14"/>
      <c r="AW168" s="14"/>
      <c r="AX168" s="14"/>
      <c r="AY168" s="14"/>
      <c r="AZ168" s="14"/>
      <c r="BB168">
        <f ca="1"/>
      </c>
      <c r="BC168">
        <f ca="1"/>
      </c>
      <c r="BD168">
        <f ca="1"/>
      </c>
      <c r="BF168" s="7"/>
      <c r="BG168" s="14"/>
      <c r="BH168" s="14"/>
      <c r="BI168" s="14"/>
      <c r="BJ168" s="14"/>
      <c r="BK168" s="14"/>
    </row>
    <row r="169" spans="28:63" x14ac:dyDescent="0.55000000000000004">
      <c r="AL169" s="7"/>
      <c r="AM169" s="14"/>
      <c r="AN169" s="14"/>
      <c r="AO169" s="14"/>
      <c r="AP169" s="14"/>
      <c r="AQ169" s="14"/>
      <c r="AR169" s="14"/>
      <c r="AV169" s="14"/>
      <c r="AW169" s="14"/>
      <c r="AX169" s="14"/>
      <c r="AY169" s="14"/>
      <c r="AZ169" s="14"/>
      <c r="BB169">
        <f ca="1"/>
      </c>
      <c r="BC169">
        <f ca="1"/>
      </c>
      <c r="BD169">
        <f ca="1"/>
      </c>
      <c r="BF169" s="7"/>
      <c r="BG169" s="14"/>
      <c r="BH169" s="14"/>
      <c r="BI169" s="14"/>
      <c r="BJ169" s="14"/>
      <c r="BK169" s="14"/>
    </row>
    <row r="170" spans="28:63" x14ac:dyDescent="0.55000000000000004">
      <c r="AL170" s="7"/>
      <c r="AM170" s="14"/>
      <c r="AN170" s="14"/>
      <c r="AO170" s="14"/>
      <c r="AP170" s="14"/>
      <c r="AQ170" s="14"/>
      <c r="AR170" s="14"/>
      <c r="AV170" s="14"/>
      <c r="AW170" s="14"/>
      <c r="AX170" s="14"/>
      <c r="AY170" s="14"/>
      <c r="AZ170" s="14"/>
      <c r="BB170">
        <f ca="1"/>
      </c>
      <c r="BC170">
        <f ca="1"/>
      </c>
      <c r="BD170">
        <f ca="1"/>
      </c>
      <c r="BF170" s="7"/>
      <c r="BG170" s="14"/>
      <c r="BH170" s="14"/>
      <c r="BI170" s="14"/>
      <c r="BJ170" s="14"/>
      <c r="BK170" s="14"/>
    </row>
    <row r="171" spans="28:63" x14ac:dyDescent="0.55000000000000004">
      <c r="AL171" s="7"/>
      <c r="AM171" s="14"/>
      <c r="AN171" s="14"/>
      <c r="AO171" s="14"/>
      <c r="AP171" s="14"/>
      <c r="AQ171" s="14"/>
      <c r="AR171" s="14"/>
      <c r="AV171" s="14"/>
      <c r="AW171" s="14"/>
      <c r="AX171" s="14"/>
      <c r="AY171" s="14"/>
      <c r="AZ171" s="14"/>
      <c r="BB171">
        <f ca="1"/>
      </c>
      <c r="BC171">
        <f ca="1"/>
      </c>
      <c r="BD171">
        <f ca="1"/>
      </c>
      <c r="BF171" s="7"/>
      <c r="BG171" s="14"/>
      <c r="BH171" s="14"/>
      <c r="BI171" s="14"/>
      <c r="BJ171" s="14"/>
      <c r="BK171" s="14"/>
    </row>
    <row r="172" spans="28:63" x14ac:dyDescent="0.55000000000000004">
      <c r="AL172" s="7"/>
      <c r="AM172" s="14"/>
      <c r="AN172" s="14"/>
      <c r="AO172" s="14"/>
      <c r="AP172" s="14"/>
      <c r="AQ172" s="14"/>
      <c r="AR172" s="14"/>
      <c r="AV172" s="14"/>
      <c r="AW172" s="14"/>
      <c r="AX172" s="14"/>
      <c r="AY172" s="14"/>
      <c r="AZ172" s="14"/>
      <c r="BB172">
        <f ca="1"/>
      </c>
      <c r="BC172">
        <f ca="1"/>
      </c>
      <c r="BD172">
        <f ca="1"/>
      </c>
      <c r="BF172" s="7"/>
      <c r="BG172" s="14"/>
      <c r="BH172" s="14"/>
      <c r="BI172" s="14"/>
      <c r="BJ172" s="14"/>
      <c r="BK172" s="14"/>
    </row>
    <row r="173" spans="28:63" x14ac:dyDescent="0.55000000000000004">
      <c r="AL173" s="7"/>
      <c r="AM173" s="14"/>
      <c r="AN173" s="14"/>
      <c r="AO173" s="14"/>
      <c r="AP173" s="14"/>
      <c r="AQ173" s="14"/>
      <c r="AR173" s="14"/>
      <c r="AV173" s="14"/>
      <c r="AW173" s="14"/>
      <c r="AX173" s="14"/>
      <c r="AY173" s="14"/>
      <c r="AZ173" s="14"/>
      <c r="BB173">
        <f ca="1"/>
      </c>
      <c r="BC173">
        <f ca="1"/>
      </c>
      <c r="BD173">
        <f ca="1"/>
      </c>
      <c r="BF173" s="7"/>
      <c r="BG173" s="14"/>
      <c r="BH173" s="14"/>
      <c r="BI173" s="14"/>
      <c r="BJ173" s="14"/>
      <c r="BK173" s="14"/>
    </row>
    <row r="174" spans="28:63" x14ac:dyDescent="0.55000000000000004">
      <c r="AL174" s="7"/>
      <c r="AM174" s="14"/>
      <c r="AN174" s="14"/>
      <c r="AO174" s="14"/>
      <c r="AP174" s="14"/>
      <c r="AQ174" s="14"/>
      <c r="AR174" s="14"/>
      <c r="AV174" s="14"/>
      <c r="AW174" s="14"/>
      <c r="AX174" s="14"/>
      <c r="AY174" s="14"/>
      <c r="AZ174" s="14"/>
      <c r="BB174">
        <f ca="1"/>
      </c>
      <c r="BC174">
        <f ca="1"/>
      </c>
      <c r="BD174">
        <f ca="1"/>
      </c>
      <c r="BF174" s="7"/>
      <c r="BG174" s="14"/>
      <c r="BH174" s="14"/>
      <c r="BI174" s="14"/>
      <c r="BJ174" s="14"/>
      <c r="BK174" s="14"/>
    </row>
    <row r="175" spans="28:63" x14ac:dyDescent="0.55000000000000004">
      <c r="AL175" s="7"/>
      <c r="AM175" s="14"/>
      <c r="AN175" s="14"/>
      <c r="AO175" s="14"/>
      <c r="AP175" s="14"/>
      <c r="AQ175" s="14"/>
      <c r="AR175" s="14"/>
      <c r="AV175" s="14"/>
      <c r="AW175" s="14"/>
      <c r="AX175" s="14"/>
      <c r="AY175" s="14"/>
      <c r="AZ175" s="14"/>
      <c r="BB175">
        <f ca="1"/>
      </c>
      <c r="BC175">
        <f ca="1"/>
      </c>
      <c r="BD175">
        <f ca="1"/>
      </c>
      <c r="BF175" s="7"/>
      <c r="BG175" s="14"/>
      <c r="BH175" s="14"/>
      <c r="BI175" s="14"/>
      <c r="BJ175" s="14"/>
      <c r="BK175" s="14"/>
    </row>
    <row r="176" spans="28:63" x14ac:dyDescent="0.55000000000000004">
      <c r="AL176" s="7"/>
      <c r="AM176" s="14"/>
      <c r="AN176" s="14"/>
      <c r="AO176" s="14"/>
      <c r="AP176" s="14"/>
      <c r="AQ176" s="14"/>
      <c r="AR176" s="14"/>
      <c r="AV176" s="14"/>
      <c r="AW176" s="14"/>
      <c r="AX176" s="14"/>
      <c r="AY176" s="14"/>
      <c r="AZ176" s="14"/>
      <c r="BB176">
        <f ca="1"/>
      </c>
      <c r="BC176">
        <f ca="1"/>
      </c>
      <c r="BD176">
        <f ca="1"/>
      </c>
      <c r="BF176" s="7"/>
      <c r="BG176" s="14"/>
      <c r="BH176" s="14"/>
      <c r="BI176" s="14"/>
      <c r="BJ176" s="14"/>
      <c r="BK176" s="14"/>
    </row>
    <row r="177" spans="28:63" x14ac:dyDescent="0.55000000000000004">
      <c r="AL177" s="7"/>
      <c r="AM177" s="14"/>
      <c r="AN177" s="14"/>
      <c r="AO177" s="14"/>
      <c r="AP177" s="14"/>
      <c r="AQ177" s="14"/>
      <c r="AR177" s="14"/>
      <c r="AV177" s="14"/>
      <c r="AW177" s="14"/>
      <c r="AX177" s="14"/>
      <c r="AY177" s="14"/>
      <c r="AZ177" s="14"/>
      <c r="BB177">
        <f ca="1"/>
      </c>
      <c r="BC177">
        <f ca="1"/>
      </c>
      <c r="BD177">
        <f ca="1"/>
      </c>
      <c r="BF177" s="7"/>
      <c r="BG177" s="14"/>
      <c r="BH177" s="14"/>
      <c r="BI177" s="14"/>
      <c r="BJ177" s="14"/>
      <c r="BK177" s="14"/>
    </row>
    <row r="178" spans="28:63" x14ac:dyDescent="0.55000000000000004">
      <c r="AL178" s="7"/>
      <c r="AM178" s="14"/>
      <c r="AN178" s="14"/>
      <c r="AO178" s="14"/>
      <c r="AP178" s="14"/>
      <c r="AQ178" s="14"/>
      <c r="AR178" s="14"/>
      <c r="AV178" s="14"/>
      <c r="AW178" s="14"/>
      <c r="AX178" s="14"/>
      <c r="AY178" s="14"/>
      <c r="AZ178" s="14"/>
      <c r="BB178">
        <f ca="1"/>
      </c>
      <c r="BC178">
        <f ca="1"/>
      </c>
      <c r="BD178">
        <f ca="1"/>
      </c>
      <c r="BF178" s="7"/>
      <c r="BG178" s="14"/>
      <c r="BH178" s="14"/>
      <c r="BI178" s="14"/>
      <c r="BJ178" s="14"/>
      <c r="BK178" s="14"/>
    </row>
    <row r="179" spans="28:63" x14ac:dyDescent="0.55000000000000004">
      <c r="AL179" s="7"/>
      <c r="AM179" s="14"/>
      <c r="AN179" s="14"/>
      <c r="AO179" s="14"/>
      <c r="AP179" s="14"/>
      <c r="AQ179" s="14"/>
      <c r="AR179" s="14"/>
      <c r="AV179" s="14"/>
      <c r="AW179" s="14"/>
      <c r="AX179" s="14"/>
      <c r="AY179" s="14"/>
      <c r="AZ179" s="14"/>
      <c r="BB179">
        <f ca="1"/>
      </c>
      <c r="BC179">
        <f ca="1"/>
      </c>
      <c r="BD179">
        <f ca="1"/>
      </c>
      <c r="BF179" s="7"/>
      <c r="BG179" s="14"/>
      <c r="BH179" s="14"/>
      <c r="BI179" s="14"/>
      <c r="BJ179" s="14"/>
      <c r="BK179" s="14"/>
    </row>
    <row r="180" spans="28:63" x14ac:dyDescent="0.55000000000000004">
      <c r="AL180" s="7"/>
      <c r="AM180" s="14"/>
      <c r="AN180" s="14"/>
      <c r="AO180" s="14"/>
      <c r="AP180" s="14"/>
      <c r="AQ180" s="14"/>
      <c r="AR180" s="14"/>
      <c r="AV180" s="14"/>
      <c r="AW180" s="14"/>
      <c r="AX180" s="14"/>
      <c r="AY180" s="14"/>
      <c r="AZ180" s="14"/>
      <c r="BB180">
        <f ca="1"/>
      </c>
      <c r="BC180">
        <f ca="1"/>
      </c>
      <c r="BD180">
        <f ca="1"/>
      </c>
      <c r="BF180" s="7"/>
      <c r="BG180" s="14"/>
      <c r="BH180" s="14"/>
      <c r="BI180" s="14"/>
      <c r="BJ180" s="14"/>
      <c r="BK180" s="14"/>
    </row>
    <row r="181" spans="28:63" x14ac:dyDescent="0.55000000000000004">
      <c r="AL181" s="7"/>
      <c r="AM181" s="14"/>
      <c r="AN181" s="14"/>
      <c r="AO181" s="14"/>
      <c r="AP181" s="14"/>
      <c r="AQ181" s="14"/>
      <c r="AR181" s="14"/>
      <c r="AV181" s="14"/>
      <c r="AW181" s="14"/>
      <c r="AX181" s="14"/>
      <c r="AY181" s="14"/>
      <c r="AZ181" s="14"/>
      <c r="BB181">
        <f ca="1"/>
      </c>
      <c r="BC181">
        <f ca="1"/>
      </c>
      <c r="BD181">
        <f ca="1"/>
      </c>
      <c r="BF181" s="7"/>
      <c r="BG181" s="14"/>
      <c r="BH181" s="14"/>
      <c r="BI181" s="14"/>
      <c r="BJ181" s="14"/>
      <c r="BK181" s="14"/>
    </row>
    <row r="182" spans="28:63" x14ac:dyDescent="0.55000000000000004">
      <c r="AL182" s="7"/>
      <c r="AM182" s="14"/>
      <c r="AN182" s="14"/>
      <c r="AO182" s="14"/>
      <c r="AP182" s="14"/>
      <c r="AQ182" s="14"/>
      <c r="AR182" s="14"/>
      <c r="AV182" s="14"/>
      <c r="AW182" s="14"/>
      <c r="AX182" s="14"/>
      <c r="AY182" s="14"/>
      <c r="AZ182" s="14"/>
      <c r="BB182">
        <f ca="1"/>
      </c>
      <c r="BC182">
        <f ca="1"/>
      </c>
      <c r="BD182">
        <f ca="1"/>
      </c>
      <c r="BF182" s="7"/>
      <c r="BG182" s="14"/>
      <c r="BH182" s="14"/>
      <c r="BI182" s="14"/>
      <c r="BJ182" s="14"/>
      <c r="BK182" s="14"/>
    </row>
    <row r="183" spans="28:63" x14ac:dyDescent="0.55000000000000004">
      <c r="AL183" s="7"/>
      <c r="AM183" s="14"/>
      <c r="AN183" s="14"/>
      <c r="AO183" s="14"/>
      <c r="AP183" s="14"/>
      <c r="AQ183" s="14"/>
      <c r="AR183" s="14"/>
      <c r="AV183" s="14"/>
      <c r="AW183" s="14"/>
      <c r="AX183" s="14"/>
      <c r="AY183" s="14"/>
      <c r="AZ183" s="14"/>
      <c r="BB183">
        <f ca="1"/>
      </c>
      <c r="BC183">
        <f ca="1"/>
      </c>
      <c r="BD183">
        <f ca="1"/>
      </c>
      <c r="BF183" s="7"/>
      <c r="BG183" s="14"/>
      <c r="BH183" s="14"/>
      <c r="BI183" s="14"/>
      <c r="BJ183" s="14"/>
      <c r="BK183" s="14"/>
    </row>
    <row r="184" spans="28:63" x14ac:dyDescent="0.55000000000000004">
      <c r="AL184" s="7"/>
      <c r="AM184" s="14"/>
      <c r="AN184" s="14"/>
      <c r="AO184" s="14"/>
      <c r="AP184" s="14"/>
      <c r="AQ184" s="14"/>
      <c r="AR184" s="14"/>
      <c r="AV184" s="14"/>
      <c r="AW184" s="14"/>
      <c r="AX184" s="14"/>
      <c r="AY184" s="14"/>
      <c r="AZ184" s="14"/>
      <c r="BB184">
        <f ca="1"/>
      </c>
      <c r="BC184">
        <f ca="1"/>
      </c>
      <c r="BD184">
        <f ca="1"/>
      </c>
      <c r="BF184" s="7"/>
      <c r="BG184" s="14"/>
      <c r="BH184" s="14"/>
      <c r="BI184" s="14"/>
      <c r="BJ184" s="14"/>
      <c r="BK184" s="14"/>
    </row>
    <row r="185" spans="28:63" x14ac:dyDescent="0.55000000000000004">
      <c r="AL185" s="7"/>
      <c r="AM185" s="14"/>
      <c r="AN185" s="14"/>
      <c r="AO185" s="14"/>
      <c r="AP185" s="14"/>
      <c r="AQ185" s="14"/>
      <c r="AR185" s="14"/>
      <c r="AV185" s="14"/>
      <c r="AW185" s="14"/>
      <c r="AX185" s="14"/>
      <c r="AY185" s="14"/>
      <c r="AZ185" s="14"/>
      <c r="BB185">
        <f ca="1"/>
      </c>
      <c r="BC185">
        <f ca="1"/>
      </c>
      <c r="BD185">
        <f ca="1"/>
      </c>
      <c r="BF185" s="7"/>
      <c r="BG185" s="14"/>
      <c r="BH185" s="14"/>
      <c r="BI185" s="14"/>
      <c r="BJ185" s="14"/>
      <c r="BK185" s="14"/>
    </row>
    <row r="186" spans="28:63" x14ac:dyDescent="0.55000000000000004">
      <c r="AL186" s="7"/>
      <c r="AM186" s="14"/>
      <c r="AN186" s="14"/>
      <c r="AO186" s="14"/>
      <c r="AP186" s="14"/>
      <c r="AQ186" s="14"/>
      <c r="AR186" s="14"/>
      <c r="AV186" s="14"/>
      <c r="AW186" s="14"/>
      <c r="AX186" s="14"/>
      <c r="AY186" s="14"/>
      <c r="AZ186" s="14"/>
      <c r="BB186">
        <f ca="1"/>
      </c>
      <c r="BC186">
        <f ca="1"/>
      </c>
      <c r="BD186">
        <f ca="1"/>
      </c>
      <c r="BF186" s="7"/>
      <c r="BG186" s="14"/>
      <c r="BH186" s="14"/>
      <c r="BI186" s="14"/>
      <c r="BJ186" s="14"/>
      <c r="BK186" s="14"/>
    </row>
    <row r="187" spans="28:63" x14ac:dyDescent="0.55000000000000004">
      <c r="AL187" s="7"/>
      <c r="AM187" s="14"/>
      <c r="AN187" s="14"/>
      <c r="AO187" s="14"/>
      <c r="AP187" s="14"/>
      <c r="AQ187" s="14"/>
      <c r="AR187" s="14"/>
      <c r="AV187" s="14"/>
      <c r="AW187" s="14"/>
      <c r="AX187" s="14"/>
      <c r="AY187" s="14"/>
      <c r="AZ187" s="14"/>
      <c r="BB187">
        <f ca="1"/>
      </c>
      <c r="BC187">
        <f ca="1"/>
      </c>
      <c r="BD187">
        <f ca="1"/>
      </c>
      <c r="BF187" s="7"/>
      <c r="BG187" s="14"/>
      <c r="BH187" s="14"/>
      <c r="BI187" s="14"/>
      <c r="BJ187" s="14"/>
      <c r="BK187" s="14"/>
    </row>
    <row r="188" spans="28:63" x14ac:dyDescent="0.55000000000000004">
      <c r="AL188" s="7"/>
      <c r="AM188" s="14"/>
      <c r="AN188" s="14"/>
      <c r="AO188" s="14"/>
      <c r="AP188" s="14"/>
      <c r="AQ188" s="14"/>
      <c r="AR188" s="14"/>
      <c r="AV188" s="14"/>
      <c r="AW188" s="14"/>
      <c r="AX188" s="14"/>
      <c r="AY188" s="14"/>
      <c r="AZ188" s="14"/>
      <c r="BB188">
        <f ca="1"/>
      </c>
      <c r="BC188">
        <f ca="1"/>
      </c>
      <c r="BD188">
        <f ca="1"/>
      </c>
      <c r="BF188" s="7"/>
      <c r="BG188" s="14"/>
      <c r="BH188" s="14"/>
      <c r="BI188" s="14"/>
      <c r="BJ188" s="14"/>
      <c r="BK188" s="14"/>
    </row>
    <row r="189" spans="28:63" x14ac:dyDescent="0.55000000000000004">
      <c r="AL189" s="7"/>
      <c r="AM189" s="14"/>
      <c r="AN189" s="14"/>
      <c r="AO189" s="14"/>
      <c r="AP189" s="14"/>
      <c r="AQ189" s="14"/>
      <c r="AR189" s="14"/>
      <c r="AV189" s="14"/>
      <c r="AW189" s="14"/>
      <c r="AX189" s="14"/>
      <c r="AY189" s="14"/>
      <c r="AZ189" s="14"/>
      <c r="BB189">
        <f ca="1"/>
      </c>
      <c r="BC189">
        <f ca="1"/>
      </c>
      <c r="BD189">
        <f ca="1"/>
      </c>
      <c r="BF189" s="7"/>
      <c r="BG189" s="14"/>
      <c r="BH189" s="14"/>
      <c r="BI189" s="14"/>
      <c r="BJ189" s="14"/>
      <c r="BK189" s="14"/>
    </row>
    <row r="190" spans="28:63" x14ac:dyDescent="0.55000000000000004">
      <c r="AL190" s="7"/>
      <c r="AM190" s="14"/>
      <c r="AN190" s="14"/>
      <c r="AO190" s="14"/>
      <c r="AP190" s="14"/>
      <c r="AQ190" s="14"/>
      <c r="AR190" s="14"/>
      <c r="AV190" s="14"/>
      <c r="AW190" s="14"/>
      <c r="AX190" s="14"/>
      <c r="AY190" s="14"/>
      <c r="AZ190" s="14"/>
      <c r="BB190">
        <f ca="1"/>
      </c>
      <c r="BC190">
        <f ca="1"/>
      </c>
      <c r="BD190">
        <f ca="1"/>
      </c>
      <c r="BF190" s="7"/>
      <c r="BG190" s="14"/>
      <c r="BH190" s="14"/>
      <c r="BI190" s="14"/>
      <c r="BJ190" s="14"/>
      <c r="BK190" s="14"/>
    </row>
    <row r="191" spans="28:63" x14ac:dyDescent="0.55000000000000004">
      <c r="AL191" s="7"/>
      <c r="AM191" s="14"/>
      <c r="AN191" s="14"/>
      <c r="AO191" s="14"/>
      <c r="AP191" s="14"/>
      <c r="AQ191" s="14"/>
      <c r="AR191" s="14"/>
      <c r="AV191" s="14"/>
      <c r="AW191" s="14"/>
      <c r="AX191" s="14"/>
      <c r="AY191" s="14"/>
      <c r="AZ191" s="14"/>
      <c r="BB191">
        <f ca="1"/>
      </c>
      <c r="BC191">
        <f ca="1"/>
      </c>
      <c r="BD191">
        <f ca="1"/>
      </c>
      <c r="BF191" s="7"/>
      <c r="BG191" s="14"/>
      <c r="BH191" s="14"/>
      <c r="BI191" s="14"/>
      <c r="BJ191" s="14"/>
      <c r="BK191" s="14"/>
    </row>
    <row r="192" spans="28:63" x14ac:dyDescent="0.55000000000000004">
      <c r="AL192" s="7"/>
      <c r="AM192" s="14"/>
      <c r="AN192" s="14"/>
      <c r="AO192" s="14"/>
      <c r="AP192" s="14"/>
      <c r="AQ192" s="14"/>
      <c r="AR192" s="14"/>
      <c r="AV192" s="14"/>
      <c r="AW192" s="14"/>
      <c r="AX192" s="14"/>
      <c r="AY192" s="14"/>
      <c r="AZ192" s="14"/>
      <c r="BB192">
        <f ca="1"/>
      </c>
      <c r="BC192">
        <f ca="1"/>
      </c>
      <c r="BD192">
        <f ca="1"/>
      </c>
      <c r="BF192" s="7"/>
      <c r="BG192" s="14"/>
      <c r="BH192" s="14"/>
      <c r="BI192" s="14"/>
      <c r="BJ192" s="14"/>
      <c r="BK192" s="14"/>
    </row>
    <row r="193" spans="28:63" x14ac:dyDescent="0.55000000000000004">
      <c r="AL193" s="7"/>
      <c r="AM193" s="14"/>
      <c r="AN193" s="14"/>
      <c r="AO193" s="14"/>
      <c r="AP193" s="14"/>
      <c r="AQ193" s="14"/>
      <c r="AR193" s="14"/>
      <c r="AV193" s="14"/>
      <c r="AW193" s="14"/>
      <c r="AX193" s="14"/>
      <c r="AY193" s="14"/>
      <c r="AZ193" s="14"/>
      <c r="BB193">
        <f ca="1"/>
      </c>
      <c r="BC193">
        <f ca="1"/>
      </c>
      <c r="BD193">
        <f ca="1"/>
      </c>
      <c r="BF193" s="7"/>
      <c r="BG193" s="14"/>
      <c r="BH193" s="14"/>
      <c r="BI193" s="14"/>
      <c r="BJ193" s="14"/>
      <c r="BK193" s="14"/>
    </row>
    <row r="194" spans="28:63" x14ac:dyDescent="0.55000000000000004">
      <c r="AL194" s="7"/>
      <c r="AM194" s="14"/>
      <c r="AN194" s="14"/>
      <c r="AO194" s="14"/>
      <c r="AP194" s="14"/>
      <c r="AQ194" s="14"/>
      <c r="AR194" s="14"/>
      <c r="AV194" s="14"/>
      <c r="AW194" s="14"/>
      <c r="AX194" s="14"/>
      <c r="AY194" s="14"/>
      <c r="AZ194" s="14"/>
      <c r="BB194">
        <f ca="1"/>
      </c>
      <c r="BC194">
        <f ca="1"/>
      </c>
      <c r="BD194">
        <f ca="1"/>
      </c>
      <c r="BF194" s="7"/>
      <c r="BG194" s="14"/>
      <c r="BH194" s="14"/>
      <c r="BI194" s="14"/>
      <c r="BJ194" s="14"/>
      <c r="BK194" s="14"/>
    </row>
    <row r="195" spans="28:63" x14ac:dyDescent="0.55000000000000004">
      <c r="AL195" s="7"/>
      <c r="AM195" s="14"/>
      <c r="AN195" s="14"/>
      <c r="AO195" s="14"/>
      <c r="AP195" s="14"/>
      <c r="AQ195" s="14"/>
      <c r="AR195" s="14"/>
      <c r="AV195" s="14"/>
      <c r="AW195" s="14"/>
      <c r="AX195" s="14"/>
      <c r="AY195" s="14"/>
      <c r="AZ195" s="14"/>
      <c r="BF195" s="7"/>
      <c r="BG195" s="14"/>
      <c r="BH195" s="14"/>
      <c r="BI195" s="14"/>
      <c r="BJ195" s="14"/>
      <c r="BK195" s="14"/>
    </row>
    <row r="196" spans="28:63" x14ac:dyDescent="0.55000000000000004">
      <c r="AL196" s="7"/>
      <c r="AM196" s="14"/>
      <c r="AN196" s="14"/>
      <c r="AO196" s="14"/>
      <c r="AP196" s="14"/>
      <c r="AQ196" s="14"/>
      <c r="AR196" s="14"/>
      <c r="AV196" s="14"/>
      <c r="AW196" s="14"/>
      <c r="AX196" s="14"/>
      <c r="AY196" s="14"/>
      <c r="AZ196" s="14"/>
      <c r="BF196" s="7"/>
      <c r="BG196" s="14"/>
      <c r="BH196" s="14"/>
      <c r="BI196" s="14"/>
      <c r="BJ196" s="14"/>
      <c r="BK196" s="14"/>
    </row>
    <row r="197" spans="28:63" x14ac:dyDescent="0.55000000000000004">
      <c r="AL197" s="7"/>
      <c r="AM197" s="14"/>
      <c r="AN197" s="14"/>
      <c r="AO197" s="14"/>
      <c r="AP197" s="14"/>
      <c r="AQ197" s="14"/>
      <c r="AR197" s="14"/>
      <c r="AV197" s="14"/>
      <c r="AW197" s="14"/>
      <c r="AX197" s="14"/>
      <c r="AY197" s="14"/>
      <c r="AZ197" s="14"/>
      <c r="BF197" s="7"/>
      <c r="BG197" s="14"/>
      <c r="BH197" s="14"/>
      <c r="BI197" s="14"/>
      <c r="BJ197" s="14"/>
      <c r="BK197" s="14"/>
    </row>
    <row r="198" spans="28:63" x14ac:dyDescent="0.55000000000000004">
      <c r="AL198" s="7"/>
      <c r="AM198" s="14"/>
      <c r="AN198" s="14"/>
      <c r="AO198" s="14"/>
      <c r="AP198" s="14"/>
      <c r="AQ198" s="14"/>
      <c r="AR198" s="14"/>
      <c r="AV198" s="14"/>
      <c r="AW198" s="14"/>
      <c r="AX198" s="14"/>
      <c r="AY198" s="14"/>
      <c r="AZ198" s="14"/>
      <c r="BF198" s="7"/>
      <c r="BG198" s="14"/>
      <c r="BH198" s="14"/>
      <c r="BI198" s="14"/>
      <c r="BJ198" s="14"/>
      <c r="BK198" s="14"/>
    </row>
    <row r="199" spans="28:63" x14ac:dyDescent="0.55000000000000004">
      <c r="AL199" s="7"/>
      <c r="AM199" s="14"/>
      <c r="AN199" s="14"/>
      <c r="AO199" s="14"/>
      <c r="AP199" s="14"/>
      <c r="AQ199" s="14"/>
      <c r="AR199" s="14"/>
      <c r="AV199" s="14"/>
      <c r="AW199" s="14"/>
      <c r="AX199" s="14"/>
      <c r="AY199" s="14"/>
      <c r="AZ199" s="14"/>
      <c r="BF199" s="7"/>
      <c r="BG199" s="14"/>
      <c r="BH199" s="14"/>
      <c r="BI199" s="14"/>
      <c r="BJ199" s="14"/>
      <c r="BK199" s="14"/>
    </row>
    <row r="200" spans="28:63" x14ac:dyDescent="0.55000000000000004">
      <c r="AL200" s="7"/>
      <c r="AM200" s="14"/>
      <c r="AN200" s="14"/>
      <c r="AO200" s="14"/>
      <c r="AP200" s="14"/>
      <c r="AQ200" s="14"/>
      <c r="AR200" s="14"/>
      <c r="AV200" s="14"/>
      <c r="AW200" s="14"/>
      <c r="AX200" s="14"/>
      <c r="AY200" s="14"/>
      <c r="AZ200" s="14"/>
      <c r="BF200" s="7"/>
      <c r="BG200" s="14"/>
      <c r="BH200" s="14"/>
      <c r="BI200" s="14"/>
      <c r="BJ200" s="14"/>
      <c r="BK200" s="14"/>
    </row>
    <row r="201" spans="28:63" x14ac:dyDescent="0.55000000000000004">
      <c r="AL201" s="7"/>
      <c r="AM201" s="14"/>
      <c r="AN201" s="14"/>
      <c r="AO201" s="14"/>
      <c r="AP201" s="14"/>
      <c r="AQ201" s="14"/>
      <c r="AR201" s="14"/>
      <c r="AV201" s="14"/>
      <c r="AW201" s="14"/>
      <c r="AX201" s="14"/>
      <c r="AY201" s="14"/>
      <c r="AZ201" s="14"/>
      <c r="BF201" s="7"/>
      <c r="BG201" s="14"/>
      <c r="BH201" s="14"/>
      <c r="BI201" s="14"/>
      <c r="BJ201" s="14"/>
      <c r="BK201" s="14"/>
    </row>
    <row r="202" spans="28:63" x14ac:dyDescent="0.55000000000000004">
      <c r="AL202" s="7"/>
      <c r="AM202" s="14"/>
      <c r="AN202" s="14"/>
      <c r="AO202" s="14"/>
      <c r="AP202" s="14"/>
      <c r="AQ202" s="14"/>
      <c r="AR202" s="14"/>
      <c r="AV202" s="14"/>
      <c r="AW202" s="14"/>
      <c r="AX202" s="14"/>
      <c r="AY202" s="14"/>
      <c r="AZ202" s="14"/>
      <c r="BF202" s="7"/>
      <c r="BG202" s="14"/>
      <c r="BH202" s="14"/>
      <c r="BI202" s="14"/>
      <c r="BJ202" s="14"/>
      <c r="BK202" s="14"/>
    </row>
    <row r="203" spans="28:63" x14ac:dyDescent="0.55000000000000004">
      <c r="AL203" s="7"/>
      <c r="AM203" s="14"/>
      <c r="AN203" s="14"/>
      <c r="AO203" s="14"/>
      <c r="AP203" s="14"/>
      <c r="AQ203" s="14"/>
      <c r="AR203" s="14"/>
      <c r="AV203" s="14"/>
      <c r="AW203" s="14"/>
      <c r="AX203" s="14"/>
      <c r="AY203" s="14"/>
      <c r="AZ203" s="14"/>
      <c r="BF203" s="7"/>
      <c r="BG203" s="14"/>
      <c r="BH203" s="14"/>
      <c r="BI203" s="14"/>
      <c r="BJ203" s="14"/>
      <c r="BK203" s="14"/>
    </row>
    <row r="204" spans="28:63" x14ac:dyDescent="0.55000000000000004">
      <c r="AL204" s="7"/>
      <c r="AM204" s="14"/>
      <c r="AN204" s="14"/>
      <c r="AO204" s="14"/>
      <c r="AP204" s="14"/>
      <c r="AQ204" s="14"/>
      <c r="AR204" s="14"/>
      <c r="AV204" s="14"/>
      <c r="AW204" s="14"/>
      <c r="AX204" s="14"/>
      <c r="AY204" s="14"/>
      <c r="AZ204" s="14"/>
      <c r="BF204" s="7"/>
      <c r="BG204" s="14"/>
      <c r="BH204" s="14"/>
      <c r="BI204" s="14"/>
      <c r="BJ204" s="14"/>
      <c r="BK204" s="14"/>
    </row>
    <row r="205" spans="28:63" x14ac:dyDescent="0.55000000000000004">
      <c r="AL205" s="7"/>
      <c r="AM205" s="14"/>
      <c r="AN205" s="14"/>
      <c r="AO205" s="14"/>
      <c r="AP205" s="14"/>
      <c r="AQ205" s="14"/>
      <c r="AR205" s="14"/>
      <c r="AV205" s="14"/>
      <c r="AW205" s="14"/>
      <c r="AX205" s="14"/>
      <c r="AY205" s="14"/>
      <c r="AZ205" s="14"/>
      <c r="BF205" s="7"/>
      <c r="BG205" s="14"/>
      <c r="BH205" s="14"/>
      <c r="BI205" s="14"/>
      <c r="BJ205" s="14"/>
      <c r="BK205" s="14"/>
    </row>
    <row r="206" spans="28:63" x14ac:dyDescent="0.55000000000000004">
      <c r="AL206" s="7"/>
      <c r="AM206" s="14"/>
      <c r="AN206" s="14"/>
      <c r="AO206" s="14"/>
      <c r="AP206" s="14"/>
      <c r="AQ206" s="14"/>
      <c r="AR206" s="14"/>
      <c r="AV206" s="14"/>
      <c r="AW206" s="14"/>
      <c r="AX206" s="14"/>
      <c r="AY206" s="14"/>
      <c r="AZ206" s="14"/>
      <c r="BF206" s="7"/>
      <c r="BG206" s="14"/>
      <c r="BH206" s="14"/>
      <c r="BI206" s="14"/>
      <c r="BJ206" s="14"/>
      <c r="BK206" s="14"/>
    </row>
    <row r="207" spans="28:63" x14ac:dyDescent="0.55000000000000004">
      <c r="AL207" s="7"/>
      <c r="AM207" s="14"/>
      <c r="AN207" s="14"/>
      <c r="AO207" s="14"/>
      <c r="AP207" s="14"/>
      <c r="AQ207" s="14"/>
      <c r="AR207" s="14"/>
      <c r="AV207" s="14"/>
      <c r="AW207" s="14"/>
      <c r="AX207" s="14"/>
      <c r="AY207" s="14"/>
      <c r="AZ207" s="14"/>
      <c r="BF207" s="7"/>
      <c r="BG207" s="14"/>
      <c r="BH207" s="14"/>
      <c r="BI207" s="14"/>
      <c r="BJ207" s="14"/>
      <c r="BK207" s="14"/>
    </row>
    <row r="208" spans="28:63" x14ac:dyDescent="0.55000000000000004">
      <c r="AL208" s="7"/>
      <c r="AM208" s="14"/>
      <c r="AN208" s="14"/>
      <c r="AO208" s="14"/>
      <c r="AP208" s="14"/>
      <c r="AQ208" s="14"/>
      <c r="AR208" s="14"/>
      <c r="AV208" s="14"/>
      <c r="AW208" s="14"/>
      <c r="AX208" s="14"/>
      <c r="AY208" s="14"/>
      <c r="AZ208" s="14"/>
      <c r="BF208" s="7"/>
      <c r="BG208" s="14"/>
      <c r="BH208" s="14"/>
      <c r="BI208" s="14"/>
      <c r="BJ208" s="14"/>
      <c r="BK208" s="14"/>
    </row>
    <row r="209" spans="28:63" x14ac:dyDescent="0.55000000000000004">
      <c r="AL209" s="7"/>
      <c r="AM209" s="14"/>
      <c r="AN209" s="14"/>
      <c r="AO209" s="14"/>
      <c r="AP209" s="14"/>
      <c r="AQ209" s="14"/>
      <c r="AR209" s="14"/>
      <c r="AV209" s="14"/>
      <c r="AW209" s="14"/>
      <c r="AX209" s="14"/>
      <c r="AY209" s="14"/>
      <c r="AZ209" s="14"/>
      <c r="BF209" s="7"/>
      <c r="BG209" s="14"/>
      <c r="BH209" s="14"/>
      <c r="BI209" s="14"/>
      <c r="BJ209" s="14"/>
      <c r="BK209" s="14"/>
    </row>
    <row r="210" spans="28:63" x14ac:dyDescent="0.55000000000000004">
      <c r="AL210" s="7"/>
      <c r="AM210" s="14"/>
      <c r="AN210" s="14"/>
      <c r="AO210" s="14"/>
      <c r="AP210" s="14"/>
      <c r="AQ210" s="14"/>
      <c r="AR210" s="14"/>
      <c r="AV210" s="14"/>
      <c r="AW210" s="14"/>
      <c r="AX210" s="14"/>
      <c r="AY210" s="14"/>
      <c r="AZ210" s="14"/>
      <c r="BF210" s="7"/>
      <c r="BG210" s="14"/>
      <c r="BH210" s="14"/>
      <c r="BI210" s="14"/>
      <c r="BJ210" s="14"/>
      <c r="BK210" s="14"/>
    </row>
    <row r="211" spans="28:63" x14ac:dyDescent="0.55000000000000004">
      <c r="AL211" s="7"/>
      <c r="AM211" s="14"/>
      <c r="AN211" s="14"/>
      <c r="AO211" s="14"/>
      <c r="AP211" s="14"/>
      <c r="AQ211" s="14"/>
      <c r="AR211" s="14"/>
      <c r="AV211" s="14"/>
      <c r="AW211" s="14"/>
      <c r="AX211" s="14"/>
      <c r="AY211" s="14"/>
      <c r="AZ211" s="14"/>
      <c r="BF211" s="7"/>
      <c r="BG211" s="14"/>
      <c r="BH211" s="14"/>
      <c r="BI211" s="14"/>
      <c r="BJ211" s="14"/>
      <c r="BK211" s="14"/>
    </row>
    <row r="212" spans="28:63" x14ac:dyDescent="0.55000000000000004">
      <c r="AL212" s="7"/>
      <c r="AM212" s="14"/>
      <c r="AN212" s="14"/>
      <c r="AO212" s="14"/>
      <c r="AP212" s="14"/>
      <c r="AQ212" s="14"/>
      <c r="AR212" s="14"/>
      <c r="AV212" s="14"/>
      <c r="AW212" s="14"/>
      <c r="AX212" s="14"/>
      <c r="AY212" s="14"/>
      <c r="AZ212" s="14"/>
      <c r="BF212" s="7"/>
      <c r="BG212" s="14"/>
      <c r="BH212" s="14"/>
      <c r="BI212" s="14"/>
      <c r="BJ212" s="14"/>
      <c r="BK212" s="14"/>
    </row>
    <row r="213" spans="28:63" x14ac:dyDescent="0.55000000000000004">
      <c r="AL213" s="7"/>
      <c r="AM213" s="14"/>
      <c r="AN213" s="14"/>
      <c r="AO213" s="14"/>
      <c r="AP213" s="14"/>
      <c r="AQ213" s="14"/>
      <c r="AR213" s="14"/>
      <c r="AV213" s="14"/>
      <c r="AW213" s="14"/>
      <c r="AX213" s="14"/>
      <c r="AY213" s="14"/>
      <c r="AZ213" s="14"/>
      <c r="BF213" s="7"/>
      <c r="BG213" s="14"/>
      <c r="BH213" s="14"/>
      <c r="BI213" s="14"/>
      <c r="BJ213" s="14"/>
      <c r="BK213" s="14"/>
    </row>
    <row r="214" spans="28:63" x14ac:dyDescent="0.55000000000000004">
      <c r="AL214" s="7"/>
      <c r="AM214" s="14"/>
      <c r="AN214" s="14"/>
      <c r="AO214" s="14"/>
      <c r="AP214" s="14"/>
      <c r="AQ214" s="14"/>
      <c r="AR214" s="14"/>
      <c r="AV214" s="14"/>
      <c r="AW214" s="14"/>
      <c r="AX214" s="14"/>
      <c r="AY214" s="14"/>
      <c r="AZ214" s="14"/>
      <c r="BF214" s="7"/>
      <c r="BG214" s="14"/>
      <c r="BH214" s="14"/>
      <c r="BI214" s="14"/>
      <c r="BJ214" s="14"/>
      <c r="BK214" s="14"/>
    </row>
    <row r="215" spans="28:63" x14ac:dyDescent="0.55000000000000004">
      <c r="AL215" s="7"/>
      <c r="AM215" s="14"/>
      <c r="AN215" s="14"/>
      <c r="AO215" s="14"/>
      <c r="AP215" s="14"/>
      <c r="AQ215" s="14"/>
      <c r="AR215" s="14"/>
      <c r="AV215" s="14"/>
      <c r="AW215" s="14"/>
      <c r="AX215" s="14"/>
      <c r="AY215" s="14"/>
      <c r="AZ215" s="14"/>
      <c r="BF215" s="7"/>
      <c r="BG215" s="14"/>
      <c r="BH215" s="14"/>
      <c r="BI215" s="14"/>
      <c r="BJ215" s="14"/>
      <c r="BK215" s="14"/>
    </row>
    <row r="216" spans="28:63" x14ac:dyDescent="0.55000000000000004">
      <c r="AL216" s="7"/>
      <c r="AM216" s="14"/>
      <c r="AN216" s="14"/>
      <c r="AO216" s="14"/>
      <c r="AP216" s="14"/>
      <c r="AQ216" s="14"/>
      <c r="AR216" s="14"/>
      <c r="AV216" s="14"/>
      <c r="AW216" s="14"/>
      <c r="AX216" s="14"/>
      <c r="AY216" s="14"/>
      <c r="AZ216" s="14"/>
      <c r="BF216" s="7"/>
      <c r="BG216" s="14"/>
      <c r="BH216" s="14"/>
      <c r="BI216" s="14"/>
      <c r="BJ216" s="14"/>
      <c r="BK216" s="14"/>
    </row>
    <row r="217" spans="28:63" x14ac:dyDescent="0.55000000000000004">
      <c r="AL217" s="7"/>
      <c r="AM217" s="14"/>
      <c r="AN217" s="14"/>
      <c r="AO217" s="14"/>
      <c r="AP217" s="14"/>
      <c r="AQ217" s="14"/>
      <c r="AR217" s="14"/>
      <c r="AV217" s="14"/>
      <c r="AW217" s="14"/>
      <c r="AX217" s="14"/>
      <c r="AY217" s="14"/>
      <c r="AZ217" s="14"/>
      <c r="BF217" s="7"/>
      <c r="BG217" s="14"/>
      <c r="BH217" s="14"/>
      <c r="BI217" s="14"/>
      <c r="BJ217" s="14"/>
      <c r="BK217" s="14"/>
    </row>
    <row r="218" spans="28:63" x14ac:dyDescent="0.55000000000000004">
      <c r="AL218" s="7"/>
      <c r="AM218" s="14"/>
      <c r="AN218" s="14"/>
      <c r="AO218" s="14"/>
      <c r="AP218" s="14"/>
      <c r="AQ218" s="14"/>
      <c r="AR218" s="14"/>
      <c r="AV218" s="14"/>
      <c r="AW218" s="14"/>
      <c r="AX218" s="14"/>
      <c r="AY218" s="14"/>
      <c r="AZ218" s="14"/>
      <c r="BF218" s="7"/>
      <c r="BG218" s="14"/>
      <c r="BH218" s="14"/>
      <c r="BI218" s="14"/>
      <c r="BJ218" s="14"/>
      <c r="BK218" s="14"/>
    </row>
    <row r="219" spans="28:63" x14ac:dyDescent="0.55000000000000004">
      <c r="AL219" s="7"/>
      <c r="AM219" s="14"/>
      <c r="AN219" s="14"/>
      <c r="AO219" s="14"/>
      <c r="AP219" s="14"/>
      <c r="AQ219" s="14"/>
      <c r="AR219" s="14"/>
      <c r="AV219" s="14"/>
      <c r="AW219" s="14"/>
      <c r="AX219" s="14"/>
      <c r="AY219" s="14"/>
      <c r="AZ219" s="14"/>
      <c r="BF219" s="7"/>
      <c r="BG219" s="14"/>
      <c r="BH219" s="14"/>
      <c r="BI219" s="14"/>
      <c r="BJ219" s="14"/>
      <c r="BK219" s="14"/>
    </row>
    <row r="220" spans="28:63" x14ac:dyDescent="0.55000000000000004">
      <c r="AL220" s="7"/>
      <c r="AM220" s="14"/>
      <c r="AN220" s="14"/>
      <c r="AO220" s="14"/>
      <c r="AP220" s="14"/>
      <c r="AQ220" s="14"/>
      <c r="AR220" s="14"/>
      <c r="AV220" s="14"/>
      <c r="AW220" s="14"/>
      <c r="AX220" s="14"/>
      <c r="AY220" s="14"/>
      <c r="AZ220" s="14"/>
      <c r="BF220" s="7"/>
      <c r="BG220" s="14"/>
      <c r="BH220" s="14"/>
      <c r="BI220" s="14"/>
      <c r="BJ220" s="14"/>
      <c r="BK220" s="14"/>
    </row>
    <row r="221" spans="28:63" x14ac:dyDescent="0.55000000000000004">
      <c r="AL221" s="7"/>
      <c r="AM221" s="14"/>
      <c r="AN221" s="14"/>
      <c r="AO221" s="14"/>
      <c r="AP221" s="14"/>
      <c r="AQ221" s="14"/>
      <c r="AR221" s="14"/>
      <c r="AV221" s="14"/>
      <c r="AW221" s="14"/>
      <c r="AX221" s="14"/>
      <c r="AY221" s="14"/>
      <c r="AZ221" s="14"/>
      <c r="BF221" s="7"/>
      <c r="BG221" s="14"/>
      <c r="BH221" s="14"/>
      <c r="BI221" s="14"/>
      <c r="BJ221" s="14"/>
      <c r="BK221" s="14"/>
    </row>
    <row r="222" spans="28:63" x14ac:dyDescent="0.55000000000000004">
      <c r="AL222" s="7"/>
      <c r="AM222" s="14"/>
      <c r="AN222" s="14"/>
      <c r="AO222" s="14"/>
      <c r="AP222" s="14"/>
      <c r="AQ222" s="14"/>
      <c r="AR222" s="14"/>
      <c r="AV222" s="14"/>
      <c r="AW222" s="14"/>
      <c r="AX222" s="14"/>
      <c r="AY222" s="14"/>
      <c r="AZ222" s="14"/>
      <c r="BF222" s="7"/>
      <c r="BG222" s="14"/>
      <c r="BH222" s="14"/>
      <c r="BI222" s="14"/>
      <c r="BJ222" s="14"/>
      <c r="BK222" s="14"/>
    </row>
    <row r="223" spans="28:63" x14ac:dyDescent="0.55000000000000004">
      <c r="AL223" s="7"/>
      <c r="AM223" s="14"/>
      <c r="AN223" s="14"/>
      <c r="AO223" s="14"/>
      <c r="AP223" s="14"/>
      <c r="AQ223" s="14"/>
      <c r="AR223" s="14"/>
      <c r="AV223" s="14"/>
      <c r="AW223" s="14"/>
      <c r="AX223" s="14"/>
      <c r="AY223" s="14"/>
      <c r="AZ223" s="14"/>
      <c r="BF223" s="7"/>
      <c r="BG223" s="14"/>
      <c r="BH223" s="14"/>
      <c r="BI223" s="14"/>
      <c r="BJ223" s="14"/>
      <c r="BK223" s="14"/>
    </row>
    <row r="224" spans="28:63" x14ac:dyDescent="0.55000000000000004">
      <c r="AL224" s="7"/>
      <c r="AM224" s="14"/>
      <c r="AN224" s="14"/>
      <c r="AO224" s="14"/>
      <c r="AP224" s="14"/>
      <c r="AQ224" s="14"/>
      <c r="AR224" s="14"/>
      <c r="AV224" s="14"/>
      <c r="AW224" s="14"/>
      <c r="AX224" s="14"/>
      <c r="AY224" s="14"/>
      <c r="AZ224" s="14"/>
      <c r="BF224" s="7"/>
      <c r="BG224" s="14"/>
      <c r="BH224" s="14"/>
      <c r="BI224" s="14"/>
      <c r="BJ224" s="14"/>
      <c r="BK224" s="14"/>
    </row>
    <row r="225" spans="28:63" x14ac:dyDescent="0.55000000000000004">
      <c r="AL225" s="7"/>
      <c r="AM225" s="14"/>
      <c r="AN225" s="14"/>
      <c r="AO225" s="14"/>
      <c r="AP225" s="14"/>
      <c r="AQ225" s="14"/>
      <c r="AR225" s="14"/>
      <c r="AV225" s="14"/>
      <c r="AW225" s="14"/>
      <c r="AX225" s="14"/>
      <c r="AY225" s="14"/>
      <c r="AZ225" s="14"/>
      <c r="BF225" s="7"/>
      <c r="BG225" s="14"/>
      <c r="BH225" s="14"/>
      <c r="BI225" s="14"/>
      <c r="BJ225" s="14"/>
      <c r="BK225" s="14"/>
    </row>
    <row r="226" spans="28:63" x14ac:dyDescent="0.55000000000000004">
      <c r="AL226" s="7"/>
      <c r="AM226" s="14"/>
      <c r="AN226" s="14"/>
      <c r="AO226" s="14"/>
      <c r="AP226" s="14"/>
      <c r="AQ226" s="14"/>
      <c r="AR226" s="14"/>
      <c r="AV226" s="14"/>
      <c r="AW226" s="14"/>
      <c r="AX226" s="14"/>
      <c r="AY226" s="14"/>
      <c r="AZ226" s="14"/>
      <c r="BF226" s="7"/>
      <c r="BG226" s="14"/>
      <c r="BH226" s="14"/>
      <c r="BI226" s="14"/>
      <c r="BJ226" s="14"/>
      <c r="BK226" s="14"/>
    </row>
    <row r="227" spans="28:63" x14ac:dyDescent="0.55000000000000004">
      <c r="AL227" s="7"/>
      <c r="AM227" s="14"/>
      <c r="AN227" s="14"/>
      <c r="AO227" s="14"/>
      <c r="AP227" s="14"/>
      <c r="AQ227" s="14"/>
      <c r="AR227" s="14"/>
      <c r="AV227" s="14"/>
      <c r="AW227" s="14"/>
      <c r="AX227" s="14"/>
      <c r="AY227" s="14"/>
      <c r="AZ227" s="14"/>
      <c r="BF227" s="7"/>
      <c r="BG227" s="14"/>
      <c r="BH227" s="14"/>
      <c r="BI227" s="14"/>
      <c r="BJ227" s="14"/>
      <c r="BK227" s="14"/>
    </row>
    <row r="228" spans="28:63" x14ac:dyDescent="0.55000000000000004">
      <c r="AL228" s="7"/>
      <c r="AM228" s="14"/>
      <c r="AN228" s="14"/>
      <c r="AO228" s="14"/>
      <c r="AP228" s="14"/>
      <c r="AQ228" s="14"/>
      <c r="AR228" s="14"/>
      <c r="AV228" s="14"/>
      <c r="AW228" s="14"/>
      <c r="AX228" s="14"/>
      <c r="AY228" s="14"/>
      <c r="AZ228" s="14"/>
      <c r="BF228" s="7"/>
      <c r="BG228" s="14"/>
      <c r="BH228" s="14"/>
      <c r="BI228" s="14"/>
      <c r="BJ228" s="14"/>
      <c r="BK228" s="14"/>
    </row>
    <row r="229" spans="28:63" x14ac:dyDescent="0.55000000000000004">
      <c r="AL229" s="7"/>
      <c r="AM229" s="14"/>
      <c r="AN229" s="14"/>
      <c r="AO229" s="14"/>
      <c r="AP229" s="14"/>
      <c r="AQ229" s="14"/>
      <c r="AR229" s="14"/>
      <c r="AV229" s="14"/>
      <c r="AW229" s="14"/>
      <c r="AX229" s="14"/>
      <c r="AY229" s="14"/>
      <c r="AZ229" s="14"/>
      <c r="BF229" s="7"/>
      <c r="BG229" s="14"/>
      <c r="BH229" s="14"/>
      <c r="BI229" s="14"/>
      <c r="BJ229" s="14"/>
      <c r="BK229" s="14"/>
    </row>
    <row r="230" spans="28:63" x14ac:dyDescent="0.55000000000000004">
      <c r="AL230" s="7"/>
      <c r="AM230" s="14"/>
      <c r="AN230" s="14"/>
      <c r="AO230" s="14"/>
      <c r="AP230" s="14"/>
      <c r="AQ230" s="14"/>
      <c r="AR230" s="14"/>
      <c r="AV230" s="14"/>
      <c r="AW230" s="14"/>
      <c r="AX230" s="14"/>
      <c r="AY230" s="14"/>
      <c r="AZ230" s="14"/>
      <c r="BF230" s="7"/>
      <c r="BG230" s="14"/>
      <c r="BH230" s="14"/>
      <c r="BI230" s="14"/>
      <c r="BJ230" s="14"/>
      <c r="BK230" s="14"/>
    </row>
    <row r="231" spans="28:63" x14ac:dyDescent="0.55000000000000004">
      <c r="AL231" s="7"/>
      <c r="AM231" s="14"/>
      <c r="AN231" s="14"/>
      <c r="AO231" s="14"/>
      <c r="AP231" s="14"/>
      <c r="AQ231" s="14"/>
      <c r="AR231" s="14"/>
      <c r="AV231" s="14"/>
      <c r="AW231" s="14"/>
      <c r="AX231" s="14"/>
      <c r="AY231" s="14"/>
      <c r="AZ231" s="14"/>
      <c r="BF231" s="7"/>
      <c r="BG231" s="14"/>
      <c r="BH231" s="14"/>
      <c r="BI231" s="14"/>
      <c r="BJ231" s="14"/>
      <c r="BK231" s="14"/>
    </row>
    <row r="232" spans="28:63" x14ac:dyDescent="0.55000000000000004">
      <c r="AL232" s="7"/>
      <c r="AM232" s="14"/>
      <c r="AN232" s="14"/>
      <c r="AO232" s="14"/>
      <c r="AP232" s="14"/>
      <c r="AQ232" s="14"/>
      <c r="AR232" s="14"/>
      <c r="AV232" s="14"/>
      <c r="AW232" s="14"/>
      <c r="AX232" s="14"/>
      <c r="AY232" s="14"/>
      <c r="AZ232" s="14"/>
      <c r="BF232" s="7"/>
      <c r="BG232" s="14"/>
      <c r="BH232" s="14"/>
      <c r="BI232" s="14"/>
      <c r="BJ232" s="14"/>
      <c r="BK232" s="14"/>
    </row>
    <row r="233" spans="28:63" x14ac:dyDescent="0.55000000000000004">
      <c r="AL233" s="7"/>
      <c r="AM233" s="14"/>
      <c r="AN233" s="14"/>
      <c r="AO233" s="14"/>
      <c r="AP233" s="14"/>
      <c r="AQ233" s="14"/>
      <c r="AR233" s="14"/>
      <c r="AV233" s="14"/>
      <c r="AW233" s="14"/>
      <c r="AX233" s="14"/>
      <c r="AY233" s="14"/>
      <c r="AZ233" s="14"/>
      <c r="BF233" s="7"/>
      <c r="BG233" s="14"/>
      <c r="BH233" s="14"/>
      <c r="BI233" s="14"/>
      <c r="BJ233" s="14"/>
      <c r="BK233" s="14"/>
    </row>
    <row r="234" spans="28:63" x14ac:dyDescent="0.55000000000000004">
      <c r="AL234" s="7"/>
      <c r="AM234" s="14"/>
      <c r="AN234" s="14"/>
      <c r="AO234" s="14"/>
      <c r="AP234" s="14"/>
      <c r="AQ234" s="14"/>
      <c r="AR234" s="14"/>
      <c r="AV234" s="14"/>
      <c r="AW234" s="14"/>
      <c r="AX234" s="14"/>
      <c r="AY234" s="14"/>
      <c r="AZ234" s="14"/>
      <c r="BF234" s="7"/>
      <c r="BG234" s="14"/>
      <c r="BH234" s="14"/>
      <c r="BI234" s="14"/>
      <c r="BJ234" s="14"/>
      <c r="BK234" s="14"/>
    </row>
    <row r="235" spans="28:63" x14ac:dyDescent="0.55000000000000004">
      <c r="AL235" s="7"/>
      <c r="AM235" s="14"/>
      <c r="AN235" s="14"/>
      <c r="AO235" s="14"/>
      <c r="AP235" s="14"/>
      <c r="AQ235" s="14"/>
      <c r="AR235" s="14"/>
      <c r="AV235" s="14"/>
      <c r="AW235" s="14"/>
      <c r="AX235" s="14"/>
      <c r="AY235" s="14"/>
      <c r="AZ235" s="14"/>
      <c r="BF235" s="7"/>
      <c r="BG235" s="14"/>
      <c r="BH235" s="14"/>
      <c r="BI235" s="14"/>
      <c r="BJ235" s="14"/>
      <c r="BK235" s="14"/>
    </row>
    <row r="236" spans="28:63" x14ac:dyDescent="0.55000000000000004">
      <c r="AL236" s="7"/>
      <c r="AM236" s="14"/>
      <c r="AN236" s="14"/>
      <c r="AO236" s="14"/>
      <c r="AP236" s="14"/>
      <c r="AQ236" s="14"/>
      <c r="AR236" s="14"/>
      <c r="AV236" s="14"/>
      <c r="AW236" s="14"/>
      <c r="AX236" s="14"/>
      <c r="AY236" s="14"/>
      <c r="AZ236" s="14"/>
      <c r="BF236" s="7"/>
      <c r="BG236" s="14"/>
      <c r="BH236" s="14"/>
      <c r="BI236" s="14"/>
      <c r="BJ236" s="14"/>
      <c r="BK236" s="14"/>
    </row>
    <row r="237" spans="28:63" x14ac:dyDescent="0.55000000000000004">
      <c r="AL237" s="7"/>
      <c r="AM237" s="14"/>
      <c r="AN237" s="14"/>
      <c r="AO237" s="14"/>
      <c r="AP237" s="14"/>
      <c r="AQ237" s="14"/>
      <c r="AR237" s="14"/>
      <c r="AV237" s="14"/>
      <c r="AW237" s="14"/>
      <c r="AX237" s="14"/>
      <c r="AY237" s="14"/>
      <c r="AZ237" s="14"/>
      <c r="BF237" s="7"/>
      <c r="BG237" s="14"/>
      <c r="BH237" s="14"/>
      <c r="BI237" s="14"/>
      <c r="BJ237" s="14"/>
      <c r="BK237" s="14"/>
    </row>
    <row r="238" spans="28:63" x14ac:dyDescent="0.55000000000000004">
      <c r="AL238" s="7"/>
      <c r="AM238" s="14"/>
      <c r="AN238" s="14"/>
      <c r="AO238" s="14"/>
      <c r="AP238" s="14"/>
      <c r="AQ238" s="14"/>
      <c r="AR238" s="14"/>
      <c r="AV238" s="14"/>
      <c r="AW238" s="14"/>
      <c r="AX238" s="14"/>
      <c r="AY238" s="14"/>
      <c r="AZ238" s="14"/>
      <c r="BF238" s="7"/>
      <c r="BG238" s="14"/>
      <c r="BH238" s="14"/>
      <c r="BI238" s="14"/>
      <c r="BJ238" s="14"/>
      <c r="BK238" s="14"/>
    </row>
    <row r="239" spans="28:63" x14ac:dyDescent="0.55000000000000004">
      <c r="AL239" s="7"/>
      <c r="AM239" s="14"/>
      <c r="AN239" s="14"/>
      <c r="AO239" s="14"/>
      <c r="AP239" s="14"/>
      <c r="AQ239" s="14"/>
      <c r="AR239" s="14"/>
      <c r="AV239" s="14"/>
      <c r="AW239" s="14"/>
      <c r="AX239" s="14"/>
      <c r="AY239" s="14"/>
      <c r="AZ239" s="14"/>
      <c r="BF239" s="7"/>
      <c r="BG239" s="14"/>
      <c r="BH239" s="14"/>
      <c r="BI239" s="14"/>
      <c r="BJ239" s="14"/>
      <c r="BK239" s="14"/>
    </row>
    <row r="240" spans="28:63" x14ac:dyDescent="0.55000000000000004">
      <c r="AL240" s="7"/>
      <c r="AM240" s="14"/>
      <c r="AN240" s="14"/>
      <c r="AO240" s="14"/>
      <c r="AP240" s="14"/>
      <c r="AQ240" s="14"/>
      <c r="AR240" s="14"/>
      <c r="AV240" s="14"/>
      <c r="AW240" s="14"/>
      <c r="AX240" s="14"/>
      <c r="AY240" s="14"/>
      <c r="AZ240" s="14"/>
      <c r="BF240" s="7"/>
      <c r="BG240" s="14"/>
      <c r="BH240" s="14"/>
      <c r="BI240" s="14"/>
      <c r="BJ240" s="14"/>
      <c r="BK240" s="14"/>
    </row>
    <row r="241" spans="28:63" x14ac:dyDescent="0.55000000000000004">
      <c r="AL241" s="7"/>
      <c r="AM241" s="14"/>
      <c r="AN241" s="14"/>
      <c r="AO241" s="14"/>
      <c r="AP241" s="14"/>
      <c r="AQ241" s="14"/>
      <c r="AR241" s="14"/>
      <c r="AV241" s="14"/>
      <c r="AW241" s="14"/>
      <c r="AX241" s="14"/>
      <c r="AY241" s="14"/>
      <c r="AZ241" s="14"/>
      <c r="BF241" s="7"/>
      <c r="BG241" s="14"/>
      <c r="BH241" s="14"/>
      <c r="BI241" s="14"/>
      <c r="BJ241" s="14"/>
      <c r="BK241" s="14"/>
    </row>
    <row r="242" spans="28:63" x14ac:dyDescent="0.55000000000000004">
      <c r="AL242" s="7"/>
      <c r="AM242" s="14"/>
      <c r="AN242" s="14"/>
      <c r="AO242" s="14"/>
      <c r="AP242" s="14"/>
      <c r="AQ242" s="14"/>
      <c r="AR242" s="14"/>
      <c r="AV242" s="14"/>
      <c r="AW242" s="14"/>
      <c r="AX242" s="14"/>
      <c r="AY242" s="14"/>
      <c r="AZ242" s="14"/>
      <c r="BF242" s="7"/>
      <c r="BG242" s="14"/>
      <c r="BH242" s="14"/>
      <c r="BI242" s="14"/>
      <c r="BJ242" s="14"/>
      <c r="BK242" s="14"/>
    </row>
    <row r="243" spans="28:63" x14ac:dyDescent="0.55000000000000004">
      <c r="AL243" s="7"/>
      <c r="AM243" s="14"/>
      <c r="AN243" s="14"/>
      <c r="AO243" s="14"/>
      <c r="AP243" s="14"/>
      <c r="AQ243" s="14"/>
      <c r="AR243" s="14"/>
      <c r="AV243" s="14"/>
      <c r="AW243" s="14"/>
      <c r="AX243" s="14"/>
      <c r="AY243" s="14"/>
      <c r="AZ243" s="14"/>
      <c r="BF243" s="7"/>
      <c r="BG243" s="14"/>
      <c r="BH243" s="14"/>
      <c r="BI243" s="14"/>
      <c r="BJ243" s="14"/>
      <c r="BK243" s="14"/>
    </row>
    <row r="244" spans="28:63" x14ac:dyDescent="0.55000000000000004">
      <c r="AL244" s="7"/>
      <c r="AM244" s="14"/>
      <c r="AN244" s="14"/>
      <c r="AO244" s="14"/>
      <c r="AP244" s="14"/>
      <c r="AQ244" s="14"/>
      <c r="AR244" s="14"/>
      <c r="AV244" s="14"/>
      <c r="AW244" s="14"/>
      <c r="AX244" s="14"/>
      <c r="AY244" s="14"/>
      <c r="AZ244" s="14"/>
      <c r="BF244" s="7"/>
      <c r="BG244" s="14"/>
      <c r="BH244" s="14"/>
      <c r="BI244" s="14"/>
      <c r="BJ244" s="14"/>
      <c r="BK244" s="14"/>
    </row>
    <row r="245" spans="28:63" x14ac:dyDescent="0.55000000000000004">
      <c r="AL245" s="7"/>
      <c r="AM245" s="14"/>
      <c r="AN245" s="14"/>
      <c r="AO245" s="14"/>
      <c r="AP245" s="14"/>
      <c r="AQ245" s="14"/>
      <c r="AR245" s="14"/>
      <c r="AV245" s="14"/>
      <c r="AW245" s="14"/>
      <c r="AX245" s="14"/>
      <c r="AY245" s="14"/>
      <c r="AZ245" s="14"/>
      <c r="BF245" s="7"/>
      <c r="BG245" s="14"/>
      <c r="BH245" s="14"/>
      <c r="BI245" s="14"/>
      <c r="BJ245" s="14"/>
      <c r="BK245" s="14"/>
    </row>
    <row r="246" spans="28:63" x14ac:dyDescent="0.55000000000000004">
      <c r="AL246" s="7"/>
      <c r="AM246" s="14"/>
      <c r="AN246" s="14"/>
      <c r="AO246" s="14"/>
      <c r="AP246" s="14"/>
      <c r="AQ246" s="14"/>
      <c r="AR246" s="14"/>
      <c r="AV246" s="14"/>
      <c r="AW246" s="14"/>
      <c r="AX246" s="14"/>
      <c r="AY246" s="14"/>
      <c r="AZ246" s="14"/>
      <c r="BF246" s="7"/>
      <c r="BG246" s="14"/>
      <c r="BH246" s="14"/>
      <c r="BI246" s="14"/>
      <c r="BJ246" s="14"/>
      <c r="BK246" s="14"/>
    </row>
    <row r="247" spans="28:63" x14ac:dyDescent="0.55000000000000004">
      <c r="AL247" s="7"/>
      <c r="AM247" s="14"/>
      <c r="AN247" s="14"/>
      <c r="AO247" s="14"/>
      <c r="AP247" s="14"/>
      <c r="AQ247" s="14"/>
      <c r="AR247" s="14"/>
      <c r="AV247" s="14"/>
      <c r="AW247" s="14"/>
      <c r="AX247" s="14"/>
      <c r="AY247" s="14"/>
      <c r="AZ247" s="14"/>
      <c r="BF247" s="7"/>
      <c r="BG247" s="14"/>
      <c r="BH247" s="14"/>
      <c r="BI247" s="14"/>
      <c r="BJ247" s="14"/>
      <c r="BK247" s="14"/>
    </row>
    <row r="248" spans="28:63" x14ac:dyDescent="0.55000000000000004">
      <c r="AL248" s="7"/>
      <c r="AM248" s="14"/>
      <c r="AN248" s="14"/>
      <c r="AO248" s="14"/>
      <c r="AP248" s="14"/>
      <c r="AQ248" s="14"/>
      <c r="AR248" s="14"/>
      <c r="AV248" s="14"/>
      <c r="AW248" s="14"/>
      <c r="AX248" s="14"/>
      <c r="AY248" s="14"/>
      <c r="AZ248" s="14"/>
      <c r="BF248" s="7"/>
      <c r="BG248" s="14"/>
      <c r="BH248" s="14"/>
      <c r="BI248" s="14"/>
      <c r="BJ248" s="14"/>
      <c r="BK248" s="14"/>
    </row>
    <row r="249" spans="28:63" x14ac:dyDescent="0.55000000000000004">
      <c r="AL249" s="7"/>
      <c r="AM249" s="14"/>
      <c r="AN249" s="14"/>
      <c r="AO249" s="14"/>
      <c r="AP249" s="14"/>
      <c r="AQ249" s="14"/>
      <c r="AR249" s="14"/>
      <c r="AV249" s="14"/>
      <c r="AW249" s="14"/>
      <c r="AX249" s="14"/>
      <c r="AY249" s="14"/>
      <c r="AZ249" s="14"/>
      <c r="BF249" s="7"/>
      <c r="BG249" s="14"/>
      <c r="BH249" s="14"/>
      <c r="BI249" s="14"/>
      <c r="BJ249" s="14"/>
      <c r="BK249" s="14"/>
    </row>
    <row r="250" spans="28:63" x14ac:dyDescent="0.55000000000000004">
      <c r="AL250" s="7"/>
      <c r="AM250" s="14"/>
      <c r="AN250" s="14"/>
      <c r="AO250" s="14"/>
      <c r="AP250" s="14"/>
      <c r="AQ250" s="14"/>
      <c r="AR250" s="14"/>
      <c r="AV250" s="14"/>
      <c r="AW250" s="14"/>
      <c r="AX250" s="14"/>
      <c r="AY250" s="14"/>
      <c r="AZ250" s="14"/>
      <c r="BF250" s="7"/>
      <c r="BG250" s="14"/>
      <c r="BH250" s="14"/>
      <c r="BI250" s="14"/>
      <c r="BJ250" s="14"/>
      <c r="BK250" s="14"/>
    </row>
    <row r="251" spans="28:63" x14ac:dyDescent="0.55000000000000004">
      <c r="AL251" s="7"/>
      <c r="AM251" s="14"/>
      <c r="AN251" s="14"/>
      <c r="AO251" s="14"/>
      <c r="AP251" s="14"/>
      <c r="AQ251" s="14"/>
      <c r="AR251" s="14"/>
      <c r="AV251" s="14"/>
      <c r="AW251" s="14"/>
      <c r="AX251" s="14"/>
      <c r="AY251" s="14"/>
      <c r="AZ251" s="14"/>
      <c r="BF251" s="7"/>
      <c r="BG251" s="14"/>
      <c r="BH251" s="14"/>
      <c r="BI251" s="14"/>
      <c r="BJ251" s="14"/>
      <c r="BK251" s="14"/>
    </row>
    <row r="252" spans="28:63" x14ac:dyDescent="0.55000000000000004">
      <c r="AL252" s="7"/>
      <c r="AM252" s="14"/>
      <c r="AN252" s="14"/>
      <c r="AO252" s="14"/>
      <c r="AP252" s="14"/>
      <c r="AQ252" s="14"/>
      <c r="AR252" s="14"/>
      <c r="AV252" s="14"/>
      <c r="AW252" s="14"/>
      <c r="AX252" s="14"/>
      <c r="AY252" s="14"/>
      <c r="AZ252" s="14"/>
      <c r="BF252" s="7"/>
      <c r="BG252" s="14"/>
      <c r="BH252" s="14"/>
      <c r="BI252" s="14"/>
      <c r="BJ252" s="14"/>
      <c r="BK252" s="14"/>
    </row>
    <row r="253" spans="28:63" x14ac:dyDescent="0.55000000000000004">
      <c r="AL253" s="7"/>
      <c r="AM253" s="14"/>
      <c r="AN253" s="14"/>
      <c r="AO253" s="14"/>
      <c r="AP253" s="14"/>
      <c r="AQ253" s="14"/>
      <c r="AR253" s="14"/>
      <c r="AV253" s="14"/>
      <c r="AW253" s="14"/>
      <c r="AX253" s="14"/>
      <c r="AY253" s="14"/>
      <c r="AZ253" s="14"/>
      <c r="BF253" s="7"/>
      <c r="BG253" s="14"/>
      <c r="BH253" s="14"/>
      <c r="BI253" s="14"/>
      <c r="BJ253" s="14"/>
      <c r="BK253" s="14"/>
    </row>
    <row r="254" spans="28:63" x14ac:dyDescent="0.55000000000000004">
      <c r="AL254" s="7"/>
      <c r="AM254" s="14"/>
      <c r="AN254" s="14"/>
      <c r="AO254" s="14"/>
      <c r="AP254" s="14"/>
      <c r="AQ254" s="14"/>
      <c r="AR254" s="14"/>
      <c r="AV254" s="14"/>
      <c r="AW254" s="14"/>
      <c r="AX254" s="14"/>
      <c r="AY254" s="14"/>
      <c r="AZ254" s="14"/>
      <c r="BF254" s="7"/>
      <c r="BG254" s="14"/>
      <c r="BH254" s="14"/>
      <c r="BI254" s="14"/>
      <c r="BJ254" s="14"/>
      <c r="BK254" s="14"/>
    </row>
    <row r="255" spans="28:63" x14ac:dyDescent="0.55000000000000004">
      <c r="AL255" s="7"/>
      <c r="AM255" s="14"/>
      <c r="AN255" s="14"/>
      <c r="AO255" s="14"/>
      <c r="AP255" s="14"/>
      <c r="AQ255" s="14"/>
      <c r="AR255" s="14"/>
      <c r="AV255" s="14"/>
      <c r="AW255" s="14"/>
      <c r="AX255" s="14"/>
      <c r="AY255" s="14"/>
      <c r="AZ255" s="14"/>
      <c r="BF255" s="7"/>
      <c r="BG255" s="14"/>
      <c r="BH255" s="14"/>
      <c r="BI255" s="14"/>
      <c r="BJ255" s="14"/>
      <c r="BK255" s="14"/>
    </row>
    <row r="256" spans="28:63" x14ac:dyDescent="0.55000000000000004">
      <c r="AL256" s="7"/>
      <c r="AM256" s="14"/>
      <c r="AN256" s="14"/>
      <c r="AO256" s="14"/>
      <c r="AP256" s="14"/>
      <c r="AQ256" s="14"/>
      <c r="AR256" s="14"/>
      <c r="AV256" s="14"/>
      <c r="AW256" s="14"/>
      <c r="AX256" s="14"/>
      <c r="AY256" s="14"/>
      <c r="AZ256" s="14"/>
      <c r="BF256" s="7"/>
      <c r="BG256" s="14"/>
      <c r="BH256" s="14"/>
      <c r="BI256" s="14"/>
      <c r="BJ256" s="14"/>
      <c r="BK256" s="14"/>
    </row>
    <row r="257" spans="28:63" x14ac:dyDescent="0.55000000000000004">
      <c r="AL257" s="7"/>
      <c r="AM257" s="14"/>
      <c r="AN257" s="14"/>
      <c r="AO257" s="14"/>
      <c r="AP257" s="14"/>
      <c r="AQ257" s="14"/>
      <c r="AR257" s="14"/>
      <c r="AV257" s="14"/>
      <c r="AW257" s="14"/>
      <c r="AX257" s="14"/>
      <c r="AY257" s="14"/>
      <c r="AZ257" s="14"/>
      <c r="BF257" s="7"/>
      <c r="BG257" s="14"/>
      <c r="BH257" s="14"/>
      <c r="BI257" s="14"/>
      <c r="BJ257" s="14"/>
      <c r="BK257" s="14"/>
    </row>
    <row r="258" spans="28:63" x14ac:dyDescent="0.55000000000000004">
      <c r="AL258" s="7"/>
      <c r="AM258" s="14"/>
      <c r="AN258" s="14"/>
      <c r="AO258" s="14"/>
      <c r="AP258" s="14"/>
      <c r="AQ258" s="14"/>
      <c r="AR258" s="14"/>
      <c r="AV258" s="14"/>
      <c r="AW258" s="14"/>
      <c r="AX258" s="14"/>
      <c r="AY258" s="14"/>
      <c r="AZ258" s="14"/>
      <c r="BF258" s="7"/>
      <c r="BG258" s="14"/>
      <c r="BH258" s="14"/>
      <c r="BI258" s="14"/>
      <c r="BJ258" s="14"/>
      <c r="BK258" s="14"/>
    </row>
    <row r="259" spans="28:63" x14ac:dyDescent="0.55000000000000004">
      <c r="AL259" s="7"/>
      <c r="AM259" s="14"/>
      <c r="AN259" s="14"/>
      <c r="AO259" s="14"/>
      <c r="AP259" s="14"/>
      <c r="AQ259" s="14"/>
      <c r="AR259" s="14"/>
      <c r="AV259" s="14"/>
      <c r="AW259" s="14"/>
      <c r="AX259" s="14"/>
      <c r="AY259" s="14"/>
      <c r="AZ259" s="14"/>
      <c r="BF259" s="7"/>
      <c r="BG259" s="14"/>
      <c r="BH259" s="14"/>
      <c r="BI259" s="14"/>
      <c r="BJ259" s="14"/>
      <c r="BK259" s="14"/>
    </row>
    <row r="260" spans="28:63" x14ac:dyDescent="0.55000000000000004">
      <c r="AL260" s="7"/>
      <c r="AM260" s="14"/>
      <c r="AN260" s="14"/>
      <c r="AO260" s="14"/>
      <c r="AP260" s="14"/>
      <c r="AQ260" s="14"/>
      <c r="AR260" s="14"/>
      <c r="AV260" s="14"/>
      <c r="AW260" s="14"/>
      <c r="AX260" s="14"/>
      <c r="AY260" s="14"/>
      <c r="AZ260" s="14"/>
      <c r="BF260" s="7"/>
      <c r="BG260" s="14"/>
      <c r="BH260" s="14"/>
      <c r="BI260" s="14"/>
      <c r="BJ260" s="14"/>
      <c r="BK260" s="14"/>
    </row>
    <row r="261" spans="28:63" x14ac:dyDescent="0.55000000000000004">
      <c r="AL261" s="7"/>
      <c r="AM261" s="14"/>
      <c r="AN261" s="14"/>
      <c r="AO261" s="14"/>
      <c r="AP261" s="14"/>
      <c r="AQ261" s="14"/>
      <c r="AR261" s="14"/>
      <c r="AV261" s="14"/>
      <c r="AW261" s="14"/>
      <c r="AX261" s="14"/>
      <c r="AY261" s="14"/>
      <c r="AZ261" s="14"/>
      <c r="BF261" s="7"/>
      <c r="BG261" s="14"/>
      <c r="BH261" s="14"/>
      <c r="BI261" s="14"/>
      <c r="BJ261" s="14"/>
      <c r="BK261" s="14"/>
    </row>
    <row r="262" spans="28:63" x14ac:dyDescent="0.55000000000000004">
      <c r="AL262" s="7"/>
      <c r="AM262" s="14"/>
      <c r="AN262" s="14"/>
      <c r="AO262" s="14"/>
      <c r="AP262" s="14"/>
      <c r="AQ262" s="14"/>
      <c r="AR262" s="14"/>
      <c r="AV262" s="14"/>
      <c r="AW262" s="14"/>
      <c r="AX262" s="14"/>
      <c r="AY262" s="14"/>
      <c r="AZ262" s="14"/>
      <c r="BF262" s="7"/>
      <c r="BG262" s="14"/>
      <c r="BH262" s="14"/>
      <c r="BI262" s="14"/>
      <c r="BJ262" s="14"/>
      <c r="BK262" s="14"/>
    </row>
    <row r="263" spans="28:63" x14ac:dyDescent="0.55000000000000004">
      <c r="AL263" s="7"/>
      <c r="AM263" s="14"/>
      <c r="AN263" s="14"/>
      <c r="AO263" s="14"/>
      <c r="AP263" s="14"/>
      <c r="AQ263" s="14"/>
      <c r="AR263" s="14"/>
      <c r="AV263" s="14"/>
      <c r="AW263" s="14"/>
      <c r="AX263" s="14"/>
      <c r="AY263" s="14"/>
      <c r="AZ263" s="14"/>
      <c r="BF263" s="7"/>
      <c r="BG263" s="14"/>
      <c r="BH263" s="14"/>
      <c r="BI263" s="14"/>
      <c r="BJ263" s="14"/>
      <c r="BK263" s="14"/>
    </row>
    <row r="264" spans="28:63" x14ac:dyDescent="0.55000000000000004">
      <c r="AL264" s="7"/>
      <c r="AM264" s="14"/>
      <c r="AN264" s="14"/>
      <c r="AO264" s="14"/>
      <c r="AP264" s="14"/>
      <c r="AQ264" s="14"/>
      <c r="AR264" s="14"/>
      <c r="AV264" s="14"/>
      <c r="AW264" s="14"/>
      <c r="AX264" s="14"/>
      <c r="AY264" s="14"/>
      <c r="AZ264" s="14"/>
      <c r="BF264" s="7"/>
      <c r="BG264" s="14"/>
      <c r="BH264" s="14"/>
      <c r="BI264" s="14"/>
      <c r="BJ264" s="14"/>
      <c r="BK264" s="14"/>
    </row>
    <row r="265" spans="28:63" x14ac:dyDescent="0.55000000000000004">
      <c r="AL265" s="7"/>
      <c r="AM265" s="14"/>
      <c r="AN265" s="14"/>
      <c r="AO265" s="14"/>
      <c r="AP265" s="14"/>
      <c r="AQ265" s="14"/>
      <c r="AR265" s="14"/>
      <c r="AV265" s="14"/>
      <c r="AW265" s="14"/>
      <c r="AX265" s="14"/>
      <c r="AY265" s="14"/>
      <c r="AZ265" s="14"/>
      <c r="BF265" s="7"/>
      <c r="BG265" s="14"/>
      <c r="BH265" s="14"/>
      <c r="BI265" s="14"/>
      <c r="BJ265" s="14"/>
      <c r="BK265" s="14"/>
    </row>
    <row r="266" spans="28:63" x14ac:dyDescent="0.55000000000000004">
      <c r="AL266" s="7"/>
      <c r="AM266" s="14"/>
      <c r="AN266" s="14"/>
      <c r="AO266" s="14"/>
      <c r="AP266" s="14"/>
      <c r="AQ266" s="14"/>
      <c r="AR266" s="14"/>
      <c r="AV266" s="14"/>
      <c r="AW266" s="14"/>
      <c r="AX266" s="14"/>
      <c r="AY266" s="14"/>
      <c r="AZ266" s="14"/>
      <c r="BF266" s="7"/>
      <c r="BG266" s="14"/>
      <c r="BH266" s="14"/>
      <c r="BI266" s="14"/>
      <c r="BJ266" s="14"/>
      <c r="BK266" s="14"/>
    </row>
    <row r="267" spans="28:63" x14ac:dyDescent="0.55000000000000004">
      <c r="AL267" s="7"/>
      <c r="AM267" s="14"/>
      <c r="AN267" s="14"/>
      <c r="AO267" s="14"/>
      <c r="AP267" s="14"/>
      <c r="AQ267" s="14"/>
      <c r="AR267" s="14"/>
      <c r="AV267" s="14"/>
      <c r="AW267" s="14"/>
      <c r="AX267" s="14"/>
      <c r="AY267" s="14"/>
      <c r="AZ267" s="14"/>
      <c r="BF267" s="7"/>
      <c r="BG267" s="14"/>
      <c r="BH267" s="14"/>
      <c r="BI267" s="14"/>
      <c r="BJ267" s="14"/>
      <c r="BK267" s="14"/>
    </row>
    <row r="268" spans="28:63" x14ac:dyDescent="0.55000000000000004">
      <c r="AL268" s="7"/>
      <c r="AM268" s="14"/>
      <c r="AN268" s="14"/>
      <c r="AO268" s="14"/>
      <c r="AP268" s="14"/>
      <c r="AQ268" s="14"/>
      <c r="AR268" s="14"/>
      <c r="AV268" s="14"/>
      <c r="AW268" s="14"/>
      <c r="AX268" s="14"/>
      <c r="AY268" s="14"/>
      <c r="AZ268" s="14"/>
      <c r="BF268" s="7"/>
      <c r="BG268" s="14"/>
      <c r="BH268" s="14"/>
      <c r="BI268" s="14"/>
      <c r="BJ268" s="14"/>
      <c r="BK268" s="14"/>
    </row>
    <row r="269" spans="28:63" x14ac:dyDescent="0.55000000000000004">
      <c r="AL269" s="7"/>
      <c r="AM269" s="14"/>
      <c r="AN269" s="14"/>
      <c r="AO269" s="14"/>
      <c r="AP269" s="14"/>
      <c r="AQ269" s="14"/>
      <c r="AR269" s="14"/>
      <c r="AV269" s="14"/>
      <c r="AW269" s="14"/>
      <c r="AX269" s="14"/>
      <c r="AY269" s="14"/>
      <c r="AZ269" s="14"/>
      <c r="BF269" s="7"/>
      <c r="BG269" s="14"/>
      <c r="BH269" s="14"/>
      <c r="BI269" s="14"/>
      <c r="BJ269" s="14"/>
      <c r="BK269" s="14"/>
    </row>
    <row r="270" spans="28:63" x14ac:dyDescent="0.55000000000000004">
      <c r="AL270" s="7"/>
      <c r="AM270" s="14"/>
      <c r="AN270" s="14"/>
      <c r="AO270" s="14"/>
      <c r="AP270" s="14"/>
      <c r="AQ270" s="14"/>
      <c r="AR270" s="14"/>
      <c r="AV270" s="14"/>
      <c r="AW270" s="14"/>
      <c r="AX270" s="14"/>
      <c r="AY270" s="14"/>
      <c r="AZ270" s="14"/>
      <c r="BF270" s="7"/>
      <c r="BG270" s="14"/>
      <c r="BH270" s="14"/>
      <c r="BI270" s="14"/>
      <c r="BJ270" s="14"/>
      <c r="BK270" s="14"/>
    </row>
    <row r="271" spans="28:63" x14ac:dyDescent="0.55000000000000004">
      <c r="AL271" s="7"/>
      <c r="AM271" s="14"/>
      <c r="AN271" s="14"/>
      <c r="AO271" s="14"/>
      <c r="AP271" s="14"/>
      <c r="AQ271" s="14"/>
      <c r="AR271" s="14"/>
      <c r="AV271" s="14"/>
      <c r="AW271" s="14"/>
      <c r="AX271" s="14"/>
      <c r="AY271" s="14"/>
      <c r="AZ271" s="14"/>
      <c r="BF271" s="7"/>
      <c r="BG271" s="14"/>
      <c r="BH271" s="14"/>
      <c r="BI271" s="14"/>
      <c r="BJ271" s="14"/>
      <c r="BK271" s="14"/>
    </row>
    <row r="272" spans="28:63" x14ac:dyDescent="0.55000000000000004">
      <c r="AL272" s="7"/>
      <c r="AM272" s="14"/>
      <c r="AN272" s="14"/>
      <c r="AO272" s="14"/>
      <c r="AP272" s="14"/>
      <c r="AQ272" s="14"/>
      <c r="AR272" s="14"/>
      <c r="AV272" s="14"/>
      <c r="AW272" s="14"/>
      <c r="AX272" s="14"/>
      <c r="AY272" s="14"/>
      <c r="AZ272" s="14"/>
      <c r="BF272" s="7"/>
      <c r="BG272" s="14"/>
      <c r="BH272" s="14"/>
      <c r="BI272" s="14"/>
      <c r="BJ272" s="14"/>
      <c r="BK272" s="14"/>
    </row>
    <row r="273" spans="28:63" x14ac:dyDescent="0.55000000000000004">
      <c r="AL273" s="7"/>
      <c r="AM273" s="14"/>
      <c r="AN273" s="14"/>
      <c r="AO273" s="14"/>
      <c r="AP273" s="14"/>
      <c r="AQ273" s="14"/>
      <c r="AR273" s="14"/>
      <c r="AV273" s="14"/>
      <c r="AW273" s="14"/>
      <c r="AX273" s="14"/>
      <c r="AY273" s="14"/>
      <c r="AZ273" s="14"/>
      <c r="BF273" s="7"/>
      <c r="BG273" s="14"/>
      <c r="BH273" s="14"/>
      <c r="BI273" s="14"/>
      <c r="BJ273" s="14"/>
      <c r="BK273" s="14"/>
    </row>
    <row r="274" spans="28:63" x14ac:dyDescent="0.55000000000000004">
      <c r="AL274" s="7"/>
      <c r="AM274" s="14"/>
      <c r="AN274" s="14"/>
      <c r="AO274" s="14"/>
      <c r="AP274" s="14"/>
      <c r="AQ274" s="14"/>
      <c r="AR274" s="14"/>
      <c r="AV274" s="14"/>
      <c r="AW274" s="14"/>
      <c r="AX274" s="14"/>
      <c r="AY274" s="14"/>
      <c r="AZ274" s="14"/>
      <c r="BF274" s="7"/>
      <c r="BG274" s="14"/>
      <c r="BH274" s="14"/>
      <c r="BI274" s="14"/>
      <c r="BJ274" s="14"/>
      <c r="BK274" s="14"/>
    </row>
    <row r="275" spans="28:63" x14ac:dyDescent="0.55000000000000004">
      <c r="AL275" s="7"/>
      <c r="AM275" s="14"/>
      <c r="AN275" s="14"/>
      <c r="AO275" s="14"/>
      <c r="AP275" s="14"/>
      <c r="AQ275" s="14"/>
      <c r="AR275" s="14"/>
      <c r="AV275" s="14"/>
      <c r="AW275" s="14"/>
      <c r="AX275" s="14"/>
      <c r="AY275" s="14"/>
      <c r="AZ275" s="14"/>
      <c r="BF275" s="7"/>
      <c r="BG275" s="14"/>
      <c r="BH275" s="14"/>
      <c r="BI275" s="14"/>
      <c r="BJ275" s="14"/>
      <c r="BK275" s="14"/>
    </row>
    <row r="276" spans="28:63" x14ac:dyDescent="0.55000000000000004">
      <c r="AL276" s="7"/>
      <c r="AM276" s="14"/>
      <c r="AN276" s="14"/>
      <c r="AO276" s="14"/>
      <c r="AP276" s="14"/>
      <c r="AQ276" s="14"/>
      <c r="AR276" s="14"/>
      <c r="AV276" s="14"/>
      <c r="AW276" s="14"/>
      <c r="AX276" s="14"/>
      <c r="AY276" s="14"/>
      <c r="AZ276" s="14"/>
      <c r="BF276" s="7"/>
      <c r="BG276" s="14"/>
      <c r="BH276" s="14"/>
      <c r="BI276" s="14"/>
      <c r="BJ276" s="14"/>
      <c r="BK276" s="14"/>
    </row>
    <row r="277" spans="28:63" x14ac:dyDescent="0.55000000000000004">
      <c r="AL277" s="7"/>
      <c r="AM277" s="14"/>
      <c r="AN277" s="14"/>
      <c r="AO277" s="14"/>
      <c r="AP277" s="14"/>
      <c r="AQ277" s="14"/>
      <c r="AR277" s="14"/>
      <c r="AV277" s="14"/>
      <c r="AW277" s="14"/>
      <c r="AX277" s="14"/>
      <c r="AY277" s="14"/>
      <c r="AZ277" s="14"/>
      <c r="BF277" s="7"/>
      <c r="BG277" s="14"/>
      <c r="BH277" s="14"/>
      <c r="BI277" s="14"/>
      <c r="BJ277" s="14"/>
      <c r="BK277" s="14"/>
    </row>
    <row r="278" spans="28:63" x14ac:dyDescent="0.55000000000000004">
      <c r="AL278" s="7"/>
      <c r="AM278" s="14"/>
      <c r="AN278" s="14"/>
      <c r="AO278" s="14"/>
      <c r="AP278" s="14"/>
      <c r="AQ278" s="14"/>
      <c r="AR278" s="14"/>
      <c r="AV278" s="14"/>
      <c r="AW278" s="14"/>
      <c r="AX278" s="14"/>
      <c r="AY278" s="14"/>
      <c r="AZ278" s="14"/>
      <c r="BF278" s="7"/>
      <c r="BG278" s="14"/>
      <c r="BH278" s="14"/>
      <c r="BI278" s="14"/>
      <c r="BJ278" s="14"/>
      <c r="BK278" s="14"/>
    </row>
    <row r="279" spans="28:63" x14ac:dyDescent="0.55000000000000004">
      <c r="AL279" s="7"/>
      <c r="AM279" s="14"/>
      <c r="AN279" s="14"/>
      <c r="AO279" s="14"/>
      <c r="AP279" s="14"/>
      <c r="AQ279" s="14"/>
      <c r="AR279" s="14"/>
      <c r="AV279" s="14"/>
      <c r="AW279" s="14"/>
      <c r="AX279" s="14"/>
      <c r="AY279" s="14"/>
      <c r="AZ279" s="14"/>
      <c r="BF279" s="7"/>
      <c r="BG279" s="14"/>
      <c r="BH279" s="14"/>
      <c r="BI279" s="14"/>
      <c r="BJ279" s="14"/>
      <c r="BK279" s="14"/>
    </row>
    <row r="280" spans="28:63" x14ac:dyDescent="0.55000000000000004">
      <c r="AL280" s="7"/>
      <c r="AM280" s="14"/>
      <c r="AN280" s="14"/>
      <c r="AO280" s="14"/>
      <c r="AP280" s="14"/>
      <c r="AQ280" s="14"/>
      <c r="AR280" s="14"/>
      <c r="AV280" s="14"/>
      <c r="AW280" s="14"/>
      <c r="AX280" s="14"/>
      <c r="AY280" s="14"/>
      <c r="AZ280" s="14"/>
      <c r="BF280" s="7"/>
      <c r="BG280" s="14"/>
      <c r="BH280" s="14"/>
      <c r="BI280" s="14"/>
      <c r="BJ280" s="14"/>
      <c r="BK280" s="14"/>
    </row>
    <row r="281" spans="28:63" x14ac:dyDescent="0.55000000000000004">
      <c r="AL281" s="7"/>
      <c r="AM281" s="14"/>
      <c r="AN281" s="14"/>
      <c r="AO281" s="14"/>
      <c r="AP281" s="14"/>
      <c r="AQ281" s="14"/>
      <c r="AR281" s="14"/>
      <c r="AV281" s="14"/>
      <c r="AW281" s="14"/>
      <c r="AX281" s="14"/>
      <c r="AY281" s="14"/>
      <c r="AZ281" s="14"/>
      <c r="BF281" s="7"/>
      <c r="BG281" s="14"/>
      <c r="BH281" s="14"/>
      <c r="BI281" s="14"/>
      <c r="BJ281" s="14"/>
      <c r="BK281" s="14"/>
    </row>
    <row r="282" spans="28:63" x14ac:dyDescent="0.55000000000000004">
      <c r="AL282" s="7"/>
      <c r="AM282" s="14"/>
      <c r="AN282" s="14"/>
      <c r="AO282" s="14"/>
      <c r="AP282" s="14"/>
      <c r="AQ282" s="14"/>
      <c r="AR282" s="14"/>
      <c r="AV282" s="14"/>
      <c r="AW282" s="14"/>
      <c r="AX282" s="14"/>
      <c r="AY282" s="14"/>
      <c r="AZ282" s="14"/>
      <c r="BF282" s="7"/>
      <c r="BG282" s="14"/>
      <c r="BH282" s="14"/>
      <c r="BI282" s="14"/>
      <c r="BJ282" s="14"/>
      <c r="BK282" s="14"/>
    </row>
    <row r="283" spans="28:63" x14ac:dyDescent="0.55000000000000004">
      <c r="AL283" s="7"/>
      <c r="AM283" s="14"/>
      <c r="AN283" s="14"/>
      <c r="AO283" s="14"/>
      <c r="AP283" s="14"/>
      <c r="AQ283" s="14"/>
      <c r="AR283" s="14"/>
      <c r="AV283" s="14"/>
      <c r="AW283" s="14"/>
      <c r="AX283" s="14"/>
      <c r="AY283" s="14"/>
      <c r="AZ283" s="14"/>
      <c r="BF283" s="7"/>
      <c r="BG283" s="14"/>
      <c r="BH283" s="14"/>
      <c r="BI283" s="14"/>
      <c r="BJ283" s="14"/>
      <c r="BK283" s="14"/>
    </row>
    <row r="284" spans="28:63" x14ac:dyDescent="0.55000000000000004">
      <c r="AL284" s="7"/>
      <c r="AM284" s="14"/>
      <c r="AN284" s="14"/>
      <c r="AO284" s="14"/>
      <c r="AP284" s="14"/>
      <c r="AQ284" s="14"/>
      <c r="AR284" s="14"/>
      <c r="AV284" s="14"/>
      <c r="AW284" s="14"/>
      <c r="AX284" s="14"/>
      <c r="AY284" s="14"/>
      <c r="AZ284" s="14"/>
      <c r="BF284" s="7"/>
      <c r="BG284" s="14"/>
      <c r="BH284" s="14"/>
      <c r="BI284" s="14"/>
      <c r="BJ284" s="14"/>
      <c r="BK284" s="14"/>
    </row>
    <row r="285" spans="28:63" x14ac:dyDescent="0.55000000000000004">
      <c r="AL285" s="7"/>
      <c r="AM285" s="14"/>
      <c r="AN285" s="14"/>
      <c r="AO285" s="14"/>
      <c r="AP285" s="14"/>
      <c r="AQ285" s="14"/>
      <c r="AR285" s="14"/>
      <c r="AV285" s="14"/>
      <c r="AW285" s="14"/>
      <c r="AX285" s="14"/>
      <c r="AY285" s="14"/>
      <c r="AZ285" s="14"/>
      <c r="BF285" s="7"/>
      <c r="BG285" s="14"/>
      <c r="BH285" s="14"/>
      <c r="BI285" s="14"/>
      <c r="BJ285" s="14"/>
      <c r="BK285" s="14"/>
    </row>
    <row r="286" spans="28:63" x14ac:dyDescent="0.55000000000000004">
      <c r="AL286" s="7"/>
      <c r="AM286" s="14"/>
      <c r="AN286" s="14"/>
      <c r="AO286" s="14"/>
      <c r="AP286" s="14"/>
      <c r="AQ286" s="14"/>
      <c r="AR286" s="14"/>
      <c r="AV286" s="14"/>
      <c r="AW286" s="14"/>
      <c r="AX286" s="14"/>
      <c r="AY286" s="14"/>
      <c r="AZ286" s="14"/>
      <c r="BF286" s="7"/>
      <c r="BG286" s="14"/>
      <c r="BH286" s="14"/>
      <c r="BI286" s="14"/>
      <c r="BJ286" s="14"/>
      <c r="BK286" s="14"/>
    </row>
    <row r="287" spans="28:63" x14ac:dyDescent="0.55000000000000004">
      <c r="AL287" s="7"/>
      <c r="AM287" s="14"/>
      <c r="AN287" s="14"/>
      <c r="AO287" s="14"/>
      <c r="AP287" s="14"/>
      <c r="AQ287" s="14"/>
      <c r="AR287" s="14"/>
      <c r="AV287" s="14"/>
      <c r="AW287" s="14"/>
      <c r="AX287" s="14"/>
      <c r="AY287" s="14"/>
      <c r="AZ287" s="14"/>
      <c r="BF287" s="7"/>
      <c r="BG287" s="14"/>
      <c r="BH287" s="14"/>
      <c r="BI287" s="14"/>
      <c r="BJ287" s="14"/>
      <c r="BK287" s="14"/>
    </row>
    <row r="288" spans="28:63" x14ac:dyDescent="0.55000000000000004">
      <c r="AL288" s="7"/>
      <c r="AM288" s="14"/>
      <c r="AN288" s="14"/>
      <c r="AO288" s="14"/>
      <c r="AP288" s="14"/>
      <c r="AQ288" s="14"/>
      <c r="AR288" s="14"/>
      <c r="AV288" s="14"/>
      <c r="AW288" s="14"/>
      <c r="AX288" s="14"/>
      <c r="AY288" s="14"/>
      <c r="AZ288" s="14"/>
      <c r="BF288" s="7"/>
      <c r="BG288" s="14"/>
      <c r="BH288" s="14"/>
      <c r="BI288" s="14"/>
      <c r="BJ288" s="14"/>
      <c r="BK288" s="14"/>
    </row>
    <row r="289" spans="28:63" x14ac:dyDescent="0.55000000000000004">
      <c r="AL289" s="7"/>
      <c r="AM289" s="14"/>
      <c r="AN289" s="14"/>
      <c r="AO289" s="14"/>
      <c r="AP289" s="14"/>
      <c r="AQ289" s="14"/>
      <c r="AR289" s="14"/>
      <c r="AV289" s="14"/>
      <c r="AW289" s="14"/>
      <c r="AX289" s="14"/>
      <c r="AY289" s="14"/>
      <c r="AZ289" s="14"/>
      <c r="BF289" s="7"/>
      <c r="BG289" s="14"/>
      <c r="BH289" s="14"/>
      <c r="BI289" s="14"/>
      <c r="BJ289" s="14"/>
      <c r="BK289" s="14"/>
    </row>
    <row r="290" spans="28:63" x14ac:dyDescent="0.55000000000000004">
      <c r="AL290" s="7"/>
      <c r="AM290" s="14"/>
      <c r="AN290" s="14"/>
      <c r="AO290" s="14"/>
      <c r="AP290" s="14"/>
      <c r="AQ290" s="14"/>
      <c r="AR290" s="14"/>
      <c r="AV290" s="14"/>
      <c r="AW290" s="14"/>
      <c r="AX290" s="14"/>
      <c r="AY290" s="14"/>
      <c r="AZ290" s="14"/>
      <c r="BF290" s="7"/>
      <c r="BG290" s="14"/>
      <c r="BH290" s="14"/>
      <c r="BI290" s="14"/>
      <c r="BJ290" s="14"/>
      <c r="BK290" s="14"/>
    </row>
    <row r="291" spans="28:63" x14ac:dyDescent="0.55000000000000004">
      <c r="AL291" s="7"/>
      <c r="AM291" s="14"/>
      <c r="AN291" s="14"/>
      <c r="AO291" s="14"/>
      <c r="AP291" s="14"/>
      <c r="AQ291" s="14"/>
      <c r="AR291" s="14"/>
      <c r="AV291" s="14"/>
      <c r="AW291" s="14"/>
      <c r="AX291" s="14"/>
      <c r="AY291" s="14"/>
      <c r="AZ291" s="14"/>
      <c r="BF291" s="7"/>
      <c r="BG291" s="14"/>
      <c r="BH291" s="14"/>
      <c r="BI291" s="14"/>
      <c r="BJ291" s="14"/>
      <c r="BK291" s="14"/>
    </row>
    <row r="292" spans="28:63" x14ac:dyDescent="0.55000000000000004">
      <c r="AL292" s="7"/>
      <c r="AM292" s="14"/>
      <c r="AN292" s="14"/>
      <c r="AO292" s="14"/>
      <c r="AP292" s="14"/>
      <c r="AQ292" s="14"/>
      <c r="AR292" s="14"/>
      <c r="AV292" s="14"/>
      <c r="AW292" s="14"/>
      <c r="AX292" s="14"/>
      <c r="AY292" s="14"/>
      <c r="AZ292" s="14"/>
      <c r="BF292" s="7"/>
      <c r="BG292" s="14"/>
      <c r="BH292" s="14"/>
      <c r="BI292" s="14"/>
      <c r="BJ292" s="14"/>
      <c r="BK292" s="14"/>
    </row>
    <row r="293" spans="28:63" x14ac:dyDescent="0.55000000000000004">
      <c r="AL293" s="7"/>
      <c r="AM293" s="14"/>
      <c r="AN293" s="14"/>
      <c r="AO293" s="14"/>
      <c r="AP293" s="14"/>
      <c r="AQ293" s="14"/>
      <c r="AR293" s="14"/>
      <c r="AV293" s="14"/>
      <c r="AW293" s="14"/>
      <c r="AX293" s="14"/>
      <c r="AY293" s="14"/>
      <c r="AZ293" s="14"/>
      <c r="BF293" s="7"/>
      <c r="BG293" s="14"/>
      <c r="BH293" s="14"/>
      <c r="BI293" s="14"/>
      <c r="BJ293" s="14"/>
      <c r="BK293" s="14"/>
    </row>
    <row r="294" spans="28:63" x14ac:dyDescent="0.55000000000000004">
      <c r="AL294" s="7"/>
      <c r="AM294" s="14"/>
      <c r="AN294" s="14"/>
      <c r="AO294" s="14"/>
      <c r="AP294" s="14"/>
      <c r="AQ294" s="14"/>
      <c r="AR294" s="14"/>
      <c r="AV294" s="14"/>
      <c r="AW294" s="14"/>
      <c r="AX294" s="14"/>
      <c r="AY294" s="14"/>
      <c r="AZ294" s="14"/>
      <c r="BF294" s="7"/>
      <c r="BG294" s="14"/>
      <c r="BH294" s="14"/>
      <c r="BI294" s="14"/>
      <c r="BJ294" s="14"/>
      <c r="BK294" s="14"/>
    </row>
    <row r="295" spans="28:63" x14ac:dyDescent="0.55000000000000004">
      <c r="AL295" s="7"/>
      <c r="AM295" s="14"/>
      <c r="AN295" s="14"/>
      <c r="AO295" s="14"/>
      <c r="AP295" s="14"/>
      <c r="AQ295" s="14"/>
      <c r="AR295" s="14"/>
      <c r="AV295" s="14"/>
      <c r="AW295" s="14"/>
      <c r="AX295" s="14"/>
      <c r="AY295" s="14"/>
      <c r="AZ295" s="14"/>
      <c r="BF295" s="7"/>
      <c r="BG295" s="14"/>
      <c r="BH295" s="14"/>
      <c r="BI295" s="14"/>
      <c r="BJ295" s="14"/>
      <c r="BK295" s="14"/>
    </row>
    <row r="296" spans="28:63" x14ac:dyDescent="0.55000000000000004">
      <c r="AL296" s="7"/>
      <c r="AM296" s="14"/>
      <c r="AN296" s="14"/>
      <c r="AO296" s="14"/>
      <c r="AP296" s="14"/>
      <c r="AQ296" s="14"/>
      <c r="AR296" s="14"/>
      <c r="AV296" s="14"/>
      <c r="AW296" s="14"/>
      <c r="AX296" s="14"/>
      <c r="AY296" s="14"/>
      <c r="AZ296" s="14"/>
      <c r="BF296" s="7"/>
      <c r="BG296" s="14"/>
      <c r="BH296" s="14"/>
      <c r="BI296" s="14"/>
      <c r="BJ296" s="14"/>
      <c r="BK296" s="14"/>
    </row>
    <row r="297" spans="28:63" x14ac:dyDescent="0.55000000000000004">
      <c r="AL297" s="7"/>
      <c r="AM297" s="14"/>
      <c r="AN297" s="14"/>
      <c r="AO297" s="14"/>
      <c r="AP297" s="14"/>
      <c r="AQ297" s="14"/>
      <c r="AR297" s="14"/>
      <c r="AV297" s="14"/>
      <c r="AW297" s="14"/>
      <c r="AX297" s="14"/>
      <c r="AY297" s="14"/>
      <c r="AZ297" s="14"/>
      <c r="BF297" s="7"/>
      <c r="BG297" s="14"/>
      <c r="BH297" s="14"/>
      <c r="BI297" s="14"/>
      <c r="BJ297" s="14"/>
      <c r="BK297" s="14"/>
    </row>
    <row r="298" spans="28:63" x14ac:dyDescent="0.55000000000000004">
      <c r="AL298" s="7"/>
      <c r="AM298" s="14"/>
      <c r="AN298" s="14"/>
      <c r="AO298" s="14"/>
      <c r="AP298" s="14"/>
      <c r="AQ298" s="14"/>
      <c r="AR298" s="14"/>
      <c r="AV298" s="14"/>
      <c r="AW298" s="14"/>
      <c r="AX298" s="14"/>
      <c r="AY298" s="14"/>
      <c r="AZ298" s="14"/>
      <c r="BF298" s="7"/>
      <c r="BG298" s="14"/>
      <c r="BH298" s="14"/>
      <c r="BI298" s="14"/>
      <c r="BJ298" s="14"/>
      <c r="BK298" s="14"/>
    </row>
    <row r="299" spans="28:63" x14ac:dyDescent="0.55000000000000004">
      <c r="AL299" s="7"/>
      <c r="AM299" s="14"/>
      <c r="AN299" s="14"/>
      <c r="AO299" s="14"/>
      <c r="AP299" s="14"/>
      <c r="AQ299" s="14"/>
      <c r="AR299" s="14"/>
      <c r="AV299" s="14"/>
      <c r="AW299" s="14"/>
      <c r="AX299" s="14"/>
      <c r="AY299" s="14"/>
      <c r="AZ299" s="14"/>
      <c r="BF299" s="7"/>
      <c r="BG299" s="14"/>
      <c r="BH299" s="14"/>
      <c r="BI299" s="14"/>
      <c r="BJ299" s="14"/>
      <c r="BK299" s="14"/>
    </row>
    <row r="300" spans="28:63" x14ac:dyDescent="0.55000000000000004">
      <c r="AL300" s="7"/>
      <c r="AM300" s="14"/>
      <c r="AN300" s="14"/>
      <c r="AO300" s="14"/>
      <c r="AP300" s="14"/>
      <c r="AQ300" s="14"/>
      <c r="AR300" s="14"/>
      <c r="AV300" s="14"/>
      <c r="AW300" s="14"/>
      <c r="AX300" s="14"/>
      <c r="AY300" s="14"/>
      <c r="AZ300" s="14"/>
      <c r="BF300" s="7"/>
      <c r="BG300" s="14"/>
      <c r="BH300" s="14"/>
      <c r="BI300" s="14"/>
      <c r="BJ300" s="14"/>
      <c r="BK300" s="14"/>
    </row>
    <row r="301" spans="28:63" x14ac:dyDescent="0.55000000000000004">
      <c r="AL301" s="7"/>
      <c r="AM301" s="14"/>
      <c r="AN301" s="14"/>
      <c r="AO301" s="14"/>
      <c r="AP301" s="14"/>
      <c r="AQ301" s="14"/>
      <c r="AR301" s="14"/>
      <c r="AV301" s="14"/>
      <c r="AW301" s="14"/>
      <c r="AX301" s="14"/>
      <c r="AY301" s="14"/>
      <c r="AZ301" s="14"/>
      <c r="BF301" s="7"/>
      <c r="BG301" s="14"/>
      <c r="BH301" s="14"/>
      <c r="BI301" s="14"/>
      <c r="BJ301" s="14"/>
      <c r="BK301" s="14"/>
    </row>
    <row r="302" spans="28:63" x14ac:dyDescent="0.55000000000000004">
      <c r="AL302" s="7"/>
      <c r="AM302" s="14"/>
      <c r="AN302" s="14"/>
      <c r="AO302" s="14"/>
      <c r="AP302" s="14"/>
      <c r="AQ302" s="14"/>
      <c r="AR302" s="14"/>
      <c r="AV302" s="14"/>
      <c r="AW302" s="14"/>
      <c r="AX302" s="14"/>
      <c r="AY302" s="14"/>
      <c r="AZ302" s="14"/>
      <c r="BF302" s="7"/>
      <c r="BG302" s="14"/>
      <c r="BH302" s="14"/>
      <c r="BI302" s="14"/>
      <c r="BJ302" s="14"/>
      <c r="BK302" s="14"/>
    </row>
    <row r="303" spans="28:63" x14ac:dyDescent="0.55000000000000004">
      <c r="AL303" s="7"/>
      <c r="AM303" s="14"/>
      <c r="AN303" s="14"/>
      <c r="AO303" s="14"/>
      <c r="AP303" s="14"/>
      <c r="AQ303" s="14"/>
      <c r="AR303" s="14"/>
      <c r="AV303" s="14"/>
      <c r="AW303" s="14"/>
      <c r="AX303" s="14"/>
      <c r="AY303" s="14"/>
      <c r="AZ303" s="14"/>
      <c r="BF303" s="7"/>
      <c r="BG303" s="14"/>
      <c r="BH303" s="14"/>
      <c r="BI303" s="14"/>
      <c r="BJ303" s="14"/>
      <c r="BK303" s="14"/>
    </row>
    <row r="304" spans="28:63" x14ac:dyDescent="0.55000000000000004">
      <c r="AL304" s="7"/>
      <c r="AM304" s="14"/>
      <c r="AN304" s="14"/>
      <c r="AO304" s="14"/>
      <c r="AP304" s="14"/>
      <c r="AQ304" s="14"/>
      <c r="AR304" s="14"/>
      <c r="AV304" s="14"/>
      <c r="AW304" s="14"/>
      <c r="AX304" s="14"/>
      <c r="AY304" s="14"/>
      <c r="AZ304" s="14"/>
      <c r="BF304" s="7"/>
      <c r="BG304" s="14"/>
      <c r="BH304" s="14"/>
      <c r="BI304" s="14"/>
      <c r="BJ304" s="14"/>
      <c r="BK304" s="14"/>
    </row>
    <row r="305" spans="28:63" x14ac:dyDescent="0.55000000000000004">
      <c r="AL305" s="7"/>
      <c r="AM305" s="14"/>
      <c r="AN305" s="14"/>
      <c r="AO305" s="14"/>
      <c r="AP305" s="14"/>
      <c r="AQ305" s="14"/>
      <c r="AR305" s="14"/>
      <c r="AV305" s="14"/>
      <c r="AW305" s="14"/>
      <c r="AX305" s="14"/>
      <c r="AY305" s="14"/>
      <c r="AZ305" s="14"/>
      <c r="BF305" s="7"/>
      <c r="BG305" s="14"/>
      <c r="BH305" s="14"/>
      <c r="BI305" s="14"/>
      <c r="BJ305" s="14"/>
      <c r="BK305" s="14"/>
    </row>
    <row r="306" spans="28:63" x14ac:dyDescent="0.55000000000000004">
      <c r="AL306" s="7"/>
      <c r="AM306" s="14"/>
      <c r="AN306" s="14"/>
      <c r="AO306" s="14"/>
      <c r="AP306" s="14"/>
      <c r="AQ306" s="14"/>
      <c r="AR306" s="14"/>
      <c r="AV306" s="14"/>
      <c r="AW306" s="14"/>
      <c r="AX306" s="14"/>
      <c r="AY306" s="14"/>
      <c r="AZ306" s="14"/>
      <c r="BF306" s="7"/>
      <c r="BG306" s="14"/>
      <c r="BH306" s="14"/>
      <c r="BI306" s="14"/>
      <c r="BJ306" s="14"/>
      <c r="BK306" s="14"/>
    </row>
    <row r="307" spans="28:63" x14ac:dyDescent="0.55000000000000004">
      <c r="AL307" s="7"/>
      <c r="AM307" s="14"/>
      <c r="AN307" s="14"/>
      <c r="AO307" s="14"/>
      <c r="AP307" s="14"/>
      <c r="AQ307" s="14"/>
      <c r="AR307" s="14"/>
      <c r="AV307" s="14"/>
      <c r="AW307" s="14"/>
      <c r="AX307" s="14"/>
      <c r="AY307" s="14"/>
      <c r="AZ307" s="14"/>
      <c r="BF307" s="7"/>
      <c r="BG307" s="14"/>
      <c r="BH307" s="14"/>
      <c r="BI307" s="14"/>
      <c r="BJ307" s="14"/>
      <c r="BK307" s="14"/>
    </row>
    <row r="308" spans="28:63" x14ac:dyDescent="0.55000000000000004">
      <c r="AL308" s="7"/>
      <c r="AM308" s="14"/>
      <c r="AN308" s="14"/>
      <c r="AO308" s="14"/>
      <c r="AP308" s="14"/>
      <c r="AQ308" s="14"/>
      <c r="AR308" s="14"/>
      <c r="AV308" s="14"/>
      <c r="AW308" s="14"/>
      <c r="AX308" s="14"/>
      <c r="AY308" s="14"/>
      <c r="AZ308" s="14"/>
      <c r="BF308" s="7"/>
      <c r="BG308" s="14"/>
      <c r="BH308" s="14"/>
      <c r="BI308" s="14"/>
      <c r="BJ308" s="14"/>
      <c r="BK308" s="14"/>
    </row>
    <row r="309" spans="28:63" x14ac:dyDescent="0.55000000000000004">
      <c r="AL309" s="7"/>
      <c r="AM309" s="14"/>
      <c r="AN309" s="14"/>
      <c r="AO309" s="14"/>
      <c r="AP309" s="14"/>
      <c r="AQ309" s="14"/>
      <c r="AR309" s="14"/>
      <c r="AV309" s="14"/>
      <c r="AW309" s="14"/>
      <c r="AX309" s="14"/>
      <c r="AY309" s="14"/>
      <c r="AZ309" s="14"/>
      <c r="BF309" s="7"/>
      <c r="BG309" s="14"/>
      <c r="BH309" s="14"/>
      <c r="BI309" s="14"/>
      <c r="BJ309" s="14"/>
      <c r="BK309" s="14"/>
    </row>
    <row r="310" spans="28:63" x14ac:dyDescent="0.55000000000000004">
      <c r="AL310" s="7"/>
      <c r="AM310" s="14"/>
      <c r="AN310" s="14"/>
      <c r="AO310" s="14"/>
      <c r="AP310" s="14"/>
      <c r="AQ310" s="14"/>
      <c r="AR310" s="14"/>
      <c r="AV310" s="14"/>
      <c r="AW310" s="14"/>
      <c r="AX310" s="14"/>
      <c r="AY310" s="14"/>
      <c r="AZ310" s="14"/>
      <c r="BF310" s="7"/>
      <c r="BG310" s="14"/>
      <c r="BH310" s="14"/>
      <c r="BI310" s="14"/>
      <c r="BJ310" s="14"/>
      <c r="BK310" s="14"/>
    </row>
    <row r="311" spans="28:63" x14ac:dyDescent="0.55000000000000004">
      <c r="AL311" s="7"/>
      <c r="AM311" s="14"/>
      <c r="AN311" s="14"/>
      <c r="AO311" s="14"/>
      <c r="AP311" s="14"/>
      <c r="AQ311" s="14"/>
      <c r="AR311" s="14"/>
      <c r="AV311" s="14"/>
      <c r="AW311" s="14"/>
      <c r="AX311" s="14"/>
      <c r="AY311" s="14"/>
      <c r="AZ311" s="14"/>
      <c r="BF311" s="7"/>
      <c r="BG311" s="14"/>
      <c r="BH311" s="14"/>
      <c r="BI311" s="14"/>
      <c r="BJ311" s="14"/>
      <c r="BK311" s="14"/>
    </row>
    <row r="312" spans="28:63" x14ac:dyDescent="0.55000000000000004">
      <c r="AL312" s="7"/>
      <c r="AM312" s="14"/>
      <c r="AN312" s="14"/>
      <c r="AO312" s="14"/>
      <c r="AP312" s="14"/>
      <c r="AQ312" s="14"/>
      <c r="AR312" s="14"/>
      <c r="AV312" s="14"/>
      <c r="AW312" s="14"/>
      <c r="AX312" s="14"/>
      <c r="AY312" s="14"/>
      <c r="AZ312" s="14"/>
      <c r="BF312" s="7"/>
      <c r="BG312" s="14"/>
      <c r="BH312" s="14"/>
      <c r="BI312" s="14"/>
      <c r="BJ312" s="14"/>
      <c r="BK312" s="14"/>
    </row>
    <row r="313" spans="28:63" x14ac:dyDescent="0.55000000000000004">
      <c r="AL313" s="7"/>
      <c r="AM313" s="14"/>
      <c r="AN313" s="14"/>
      <c r="AO313" s="14"/>
      <c r="AP313" s="14"/>
      <c r="AQ313" s="14"/>
      <c r="AR313" s="14"/>
      <c r="AV313" s="14"/>
      <c r="AW313" s="14"/>
      <c r="AX313" s="14"/>
      <c r="AY313" s="14"/>
      <c r="AZ313" s="14"/>
      <c r="BF313" s="7"/>
      <c r="BG313" s="14"/>
      <c r="BH313" s="14"/>
      <c r="BI313" s="14"/>
      <c r="BJ313" s="14"/>
      <c r="BK313" s="14"/>
    </row>
    <row r="314" spans="28:63" x14ac:dyDescent="0.55000000000000004">
      <c r="AL314" s="7"/>
      <c r="AM314" s="14"/>
      <c r="AN314" s="14"/>
      <c r="AO314" s="14"/>
      <c r="AP314" s="14"/>
      <c r="AQ314" s="14"/>
      <c r="AR314" s="14"/>
      <c r="AV314" s="14"/>
      <c r="AW314" s="14"/>
      <c r="AX314" s="14"/>
      <c r="AY314" s="14"/>
      <c r="AZ314" s="14"/>
      <c r="BF314" s="7"/>
      <c r="BG314" s="14"/>
      <c r="BH314" s="14"/>
      <c r="BI314" s="14"/>
      <c r="BJ314" s="14"/>
      <c r="BK314" s="14"/>
    </row>
    <row r="315" spans="28:63" x14ac:dyDescent="0.55000000000000004">
      <c r="AL315" s="7"/>
      <c r="AM315" s="14"/>
      <c r="AN315" s="14"/>
      <c r="AO315" s="14"/>
      <c r="AP315" s="14"/>
      <c r="AQ315" s="14"/>
      <c r="AR315" s="14"/>
      <c r="AV315" s="14"/>
      <c r="AW315" s="14"/>
      <c r="AX315" s="14"/>
      <c r="AY315" s="14"/>
      <c r="AZ315" s="14"/>
      <c r="BF315" s="7"/>
      <c r="BG315" s="14"/>
      <c r="BH315" s="14"/>
      <c r="BI315" s="14"/>
      <c r="BJ315" s="14"/>
      <c r="BK315" s="14"/>
    </row>
    <row r="316" spans="28:63" x14ac:dyDescent="0.55000000000000004">
      <c r="AL316" s="7"/>
      <c r="AM316" s="14"/>
      <c r="AN316" s="14"/>
      <c r="AO316" s="14"/>
      <c r="AP316" s="14"/>
      <c r="AQ316" s="14"/>
      <c r="AR316" s="14"/>
      <c r="AV316" s="14"/>
      <c r="AW316" s="14"/>
      <c r="AX316" s="14"/>
      <c r="AY316" s="14"/>
      <c r="AZ316" s="14"/>
      <c r="BF316" s="7"/>
      <c r="BG316" s="14"/>
      <c r="BH316" s="14"/>
      <c r="BI316" s="14"/>
      <c r="BJ316" s="14"/>
      <c r="BK316" s="14"/>
    </row>
    <row r="317" spans="28:63" x14ac:dyDescent="0.55000000000000004">
      <c r="AL317" s="7"/>
      <c r="AM317" s="14"/>
      <c r="AN317" s="14"/>
      <c r="AO317" s="14"/>
      <c r="AP317" s="14"/>
      <c r="AQ317" s="14"/>
      <c r="AR317" s="14"/>
      <c r="AV317" s="14"/>
      <c r="AW317" s="14"/>
      <c r="AX317" s="14"/>
      <c r="AY317" s="14"/>
      <c r="AZ317" s="14"/>
      <c r="BF317" s="7"/>
      <c r="BG317" s="14"/>
      <c r="BH317" s="14"/>
      <c r="BI317" s="14"/>
      <c r="BJ317" s="14"/>
      <c r="BK317" s="14"/>
    </row>
    <row r="318" spans="28:63" x14ac:dyDescent="0.55000000000000004">
      <c r="AL318" s="7"/>
      <c r="AM318" s="14"/>
      <c r="AN318" s="14"/>
      <c r="AO318" s="14"/>
      <c r="AP318" s="14"/>
      <c r="AQ318" s="14"/>
      <c r="AR318" s="14"/>
      <c r="AV318" s="14"/>
      <c r="AW318" s="14"/>
      <c r="AX318" s="14"/>
      <c r="AY318" s="14"/>
      <c r="AZ318" s="14"/>
      <c r="BF318" s="7"/>
      <c r="BG318" s="14"/>
      <c r="BH318" s="14"/>
      <c r="BI318" s="14"/>
      <c r="BJ318" s="14"/>
      <c r="BK318" s="14"/>
    </row>
    <row r="319" spans="28:63" x14ac:dyDescent="0.55000000000000004">
      <c r="AL319" s="7"/>
      <c r="AM319" s="14"/>
      <c r="AN319" s="14"/>
      <c r="AO319" s="14"/>
      <c r="AP319" s="14"/>
      <c r="AQ319" s="14"/>
      <c r="AR319" s="14"/>
      <c r="AV319" s="14"/>
      <c r="AW319" s="14"/>
      <c r="AX319" s="14"/>
      <c r="AY319" s="14"/>
      <c r="AZ319" s="14"/>
      <c r="BF319" s="7"/>
      <c r="BG319" s="14"/>
      <c r="BH319" s="14"/>
      <c r="BI319" s="14"/>
      <c r="BJ319" s="14"/>
      <c r="BK319" s="14"/>
    </row>
    <row r="320" spans="28:63" x14ac:dyDescent="0.55000000000000004">
      <c r="AL320" s="7"/>
      <c r="AM320" s="14"/>
      <c r="AN320" s="14"/>
      <c r="AO320" s="14"/>
      <c r="AP320" s="14"/>
      <c r="AQ320" s="14"/>
      <c r="AR320" s="14"/>
      <c r="AV320" s="14"/>
      <c r="AW320" s="14"/>
      <c r="AX320" s="14"/>
      <c r="AY320" s="14"/>
      <c r="AZ320" s="14"/>
      <c r="BF320" s="7"/>
      <c r="BG320" s="14"/>
      <c r="BH320" s="14"/>
      <c r="BI320" s="14"/>
      <c r="BJ320" s="14"/>
      <c r="BK320" s="14"/>
    </row>
    <row r="321" spans="28:63" x14ac:dyDescent="0.55000000000000004">
      <c r="AL321" s="7"/>
      <c r="AM321" s="14"/>
      <c r="AN321" s="14"/>
      <c r="AO321" s="14"/>
      <c r="AP321" s="14"/>
      <c r="AQ321" s="14"/>
      <c r="AR321" s="14"/>
      <c r="AV321" s="14"/>
      <c r="AW321" s="14"/>
      <c r="AX321" s="14"/>
      <c r="AY321" s="14"/>
      <c r="AZ321" s="14"/>
      <c r="BF321" s="7"/>
      <c r="BG321" s="14"/>
      <c r="BH321" s="14"/>
      <c r="BI321" s="14"/>
      <c r="BJ321" s="14"/>
      <c r="BK321" s="14"/>
    </row>
    <row r="322" spans="28:63" x14ac:dyDescent="0.55000000000000004">
      <c r="AL322" s="7"/>
      <c r="AM322" s="14"/>
      <c r="AN322" s="14"/>
      <c r="AO322" s="14"/>
      <c r="AP322" s="14"/>
      <c r="AQ322" s="14"/>
      <c r="AR322" s="14"/>
      <c r="AV322" s="14"/>
      <c r="AW322" s="14"/>
      <c r="AX322" s="14"/>
      <c r="AY322" s="14"/>
      <c r="AZ322" s="14"/>
      <c r="BF322" s="7"/>
      <c r="BG322" s="14"/>
      <c r="BH322" s="14"/>
      <c r="BI322" s="14"/>
      <c r="BJ322" s="14"/>
      <c r="BK322" s="14"/>
    </row>
    <row r="323" spans="28:63" x14ac:dyDescent="0.55000000000000004">
      <c r="AL323" s="7"/>
      <c r="AM323" s="14"/>
      <c r="AN323" s="14"/>
      <c r="AO323" s="14"/>
      <c r="AP323" s="14"/>
      <c r="AQ323" s="14"/>
      <c r="AR323" s="14"/>
      <c r="AV323" s="14"/>
      <c r="AW323" s="14"/>
      <c r="AX323" s="14"/>
      <c r="AY323" s="14"/>
      <c r="AZ323" s="14"/>
      <c r="BF323" s="7"/>
      <c r="BG323" s="14"/>
      <c r="BH323" s="14"/>
      <c r="BI323" s="14"/>
      <c r="BJ323" s="14"/>
      <c r="BK323" s="14"/>
    </row>
    <row r="324" spans="28:63" x14ac:dyDescent="0.55000000000000004">
      <c r="AL324" s="7"/>
      <c r="AM324" s="14"/>
      <c r="AN324" s="14"/>
      <c r="AO324" s="14"/>
      <c r="AP324" s="14"/>
      <c r="AQ324" s="14"/>
      <c r="AR324" s="14"/>
      <c r="AV324" s="14"/>
      <c r="AW324" s="14"/>
      <c r="AX324" s="14"/>
      <c r="AY324" s="14"/>
      <c r="AZ324" s="14"/>
      <c r="BF324" s="7"/>
      <c r="BG324" s="14"/>
      <c r="BH324" s="14"/>
      <c r="BI324" s="14"/>
      <c r="BJ324" s="14"/>
      <c r="BK324" s="14"/>
    </row>
    <row r="325" spans="28:63" x14ac:dyDescent="0.55000000000000004">
      <c r="AL325" s="7"/>
      <c r="AM325" s="14"/>
      <c r="AN325" s="14"/>
      <c r="AO325" s="14"/>
      <c r="AP325" s="14"/>
      <c r="AQ325" s="14"/>
      <c r="AR325" s="14"/>
      <c r="AV325" s="14"/>
      <c r="AW325" s="14"/>
      <c r="AX325" s="14"/>
      <c r="AY325" s="14"/>
      <c r="AZ325" s="14"/>
      <c r="BF325" s="7"/>
      <c r="BG325" s="14"/>
      <c r="BH325" s="14"/>
      <c r="BI325" s="14"/>
      <c r="BJ325" s="14"/>
      <c r="BK325" s="14"/>
    </row>
    <row r="326" spans="28:63" x14ac:dyDescent="0.55000000000000004">
      <c r="AL326" s="7"/>
      <c r="AM326" s="14"/>
      <c r="AN326" s="14"/>
      <c r="AO326" s="14"/>
      <c r="AP326" s="14"/>
      <c r="AQ326" s="14"/>
      <c r="AR326" s="14"/>
      <c r="AV326" s="14"/>
      <c r="AW326" s="14"/>
      <c r="AX326" s="14"/>
      <c r="AY326" s="14"/>
      <c r="AZ326" s="14"/>
      <c r="BF326" s="7"/>
      <c r="BG326" s="14"/>
      <c r="BH326" s="14"/>
      <c r="BI326" s="14"/>
      <c r="BJ326" s="14"/>
      <c r="BK326" s="14"/>
    </row>
    <row r="327" spans="28:63" x14ac:dyDescent="0.55000000000000004">
      <c r="AL327" s="7"/>
      <c r="AM327" s="14"/>
      <c r="AN327" s="14"/>
      <c r="AO327" s="14"/>
      <c r="AP327" s="14"/>
      <c r="AQ327" s="14"/>
      <c r="AR327" s="14"/>
      <c r="AV327" s="14"/>
      <c r="AW327" s="14"/>
      <c r="AX327" s="14"/>
      <c r="AY327" s="14"/>
      <c r="AZ327" s="14"/>
      <c r="BF327" s="7"/>
      <c r="BG327" s="14"/>
      <c r="BH327" s="14"/>
      <c r="BI327" s="14"/>
      <c r="BJ327" s="14"/>
      <c r="BK327" s="14"/>
    </row>
    <row r="328" spans="28:63" x14ac:dyDescent="0.55000000000000004">
      <c r="AL328" s="7"/>
      <c r="AM328" s="14"/>
      <c r="AN328" s="14"/>
      <c r="AO328" s="14"/>
      <c r="AP328" s="14"/>
      <c r="AQ328" s="14"/>
      <c r="AR328" s="14"/>
      <c r="AV328" s="14"/>
      <c r="AW328" s="14"/>
      <c r="AX328" s="14"/>
      <c r="AY328" s="14"/>
      <c r="AZ328" s="14"/>
      <c r="BF328" s="7"/>
      <c r="BG328" s="14"/>
      <c r="BH328" s="14"/>
      <c r="BI328" s="14"/>
      <c r="BJ328" s="14"/>
      <c r="BK328" s="14"/>
    </row>
    <row r="329" spans="28:63" x14ac:dyDescent="0.55000000000000004">
      <c r="AL329" s="7"/>
      <c r="AM329" s="14"/>
      <c r="AN329" s="14"/>
      <c r="AO329" s="14"/>
      <c r="AP329" s="14"/>
      <c r="AQ329" s="14"/>
      <c r="AR329" s="14"/>
      <c r="AV329" s="14"/>
      <c r="AW329" s="14"/>
      <c r="AX329" s="14"/>
      <c r="AY329" s="14"/>
      <c r="AZ329" s="14"/>
      <c r="BF329" s="7"/>
      <c r="BG329" s="14"/>
      <c r="BH329" s="14"/>
      <c r="BI329" s="14"/>
      <c r="BJ329" s="14"/>
      <c r="BK329" s="14"/>
    </row>
    <row r="330" spans="28:63" x14ac:dyDescent="0.55000000000000004">
      <c r="AL330" s="7"/>
      <c r="AM330" s="14"/>
      <c r="AN330" s="14"/>
      <c r="AO330" s="14"/>
      <c r="AP330" s="14"/>
      <c r="AQ330" s="14"/>
      <c r="AR330" s="14"/>
      <c r="AV330" s="14"/>
      <c r="AW330" s="14"/>
      <c r="AX330" s="14"/>
      <c r="AY330" s="14"/>
      <c r="AZ330" s="14"/>
      <c r="BF330" s="7"/>
      <c r="BG330" s="14"/>
      <c r="BH330" s="14"/>
      <c r="BI330" s="14"/>
      <c r="BJ330" s="14"/>
      <c r="BK330" s="14"/>
    </row>
    <row r="331" spans="28:63" x14ac:dyDescent="0.55000000000000004">
      <c r="AL331" s="7"/>
      <c r="AM331" s="14"/>
      <c r="AN331" s="14"/>
      <c r="AO331" s="14"/>
      <c r="AP331" s="14"/>
      <c r="AQ331" s="14"/>
      <c r="AR331" s="14"/>
      <c r="AV331" s="14"/>
      <c r="AW331" s="14"/>
      <c r="AX331" s="14"/>
      <c r="AY331" s="14"/>
      <c r="AZ331" s="14"/>
      <c r="BF331" s="7"/>
      <c r="BG331" s="14"/>
      <c r="BH331" s="14"/>
      <c r="BI331" s="14"/>
      <c r="BJ331" s="14"/>
      <c r="BK331" s="14"/>
    </row>
    <row r="332" spans="28:63" x14ac:dyDescent="0.55000000000000004">
      <c r="AL332" s="7"/>
      <c r="AM332" s="14"/>
      <c r="AN332" s="14"/>
      <c r="AO332" s="14"/>
      <c r="AP332" s="14"/>
      <c r="AQ332" s="14"/>
      <c r="AR332" s="14"/>
      <c r="AV332" s="14"/>
      <c r="AW332" s="14"/>
      <c r="AX332" s="14"/>
      <c r="AY332" s="14"/>
      <c r="AZ332" s="14"/>
      <c r="BF332" s="7"/>
      <c r="BG332" s="14"/>
      <c r="BH332" s="14"/>
      <c r="BI332" s="14"/>
      <c r="BJ332" s="14"/>
      <c r="BK332" s="14"/>
    </row>
    <row r="333" spans="28:63" x14ac:dyDescent="0.55000000000000004">
      <c r="AL333" s="7"/>
      <c r="AM333" s="14"/>
      <c r="AN333" s="14"/>
      <c r="AO333" s="14"/>
      <c r="AP333" s="14"/>
      <c r="AQ333" s="14"/>
      <c r="AR333" s="14"/>
      <c r="AV333" s="14"/>
      <c r="AW333" s="14"/>
      <c r="AX333" s="14"/>
      <c r="AY333" s="14"/>
      <c r="AZ333" s="14"/>
      <c r="BF333" s="7"/>
      <c r="BG333" s="14"/>
      <c r="BH333" s="14"/>
      <c r="BI333" s="14"/>
      <c r="BJ333" s="14"/>
      <c r="BK333" s="14"/>
    </row>
    <row r="334" spans="28:63" x14ac:dyDescent="0.55000000000000004">
      <c r="AL334" s="7"/>
      <c r="AM334" s="14"/>
      <c r="AN334" s="14"/>
      <c r="AO334" s="14"/>
      <c r="AP334" s="14"/>
      <c r="AQ334" s="14"/>
      <c r="AR334" s="14"/>
      <c r="AV334" s="14"/>
      <c r="AW334" s="14"/>
      <c r="AX334" s="14"/>
      <c r="AY334" s="14"/>
      <c r="AZ334" s="14"/>
      <c r="BF334" s="7"/>
      <c r="BG334" s="14"/>
      <c r="BH334" s="14"/>
      <c r="BI334" s="14"/>
      <c r="BJ334" s="14"/>
      <c r="BK334" s="14"/>
    </row>
    <row r="335" spans="28:63" x14ac:dyDescent="0.55000000000000004">
      <c r="AL335" s="7"/>
      <c r="AM335" s="14"/>
      <c r="AN335" s="14"/>
      <c r="AO335" s="14"/>
      <c r="AP335" s="14"/>
      <c r="AQ335" s="14"/>
      <c r="AR335" s="14"/>
      <c r="AV335" s="14"/>
      <c r="AW335" s="14"/>
      <c r="AX335" s="14"/>
      <c r="AY335" s="14"/>
      <c r="AZ335" s="14"/>
      <c r="BF335" s="7"/>
      <c r="BG335" s="14"/>
      <c r="BH335" s="14"/>
      <c r="BI335" s="14"/>
      <c r="BJ335" s="14"/>
      <c r="BK335" s="14"/>
    </row>
    <row r="336" spans="28:63" x14ac:dyDescent="0.55000000000000004">
      <c r="AL336" s="7"/>
      <c r="AM336" s="14"/>
      <c r="AN336" s="14"/>
      <c r="AO336" s="14"/>
      <c r="AP336" s="14"/>
      <c r="AQ336" s="14"/>
      <c r="AR336" s="14"/>
      <c r="AV336" s="14"/>
      <c r="AW336" s="14"/>
      <c r="AX336" s="14"/>
      <c r="AY336" s="14"/>
      <c r="AZ336" s="14"/>
      <c r="BF336" s="7"/>
      <c r="BG336" s="14"/>
      <c r="BH336" s="14"/>
      <c r="BI336" s="14"/>
      <c r="BJ336" s="14"/>
      <c r="BK336" s="14"/>
    </row>
    <row r="337" spans="28:63" x14ac:dyDescent="0.55000000000000004">
      <c r="AL337" s="7"/>
      <c r="AM337" s="14"/>
      <c r="AN337" s="14"/>
      <c r="AO337" s="14"/>
      <c r="AP337" s="14"/>
      <c r="AQ337" s="14"/>
      <c r="AR337" s="14"/>
      <c r="AV337" s="14"/>
      <c r="AW337" s="14"/>
      <c r="AX337" s="14"/>
      <c r="AY337" s="14"/>
      <c r="AZ337" s="14"/>
      <c r="BF337" s="7"/>
      <c r="BG337" s="14"/>
      <c r="BH337" s="14"/>
      <c r="BI337" s="14"/>
      <c r="BJ337" s="14"/>
      <c r="BK337" s="14"/>
    </row>
    <row r="338" spans="28:63" x14ac:dyDescent="0.55000000000000004">
      <c r="AL338" s="7"/>
      <c r="AM338" s="14"/>
      <c r="AN338" s="14"/>
      <c r="AO338" s="14"/>
      <c r="AP338" s="14"/>
      <c r="AQ338" s="14"/>
      <c r="AR338" s="14"/>
      <c r="AV338" s="14"/>
      <c r="AW338" s="14"/>
      <c r="AX338" s="14"/>
      <c r="AY338" s="14"/>
      <c r="AZ338" s="14"/>
      <c r="BF338" s="7"/>
      <c r="BG338" s="14"/>
      <c r="BH338" s="14"/>
      <c r="BI338" s="14"/>
      <c r="BJ338" s="14"/>
      <c r="BK338" s="14"/>
    </row>
    <row r="339" spans="28:63" x14ac:dyDescent="0.55000000000000004">
      <c r="AL339" s="7"/>
      <c r="AM339" s="14"/>
      <c r="AN339" s="14"/>
      <c r="AO339" s="14"/>
      <c r="AP339" s="14"/>
      <c r="AQ339" s="14"/>
      <c r="AR339" s="14"/>
      <c r="AV339" s="14"/>
      <c r="AW339" s="14"/>
      <c r="AX339" s="14"/>
      <c r="AY339" s="14"/>
      <c r="AZ339" s="14"/>
      <c r="BF339" s="7"/>
      <c r="BG339" s="14"/>
      <c r="BH339" s="14"/>
      <c r="BI339" s="14"/>
      <c r="BJ339" s="14"/>
      <c r="BK339" s="14"/>
    </row>
    <row r="340" spans="28:63" x14ac:dyDescent="0.55000000000000004">
      <c r="AL340" s="7"/>
      <c r="AM340" s="14"/>
      <c r="AN340" s="14"/>
      <c r="AO340" s="14"/>
      <c r="AP340" s="14"/>
      <c r="AQ340" s="14"/>
      <c r="AR340" s="14"/>
      <c r="AV340" s="14"/>
      <c r="AW340" s="14"/>
      <c r="AX340" s="14"/>
      <c r="AY340" s="14"/>
      <c r="AZ340" s="14"/>
      <c r="BF340" s="7"/>
      <c r="BG340" s="14"/>
      <c r="BH340" s="14"/>
      <c r="BI340" s="14"/>
      <c r="BJ340" s="14"/>
      <c r="BK340" s="14"/>
    </row>
    <row r="341" spans="28:63" x14ac:dyDescent="0.55000000000000004">
      <c r="AL341" s="7"/>
      <c r="AM341" s="14"/>
      <c r="AN341" s="14"/>
      <c r="AO341" s="14"/>
      <c r="AP341" s="14"/>
      <c r="AQ341" s="14"/>
      <c r="AR341" s="14"/>
      <c r="AV341" s="14"/>
      <c r="AW341" s="14"/>
      <c r="AX341" s="14"/>
      <c r="AY341" s="14"/>
      <c r="AZ341" s="14"/>
      <c r="BF341" s="7"/>
      <c r="BG341" s="14"/>
      <c r="BH341" s="14"/>
      <c r="BI341" s="14"/>
      <c r="BJ341" s="14"/>
      <c r="BK341" s="14"/>
    </row>
    <row r="342" spans="28:63" x14ac:dyDescent="0.55000000000000004">
      <c r="AL342" s="7"/>
      <c r="AM342" s="14"/>
      <c r="AN342" s="14"/>
      <c r="AO342" s="14"/>
      <c r="AP342" s="14"/>
      <c r="AQ342" s="14"/>
      <c r="AR342" s="14"/>
      <c r="AV342" s="14"/>
      <c r="AW342" s="14"/>
      <c r="AX342" s="14"/>
      <c r="AY342" s="14"/>
      <c r="AZ342" s="14"/>
      <c r="BF342" s="7"/>
      <c r="BG342" s="14"/>
      <c r="BH342" s="14"/>
      <c r="BI342" s="14"/>
      <c r="BJ342" s="14"/>
      <c r="BK342" s="14"/>
    </row>
    <row r="343" spans="28:63" x14ac:dyDescent="0.55000000000000004">
      <c r="AL343" s="7"/>
      <c r="AM343" s="14"/>
      <c r="AN343" s="14"/>
      <c r="AO343" s="14"/>
      <c r="AP343" s="14"/>
      <c r="AQ343" s="14"/>
      <c r="AR343" s="14"/>
      <c r="AV343" s="14"/>
      <c r="AW343" s="14"/>
      <c r="AX343" s="14"/>
      <c r="AY343" s="14"/>
      <c r="AZ343" s="14"/>
      <c r="BF343" s="7"/>
      <c r="BG343" s="14"/>
      <c r="BH343" s="14"/>
      <c r="BI343" s="14"/>
      <c r="BJ343" s="14"/>
      <c r="BK343" s="14"/>
    </row>
    <row r="344" spans="28:63" x14ac:dyDescent="0.55000000000000004">
      <c r="AL344" s="7"/>
      <c r="AM344" s="14"/>
      <c r="AN344" s="14"/>
      <c r="AO344" s="14"/>
      <c r="AP344" s="14"/>
      <c r="AQ344" s="14"/>
      <c r="AR344" s="14"/>
      <c r="AV344" s="14"/>
      <c r="AW344" s="14"/>
      <c r="AX344" s="14"/>
      <c r="AY344" s="14"/>
      <c r="AZ344" s="14"/>
      <c r="BF344" s="7"/>
      <c r="BG344" s="14"/>
      <c r="BH344" s="14"/>
      <c r="BI344" s="14"/>
      <c r="BJ344" s="14"/>
      <c r="BK344" s="14"/>
    </row>
    <row r="345" spans="28:63" x14ac:dyDescent="0.55000000000000004">
      <c r="AL345" s="7"/>
      <c r="AM345" s="14"/>
      <c r="AN345" s="14"/>
      <c r="AO345" s="14"/>
      <c r="AP345" s="14"/>
      <c r="AQ345" s="14"/>
      <c r="AR345" s="14"/>
      <c r="AV345" s="14"/>
      <c r="AW345" s="14"/>
      <c r="AX345" s="14"/>
      <c r="AY345" s="14"/>
      <c r="AZ345" s="14"/>
      <c r="BF345" s="7"/>
      <c r="BG345" s="14"/>
      <c r="BH345" s="14"/>
      <c r="BI345" s="14"/>
      <c r="BJ345" s="14"/>
      <c r="BK345" s="14"/>
    </row>
    <row r="346" spans="28:63" x14ac:dyDescent="0.55000000000000004">
      <c r="AL346" s="7"/>
      <c r="AM346" s="14"/>
      <c r="AN346" s="14"/>
      <c r="AO346" s="14"/>
      <c r="AP346" s="14"/>
      <c r="AQ346" s="14"/>
      <c r="AR346" s="14"/>
      <c r="AV346" s="14"/>
      <c r="AW346" s="14"/>
      <c r="AX346" s="14"/>
      <c r="AY346" s="14"/>
      <c r="AZ346" s="14"/>
      <c r="BF346" s="7"/>
      <c r="BG346" s="14"/>
      <c r="BH346" s="14"/>
      <c r="BI346" s="14"/>
      <c r="BJ346" s="14"/>
      <c r="BK346" s="14"/>
    </row>
    <row r="347" spans="28:63" x14ac:dyDescent="0.55000000000000004">
      <c r="AL347" s="7"/>
      <c r="AM347" s="14"/>
      <c r="AN347" s="14"/>
      <c r="AO347" s="14"/>
      <c r="AP347" s="14"/>
      <c r="AQ347" s="14"/>
      <c r="AR347" s="14"/>
      <c r="AV347" s="14"/>
      <c r="AW347" s="14"/>
      <c r="AX347" s="14"/>
      <c r="AY347" s="14"/>
      <c r="AZ347" s="14"/>
      <c r="BF347" s="7"/>
      <c r="BG347" s="14"/>
      <c r="BH347" s="14"/>
      <c r="BI347" s="14"/>
      <c r="BJ347" s="14"/>
      <c r="BK347" s="14"/>
    </row>
    <row r="348" spans="28:63" x14ac:dyDescent="0.55000000000000004">
      <c r="AL348" s="7"/>
      <c r="AM348" s="14"/>
      <c r="AN348" s="14"/>
      <c r="AO348" s="14"/>
      <c r="AP348" s="14"/>
      <c r="AQ348" s="14"/>
      <c r="AR348" s="14"/>
      <c r="AV348" s="14"/>
      <c r="AW348" s="14"/>
      <c r="AX348" s="14"/>
      <c r="AY348" s="14"/>
      <c r="AZ348" s="14"/>
      <c r="BF348" s="7"/>
      <c r="BG348" s="14"/>
      <c r="BH348" s="14"/>
      <c r="BI348" s="14"/>
      <c r="BJ348" s="14"/>
      <c r="BK348" s="14"/>
    </row>
    <row r="349" spans="28:63" x14ac:dyDescent="0.55000000000000004">
      <c r="AL349" s="7"/>
      <c r="AM349" s="14"/>
      <c r="AN349" s="14"/>
      <c r="AO349" s="14"/>
      <c r="AP349" s="14"/>
      <c r="AQ349" s="14"/>
      <c r="AR349" s="14"/>
      <c r="AV349" s="14"/>
      <c r="AW349" s="14"/>
      <c r="AX349" s="14"/>
      <c r="AY349" s="14"/>
      <c r="AZ349" s="14"/>
      <c r="BF349" s="7"/>
      <c r="BG349" s="14"/>
      <c r="BH349" s="14"/>
      <c r="BI349" s="14"/>
      <c r="BJ349" s="14"/>
      <c r="BK349" s="14"/>
    </row>
    <row r="350" spans="28:63" x14ac:dyDescent="0.55000000000000004">
      <c r="AL350" s="7"/>
      <c r="AM350" s="14"/>
      <c r="AN350" s="14"/>
      <c r="AO350" s="14"/>
      <c r="AP350" s="14"/>
      <c r="AQ350" s="14"/>
      <c r="AR350" s="14"/>
      <c r="AV350" s="14"/>
      <c r="AW350" s="14"/>
      <c r="AX350" s="14"/>
      <c r="AY350" s="14"/>
      <c r="AZ350" s="14"/>
      <c r="BF350" s="7"/>
      <c r="BG350" s="14"/>
      <c r="BH350" s="14"/>
      <c r="BI350" s="14"/>
      <c r="BJ350" s="14"/>
      <c r="BK350" s="14"/>
    </row>
    <row r="351" spans="28:63" x14ac:dyDescent="0.55000000000000004">
      <c r="AL351" s="7"/>
      <c r="AM351" s="14"/>
      <c r="AN351" s="14"/>
      <c r="AO351" s="14"/>
      <c r="AP351" s="14"/>
      <c r="AQ351" s="14"/>
      <c r="AR351" s="14"/>
      <c r="AV351" s="14"/>
      <c r="AW351" s="14"/>
      <c r="AX351" s="14"/>
      <c r="AY351" s="14"/>
      <c r="AZ351" s="14"/>
      <c r="BF351" s="7"/>
      <c r="BG351" s="14"/>
      <c r="BH351" s="14"/>
      <c r="BI351" s="14"/>
      <c r="BJ351" s="14"/>
      <c r="BK351" s="14"/>
    </row>
    <row r="352" spans="28:63" x14ac:dyDescent="0.55000000000000004">
      <c r="AL352" s="7"/>
      <c r="AM352" s="14"/>
      <c r="AN352" s="14"/>
      <c r="AO352" s="14"/>
      <c r="AP352" s="14"/>
      <c r="AQ352" s="14"/>
      <c r="AR352" s="14"/>
      <c r="AV352" s="14"/>
      <c r="AW352" s="14"/>
      <c r="AX352" s="14"/>
      <c r="AY352" s="14"/>
      <c r="AZ352" s="14"/>
      <c r="BF352" s="7"/>
      <c r="BG352" s="14"/>
      <c r="BH352" s="14"/>
      <c r="BI352" s="14"/>
      <c r="BJ352" s="14"/>
      <c r="BK352" s="14"/>
    </row>
    <row r="353" spans="28:63" x14ac:dyDescent="0.55000000000000004">
      <c r="AL353" s="7"/>
      <c r="AM353" s="14"/>
      <c r="AN353" s="14"/>
      <c r="AO353" s="14"/>
      <c r="AP353" s="14"/>
      <c r="AQ353" s="14"/>
      <c r="AR353" s="14"/>
      <c r="AV353" s="14"/>
      <c r="AW353" s="14"/>
      <c r="AX353" s="14"/>
      <c r="AY353" s="14"/>
      <c r="AZ353" s="14"/>
      <c r="BF353" s="7"/>
      <c r="BG353" s="14"/>
      <c r="BH353" s="14"/>
      <c r="BI353" s="14"/>
      <c r="BJ353" s="14"/>
      <c r="BK353" s="14"/>
    </row>
    <row r="354" spans="28:63" x14ac:dyDescent="0.55000000000000004">
      <c r="AL354" s="7"/>
      <c r="AM354" s="14"/>
      <c r="AN354" s="14"/>
      <c r="AO354" s="14"/>
      <c r="AP354" s="14"/>
      <c r="AQ354" s="14"/>
      <c r="AR354" s="14"/>
      <c r="AV354" s="14"/>
      <c r="AW354" s="14"/>
      <c r="AX354" s="14"/>
      <c r="AY354" s="14"/>
      <c r="AZ354" s="14"/>
      <c r="BF354" s="7"/>
      <c r="BG354" s="14"/>
      <c r="BH354" s="14"/>
      <c r="BI354" s="14"/>
      <c r="BJ354" s="14"/>
      <c r="BK354" s="14"/>
    </row>
    <row r="355" spans="28:63" x14ac:dyDescent="0.55000000000000004">
      <c r="AL355" s="7"/>
      <c r="AM355" s="14"/>
      <c r="AN355" s="14"/>
      <c r="AO355" s="14"/>
      <c r="AP355" s="14"/>
      <c r="AQ355" s="14"/>
      <c r="AR355" s="14"/>
      <c r="AV355" s="14"/>
      <c r="AW355" s="14"/>
      <c r="AX355" s="14"/>
      <c r="AY355" s="14"/>
      <c r="AZ355" s="14"/>
      <c r="BF355" s="7"/>
      <c r="BG355" s="14"/>
      <c r="BH355" s="14"/>
      <c r="BI355" s="14"/>
      <c r="BJ355" s="14"/>
      <c r="BK355" s="14"/>
    </row>
    <row r="356" spans="28:63" x14ac:dyDescent="0.55000000000000004">
      <c r="AL356" s="7"/>
      <c r="AM356" s="14"/>
      <c r="AN356" s="14"/>
      <c r="AO356" s="14"/>
      <c r="AP356" s="14"/>
      <c r="AQ356" s="14"/>
      <c r="AR356" s="14"/>
      <c r="AV356" s="14"/>
      <c r="AW356" s="14"/>
      <c r="AX356" s="14"/>
      <c r="AY356" s="14"/>
      <c r="AZ356" s="14"/>
      <c r="BF356" s="7"/>
      <c r="BG356" s="14"/>
      <c r="BH356" s="14"/>
      <c r="BI356" s="14"/>
      <c r="BJ356" s="14"/>
      <c r="BK356" s="14"/>
    </row>
    <row r="357" spans="28:63" x14ac:dyDescent="0.55000000000000004">
      <c r="AL357" s="7"/>
      <c r="AM357" s="14"/>
      <c r="AN357" s="14"/>
      <c r="AO357" s="14"/>
      <c r="AP357" s="14"/>
      <c r="AQ357" s="14"/>
      <c r="AR357" s="14"/>
      <c r="AV357" s="14"/>
      <c r="AW357" s="14"/>
      <c r="AX357" s="14"/>
      <c r="AY357" s="14"/>
      <c r="AZ357" s="14"/>
      <c r="BF357" s="7"/>
      <c r="BG357" s="14"/>
      <c r="BH357" s="14"/>
      <c r="BI357" s="14"/>
      <c r="BJ357" s="14"/>
      <c r="BK357" s="14"/>
    </row>
    <row r="358" spans="28:63" x14ac:dyDescent="0.55000000000000004">
      <c r="AL358" s="7"/>
      <c r="AM358" s="14"/>
      <c r="AN358" s="14"/>
      <c r="AO358" s="14"/>
      <c r="AP358" s="14"/>
      <c r="AQ358" s="14"/>
      <c r="AR358" s="14"/>
      <c r="AV358" s="14"/>
      <c r="AW358" s="14"/>
      <c r="AX358" s="14"/>
      <c r="AY358" s="14"/>
      <c r="AZ358" s="14"/>
      <c r="BF358" s="7"/>
      <c r="BG358" s="14"/>
      <c r="BH358" s="14"/>
      <c r="BI358" s="14"/>
      <c r="BJ358" s="14"/>
      <c r="BK358" s="14"/>
    </row>
    <row r="359" spans="28:63" x14ac:dyDescent="0.55000000000000004">
      <c r="AL359" s="7"/>
      <c r="AM359" s="14"/>
      <c r="AN359" s="14"/>
      <c r="AO359" s="14"/>
      <c r="AP359" s="14"/>
      <c r="AQ359" s="14"/>
      <c r="AR359" s="14"/>
      <c r="AV359" s="14"/>
      <c r="AW359" s="14"/>
      <c r="AX359" s="14"/>
      <c r="AY359" s="14"/>
      <c r="AZ359" s="14"/>
      <c r="BF359" s="7"/>
      <c r="BG359" s="14"/>
      <c r="BH359" s="14"/>
      <c r="BI359" s="14"/>
      <c r="BJ359" s="14"/>
      <c r="BK359" s="14"/>
    </row>
    <row r="360" spans="28:63" x14ac:dyDescent="0.55000000000000004">
      <c r="AL360" s="7"/>
      <c r="AM360" s="14"/>
      <c r="AN360" s="14"/>
      <c r="AO360" s="14"/>
      <c r="AP360" s="14"/>
      <c r="AQ360" s="14"/>
      <c r="AR360" s="14"/>
      <c r="AV360" s="14"/>
      <c r="AW360" s="14"/>
      <c r="AX360" s="14"/>
      <c r="AY360" s="14"/>
      <c r="AZ360" s="14"/>
      <c r="BF360" s="7"/>
      <c r="BG360" s="14"/>
      <c r="BH360" s="14"/>
      <c r="BI360" s="14"/>
      <c r="BJ360" s="14"/>
      <c r="BK360" s="14"/>
    </row>
    <row r="361" spans="28:63" x14ac:dyDescent="0.55000000000000004">
      <c r="AL361" s="7"/>
      <c r="AM361" s="14"/>
      <c r="AN361" s="14"/>
      <c r="AO361" s="14"/>
      <c r="AP361" s="14"/>
      <c r="AQ361" s="14"/>
      <c r="AR361" s="14"/>
      <c r="AV361" s="14"/>
      <c r="AW361" s="14"/>
      <c r="AX361" s="14"/>
      <c r="AY361" s="14"/>
      <c r="AZ361" s="14"/>
      <c r="BF361" s="7"/>
      <c r="BG361" s="14"/>
      <c r="BH361" s="14"/>
      <c r="BI361" s="14"/>
      <c r="BJ361" s="14"/>
      <c r="BK361" s="14"/>
    </row>
    <row r="362" spans="28:63" x14ac:dyDescent="0.55000000000000004">
      <c r="AL362" s="7"/>
      <c r="AM362" s="14"/>
      <c r="AN362" s="14"/>
      <c r="AO362" s="14"/>
      <c r="AP362" s="14"/>
      <c r="AQ362" s="14"/>
      <c r="AR362" s="14"/>
      <c r="AV362" s="14"/>
      <c r="AW362" s="14"/>
      <c r="AX362" s="14"/>
      <c r="AY362" s="14"/>
      <c r="AZ362" s="14"/>
      <c r="BF362" s="7"/>
      <c r="BG362" s="14"/>
      <c r="BH362" s="14"/>
      <c r="BI362" s="14"/>
      <c r="BJ362" s="14"/>
      <c r="BK362" s="14"/>
    </row>
    <row r="363" spans="28:63" x14ac:dyDescent="0.55000000000000004">
      <c r="AL363" s="7"/>
      <c r="AM363" s="14"/>
      <c r="AN363" s="14"/>
      <c r="AO363" s="14"/>
      <c r="AP363" s="14"/>
      <c r="AQ363" s="14"/>
      <c r="AR363" s="14"/>
      <c r="AV363" s="14"/>
      <c r="AW363" s="14"/>
      <c r="AX363" s="14"/>
      <c r="AY363" s="14"/>
      <c r="AZ363" s="14"/>
      <c r="BF363" s="7"/>
      <c r="BG363" s="14"/>
      <c r="BH363" s="14"/>
      <c r="BI363" s="14"/>
      <c r="BJ363" s="14"/>
      <c r="BK363" s="14"/>
    </row>
    <row r="364" spans="28:63" x14ac:dyDescent="0.55000000000000004">
      <c r="AL364" s="7"/>
      <c r="AM364" s="14"/>
      <c r="AN364" s="14"/>
      <c r="AO364" s="14"/>
      <c r="AP364" s="14"/>
      <c r="AQ364" s="14"/>
      <c r="AR364" s="14"/>
      <c r="AV364" s="14"/>
      <c r="AW364" s="14"/>
      <c r="AX364" s="14"/>
      <c r="AY364" s="14"/>
      <c r="AZ364" s="14"/>
      <c r="BF364" s="7"/>
      <c r="BG364" s="14"/>
      <c r="BH364" s="14"/>
      <c r="BI364" s="14"/>
      <c r="BJ364" s="14"/>
      <c r="BK364" s="14"/>
    </row>
    <row r="365" spans="28:63" x14ac:dyDescent="0.55000000000000004">
      <c r="AL365" s="7"/>
      <c r="AM365" s="14"/>
      <c r="AN365" s="14"/>
      <c r="AO365" s="14"/>
      <c r="AP365" s="14"/>
      <c r="AQ365" s="14"/>
      <c r="AR365" s="14"/>
      <c r="AV365" s="14"/>
      <c r="AW365" s="14"/>
      <c r="AX365" s="14"/>
      <c r="AY365" s="14"/>
      <c r="AZ365" s="14"/>
      <c r="BF365" s="7"/>
      <c r="BG365" s="14"/>
      <c r="BH365" s="14"/>
      <c r="BI365" s="14"/>
      <c r="BJ365" s="14"/>
      <c r="BK365" s="14"/>
    </row>
    <row r="366" spans="28:63" x14ac:dyDescent="0.55000000000000004">
      <c r="AL366" s="7"/>
      <c r="AM366" s="14"/>
      <c r="AN366" s="14"/>
      <c r="AO366" s="14"/>
      <c r="AP366" s="14"/>
      <c r="AQ366" s="14"/>
      <c r="AR366" s="14"/>
      <c r="AV366" s="14"/>
      <c r="AW366" s="14"/>
      <c r="AX366" s="14"/>
      <c r="AY366" s="14"/>
      <c r="AZ366" s="14"/>
      <c r="BF366" s="7"/>
      <c r="BG366" s="14"/>
      <c r="BH366" s="14"/>
      <c r="BI366" s="14"/>
      <c r="BJ366" s="14"/>
      <c r="BK366" s="14"/>
    </row>
    <row r="367" spans="28:63" x14ac:dyDescent="0.55000000000000004">
      <c r="AL367" s="7"/>
      <c r="AM367" s="14"/>
      <c r="AN367" s="14"/>
      <c r="AO367" s="14"/>
      <c r="AP367" s="14"/>
      <c r="AQ367" s="14"/>
      <c r="AR367" s="14"/>
      <c r="AV367" s="14"/>
      <c r="AW367" s="14"/>
      <c r="AX367" s="14"/>
      <c r="AY367" s="14"/>
      <c r="AZ367" s="14"/>
      <c r="BF367" s="7"/>
      <c r="BG367" s="14"/>
      <c r="BH367" s="14"/>
      <c r="BI367" s="14"/>
      <c r="BJ367" s="14"/>
      <c r="BK367" s="14"/>
    </row>
    <row r="368" spans="28:63" x14ac:dyDescent="0.55000000000000004">
      <c r="AL368" s="7"/>
      <c r="AM368" s="14"/>
      <c r="AN368" s="14"/>
      <c r="AO368" s="14"/>
      <c r="AP368" s="14"/>
      <c r="AQ368" s="14"/>
      <c r="AR368" s="14"/>
      <c r="AV368" s="14"/>
      <c r="AW368" s="14"/>
      <c r="AX368" s="14"/>
      <c r="AY368" s="14"/>
      <c r="AZ368" s="14"/>
      <c r="BF368" s="7"/>
      <c r="BG368" s="14"/>
      <c r="BH368" s="14"/>
      <c r="BI368" s="14"/>
      <c r="BJ368" s="14"/>
      <c r="BK368" s="14"/>
    </row>
    <row r="369" spans="28:63" x14ac:dyDescent="0.55000000000000004">
      <c r="AL369" s="7"/>
      <c r="AM369" s="14"/>
      <c r="AN369" s="14"/>
      <c r="AO369" s="14"/>
      <c r="AP369" s="14"/>
      <c r="AQ369" s="14"/>
      <c r="AR369" s="14"/>
      <c r="AV369" s="14"/>
      <c r="AW369" s="14"/>
      <c r="AX369" s="14"/>
      <c r="AY369" s="14"/>
      <c r="AZ369" s="14"/>
      <c r="BF369" s="7"/>
      <c r="BG369" s="14"/>
      <c r="BH369" s="14"/>
      <c r="BI369" s="14"/>
      <c r="BJ369" s="14"/>
      <c r="BK369" s="14"/>
    </row>
    <row r="370" spans="28:63" x14ac:dyDescent="0.55000000000000004">
      <c r="AL370" s="7"/>
      <c r="AM370" s="14"/>
      <c r="AN370" s="14"/>
      <c r="AO370" s="14"/>
      <c r="AP370" s="14"/>
      <c r="AQ370" s="14"/>
      <c r="AR370" s="14"/>
      <c r="AV370" s="14"/>
      <c r="AW370" s="14"/>
      <c r="AX370" s="14"/>
      <c r="AY370" s="14"/>
      <c r="AZ370" s="14"/>
      <c r="BF370" s="7"/>
      <c r="BG370" s="14"/>
      <c r="BH370" s="14"/>
      <c r="BI370" s="14"/>
      <c r="BJ370" s="14"/>
      <c r="BK370" s="14"/>
    </row>
    <row r="371" spans="28:63" x14ac:dyDescent="0.55000000000000004">
      <c r="AL371" s="7"/>
      <c r="AM371" s="14"/>
      <c r="AN371" s="14"/>
      <c r="AO371" s="14"/>
      <c r="AP371" s="14"/>
      <c r="AQ371" s="14"/>
      <c r="AR371" s="14"/>
      <c r="AV371" s="14"/>
      <c r="AW371" s="14"/>
      <c r="AX371" s="14"/>
      <c r="AY371" s="14"/>
      <c r="AZ371" s="14"/>
      <c r="BF371" s="7"/>
      <c r="BG371" s="14"/>
      <c r="BH371" s="14"/>
      <c r="BI371" s="14"/>
      <c r="BJ371" s="14"/>
      <c r="BK371" s="14"/>
    </row>
    <row r="372" spans="28:63" x14ac:dyDescent="0.55000000000000004">
      <c r="AL372" s="7"/>
      <c r="AM372" s="14"/>
      <c r="AN372" s="14"/>
      <c r="AO372" s="14"/>
      <c r="AP372" s="14"/>
      <c r="AQ372" s="14"/>
      <c r="AR372" s="14"/>
      <c r="AV372" s="14"/>
      <c r="AW372" s="14"/>
      <c r="AX372" s="14"/>
      <c r="AY372" s="14"/>
      <c r="AZ372" s="14"/>
      <c r="BF372" s="7"/>
      <c r="BG372" s="14"/>
      <c r="BH372" s="14"/>
      <c r="BI372" s="14"/>
      <c r="BJ372" s="14"/>
      <c r="BK372" s="14"/>
    </row>
    <row r="373" spans="28:63" x14ac:dyDescent="0.55000000000000004">
      <c r="AL373" s="7"/>
      <c r="AM373" s="14"/>
      <c r="AN373" s="14"/>
      <c r="AO373" s="14"/>
      <c r="AP373" s="14"/>
      <c r="AQ373" s="14"/>
      <c r="AR373" s="14"/>
      <c r="AV373" s="14"/>
      <c r="AW373" s="14"/>
      <c r="AX373" s="14"/>
      <c r="AY373" s="14"/>
      <c r="AZ373" s="14"/>
      <c r="BF373" s="7"/>
      <c r="BG373" s="14"/>
      <c r="BH373" s="14"/>
      <c r="BI373" s="14"/>
      <c r="BJ373" s="14"/>
      <c r="BK373" s="14"/>
    </row>
    <row r="374" spans="28:63" x14ac:dyDescent="0.55000000000000004">
      <c r="AL374" s="7"/>
      <c r="AM374" s="14"/>
      <c r="AN374" s="14"/>
      <c r="AO374" s="14"/>
      <c r="AP374" s="14"/>
      <c r="AQ374" s="14"/>
      <c r="AR374" s="14"/>
      <c r="AV374" s="14"/>
      <c r="AW374" s="14"/>
      <c r="AX374" s="14"/>
      <c r="AY374" s="14"/>
      <c r="AZ374" s="14"/>
      <c r="BF374" s="7"/>
      <c r="BG374" s="14"/>
      <c r="BH374" s="14"/>
      <c r="BI374" s="14"/>
      <c r="BJ374" s="14"/>
      <c r="BK374" s="14"/>
    </row>
    <row r="375" spans="28:63" x14ac:dyDescent="0.55000000000000004">
      <c r="AL375" s="7"/>
      <c r="AM375" s="14"/>
      <c r="AN375" s="14"/>
      <c r="AO375" s="14"/>
      <c r="AP375" s="14"/>
      <c r="AQ375" s="14"/>
      <c r="AR375" s="14"/>
      <c r="AV375" s="14"/>
      <c r="AW375" s="14"/>
      <c r="AX375" s="14"/>
      <c r="AY375" s="14"/>
      <c r="AZ375" s="14"/>
      <c r="BF375" s="7"/>
      <c r="BG375" s="14"/>
      <c r="BH375" s="14"/>
      <c r="BI375" s="14"/>
      <c r="BJ375" s="14"/>
      <c r="BK375" s="14"/>
    </row>
    <row r="376" spans="28:63" x14ac:dyDescent="0.55000000000000004">
      <c r="AL376" s="7"/>
      <c r="AM376" s="14"/>
      <c r="AN376" s="14"/>
      <c r="AO376" s="14"/>
      <c r="AP376" s="14"/>
      <c r="AQ376" s="14"/>
      <c r="AR376" s="14"/>
      <c r="AV376" s="14"/>
      <c r="AW376" s="14"/>
      <c r="AX376" s="14"/>
      <c r="AY376" s="14"/>
      <c r="AZ376" s="14"/>
      <c r="BF376" s="7"/>
      <c r="BG376" s="14"/>
      <c r="BH376" s="14"/>
      <c r="BI376" s="14"/>
      <c r="BJ376" s="14"/>
      <c r="BK376" s="14"/>
    </row>
    <row r="377" spans="28:63" x14ac:dyDescent="0.55000000000000004">
      <c r="AL377" s="7"/>
      <c r="AM377" s="14"/>
      <c r="AN377" s="14"/>
      <c r="AO377" s="14"/>
      <c r="AP377" s="14"/>
      <c r="AQ377" s="14"/>
      <c r="AR377" s="14"/>
      <c r="AV377" s="14"/>
      <c r="AW377" s="14"/>
      <c r="AX377" s="14"/>
      <c r="AY377" s="14"/>
      <c r="AZ377" s="14"/>
      <c r="BF377" s="7"/>
      <c r="BG377" s="14"/>
      <c r="BH377" s="14"/>
      <c r="BI377" s="14"/>
      <c r="BJ377" s="14"/>
      <c r="BK377" s="14"/>
    </row>
    <row r="378" spans="28:63" x14ac:dyDescent="0.55000000000000004">
      <c r="AL378" s="7"/>
      <c r="AM378" s="14"/>
      <c r="AN378" s="14"/>
      <c r="AO378" s="14"/>
      <c r="AP378" s="14"/>
      <c r="AQ378" s="14"/>
      <c r="AR378" s="14"/>
      <c r="AV378" s="14"/>
      <c r="AW378" s="14"/>
      <c r="AX378" s="14"/>
      <c r="AY378" s="14"/>
      <c r="AZ378" s="14"/>
      <c r="BF378" s="7"/>
      <c r="BG378" s="14"/>
      <c r="BH378" s="14"/>
      <c r="BI378" s="14"/>
      <c r="BJ378" s="14"/>
      <c r="BK378" s="14"/>
    </row>
    <row r="379" spans="28:63" x14ac:dyDescent="0.55000000000000004">
      <c r="AL379" s="7"/>
      <c r="AM379" s="14"/>
      <c r="AN379" s="14"/>
      <c r="AO379" s="14"/>
      <c r="AP379" s="14"/>
      <c r="AQ379" s="14"/>
      <c r="AR379" s="14"/>
      <c r="AV379" s="14"/>
      <c r="AW379" s="14"/>
      <c r="AX379" s="14"/>
      <c r="AY379" s="14"/>
      <c r="AZ379" s="14"/>
      <c r="BF379" s="7"/>
      <c r="BG379" s="14"/>
      <c r="BH379" s="14"/>
      <c r="BI379" s="14"/>
      <c r="BJ379" s="14"/>
      <c r="BK379" s="14"/>
    </row>
    <row r="380" spans="28:63" x14ac:dyDescent="0.55000000000000004">
      <c r="AL380" s="7"/>
      <c r="AM380" s="14"/>
      <c r="AN380" s="14"/>
      <c r="AO380" s="14"/>
      <c r="AP380" s="14"/>
      <c r="AQ380" s="14"/>
      <c r="AR380" s="14"/>
      <c r="AV380" s="14"/>
      <c r="AW380" s="14"/>
      <c r="AX380" s="14"/>
      <c r="AY380" s="14"/>
      <c r="AZ380" s="14"/>
      <c r="BF380" s="7"/>
      <c r="BG380" s="14"/>
      <c r="BH380" s="14"/>
      <c r="BI380" s="14"/>
      <c r="BJ380" s="14"/>
      <c r="BK380" s="14"/>
    </row>
    <row r="381" spans="28:63" x14ac:dyDescent="0.55000000000000004">
      <c r="AL381" s="7"/>
      <c r="AM381" s="14"/>
      <c r="AN381" s="14"/>
      <c r="AO381" s="14"/>
      <c r="AP381" s="14"/>
      <c r="AQ381" s="14"/>
      <c r="AR381" s="14"/>
      <c r="AV381" s="14"/>
      <c r="AW381" s="14"/>
      <c r="AX381" s="14"/>
      <c r="AY381" s="14"/>
      <c r="AZ381" s="14"/>
      <c r="BF381" s="7"/>
      <c r="BG381" s="14"/>
      <c r="BH381" s="14"/>
      <c r="BI381" s="14"/>
      <c r="BJ381" s="14"/>
      <c r="BK381" s="14"/>
    </row>
    <row r="382" spans="28:63" x14ac:dyDescent="0.55000000000000004">
      <c r="AL382" s="7"/>
      <c r="AM382" s="14"/>
      <c r="AN382" s="14"/>
      <c r="AO382" s="14"/>
      <c r="AP382" s="14"/>
      <c r="AQ382" s="14"/>
      <c r="AR382" s="14"/>
      <c r="AV382" s="14"/>
      <c r="AW382" s="14"/>
      <c r="AX382" s="14"/>
      <c r="AY382" s="14"/>
      <c r="AZ382" s="14"/>
      <c r="BF382" s="7"/>
      <c r="BG382" s="14"/>
      <c r="BH382" s="14"/>
      <c r="BI382" s="14"/>
      <c r="BJ382" s="14"/>
      <c r="BK382" s="14"/>
    </row>
    <row r="383" spans="28:63" x14ac:dyDescent="0.55000000000000004">
      <c r="AL383" s="7"/>
      <c r="AM383" s="14"/>
      <c r="AN383" s="14"/>
      <c r="AO383" s="14"/>
      <c r="AP383" s="14"/>
      <c r="AQ383" s="14"/>
      <c r="AR383" s="14"/>
      <c r="AV383" s="14"/>
      <c r="AW383" s="14"/>
      <c r="AX383" s="14"/>
      <c r="AY383" s="14"/>
      <c r="AZ383" s="14"/>
      <c r="BF383" s="7"/>
      <c r="BG383" s="14"/>
      <c r="BH383" s="14"/>
      <c r="BI383" s="14"/>
      <c r="BJ383" s="14"/>
      <c r="BK383" s="14"/>
    </row>
    <row r="384" spans="28:63" x14ac:dyDescent="0.55000000000000004">
      <c r="AL384" s="7"/>
      <c r="AM384" s="14"/>
      <c r="AN384" s="14"/>
      <c r="AO384" s="14"/>
      <c r="AP384" s="14"/>
      <c r="AQ384" s="14"/>
      <c r="AR384" s="14"/>
      <c r="AV384" s="14"/>
      <c r="AW384" s="14"/>
      <c r="AX384" s="14"/>
      <c r="AY384" s="14"/>
      <c r="AZ384" s="14"/>
      <c r="BF384" s="7"/>
      <c r="BG384" s="14"/>
      <c r="BH384" s="14"/>
      <c r="BI384" s="14"/>
      <c r="BJ384" s="14"/>
      <c r="BK384" s="14"/>
    </row>
    <row r="385" spans="28:63" x14ac:dyDescent="0.55000000000000004">
      <c r="AL385" s="7"/>
      <c r="AM385" s="14"/>
      <c r="AN385" s="14"/>
      <c r="AO385" s="14"/>
      <c r="AP385" s="14"/>
      <c r="AQ385" s="14"/>
      <c r="AR385" s="14"/>
      <c r="AV385" s="14"/>
      <c r="AW385" s="14"/>
      <c r="AX385" s="14"/>
      <c r="AY385" s="14"/>
      <c r="AZ385" s="14"/>
      <c r="BF385" s="7"/>
      <c r="BG385" s="14"/>
      <c r="BH385" s="14"/>
      <c r="BI385" s="14"/>
      <c r="BJ385" s="14"/>
      <c r="BK385" s="14"/>
    </row>
    <row r="386" spans="28:63" x14ac:dyDescent="0.55000000000000004">
      <c r="AL386" s="7"/>
      <c r="AM386" s="14"/>
      <c r="AN386" s="14"/>
      <c r="AO386" s="14"/>
      <c r="AP386" s="14"/>
      <c r="AQ386" s="14"/>
      <c r="AR386" s="14"/>
      <c r="AV386" s="14"/>
      <c r="AW386" s="14"/>
      <c r="AX386" s="14"/>
      <c r="AY386" s="14"/>
      <c r="AZ386" s="14"/>
      <c r="BF386" s="7"/>
      <c r="BG386" s="14"/>
      <c r="BH386" s="14"/>
      <c r="BI386" s="14"/>
      <c r="BJ386" s="14"/>
      <c r="BK386" s="14"/>
    </row>
    <row r="387" spans="28:63" x14ac:dyDescent="0.55000000000000004">
      <c r="AL387" s="7"/>
      <c r="AM387" s="14"/>
      <c r="AN387" s="14"/>
      <c r="AO387" s="14"/>
      <c r="AP387" s="14"/>
      <c r="AQ387" s="14"/>
      <c r="AR387" s="14"/>
      <c r="AV387" s="14"/>
      <c r="AW387" s="14"/>
      <c r="AX387" s="14"/>
      <c r="AY387" s="14"/>
      <c r="AZ387" s="14"/>
      <c r="BF387" s="7"/>
      <c r="BG387" s="14"/>
      <c r="BH387" s="14"/>
      <c r="BI387" s="14"/>
      <c r="BJ387" s="14"/>
      <c r="BK387" s="14"/>
    </row>
    <row r="388" spans="28:63" x14ac:dyDescent="0.55000000000000004">
      <c r="AL388" s="7"/>
      <c r="AM388" s="14"/>
      <c r="AN388" s="14"/>
      <c r="AO388" s="14"/>
      <c r="AP388" s="14"/>
      <c r="AQ388" s="14"/>
      <c r="AR388" s="14"/>
      <c r="AV388" s="14"/>
      <c r="AW388" s="14"/>
      <c r="AX388" s="14"/>
      <c r="AY388" s="14"/>
      <c r="AZ388" s="14"/>
      <c r="BF388" s="7"/>
      <c r="BG388" s="14"/>
      <c r="BH388" s="14"/>
      <c r="BI388" s="14"/>
      <c r="BJ388" s="14"/>
      <c r="BK388" s="14"/>
    </row>
    <row r="389" spans="28:63" x14ac:dyDescent="0.55000000000000004">
      <c r="AL389" s="7"/>
      <c r="AM389" s="14"/>
      <c r="AN389" s="14"/>
      <c r="AO389" s="14"/>
      <c r="AP389" s="14"/>
      <c r="AQ389" s="14"/>
      <c r="AR389" s="14"/>
      <c r="AV389" s="14"/>
      <c r="AW389" s="14"/>
      <c r="AX389" s="14"/>
      <c r="AY389" s="14"/>
      <c r="AZ389" s="14"/>
      <c r="BF389" s="7"/>
      <c r="BG389" s="14"/>
      <c r="BH389" s="14"/>
      <c r="BI389" s="14"/>
      <c r="BJ389" s="14"/>
      <c r="BK389" s="14"/>
    </row>
    <row r="390" spans="28:63" x14ac:dyDescent="0.55000000000000004">
      <c r="AL390" s="7"/>
      <c r="AM390" s="14"/>
      <c r="AN390" s="14"/>
      <c r="AO390" s="14"/>
      <c r="AP390" s="14"/>
      <c r="AQ390" s="14"/>
      <c r="AR390" s="14"/>
      <c r="AV390" s="14"/>
      <c r="AW390" s="14"/>
      <c r="AX390" s="14"/>
      <c r="AY390" s="14"/>
      <c r="AZ390" s="14"/>
      <c r="BF390" s="7"/>
      <c r="BG390" s="14"/>
      <c r="BH390" s="14"/>
      <c r="BI390" s="14"/>
      <c r="BJ390" s="14"/>
      <c r="BK390" s="14"/>
    </row>
    <row r="391" spans="28:63" x14ac:dyDescent="0.55000000000000004">
      <c r="AL391" s="7"/>
      <c r="AM391" s="14"/>
      <c r="AN391" s="14"/>
      <c r="AO391" s="14"/>
      <c r="AP391" s="14"/>
      <c r="AQ391" s="14"/>
      <c r="AR391" s="14"/>
      <c r="AV391" s="14"/>
      <c r="AW391" s="14"/>
      <c r="AX391" s="14"/>
      <c r="AY391" s="14"/>
      <c r="AZ391" s="14"/>
      <c r="BF391" s="7"/>
      <c r="BG391" s="14"/>
      <c r="BH391" s="14"/>
      <c r="BI391" s="14"/>
      <c r="BJ391" s="14"/>
      <c r="BK391" s="14"/>
    </row>
    <row r="392" spans="28:63" x14ac:dyDescent="0.55000000000000004">
      <c r="AL392" s="7"/>
      <c r="AM392" s="14"/>
      <c r="AN392" s="14"/>
      <c r="AO392" s="14"/>
      <c r="AP392" s="14"/>
      <c r="AQ392" s="14"/>
      <c r="AR392" s="14"/>
      <c r="AV392" s="14"/>
      <c r="AW392" s="14"/>
      <c r="AX392" s="14"/>
      <c r="AY392" s="14"/>
      <c r="AZ392" s="14"/>
      <c r="BF392" s="7"/>
      <c r="BG392" s="14"/>
      <c r="BH392" s="14"/>
      <c r="BI392" s="14"/>
      <c r="BJ392" s="14"/>
      <c r="BK392" s="14"/>
    </row>
    <row r="393" spans="28:63" x14ac:dyDescent="0.55000000000000004">
      <c r="AL393" s="7"/>
      <c r="AM393" s="14"/>
      <c r="AN393" s="14"/>
      <c r="AO393" s="14"/>
      <c r="AP393" s="14"/>
      <c r="AQ393" s="14"/>
      <c r="AR393" s="14"/>
      <c r="AV393" s="14"/>
      <c r="AW393" s="14"/>
      <c r="AX393" s="14"/>
      <c r="AY393" s="14"/>
      <c r="AZ393" s="14"/>
      <c r="BF393" s="7"/>
      <c r="BG393" s="14"/>
      <c r="BH393" s="14"/>
      <c r="BI393" s="14"/>
      <c r="BJ393" s="14"/>
      <c r="BK393" s="14"/>
    </row>
    <row r="394" spans="28:63" x14ac:dyDescent="0.55000000000000004">
      <c r="AL394" s="7"/>
      <c r="AM394" s="14"/>
      <c r="AN394" s="14"/>
      <c r="AO394" s="14"/>
      <c r="AP394" s="14"/>
      <c r="AQ394" s="14"/>
      <c r="AR394" s="14"/>
      <c r="AV394" s="14"/>
      <c r="AW394" s="14"/>
      <c r="AX394" s="14"/>
      <c r="AY394" s="14"/>
      <c r="AZ394" s="14"/>
      <c r="BF394" s="7"/>
      <c r="BG394" s="14"/>
      <c r="BH394" s="14"/>
      <c r="BI394" s="14"/>
      <c r="BJ394" s="14"/>
      <c r="BK394" s="14"/>
    </row>
    <row r="395" spans="28:63" x14ac:dyDescent="0.55000000000000004">
      <c r="AL395" s="7"/>
      <c r="AM395" s="14"/>
      <c r="AN395" s="14"/>
      <c r="AO395" s="14"/>
      <c r="AP395" s="14"/>
      <c r="AQ395" s="14"/>
      <c r="AR395" s="14"/>
      <c r="AV395" s="14"/>
      <c r="AW395" s="14"/>
      <c r="AX395" s="14"/>
      <c r="AY395" s="14"/>
      <c r="AZ395" s="14"/>
      <c r="BF395" s="7"/>
      <c r="BG395" s="14"/>
      <c r="BH395" s="14"/>
      <c r="BI395" s="14"/>
      <c r="BJ395" s="14"/>
      <c r="BK395" s="14"/>
    </row>
    <row r="396" spans="28:63" x14ac:dyDescent="0.55000000000000004">
      <c r="AL396" s="7"/>
      <c r="AM396" s="14"/>
      <c r="AN396" s="14"/>
      <c r="AO396" s="14"/>
      <c r="AP396" s="14"/>
      <c r="AQ396" s="14"/>
      <c r="AR396" s="14"/>
      <c r="AV396" s="14"/>
      <c r="AW396" s="14"/>
      <c r="AX396" s="14"/>
      <c r="AY396" s="14"/>
      <c r="AZ396" s="14"/>
      <c r="BF396" s="7"/>
      <c r="BG396" s="14"/>
      <c r="BH396" s="14"/>
      <c r="BI396" s="14"/>
      <c r="BJ396" s="14"/>
      <c r="BK396" s="14"/>
    </row>
    <row r="397" spans="28:63" x14ac:dyDescent="0.55000000000000004">
      <c r="AL397" s="7"/>
      <c r="AM397" s="14"/>
      <c r="AN397" s="14"/>
      <c r="AO397" s="14"/>
      <c r="AP397" s="14"/>
      <c r="AQ397" s="14"/>
      <c r="AR397" s="14"/>
      <c r="AV397" s="14"/>
      <c r="AW397" s="14"/>
      <c r="AX397" s="14"/>
      <c r="AY397" s="14"/>
      <c r="AZ397" s="14"/>
      <c r="BF397" s="7"/>
      <c r="BG397" s="14"/>
      <c r="BH397" s="14"/>
      <c r="BI397" s="14"/>
      <c r="BJ397" s="14"/>
      <c r="BK397" s="14"/>
    </row>
    <row r="398" spans="28:63" x14ac:dyDescent="0.55000000000000004">
      <c r="AL398" s="7"/>
      <c r="AM398" s="14"/>
      <c r="AN398" s="14"/>
      <c r="AO398" s="14"/>
      <c r="AP398" s="14"/>
      <c r="AQ398" s="14"/>
      <c r="AR398" s="14"/>
      <c r="AV398" s="14"/>
      <c r="AW398" s="14"/>
      <c r="AX398" s="14"/>
      <c r="AY398" s="14"/>
      <c r="AZ398" s="14"/>
      <c r="BF398" s="7"/>
      <c r="BG398" s="14"/>
      <c r="BH398" s="14"/>
      <c r="BI398" s="14"/>
      <c r="BJ398" s="14"/>
      <c r="BK398" s="14"/>
    </row>
    <row r="399" spans="28:63" x14ac:dyDescent="0.55000000000000004">
      <c r="AL399" s="7"/>
      <c r="AM399" s="14"/>
      <c r="AN399" s="14"/>
      <c r="AO399" s="14"/>
      <c r="AP399" s="14"/>
      <c r="AQ399" s="14"/>
      <c r="AR399" s="14"/>
      <c r="AV399" s="14"/>
      <c r="AW399" s="14"/>
      <c r="AX399" s="14"/>
      <c r="AY399" s="14"/>
      <c r="AZ399" s="14"/>
      <c r="BF399" s="7"/>
      <c r="BG399" s="14"/>
      <c r="BH399" s="14"/>
      <c r="BI399" s="14"/>
      <c r="BJ399" s="14"/>
      <c r="BK399" s="14"/>
    </row>
    <row r="400" spans="28:63" x14ac:dyDescent="0.55000000000000004">
      <c r="AL400" s="7"/>
      <c r="AM400" s="14"/>
      <c r="AN400" s="14"/>
      <c r="AO400" s="14"/>
      <c r="AP400" s="14"/>
      <c r="AQ400" s="14"/>
      <c r="AR400" s="14"/>
      <c r="AV400" s="14"/>
      <c r="AW400" s="14"/>
      <c r="AX400" s="14"/>
      <c r="AY400" s="14"/>
      <c r="AZ400" s="14"/>
      <c r="BF400" s="7"/>
      <c r="BG400" s="14"/>
      <c r="BH400" s="14"/>
      <c r="BI400" s="14"/>
      <c r="BJ400" s="14"/>
      <c r="BK400" s="14"/>
    </row>
    <row r="401" spans="28:63" x14ac:dyDescent="0.55000000000000004">
      <c r="AL401" s="7"/>
      <c r="AM401" s="14"/>
      <c r="AN401" s="14"/>
      <c r="AO401" s="14"/>
      <c r="AP401" s="14"/>
      <c r="AQ401" s="14"/>
      <c r="AR401" s="14"/>
      <c r="AV401" s="14"/>
      <c r="AW401" s="14"/>
      <c r="AX401" s="14"/>
      <c r="AY401" s="14"/>
      <c r="AZ401" s="14"/>
      <c r="BF401" s="7"/>
      <c r="BG401" s="14"/>
      <c r="BH401" s="14"/>
      <c r="BI401" s="14"/>
      <c r="BJ401" s="14"/>
      <c r="BK401" s="14"/>
    </row>
    <row r="402" spans="28:63" x14ac:dyDescent="0.55000000000000004">
      <c r="AL402" s="7"/>
      <c r="AM402" s="14"/>
      <c r="AN402" s="14"/>
      <c r="AO402" s="14"/>
      <c r="AP402" s="14"/>
      <c r="AQ402" s="14"/>
      <c r="AR402" s="14"/>
      <c r="AV402" s="14"/>
      <c r="AW402" s="14"/>
      <c r="AX402" s="14"/>
      <c r="AY402" s="14"/>
      <c r="AZ402" s="14"/>
      <c r="BF402" s="7"/>
      <c r="BG402" s="14"/>
      <c r="BH402" s="14"/>
      <c r="BI402" s="14"/>
      <c r="BJ402" s="14"/>
      <c r="BK402" s="14"/>
    </row>
    <row r="403" spans="28:63" x14ac:dyDescent="0.55000000000000004">
      <c r="AL403" s="7"/>
      <c r="AM403" s="14"/>
      <c r="AN403" s="14"/>
      <c r="AO403" s="14"/>
      <c r="AP403" s="14"/>
      <c r="AQ403" s="14"/>
      <c r="AR403" s="14"/>
      <c r="AV403" s="14"/>
      <c r="AW403" s="14"/>
      <c r="AX403" s="14"/>
      <c r="AY403" s="14"/>
      <c r="AZ403" s="14"/>
      <c r="BF403" s="7"/>
      <c r="BG403" s="14"/>
      <c r="BH403" s="14"/>
      <c r="BI403" s="14"/>
      <c r="BJ403" s="14"/>
      <c r="BK403" s="14"/>
    </row>
    <row r="404" spans="28:63" x14ac:dyDescent="0.55000000000000004">
      <c r="AL404" s="7"/>
      <c r="AM404" s="14"/>
      <c r="AN404" s="14"/>
      <c r="AO404" s="14"/>
      <c r="AP404" s="14"/>
      <c r="AQ404" s="14"/>
      <c r="AR404" s="14"/>
      <c r="AV404" s="14"/>
      <c r="AW404" s="14"/>
      <c r="AX404" s="14"/>
      <c r="AY404" s="14"/>
      <c r="AZ404" s="14"/>
      <c r="BF404" s="7"/>
      <c r="BG404" s="14"/>
      <c r="BH404" s="14"/>
      <c r="BI404" s="14"/>
      <c r="BJ404" s="14"/>
      <c r="BK404" s="14"/>
    </row>
    <row r="405" spans="28:63" x14ac:dyDescent="0.55000000000000004">
      <c r="AL405" s="7"/>
      <c r="AM405" s="14"/>
      <c r="AN405" s="14"/>
      <c r="AO405" s="14"/>
      <c r="AP405" s="14"/>
      <c r="AQ405" s="14"/>
      <c r="AR405" s="14"/>
      <c r="AV405" s="14"/>
      <c r="AW405" s="14"/>
      <c r="AX405" s="14"/>
      <c r="AY405" s="14"/>
      <c r="AZ405" s="14"/>
      <c r="BF405" s="7"/>
      <c r="BG405" s="14"/>
      <c r="BH405" s="14"/>
      <c r="BI405" s="14"/>
      <c r="BJ405" s="14"/>
      <c r="BK405" s="14"/>
    </row>
    <row r="406" spans="28:63" x14ac:dyDescent="0.55000000000000004">
      <c r="AL406" s="7"/>
      <c r="AM406" s="14"/>
      <c r="AN406" s="14"/>
      <c r="AO406" s="14"/>
      <c r="AP406" s="14"/>
      <c r="AQ406" s="14"/>
      <c r="AR406" s="14"/>
      <c r="AV406" s="14"/>
      <c r="AW406" s="14"/>
      <c r="AX406" s="14"/>
      <c r="AY406" s="14"/>
      <c r="AZ406" s="14"/>
      <c r="BF406" s="7"/>
      <c r="BG406" s="14"/>
      <c r="BH406" s="14"/>
      <c r="BI406" s="14"/>
      <c r="BJ406" s="14"/>
      <c r="BK406" s="14"/>
    </row>
    <row r="407" spans="28:63" x14ac:dyDescent="0.55000000000000004">
      <c r="AL407" s="7"/>
      <c r="AM407" s="14"/>
      <c r="AN407" s="14"/>
      <c r="AO407" s="14"/>
      <c r="AP407" s="14"/>
      <c r="AQ407" s="14"/>
      <c r="AR407" s="14"/>
      <c r="AV407" s="14"/>
      <c r="AW407" s="14"/>
      <c r="AX407" s="14"/>
      <c r="AY407" s="14"/>
      <c r="AZ407" s="14"/>
      <c r="BF407" s="7"/>
      <c r="BG407" s="14"/>
      <c r="BH407" s="14"/>
      <c r="BI407" s="14"/>
      <c r="BJ407" s="14"/>
      <c r="BK407" s="14"/>
    </row>
    <row r="408" spans="28:63" x14ac:dyDescent="0.55000000000000004">
      <c r="AL408" s="7"/>
      <c r="AM408" s="14"/>
      <c r="AN408" s="14"/>
      <c r="AO408" s="14"/>
      <c r="AP408" s="14"/>
      <c r="AQ408" s="14"/>
      <c r="AR408" s="14"/>
      <c r="AV408" s="14"/>
      <c r="AW408" s="14"/>
      <c r="AX408" s="14"/>
      <c r="AY408" s="14"/>
      <c r="AZ408" s="14"/>
      <c r="BF408" s="7"/>
      <c r="BG408" s="14"/>
      <c r="BH408" s="14"/>
      <c r="BI408" s="14"/>
      <c r="BJ408" s="14"/>
      <c r="BK408" s="14"/>
    </row>
    <row r="409" spans="28:63" x14ac:dyDescent="0.55000000000000004">
      <c r="AL409" s="7"/>
      <c r="AM409" s="14"/>
      <c r="AN409" s="14"/>
      <c r="AO409" s="14"/>
      <c r="AP409" s="14"/>
      <c r="AQ409" s="14"/>
      <c r="AR409" s="14"/>
      <c r="AV409" s="14"/>
      <c r="AW409" s="14"/>
      <c r="AX409" s="14"/>
      <c r="AY409" s="14"/>
      <c r="AZ409" s="14"/>
      <c r="BF409" s="7"/>
      <c r="BG409" s="14"/>
      <c r="BH409" s="14"/>
      <c r="BI409" s="14"/>
      <c r="BJ409" s="14"/>
      <c r="BK409" s="14"/>
    </row>
    <row r="410" spans="28:63" x14ac:dyDescent="0.55000000000000004">
      <c r="AL410" s="7"/>
      <c r="AM410" s="14"/>
      <c r="AN410" s="14"/>
      <c r="AO410" s="14"/>
      <c r="AP410" s="14"/>
      <c r="AQ410" s="14"/>
      <c r="AR410" s="14"/>
      <c r="AV410" s="14"/>
      <c r="AW410" s="14"/>
      <c r="AX410" s="14"/>
      <c r="AY410" s="14"/>
      <c r="AZ410" s="14"/>
      <c r="BF410" s="7"/>
      <c r="BG410" s="14"/>
      <c r="BH410" s="14"/>
      <c r="BI410" s="14"/>
      <c r="BJ410" s="14"/>
      <c r="BK410" s="14"/>
    </row>
    <row r="411" spans="28:63" x14ac:dyDescent="0.55000000000000004">
      <c r="AL411" s="7"/>
      <c r="AM411" s="14"/>
      <c r="AN411" s="14"/>
      <c r="AO411" s="14"/>
      <c r="AP411" s="14"/>
      <c r="AQ411" s="14"/>
      <c r="AR411" s="14"/>
      <c r="AV411" s="14"/>
      <c r="AW411" s="14"/>
      <c r="AX411" s="14"/>
      <c r="AY411" s="14"/>
      <c r="AZ411" s="14"/>
      <c r="BF411" s="7"/>
      <c r="BG411" s="14"/>
      <c r="BH411" s="14"/>
      <c r="BI411" s="14"/>
      <c r="BJ411" s="14"/>
      <c r="BK411" s="14"/>
    </row>
    <row r="412" spans="28:63" x14ac:dyDescent="0.55000000000000004">
      <c r="AL412" s="7"/>
      <c r="AM412" s="14"/>
      <c r="AN412" s="14"/>
      <c r="AO412" s="14"/>
      <c r="AP412" s="14"/>
      <c r="AQ412" s="14"/>
      <c r="AR412" s="14"/>
      <c r="AV412" s="14"/>
      <c r="AW412" s="14"/>
      <c r="AX412" s="14"/>
      <c r="AY412" s="14"/>
      <c r="AZ412" s="14"/>
      <c r="BF412" s="7"/>
      <c r="BG412" s="14"/>
      <c r="BH412" s="14"/>
      <c r="BI412" s="14"/>
      <c r="BJ412" s="14"/>
      <c r="BK412" s="14"/>
    </row>
    <row r="413" spans="28:63" x14ac:dyDescent="0.55000000000000004">
      <c r="AL413" s="7"/>
      <c r="AM413" s="14"/>
      <c r="AN413" s="14"/>
      <c r="AO413" s="14"/>
      <c r="AP413" s="14"/>
      <c r="AQ413" s="14"/>
      <c r="AR413" s="14"/>
      <c r="AV413" s="14"/>
      <c r="AW413" s="14"/>
      <c r="AX413" s="14"/>
      <c r="AY413" s="14"/>
      <c r="AZ413" s="14"/>
      <c r="BF413" s="7"/>
      <c r="BG413" s="14"/>
      <c r="BH413" s="14"/>
      <c r="BI413" s="14"/>
      <c r="BJ413" s="14"/>
      <c r="BK413" s="14"/>
    </row>
    <row r="414" spans="28:63" x14ac:dyDescent="0.55000000000000004">
      <c r="AL414" s="7"/>
      <c r="AM414" s="14"/>
      <c r="AN414" s="14"/>
      <c r="AO414" s="14"/>
      <c r="AP414" s="14"/>
      <c r="AQ414" s="14"/>
      <c r="AR414" s="14"/>
      <c r="AV414" s="14"/>
      <c r="AW414" s="14"/>
      <c r="AX414" s="14"/>
      <c r="AY414" s="14"/>
      <c r="AZ414" s="14"/>
      <c r="BF414" s="7"/>
      <c r="BG414" s="14"/>
      <c r="BH414" s="14"/>
      <c r="BI414" s="14"/>
      <c r="BJ414" s="14"/>
      <c r="BK414" s="14"/>
    </row>
    <row r="415" spans="28:63" x14ac:dyDescent="0.55000000000000004">
      <c r="AL415" s="7"/>
      <c r="AM415" s="14"/>
      <c r="AN415" s="14"/>
      <c r="AO415" s="14"/>
      <c r="AP415" s="14"/>
      <c r="AQ415" s="14"/>
      <c r="AR415" s="14"/>
      <c r="AV415" s="14"/>
      <c r="AW415" s="14"/>
      <c r="AX415" s="14"/>
      <c r="AY415" s="14"/>
      <c r="AZ415" s="14"/>
      <c r="BF415" s="7"/>
      <c r="BG415" s="14"/>
      <c r="BH415" s="14"/>
      <c r="BI415" s="14"/>
      <c r="BJ415" s="14"/>
      <c r="BK415" s="14"/>
    </row>
    <row r="416" spans="28:63" x14ac:dyDescent="0.55000000000000004">
      <c r="AL416" s="7"/>
      <c r="AM416" s="14"/>
      <c r="AN416" s="14"/>
      <c r="AO416" s="14"/>
      <c r="AP416" s="14"/>
      <c r="AQ416" s="14"/>
      <c r="AR416" s="14"/>
      <c r="AV416" s="14"/>
      <c r="AW416" s="14"/>
      <c r="AX416" s="14"/>
      <c r="AY416" s="14"/>
      <c r="AZ416" s="14"/>
      <c r="BF416" s="7"/>
      <c r="BG416" s="14"/>
      <c r="BH416" s="14"/>
      <c r="BI416" s="14"/>
      <c r="BJ416" s="14"/>
      <c r="BK416" s="14"/>
    </row>
    <row r="417" spans="28:63" x14ac:dyDescent="0.55000000000000004">
      <c r="AL417" s="7"/>
      <c r="AM417" s="14"/>
      <c r="AN417" s="14"/>
      <c r="AO417" s="14"/>
      <c r="AP417" s="14"/>
      <c r="AQ417" s="14"/>
      <c r="AR417" s="14"/>
      <c r="AV417" s="14"/>
      <c r="AW417" s="14"/>
      <c r="AX417" s="14"/>
      <c r="AY417" s="14"/>
      <c r="AZ417" s="14"/>
      <c r="BF417" s="7"/>
      <c r="BG417" s="14"/>
      <c r="BH417" s="14"/>
      <c r="BI417" s="14"/>
      <c r="BJ417" s="14"/>
      <c r="BK417" s="14"/>
    </row>
    <row r="418" spans="28:63" x14ac:dyDescent="0.55000000000000004">
      <c r="AL418" s="7"/>
      <c r="AM418" s="14"/>
      <c r="AN418" s="14"/>
      <c r="AO418" s="14"/>
      <c r="AP418" s="14"/>
      <c r="AQ418" s="14"/>
      <c r="AR418" s="14"/>
      <c r="AV418" s="14"/>
      <c r="AW418" s="14"/>
      <c r="AX418" s="14"/>
      <c r="AY418" s="14"/>
      <c r="AZ418" s="14"/>
      <c r="BF418" s="7"/>
      <c r="BG418" s="14"/>
      <c r="BH418" s="14"/>
      <c r="BI418" s="14"/>
      <c r="BJ418" s="14"/>
      <c r="BK418" s="14"/>
    </row>
    <row r="419" spans="28:63" x14ac:dyDescent="0.55000000000000004">
      <c r="AL419" s="7"/>
      <c r="AM419" s="14"/>
      <c r="AN419" s="14"/>
      <c r="AO419" s="14"/>
      <c r="AP419" s="14"/>
      <c r="AQ419" s="14"/>
      <c r="AR419" s="14"/>
      <c r="AV419" s="14"/>
      <c r="AW419" s="14"/>
      <c r="AX419" s="14"/>
      <c r="AY419" s="14"/>
      <c r="AZ419" s="14"/>
      <c r="BF419" s="7"/>
      <c r="BG419" s="14"/>
      <c r="BH419" s="14"/>
      <c r="BI419" s="14"/>
      <c r="BJ419" s="14"/>
      <c r="BK419" s="14"/>
    </row>
    <row r="420" spans="28:63" x14ac:dyDescent="0.55000000000000004">
      <c r="AL420" s="7"/>
      <c r="AM420" s="14"/>
      <c r="AN420" s="14"/>
      <c r="AO420" s="14"/>
      <c r="AP420" s="14"/>
      <c r="AQ420" s="14"/>
      <c r="AR420" s="14"/>
      <c r="AV420" s="14"/>
      <c r="AW420" s="14"/>
      <c r="AX420" s="14"/>
      <c r="AY420" s="14"/>
      <c r="AZ420" s="14"/>
      <c r="BF420" s="7"/>
      <c r="BG420" s="14"/>
      <c r="BH420" s="14"/>
      <c r="BI420" s="14"/>
      <c r="BJ420" s="14"/>
      <c r="BK420" s="14"/>
    </row>
    <row r="421" spans="28:63" x14ac:dyDescent="0.55000000000000004">
      <c r="AL421" s="7"/>
      <c r="AM421" s="14"/>
      <c r="AN421" s="14"/>
      <c r="AO421" s="14"/>
      <c r="AP421" s="14"/>
      <c r="AQ421" s="14"/>
      <c r="AR421" s="14"/>
      <c r="AV421" s="14"/>
      <c r="AW421" s="14"/>
      <c r="AX421" s="14"/>
      <c r="AY421" s="14"/>
      <c r="AZ421" s="14"/>
      <c r="BF421" s="7"/>
      <c r="BG421" s="14"/>
      <c r="BH421" s="14"/>
      <c r="BI421" s="14"/>
      <c r="BJ421" s="14"/>
      <c r="BK421" s="14"/>
    </row>
    <row r="422" spans="28:63" x14ac:dyDescent="0.55000000000000004">
      <c r="AL422" s="7"/>
      <c r="AM422" s="14"/>
      <c r="AN422" s="14"/>
      <c r="AO422" s="14"/>
      <c r="AP422" s="14"/>
      <c r="AQ422" s="14"/>
      <c r="AR422" s="14"/>
      <c r="AV422" s="14"/>
      <c r="AW422" s="14"/>
      <c r="AX422" s="14"/>
      <c r="AY422" s="14"/>
      <c r="AZ422" s="14"/>
      <c r="BF422" s="7"/>
      <c r="BG422" s="14"/>
      <c r="BH422" s="14"/>
      <c r="BI422" s="14"/>
      <c r="BJ422" s="14"/>
      <c r="BK422" s="14"/>
    </row>
    <row r="423" spans="28:63" x14ac:dyDescent="0.55000000000000004">
      <c r="AL423" s="7"/>
      <c r="AM423" s="14"/>
      <c r="AN423" s="14"/>
      <c r="AO423" s="14"/>
      <c r="AP423" s="14"/>
      <c r="AQ423" s="14"/>
      <c r="AR423" s="14"/>
      <c r="AV423" s="14"/>
      <c r="AW423" s="14"/>
      <c r="AX423" s="14"/>
      <c r="AY423" s="14"/>
      <c r="AZ423" s="14"/>
      <c r="BF423" s="7"/>
      <c r="BG423" s="14"/>
      <c r="BH423" s="14"/>
      <c r="BI423" s="14"/>
      <c r="BJ423" s="14"/>
      <c r="BK423" s="14"/>
    </row>
    <row r="424" spans="28:63" x14ac:dyDescent="0.55000000000000004">
      <c r="AL424" s="7"/>
      <c r="AM424" s="14"/>
      <c r="AN424" s="14"/>
      <c r="AO424" s="14"/>
      <c r="AP424" s="14"/>
      <c r="AQ424" s="14"/>
      <c r="AR424" s="14"/>
      <c r="AV424" s="14"/>
      <c r="AW424" s="14"/>
      <c r="AX424" s="14"/>
      <c r="AY424" s="14"/>
      <c r="AZ424" s="14"/>
      <c r="BF424" s="7"/>
      <c r="BG424" s="14"/>
      <c r="BH424" s="14"/>
      <c r="BI424" s="14"/>
      <c r="BJ424" s="14"/>
      <c r="BK424" s="14"/>
    </row>
    <row r="425" spans="28:63" x14ac:dyDescent="0.55000000000000004">
      <c r="AL425" s="7"/>
      <c r="AM425" s="14"/>
      <c r="AN425" s="14"/>
      <c r="AO425" s="14"/>
      <c r="AP425" s="14"/>
      <c r="AQ425" s="14"/>
      <c r="AR425" s="14"/>
      <c r="AV425" s="14"/>
      <c r="AW425" s="14"/>
      <c r="AX425" s="14"/>
      <c r="AY425" s="14"/>
      <c r="AZ425" s="14"/>
      <c r="BF425" s="7"/>
      <c r="BG425" s="14"/>
      <c r="BH425" s="14"/>
      <c r="BI425" s="14"/>
      <c r="BJ425" s="14"/>
      <c r="BK425" s="14"/>
    </row>
    <row r="426" spans="28:63" x14ac:dyDescent="0.55000000000000004">
      <c r="AL426" s="7"/>
      <c r="AM426" s="14"/>
      <c r="AN426" s="14"/>
      <c r="AO426" s="14"/>
      <c r="AP426" s="14"/>
      <c r="AQ426" s="14"/>
      <c r="AR426" s="14"/>
      <c r="AV426" s="14"/>
      <c r="AW426" s="14"/>
      <c r="AX426" s="14"/>
      <c r="AY426" s="14"/>
      <c r="AZ426" s="14"/>
      <c r="BF426" s="7"/>
      <c r="BG426" s="14"/>
      <c r="BH426" s="14"/>
      <c r="BI426" s="14"/>
      <c r="BJ426" s="14"/>
      <c r="BK426" s="14"/>
    </row>
    <row r="427" spans="28:63" x14ac:dyDescent="0.55000000000000004">
      <c r="AL427" s="7"/>
      <c r="AM427" s="14"/>
      <c r="AN427" s="14"/>
      <c r="AO427" s="14"/>
      <c r="AP427" s="14"/>
      <c r="AQ427" s="14"/>
      <c r="AR427" s="14"/>
      <c r="AV427" s="14"/>
      <c r="AW427" s="14"/>
      <c r="AX427" s="14"/>
      <c r="AY427" s="14"/>
      <c r="AZ427" s="14"/>
      <c r="BF427" s="7"/>
      <c r="BG427" s="14"/>
      <c r="BH427" s="14"/>
      <c r="BI427" s="14"/>
      <c r="BJ427" s="14"/>
      <c r="BK427" s="14"/>
    </row>
    <row r="428" spans="28:63" x14ac:dyDescent="0.55000000000000004">
      <c r="AL428" s="7"/>
      <c r="AM428" s="14"/>
      <c r="AN428" s="14"/>
      <c r="AO428" s="14"/>
      <c r="AP428" s="14"/>
      <c r="AQ428" s="14"/>
      <c r="AR428" s="14"/>
      <c r="AV428" s="14"/>
      <c r="AW428" s="14"/>
      <c r="AX428" s="14"/>
      <c r="AY428" s="14"/>
      <c r="AZ428" s="14"/>
      <c r="BF428" s="7"/>
      <c r="BG428" s="14"/>
      <c r="BH428" s="14"/>
      <c r="BI428" s="14"/>
      <c r="BJ428" s="14"/>
      <c r="BK428" s="14"/>
    </row>
    <row r="429" spans="28:63" x14ac:dyDescent="0.55000000000000004">
      <c r="AL429" s="7"/>
      <c r="AM429" s="14"/>
      <c r="AN429" s="14"/>
      <c r="AO429" s="14"/>
      <c r="AP429" s="14"/>
      <c r="AQ429" s="14"/>
      <c r="AR429" s="14"/>
      <c r="AV429" s="14"/>
      <c r="AW429" s="14"/>
      <c r="AX429" s="14"/>
      <c r="AY429" s="14"/>
      <c r="AZ429" s="14"/>
      <c r="BF429" s="7"/>
      <c r="BG429" s="14"/>
      <c r="BH429" s="14"/>
      <c r="BI429" s="14"/>
      <c r="BJ429" s="14"/>
      <c r="BK429" s="14"/>
    </row>
    <row r="430" spans="28:63" x14ac:dyDescent="0.55000000000000004">
      <c r="AL430" s="7"/>
      <c r="AM430" s="14"/>
      <c r="AN430" s="14"/>
      <c r="AO430" s="14"/>
      <c r="AP430" s="14"/>
      <c r="AQ430" s="14"/>
      <c r="AR430" s="14"/>
      <c r="AV430" s="14"/>
      <c r="AW430" s="14"/>
      <c r="AX430" s="14"/>
      <c r="AY430" s="14"/>
      <c r="AZ430" s="14"/>
      <c r="BF430" s="7"/>
      <c r="BG430" s="14"/>
      <c r="BH430" s="14"/>
      <c r="BI430" s="14"/>
      <c r="BJ430" s="14"/>
      <c r="BK430" s="14"/>
    </row>
    <row r="431" spans="28:63" x14ac:dyDescent="0.55000000000000004">
      <c r="AL431" s="7"/>
      <c r="AM431" s="14"/>
      <c r="AN431" s="14"/>
      <c r="AO431" s="14"/>
      <c r="AP431" s="14"/>
      <c r="AQ431" s="14"/>
      <c r="AR431" s="14"/>
      <c r="AV431" s="14"/>
      <c r="AW431" s="14"/>
      <c r="AX431" s="14"/>
      <c r="AY431" s="14"/>
      <c r="AZ431" s="14"/>
      <c r="BF431" s="7"/>
      <c r="BG431" s="14"/>
      <c r="BH431" s="14"/>
      <c r="BI431" s="14"/>
      <c r="BJ431" s="14"/>
      <c r="BK431" s="14"/>
    </row>
    <row r="432" spans="28:63" x14ac:dyDescent="0.55000000000000004">
      <c r="AL432" s="7"/>
      <c r="AM432" s="14"/>
      <c r="AN432" s="14"/>
      <c r="AO432" s="14"/>
      <c r="AP432" s="14"/>
      <c r="AQ432" s="14"/>
      <c r="AR432" s="14"/>
      <c r="AV432" s="14"/>
      <c r="AW432" s="14"/>
      <c r="AX432" s="14"/>
      <c r="AY432" s="14"/>
      <c r="AZ432" s="14"/>
      <c r="BF432" s="7"/>
      <c r="BG432" s="14"/>
      <c r="BH432" s="14"/>
      <c r="BI432" s="14"/>
      <c r="BJ432" s="14"/>
      <c r="BK432" s="14"/>
    </row>
    <row r="433" spans="28:63" x14ac:dyDescent="0.55000000000000004">
      <c r="AL433" s="7"/>
      <c r="AM433" s="14"/>
      <c r="AN433" s="14"/>
      <c r="AO433" s="14"/>
      <c r="AP433" s="14"/>
      <c r="AQ433" s="14"/>
      <c r="AR433" s="14"/>
      <c r="AV433" s="14"/>
      <c r="AW433" s="14"/>
      <c r="AX433" s="14"/>
      <c r="AY433" s="14"/>
      <c r="AZ433" s="14"/>
      <c r="BF433" s="7"/>
      <c r="BG433" s="14"/>
      <c r="BH433" s="14"/>
      <c r="BI433" s="14"/>
      <c r="BJ433" s="14"/>
      <c r="BK433" s="14"/>
    </row>
    <row r="434" spans="28:63" x14ac:dyDescent="0.55000000000000004">
      <c r="AL434" s="7"/>
      <c r="AM434" s="14"/>
      <c r="AN434" s="14"/>
      <c r="AO434" s="14"/>
      <c r="AP434" s="14"/>
      <c r="AQ434" s="14"/>
      <c r="AR434" s="14"/>
      <c r="AV434" s="14"/>
      <c r="AW434" s="14"/>
      <c r="AX434" s="14"/>
      <c r="AY434" s="14"/>
      <c r="AZ434" s="14"/>
      <c r="BF434" s="7"/>
      <c r="BG434" s="14"/>
      <c r="BH434" s="14"/>
      <c r="BI434" s="14"/>
      <c r="BJ434" s="14"/>
      <c r="BK434" s="14"/>
    </row>
    <row r="435" spans="28:63" x14ac:dyDescent="0.55000000000000004">
      <c r="AL435" s="7"/>
      <c r="AM435" s="14"/>
      <c r="AN435" s="14"/>
      <c r="AO435" s="14"/>
      <c r="AP435" s="14"/>
      <c r="AQ435" s="14"/>
      <c r="AR435" s="14"/>
      <c r="AV435" s="14"/>
      <c r="AW435" s="14"/>
      <c r="AX435" s="14"/>
      <c r="AY435" s="14"/>
      <c r="AZ435" s="14"/>
      <c r="BF435" s="7"/>
      <c r="BG435" s="14"/>
      <c r="BH435" s="14"/>
      <c r="BI435" s="14"/>
      <c r="BJ435" s="14"/>
      <c r="BK435" s="14"/>
    </row>
    <row r="436" spans="28:63" x14ac:dyDescent="0.55000000000000004">
      <c r="AL436" s="7"/>
      <c r="AM436" s="14"/>
      <c r="AN436" s="14"/>
      <c r="AO436" s="14"/>
      <c r="AP436" s="14"/>
      <c r="AQ436" s="14"/>
      <c r="AR436" s="14"/>
      <c r="AV436" s="14"/>
      <c r="AW436" s="14"/>
      <c r="AX436" s="14"/>
      <c r="AY436" s="14"/>
      <c r="AZ436" s="14"/>
      <c r="BF436" s="7"/>
      <c r="BG436" s="14"/>
      <c r="BH436" s="14"/>
      <c r="BI436" s="14"/>
      <c r="BJ436" s="14"/>
      <c r="BK436" s="14"/>
    </row>
    <row r="437" spans="28:63" x14ac:dyDescent="0.55000000000000004">
      <c r="AL437" s="7"/>
      <c r="AM437" s="14"/>
      <c r="AN437" s="14"/>
      <c r="AO437" s="14"/>
      <c r="AP437" s="14"/>
      <c r="AQ437" s="14"/>
      <c r="AR437" s="14"/>
      <c r="AV437" s="14"/>
      <c r="AW437" s="14"/>
      <c r="AX437" s="14"/>
      <c r="AY437" s="14"/>
      <c r="AZ437" s="14"/>
      <c r="BF437" s="7"/>
      <c r="BG437" s="14"/>
      <c r="BH437" s="14"/>
      <c r="BI437" s="14"/>
      <c r="BJ437" s="14"/>
      <c r="BK437" s="14"/>
    </row>
    <row r="438" spans="28:63" x14ac:dyDescent="0.55000000000000004">
      <c r="AL438" s="7"/>
      <c r="AM438" s="14"/>
      <c r="AN438" s="14"/>
      <c r="AO438" s="14"/>
      <c r="AP438" s="14"/>
      <c r="AQ438" s="14"/>
      <c r="AR438" s="14"/>
      <c r="AV438" s="14"/>
      <c r="AW438" s="14"/>
      <c r="AX438" s="14"/>
      <c r="AY438" s="14"/>
      <c r="AZ438" s="14"/>
      <c r="BF438" s="7"/>
      <c r="BG438" s="14"/>
      <c r="BH438" s="14"/>
      <c r="BI438" s="14"/>
      <c r="BJ438" s="14"/>
      <c r="BK438" s="14"/>
    </row>
    <row r="439" spans="28:63" x14ac:dyDescent="0.55000000000000004">
      <c r="AL439" s="7"/>
      <c r="AM439" s="14"/>
      <c r="AN439" s="14"/>
      <c r="AO439" s="14"/>
      <c r="AP439" s="14"/>
      <c r="AQ439" s="14"/>
      <c r="AR439" s="14"/>
      <c r="AV439" s="14"/>
      <c r="AW439" s="14"/>
      <c r="AX439" s="14"/>
      <c r="AY439" s="14"/>
      <c r="AZ439" s="14"/>
      <c r="BF439" s="7"/>
      <c r="BG439" s="14"/>
      <c r="BH439" s="14"/>
      <c r="BI439" s="14"/>
      <c r="BJ439" s="14"/>
      <c r="BK439" s="14"/>
    </row>
    <row r="440" spans="28:63" x14ac:dyDescent="0.55000000000000004">
      <c r="AL440" s="7"/>
      <c r="AM440" s="14"/>
      <c r="AN440" s="14"/>
      <c r="AO440" s="14"/>
      <c r="AP440" s="14"/>
      <c r="AQ440" s="14"/>
      <c r="AR440" s="14"/>
      <c r="AV440" s="14"/>
      <c r="AW440" s="14"/>
      <c r="AX440" s="14"/>
      <c r="AY440" s="14"/>
      <c r="AZ440" s="14"/>
      <c r="BF440" s="7"/>
      <c r="BG440" s="14"/>
      <c r="BH440" s="14"/>
      <c r="BI440" s="14"/>
      <c r="BJ440" s="14"/>
      <c r="BK440" s="14"/>
    </row>
    <row r="441" spans="28:63" x14ac:dyDescent="0.55000000000000004">
      <c r="AL441" s="7"/>
      <c r="AM441" s="14"/>
      <c r="AN441" s="14"/>
      <c r="AO441" s="14"/>
      <c r="AP441" s="14"/>
      <c r="AQ441" s="14"/>
      <c r="AR441" s="14"/>
      <c r="AV441" s="14"/>
      <c r="AW441" s="14"/>
      <c r="AX441" s="14"/>
      <c r="AY441" s="14"/>
      <c r="AZ441" s="14"/>
      <c r="BF441" s="7"/>
      <c r="BG441" s="14"/>
      <c r="BH441" s="14"/>
      <c r="BI441" s="14"/>
      <c r="BJ441" s="14"/>
      <c r="BK441" s="14"/>
    </row>
    <row r="442" spans="28:63" x14ac:dyDescent="0.55000000000000004">
      <c r="AL442" s="7"/>
      <c r="AM442" s="14"/>
      <c r="AN442" s="14"/>
      <c r="AO442" s="14"/>
      <c r="AP442" s="14"/>
      <c r="AQ442" s="14"/>
      <c r="AR442" s="14"/>
      <c r="AV442" s="14"/>
      <c r="AW442" s="14"/>
      <c r="AX442" s="14"/>
      <c r="AY442" s="14"/>
      <c r="AZ442" s="14"/>
      <c r="BF442" s="7"/>
      <c r="BG442" s="14"/>
      <c r="BH442" s="14"/>
      <c r="BI442" s="14"/>
      <c r="BJ442" s="14"/>
      <c r="BK442" s="14"/>
    </row>
    <row r="443" spans="28:63" x14ac:dyDescent="0.55000000000000004">
      <c r="AL443" s="7"/>
      <c r="AM443" s="14"/>
      <c r="AN443" s="14"/>
      <c r="AO443" s="14"/>
      <c r="AP443" s="14"/>
      <c r="AQ443" s="14"/>
      <c r="AR443" s="14"/>
      <c r="AV443" s="14"/>
      <c r="AW443" s="14"/>
      <c r="AX443" s="14"/>
      <c r="AY443" s="14"/>
      <c r="AZ443" s="14"/>
      <c r="BF443" s="7"/>
      <c r="BG443" s="14"/>
      <c r="BH443" s="14"/>
      <c r="BI443" s="14"/>
      <c r="BJ443" s="14"/>
      <c r="BK443" s="14"/>
    </row>
    <row r="444" spans="28:63" x14ac:dyDescent="0.55000000000000004">
      <c r="AL444" s="7"/>
      <c r="AM444" s="14"/>
      <c r="AN444" s="14"/>
      <c r="AO444" s="14"/>
      <c r="AP444" s="14"/>
      <c r="AQ444" s="14"/>
      <c r="AR444" s="14"/>
      <c r="AV444" s="14"/>
      <c r="AW444" s="14"/>
      <c r="AX444" s="14"/>
      <c r="AY444" s="14"/>
      <c r="AZ444" s="14"/>
      <c r="BF444" s="7"/>
      <c r="BG444" s="14"/>
      <c r="BH444" s="14"/>
      <c r="BI444" s="14"/>
      <c r="BJ444" s="14"/>
      <c r="BK444" s="14"/>
    </row>
    <row r="445" spans="28:63" x14ac:dyDescent="0.55000000000000004">
      <c r="AL445" s="7"/>
      <c r="AM445" s="14"/>
      <c r="AN445" s="14"/>
      <c r="AO445" s="14"/>
      <c r="AP445" s="14"/>
      <c r="AQ445" s="14"/>
      <c r="AR445" s="14"/>
      <c r="AV445" s="14"/>
      <c r="AW445" s="14"/>
      <c r="AX445" s="14"/>
      <c r="AY445" s="14"/>
      <c r="AZ445" s="14"/>
      <c r="BF445" s="7"/>
      <c r="BG445" s="14"/>
      <c r="BH445" s="14"/>
      <c r="BI445" s="14"/>
      <c r="BJ445" s="14"/>
      <c r="BK445" s="14"/>
    </row>
    <row r="446" spans="28:63" x14ac:dyDescent="0.55000000000000004">
      <c r="AL446" s="7"/>
      <c r="AM446" s="14"/>
      <c r="AN446" s="14"/>
      <c r="AO446" s="14"/>
      <c r="AP446" s="14"/>
      <c r="AQ446" s="14"/>
      <c r="AR446" s="14"/>
      <c r="AV446" s="14"/>
      <c r="AW446" s="14"/>
      <c r="AX446" s="14"/>
      <c r="AY446" s="14"/>
      <c r="AZ446" s="14"/>
      <c r="BF446" s="7"/>
      <c r="BG446" s="14"/>
      <c r="BH446" s="14"/>
      <c r="BI446" s="14"/>
      <c r="BJ446" s="14"/>
      <c r="BK446" s="14"/>
    </row>
    <row r="447" spans="28:63" x14ac:dyDescent="0.55000000000000004">
      <c r="AL447" s="7"/>
      <c r="AM447" s="14"/>
      <c r="AN447" s="14"/>
      <c r="AO447" s="14"/>
      <c r="AP447" s="14"/>
      <c r="AQ447" s="14"/>
      <c r="AR447" s="14"/>
      <c r="AV447" s="14"/>
      <c r="AW447" s="14"/>
      <c r="AX447" s="14"/>
      <c r="AY447" s="14"/>
      <c r="AZ447" s="14"/>
      <c r="BF447" s="7"/>
      <c r="BG447" s="14"/>
      <c r="BH447" s="14"/>
      <c r="BI447" s="14"/>
      <c r="BJ447" s="14"/>
      <c r="BK447" s="14"/>
    </row>
    <row r="448" spans="28:63" x14ac:dyDescent="0.55000000000000004">
      <c r="AL448" s="7"/>
      <c r="AM448" s="14"/>
      <c r="AN448" s="14"/>
      <c r="AO448" s="14"/>
      <c r="AP448" s="14"/>
      <c r="AQ448" s="14"/>
      <c r="AR448" s="14"/>
      <c r="AV448" s="14"/>
      <c r="AW448" s="14"/>
      <c r="AX448" s="14"/>
      <c r="AY448" s="14"/>
      <c r="AZ448" s="14"/>
      <c r="BF448" s="7"/>
      <c r="BG448" s="14"/>
      <c r="BH448" s="14"/>
      <c r="BI448" s="14"/>
      <c r="BJ448" s="14"/>
      <c r="BK448" s="14"/>
    </row>
    <row r="449" spans="28:63" x14ac:dyDescent="0.55000000000000004">
      <c r="AL449" s="7"/>
      <c r="AM449" s="14"/>
      <c r="AN449" s="14"/>
      <c r="AO449" s="14"/>
      <c r="AP449" s="14"/>
      <c r="AQ449" s="14"/>
      <c r="AR449" s="14"/>
      <c r="AV449" s="14"/>
      <c r="AW449" s="14"/>
      <c r="AX449" s="14"/>
      <c r="AY449" s="14"/>
      <c r="AZ449" s="14"/>
      <c r="BF449" s="7"/>
      <c r="BG449" s="14"/>
      <c r="BH449" s="14"/>
      <c r="BI449" s="14"/>
      <c r="BJ449" s="14"/>
      <c r="BK449" s="14"/>
    </row>
    <row r="450" spans="28:63" x14ac:dyDescent="0.55000000000000004">
      <c r="AL450" s="7"/>
      <c r="AM450" s="14"/>
      <c r="AN450" s="14"/>
      <c r="AO450" s="14"/>
      <c r="AP450" s="14"/>
      <c r="AQ450" s="14"/>
      <c r="AR450" s="14"/>
      <c r="AV450" s="14"/>
      <c r="AW450" s="14"/>
      <c r="AX450" s="14"/>
      <c r="AY450" s="14"/>
      <c r="AZ450" s="14"/>
      <c r="BF450" s="7"/>
      <c r="BG450" s="14"/>
      <c r="BH450" s="14"/>
      <c r="BI450" s="14"/>
      <c r="BJ450" s="14"/>
      <c r="BK450" s="14"/>
    </row>
    <row r="451" spans="28:63" x14ac:dyDescent="0.55000000000000004">
      <c r="AL451" s="7"/>
      <c r="AM451" s="14"/>
      <c r="AN451" s="14"/>
      <c r="AO451" s="14"/>
      <c r="AP451" s="14"/>
      <c r="AQ451" s="14"/>
      <c r="AR451" s="14"/>
      <c r="AV451" s="14"/>
      <c r="AW451" s="14"/>
      <c r="AX451" s="14"/>
      <c r="AY451" s="14"/>
      <c r="AZ451" s="14"/>
      <c r="BF451" s="7"/>
      <c r="BG451" s="14"/>
      <c r="BH451" s="14"/>
      <c r="BI451" s="14"/>
      <c r="BJ451" s="14"/>
      <c r="BK451" s="14"/>
    </row>
    <row r="452" spans="28:63" x14ac:dyDescent="0.55000000000000004">
      <c r="AL452" s="7"/>
      <c r="AM452" s="14"/>
      <c r="AN452" s="14"/>
      <c r="AO452" s="14"/>
      <c r="AP452" s="14"/>
      <c r="AQ452" s="14"/>
      <c r="AR452" s="14"/>
      <c r="AV452" s="14"/>
      <c r="AW452" s="14"/>
      <c r="AX452" s="14"/>
      <c r="AY452" s="14"/>
      <c r="AZ452" s="14"/>
      <c r="BF452" s="7"/>
      <c r="BG452" s="14"/>
      <c r="BH452" s="14"/>
      <c r="BI452" s="14"/>
      <c r="BJ452" s="14"/>
      <c r="BK452" s="14"/>
    </row>
    <row r="453" spans="28:63" x14ac:dyDescent="0.55000000000000004">
      <c r="AL453" s="7"/>
      <c r="AM453" s="14"/>
      <c r="AN453" s="14"/>
      <c r="AO453" s="14"/>
      <c r="AP453" s="14"/>
      <c r="AQ453" s="14"/>
      <c r="AR453" s="14"/>
      <c r="AV453" s="14"/>
      <c r="AW453" s="14"/>
      <c r="AX453" s="14"/>
      <c r="AY453" s="14"/>
      <c r="AZ453" s="14"/>
      <c r="BF453" s="7"/>
      <c r="BG453" s="14"/>
      <c r="BH453" s="14"/>
      <c r="BI453" s="14"/>
      <c r="BJ453" s="14"/>
      <c r="BK453" s="14"/>
    </row>
    <row r="454" spans="28:63" x14ac:dyDescent="0.55000000000000004">
      <c r="AL454" s="7"/>
      <c r="AM454" s="14"/>
      <c r="AN454" s="14"/>
      <c r="AO454" s="14"/>
      <c r="AP454" s="14"/>
      <c r="AQ454" s="14"/>
      <c r="AR454" s="14"/>
      <c r="AV454" s="14"/>
      <c r="AW454" s="14"/>
      <c r="AX454" s="14"/>
      <c r="AY454" s="14"/>
      <c r="AZ454" s="14"/>
      <c r="BF454" s="7"/>
      <c r="BG454" s="14"/>
      <c r="BH454" s="14"/>
      <c r="BI454" s="14"/>
      <c r="BJ454" s="14"/>
      <c r="BK454" s="14"/>
    </row>
    <row r="455" spans="28:63" x14ac:dyDescent="0.55000000000000004">
      <c r="AL455" s="7"/>
      <c r="AM455" s="14"/>
      <c r="AN455" s="14"/>
      <c r="AO455" s="14"/>
      <c r="AP455" s="14"/>
      <c r="AQ455" s="14"/>
      <c r="AR455" s="14"/>
      <c r="AV455" s="14"/>
      <c r="AW455" s="14"/>
      <c r="AX455" s="14"/>
      <c r="AY455" s="14"/>
      <c r="AZ455" s="14"/>
      <c r="BF455" s="7"/>
      <c r="BG455" s="14"/>
      <c r="BH455" s="14"/>
      <c r="BI455" s="14"/>
      <c r="BJ455" s="14"/>
      <c r="BK455" s="14"/>
    </row>
    <row r="456" spans="28:63" x14ac:dyDescent="0.55000000000000004">
      <c r="AL456" s="7"/>
      <c r="AM456" s="14"/>
      <c r="AN456" s="14"/>
      <c r="AO456" s="14"/>
      <c r="AP456" s="14"/>
      <c r="AQ456" s="14"/>
      <c r="AR456" s="14"/>
      <c r="AV456" s="14"/>
      <c r="AW456" s="14"/>
      <c r="AX456" s="14"/>
      <c r="AY456" s="14"/>
      <c r="AZ456" s="14"/>
      <c r="BF456" s="7"/>
      <c r="BG456" s="14"/>
      <c r="BH456" s="14"/>
      <c r="BI456" s="14"/>
      <c r="BJ456" s="14"/>
      <c r="BK456" s="14"/>
    </row>
    <row r="457" spans="28:63" x14ac:dyDescent="0.55000000000000004">
      <c r="AL457" s="7"/>
      <c r="AM457" s="14"/>
      <c r="AN457" s="14"/>
      <c r="AO457" s="14"/>
      <c r="AP457" s="14"/>
      <c r="AQ457" s="14"/>
      <c r="AR457" s="14"/>
      <c r="AV457" s="14"/>
      <c r="AW457" s="14"/>
      <c r="AX457" s="14"/>
      <c r="AY457" s="14"/>
      <c r="AZ457" s="14"/>
      <c r="BF457" s="7"/>
      <c r="BG457" s="14"/>
      <c r="BH457" s="14"/>
      <c r="BI457" s="14"/>
      <c r="BJ457" s="14"/>
      <c r="BK457" s="14"/>
    </row>
    <row r="458" spans="28:63" x14ac:dyDescent="0.55000000000000004">
      <c r="AL458" s="7"/>
      <c r="AM458" s="14"/>
      <c r="AN458" s="14"/>
      <c r="AO458" s="14"/>
      <c r="AP458" s="14"/>
      <c r="AQ458" s="14"/>
      <c r="AR458" s="14"/>
      <c r="AV458" s="14"/>
      <c r="AW458" s="14"/>
      <c r="AX458" s="14"/>
      <c r="AY458" s="14"/>
      <c r="AZ458" s="14"/>
      <c r="BF458" s="7"/>
      <c r="BG458" s="14"/>
      <c r="BH458" s="14"/>
      <c r="BI458" s="14"/>
      <c r="BJ458" s="14"/>
      <c r="BK458" s="14"/>
    </row>
    <row r="459" spans="28:63" x14ac:dyDescent="0.55000000000000004">
      <c r="AL459" s="7"/>
      <c r="AM459" s="14"/>
      <c r="AN459" s="14"/>
      <c r="AO459" s="14"/>
      <c r="AP459" s="14"/>
      <c r="AQ459" s="14"/>
      <c r="AR459" s="14"/>
      <c r="AV459" s="14"/>
      <c r="AW459" s="14"/>
      <c r="AX459" s="14"/>
      <c r="AY459" s="14"/>
      <c r="AZ459" s="14"/>
      <c r="BF459" s="7"/>
      <c r="BG459" s="14"/>
      <c r="BH459" s="14"/>
      <c r="BI459" s="14"/>
      <c r="BJ459" s="14"/>
      <c r="BK459" s="14"/>
    </row>
    <row r="460" spans="28:63" x14ac:dyDescent="0.55000000000000004">
      <c r="AL460" s="7"/>
      <c r="AM460" s="14"/>
      <c r="AN460" s="14"/>
      <c r="AO460" s="14"/>
      <c r="AP460" s="14"/>
      <c r="AQ460" s="14"/>
      <c r="AR460" s="14"/>
      <c r="AV460" s="14"/>
      <c r="AW460" s="14"/>
      <c r="AX460" s="14"/>
      <c r="AY460" s="14"/>
      <c r="AZ460" s="14"/>
      <c r="BF460" s="7"/>
      <c r="BG460" s="14"/>
      <c r="BH460" s="14"/>
      <c r="BI460" s="14"/>
      <c r="BJ460" s="14"/>
      <c r="BK460" s="14"/>
    </row>
    <row r="461" spans="28:63" x14ac:dyDescent="0.55000000000000004">
      <c r="AL461" s="7"/>
      <c r="AM461" s="14"/>
      <c r="AN461" s="14"/>
      <c r="AO461" s="14"/>
      <c r="AP461" s="14"/>
      <c r="AQ461" s="14"/>
      <c r="AR461" s="14"/>
      <c r="AV461" s="14"/>
      <c r="AW461" s="14"/>
      <c r="AX461" s="14"/>
      <c r="AY461" s="14"/>
      <c r="AZ461" s="14"/>
      <c r="BF461" s="7"/>
      <c r="BG461" s="14"/>
      <c r="BH461" s="14"/>
      <c r="BI461" s="14"/>
      <c r="BJ461" s="14"/>
      <c r="BK461" s="14"/>
    </row>
    <row r="462" spans="28:63" x14ac:dyDescent="0.55000000000000004">
      <c r="AL462" s="7"/>
      <c r="AM462" s="14"/>
      <c r="AN462" s="14"/>
      <c r="AO462" s="14"/>
      <c r="AP462" s="14"/>
      <c r="AQ462" s="14"/>
      <c r="AR462" s="14"/>
      <c r="AV462" s="14"/>
      <c r="AW462" s="14"/>
      <c r="AX462" s="14"/>
      <c r="AY462" s="14"/>
      <c r="AZ462" s="14"/>
      <c r="BF462" s="7"/>
      <c r="BG462" s="14"/>
      <c r="BH462" s="14"/>
      <c r="BI462" s="14"/>
      <c r="BJ462" s="14"/>
      <c r="BK462" s="14"/>
    </row>
    <row r="463" spans="28:63" x14ac:dyDescent="0.55000000000000004">
      <c r="AL463" s="7"/>
      <c r="AM463" s="14"/>
      <c r="AN463" s="14"/>
      <c r="AO463" s="14"/>
      <c r="AP463" s="14"/>
      <c r="AQ463" s="14"/>
      <c r="AR463" s="14"/>
      <c r="AV463" s="14"/>
      <c r="AW463" s="14"/>
      <c r="AX463" s="14"/>
      <c r="AY463" s="14"/>
      <c r="AZ463" s="14"/>
      <c r="BF463" s="7"/>
      <c r="BG463" s="14"/>
      <c r="BH463" s="14"/>
      <c r="BI463" s="14"/>
      <c r="BJ463" s="14"/>
      <c r="BK463" s="14"/>
    </row>
    <row r="464" spans="28:63" x14ac:dyDescent="0.55000000000000004">
      <c r="AL464" s="7"/>
      <c r="AM464" s="14"/>
      <c r="AN464" s="14"/>
      <c r="AO464" s="14"/>
      <c r="AP464" s="14"/>
      <c r="AQ464" s="14"/>
      <c r="AR464" s="14"/>
      <c r="AV464" s="14"/>
      <c r="AW464" s="14"/>
      <c r="AX464" s="14"/>
      <c r="AY464" s="14"/>
      <c r="AZ464" s="14"/>
      <c r="BF464" s="7"/>
      <c r="BG464" s="14"/>
      <c r="BH464" s="14"/>
      <c r="BI464" s="14"/>
      <c r="BJ464" s="14"/>
      <c r="BK464" s="14"/>
    </row>
    <row r="465" spans="28:63" x14ac:dyDescent="0.55000000000000004">
      <c r="AL465" s="7"/>
      <c r="AM465" s="14"/>
      <c r="AN465" s="14"/>
      <c r="AO465" s="14"/>
      <c r="AP465" s="14"/>
      <c r="AQ465" s="14"/>
      <c r="AR465" s="14"/>
      <c r="AV465" s="14"/>
      <c r="AW465" s="14"/>
      <c r="AX465" s="14"/>
      <c r="AY465" s="14"/>
      <c r="AZ465" s="14"/>
      <c r="BF465" s="7"/>
      <c r="BG465" s="14"/>
      <c r="BH465" s="14"/>
      <c r="BI465" s="14"/>
      <c r="BJ465" s="14"/>
      <c r="BK465" s="14"/>
    </row>
    <row r="466" spans="28:63" x14ac:dyDescent="0.55000000000000004">
      <c r="AL466" s="7"/>
      <c r="AM466" s="14"/>
      <c r="AN466" s="14"/>
      <c r="AO466" s="14"/>
      <c r="AP466" s="14"/>
      <c r="AQ466" s="14"/>
      <c r="AR466" s="14"/>
      <c r="AV466" s="14"/>
      <c r="AW466" s="14"/>
      <c r="AX466" s="14"/>
      <c r="AY466" s="14"/>
      <c r="AZ466" s="14"/>
      <c r="BF466" s="7"/>
      <c r="BG466" s="14"/>
      <c r="BH466" s="14"/>
      <c r="BI466" s="14"/>
      <c r="BJ466" s="14"/>
      <c r="BK466" s="14"/>
    </row>
    <row r="467" spans="28:63" x14ac:dyDescent="0.55000000000000004">
      <c r="AL467" s="7"/>
      <c r="AM467" s="14"/>
      <c r="AN467" s="14"/>
      <c r="AO467" s="14"/>
      <c r="AP467" s="14"/>
      <c r="AQ467" s="14"/>
      <c r="AR467" s="14"/>
      <c r="AV467" s="14"/>
      <c r="AW467" s="14"/>
      <c r="AX467" s="14"/>
      <c r="AY467" s="14"/>
      <c r="AZ467" s="14"/>
      <c r="BF467" s="7"/>
      <c r="BG467" s="14"/>
      <c r="BH467" s="14"/>
      <c r="BI467" s="14"/>
      <c r="BJ467" s="14"/>
      <c r="BK467" s="14"/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dimension ref="A1:X47"/>
  <sheetViews>
    <sheetView workbookViewId="0"/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119</v>
      </c>
      <c r="B1" s="33" t="s">
        <v>114</v>
      </c>
      <c r="C1" s="32" t="s">
        <v>120</v>
      </c>
      <c r="D1" s="34" cm="1">
        <f t="array" aca="1" ref="D1" ca="1">LiveInfo("swap",_xlfn.ANCHORARRAY($K$3))</f>
      </c>
      <c r="E1" s="35" t="s">
        <v>172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173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177</v>
      </c>
      <c r="L2" s="36"/>
      <c r="M2" s="36"/>
      <c r="N2" s="36"/>
      <c r="O2" s="36"/>
      <c r="P2" s="36" t="s">
        <v>178</v>
      </c>
      <c r="Q2" s="36"/>
      <c r="R2" s="36"/>
      <c r="S2" s="36"/>
      <c r="T2" s="36"/>
      <c r="V2" t="s">
        <v>179</v>
      </c>
    </row>
    <row r="3" spans="1:23" ht="20" customHeight="1" x14ac:dyDescent="0.55000000000000004">
      <c r="A3" s="36" t="s">
        <v>174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180</v>
      </c>
      <c r="W3" t="s">
        <v>181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175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180</v>
      </c>
      <c r="B7" s="41" t="s">
        <v>189</v>
      </c>
      <c r="C7" s="41" t="s">
        <v>190</v>
      </c>
      <c r="D7" s="41" t="s">
        <v>191</v>
      </c>
      <c r="E7" s="41" t="s">
        <v>192</v>
      </c>
      <c r="F7" s="41" t="s">
        <v>193</v>
      </c>
      <c r="G7" s="41" t="s">
        <v>194</v>
      </c>
      <c r="H7" s="41" t="s">
        <v>195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170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ca="1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ca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ca="1">IF(AND(ISNUMBER(B9),ISNUMBER(C9)),C9-B9,"")</f>
      </c>
      <c r="E9" s="39" cm="1">
        <f t="array" aca="1" ref="E9" ca="1">_xlfn.XLOOKUP($A9,INDEX(_xlfn.ANCHORARRAY($P$3),,2),INDEX(_xlfn.ANCHORARRAY($P$3),,3),"")</f>
      </c>
      <c r="F9" s="39"/>
      <c r="G9" s="42">
        <f ca="1">IF(AND(ISNUMBER(E9),ISNUMBER(F9)),(E9-F9)*100,"")</f>
      </c>
      <c r="H9" s="42">
        <f ca="1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ca="1">IF(AND(ISNUMBER(B10),ISNUMBER(C10)),C10-B10,"")</f>
      </c>
      <c r="E10" s="39" cm="1">
        <f t="array" aca="1" ref="E10" ca="1">_xlfn.XLOOKUP($A10,INDEX(_xlfn.ANCHORARRAY($P$3),,2),INDEX(_xlfn.ANCHORARRAY($P$3),,3),"")</f>
      </c>
      <c r="F10" s="39"/>
      <c r="G10" s="42">
        <f ca="1">IF(AND(ISNUMBER(E10),ISNUMBER(F10)),(E10-F10)*100,"")</f>
      </c>
      <c r="H10" s="42">
        <f ca="1">IF(AND(ISNUMBER(E10),ISNUMBER(E9)),(E10-E9)*100,"")</f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ca="1">IF(AND(ISNUMBER(B11),ISNUMBER(C11)),C11-B11,"")</f>
      </c>
      <c r="E11" s="39" cm="1">
        <f t="array" aca="1" ref="E11" ca="1">_xlfn.XLOOKUP($A11,INDEX(_xlfn.ANCHORARRAY($P$3),,2),INDEX(_xlfn.ANCHORARRAY($P$3),,3),"")</f>
      </c>
      <c r="F11" s="39"/>
      <c r="G11" s="42">
        <f ca="1">IF(AND(ISNUMBER(E11),ISNUMBER(F11)),(E11-F11)*100,"")</f>
      </c>
      <c r="H11" s="42">
        <f ca="1">IF(AND(ISNUMBER(E11),ISNUMBER(E10)),(E11-E10)*100,"")</f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ca="1">IF(AND(ISNUMBER(B12),ISNUMBER(C12)),C12-B12,"")</f>
      </c>
      <c r="E12" s="39" cm="1">
        <f t="array" aca="1" ref="E12" ca="1">_xlfn.XLOOKUP($A12,INDEX(_xlfn.ANCHORARRAY($P$3),,2),INDEX(_xlfn.ANCHORARRAY($P$3),,3),"")</f>
      </c>
      <c r="F12" s="39"/>
      <c r="G12" s="42">
        <f ca="1">IF(AND(ISNUMBER(E12),ISNUMBER(F12)),(E12-F12)*100,"")</f>
      </c>
      <c r="H12" s="42">
        <f ca="1">IF(AND(ISNUMBER(E12),ISNUMBER(E11)),(E12-E11)*100,"")</f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ca="1">IF(AND(ISNUMBER(B13),ISNUMBER(C13)),C13-B13,"")</f>
      </c>
      <c r="E13" s="39" cm="1">
        <f t="array" aca="1" ref="E13" ca="1">_xlfn.XLOOKUP($A13,INDEX(_xlfn.ANCHORARRAY($P$3),,2),INDEX(_xlfn.ANCHORARRAY($P$3),,3),"")</f>
      </c>
      <c r="F13" s="39"/>
      <c r="G13" s="42">
        <f ca="1">IF(AND(ISNUMBER(E13),ISNUMBER(F13)),(E13-F13)*100,"")</f>
      </c>
      <c r="H13" s="42">
        <f ca="1">IF(AND(ISNUMBER(E13),ISNUMBER(E12)),(E13-E12)*100,"")</f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ca="1">IF(AND(ISNUMBER(B14),ISNUMBER(C14)),C14-B14,"")</f>
      </c>
      <c r="E14" s="39" cm="1">
        <f t="array" aca="1" ref="E14" ca="1">_xlfn.XLOOKUP($A14,INDEX(_xlfn.ANCHORARRAY($P$3),,2),INDEX(_xlfn.ANCHORARRAY($P$3),,3),"")</f>
      </c>
      <c r="F14" s="39"/>
      <c r="G14" s="42">
        <f ca="1">IF(AND(ISNUMBER(E14),ISNUMBER(F14)),(E14-F14)*100,"")</f>
      </c>
      <c r="H14" s="42">
        <f ca="1">IF(AND(ISNUMBER(E14),ISNUMBER(E13)),(E14-E13)*100,"")</f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ca="1">IF(AND(ISNUMBER(B15),ISNUMBER(C15)),C15-B15,"")</f>
      </c>
      <c r="E15" s="39" cm="1">
        <f t="array" aca="1" ref="E15" ca="1">_xlfn.XLOOKUP($A15,INDEX(_xlfn.ANCHORARRAY($P$3),,2),INDEX(_xlfn.ANCHORARRAY($P$3),,3),"")</f>
      </c>
      <c r="F15" s="39"/>
      <c r="G15" s="42">
        <f ca="1">IF(AND(ISNUMBER(E15),ISNUMBER(F15)),(E15-F15)*100,"")</f>
      </c>
      <c r="H15" s="42">
        <f ca="1">IF(AND(ISNUMBER(E15),ISNUMBER(E14)),(E15-E14)*100,"")</f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ca="1">IF(AND(ISNUMBER(B16),ISNUMBER(C16)),C16-B16,"")</f>
      </c>
      <c r="E16" s="39" cm="1">
        <f t="array" aca="1" ref="E16" ca="1">_xlfn.XLOOKUP($A16,INDEX(_xlfn.ANCHORARRAY($P$3),,2),INDEX(_xlfn.ANCHORARRAY($P$3),,3),"")</f>
      </c>
      <c r="F16" s="39"/>
      <c r="G16" s="42">
        <f ca="1">IF(AND(ISNUMBER(E16),ISNUMBER(F16)),(E16-F16)*100,"")</f>
      </c>
      <c r="H16" s="42">
        <f ca="1">IF(AND(ISNUMBER(E16),ISNUMBER(E15)),(E16-E15)*100,"")</f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171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ca="1">IF(AND(ISNUMBER(B17),ISNUMBER(C17)),C17-B17,"")</f>
      </c>
      <c r="E17" s="39" cm="1">
        <f t="array" aca="1" ref="E17" ca="1">_xlfn.XLOOKUP($A17,INDEX(_xlfn.ANCHORARRAY($P$3),,2),INDEX(_xlfn.ANCHORARRAY($P$3),,3),"")</f>
      </c>
      <c r="F17" s="39"/>
      <c r="G17" s="42">
        <f ca="1">IF(AND(ISNUMBER(E17),ISNUMBER(F17)),(E17-F17)*100,"")</f>
      </c>
      <c r="H17" s="42">
        <f ca="1">IF(AND(ISNUMBER(E17),ISNUMBER(E16)),(E17-E16)*100,"")</f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50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176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196</v>
      </c>
      <c r="B21" s="41" t="s">
        <v>197</v>
      </c>
      <c r="C21" s="41" t="s">
        <v>198</v>
      </c>
      <c r="D21" s="41" t="s">
        <v>199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ca="1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ca="1">IF(AND(ISNUMBER(B23),ISNUMBER(C23)),(B23-C23)*100,"")</f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ca="1">IF(AND(ISNUMBER(B24),ISNUMBER(C24)),(B24-C24)*100,"")</f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ca="1">IF(AND(ISNUMBER(B25),ISNUMBER(C25)),(B25-C25)*100,"")</f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ca="1">IF(AND(ISNUMBER(B26),ISNUMBER(C26)),(B26-C26)*100,"")</f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ca="1">IF(AND(ISNUMBER(B27),ISNUMBER(C27)),(B27-C27)*100,"")</f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ca="1">IF(AND(ISNUMBER(B28),ISNUMBER(C28)),(B28-C28)*100,"")</f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ca="1">IF(AND(ISNUMBER(B29),ISNUMBER(C29)),(B29-C29)*100,"")</f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ca="1">IF(AND(ISNUMBER(B30),ISNUMBER(C30)),(B30-C30)*100,"")</f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ca="1">IF(AND(ISNUMBER(B31),ISNUMBER(C31)),(B31-C31)*100,"")</f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ca="1">IF(AND(ISNUMBER(B32),ISNUMBER(C32)),(B32-C32)*100,"")</f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ca="1">IF(AND(ISNUMBER(B33),ISNUMBER(C33)),(B33-C33)*100,"")</f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50</v>
      </c>
      <c r="B34" s="39" cm="1">
        <f t="array" aca="1" ref="B34" ca="1">_xlfn.XLOOKUP($A34,INDEX(_xlfn.ANCHORARRAY($P$3),,2),INDEX(_xlfn.ANCHORARRAY($P$3),,3),"")</f>
      </c>
      <c r="C34" s="39"/>
      <c r="D34" s="42">
        <f ca="1">IF(AND(ISNUMBER(B34),ISNUMBER(C34)),(B34-C34)*100,"")</f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182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183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170</v>
      </c>
      <c r="W38" s="43">
        <v>0</v>
      </c>
    </row>
    <row r="39" spans="1:23" ht="20" customHeight="1" x14ac:dyDescent="0.55000000000000004">
      <c r="A39" s="36" t="s">
        <v>184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185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186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187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188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171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14</vt:i4>
      </vt:variant>
    </vt:vector>
  </HeadingPairs>
  <TitlesOfParts>
    <vt:vector size="18" baseType="lpstr">
      <vt:lpstr>PCA</vt:lpstr>
      <vt:lpstr>VolPCA</vt:lpstr>
      <vt:lpstr>VolHV</vt:lpstr>
      <vt:lpstr>BOJ</vt:lpstr>
      <vt:lpstr>PCA_k</vt:lpstr>
      <vt:lpstr>PCA_window</vt:lpstr>
      <vt:lpstr>PCA_モード</vt:lpstr>
      <vt:lpstr>PCA_推定基準日</vt:lpstr>
      <vt:lpstr>PCA_比較日</vt:lpstr>
      <vt:lpstr>PCA_標準化</vt:lpstr>
      <vt:lpstr>VHV_Days</vt:lpstr>
      <vt:lpstr>VHV_From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2026-10-22T13:08:33Z</dcterms:modified>
</cp:coreProperties>
</file>