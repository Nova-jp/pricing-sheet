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drawings/drawing5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2043CC11-7406-45ED-96FC-326347BBD172}" xr6:coauthVersionLast="47" xr6:coauthVersionMax="47" xr10:uidLastSave="{00000000-0000-0000-0000-000000000000}"/>
  <bookViews>
    <workbookView xWindow="-110" yWindow="-110" windowWidth="19420" windowHeight="11500" activeTab="2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BOJ" sheetId="11" r:id="rId5"/>
    <sheet name="FwdMonitor" sheetId="15" r:id="rId6"/>
    <sheet name="FutBasis" sheetId="16" r:id="rId7"/>
  </sheets>
  <functionGroups builtInGroupCount="19">
    <functionGroup name="Workspace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sImm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_xlfn.ANCHORARRAY(FwdMonitor!$GN$4)</definedName>
    <definedName name="FWM_Ch2">_xlfn.ANCHORARRAY(FwdMonitor!$GO$4)</definedName>
    <definedName name="FWM_Ch3">_xlfn.ANCHORARRAY(FwdMonitor!$GP$4)</definedName>
    <definedName name="FWM_Ch4">_xlfn.ANCHORARRAY(FwdMonitor!$GQ$4)</definedName>
    <definedName name="FWM_ChDate">_xlfn.ANCHORARRAY(FwdMonitor!$GM$4)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_xlfn.ANCHORARRAY(FwdMonitor!$AO$3)</definedName>
    <definedName name="FWM_HF">_xlfn.ANCHORARRAY(FwdMonitor!$CK$3)</definedName>
    <definedName name="FWM_HR">_xlfn.ANCHORARRAY(FwdMonitor!$EG$3)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Guide">_xlfn.ANCHORARRAY(PCAGrid!$CC$4)</definedName>
    <definedName name="PCG_GuideIn">PCAGrid!$A$58:$A$62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4" i="14" l="1" a="1"/>
  <c r="AX4" i="16" a="1"/>
  <c r="Q14" i="16" a="1"/>
  <c r="BG3" i="16" a="1"/>
  <c r="AE3" i="16" a="1"/>
  <c r="GQ4" i="15" a="1"/>
  <c r="GQ3" i="15" a="1"/>
  <c r="GP4" i="15" a="1"/>
  <c r="GP3" i="15" a="1"/>
  <c r="GO4" i="15" a="1"/>
  <c r="GO3" i="15" a="1"/>
  <c r="GN4" i="15" a="1"/>
  <c r="GN3" i="15" a="1"/>
  <c r="GS4" i="15" a="1"/>
  <c r="K29" i="15"/>
  <c r="K12" i="15"/>
  <c r="GE3" i="15"/>
  <c r="GJ3" i="15" s="1"/>
  <c r="GH10" i="15"/>
  <c r="GH9" i="15"/>
  <c r="GH8" i="15"/>
  <c r="GH7" i="15"/>
  <c r="GH6" i="15"/>
  <c r="GH5" i="15"/>
  <c r="GH4" i="15"/>
  <c r="GC19" i="15"/>
  <c r="GC18" i="15"/>
  <c r="GC17" i="15"/>
  <c r="GC16" i="15"/>
  <c r="GC15" i="15"/>
  <c r="GC14" i="15"/>
  <c r="GC13" i="15"/>
  <c r="GC12" i="15"/>
  <c r="GC11" i="15"/>
  <c r="GC10" i="15"/>
  <c r="GC9" i="15"/>
  <c r="GC8" i="15"/>
  <c r="GC7" i="15"/>
  <c r="GC6" i="15"/>
  <c r="GC5" i="15"/>
  <c r="GC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EG3" i="15" a="1"/>
  <c r="CK3" i="15" a="1"/>
  <c r="AO3" i="15" a="1"/>
  <c r="AA3" i="15" a="1"/>
  <c r="CE4" i="6" a="1"/>
  <c r="CF4" i="6" s="1" a="1"/>
  <c r="Z17" i="6" a="1"/>
  <c r="AC4" i="6" a="1"/>
  <c r="E4" i="6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JG4" i="9" s="1" a="1"/>
  <c r="AB4" i="6" a="1"/>
  <c r="V35" i="9" a="1"/>
  <c r="G35" i="9" a="1"/>
  <c r="F4" i="9" l="1" a="1"/>
  <c r="BP4" i="9" a="1"/>
  <c r="BF17" i="9" a="1"/>
  <c r="BS4" i="16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H33" i="15" a="1"/>
  <c r="M43" i="15" a="1"/>
  <c r="M41" i="15" a="1"/>
  <c r="M39" i="15" a="1"/>
  <c r="H35" i="15" a="1"/>
  <c r="H34" i="15" a="1"/>
  <c r="C34" i="15" a="1"/>
  <c r="C33" i="15" a="1"/>
  <c r="H32" i="15" a="1"/>
  <c r="C32" i="15" a="1"/>
  <c r="H31" i="15" a="1"/>
  <c r="C31" i="15" a="1"/>
  <c r="H30" i="15" a="1"/>
  <c r="C30" i="15" a="1"/>
  <c r="H29" i="15" a="1"/>
  <c r="C29" i="15" a="1"/>
  <c r="H27" i="15" a="1"/>
  <c r="C27" i="15" a="1"/>
  <c r="H26" i="15" a="1"/>
  <c r="C26" i="15" a="1"/>
  <c r="H25" i="15" a="1"/>
  <c r="C25" i="15" a="1"/>
  <c r="H24" i="15" a="1"/>
  <c r="C24" i="15" a="1"/>
  <c r="H23" i="15" a="1"/>
  <c r="C23" i="15" a="1"/>
  <c r="H22" i="15" a="1"/>
  <c r="C22" i="15" a="1"/>
  <c r="H21" i="15" a="1"/>
  <c r="C21" i="15" a="1"/>
  <c r="H20" i="15" a="1"/>
  <c r="C20" i="15" a="1"/>
  <c r="H19" i="15" a="1"/>
  <c r="C19" i="15" a="1"/>
  <c r="H18" i="15" a="1"/>
  <c r="C18" i="15" a="1"/>
  <c r="H17" i="15" a="1"/>
  <c r="C17" i="15" a="1"/>
  <c r="C13" i="15" a="1"/>
  <c r="GM4" i="15" a="1"/>
  <c r="H16" i="15" a="1"/>
  <c r="C16" i="15" a="1"/>
  <c r="H15" i="15" a="1"/>
  <c r="C15" i="15" a="1"/>
  <c r="H14" i="15" a="1"/>
  <c r="C14" i="15" a="1"/>
  <c r="H13" i="15" a="1"/>
  <c r="H12" i="15" a="1"/>
  <c r="C12" i="15" a="1"/>
  <c r="AF3" i="15" a="1"/>
  <c r="GT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AY4" i="16" l="1" a="1"/>
  <c r="BD4" i="16" a="1"/>
  <c r="BC4" i="16" a="1"/>
  <c r="B18" i="15" a="1"/>
  <c r="D18" i="15" s="1"/>
  <c r="I18" i="15" s="1"/>
  <c r="B34" i="15" a="1"/>
  <c r="B14" i="15" a="1"/>
  <c r="D14" i="15" s="1"/>
  <c r="I14" i="15" s="1"/>
  <c r="B17" i="15" a="1"/>
  <c r="D17" i="15" s="1"/>
  <c r="I17" i="15" s="1"/>
  <c r="B19" i="15" a="1"/>
  <c r="B21" i="15" a="1"/>
  <c r="D21" i="15" s="1"/>
  <c r="I21" i="15" s="1"/>
  <c r="B22" i="15" a="1"/>
  <c r="D22" i="15" s="1"/>
  <c r="I22" i="15" s="1"/>
  <c r="B23" i="15" a="1"/>
  <c r="D23" i="15" s="1"/>
  <c r="I23" i="15" s="1"/>
  <c r="B24" i="15" a="1"/>
  <c r="D24" i="15" s="1"/>
  <c r="I24" i="15" s="1"/>
  <c r="B25" i="15" a="1"/>
  <c r="B26" i="15" a="1"/>
  <c r="B27" i="15" a="1"/>
  <c r="B29" i="15" a="1"/>
  <c r="B31" i="15" a="1"/>
  <c r="B32" i="15" a="1"/>
  <c r="D32" i="15" s="1"/>
  <c r="I32" i="15" s="1"/>
  <c r="B33" i="15" a="1"/>
  <c r="K34" i="15" s="1"/>
  <c r="B35" i="15" a="1"/>
  <c r="B13" i="15" a="1"/>
  <c r="B12" i="15" a="1"/>
  <c r="B15" i="15" a="1"/>
  <c r="B16" i="15" a="1"/>
  <c r="D16" i="15" s="1"/>
  <c r="I16" i="15" s="1"/>
  <c r="B20" i="15" a="1"/>
  <c r="D20" i="15" s="1"/>
  <c r="I20" i="15" s="1"/>
  <c r="B30" i="15" a="1"/>
  <c r="D34" i="15"/>
  <c r="I34" i="15" s="1"/>
  <c r="D33" i="15"/>
  <c r="I33" i="15" s="1"/>
  <c r="D31" i="15"/>
  <c r="I31" i="15" s="1"/>
  <c r="D29" i="15"/>
  <c r="I29" i="15" s="1"/>
  <c r="D27" i="15"/>
  <c r="I27" i="15" s="1"/>
  <c r="D26" i="15"/>
  <c r="I26" i="15" s="1"/>
  <c r="D25" i="15"/>
  <c r="I25" i="15" s="1"/>
  <c r="E34" i="15" a="1"/>
  <c r="J34" i="15" s="1"/>
  <c r="F33" i="15" a="1"/>
  <c r="F32" i="15" a="1"/>
  <c r="F31" i="15" a="1"/>
  <c r="F35" i="15" a="1"/>
  <c r="E35" i="15" a="1"/>
  <c r="J35" i="15" s="1"/>
  <c r="G34" i="15" a="1"/>
  <c r="G33" i="15" a="1"/>
  <c r="E31" i="15" a="1"/>
  <c r="J31" i="15" s="1"/>
  <c r="G30" i="15" a="1"/>
  <c r="F30" i="15" a="1"/>
  <c r="E30" i="15" a="1"/>
  <c r="J30" i="15" s="1"/>
  <c r="G29" i="15" a="1"/>
  <c r="F29" i="15" a="1"/>
  <c r="E29" i="15" a="1"/>
  <c r="J29" i="15" s="1"/>
  <c r="G27" i="15" a="1"/>
  <c r="F27" i="15" a="1"/>
  <c r="E27" i="15" a="1"/>
  <c r="J27" i="15" s="1"/>
  <c r="G26" i="15" a="1"/>
  <c r="F26" i="15" a="1"/>
  <c r="E26" i="15" a="1"/>
  <c r="J26" i="15" s="1"/>
  <c r="G25" i="15" a="1"/>
  <c r="F25" i="15" a="1"/>
  <c r="E25" i="15" a="1"/>
  <c r="J25" i="15" s="1"/>
  <c r="G24" i="15" a="1"/>
  <c r="F24" i="15" a="1"/>
  <c r="E24" i="15" a="1"/>
  <c r="J24" i="15" s="1"/>
  <c r="G23" i="15" a="1"/>
  <c r="F23" i="15" a="1"/>
  <c r="E23" i="15" a="1"/>
  <c r="J23" i="15" s="1"/>
  <c r="G22" i="15" a="1"/>
  <c r="F22" i="15" a="1"/>
  <c r="E22" i="15" a="1"/>
  <c r="J22" i="15" s="1"/>
  <c r="G21" i="15" a="1"/>
  <c r="F21" i="15" a="1"/>
  <c r="E21" i="15" a="1"/>
  <c r="J21" i="15" s="1"/>
  <c r="G20" i="15" a="1"/>
  <c r="F20" i="15" a="1"/>
  <c r="E20" i="15" a="1"/>
  <c r="J20" i="15" s="1"/>
  <c r="G19" i="15" a="1"/>
  <c r="F19" i="15" a="1"/>
  <c r="E19" i="15" a="1"/>
  <c r="J19" i="15" s="1"/>
  <c r="F17" i="15" a="1"/>
  <c r="E17" i="15" a="1"/>
  <c r="J17" i="15" s="1"/>
  <c r="F16" i="15" a="1"/>
  <c r="E16" i="15" a="1"/>
  <c r="J16" i="15" s="1"/>
  <c r="G14" i="15" a="1"/>
  <c r="F14" i="15" a="1"/>
  <c r="E14" i="15" a="1"/>
  <c r="J14" i="15" s="1"/>
  <c r="E13" i="15" a="1"/>
  <c r="J13" i="15" s="1"/>
  <c r="F34" i="15" a="1"/>
  <c r="E33" i="15" a="1"/>
  <c r="J33" i="15" s="1"/>
  <c r="G32" i="15" a="1"/>
  <c r="E32" i="15" a="1"/>
  <c r="J32" i="15" s="1"/>
  <c r="G31" i="15" a="1"/>
  <c r="GI10" i="15"/>
  <c r="GI9" i="15"/>
  <c r="GI8" i="15"/>
  <c r="GI7" i="15"/>
  <c r="GI6" i="15"/>
  <c r="GI5" i="15"/>
  <c r="GI4" i="15"/>
  <c r="GD19" i="15"/>
  <c r="GD18" i="15"/>
  <c r="GD17" i="15"/>
  <c r="GD16" i="15"/>
  <c r="GD15" i="15"/>
  <c r="GD14" i="15"/>
  <c r="GD13" i="15"/>
  <c r="J41" i="15" a="1"/>
  <c r="J39" i="15" a="1"/>
  <c r="GD9" i="15"/>
  <c r="GD8" i="15"/>
  <c r="GD7" i="15"/>
  <c r="GD6" i="15"/>
  <c r="GD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O12" i="9" s="1" a="1"/>
  <c r="AK12" i="9" a="1"/>
  <c r="BM5" i="9" l="1" a="1"/>
  <c r="AN12" i="9" a="1"/>
  <c r="G60" i="9" a="1"/>
  <c r="V60" i="9" a="1"/>
  <c r="AK60" i="9" a="1"/>
  <c r="BE4" i="16" a="1"/>
  <c r="K16" i="15"/>
  <c r="GD11" i="15"/>
  <c r="D19" i="15"/>
  <c r="I19" i="15" s="1"/>
  <c r="G35" i="15" a="1"/>
  <c r="D35" i="15"/>
  <c r="I35" i="15" s="1"/>
  <c r="D13" i="15"/>
  <c r="I13" i="15" s="1"/>
  <c r="G13" i="15" a="1"/>
  <c r="K13" i="15"/>
  <c r="GD4" i="15"/>
  <c r="D12" i="15"/>
  <c r="I12" i="15" s="1"/>
  <c r="G12" i="15" a="1"/>
  <c r="E12" i="15" a="1"/>
  <c r="J12" i="15" s="1"/>
  <c r="F12" i="15" a="1"/>
  <c r="D15" i="15"/>
  <c r="I15" i="15" s="1"/>
  <c r="G15" i="15" a="1"/>
  <c r="F15" i="15" a="1"/>
  <c r="E15" i="15" a="1"/>
  <c r="J15" i="15" s="1"/>
  <c r="K30" i="15"/>
  <c r="K35" i="15"/>
  <c r="K22" i="15"/>
  <c r="K24" i="15"/>
  <c r="K26" i="15"/>
  <c r="K32" i="15"/>
  <c r="K15" i="15"/>
  <c r="K20" i="15"/>
  <c r="K23" i="15"/>
  <c r="K25" i="15"/>
  <c r="K27" i="15"/>
  <c r="K33" i="15"/>
  <c r="K19" i="15"/>
  <c r="G18" i="15" a="1"/>
  <c r="F18" i="15" a="1"/>
  <c r="E18" i="15" a="1"/>
  <c r="J18" i="15" s="1"/>
  <c r="GD10" i="15"/>
  <c r="K18" i="15"/>
  <c r="G17" i="15" a="1"/>
  <c r="K14" i="15"/>
  <c r="F13" i="15" a="1"/>
  <c r="K17" i="15"/>
  <c r="G16" i="15" a="1"/>
  <c r="K21" i="15"/>
  <c r="GD12" i="15"/>
  <c r="K31" i="15"/>
  <c r="D30" i="15"/>
  <c r="I30" i="15" s="1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GJ9" i="15"/>
  <c r="GK9" i="15"/>
  <c r="GJ8" i="15"/>
  <c r="GK8" i="15"/>
  <c r="GJ5" i="15"/>
  <c r="GK5" i="15"/>
  <c r="GJ4" i="15"/>
  <c r="GK4" i="15"/>
  <c r="GE19" i="15"/>
  <c r="GF19" i="15"/>
  <c r="GF18" i="15"/>
  <c r="GE18" i="15"/>
  <c r="GF17" i="15"/>
  <c r="GE17" i="15"/>
  <c r="GF16" i="15"/>
  <c r="GE16" i="15"/>
  <c r="GE15" i="15"/>
  <c r="GF15" i="15"/>
  <c r="GF14" i="15"/>
  <c r="GE14" i="15"/>
  <c r="GE13" i="15"/>
  <c r="GF13" i="15"/>
  <c r="GE12" i="15"/>
  <c r="GF12" i="15"/>
  <c r="GE11" i="15"/>
  <c r="GF11" i="15"/>
  <c r="GJ10" i="15"/>
  <c r="GK10" i="15"/>
  <c r="GE6" i="15"/>
  <c r="GF6" i="15"/>
  <c r="GK7" i="15"/>
  <c r="GJ7" i="15"/>
  <c r="GJ6" i="15"/>
  <c r="GK6" i="15"/>
  <c r="O43" i="15" a="1"/>
  <c r="K43" i="15" a="1"/>
  <c r="N43" i="15" s="1"/>
  <c r="L43" i="15" a="1"/>
  <c r="GF4" i="15"/>
  <c r="GE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GE5" i="15" l="1"/>
  <c r="GF5" i="15"/>
  <c r="GE7" i="15"/>
  <c r="GF7" i="15"/>
  <c r="GF10" i="15"/>
  <c r="GE10" i="15"/>
  <c r="GE9" i="15"/>
  <c r="GF9" i="15"/>
  <c r="GE8" i="15"/>
  <c r="GF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36" i="9" a="1"/>
  <c r="J11" i="10"/>
  <c r="J13" i="10"/>
  <c r="BK4" i="10" a="1"/>
  <c r="J15" i="10" a="1"/>
  <c r="BJ4" i="10" a="1"/>
  <c r="G12" i="9" l="1" a="1"/>
  <c r="J14" i="10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<sst xmlns="http://schemas.openxmlformats.org/spreadsheetml/2006/main" count="988" uniqueCount="389">
  <si>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</si>
  <si>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</si>
  <si>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</si>
  <si>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</si>
  <si>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</si>
  <si>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</si>
  <si>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</si>
  <si>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</si>
  <si>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</si>
  <si>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</si>
  <si>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</si>
  <si>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</si>
  <si>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</si>
  <si>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</si>
  <si>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</si>
  <si>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</si>
  <si>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</si>
  <si>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</si>
  <si>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</si>
  <si>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</si>
  <si>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</si>
  <si>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</si>
  <si>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</si>
  <si>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</si>
  <si>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</si>
  <si>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</si>
  <si>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</si>
  <si>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</si>
  <si>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</si>
  <si>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</si>
  <si>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</si>
  <si>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</si>
  <si>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</si>
  <si>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</si>
  <si>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</si>
  <si>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</si>
  <si>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</si>
  <si>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</si>
  <si>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</si>
  <si>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</si>
  <si>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</si>
  <si>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</si>
  <si>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</si>
  <si>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</si>
  <si>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</si>
  <si>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</si>
  <si>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</si>
  <si>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</si>
  <si>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</si>
  <si>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</si>
  <si>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</si>
  <si>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</si>
  <si>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</si>
  <si>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</si>
  <si>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</si>
  <si>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</si>
  <si>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</si>
  <si>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</si>
  <si>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</si>
  <si>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</si>
  <si>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</si>
  <si>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</si>
  <si>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</si>
  <si>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</si>
  <si>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</si>
  <si>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</si>
  <si>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</si>
  <si>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</si>
  <si>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</si>
  <si>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</si>
  <si>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</si>
  <si>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</si>
  <si>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</si>
  <si>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</si>
  <si>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</si>
  <si>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</si>
  <si>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</si>
  <si>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</si>
  <si>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</si>
  <si>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</si>
  <si>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</si>
  <si>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</si>
  <si>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</si>
  <si>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</si>
  <si>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</si>
  <si>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</si>
  <si>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</si>
  <si>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</si>
  <si>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</si>
  <si>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</si>
  <si>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</si>
  <si>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</si>
  <si>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</si>
  <si>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</si>
  <si>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</si>
  <si>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</si>
  <si>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</si>
  <si>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</si>
  <si>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</si>
  <si>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</si>
  <si>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</si>
  <si>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</si>
  <si>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</si>
  <si>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</si>
  <si>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</si>
  <si>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</si>
  <si>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</si>
  <si>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</si>
  <si>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</si>
  <si>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</si>
  <si>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</si>
  <si>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</si>
  <si>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</si>
  <si>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</si>
  <si>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</si>
  <si>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</si>
  <si>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</si>
  <si>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</si>
  <si>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</si>
  <si>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</si>
  <si>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</si>
  <si>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</si>
  <si>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</si>
  <si>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</si>
  <si>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</si>
  <si>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</si>
  <si>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</si>
  <si>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</si>
  <si>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</si>
  <si>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</si>
  <si>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</si>
  <si>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</si>
  <si>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</si>
  <si>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</si>
  <si>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</si>
  <si>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</si>
  <si>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</si>
  <si>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</si>
  <si>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</si>
  <si>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</si>
  <si>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</si>
  <si>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</si>
  <si>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</si>
  <si>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</si>
  <si>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</si>
  <si>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</si>
  <si>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</si>
  <si>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</si>
  <si>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</si>
  <si>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</si>
  <si>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</si>
  <si>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</si>
  <si>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</si>
  <si>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</si>
  <si>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</si>
  <si>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</si>
  <si>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</si>
  <si>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</si>
  <si>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</si>
  <si>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</si>
  <si>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</si>
  <si>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</si>
  <si>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</si>
  <si>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</si>
  <si>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</si>
  <si>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</si>
  <si>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</si>
  <si>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</si>
  <si>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</si>
  <si>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</si>
  <si>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</si>
  <si>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</si>
  <si>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</si>
  <si>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</si>
  <si>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</si>
  <si>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</si>
  <si>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</si>
  <si>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</si>
  <si>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</si>
  <si>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</si>
  <si>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</si>
  <si>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</si>
  <si>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</si>
  <si>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</si>
  <si>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</si>
  <si>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</si>
  <si>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</si>
  <si>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</si>
  <si>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</si>
  <si>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</si>
  <si>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</si>
  <si>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</si>
  <si>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</si>
  <si>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</si>
  <si>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</si>
  <si>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</si>
  <si>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</si>
  <si>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</si>
  <si>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</si>
  <si>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</si>
  <si>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</si>
  <si>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</si>
  <si>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</si>
  <si>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</si>
  <si>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</si>
  <si>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</si>
  <si>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</si>
  <si>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</si>
  <si>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</si>
  <si>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</si>
  <si>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</si>
  <si>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</si>
  <si>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</si>
  <si>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</si>
  <si>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</si>
  <si>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</si>
  <si>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</si>
  <si>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</si>
  <si>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</si>
  <si>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</si>
  <si>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</si>
  <si>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</si>
  <si>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</si>
  <si>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</si>
  <si>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</si>
  <si>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</si>
  <si>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</si>
  <si>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</si>
  <si>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</si>
  <si>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</si>
  <si>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</si>
  <si>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</si>
  <si>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</si>
  <si>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</si>
  <si>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</si>
  <si>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</si>
  <si>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</si>
  <si>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</si>
  <si>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</si>
  <si>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</si>
  <si>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</si>
  <si>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</si>
  <si>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</si>
  <si>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</si>
  <si>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</si>
  <si>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</si>
  <si>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</si>
  <si>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</si>
  <si>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</si>
  <si>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</si>
  <si>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</si>
  <si>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</si>
  <si>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</si>
  <si>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</si>
  <si>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</si>
  <si>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Live: reads the latest rates on every Shift+F9. Fixed: keeps the rates last read on this sheet. History is from the DB (morning batch); only 'Live (%)' uses the live curve.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</si>
  <si>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</si>
  <si>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</si>
  <si>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</si>
  <si>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</si>
  <si>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</si>
  <si>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</si>
  <si>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</si>
  <si>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Business days for the daily-change sigma of the Z-scores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</si>
  <si>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</si>
  <si>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</si>
  <si>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</si>
  <si>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</si>
  <si>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</si>
  <si>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</si>
  <si>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</si>
  <si>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</si>
  <si>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</si>
  <si>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</si>
  <si>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</si>
  <si>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</si>
  <si>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1W (bp)</t>
  </si>
  <si>
    <t>Chg 1M (bp)</t>
  </si>
  <si>
    <t>vs compare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</si>
  <si>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</si>
  <si>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</si>
  <si>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</si>
  <si>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</si>
  <si>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</si>
  <si>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</si>
  <si>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</si>
  <si>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</si>
  <si>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</si>
  <si>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</si>
  <si>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</si>
  <si>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</si>
  <si>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</si>
  <si>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</si>
  <si>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</si>
  <si>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</si>
  <si>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</si>
  <si>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</si>
  <si>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</si>
  <si>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</si>
  <si>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</si>
  <si>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</si>
  <si>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</si>
  <si>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</si>
  <si>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</si>
  <si>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</si>
  <si>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Chg = live - DB close (same tenor definition, includes roll-down). Z = Chg / (sigma x sqrt(days)); sigma = RMS of same-trade daily changes over the window.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</si>
  <si>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</si>
  <si>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</si>
  <si>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</si>
  <si>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</si>
  <si>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</si>
  <si>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</si>
  <si>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</si>
  <si>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</si>
  <si>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</si>
  <si>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</si>
  <si>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</si>
  <si>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</si>
  <si>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</si>
  <si>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</si>
  <si>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</si>
  <si>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</si>
  <si>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</si>
  <si>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</si>
  <si>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Curve vs prev (bp)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</si>
  <si>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</si>
  <si>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</si>
  <si>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</si>
  <si>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</si>
  <si>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</si>
  <si>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</si>
  <si>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</si>
  <si>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</si>
  <si>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</si>
  <si>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</si>
  <si>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</si>
  <si>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</si>
  <si>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</si>
  <si>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</si>
  <si>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</si>
  <si>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</si>
  <si>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</si>
  <si>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</si>
  <si>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</si>
  <si>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</si>
  <si>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</si>
  <si>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</si>
  <si>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</si>
  <si>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</si>
  <si>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</si>
  <si>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</si>
  <si>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</si>
  <si>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</si>
  <si>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</si>
  <si>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</si>
  <si>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</si>
  <si>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</si>
  <si>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</si>
  <si>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</si>
  <si>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</si>
  <si>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</si>
  <si>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</si>
  <si>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</si>
  <si>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</si>
  <si>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</si>
  <si>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</si>
  <si>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</si>
  <si>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</si>
  <si>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</si>
  <si>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</si>
  <si>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</si>
  <si>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</si>
  <si>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</si>
  <si>
    <t>1M</t>
    <phoneticPr fontId="2"/>
  </si>
  <si>
    <t>○</t>
    <phoneticPr fontId="2"/>
  </si>
  <si>
    <t>3M</t>
    <phoneticPr fontId="2"/>
  </si>
  <si>
    <t>6M</t>
    <phoneticPr fontId="2"/>
  </si>
  <si>
    <t>9M</t>
    <phoneticPr fontId="2"/>
  </si>
  <si>
    <t>1Y</t>
    <phoneticPr fontId="2"/>
  </si>
  <si>
    <t>2Y</t>
    <phoneticPr fontId="2"/>
  </si>
  <si>
    <t>3Y</t>
    <phoneticPr fontId="2"/>
  </si>
  <si>
    <t>4Y</t>
    <phoneticPr fontId="2"/>
  </si>
  <si>
    <t>5Y</t>
    <phoneticPr fontId="2"/>
  </si>
  <si>
    <t>7Y</t>
    <phoneticPr fontId="2"/>
  </si>
  <si>
    <t>10Y</t>
    <phoneticPr fontId="2"/>
  </si>
  <si>
    <t>15Y</t>
    <phoneticPr fontId="2"/>
  </si>
  <si>
    <t>20Y</t>
    <phoneticPr fontId="2"/>
  </si>
  <si>
    <t>Guide tenors</t>
  </si>
  <si>
    <t>Guide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</si>
</sst>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176" fontId="0" fillId="3" borderId="0" xfId="0" applyNumberFormat="1" applyFill="1" applyAlignment="1">
      <alignment horizontal="center" vertical="center"/>
    </xf>
  </cellXfs>
  <cellStyles count="2">
    <cellStyle name="標準" xfId="0" builtinId="0"/>
    <cellStyle name="標準 2" xfId="1" xr:uid="{5EE0B673-BC4E-4A3E-BA55-CCC089A2E0BD}"/>
  </cellStyles>
  <dxfs count="1"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D0B-4441-9624-8E88EADD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91"/>
        <c:axId val="368415711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valAx>
        <c:axId val="36841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6191"/>
        <c:crosses val="max"/>
        <c:crossBetween val="between"/>
      </c:valAx>
      <c:catAx>
        <c:axId val="368416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157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C83-4EFF-A24D-2F251C16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951"/>
        <c:axId val="368432991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valAx>
        <c:axId val="36843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3951"/>
        <c:crosses val="max"/>
        <c:crossBetween val="between"/>
      </c:valAx>
      <c:catAx>
        <c:axId val="368433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29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00B-46E3-88C5-B4EECEFC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0031"/>
        <c:axId val="368433471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valAx>
        <c:axId val="368433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20031"/>
        <c:crosses val="max"/>
        <c:crossBetween val="between"/>
      </c:valAx>
      <c:catAx>
        <c:axId val="368420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34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C6E-4AF6-B453-EE5FC7456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9071"/>
        <c:axId val="368434911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valAx>
        <c:axId val="36843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9071"/>
        <c:crosses val="max"/>
        <c:crossBetween val="between"/>
      </c:valAx>
      <c:catAx>
        <c:axId val="36841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49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FD1-476B-9F25-E9292B70E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6351"/>
        <c:axId val="368435391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valAx>
        <c:axId val="368435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6351"/>
        <c:crosses val="max"/>
        <c:crossBetween val="between"/>
      </c:valAx>
      <c:catAx>
        <c:axId val="36843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53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882-4DC9-923D-AC43F6CB1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631"/>
        <c:axId val="368436831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valAx>
        <c:axId val="36843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1631"/>
        <c:crosses val="max"/>
        <c:crossBetween val="between"/>
      </c:valAx>
      <c:catAx>
        <c:axId val="36844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68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935-4977-8E0F-F9022261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111"/>
        <c:axId val="368438751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valAx>
        <c:axId val="368438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111"/>
        <c:crosses val="max"/>
        <c:crossBetween val="between"/>
      </c:valAx>
      <c:catAx>
        <c:axId val="3684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87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FAD-40D1-8511-0F521A456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591"/>
        <c:axId val="368439711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valAx>
        <c:axId val="36843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591"/>
        <c:crosses val="max"/>
        <c:crossBetween val="between"/>
      </c:valAx>
      <c:catAx>
        <c:axId val="368442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97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142-4105-89A8-F1DD02A7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71"/>
        <c:axId val="368441151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valAx>
        <c:axId val="36844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50271"/>
        <c:crosses val="max"/>
        <c:crossBetween val="between"/>
      </c:valAx>
      <c:catAx>
        <c:axId val="36845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11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0CF-4DDD-91FF-F3B4F6480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351"/>
        <c:axId val="368443551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valAx>
        <c:axId val="368443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351"/>
        <c:crosses val="max"/>
        <c:crossBetween val="between"/>
      </c:valAx>
      <c:catAx>
        <c:axId val="368448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35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7-4583-9D69-282253C13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9311"/>
        <c:axId val="368444031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valAx>
        <c:axId val="3684440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9311"/>
        <c:crosses val="max"/>
        <c:crossBetween val="between"/>
      </c:valAx>
      <c:catAx>
        <c:axId val="36844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0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391-4712-8912-470F63DB3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831"/>
        <c:axId val="368445951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valAx>
        <c:axId val="36844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831"/>
        <c:crosses val="max"/>
        <c:crossBetween val="between"/>
      </c:valAx>
      <c:catAx>
        <c:axId val="36844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59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BFC-43A4-A06A-8449D47C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6431"/>
        <c:axId val="368446431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valAx>
        <c:axId val="368446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6431"/>
        <c:crosses val="max"/>
        <c:crossBetween val="between"/>
      </c:valAx>
      <c:catAx>
        <c:axId val="368326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64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3A-42B0-9E72-8F82A9890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031"/>
        <c:axId val="368330271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valAx>
        <c:axId val="368330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031"/>
        <c:crosses val="max"/>
        <c:crossBetween val="between"/>
      </c:valAx>
      <c:catAx>
        <c:axId val="36832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2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656-4542-927F-185C8BE02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6511"/>
        <c:axId val="368336991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valAx>
        <c:axId val="36833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6511"/>
        <c:crosses val="max"/>
        <c:crossBetween val="between"/>
      </c:valAx>
      <c:catAx>
        <c:axId val="368336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69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665-441C-BA07-BD25F24EC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551"/>
        <c:axId val="368325471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valAx>
        <c:axId val="368325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551"/>
        <c:crosses val="max"/>
        <c:crossBetween val="between"/>
      </c:valAx>
      <c:catAx>
        <c:axId val="36832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4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B2-470F-A5CC-A57AC89D8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7871"/>
        <c:axId val="368332191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valAx>
        <c:axId val="3683321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7871"/>
        <c:crosses val="max"/>
        <c:crossBetween val="between"/>
      </c:valAx>
      <c:catAx>
        <c:axId val="36832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21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C92-4C80-92DA-71AD7285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311"/>
        <c:axId val="368334111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valAx>
        <c:axId val="36833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311"/>
        <c:crosses val="max"/>
        <c:crossBetween val="between"/>
      </c:valAx>
      <c:catAx>
        <c:axId val="36832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41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5AD-4142-BE51-91B17BB9B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1631"/>
        <c:axId val="368321151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valAx>
        <c:axId val="36832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1631"/>
        <c:crosses val="max"/>
        <c:crossBetween val="between"/>
      </c:valAx>
      <c:catAx>
        <c:axId val="36832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11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DA5-406D-BC10-463D8FA8D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071"/>
        <c:axId val="368328351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valAx>
        <c:axId val="368328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071"/>
        <c:crosses val="max"/>
        <c:crossBetween val="between"/>
      </c:valAx>
      <c:catAx>
        <c:axId val="368323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83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E0E-4D3C-B4DF-F7EC59BD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791"/>
        <c:axId val="368325951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valAx>
        <c:axId val="36832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791"/>
        <c:crosses val="max"/>
        <c:crossBetween val="between"/>
      </c:valAx>
      <c:catAx>
        <c:axId val="36832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9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4AC-4A06-BFFE-CFFC4639A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511"/>
        <c:axId val="368335551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valAx>
        <c:axId val="36833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511"/>
        <c:crosses val="max"/>
        <c:crossBetween val="between"/>
      </c:valAx>
      <c:catAx>
        <c:axId val="368324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5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973-46B4-B7EC-F9DE8273E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3631"/>
        <c:axId val="368330751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valAx>
        <c:axId val="368330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3631"/>
        <c:crosses val="max"/>
        <c:crossBetween val="between"/>
      </c:valAx>
      <c:catAx>
        <c:axId val="36833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7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8B8-4048-9FE2-1DC37063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5151"/>
        <c:axId val="368322111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valAx>
        <c:axId val="36832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5151"/>
        <c:crosses val="max"/>
        <c:crossBetween val="between"/>
      </c:valAx>
      <c:catAx>
        <c:axId val="368345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1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A41-455D-997F-70607D3EB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0831"/>
        <c:axId val="368343231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valAx>
        <c:axId val="368343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0831"/>
        <c:crosses val="max"/>
        <c:crossBetween val="between"/>
      </c:valAx>
      <c:catAx>
        <c:axId val="36834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32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0DC-466A-993E-ED284F87E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4191"/>
        <c:axId val="368339391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valAx>
        <c:axId val="368339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4191"/>
        <c:crosses val="max"/>
        <c:crossBetween val="between"/>
      </c:valAx>
      <c:catAx>
        <c:axId val="368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3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797-4FEA-A266-593DE6467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271"/>
        <c:axId val="368348511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valAx>
        <c:axId val="368348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271"/>
        <c:crosses val="max"/>
        <c:crossBetween val="between"/>
      </c:valAx>
      <c:catAx>
        <c:axId val="36834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85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2D6-468E-8986-988BD915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751"/>
        <c:axId val="368339871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valAx>
        <c:axId val="368339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751"/>
        <c:crosses val="max"/>
        <c:crossBetween val="between"/>
      </c:valAx>
      <c:catAx>
        <c:axId val="36834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8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27-4290-BC2E-96248FEF6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3711"/>
        <c:axId val="368340351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valAx>
        <c:axId val="36834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3711"/>
        <c:crosses val="max"/>
        <c:crossBetween val="between"/>
      </c:valAx>
      <c:catAx>
        <c:axId val="368343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03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36B-4C8C-B4D0-C4542BC0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8031"/>
        <c:axId val="368341311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valAx>
        <c:axId val="36834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8031"/>
        <c:crosses val="max"/>
        <c:crossBetween val="between"/>
      </c:valAx>
      <c:catAx>
        <c:axId val="368348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13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D3C-43C2-A30B-8E87708A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511"/>
        <c:axId val="368349951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valAx>
        <c:axId val="368349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511"/>
        <c:crosses val="max"/>
        <c:crossBetween val="between"/>
      </c:valAx>
      <c:catAx>
        <c:axId val="368360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99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C26-40E7-A556-CBCBD21AD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551"/>
        <c:axId val="368358591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valAx>
        <c:axId val="368358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551"/>
        <c:crosses val="max"/>
        <c:crossBetween val="between"/>
      </c:valAx>
      <c:catAx>
        <c:axId val="36835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85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709-4C2C-9182-B6E37DE5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2831"/>
        <c:axId val="368362431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valAx>
        <c:axId val="368362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2831"/>
        <c:crosses val="max"/>
        <c:crossBetween val="between"/>
      </c:valAx>
      <c:catAx>
        <c:axId val="368352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4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E9B-4929-BE81-9BF46DB2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6751"/>
        <c:axId val="368363871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valAx>
        <c:axId val="368363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6751"/>
        <c:crosses val="max"/>
        <c:crossBetween val="between"/>
      </c:valAx>
      <c:catAx>
        <c:axId val="368366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38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864-4B94-95E3-B3F8AD282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3791"/>
        <c:axId val="368367711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valAx>
        <c:axId val="368367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3791"/>
        <c:crosses val="max"/>
        <c:crossBetween val="between"/>
      </c:valAx>
      <c:catAx>
        <c:axId val="368353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77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84D-4E46-B25D-AC7A7D1B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951"/>
        <c:axId val="368355711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valAx>
        <c:axId val="36835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951"/>
        <c:crosses val="max"/>
        <c:crossBetween val="between"/>
      </c:valAx>
      <c:catAx>
        <c:axId val="368361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7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24E-4A57-82E6-C1A954DD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471"/>
        <c:axId val="368365791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valAx>
        <c:axId val="368365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471"/>
        <c:crosses val="max"/>
        <c:crossBetween val="between"/>
      </c:valAx>
      <c:catAx>
        <c:axId val="368361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57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EA7-461D-9717-8E9BB406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7231"/>
        <c:axId val="368362911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valAx>
        <c:axId val="368362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7231"/>
        <c:crosses val="max"/>
        <c:crossBetween val="between"/>
      </c:valAx>
      <c:catAx>
        <c:axId val="368367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9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836-4980-B504-46D1A683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3391"/>
        <c:axId val="368357631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valAx>
        <c:axId val="368357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3391"/>
        <c:crosses val="max"/>
        <c:crossBetween val="between"/>
      </c:valAx>
      <c:catAx>
        <c:axId val="368363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76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7D9-417E-9325-E632BAED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8111"/>
        <c:axId val="368355231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valAx>
        <c:axId val="368355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8111"/>
        <c:crosses val="max"/>
        <c:crossBetween val="between"/>
      </c:valAx>
      <c:catAx>
        <c:axId val="3683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2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E6E-4DD1-88F5-B32142113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9151"/>
        <c:axId val="368351871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valAx>
        <c:axId val="368351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9151"/>
        <c:crosses val="max"/>
        <c:crossBetween val="between"/>
      </c:valAx>
      <c:catAx>
        <c:axId val="36836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18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F72-4126-BCA2-7032F153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0111"/>
        <c:axId val="368371071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valAx>
        <c:axId val="368371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0111"/>
        <c:crosses val="max"/>
        <c:crossBetween val="between"/>
      </c:valAx>
      <c:catAx>
        <c:axId val="368370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10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E29-4809-ABBC-F3CF37F6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071"/>
        <c:axId val="368372511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valAx>
        <c:axId val="368372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071"/>
        <c:crosses val="max"/>
        <c:crossBetween val="between"/>
      </c:valAx>
      <c:catAx>
        <c:axId val="36835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5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139-4536-9567-EE8091C9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3471"/>
        <c:axId val="368372991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valAx>
        <c:axId val="36837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3471"/>
        <c:crosses val="max"/>
        <c:crossBetween val="between"/>
      </c:valAx>
      <c:catAx>
        <c:axId val="368373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9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3C0-4E47-B230-720283D57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8751"/>
        <c:axId val="368373951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valAx>
        <c:axId val="368373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8751"/>
        <c:crosses val="max"/>
        <c:crossBetween val="between"/>
      </c:valAx>
      <c:catAx>
        <c:axId val="368378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39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00F-47B5-AA18-44F4301A5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5871"/>
        <c:axId val="368379231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valAx>
        <c:axId val="368379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5871"/>
        <c:crosses val="max"/>
        <c:crossBetween val="between"/>
      </c:valAx>
      <c:catAx>
        <c:axId val="36837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2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34C-456C-8281-E6D3F853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671"/>
        <c:axId val="368374911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valAx>
        <c:axId val="36837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671"/>
        <c:crosses val="max"/>
        <c:crossBetween val="between"/>
      </c:valAx>
      <c:catAx>
        <c:axId val="36838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49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1-4D74-A86D-3F67AC9D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7791"/>
        <c:axId val="368376831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valAx>
        <c:axId val="36837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7791"/>
        <c:crosses val="max"/>
        <c:crossBetween val="between"/>
      </c:valAx>
      <c:catAx>
        <c:axId val="36837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8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540-489B-9D17-F159BCBEC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3551"/>
        <c:axId val="368376351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valAx>
        <c:axId val="368376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3551"/>
        <c:crosses val="max"/>
        <c:crossBetween val="between"/>
      </c:valAx>
      <c:catAx>
        <c:axId val="36838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3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C36-44AD-B78B-428CECB9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0271"/>
        <c:axId val="368392671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valAx>
        <c:axId val="3683926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0271"/>
        <c:crosses val="max"/>
        <c:crossBetween val="between"/>
      </c:valAx>
      <c:catAx>
        <c:axId val="36839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26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474-4490-BE3D-8AA7638E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3151"/>
        <c:axId val="368396511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valAx>
        <c:axId val="368396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3151"/>
        <c:crosses val="max"/>
        <c:crossBetween val="between"/>
      </c:valAx>
      <c:catAx>
        <c:axId val="368393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5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01-49D3-BD08-0053C40D6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9311"/>
        <c:axId val="368383071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valAx>
        <c:axId val="368383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9311"/>
        <c:crosses val="max"/>
        <c:crossBetween val="between"/>
      </c:valAx>
      <c:catAx>
        <c:axId val="36838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30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2E4-49F5-A380-7E874410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231"/>
        <c:axId val="368389791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valAx>
        <c:axId val="368389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231"/>
        <c:crosses val="max"/>
        <c:crossBetween val="between"/>
      </c:valAx>
      <c:catAx>
        <c:axId val="368391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97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053-45FC-9145-F336DC25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7871"/>
        <c:axId val="368393631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valAx>
        <c:axId val="368393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7871"/>
        <c:crosses val="max"/>
        <c:crossBetween val="between"/>
      </c:valAx>
      <c:catAx>
        <c:axId val="36838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36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413-44A2-99CF-027910F5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8431"/>
        <c:axId val="368395551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valAx>
        <c:axId val="36839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8431"/>
        <c:crosses val="max"/>
        <c:crossBetween val="between"/>
      </c:valAx>
      <c:catAx>
        <c:axId val="368398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55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91F-494B-8290-785F7A814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2191"/>
        <c:axId val="368382111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valAx>
        <c:axId val="36838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2191"/>
        <c:crosses val="max"/>
        <c:crossBetween val="between"/>
      </c:valAx>
      <c:catAx>
        <c:axId val="368392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21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F65-4229-B237-480C42DF5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6031"/>
        <c:axId val="368400351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valAx>
        <c:axId val="36840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6031"/>
        <c:crosses val="max"/>
        <c:crossBetween val="between"/>
      </c:valAx>
      <c:catAx>
        <c:axId val="368396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03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57-4CA1-A5C5-7385C7574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0831"/>
        <c:axId val="368396991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valAx>
        <c:axId val="36839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0831"/>
        <c:crosses val="max"/>
        <c:crossBetween val="between"/>
      </c:valAx>
      <c:catAx>
        <c:axId val="36840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9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B52-4292-BD3F-E4B8FCEC0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9871"/>
        <c:axId val="368398911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valAx>
        <c:axId val="368398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9871"/>
        <c:crosses val="max"/>
        <c:crossBetween val="between"/>
      </c:valAx>
      <c:catAx>
        <c:axId val="368399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89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5A-4C62-86F2-961173557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5471"/>
        <c:axId val="368401311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valAx>
        <c:axId val="36840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5471"/>
        <c:crosses val="max"/>
        <c:crossBetween val="between"/>
      </c:valAx>
      <c:catAx>
        <c:axId val="368385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3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D34-4117-AC08-B4C62558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8271"/>
        <c:axId val="368437311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valAx>
        <c:axId val="368437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8271"/>
        <c:crosses val="max"/>
        <c:crossBetween val="between"/>
      </c:valAx>
      <c:catAx>
        <c:axId val="36843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73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BD5-4988-9425-8011B9B3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7871"/>
        <c:axId val="368444991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valAx>
        <c:axId val="368444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7871"/>
        <c:crosses val="max"/>
        <c:crossBetween val="between"/>
      </c:valAx>
      <c:catAx>
        <c:axId val="36844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9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BA1-4B1A-B8AC-C13D90C0E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991"/>
        <c:axId val="368335071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valAx>
        <c:axId val="368335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991"/>
        <c:crosses val="max"/>
        <c:crossBetween val="between"/>
      </c:valAx>
      <c:catAx>
        <c:axId val="368324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0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DEF-45DA-9368-C61F070D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1791"/>
        <c:axId val="368322591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valAx>
        <c:axId val="368322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1791"/>
        <c:crosses val="max"/>
        <c:crossBetween val="between"/>
      </c:valAx>
      <c:catAx>
        <c:axId val="36834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5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9D1-4BA5-9238-1CAC5B59B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0431"/>
        <c:axId val="368347551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valAx>
        <c:axId val="368347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0431"/>
        <c:crosses val="max"/>
        <c:crossBetween val="between"/>
      </c:valAx>
      <c:catAx>
        <c:axId val="368350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755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1DB-4138-8077-C0B70A1D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91"/>
        <c:axId val="368354271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valAx>
        <c:axId val="368354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991"/>
        <c:crosses val="max"/>
        <c:crossBetween val="between"/>
      </c:valAx>
      <c:catAx>
        <c:axId val="368360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42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00D-4B45-8AE3-FB639D50B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2031"/>
        <c:axId val="368370591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valAx>
        <c:axId val="368370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2031"/>
        <c:crosses val="max"/>
        <c:crossBetween val="between"/>
      </c:valAx>
      <c:catAx>
        <c:axId val="368372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05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13-4F96-914A-91B4B26EB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191"/>
        <c:axId val="368379711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valAx>
        <c:axId val="36837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191"/>
        <c:crosses val="max"/>
        <c:crossBetween val="between"/>
      </c:valAx>
      <c:catAx>
        <c:axId val="368380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7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B28-45B3-85C0-0FF337DA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711"/>
        <c:axId val="368394111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valAx>
        <c:axId val="36839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711"/>
        <c:crosses val="max"/>
        <c:crossBetween val="between"/>
      </c:valAx>
      <c:catAx>
        <c:axId val="368391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41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671-4662-9D9A-E3A93F3D8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2271"/>
        <c:axId val="368401791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valAx>
        <c:axId val="368401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2271"/>
        <c:crosses val="max"/>
        <c:crossBetween val="between"/>
      </c:valAx>
      <c:catAx>
        <c:axId val="36840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79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FwdMonitor!$GC$4:$GC$19</c:f>
            </c:numRef>
          </c:xVal>
          <c:yVal>
            <c:numRef>
              <c:f>FwdMonitor!$GD$4:$GD$19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FwdMonitor!$GE$3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FwdMonitor!$GC$4:$GC$19</c:f>
            </c:numRef>
          </c:xVal>
          <c:yVal>
            <c:numRef>
              <c:f>FwdMonitor!$GE$4:$GE$19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FwdMonitor!$GF$4:$GF$19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FwdMonitor!$GH$4:$GH$10</c:f>
            </c:numRef>
          </c:xVal>
          <c:yVal>
            <c:numRef>
              <c:f>FwdMonitor!$GI$4:$GI$10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FwdMonitor!$GJ$3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FwdMonitor!$GH$4:$GH$10</c:f>
            </c:numRef>
          </c:xVal>
          <c:yVal>
            <c:numRef>
              <c:f>FwdMonitor!$GJ$4:$GJ$10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FwdMonitor!$GK$4:$GK$10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FwdMonitor!$GN$3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FwdMonitor!$GO$3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FwdMonitor!$GP$3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FwdMonitor!$GQ$3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5" Type="http://schemas.openxmlformats.org/officeDocument/2006/relationships/chart" Target="../charts/chart80.xml"/><Relationship Id="rId4" Type="http://schemas.openxmlformats.org/officeDocument/2006/relationships/chart" Target="../charts/chart7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17</xdr:col>
      <xdr:colOff>609600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17</xdr:row>
      <xdr:rowOff>0</xdr:rowOff>
    </xdr:from>
    <xdr:to>
      <xdr:col>17</xdr:col>
      <xdr:colOff>609600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609600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609600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zoomScale="44" workbookViewId="0">
      <pane xSplit="4" ySplit="9" topLeftCell="E33" activePane="bottomRight" state="frozenSplit"/>
      <selection pane="topRight" activeCell="E1" sqref="E1"/>
      <selection pane="bottomLeft" activeCell="A10" sqref="A10"/>
      <selection pane="bottomRight" activeCell="A58" sqref="A58:A62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C3" t="s">
        <v>388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C4" cm="1">
        <f t="array" aca="1" ref="CC4:CC21" ca="1">IF(ISNUMBER(MATCH(_xlfn.ANCHORARRAY($CB$4),$A$58:$A$62,0)),0,NA())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aca="1" ref="CO4:DP184" ca="1">PcaGrid(_xlfn.ANCHORARRAY($CB$4),_xlfn.LET(_xlpm.r,$E$4:$BP$7,_xlfn.CHOOSECOLS(IF(_xlpm.r="","",_xlpm.r),_xlfn.SEQUENCE(1,10,1,7))))</f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EP4" t="s">
        <v>150</v>
      </c>
      <c r="EQ4" cm="1">
        <f t="array" aca="1" ref="EQ4:FR21" ca="1">_xlfn.LET(_xlpm.g,_xlfn.DROP(_xlfn.ANCHORARRAY($CO$4),1),_xlfn._xlws.FILTER(_xlpm.g,_xlfn.TAKE(_xlpm.g,,1)=1))</f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aca="1" ref="HS4:HY184" ca="1">PcaGridResidStd(_xlfn.ANCHORARRAY($CB$4),_xlfn.LET(_xlpm.r,$E$4:$BP$7,_xlfn.CHOOSECOLS(IF(_xlpm.r="","",_xlpm.r),_xlfn.SEQUENCE(1,10,1,7))),_xlfn.VSTACK($D$12,$D$28,$D$44,$D$60,$D$76),$B$55)</f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</row>
    <row r="5" spans="1:233" x14ac:dyDescent="0.55000000000000004">
      <c r="A5" t="s">
        <v>254</v>
      </c>
      <c r="D5" t="s">
        <v>145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C5">
        <f ca="1"/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aca="1" ref="GX5:GX22" ca="1">_xlfn.LET(_xlpm.V,_xlfn.DROP(_xlfn.ANCHORARRAY($EQ$4),,10),IF(1&lt;=COLUMNS(_xlpm.V),_xlfn.CHOOSECOLS(_xlpm.V,1),IF(_xlfn.SEQUENCE(ROWS(_xlpm.V)),NA())))</f>
      </c>
      <c r="GY5" cm="1">
        <f t="array" aca="1" ref="GY5:GY22" ca="1">_xlfn.LET(_xlpm.V,_xlfn.DROP(_xlfn.ANCHORARRAY($EQ$4),,10),IF(2&lt;=COLUMNS(_xlpm.V),_xlfn.CHOOSECOLS(_xlpm.V,2),IF(_xlfn.SEQUENCE(ROWS(_xlpm.V)),NA())))</f>
      </c>
      <c r="GZ5" cm="1">
        <f t="array" aca="1" ref="GZ5:GZ22" ca="1">_xlfn.LET(_xlpm.V,_xlfn.DROP(_xlfn.ANCHORARRAY($EQ$4),,10),IF(3&lt;=COLUMNS(_xlpm.V),_xlfn.CHOOSECOLS(_xlpm.V,3),IF(_xlfn.SEQUENCE(ROWS(_xlpm.V)),NA())))</f>
      </c>
      <c r="HA5" cm="1">
        <f t="array" aca="1" ref="HA5:HA22" ca="1">_xlfn.LET(_xlpm.V,_xlfn.DROP(_xlfn.ANCHORARRAY($EQ$4),,10),IF(4&lt;=COLUMNS(_xlpm.V),_xlfn.CHOOSECOLS(_xlpm.V,4),IF(_xlfn.SEQUENCE(ROWS(_xlpm.V)),NA())))</f>
      </c>
      <c r="HB5" cm="1">
        <f t="array" aca="1" ref="HB5:HB22" ca="1">_xlfn.LET(_xlpm.V,_xlfn.DROP(_xlfn.ANCHORARRAY($EQ$4),,10),IF(5&lt;=COLUMNS(_xlpm.V),_xlfn.CHOOSECOLS(_xlpm.V,5),IF(_xlfn.SEQUENCE(ROWS(_xlpm.V)),NA())))</f>
      </c>
      <c r="HD5" cm="1">
        <f t="array" aca="1" ref="HD5:HD22" ca="1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aca="1" ref="HF5:HF22" ca="1">_xlfn.CHOOSECOLS(_xlfn.ANCHORARRAY($EQ$4),8)+_xlfn.CHOOSECOLS(_xlfn.ANCHORARRAY($EQ$4),10)</f>
      </c>
      <c r="HG5" cm="1">
        <f t="array" aca="1" ref="HG5:HG22" ca="1">_xlfn.CHOOSECOLS(_xlfn.ANCHORARRAY($EQ$4),8)-_xlfn.CHOOSECOLS(_xlfn.ANCHORARRAY($EQ$4),10)</f>
      </c>
      <c r="HH5" cm="1">
        <f t="array" aca="1" ref="HH5:HH22" ca="1">_xlfn.LET(_xlpm.v,_xlfn.CHOOSECOLS(_xlfn._xlws.FILTER(_xlfn.DROP(_xlfn.ANCHORARRAY($HS$4),1),_xlfn.TAKE(_xlfn.DROP(_xlfn.ANCHORARRAY($HS$4),1),,1)=1),3),IF(_xlpm.v="",NA(),_xlpm.v))</f>
      </c>
      <c r="HI5" cm="1">
        <f t="array" aca="1" ref="HI5:HI22" ca="1">-_xlfn.ANCHORARRAY($HH$5)</f>
      </c>
      <c r="HJ5" cm="1">
        <f t="array" aca="1" ref="HJ5:HJ22" ca="1">_xlfn.LET(_xlpm.v,_xlfn.CHOOSECOLS(_xlfn._xlws.FILTER(_xlfn.DROP(_xlfn.ANCHORARRAY($HS$4),1),_xlfn.TAKE(_xlfn.DROP(_xlfn.ANCHORARRAY($HS$4),1),,1)=1),4),IF(_xlpm.v="",NA(),_xlpm.v))</f>
      </c>
      <c r="HK5" cm="1">
        <f t="array" aca="1" ref="HK5:HK22" ca="1">-_xlfn.ANCHORARRAY($HJ$5)</f>
      </c>
      <c r="HL5" cm="1">
        <f t="array" aca="1" ref="HL5:HL22" ca="1">_xlfn.LET(_xlpm.v,_xlfn.CHOOSECOLS(_xlfn._xlws.FILTER(_xlfn.DROP(_xlfn.ANCHORARRAY($HS$4),1),_xlfn.TAKE(_xlfn.DROP(_xlfn.ANCHORARRAY($HS$4),1),,1)=1),5),IF(_xlpm.v="",NA(),_xlpm.v))</f>
      </c>
      <c r="HM5" cm="1">
        <f t="array" aca="1" ref="HM5:HM22" ca="1">-_xlfn.ANCHORARRAY($HL$5)</f>
      </c>
      <c r="HN5" cm="1">
        <f t="array" aca="1" ref="HN5:HN22" ca="1">_xlfn.LET(_xlpm.v,_xlfn.CHOOSECOLS(_xlfn._xlws.FILTER(_xlfn.DROP(_xlfn.ANCHORARRAY($HS$4),1),_xlfn.TAKE(_xlfn.DROP(_xlfn.ANCHORARRAY($HS$4),1),,1)=1),6),IF(_xlpm.v="",NA(),_xlpm.v))</f>
      </c>
      <c r="HO5" cm="1">
        <f t="array" aca="1" ref="HO5:HO22" ca="1">-_xlfn.ANCHORARRAY($HN$5)</f>
      </c>
      <c r="HP5" cm="1">
        <f t="array" aca="1" ref="HP5:HP22" ca="1">_xlfn.LET(_xlpm.v,_xlfn.CHOOSECOLS(_xlfn._xlws.FILTER(_xlfn.DROP(_xlfn.ANCHORARRAY($HS$4),1),_xlfn.TAKE(_xlfn.DROP(_xlfn.ANCHORARRAY($HS$4),1),,1)=1),7),IF(_xlpm.v="",NA(),_xlpm.v))</f>
      </c>
      <c r="HQ5" cm="1">
        <f t="array" aca="1" ref="HQ5:HQ22" ca="1">-_xlfn.ANCHORARRAY($HP$5)</f>
      </c>
      <c r="HR5" cm="1">
        <f t="array" aca="1" ref="HR5" ca="1">IFERROR(INDEX(_xlfn._xlws.FILTER(_xlfn.DROP(_xlfn.ANCHORARRAY($HS$4),1),_xlfn.TAKE(_xlfn.DROP(_xlfn.ANCHORARRAY($HS$4),1),,1)=1),1,2),"")</f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151</v>
      </c>
      <c r="L6" s="2" t="s">
        <v>151</v>
      </c>
      <c r="S6" s="2" t="s">
        <v>154</v>
      </c>
      <c r="Z6" s="2" t="s">
        <v>154</v>
      </c>
      <c r="AG6" s="2" t="s">
        <v>151</v>
      </c>
      <c r="AN6" s="2" t="s">
        <v>151</v>
      </c>
      <c r="AU6" s="2" t="s">
        <v>154</v>
      </c>
      <c r="BB6" s="2" t="s">
        <v>154</v>
      </c>
      <c r="BI6" s="2" t="s">
        <v>151</v>
      </c>
      <c r="BP6" s="2" t="s">
        <v>154</v>
      </c>
      <c r="CC6">
        <f ca="1"/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</row>
    <row r="7" spans="1:233" x14ac:dyDescent="0.55000000000000004">
      <c r="D7" t="s">
        <v>147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C7">
        <f ca="1"/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</row>
    <row r="8" spans="1:233" x14ac:dyDescent="0.55000000000000004">
      <c r="D8" t="s">
        <v>148</v>
      </c>
      <c r="E8">
        <f ca="1"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 ca="1"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 ca="1"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 ca="1"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 ca="1"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 ca="1"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 ca="1"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 ca="1"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 ca="1"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 ca="1">IFERROR(_xlfn.LET(_xlpm.sl,_xlfn.ANCHORARRAY($EQ$454),IF(ISNUMBER(INDEX(_xlpm.sl,1,2)),TEXT(INDEX(_xlpm.sl,1,2),"yyyy-mm-dd")&amp;" - "&amp;TEXT(INDEX(_xlpm.sl,1,3),"yyyy-mm-dd")&amp;"  (n="&amp;INDEX(_xlpm.sl,1,4)&amp;")","Error")),"Error")</f>
      </c>
      <c r="CC8">
        <f ca="1"/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 ca="1"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 ca="1"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C9">
        <f ca="1"/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</row>
    <row r="10" spans="1:233" x14ac:dyDescent="0.55000000000000004">
      <c r="A10" s="4" t="s">
        <v>140</v>
      </c>
      <c r="CC10">
        <f ca="1"/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C11">
        <f ca="1"/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C12">
        <f ca="1"/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</row>
    <row r="13" spans="1:233" x14ac:dyDescent="0.55000000000000004">
      <c r="A13" t="s">
        <v>1</v>
      </c>
      <c r="B13" s="6" t="s">
        <v>43</v>
      </c>
      <c r="CC13">
        <f ca="1"/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</row>
    <row r="14" spans="1:233" x14ac:dyDescent="0.55000000000000004">
      <c r="A14" t="s">
        <v>2</v>
      </c>
      <c r="B14" s="6" t="s">
        <v>43</v>
      </c>
      <c r="CC14">
        <f ca="1"/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</row>
    <row r="15" spans="1:233" x14ac:dyDescent="0.55000000000000004">
      <c r="A15" t="s">
        <v>3</v>
      </c>
      <c r="B15" s="6" t="s">
        <v>43</v>
      </c>
      <c r="CC15">
        <f ca="1"/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</row>
    <row r="16" spans="1:233" x14ac:dyDescent="0.55000000000000004">
      <c r="A16" t="s">
        <v>4</v>
      </c>
      <c r="B16" s="6" t="s">
        <v>43</v>
      </c>
      <c r="CC16">
        <f ca="1"/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</row>
    <row r="17" spans="1:233" x14ac:dyDescent="0.55000000000000004">
      <c r="A17" t="s">
        <v>5</v>
      </c>
      <c r="B17" s="6" t="s">
        <v>43</v>
      </c>
      <c r="CC17">
        <f ca="1"/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</row>
    <row r="18" spans="1:233" x14ac:dyDescent="0.55000000000000004">
      <c r="A18" t="s">
        <v>6</v>
      </c>
      <c r="B18" s="6" t="s">
        <v>43</v>
      </c>
      <c r="CC18">
        <f ca="1"/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</row>
    <row r="19" spans="1:233" x14ac:dyDescent="0.55000000000000004">
      <c r="A19" t="s">
        <v>7</v>
      </c>
      <c r="B19" s="6" t="s">
        <v>42</v>
      </c>
      <c r="CC19">
        <f ca="1"/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</row>
    <row r="20" spans="1:233" x14ac:dyDescent="0.55000000000000004">
      <c r="A20" t="s">
        <v>8</v>
      </c>
      <c r="B20" s="6" t="s">
        <v>43</v>
      </c>
      <c r="CC20">
        <f ca="1"/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</row>
    <row r="21" spans="1:233" x14ac:dyDescent="0.55000000000000004">
      <c r="A21" t="s">
        <v>9</v>
      </c>
      <c r="B21" s="6" t="s">
        <v>43</v>
      </c>
      <c r="CC21">
        <f ca="1"/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GR23" s="11"/>
      <c r="GS23" s="11"/>
      <c r="GT23" s="11"/>
      <c r="GU23" s="11"/>
      <c r="GV23" s="11"/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GR24" s="11"/>
      <c r="GS24" s="11"/>
      <c r="GT24" s="11"/>
      <c r="GU24" s="11"/>
      <c r="GV24" s="11"/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GR25" s="11"/>
      <c r="GS25" s="11"/>
      <c r="GT25" s="11"/>
      <c r="GU25" s="11"/>
      <c r="GV25" s="11"/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GR26" s="11"/>
      <c r="GS26" s="11"/>
      <c r="GT26" s="11"/>
      <c r="GU26" s="11"/>
      <c r="GV26" s="11"/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GR27" s="11"/>
      <c r="GS27" s="11"/>
      <c r="GT27" s="11"/>
      <c r="GU27" s="11"/>
      <c r="GV27" s="11"/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GR28" s="11"/>
      <c r="GS28" s="11"/>
      <c r="GT28" s="11"/>
      <c r="GU28" s="11"/>
      <c r="GV28" s="11"/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GR29" s="11"/>
      <c r="GS29" s="11"/>
      <c r="GT29" s="11"/>
      <c r="GU29" s="11"/>
      <c r="GV29" s="11"/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GR30" s="11"/>
      <c r="GS30" s="11"/>
      <c r="GT30" s="11"/>
      <c r="GU30" s="11"/>
      <c r="GV30" s="11"/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GR31" s="11"/>
      <c r="GS31" s="11"/>
      <c r="GT31" s="11"/>
      <c r="GU31" s="11"/>
      <c r="GV31" s="11"/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GR32" s="11"/>
      <c r="GS32" s="11"/>
      <c r="GT32" s="11"/>
      <c r="GU32" s="11"/>
      <c r="GV32" s="11"/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GR33" s="11"/>
      <c r="GS33" s="11"/>
      <c r="GT33" s="11"/>
      <c r="GU33" s="11"/>
      <c r="GV33" s="11"/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GR34" s="11"/>
      <c r="GS34" s="11"/>
      <c r="GT34" s="11"/>
      <c r="GU34" s="11"/>
      <c r="GV34" s="11"/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GR35" s="11"/>
      <c r="GS35" s="11"/>
      <c r="GT35" s="11"/>
      <c r="GU35" s="11"/>
      <c r="GV35" s="11"/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GR36" s="11"/>
      <c r="GS36" s="11"/>
      <c r="GT36" s="11"/>
      <c r="GU36" s="11"/>
      <c r="GV36" s="11"/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GR37" s="11"/>
      <c r="GS37" s="11"/>
      <c r="GT37" s="11"/>
      <c r="GU37" s="11"/>
      <c r="GV37" s="11"/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GR38" s="11"/>
      <c r="GS38" s="11"/>
      <c r="GT38" s="11"/>
      <c r="GU38" s="11"/>
      <c r="GV38" s="11"/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GR39" s="11"/>
      <c r="GS39" s="11"/>
      <c r="GT39" s="11"/>
      <c r="GU39" s="11"/>
      <c r="GV39" s="11"/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GR40" s="11"/>
      <c r="GS40" s="11"/>
      <c r="GT40" s="11"/>
      <c r="GU40" s="11"/>
      <c r="GV40" s="11"/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GR41" s="11"/>
      <c r="GS41" s="11"/>
      <c r="GT41" s="11"/>
      <c r="GU41" s="11"/>
      <c r="GV41" s="11"/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GR42" s="11"/>
      <c r="GS42" s="11"/>
      <c r="GT42" s="11"/>
      <c r="GU42" s="11"/>
      <c r="GV42" s="11"/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GR43" s="11"/>
      <c r="GS43" s="11"/>
      <c r="GT43" s="11"/>
      <c r="GU43" s="11"/>
      <c r="GV43" s="11"/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GR44" s="11"/>
      <c r="GS44" s="11"/>
      <c r="GT44" s="11"/>
      <c r="GU44" s="11"/>
      <c r="GV44" s="11"/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GR45" s="11"/>
      <c r="GS45" s="11"/>
      <c r="GT45" s="11"/>
      <c r="GU45" s="11"/>
      <c r="GV45" s="11"/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GR46" s="11"/>
      <c r="GS46" s="11"/>
      <c r="GT46" s="11"/>
      <c r="GU46" s="11"/>
      <c r="GV46" s="11"/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</row>
    <row r="48" spans="1:233" x14ac:dyDescent="0.55000000000000004">
      <c r="A48" t="s">
        <v>35</v>
      </c>
      <c r="B48" s="6" t="s">
        <v>43</v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</row>
    <row r="49" spans="1:233" x14ac:dyDescent="0.55000000000000004">
      <c r="A49" t="s">
        <v>36</v>
      </c>
      <c r="B49" s="6" t="s">
        <v>43</v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</row>
    <row r="50" spans="1:233" x14ac:dyDescent="0.55000000000000004">
      <c r="A50" t="s">
        <v>37</v>
      </c>
      <c r="B50" s="6" t="s">
        <v>43</v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</row>
    <row r="51" spans="1:233" x14ac:dyDescent="0.55000000000000004">
      <c r="A51" t="s">
        <v>38</v>
      </c>
      <c r="B51" s="6" t="s">
        <v>43</v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</row>
    <row r="52" spans="1:233" x14ac:dyDescent="0.55000000000000004">
      <c r="A52" t="s">
        <v>39</v>
      </c>
      <c r="B52" s="6" t="s">
        <v>43</v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</row>
    <row r="53" spans="1:233" x14ac:dyDescent="0.55000000000000004">
      <c r="A53" t="s">
        <v>40</v>
      </c>
      <c r="B53" s="6" t="s">
        <v>43</v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</row>
    <row r="54" spans="1:233" x14ac:dyDescent="0.55000000000000004"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EP54" t="s">
        <v>152</v>
      </c>
      <c r="EQ54" cm="1">
        <f t="array" aca="1" ref="EQ54:FR71" ca="1">_xlfn.LET(_xlpm.g,_xlfn.DROP(_xlfn.ANCHORARRAY($CO$4),1),_xlfn._xlws.FILTER(_xlpm.g,_xlfn.TAKE(_xlpm.g,,1)=2))</f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</row>
    <row r="55" spans="1:233" x14ac:dyDescent="0.55000000000000004">
      <c r="A55" t="s">
        <v>177</v>
      </c>
      <c r="B55" s="3"/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aca="1" ref="GX55:GX72" ca="1">_xlfn.LET(_xlpm.V,_xlfn.DROP(_xlfn.ANCHORARRAY($EQ$54),,10),IF(1&lt;=COLUMNS(_xlpm.V),_xlfn.CHOOSECOLS(_xlpm.V,1),IF(_xlfn.SEQUENCE(ROWS(_xlpm.V)),NA())))</f>
      </c>
      <c r="GY55" cm="1">
        <f t="array" aca="1" ref="GY55:GY72" ca="1">_xlfn.LET(_xlpm.V,_xlfn.DROP(_xlfn.ANCHORARRAY($EQ$54),,10),IF(2&lt;=COLUMNS(_xlpm.V),_xlfn.CHOOSECOLS(_xlpm.V,2),IF(_xlfn.SEQUENCE(ROWS(_xlpm.V)),NA())))</f>
      </c>
      <c r="GZ55" cm="1">
        <f t="array" aca="1" ref="GZ55:GZ72" ca="1">_xlfn.LET(_xlpm.V,_xlfn.DROP(_xlfn.ANCHORARRAY($EQ$54),,10),IF(3&lt;=COLUMNS(_xlpm.V),_xlfn.CHOOSECOLS(_xlpm.V,3),IF(_xlfn.SEQUENCE(ROWS(_xlpm.V)),NA())))</f>
      </c>
      <c r="HA55" cm="1">
        <f t="array" aca="1" ref="HA55:HA72" ca="1">_xlfn.LET(_xlpm.V,_xlfn.DROP(_xlfn.ANCHORARRAY($EQ$54),,10),IF(4&lt;=COLUMNS(_xlpm.V),_xlfn.CHOOSECOLS(_xlpm.V,4),IF(_xlfn.SEQUENCE(ROWS(_xlpm.V)),NA())))</f>
      </c>
      <c r="HB55" cm="1">
        <f t="array" aca="1" ref="HB55:HB72" ca="1">_xlfn.LET(_xlpm.V,_xlfn.DROP(_xlfn.ANCHORARRAY($EQ$54),,10),IF(5&lt;=COLUMNS(_xlpm.V),_xlfn.CHOOSECOLS(_xlpm.V,5),IF(_xlfn.SEQUENCE(ROWS(_xlpm.V)),NA())))</f>
      </c>
      <c r="HD55" cm="1">
        <f t="array" aca="1" ref="HD55:HD72" ca="1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aca="1" ref="HF55:HF72" ca="1">_xlfn.CHOOSECOLS(_xlfn.ANCHORARRAY($EQ$54),8)+_xlfn.CHOOSECOLS(_xlfn.ANCHORARRAY($EQ$54),10)</f>
      </c>
      <c r="HG55" cm="1">
        <f t="array" aca="1" ref="HG55:HG72" ca="1">_xlfn.CHOOSECOLS(_xlfn.ANCHORARRAY($EQ$54),8)-_xlfn.CHOOSECOLS(_xlfn.ANCHORARRAY($EQ$54),10)</f>
      </c>
      <c r="HH55" cm="1">
        <f t="array" aca="1" ref="HH55:HH72" ca="1">_xlfn.LET(_xlpm.v,_xlfn.CHOOSECOLS(_xlfn._xlws.FILTER(_xlfn.DROP(_xlfn.ANCHORARRAY($HS$4),1),_xlfn.TAKE(_xlfn.DROP(_xlfn.ANCHORARRAY($HS$4),1),,1)=2),3),IF(_xlpm.v="",NA(),_xlpm.v))</f>
      </c>
      <c r="HI55" cm="1">
        <f t="array" aca="1" ref="HI55:HI72" ca="1">-_xlfn.ANCHORARRAY($HH$55)</f>
      </c>
      <c r="HJ55" cm="1">
        <f t="array" aca="1" ref="HJ55:HJ72" ca="1">_xlfn.LET(_xlpm.v,_xlfn.CHOOSECOLS(_xlfn._xlws.FILTER(_xlfn.DROP(_xlfn.ANCHORARRAY($HS$4),1),_xlfn.TAKE(_xlfn.DROP(_xlfn.ANCHORARRAY($HS$4),1),,1)=2),4),IF(_xlpm.v="",NA(),_xlpm.v))</f>
      </c>
      <c r="HK55" cm="1">
        <f t="array" aca="1" ref="HK55:HK72" ca="1">-_xlfn.ANCHORARRAY($HJ$55)</f>
      </c>
      <c r="HL55" cm="1">
        <f t="array" aca="1" ref="HL55:HL72" ca="1">_xlfn.LET(_xlpm.v,_xlfn.CHOOSECOLS(_xlfn._xlws.FILTER(_xlfn.DROP(_xlfn.ANCHORARRAY($HS$4),1),_xlfn.TAKE(_xlfn.DROP(_xlfn.ANCHORARRAY($HS$4),1),,1)=2),5),IF(_xlpm.v="",NA(),_xlpm.v))</f>
      </c>
      <c r="HM55" cm="1">
        <f t="array" aca="1" ref="HM55:HM72" ca="1">-_xlfn.ANCHORARRAY($HL$55)</f>
      </c>
      <c r="HN55" cm="1">
        <f t="array" aca="1" ref="HN55:HN72" ca="1">_xlfn.LET(_xlpm.v,_xlfn.CHOOSECOLS(_xlfn._xlws.FILTER(_xlfn.DROP(_xlfn.ANCHORARRAY($HS$4),1),_xlfn.TAKE(_xlfn.DROP(_xlfn.ANCHORARRAY($HS$4),1),,1)=2),6),IF(_xlpm.v="",NA(),_xlpm.v))</f>
      </c>
      <c r="HO55" cm="1">
        <f t="array" aca="1" ref="HO55:HO72" ca="1">-_xlfn.ANCHORARRAY($HN$55)</f>
      </c>
      <c r="HP55" cm="1">
        <f t="array" aca="1" ref="HP55:HP72" ca="1">_xlfn.LET(_xlpm.v,_xlfn.CHOOSECOLS(_xlfn._xlws.FILTER(_xlfn.DROP(_xlfn.ANCHORARRAY($HS$4),1),_xlfn.TAKE(_xlfn.DROP(_xlfn.ANCHORARRAY($HS$4),1),,1)=2),7),IF(_xlpm.v="",NA(),_xlpm.v))</f>
      </c>
      <c r="HQ55" cm="1">
        <f t="array" aca="1" ref="HQ55:HQ72" ca="1">-_xlfn.ANCHORARRAY($HP$55)</f>
      </c>
      <c r="HR55" cm="1">
        <f t="array" aca="1" ref="HR55" ca="1">IFERROR(INDEX(_xlfn._xlws.FILTER(_xlfn.DROP(_xlfn.ANCHORARRAY($HS$4),1),_xlfn.TAKE(_xlfn.DROP(_xlfn.ANCHORARRAY($HS$4),1),,1)=2),1,2),"")</f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</row>
    <row r="56" spans="1:233" x14ac:dyDescent="0.55000000000000004"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</row>
    <row r="57" spans="1:233" x14ac:dyDescent="0.55000000000000004">
      <c r="A57" t="s">
        <v>387</v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</row>
    <row r="58" spans="1:233" x14ac:dyDescent="0.55000000000000004">
      <c r="A58" s="47" t="s">
        <v>19</v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</row>
    <row r="59" spans="1:233" x14ac:dyDescent="0.55000000000000004">
      <c r="A59" s="47" t="s">
        <v>24</v>
      </c>
      <c r="D59" t="s">
        <v>163</v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</row>
    <row r="60" spans="1:233" x14ac:dyDescent="0.55000000000000004">
      <c r="A60" s="47" t="s">
        <v>28</v>
      </c>
      <c r="D60" s="2">
        <v>4</v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</row>
    <row r="61" spans="1:233" x14ac:dyDescent="0.55000000000000004">
      <c r="A61" s="47"/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</row>
    <row r="62" spans="1:233" x14ac:dyDescent="0.55000000000000004">
      <c r="A62" s="47"/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</row>
    <row r="63" spans="1:233" x14ac:dyDescent="0.55000000000000004"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</row>
    <row r="64" spans="1:233" x14ac:dyDescent="0.55000000000000004"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</row>
    <row r="65" spans="4:233" x14ac:dyDescent="0.55000000000000004"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</row>
    <row r="66" spans="4:233" x14ac:dyDescent="0.55000000000000004"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</row>
    <row r="67" spans="4:233" x14ac:dyDescent="0.55000000000000004"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</row>
    <row r="68" spans="4:233" x14ac:dyDescent="0.55000000000000004"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</row>
    <row r="69" spans="4:233" x14ac:dyDescent="0.55000000000000004"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</row>
    <row r="70" spans="4:233" x14ac:dyDescent="0.55000000000000004"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</row>
    <row r="71" spans="4:233" x14ac:dyDescent="0.55000000000000004"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</row>
    <row r="72" spans="4:233" x14ac:dyDescent="0.55000000000000004"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</row>
    <row r="73" spans="4:233" x14ac:dyDescent="0.55000000000000004"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GR73" s="11"/>
      <c r="GS73" s="11"/>
      <c r="GT73" s="11"/>
      <c r="GU73" s="11"/>
      <c r="GV73" s="11"/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</row>
    <row r="74" spans="4:233" x14ac:dyDescent="0.55000000000000004"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GR74" s="11"/>
      <c r="GS74" s="11"/>
      <c r="GT74" s="11"/>
      <c r="GU74" s="11"/>
      <c r="GV74" s="11"/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</row>
    <row r="75" spans="4:233" x14ac:dyDescent="0.55000000000000004">
      <c r="D75" t="s">
        <v>163</v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GR75" s="11"/>
      <c r="GS75" s="11"/>
      <c r="GT75" s="11"/>
      <c r="GU75" s="11"/>
      <c r="GV75" s="11"/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</row>
    <row r="76" spans="4:233" x14ac:dyDescent="0.55000000000000004">
      <c r="D76" s="2">
        <v>5</v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GR76" s="11"/>
      <c r="GS76" s="11"/>
      <c r="GT76" s="11"/>
      <c r="GU76" s="11"/>
      <c r="GV76" s="11"/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</row>
    <row r="77" spans="4:233" x14ac:dyDescent="0.55000000000000004"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GR77" s="11"/>
      <c r="GS77" s="11"/>
      <c r="GT77" s="11"/>
      <c r="GU77" s="11"/>
      <c r="GV77" s="11"/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</row>
    <row r="78" spans="4:233" x14ac:dyDescent="0.55000000000000004"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GR78" s="11"/>
      <c r="GS78" s="11"/>
      <c r="GT78" s="11"/>
      <c r="GU78" s="11"/>
      <c r="GV78" s="11"/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</row>
    <row r="79" spans="4:233" x14ac:dyDescent="0.55000000000000004"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GR79" s="11"/>
      <c r="GS79" s="11"/>
      <c r="GT79" s="11"/>
      <c r="GU79" s="11"/>
      <c r="GV79" s="11"/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</row>
    <row r="80" spans="4:233" x14ac:dyDescent="0.55000000000000004"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GR80" s="11"/>
      <c r="GS80" s="11"/>
      <c r="GT80" s="11"/>
      <c r="GU80" s="11"/>
      <c r="GV80" s="11"/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</row>
    <row r="81" spans="4:233" x14ac:dyDescent="0.55000000000000004"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GR81" s="11"/>
      <c r="GS81" s="11"/>
      <c r="GT81" s="11"/>
      <c r="GU81" s="11"/>
      <c r="GV81" s="11"/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</row>
    <row r="82" spans="4:233" x14ac:dyDescent="0.55000000000000004"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GR82" s="11"/>
      <c r="GS82" s="11"/>
      <c r="GT82" s="11"/>
      <c r="GU82" s="11"/>
      <c r="GV82" s="11"/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</row>
    <row r="83" spans="4:233" x14ac:dyDescent="0.55000000000000004"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GR83" s="11"/>
      <c r="GS83" s="11"/>
      <c r="GT83" s="11"/>
      <c r="GU83" s="11"/>
      <c r="GV83" s="11"/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</row>
    <row r="84" spans="4:233" x14ac:dyDescent="0.55000000000000004"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GR84" s="11"/>
      <c r="GS84" s="11"/>
      <c r="GT84" s="11"/>
      <c r="GU84" s="11"/>
      <c r="GV84" s="11"/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</row>
    <row r="85" spans="4:233" x14ac:dyDescent="0.55000000000000004"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GR85" s="11"/>
      <c r="GS85" s="11"/>
      <c r="GT85" s="11"/>
      <c r="GU85" s="11"/>
      <c r="GV85" s="11"/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</row>
    <row r="86" spans="4:233" x14ac:dyDescent="0.55000000000000004"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GR86" s="11"/>
      <c r="GS86" s="11"/>
      <c r="GT86" s="11"/>
      <c r="GU86" s="11"/>
      <c r="GV86" s="11"/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</row>
    <row r="87" spans="4:233" x14ac:dyDescent="0.55000000000000004"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GR87" s="11"/>
      <c r="GS87" s="11"/>
      <c r="GT87" s="11"/>
      <c r="GU87" s="11"/>
      <c r="GV87" s="11"/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</row>
    <row r="88" spans="4:233" x14ac:dyDescent="0.55000000000000004"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GR88" s="11"/>
      <c r="GS88" s="11"/>
      <c r="GT88" s="11"/>
      <c r="GU88" s="11"/>
      <c r="GV88" s="11"/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</row>
    <row r="89" spans="4:233" x14ac:dyDescent="0.55000000000000004"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GR89" s="11"/>
      <c r="GS89" s="11"/>
      <c r="GT89" s="11"/>
      <c r="GU89" s="11"/>
      <c r="GV89" s="11"/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</row>
    <row r="90" spans="4:233" x14ac:dyDescent="0.55000000000000004"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GR90" s="11"/>
      <c r="GS90" s="11"/>
      <c r="GT90" s="11"/>
      <c r="GU90" s="11"/>
      <c r="GV90" s="11"/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</row>
    <row r="91" spans="4:233" x14ac:dyDescent="0.55000000000000004">
      <c r="D91" t="s">
        <v>164</v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GR91" s="11"/>
      <c r="GS91" s="11"/>
      <c r="GT91" s="11"/>
      <c r="GU91" s="11"/>
      <c r="GV91" s="11"/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</row>
    <row r="92" spans="4:233" x14ac:dyDescent="0.55000000000000004"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GR92" s="11"/>
      <c r="GS92" s="11"/>
      <c r="GT92" s="11"/>
      <c r="GU92" s="11"/>
      <c r="GV92" s="11"/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</row>
    <row r="93" spans="4:233" x14ac:dyDescent="0.55000000000000004"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GR93" s="11"/>
      <c r="GS93" s="11"/>
      <c r="GT93" s="11"/>
      <c r="GU93" s="11"/>
      <c r="GV93" s="11"/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</row>
    <row r="94" spans="4:233" x14ac:dyDescent="0.55000000000000004"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GR94" s="11"/>
      <c r="GS94" s="11"/>
      <c r="GT94" s="11"/>
      <c r="GU94" s="11"/>
      <c r="GV94" s="11"/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</row>
    <row r="95" spans="4:233" x14ac:dyDescent="0.55000000000000004"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GR95" s="11"/>
      <c r="GS95" s="11"/>
      <c r="GT95" s="11"/>
      <c r="GU95" s="11"/>
      <c r="GV95" s="11"/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</row>
    <row r="96" spans="4:233" x14ac:dyDescent="0.55000000000000004"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GR96" s="11"/>
      <c r="GS96" s="11"/>
      <c r="GT96" s="11"/>
      <c r="GU96" s="11"/>
      <c r="GV96" s="11"/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</row>
    <row r="97" spans="4:233" x14ac:dyDescent="0.55000000000000004"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</row>
    <row r="98" spans="4:233" x14ac:dyDescent="0.55000000000000004"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</row>
    <row r="99" spans="4:233" x14ac:dyDescent="0.55000000000000004"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</row>
    <row r="100" spans="4:233" x14ac:dyDescent="0.55000000000000004"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</row>
    <row r="101" spans="4:233" x14ac:dyDescent="0.55000000000000004"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</row>
    <row r="102" spans="4:233" x14ac:dyDescent="0.55000000000000004"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</row>
    <row r="103" spans="4:233" x14ac:dyDescent="0.55000000000000004"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</row>
    <row r="104" spans="4:233" x14ac:dyDescent="0.55000000000000004"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EP104" t="s">
        <v>153</v>
      </c>
      <c r="EQ104" cm="1">
        <f t="array" aca="1" ref="EQ104:FR121" ca="1">_xlfn.LET(_xlpm.g,_xlfn.DROP(_xlfn.ANCHORARRAY($CO$4),1),_xlfn._xlws.FILTER(_xlpm.g,_xlfn.TAKE(_xlpm.g,,1)=3))</f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</row>
    <row r="105" spans="4:233" x14ac:dyDescent="0.55000000000000004"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aca="1" ref="GX105:GX122" ca="1">_xlfn.LET(_xlpm.V,_xlfn.DROP(_xlfn.ANCHORARRAY($EQ$104),,10),IF(1&lt;=COLUMNS(_xlpm.V),_xlfn.CHOOSECOLS(_xlpm.V,1),IF(_xlfn.SEQUENCE(ROWS(_xlpm.V)),NA())))</f>
      </c>
      <c r="GY105" cm="1">
        <f t="array" aca="1" ref="GY105:GY122" ca="1">_xlfn.LET(_xlpm.V,_xlfn.DROP(_xlfn.ANCHORARRAY($EQ$104),,10),IF(2&lt;=COLUMNS(_xlpm.V),_xlfn.CHOOSECOLS(_xlpm.V,2),IF(_xlfn.SEQUENCE(ROWS(_xlpm.V)),NA())))</f>
      </c>
      <c r="GZ105" cm="1">
        <f t="array" aca="1" ref="GZ105:GZ122" ca="1">_xlfn.LET(_xlpm.V,_xlfn.DROP(_xlfn.ANCHORARRAY($EQ$104),,10),IF(3&lt;=COLUMNS(_xlpm.V),_xlfn.CHOOSECOLS(_xlpm.V,3),IF(_xlfn.SEQUENCE(ROWS(_xlpm.V)),NA())))</f>
      </c>
      <c r="HA105" cm="1">
        <f t="array" aca="1" ref="HA105:HA122" ca="1">_xlfn.LET(_xlpm.V,_xlfn.DROP(_xlfn.ANCHORARRAY($EQ$104),,10),IF(4&lt;=COLUMNS(_xlpm.V),_xlfn.CHOOSECOLS(_xlpm.V,4),IF(_xlfn.SEQUENCE(ROWS(_xlpm.V)),NA())))</f>
      </c>
      <c r="HB105" cm="1">
        <f t="array" aca="1" ref="HB105:HB122" ca="1">_xlfn.LET(_xlpm.V,_xlfn.DROP(_xlfn.ANCHORARRAY($EQ$104),,10),IF(5&lt;=COLUMNS(_xlpm.V),_xlfn.CHOOSECOLS(_xlpm.V,5),IF(_xlfn.SEQUENCE(ROWS(_xlpm.V)),NA())))</f>
      </c>
      <c r="HD105" cm="1">
        <f t="array" aca="1" ref="HD105:HD122" ca="1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aca="1" ref="HF105:HF122" ca="1">_xlfn.CHOOSECOLS(_xlfn.ANCHORARRAY($EQ$104),8)+_xlfn.CHOOSECOLS(_xlfn.ANCHORARRAY($EQ$104),10)</f>
      </c>
      <c r="HG105" cm="1">
        <f t="array" aca="1" ref="HG105:HG122" ca="1">_xlfn.CHOOSECOLS(_xlfn.ANCHORARRAY($EQ$104),8)-_xlfn.CHOOSECOLS(_xlfn.ANCHORARRAY($EQ$104),10)</f>
      </c>
      <c r="HH105" cm="1">
        <f t="array" aca="1" ref="HH105:HH122" ca="1">_xlfn.LET(_xlpm.v,_xlfn.CHOOSECOLS(_xlfn._xlws.FILTER(_xlfn.DROP(_xlfn.ANCHORARRAY($HS$4),1),_xlfn.TAKE(_xlfn.DROP(_xlfn.ANCHORARRAY($HS$4),1),,1)=3),3),IF(_xlpm.v="",NA(),_xlpm.v))</f>
      </c>
      <c r="HI105" cm="1">
        <f t="array" aca="1" ref="HI105:HI122" ca="1">-_xlfn.ANCHORARRAY($HH$105)</f>
      </c>
      <c r="HJ105" cm="1">
        <f t="array" aca="1" ref="HJ105:HJ122" ca="1">_xlfn.LET(_xlpm.v,_xlfn.CHOOSECOLS(_xlfn._xlws.FILTER(_xlfn.DROP(_xlfn.ANCHORARRAY($HS$4),1),_xlfn.TAKE(_xlfn.DROP(_xlfn.ANCHORARRAY($HS$4),1),,1)=3),4),IF(_xlpm.v="",NA(),_xlpm.v))</f>
      </c>
      <c r="HK105" cm="1">
        <f t="array" aca="1" ref="HK105:HK122" ca="1">-_xlfn.ANCHORARRAY($HJ$105)</f>
      </c>
      <c r="HL105" cm="1">
        <f t="array" aca="1" ref="HL105:HL122" ca="1">_xlfn.LET(_xlpm.v,_xlfn.CHOOSECOLS(_xlfn._xlws.FILTER(_xlfn.DROP(_xlfn.ANCHORARRAY($HS$4),1),_xlfn.TAKE(_xlfn.DROP(_xlfn.ANCHORARRAY($HS$4),1),,1)=3),5),IF(_xlpm.v="",NA(),_xlpm.v))</f>
      </c>
      <c r="HM105" cm="1">
        <f t="array" aca="1" ref="HM105:HM122" ca="1">-_xlfn.ANCHORARRAY($HL$105)</f>
      </c>
      <c r="HN105" cm="1">
        <f t="array" aca="1" ref="HN105:HN122" ca="1">_xlfn.LET(_xlpm.v,_xlfn.CHOOSECOLS(_xlfn._xlws.FILTER(_xlfn.DROP(_xlfn.ANCHORARRAY($HS$4),1),_xlfn.TAKE(_xlfn.DROP(_xlfn.ANCHORARRAY($HS$4),1),,1)=3),6),IF(_xlpm.v="",NA(),_xlpm.v))</f>
      </c>
      <c r="HO105" cm="1">
        <f t="array" aca="1" ref="HO105:HO122" ca="1">-_xlfn.ANCHORARRAY($HN$105)</f>
      </c>
      <c r="HP105" cm="1">
        <f t="array" aca="1" ref="HP105:HP122" ca="1">_xlfn.LET(_xlpm.v,_xlfn.CHOOSECOLS(_xlfn._xlws.FILTER(_xlfn.DROP(_xlfn.ANCHORARRAY($HS$4),1),_xlfn.TAKE(_xlfn.DROP(_xlfn.ANCHORARRAY($HS$4),1),,1)=3),7),IF(_xlpm.v="",NA(),_xlpm.v))</f>
      </c>
      <c r="HQ105" cm="1">
        <f t="array" aca="1" ref="HQ105:HQ122" ca="1">-_xlfn.ANCHORARRAY($HP$105)</f>
      </c>
      <c r="HR105" cm="1">
        <f t="array" aca="1" ref="HR105" ca="1">IFERROR(INDEX(_xlfn._xlws.FILTER(_xlfn.DROP(_xlfn.ANCHORARRAY($HS$4),1),_xlfn.TAKE(_xlfn.DROP(_xlfn.ANCHORARRAY($HS$4),1),,1)=3),1,2),"")</f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</row>
    <row r="106" spans="4:233" x14ac:dyDescent="0.55000000000000004"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</row>
    <row r="107" spans="4:233" x14ac:dyDescent="0.55000000000000004">
      <c r="D107" t="s">
        <v>163</v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</row>
    <row r="108" spans="4:233" x14ac:dyDescent="0.55000000000000004">
      <c r="D108" s="2">
        <v>3</v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</row>
    <row r="109" spans="4:233" x14ac:dyDescent="0.55000000000000004"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</row>
    <row r="110" spans="4:233" x14ac:dyDescent="0.55000000000000004"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</row>
    <row r="111" spans="4:233" x14ac:dyDescent="0.55000000000000004"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</row>
    <row r="112" spans="4:233" x14ac:dyDescent="0.55000000000000004"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</row>
    <row r="113" spans="93:233" x14ac:dyDescent="0.55000000000000004"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</row>
    <row r="114" spans="93:233" x14ac:dyDescent="0.55000000000000004"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</row>
    <row r="115" spans="93:233" x14ac:dyDescent="0.55000000000000004"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</row>
    <row r="116" spans="93:233" x14ac:dyDescent="0.55000000000000004"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</row>
    <row r="117" spans="93:233" x14ac:dyDescent="0.55000000000000004"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</row>
    <row r="118" spans="93:233" x14ac:dyDescent="0.55000000000000004"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</row>
    <row r="119" spans="93:233" x14ac:dyDescent="0.55000000000000004"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</row>
    <row r="120" spans="93:233" x14ac:dyDescent="0.55000000000000004"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</row>
    <row r="121" spans="93:233" x14ac:dyDescent="0.55000000000000004"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</row>
    <row r="122" spans="93:233" x14ac:dyDescent="0.55000000000000004"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</row>
    <row r="123" spans="93:233" x14ac:dyDescent="0.55000000000000004"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GR123" s="11"/>
      <c r="GS123" s="11"/>
      <c r="GT123" s="11"/>
      <c r="GU123" s="11"/>
      <c r="GV123" s="11"/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</row>
    <row r="124" spans="93:233" x14ac:dyDescent="0.55000000000000004"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GR124" s="11"/>
      <c r="GS124" s="11"/>
      <c r="GT124" s="11"/>
      <c r="GU124" s="11"/>
      <c r="GV124" s="11"/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</row>
    <row r="125" spans="93:233" x14ac:dyDescent="0.55000000000000004"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GR125" s="11"/>
      <c r="GS125" s="11"/>
      <c r="GT125" s="11"/>
      <c r="GU125" s="11"/>
      <c r="GV125" s="11"/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</row>
    <row r="126" spans="93:233" x14ac:dyDescent="0.55000000000000004"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GR126" s="11"/>
      <c r="GS126" s="11"/>
      <c r="GT126" s="11"/>
      <c r="GU126" s="11"/>
      <c r="GV126" s="11"/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</row>
    <row r="127" spans="93:233" x14ac:dyDescent="0.55000000000000004"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GR127" s="11"/>
      <c r="GS127" s="11"/>
      <c r="GT127" s="11"/>
      <c r="GU127" s="11"/>
      <c r="GV127" s="11"/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</row>
    <row r="128" spans="93:233" x14ac:dyDescent="0.55000000000000004"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GR128" s="11"/>
      <c r="GS128" s="11"/>
      <c r="GT128" s="11"/>
      <c r="GU128" s="11"/>
      <c r="GV128" s="11"/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</row>
    <row r="129" spans="93:233" x14ac:dyDescent="0.55000000000000004"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GR129" s="11"/>
      <c r="GS129" s="11"/>
      <c r="GT129" s="11"/>
      <c r="GU129" s="11"/>
      <c r="GV129" s="11"/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</row>
    <row r="130" spans="93:233" x14ac:dyDescent="0.55000000000000004"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GR130" s="11"/>
      <c r="GS130" s="11"/>
      <c r="GT130" s="11"/>
      <c r="GU130" s="11"/>
      <c r="GV130" s="11"/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</row>
    <row r="131" spans="93:233" x14ac:dyDescent="0.55000000000000004"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GR131" s="11"/>
      <c r="GS131" s="11"/>
      <c r="GT131" s="11"/>
      <c r="GU131" s="11"/>
      <c r="GV131" s="11"/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</row>
    <row r="132" spans="93:233" x14ac:dyDescent="0.55000000000000004"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GR132" s="11"/>
      <c r="GS132" s="11"/>
      <c r="GT132" s="11"/>
      <c r="GU132" s="11"/>
      <c r="GV132" s="11"/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</row>
    <row r="133" spans="93:233" x14ac:dyDescent="0.55000000000000004"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GR133" s="11"/>
      <c r="GS133" s="11"/>
      <c r="GT133" s="11"/>
      <c r="GU133" s="11"/>
      <c r="GV133" s="11"/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</row>
    <row r="134" spans="93:233" x14ac:dyDescent="0.55000000000000004"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GR134" s="11"/>
      <c r="GS134" s="11"/>
      <c r="GT134" s="11"/>
      <c r="GU134" s="11"/>
      <c r="GV134" s="11"/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</row>
    <row r="135" spans="93:233" x14ac:dyDescent="0.55000000000000004"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GR135" s="11"/>
      <c r="GS135" s="11"/>
      <c r="GT135" s="11"/>
      <c r="GU135" s="11"/>
      <c r="GV135" s="11"/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</row>
    <row r="136" spans="93:233" x14ac:dyDescent="0.55000000000000004"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GR136" s="11"/>
      <c r="GS136" s="11"/>
      <c r="GT136" s="11"/>
      <c r="GU136" s="11"/>
      <c r="GV136" s="11"/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</row>
    <row r="137" spans="93:233" x14ac:dyDescent="0.55000000000000004"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GR137" s="11"/>
      <c r="GS137" s="11"/>
      <c r="GT137" s="11"/>
      <c r="GU137" s="11"/>
      <c r="GV137" s="11"/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</row>
    <row r="138" spans="93:233" x14ac:dyDescent="0.55000000000000004"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GR138" s="11"/>
      <c r="GS138" s="11"/>
      <c r="GT138" s="11"/>
      <c r="GU138" s="11"/>
      <c r="GV138" s="11"/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</row>
    <row r="139" spans="93:233" x14ac:dyDescent="0.55000000000000004"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GR139" s="11"/>
      <c r="GS139" s="11"/>
      <c r="GT139" s="11"/>
      <c r="GU139" s="11"/>
      <c r="GV139" s="11"/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</row>
    <row r="140" spans="93:233" x14ac:dyDescent="0.55000000000000004"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GR140" s="11"/>
      <c r="GS140" s="11"/>
      <c r="GT140" s="11"/>
      <c r="GU140" s="11"/>
      <c r="GV140" s="11"/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</row>
    <row r="141" spans="93:233" x14ac:dyDescent="0.55000000000000004"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GR141" s="11"/>
      <c r="GS141" s="11"/>
      <c r="GT141" s="11"/>
      <c r="GU141" s="11"/>
      <c r="GV141" s="11"/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</row>
    <row r="142" spans="93:233" x14ac:dyDescent="0.55000000000000004"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GR142" s="11"/>
      <c r="GS142" s="11"/>
      <c r="GT142" s="11"/>
      <c r="GU142" s="11"/>
      <c r="GV142" s="11"/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</row>
    <row r="143" spans="93:233" x14ac:dyDescent="0.55000000000000004"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GR143" s="11"/>
      <c r="GS143" s="11"/>
      <c r="GT143" s="11"/>
      <c r="GU143" s="11"/>
      <c r="GV143" s="11"/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</row>
    <row r="144" spans="93:233" x14ac:dyDescent="0.55000000000000004"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GR144" s="11"/>
      <c r="GS144" s="11"/>
      <c r="GT144" s="11"/>
      <c r="GU144" s="11"/>
      <c r="GV144" s="11"/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</row>
    <row r="145" spans="93:233" x14ac:dyDescent="0.55000000000000004"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GR145" s="11"/>
      <c r="GS145" s="11"/>
      <c r="GT145" s="11"/>
      <c r="GU145" s="11"/>
      <c r="GV145" s="11"/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</row>
    <row r="146" spans="93:233" x14ac:dyDescent="0.55000000000000004"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GR146" s="11"/>
      <c r="GS146" s="11"/>
      <c r="GT146" s="11"/>
      <c r="GU146" s="11"/>
      <c r="GV146" s="11"/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</row>
    <row r="147" spans="93:233" x14ac:dyDescent="0.55000000000000004"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</row>
    <row r="148" spans="93:233" x14ac:dyDescent="0.55000000000000004"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</row>
    <row r="149" spans="93:233" x14ac:dyDescent="0.55000000000000004"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</row>
    <row r="150" spans="93:233" x14ac:dyDescent="0.55000000000000004"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</row>
    <row r="151" spans="93:233" x14ac:dyDescent="0.55000000000000004"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</row>
    <row r="152" spans="93:233" x14ac:dyDescent="0.55000000000000004"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</row>
    <row r="153" spans="93:233" x14ac:dyDescent="0.55000000000000004"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</row>
    <row r="154" spans="93:233" x14ac:dyDescent="0.55000000000000004"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EP154" t="s">
        <v>155</v>
      </c>
      <c r="EQ154" cm="1">
        <f t="array" aca="1" ref="EQ154:FR171" ca="1">_xlfn.LET(_xlpm.g,_xlfn.DROP(_xlfn.ANCHORARRAY($CO$4),1),_xlfn._xlws.FILTER(_xlpm.g,_xlfn.TAKE(_xlpm.g,,1)=4))</f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</row>
    <row r="155" spans="93:233" x14ac:dyDescent="0.55000000000000004"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aca="1" ref="GX155:GX172" ca="1">_xlfn.LET(_xlpm.V,_xlfn.DROP(_xlfn.ANCHORARRAY($EQ$154),,10),IF(1&lt;=COLUMNS(_xlpm.V),_xlfn.CHOOSECOLS(_xlpm.V,1),IF(_xlfn.SEQUENCE(ROWS(_xlpm.V)),NA())))</f>
      </c>
      <c r="GY155" cm="1">
        <f t="array" aca="1" ref="GY155:GY172" ca="1">_xlfn.LET(_xlpm.V,_xlfn.DROP(_xlfn.ANCHORARRAY($EQ$154),,10),IF(2&lt;=COLUMNS(_xlpm.V),_xlfn.CHOOSECOLS(_xlpm.V,2),IF(_xlfn.SEQUENCE(ROWS(_xlpm.V)),NA())))</f>
      </c>
      <c r="GZ155" cm="1">
        <f t="array" aca="1" ref="GZ155:GZ172" ca="1">_xlfn.LET(_xlpm.V,_xlfn.DROP(_xlfn.ANCHORARRAY($EQ$154),,10),IF(3&lt;=COLUMNS(_xlpm.V),_xlfn.CHOOSECOLS(_xlpm.V,3),IF(_xlfn.SEQUENCE(ROWS(_xlpm.V)),NA())))</f>
      </c>
      <c r="HA155" cm="1">
        <f t="array" aca="1" ref="HA155:HA172" ca="1">_xlfn.LET(_xlpm.V,_xlfn.DROP(_xlfn.ANCHORARRAY($EQ$154),,10),IF(4&lt;=COLUMNS(_xlpm.V),_xlfn.CHOOSECOLS(_xlpm.V,4),IF(_xlfn.SEQUENCE(ROWS(_xlpm.V)),NA())))</f>
      </c>
      <c r="HB155" cm="1">
        <f t="array" aca="1" ref="HB155:HB172" ca="1">_xlfn.LET(_xlpm.V,_xlfn.DROP(_xlfn.ANCHORARRAY($EQ$154),,10),IF(5&lt;=COLUMNS(_xlpm.V),_xlfn.CHOOSECOLS(_xlpm.V,5),IF(_xlfn.SEQUENCE(ROWS(_xlpm.V)),NA())))</f>
      </c>
      <c r="HD155" cm="1">
        <f t="array" aca="1" ref="HD155:HD172" ca="1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aca="1" ref="HF155:HF172" ca="1">_xlfn.CHOOSECOLS(_xlfn.ANCHORARRAY($EQ$154),8)+_xlfn.CHOOSECOLS(_xlfn.ANCHORARRAY($EQ$154),10)</f>
      </c>
      <c r="HG155" cm="1">
        <f t="array" aca="1" ref="HG155:HG172" ca="1">_xlfn.CHOOSECOLS(_xlfn.ANCHORARRAY($EQ$154),8)-_xlfn.CHOOSECOLS(_xlfn.ANCHORARRAY($EQ$154),10)</f>
      </c>
      <c r="HH155" cm="1">
        <f t="array" aca="1" ref="HH155:HH172" ca="1">_xlfn.LET(_xlpm.v,_xlfn.CHOOSECOLS(_xlfn._xlws.FILTER(_xlfn.DROP(_xlfn.ANCHORARRAY($HS$4),1),_xlfn.TAKE(_xlfn.DROP(_xlfn.ANCHORARRAY($HS$4),1),,1)=4),3),IF(_xlpm.v="",NA(),_xlpm.v))</f>
      </c>
      <c r="HI155" cm="1">
        <f t="array" aca="1" ref="HI155:HI172" ca="1">-_xlfn.ANCHORARRAY($HH$155)</f>
      </c>
      <c r="HJ155" cm="1">
        <f t="array" aca="1" ref="HJ155:HJ172" ca="1">_xlfn.LET(_xlpm.v,_xlfn.CHOOSECOLS(_xlfn._xlws.FILTER(_xlfn.DROP(_xlfn.ANCHORARRAY($HS$4),1),_xlfn.TAKE(_xlfn.DROP(_xlfn.ANCHORARRAY($HS$4),1),,1)=4),4),IF(_xlpm.v="",NA(),_xlpm.v))</f>
      </c>
      <c r="HK155" cm="1">
        <f t="array" aca="1" ref="HK155:HK172" ca="1">-_xlfn.ANCHORARRAY($HJ$155)</f>
      </c>
      <c r="HL155" cm="1">
        <f t="array" aca="1" ref="HL155:HL172" ca="1">_xlfn.LET(_xlpm.v,_xlfn.CHOOSECOLS(_xlfn._xlws.FILTER(_xlfn.DROP(_xlfn.ANCHORARRAY($HS$4),1),_xlfn.TAKE(_xlfn.DROP(_xlfn.ANCHORARRAY($HS$4),1),,1)=4),5),IF(_xlpm.v="",NA(),_xlpm.v))</f>
      </c>
      <c r="HM155" cm="1">
        <f t="array" aca="1" ref="HM155:HM172" ca="1">-_xlfn.ANCHORARRAY($HL$155)</f>
      </c>
      <c r="HN155" cm="1">
        <f t="array" aca="1" ref="HN155:HN172" ca="1">_xlfn.LET(_xlpm.v,_xlfn.CHOOSECOLS(_xlfn._xlws.FILTER(_xlfn.DROP(_xlfn.ANCHORARRAY($HS$4),1),_xlfn.TAKE(_xlfn.DROP(_xlfn.ANCHORARRAY($HS$4),1),,1)=4),6),IF(_xlpm.v="",NA(),_xlpm.v))</f>
      </c>
      <c r="HO155" cm="1">
        <f t="array" aca="1" ref="HO155:HO172" ca="1">-_xlfn.ANCHORARRAY($HN$155)</f>
      </c>
      <c r="HP155" cm="1">
        <f t="array" aca="1" ref="HP155:HP172" ca="1">_xlfn.LET(_xlpm.v,_xlfn.CHOOSECOLS(_xlfn._xlws.FILTER(_xlfn.DROP(_xlfn.ANCHORARRAY($HS$4),1),_xlfn.TAKE(_xlfn.DROP(_xlfn.ANCHORARRAY($HS$4),1),,1)=4),7),IF(_xlpm.v="",NA(),_xlpm.v))</f>
      </c>
      <c r="HQ155" cm="1">
        <f t="array" aca="1" ref="HQ155:HQ172" ca="1">-_xlfn.ANCHORARRAY($HP$155)</f>
      </c>
      <c r="HR155" cm="1">
        <f t="array" aca="1" ref="HR155" ca="1">IFERROR(INDEX(_xlfn._xlws.FILTER(_xlfn.DROP(_xlfn.ANCHORARRAY($HS$4),1),_xlfn.TAKE(_xlfn.DROP(_xlfn.ANCHORARRAY($HS$4),1),,1)=4),1,2),"")</f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</row>
    <row r="156" spans="93:233" x14ac:dyDescent="0.55000000000000004"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</row>
    <row r="157" spans="93:233" x14ac:dyDescent="0.55000000000000004"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</row>
    <row r="158" spans="93:233" x14ac:dyDescent="0.55000000000000004"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</row>
    <row r="159" spans="93:233" x14ac:dyDescent="0.55000000000000004"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</row>
    <row r="160" spans="93:233" x14ac:dyDescent="0.55000000000000004"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</row>
    <row r="161" spans="93:233" x14ac:dyDescent="0.55000000000000004"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</row>
    <row r="162" spans="93:233" x14ac:dyDescent="0.55000000000000004"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</row>
    <row r="163" spans="93:233" x14ac:dyDescent="0.55000000000000004"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</row>
    <row r="164" spans="93:233" x14ac:dyDescent="0.55000000000000004"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</row>
    <row r="165" spans="93:233" x14ac:dyDescent="0.55000000000000004"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</row>
    <row r="166" spans="93:233" x14ac:dyDescent="0.55000000000000004"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</row>
    <row r="167" spans="93:233" x14ac:dyDescent="0.55000000000000004"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</row>
    <row r="168" spans="93:233" x14ac:dyDescent="0.55000000000000004"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</row>
    <row r="169" spans="93:233" x14ac:dyDescent="0.55000000000000004"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</row>
    <row r="170" spans="93:233" x14ac:dyDescent="0.55000000000000004"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</row>
    <row r="171" spans="93:233" x14ac:dyDescent="0.55000000000000004"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</row>
    <row r="172" spans="93:233" x14ac:dyDescent="0.55000000000000004"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</row>
    <row r="173" spans="93:233" x14ac:dyDescent="0.55000000000000004"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GR173" s="11"/>
      <c r="GS173" s="11"/>
      <c r="GT173" s="11"/>
      <c r="GU173" s="11"/>
      <c r="GV173" s="11"/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</row>
    <row r="174" spans="93:233" x14ac:dyDescent="0.55000000000000004"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GR174" s="11"/>
      <c r="GS174" s="11"/>
      <c r="GT174" s="11"/>
      <c r="GU174" s="11"/>
      <c r="GV174" s="11"/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</row>
    <row r="175" spans="93:233" x14ac:dyDescent="0.55000000000000004"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GR175" s="11"/>
      <c r="GS175" s="11"/>
      <c r="GT175" s="11"/>
      <c r="GU175" s="11"/>
      <c r="GV175" s="11"/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</row>
    <row r="176" spans="93:233" x14ac:dyDescent="0.55000000000000004"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GR176" s="11"/>
      <c r="GS176" s="11"/>
      <c r="GT176" s="11"/>
      <c r="GU176" s="11"/>
      <c r="GV176" s="11"/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</row>
    <row r="177" spans="93:233" x14ac:dyDescent="0.55000000000000004"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GR177" s="11"/>
      <c r="GS177" s="11"/>
      <c r="GT177" s="11"/>
      <c r="GU177" s="11"/>
      <c r="GV177" s="11"/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</row>
    <row r="178" spans="93:233" x14ac:dyDescent="0.55000000000000004"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GR178" s="11"/>
      <c r="GS178" s="11"/>
      <c r="GT178" s="11"/>
      <c r="GU178" s="11"/>
      <c r="GV178" s="11"/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</row>
    <row r="179" spans="93:233" x14ac:dyDescent="0.55000000000000004"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GR179" s="11"/>
      <c r="GS179" s="11"/>
      <c r="GT179" s="11"/>
      <c r="GU179" s="11"/>
      <c r="GV179" s="11"/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</row>
    <row r="180" spans="93:233" x14ac:dyDescent="0.55000000000000004"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GR180" s="11"/>
      <c r="GS180" s="11"/>
      <c r="GT180" s="11"/>
      <c r="GU180" s="11"/>
      <c r="GV180" s="11"/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</row>
    <row r="181" spans="93:233" x14ac:dyDescent="0.55000000000000004"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GR181" s="11"/>
      <c r="GS181" s="11"/>
      <c r="GT181" s="11"/>
      <c r="GU181" s="11"/>
      <c r="GV181" s="11"/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</row>
    <row r="182" spans="93:233" x14ac:dyDescent="0.55000000000000004"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GR182" s="11"/>
      <c r="GS182" s="11"/>
      <c r="GT182" s="11"/>
      <c r="GU182" s="11"/>
      <c r="GV182" s="11"/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</row>
    <row r="183" spans="93:233" x14ac:dyDescent="0.55000000000000004"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GR183" s="11"/>
      <c r="GS183" s="11"/>
      <c r="GT183" s="11"/>
      <c r="GU183" s="11"/>
      <c r="GV183" s="11"/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</row>
    <row r="184" spans="93:233" x14ac:dyDescent="0.55000000000000004"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GR184" s="11"/>
      <c r="GS184" s="11"/>
      <c r="GT184" s="11"/>
      <c r="GU184" s="11"/>
      <c r="GV184" s="11"/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aca="1" ref="EQ204:FR221" ca="1">_xlfn.LET(_xlpm.g,_xlfn.DROP(_xlfn.ANCHORARRAY($CO$4),1),_xlfn._xlws.FILTER(_xlpm.g,_xlfn.TAKE(_xlpm.g,,1)=5))</f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aca="1" ref="GX205:GX222" ca="1">_xlfn.LET(_xlpm.V,_xlfn.DROP(_xlfn.ANCHORARRAY($EQ$204),,10),IF(1&lt;=COLUMNS(_xlpm.V),_xlfn.CHOOSECOLS(_xlpm.V,1),IF(_xlfn.SEQUENCE(ROWS(_xlpm.V)),NA())))</f>
      </c>
      <c r="GY205" cm="1">
        <f t="array" aca="1" ref="GY205:GY222" ca="1">_xlfn.LET(_xlpm.V,_xlfn.DROP(_xlfn.ANCHORARRAY($EQ$204),,10),IF(2&lt;=COLUMNS(_xlpm.V),_xlfn.CHOOSECOLS(_xlpm.V,2),IF(_xlfn.SEQUENCE(ROWS(_xlpm.V)),NA())))</f>
      </c>
      <c r="GZ205" cm="1">
        <f t="array" aca="1" ref="GZ205:GZ222" ca="1">_xlfn.LET(_xlpm.V,_xlfn.DROP(_xlfn.ANCHORARRAY($EQ$204),,10),IF(3&lt;=COLUMNS(_xlpm.V),_xlfn.CHOOSECOLS(_xlpm.V,3),IF(_xlfn.SEQUENCE(ROWS(_xlpm.V)),NA())))</f>
      </c>
      <c r="HA205" cm="1">
        <f t="array" aca="1" ref="HA205:HA222" ca="1">_xlfn.LET(_xlpm.V,_xlfn.DROP(_xlfn.ANCHORARRAY($EQ$204),,10),IF(4&lt;=COLUMNS(_xlpm.V),_xlfn.CHOOSECOLS(_xlpm.V,4),IF(_xlfn.SEQUENCE(ROWS(_xlpm.V)),NA())))</f>
      </c>
      <c r="HB205" cm="1">
        <f t="array" aca="1" ref="HB205:HB222" ca="1">_xlfn.LET(_xlpm.V,_xlfn.DROP(_xlfn.ANCHORARRAY($EQ$204),,10),IF(5&lt;=COLUMNS(_xlpm.V),_xlfn.CHOOSECOLS(_xlpm.V,5),IF(_xlfn.SEQUENCE(ROWS(_xlpm.V)),NA())))</f>
      </c>
      <c r="HD205" cm="1">
        <f t="array" aca="1" ref="HD205:HD222" ca="1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aca="1" ref="HF205:HF222" ca="1">_xlfn.CHOOSECOLS(_xlfn.ANCHORARRAY($EQ$204),8)+_xlfn.CHOOSECOLS(_xlfn.ANCHORARRAY($EQ$204),10)</f>
      </c>
      <c r="HG205" cm="1">
        <f t="array" aca="1" ref="HG205:HG222" ca="1">_xlfn.CHOOSECOLS(_xlfn.ANCHORARRAY($EQ$204),8)-_xlfn.CHOOSECOLS(_xlfn.ANCHORARRAY($EQ$204),10)</f>
      </c>
      <c r="HH205" cm="1">
        <f t="array" aca="1" ref="HH205:HH222" ca="1">_xlfn.LET(_xlpm.v,_xlfn.CHOOSECOLS(_xlfn._xlws.FILTER(_xlfn.DROP(_xlfn.ANCHORARRAY($HS$4),1),_xlfn.TAKE(_xlfn.DROP(_xlfn.ANCHORARRAY($HS$4),1),,1)=5),3),IF(_xlpm.v="",NA(),_xlpm.v))</f>
      </c>
      <c r="HI205" cm="1">
        <f t="array" aca="1" ref="HI205:HI222" ca="1">-_xlfn.ANCHORARRAY($HH$205)</f>
      </c>
      <c r="HJ205" cm="1">
        <f t="array" aca="1" ref="HJ205:HJ222" ca="1">_xlfn.LET(_xlpm.v,_xlfn.CHOOSECOLS(_xlfn._xlws.FILTER(_xlfn.DROP(_xlfn.ANCHORARRAY($HS$4),1),_xlfn.TAKE(_xlfn.DROP(_xlfn.ANCHORARRAY($HS$4),1),,1)=5),4),IF(_xlpm.v="",NA(),_xlpm.v))</f>
      </c>
      <c r="HK205" cm="1">
        <f t="array" aca="1" ref="HK205:HK222" ca="1">-_xlfn.ANCHORARRAY($HJ$205)</f>
      </c>
      <c r="HL205" cm="1">
        <f t="array" aca="1" ref="HL205:HL222" ca="1">_xlfn.LET(_xlpm.v,_xlfn.CHOOSECOLS(_xlfn._xlws.FILTER(_xlfn.DROP(_xlfn.ANCHORARRAY($HS$4),1),_xlfn.TAKE(_xlfn.DROP(_xlfn.ANCHORARRAY($HS$4),1),,1)=5),5),IF(_xlpm.v="",NA(),_xlpm.v))</f>
      </c>
      <c r="HM205" cm="1">
        <f t="array" aca="1" ref="HM205:HM222" ca="1">-_xlfn.ANCHORARRAY($HL$205)</f>
      </c>
      <c r="HN205" cm="1">
        <f t="array" aca="1" ref="HN205:HN222" ca="1">_xlfn.LET(_xlpm.v,_xlfn.CHOOSECOLS(_xlfn._xlws.FILTER(_xlfn.DROP(_xlfn.ANCHORARRAY($HS$4),1),_xlfn.TAKE(_xlfn.DROP(_xlfn.ANCHORARRAY($HS$4),1),,1)=5),6),IF(_xlpm.v="",NA(),_xlpm.v))</f>
      </c>
      <c r="HO205" cm="1">
        <f t="array" aca="1" ref="HO205:HO222" ca="1">-_xlfn.ANCHORARRAY($HN$205)</f>
      </c>
      <c r="HP205" cm="1">
        <f t="array" aca="1" ref="HP205:HP222" ca="1">_xlfn.LET(_xlpm.v,_xlfn.CHOOSECOLS(_xlfn._xlws.FILTER(_xlfn.DROP(_xlfn.ANCHORARRAY($HS$4),1),_xlfn.TAKE(_xlfn.DROP(_xlfn.ANCHORARRAY($HS$4),1),,1)=5),7),IF(_xlpm.v="",NA(),_xlpm.v))</f>
      </c>
      <c r="HQ205" cm="1">
        <f t="array" aca="1" ref="HQ205:HQ222" ca="1">-_xlfn.ANCHORARRAY($HP$205)</f>
      </c>
      <c r="HR205" cm="1">
        <f t="array" aca="1" ref="HR205" ca="1">IFERROR(INDEX(_xlfn._xlws.FILTER(_xlfn.DROP(_xlfn.ANCHORARRAY($HS$4),1),_xlfn.TAKE(_xlfn.DROP(_xlfn.ANCHORARRAY($HS$4),1),,1)=5),1,2),"")</f>
      </c>
    </row>
    <row r="206" spans="146:226" x14ac:dyDescent="0.55000000000000004"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GX206">
        <f ca="1"/>
      </c>
      <c r="GY206">
        <f ca="1"/>
      </c>
      <c r="GZ206">
        <f ca="1"/>
      </c>
      <c r="HA206">
        <f ca="1"/>
      </c>
      <c r="HB206">
        <f ca="1"/>
      </c>
      <c r="HD206">
        <f ca="1"/>
      </c>
      <c r="HE206">
        <f ca="1"/>
      </c>
      <c r="HF206">
        <f ca="1"/>
      </c>
      <c r="HG206">
        <f ca="1"/>
      </c>
      <c r="HH206">
        <f ca="1"/>
      </c>
      <c r="HI206">
        <f ca="1"/>
      </c>
      <c r="HJ206">
        <f ca="1"/>
      </c>
      <c r="HK206">
        <f ca="1"/>
      </c>
      <c r="HL206">
        <f ca="1"/>
      </c>
      <c r="HM206">
        <f ca="1"/>
      </c>
      <c r="HN206">
        <f ca="1"/>
      </c>
      <c r="HO206">
        <f ca="1"/>
      </c>
      <c r="HP206">
        <f ca="1"/>
      </c>
      <c r="HQ206">
        <f ca="1"/>
      </c>
    </row>
    <row r="207" spans="146:226" x14ac:dyDescent="0.55000000000000004"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GX207">
        <f ca="1"/>
      </c>
      <c r="GY207">
        <f ca="1"/>
      </c>
      <c r="GZ207">
        <f ca="1"/>
      </c>
      <c r="HA207">
        <f ca="1"/>
      </c>
      <c r="HB207">
        <f ca="1"/>
      </c>
      <c r="HD207">
        <f ca="1"/>
      </c>
      <c r="HE207">
        <f ca="1"/>
      </c>
      <c r="HF207">
        <f ca="1"/>
      </c>
      <c r="HG207">
        <f ca="1"/>
      </c>
      <c r="HH207">
        <f ca="1"/>
      </c>
      <c r="HI207">
        <f ca="1"/>
      </c>
      <c r="HJ207">
        <f ca="1"/>
      </c>
      <c r="HK207">
        <f ca="1"/>
      </c>
      <c r="HL207">
        <f ca="1"/>
      </c>
      <c r="HM207">
        <f ca="1"/>
      </c>
      <c r="HN207">
        <f ca="1"/>
      </c>
      <c r="HO207">
        <f ca="1"/>
      </c>
      <c r="HP207">
        <f ca="1"/>
      </c>
      <c r="HQ207">
        <f ca="1"/>
      </c>
    </row>
    <row r="208" spans="146:226" x14ac:dyDescent="0.55000000000000004"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GX208">
        <f ca="1"/>
      </c>
      <c r="GY208">
        <f ca="1"/>
      </c>
      <c r="GZ208">
        <f ca="1"/>
      </c>
      <c r="HA208">
        <f ca="1"/>
      </c>
      <c r="HB208">
        <f ca="1"/>
      </c>
      <c r="HD208">
        <f ca="1"/>
      </c>
      <c r="HE208">
        <f ca="1"/>
      </c>
      <c r="HF208">
        <f ca="1"/>
      </c>
      <c r="HG208">
        <f ca="1"/>
      </c>
      <c r="HH208">
        <f ca="1"/>
      </c>
      <c r="HI208">
        <f ca="1"/>
      </c>
      <c r="HJ208">
        <f ca="1"/>
      </c>
      <c r="HK208">
        <f ca="1"/>
      </c>
      <c r="HL208">
        <f ca="1"/>
      </c>
      <c r="HM208">
        <f ca="1"/>
      </c>
      <c r="HN208">
        <f ca="1"/>
      </c>
      <c r="HO208">
        <f ca="1"/>
      </c>
      <c r="HP208">
        <f ca="1"/>
      </c>
      <c r="HQ208">
        <f ca="1"/>
      </c>
    </row>
    <row r="209" spans="147:225" x14ac:dyDescent="0.55000000000000004"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GX209">
        <f ca="1"/>
      </c>
      <c r="GY209">
        <f ca="1"/>
      </c>
      <c r="GZ209">
        <f ca="1"/>
      </c>
      <c r="HA209">
        <f ca="1"/>
      </c>
      <c r="HB209">
        <f ca="1"/>
      </c>
      <c r="HD209">
        <f ca="1"/>
      </c>
      <c r="HE209">
        <f ca="1"/>
      </c>
      <c r="HF209">
        <f ca="1"/>
      </c>
      <c r="HG209">
        <f ca="1"/>
      </c>
      <c r="HH209">
        <f ca="1"/>
      </c>
      <c r="HI209">
        <f ca="1"/>
      </c>
      <c r="HJ209">
        <f ca="1"/>
      </c>
      <c r="HK209">
        <f ca="1"/>
      </c>
      <c r="HL209">
        <f ca="1"/>
      </c>
      <c r="HM209">
        <f ca="1"/>
      </c>
      <c r="HN209">
        <f ca="1"/>
      </c>
      <c r="HO209">
        <f ca="1"/>
      </c>
      <c r="HP209">
        <f ca="1"/>
      </c>
      <c r="HQ209">
        <f ca="1"/>
      </c>
    </row>
    <row r="210" spans="147:225" x14ac:dyDescent="0.55000000000000004"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GX210">
        <f ca="1"/>
      </c>
      <c r="GY210">
        <f ca="1"/>
      </c>
      <c r="GZ210">
        <f ca="1"/>
      </c>
      <c r="HA210">
        <f ca="1"/>
      </c>
      <c r="HB210">
        <f ca="1"/>
      </c>
      <c r="HD210">
        <f ca="1"/>
      </c>
      <c r="HE210">
        <f ca="1"/>
      </c>
      <c r="HF210">
        <f ca="1"/>
      </c>
      <c r="HG210">
        <f ca="1"/>
      </c>
      <c r="HH210">
        <f ca="1"/>
      </c>
      <c r="HI210">
        <f ca="1"/>
      </c>
      <c r="HJ210">
        <f ca="1"/>
      </c>
      <c r="HK210">
        <f ca="1"/>
      </c>
      <c r="HL210">
        <f ca="1"/>
      </c>
      <c r="HM210">
        <f ca="1"/>
      </c>
      <c r="HN210">
        <f ca="1"/>
      </c>
      <c r="HO210">
        <f ca="1"/>
      </c>
      <c r="HP210">
        <f ca="1"/>
      </c>
      <c r="HQ210">
        <f ca="1"/>
      </c>
    </row>
    <row r="211" spans="147:225" x14ac:dyDescent="0.55000000000000004"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GX211">
        <f ca="1"/>
      </c>
      <c r="GY211">
        <f ca="1"/>
      </c>
      <c r="GZ211">
        <f ca="1"/>
      </c>
      <c r="HA211">
        <f ca="1"/>
      </c>
      <c r="HB211">
        <f ca="1"/>
      </c>
      <c r="HD211">
        <f ca="1"/>
      </c>
      <c r="HE211">
        <f ca="1"/>
      </c>
      <c r="HF211">
        <f ca="1"/>
      </c>
      <c r="HG211">
        <f ca="1"/>
      </c>
      <c r="HH211">
        <f ca="1"/>
      </c>
      <c r="HI211">
        <f ca="1"/>
      </c>
      <c r="HJ211">
        <f ca="1"/>
      </c>
      <c r="HK211">
        <f ca="1"/>
      </c>
      <c r="HL211">
        <f ca="1"/>
      </c>
      <c r="HM211">
        <f ca="1"/>
      </c>
      <c r="HN211">
        <f ca="1"/>
      </c>
      <c r="HO211">
        <f ca="1"/>
      </c>
      <c r="HP211">
        <f ca="1"/>
      </c>
      <c r="HQ211">
        <f ca="1"/>
      </c>
    </row>
    <row r="212" spans="147:225" x14ac:dyDescent="0.55000000000000004"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GX212">
        <f ca="1"/>
      </c>
      <c r="GY212">
        <f ca="1"/>
      </c>
      <c r="GZ212">
        <f ca="1"/>
      </c>
      <c r="HA212">
        <f ca="1"/>
      </c>
      <c r="HB212">
        <f ca="1"/>
      </c>
      <c r="HD212">
        <f ca="1"/>
      </c>
      <c r="HE212">
        <f ca="1"/>
      </c>
      <c r="HF212">
        <f ca="1"/>
      </c>
      <c r="HG212">
        <f ca="1"/>
      </c>
      <c r="HH212">
        <f ca="1"/>
      </c>
      <c r="HI212">
        <f ca="1"/>
      </c>
      <c r="HJ212">
        <f ca="1"/>
      </c>
      <c r="HK212">
        <f ca="1"/>
      </c>
      <c r="HL212">
        <f ca="1"/>
      </c>
      <c r="HM212">
        <f ca="1"/>
      </c>
      <c r="HN212">
        <f ca="1"/>
      </c>
      <c r="HO212">
        <f ca="1"/>
      </c>
      <c r="HP212">
        <f ca="1"/>
      </c>
      <c r="HQ212">
        <f ca="1"/>
      </c>
    </row>
    <row r="213" spans="147:225" x14ac:dyDescent="0.55000000000000004"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GX213">
        <f ca="1"/>
      </c>
      <c r="GY213">
        <f ca="1"/>
      </c>
      <c r="GZ213">
        <f ca="1"/>
      </c>
      <c r="HA213">
        <f ca="1"/>
      </c>
      <c r="HB213">
        <f ca="1"/>
      </c>
      <c r="HD213">
        <f ca="1"/>
      </c>
      <c r="HE213">
        <f ca="1"/>
      </c>
      <c r="HF213">
        <f ca="1"/>
      </c>
      <c r="HG213">
        <f ca="1"/>
      </c>
      <c r="HH213">
        <f ca="1"/>
      </c>
      <c r="HI213">
        <f ca="1"/>
      </c>
      <c r="HJ213">
        <f ca="1"/>
      </c>
      <c r="HK213">
        <f ca="1"/>
      </c>
      <c r="HL213">
        <f ca="1"/>
      </c>
      <c r="HM213">
        <f ca="1"/>
      </c>
      <c r="HN213">
        <f ca="1"/>
      </c>
      <c r="HO213">
        <f ca="1"/>
      </c>
      <c r="HP213">
        <f ca="1"/>
      </c>
      <c r="HQ213">
        <f ca="1"/>
      </c>
    </row>
    <row r="214" spans="147:225" x14ac:dyDescent="0.55000000000000004"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GX214">
        <f ca="1"/>
      </c>
      <c r="GY214">
        <f ca="1"/>
      </c>
      <c r="GZ214">
        <f ca="1"/>
      </c>
      <c r="HA214">
        <f ca="1"/>
      </c>
      <c r="HB214">
        <f ca="1"/>
      </c>
      <c r="HD214">
        <f ca="1"/>
      </c>
      <c r="HE214">
        <f ca="1"/>
      </c>
      <c r="HF214">
        <f ca="1"/>
      </c>
      <c r="HG214">
        <f ca="1"/>
      </c>
      <c r="HH214">
        <f ca="1"/>
      </c>
      <c r="HI214">
        <f ca="1"/>
      </c>
      <c r="HJ214">
        <f ca="1"/>
      </c>
      <c r="HK214">
        <f ca="1"/>
      </c>
      <c r="HL214">
        <f ca="1"/>
      </c>
      <c r="HM214">
        <f ca="1"/>
      </c>
      <c r="HN214">
        <f ca="1"/>
      </c>
      <c r="HO214">
        <f ca="1"/>
      </c>
      <c r="HP214">
        <f ca="1"/>
      </c>
      <c r="HQ214">
        <f ca="1"/>
      </c>
    </row>
    <row r="215" spans="147:225" x14ac:dyDescent="0.55000000000000004"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GX215">
        <f ca="1"/>
      </c>
      <c r="GY215">
        <f ca="1"/>
      </c>
      <c r="GZ215">
        <f ca="1"/>
      </c>
      <c r="HA215">
        <f ca="1"/>
      </c>
      <c r="HB215">
        <f ca="1"/>
      </c>
      <c r="HD215">
        <f ca="1"/>
      </c>
      <c r="HE215">
        <f ca="1"/>
      </c>
      <c r="HF215">
        <f ca="1"/>
      </c>
      <c r="HG215">
        <f ca="1"/>
      </c>
      <c r="HH215">
        <f ca="1"/>
      </c>
      <c r="HI215">
        <f ca="1"/>
      </c>
      <c r="HJ215">
        <f ca="1"/>
      </c>
      <c r="HK215">
        <f ca="1"/>
      </c>
      <c r="HL215">
        <f ca="1"/>
      </c>
      <c r="HM215">
        <f ca="1"/>
      </c>
      <c r="HN215">
        <f ca="1"/>
      </c>
      <c r="HO215">
        <f ca="1"/>
      </c>
      <c r="HP215">
        <f ca="1"/>
      </c>
      <c r="HQ215">
        <f ca="1"/>
      </c>
    </row>
    <row r="216" spans="147:225" x14ac:dyDescent="0.55000000000000004"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GX216">
        <f ca="1"/>
      </c>
      <c r="GY216">
        <f ca="1"/>
      </c>
      <c r="GZ216">
        <f ca="1"/>
      </c>
      <c r="HA216">
        <f ca="1"/>
      </c>
      <c r="HB216">
        <f ca="1"/>
      </c>
      <c r="HD216">
        <f ca="1"/>
      </c>
      <c r="HE216">
        <f ca="1"/>
      </c>
      <c r="HF216">
        <f ca="1"/>
      </c>
      <c r="HG216">
        <f ca="1"/>
      </c>
      <c r="HH216">
        <f ca="1"/>
      </c>
      <c r="HI216">
        <f ca="1"/>
      </c>
      <c r="HJ216">
        <f ca="1"/>
      </c>
      <c r="HK216">
        <f ca="1"/>
      </c>
      <c r="HL216">
        <f ca="1"/>
      </c>
      <c r="HM216">
        <f ca="1"/>
      </c>
      <c r="HN216">
        <f ca="1"/>
      </c>
      <c r="HO216">
        <f ca="1"/>
      </c>
      <c r="HP216">
        <f ca="1"/>
      </c>
      <c r="HQ216">
        <f ca="1"/>
      </c>
    </row>
    <row r="217" spans="147:225" x14ac:dyDescent="0.55000000000000004"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GX217">
        <f ca="1"/>
      </c>
      <c r="GY217">
        <f ca="1"/>
      </c>
      <c r="GZ217">
        <f ca="1"/>
      </c>
      <c r="HA217">
        <f ca="1"/>
      </c>
      <c r="HB217">
        <f ca="1"/>
      </c>
      <c r="HD217">
        <f ca="1"/>
      </c>
      <c r="HE217">
        <f ca="1"/>
      </c>
      <c r="HF217">
        <f ca="1"/>
      </c>
      <c r="HG217">
        <f ca="1"/>
      </c>
      <c r="HH217">
        <f ca="1"/>
      </c>
      <c r="HI217">
        <f ca="1"/>
      </c>
      <c r="HJ217">
        <f ca="1"/>
      </c>
      <c r="HK217">
        <f ca="1"/>
      </c>
      <c r="HL217">
        <f ca="1"/>
      </c>
      <c r="HM217">
        <f ca="1"/>
      </c>
      <c r="HN217">
        <f ca="1"/>
      </c>
      <c r="HO217">
        <f ca="1"/>
      </c>
      <c r="HP217">
        <f ca="1"/>
      </c>
      <c r="HQ217">
        <f ca="1"/>
      </c>
    </row>
    <row r="218" spans="147:225" x14ac:dyDescent="0.55000000000000004"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GX218">
        <f ca="1"/>
      </c>
      <c r="GY218">
        <f ca="1"/>
      </c>
      <c r="GZ218">
        <f ca="1"/>
      </c>
      <c r="HA218">
        <f ca="1"/>
      </c>
      <c r="HB218">
        <f ca="1"/>
      </c>
      <c r="HD218">
        <f ca="1"/>
      </c>
      <c r="HE218">
        <f ca="1"/>
      </c>
      <c r="HF218">
        <f ca="1"/>
      </c>
      <c r="HG218">
        <f ca="1"/>
      </c>
      <c r="HH218">
        <f ca="1"/>
      </c>
      <c r="HI218">
        <f ca="1"/>
      </c>
      <c r="HJ218">
        <f ca="1"/>
      </c>
      <c r="HK218">
        <f ca="1"/>
      </c>
      <c r="HL218">
        <f ca="1"/>
      </c>
      <c r="HM218">
        <f ca="1"/>
      </c>
      <c r="HN218">
        <f ca="1"/>
      </c>
      <c r="HO218">
        <f ca="1"/>
      </c>
      <c r="HP218">
        <f ca="1"/>
      </c>
      <c r="HQ218">
        <f ca="1"/>
      </c>
    </row>
    <row r="219" spans="147:225" x14ac:dyDescent="0.55000000000000004"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GX219">
        <f ca="1"/>
      </c>
      <c r="GY219">
        <f ca="1"/>
      </c>
      <c r="GZ219">
        <f ca="1"/>
      </c>
      <c r="HA219">
        <f ca="1"/>
      </c>
      <c r="HB219">
        <f ca="1"/>
      </c>
      <c r="HD219">
        <f ca="1"/>
      </c>
      <c r="HE219">
        <f ca="1"/>
      </c>
      <c r="HF219">
        <f ca="1"/>
      </c>
      <c r="HG219">
        <f ca="1"/>
      </c>
      <c r="HH219">
        <f ca="1"/>
      </c>
      <c r="HI219">
        <f ca="1"/>
      </c>
      <c r="HJ219">
        <f ca="1"/>
      </c>
      <c r="HK219">
        <f ca="1"/>
      </c>
      <c r="HL219">
        <f ca="1"/>
      </c>
      <c r="HM219">
        <f ca="1"/>
      </c>
      <c r="HN219">
        <f ca="1"/>
      </c>
      <c r="HO219">
        <f ca="1"/>
      </c>
      <c r="HP219">
        <f ca="1"/>
      </c>
      <c r="HQ219">
        <f ca="1"/>
      </c>
    </row>
    <row r="220" spans="147:225" x14ac:dyDescent="0.55000000000000004"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GX220">
        <f ca="1"/>
      </c>
      <c r="GY220">
        <f ca="1"/>
      </c>
      <c r="GZ220">
        <f ca="1"/>
      </c>
      <c r="HA220">
        <f ca="1"/>
      </c>
      <c r="HB220">
        <f ca="1"/>
      </c>
      <c r="HD220">
        <f ca="1"/>
      </c>
      <c r="HE220">
        <f ca="1"/>
      </c>
      <c r="HF220">
        <f ca="1"/>
      </c>
      <c r="HG220">
        <f ca="1"/>
      </c>
      <c r="HH220">
        <f ca="1"/>
      </c>
      <c r="HI220">
        <f ca="1"/>
      </c>
      <c r="HJ220">
        <f ca="1"/>
      </c>
      <c r="HK220">
        <f ca="1"/>
      </c>
      <c r="HL220">
        <f ca="1"/>
      </c>
      <c r="HM220">
        <f ca="1"/>
      </c>
      <c r="HN220">
        <f ca="1"/>
      </c>
      <c r="HO220">
        <f ca="1"/>
      </c>
      <c r="HP220">
        <f ca="1"/>
      </c>
      <c r="HQ220">
        <f ca="1"/>
      </c>
    </row>
    <row r="221" spans="147:225" x14ac:dyDescent="0.55000000000000004"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GX221">
        <f ca="1"/>
      </c>
      <c r="GY221">
        <f ca="1"/>
      </c>
      <c r="GZ221">
        <f ca="1"/>
      </c>
      <c r="HA221">
        <f ca="1"/>
      </c>
      <c r="HB221">
        <f ca="1"/>
      </c>
      <c r="HD221">
        <f ca="1"/>
      </c>
      <c r="HE221">
        <f ca="1"/>
      </c>
      <c r="HF221">
        <f ca="1"/>
      </c>
      <c r="HG221">
        <f ca="1"/>
      </c>
      <c r="HH221">
        <f ca="1"/>
      </c>
      <c r="HI221">
        <f ca="1"/>
      </c>
      <c r="HJ221">
        <f ca="1"/>
      </c>
      <c r="HK221">
        <f ca="1"/>
      </c>
      <c r="HL221">
        <f ca="1"/>
      </c>
      <c r="HM221">
        <f ca="1"/>
      </c>
      <c r="HN221">
        <f ca="1"/>
      </c>
      <c r="HO221">
        <f ca="1"/>
      </c>
      <c r="HP221">
        <f ca="1"/>
      </c>
      <c r="HQ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GX222">
        <f ca="1"/>
      </c>
      <c r="GY222">
        <f ca="1"/>
      </c>
      <c r="GZ222">
        <f ca="1"/>
      </c>
      <c r="HA222">
        <f ca="1"/>
      </c>
      <c r="HB222">
        <f ca="1"/>
      </c>
      <c r="HD222">
        <f ca="1"/>
      </c>
      <c r="HE222">
        <f ca="1"/>
      </c>
      <c r="HF222">
        <f ca="1"/>
      </c>
      <c r="HG222">
        <f ca="1"/>
      </c>
      <c r="HH222">
        <f ca="1"/>
      </c>
      <c r="HI222">
        <f ca="1"/>
      </c>
      <c r="HJ222">
        <f ca="1"/>
      </c>
      <c r="HK222">
        <f ca="1"/>
      </c>
      <c r="HL222">
        <f ca="1"/>
      </c>
      <c r="HM222">
        <f ca="1"/>
      </c>
      <c r="HN222">
        <f ca="1"/>
      </c>
      <c r="HO222">
        <f ca="1"/>
      </c>
      <c r="HP222">
        <f ca="1"/>
      </c>
      <c r="HQ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aca="1" ref="EQ254:FR271" ca="1">_xlfn.LET(_xlpm.g,_xlfn.DROP(_xlfn.ANCHORARRAY($CO$4),1),_xlfn._xlws.FILTER(_xlpm.g,_xlfn.TAKE(_xlpm.g,,1)=6))</f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aca="1" ref="GX255:GX272" ca="1">_xlfn.LET(_xlpm.V,_xlfn.DROP(_xlfn.ANCHORARRAY($EQ$254),,10),IF(1&lt;=COLUMNS(_xlpm.V),_xlfn.CHOOSECOLS(_xlpm.V,1),IF(_xlfn.SEQUENCE(ROWS(_xlpm.V)),NA())))</f>
      </c>
      <c r="GY255" cm="1">
        <f t="array" aca="1" ref="GY255:GY272" ca="1">_xlfn.LET(_xlpm.V,_xlfn.DROP(_xlfn.ANCHORARRAY($EQ$254),,10),IF(2&lt;=COLUMNS(_xlpm.V),_xlfn.CHOOSECOLS(_xlpm.V,2),IF(_xlfn.SEQUENCE(ROWS(_xlpm.V)),NA())))</f>
      </c>
      <c r="GZ255" cm="1">
        <f t="array" aca="1" ref="GZ255:GZ272" ca="1">_xlfn.LET(_xlpm.V,_xlfn.DROP(_xlfn.ANCHORARRAY($EQ$254),,10),IF(3&lt;=COLUMNS(_xlpm.V),_xlfn.CHOOSECOLS(_xlpm.V,3),IF(_xlfn.SEQUENCE(ROWS(_xlpm.V)),NA())))</f>
      </c>
      <c r="HA255" cm="1">
        <f t="array" aca="1" ref="HA255:HA272" ca="1">_xlfn.LET(_xlpm.V,_xlfn.DROP(_xlfn.ANCHORARRAY($EQ$254),,10),IF(4&lt;=COLUMNS(_xlpm.V),_xlfn.CHOOSECOLS(_xlpm.V,4),IF(_xlfn.SEQUENCE(ROWS(_xlpm.V)),NA())))</f>
      </c>
      <c r="HB255" cm="1">
        <f t="array" aca="1" ref="HB255:HB272" ca="1">_xlfn.LET(_xlpm.V,_xlfn.DROP(_xlfn.ANCHORARRAY($EQ$254),,10),IF(5&lt;=COLUMNS(_xlpm.V),_xlfn.CHOOSECOLS(_xlpm.V,5),IF(_xlfn.SEQUENCE(ROWS(_xlpm.V)),NA())))</f>
      </c>
      <c r="HD255" cm="1">
        <f t="array" aca="1" ref="HD255:HD272" ca="1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aca="1" ref="HF255:HF272" ca="1">_xlfn.CHOOSECOLS(_xlfn.ANCHORARRAY($EQ$254),8)+_xlfn.CHOOSECOLS(_xlfn.ANCHORARRAY($EQ$254),10)</f>
      </c>
      <c r="HG255" cm="1">
        <f t="array" aca="1" ref="HG255:HG272" ca="1">_xlfn.CHOOSECOLS(_xlfn.ANCHORARRAY($EQ$254),8)-_xlfn.CHOOSECOLS(_xlfn.ANCHORARRAY($EQ$254),10)</f>
      </c>
      <c r="HH255" cm="1">
        <f t="array" aca="1" ref="HH255:HH272" ca="1">_xlfn.LET(_xlpm.v,_xlfn.CHOOSECOLS(_xlfn._xlws.FILTER(_xlfn.DROP(_xlfn.ANCHORARRAY($HS$4),1),_xlfn.TAKE(_xlfn.DROP(_xlfn.ANCHORARRAY($HS$4),1),,1)=6),3),IF(_xlpm.v="",NA(),_xlpm.v))</f>
      </c>
      <c r="HI255" cm="1">
        <f t="array" aca="1" ref="HI255:HI272" ca="1">-_xlfn.ANCHORARRAY($HH$255)</f>
      </c>
      <c r="HJ255" cm="1">
        <f t="array" aca="1" ref="HJ255:HJ272" ca="1">_xlfn.LET(_xlpm.v,_xlfn.CHOOSECOLS(_xlfn._xlws.FILTER(_xlfn.DROP(_xlfn.ANCHORARRAY($HS$4),1),_xlfn.TAKE(_xlfn.DROP(_xlfn.ANCHORARRAY($HS$4),1),,1)=6),4),IF(_xlpm.v="",NA(),_xlpm.v))</f>
      </c>
      <c r="HK255" cm="1">
        <f t="array" aca="1" ref="HK255:HK272" ca="1">-_xlfn.ANCHORARRAY($HJ$255)</f>
      </c>
      <c r="HL255" cm="1">
        <f t="array" aca="1" ref="HL255:HL272" ca="1">_xlfn.LET(_xlpm.v,_xlfn.CHOOSECOLS(_xlfn._xlws.FILTER(_xlfn.DROP(_xlfn.ANCHORARRAY($HS$4),1),_xlfn.TAKE(_xlfn.DROP(_xlfn.ANCHORARRAY($HS$4),1),,1)=6),5),IF(_xlpm.v="",NA(),_xlpm.v))</f>
      </c>
      <c r="HM255" cm="1">
        <f t="array" aca="1" ref="HM255:HM272" ca="1">-_xlfn.ANCHORARRAY($HL$255)</f>
      </c>
      <c r="HN255" cm="1">
        <f t="array" aca="1" ref="HN255:HN272" ca="1">_xlfn.LET(_xlpm.v,_xlfn.CHOOSECOLS(_xlfn._xlws.FILTER(_xlfn.DROP(_xlfn.ANCHORARRAY($HS$4),1),_xlfn.TAKE(_xlfn.DROP(_xlfn.ANCHORARRAY($HS$4),1),,1)=6),6),IF(_xlpm.v="",NA(),_xlpm.v))</f>
      </c>
      <c r="HO255" cm="1">
        <f t="array" aca="1" ref="HO255:HO272" ca="1">-_xlfn.ANCHORARRAY($HN$255)</f>
      </c>
      <c r="HP255" cm="1">
        <f t="array" aca="1" ref="HP255:HP272" ca="1">_xlfn.LET(_xlpm.v,_xlfn.CHOOSECOLS(_xlfn._xlws.FILTER(_xlfn.DROP(_xlfn.ANCHORARRAY($HS$4),1),_xlfn.TAKE(_xlfn.DROP(_xlfn.ANCHORARRAY($HS$4),1),,1)=6),7),IF(_xlpm.v="",NA(),_xlpm.v))</f>
      </c>
      <c r="HQ255" cm="1">
        <f t="array" aca="1" ref="HQ255:HQ272" ca="1">-_xlfn.ANCHORARRAY($HP$255)</f>
      </c>
      <c r="HR255" cm="1">
        <f t="array" aca="1" ref="HR255" ca="1">IFERROR(INDEX(_xlfn._xlws.FILTER(_xlfn.DROP(_xlfn.ANCHORARRAY($HS$4),1),_xlfn.TAKE(_xlfn.DROP(_xlfn.ANCHORARRAY($HS$4),1),,1)=6),1,2),"")</f>
      </c>
    </row>
    <row r="256" spans="146:226" x14ac:dyDescent="0.55000000000000004"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GX256">
        <f ca="1"/>
      </c>
      <c r="GY256">
        <f ca="1"/>
      </c>
      <c r="GZ256">
        <f ca="1"/>
      </c>
      <c r="HA256">
        <f ca="1"/>
      </c>
      <c r="HB256">
        <f ca="1"/>
      </c>
      <c r="HD256">
        <f ca="1"/>
      </c>
      <c r="HE256">
        <f ca="1"/>
      </c>
      <c r="HF256">
        <f ca="1"/>
      </c>
      <c r="HG256">
        <f ca="1"/>
      </c>
      <c r="HH256">
        <f ca="1"/>
      </c>
      <c r="HI256">
        <f ca="1"/>
      </c>
      <c r="HJ256">
        <f ca="1"/>
      </c>
      <c r="HK256">
        <f ca="1"/>
      </c>
      <c r="HL256">
        <f ca="1"/>
      </c>
      <c r="HM256">
        <f ca="1"/>
      </c>
      <c r="HN256">
        <f ca="1"/>
      </c>
      <c r="HO256">
        <f ca="1"/>
      </c>
      <c r="HP256">
        <f ca="1"/>
      </c>
      <c r="HQ256">
        <f ca="1"/>
      </c>
    </row>
    <row r="257" spans="147:225" x14ac:dyDescent="0.55000000000000004"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GX257">
        <f ca="1"/>
      </c>
      <c r="GY257">
        <f ca="1"/>
      </c>
      <c r="GZ257">
        <f ca="1"/>
      </c>
      <c r="HA257">
        <f ca="1"/>
      </c>
      <c r="HB257">
        <f ca="1"/>
      </c>
      <c r="HD257">
        <f ca="1"/>
      </c>
      <c r="HE257">
        <f ca="1"/>
      </c>
      <c r="HF257">
        <f ca="1"/>
      </c>
      <c r="HG257">
        <f ca="1"/>
      </c>
      <c r="HH257">
        <f ca="1"/>
      </c>
      <c r="HI257">
        <f ca="1"/>
      </c>
      <c r="HJ257">
        <f ca="1"/>
      </c>
      <c r="HK257">
        <f ca="1"/>
      </c>
      <c r="HL257">
        <f ca="1"/>
      </c>
      <c r="HM257">
        <f ca="1"/>
      </c>
      <c r="HN257">
        <f ca="1"/>
      </c>
      <c r="HO257">
        <f ca="1"/>
      </c>
      <c r="HP257">
        <f ca="1"/>
      </c>
      <c r="HQ257">
        <f ca="1"/>
      </c>
    </row>
    <row r="258" spans="147:225" x14ac:dyDescent="0.55000000000000004"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GX258">
        <f ca="1"/>
      </c>
      <c r="GY258">
        <f ca="1"/>
      </c>
      <c r="GZ258">
        <f ca="1"/>
      </c>
      <c r="HA258">
        <f ca="1"/>
      </c>
      <c r="HB258">
        <f ca="1"/>
      </c>
      <c r="HD258">
        <f ca="1"/>
      </c>
      <c r="HE258">
        <f ca="1"/>
      </c>
      <c r="HF258">
        <f ca="1"/>
      </c>
      <c r="HG258">
        <f ca="1"/>
      </c>
      <c r="HH258">
        <f ca="1"/>
      </c>
      <c r="HI258">
        <f ca="1"/>
      </c>
      <c r="HJ258">
        <f ca="1"/>
      </c>
      <c r="HK258">
        <f ca="1"/>
      </c>
      <c r="HL258">
        <f ca="1"/>
      </c>
      <c r="HM258">
        <f ca="1"/>
      </c>
      <c r="HN258">
        <f ca="1"/>
      </c>
      <c r="HO258">
        <f ca="1"/>
      </c>
      <c r="HP258">
        <f ca="1"/>
      </c>
      <c r="HQ258">
        <f ca="1"/>
      </c>
    </row>
    <row r="259" spans="147:225" x14ac:dyDescent="0.55000000000000004"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GX259">
        <f ca="1"/>
      </c>
      <c r="GY259">
        <f ca="1"/>
      </c>
      <c r="GZ259">
        <f ca="1"/>
      </c>
      <c r="HA259">
        <f ca="1"/>
      </c>
      <c r="HB259">
        <f ca="1"/>
      </c>
      <c r="HD259">
        <f ca="1"/>
      </c>
      <c r="HE259">
        <f ca="1"/>
      </c>
      <c r="HF259">
        <f ca="1"/>
      </c>
      <c r="HG259">
        <f ca="1"/>
      </c>
      <c r="HH259">
        <f ca="1"/>
      </c>
      <c r="HI259">
        <f ca="1"/>
      </c>
      <c r="HJ259">
        <f ca="1"/>
      </c>
      <c r="HK259">
        <f ca="1"/>
      </c>
      <c r="HL259">
        <f ca="1"/>
      </c>
      <c r="HM259">
        <f ca="1"/>
      </c>
      <c r="HN259">
        <f ca="1"/>
      </c>
      <c r="HO259">
        <f ca="1"/>
      </c>
      <c r="HP259">
        <f ca="1"/>
      </c>
      <c r="HQ259">
        <f ca="1"/>
      </c>
    </row>
    <row r="260" spans="147:225" x14ac:dyDescent="0.55000000000000004"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GX260">
        <f ca="1"/>
      </c>
      <c r="GY260">
        <f ca="1"/>
      </c>
      <c r="GZ260">
        <f ca="1"/>
      </c>
      <c r="HA260">
        <f ca="1"/>
      </c>
      <c r="HB260">
        <f ca="1"/>
      </c>
      <c r="HD260">
        <f ca="1"/>
      </c>
      <c r="HE260">
        <f ca="1"/>
      </c>
      <c r="HF260">
        <f ca="1"/>
      </c>
      <c r="HG260">
        <f ca="1"/>
      </c>
      <c r="HH260">
        <f ca="1"/>
      </c>
      <c r="HI260">
        <f ca="1"/>
      </c>
      <c r="HJ260">
        <f ca="1"/>
      </c>
      <c r="HK260">
        <f ca="1"/>
      </c>
      <c r="HL260">
        <f ca="1"/>
      </c>
      <c r="HM260">
        <f ca="1"/>
      </c>
      <c r="HN260">
        <f ca="1"/>
      </c>
      <c r="HO260">
        <f ca="1"/>
      </c>
      <c r="HP260">
        <f ca="1"/>
      </c>
      <c r="HQ260">
        <f ca="1"/>
      </c>
    </row>
    <row r="261" spans="147:225" x14ac:dyDescent="0.55000000000000004"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GX261">
        <f ca="1"/>
      </c>
      <c r="GY261">
        <f ca="1"/>
      </c>
      <c r="GZ261">
        <f ca="1"/>
      </c>
      <c r="HA261">
        <f ca="1"/>
      </c>
      <c r="HB261">
        <f ca="1"/>
      </c>
      <c r="HD261">
        <f ca="1"/>
      </c>
      <c r="HE261">
        <f ca="1"/>
      </c>
      <c r="HF261">
        <f ca="1"/>
      </c>
      <c r="HG261">
        <f ca="1"/>
      </c>
      <c r="HH261">
        <f ca="1"/>
      </c>
      <c r="HI261">
        <f ca="1"/>
      </c>
      <c r="HJ261">
        <f ca="1"/>
      </c>
      <c r="HK261">
        <f ca="1"/>
      </c>
      <c r="HL261">
        <f ca="1"/>
      </c>
      <c r="HM261">
        <f ca="1"/>
      </c>
      <c r="HN261">
        <f ca="1"/>
      </c>
      <c r="HO261">
        <f ca="1"/>
      </c>
      <c r="HP261">
        <f ca="1"/>
      </c>
      <c r="HQ261">
        <f ca="1"/>
      </c>
    </row>
    <row r="262" spans="147:225" x14ac:dyDescent="0.55000000000000004"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GX262">
        <f ca="1"/>
      </c>
      <c r="GY262">
        <f ca="1"/>
      </c>
      <c r="GZ262">
        <f ca="1"/>
      </c>
      <c r="HA262">
        <f ca="1"/>
      </c>
      <c r="HB262">
        <f ca="1"/>
      </c>
      <c r="HD262">
        <f ca="1"/>
      </c>
      <c r="HE262">
        <f ca="1"/>
      </c>
      <c r="HF262">
        <f ca="1"/>
      </c>
      <c r="HG262">
        <f ca="1"/>
      </c>
      <c r="HH262">
        <f ca="1"/>
      </c>
      <c r="HI262">
        <f ca="1"/>
      </c>
      <c r="HJ262">
        <f ca="1"/>
      </c>
      <c r="HK262">
        <f ca="1"/>
      </c>
      <c r="HL262">
        <f ca="1"/>
      </c>
      <c r="HM262">
        <f ca="1"/>
      </c>
      <c r="HN262">
        <f ca="1"/>
      </c>
      <c r="HO262">
        <f ca="1"/>
      </c>
      <c r="HP262">
        <f ca="1"/>
      </c>
      <c r="HQ262">
        <f ca="1"/>
      </c>
    </row>
    <row r="263" spans="147:225" x14ac:dyDescent="0.55000000000000004"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GX263">
        <f ca="1"/>
      </c>
      <c r="GY263">
        <f ca="1"/>
      </c>
      <c r="GZ263">
        <f ca="1"/>
      </c>
      <c r="HA263">
        <f ca="1"/>
      </c>
      <c r="HB263">
        <f ca="1"/>
      </c>
      <c r="HD263">
        <f ca="1"/>
      </c>
      <c r="HE263">
        <f ca="1"/>
      </c>
      <c r="HF263">
        <f ca="1"/>
      </c>
      <c r="HG263">
        <f ca="1"/>
      </c>
      <c r="HH263">
        <f ca="1"/>
      </c>
      <c r="HI263">
        <f ca="1"/>
      </c>
      <c r="HJ263">
        <f ca="1"/>
      </c>
      <c r="HK263">
        <f ca="1"/>
      </c>
      <c r="HL263">
        <f ca="1"/>
      </c>
      <c r="HM263">
        <f ca="1"/>
      </c>
      <c r="HN263">
        <f ca="1"/>
      </c>
      <c r="HO263">
        <f ca="1"/>
      </c>
      <c r="HP263">
        <f ca="1"/>
      </c>
      <c r="HQ263">
        <f ca="1"/>
      </c>
    </row>
    <row r="264" spans="147:225" x14ac:dyDescent="0.55000000000000004"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GX264">
        <f ca="1"/>
      </c>
      <c r="GY264">
        <f ca="1"/>
      </c>
      <c r="GZ264">
        <f ca="1"/>
      </c>
      <c r="HA264">
        <f ca="1"/>
      </c>
      <c r="HB264">
        <f ca="1"/>
      </c>
      <c r="HD264">
        <f ca="1"/>
      </c>
      <c r="HE264">
        <f ca="1"/>
      </c>
      <c r="HF264">
        <f ca="1"/>
      </c>
      <c r="HG264">
        <f ca="1"/>
      </c>
      <c r="HH264">
        <f ca="1"/>
      </c>
      <c r="HI264">
        <f ca="1"/>
      </c>
      <c r="HJ264">
        <f ca="1"/>
      </c>
      <c r="HK264">
        <f ca="1"/>
      </c>
      <c r="HL264">
        <f ca="1"/>
      </c>
      <c r="HM264">
        <f ca="1"/>
      </c>
      <c r="HN264">
        <f ca="1"/>
      </c>
      <c r="HO264">
        <f ca="1"/>
      </c>
      <c r="HP264">
        <f ca="1"/>
      </c>
      <c r="HQ264">
        <f ca="1"/>
      </c>
    </row>
    <row r="265" spans="147:225" x14ac:dyDescent="0.55000000000000004"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GX265">
        <f ca="1"/>
      </c>
      <c r="GY265">
        <f ca="1"/>
      </c>
      <c r="GZ265">
        <f ca="1"/>
      </c>
      <c r="HA265">
        <f ca="1"/>
      </c>
      <c r="HB265">
        <f ca="1"/>
      </c>
      <c r="HD265">
        <f ca="1"/>
      </c>
      <c r="HE265">
        <f ca="1"/>
      </c>
      <c r="HF265">
        <f ca="1"/>
      </c>
      <c r="HG265">
        <f ca="1"/>
      </c>
      <c r="HH265">
        <f ca="1"/>
      </c>
      <c r="HI265">
        <f ca="1"/>
      </c>
      <c r="HJ265">
        <f ca="1"/>
      </c>
      <c r="HK265">
        <f ca="1"/>
      </c>
      <c r="HL265">
        <f ca="1"/>
      </c>
      <c r="HM265">
        <f ca="1"/>
      </c>
      <c r="HN265">
        <f ca="1"/>
      </c>
      <c r="HO265">
        <f ca="1"/>
      </c>
      <c r="HP265">
        <f ca="1"/>
      </c>
      <c r="HQ265">
        <f ca="1"/>
      </c>
    </row>
    <row r="266" spans="147:225" x14ac:dyDescent="0.55000000000000004"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GX266">
        <f ca="1"/>
      </c>
      <c r="GY266">
        <f ca="1"/>
      </c>
      <c r="GZ266">
        <f ca="1"/>
      </c>
      <c r="HA266">
        <f ca="1"/>
      </c>
      <c r="HB266">
        <f ca="1"/>
      </c>
      <c r="HD266">
        <f ca="1"/>
      </c>
      <c r="HE266">
        <f ca="1"/>
      </c>
      <c r="HF266">
        <f ca="1"/>
      </c>
      <c r="HG266">
        <f ca="1"/>
      </c>
      <c r="HH266">
        <f ca="1"/>
      </c>
      <c r="HI266">
        <f ca="1"/>
      </c>
      <c r="HJ266">
        <f ca="1"/>
      </c>
      <c r="HK266">
        <f ca="1"/>
      </c>
      <c r="HL266">
        <f ca="1"/>
      </c>
      <c r="HM266">
        <f ca="1"/>
      </c>
      <c r="HN266">
        <f ca="1"/>
      </c>
      <c r="HO266">
        <f ca="1"/>
      </c>
      <c r="HP266">
        <f ca="1"/>
      </c>
      <c r="HQ266">
        <f ca="1"/>
      </c>
    </row>
    <row r="267" spans="147:225" x14ac:dyDescent="0.55000000000000004"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GX267">
        <f ca="1"/>
      </c>
      <c r="GY267">
        <f ca="1"/>
      </c>
      <c r="GZ267">
        <f ca="1"/>
      </c>
      <c r="HA267">
        <f ca="1"/>
      </c>
      <c r="HB267">
        <f ca="1"/>
      </c>
      <c r="HD267">
        <f ca="1"/>
      </c>
      <c r="HE267">
        <f ca="1"/>
      </c>
      <c r="HF267">
        <f ca="1"/>
      </c>
      <c r="HG267">
        <f ca="1"/>
      </c>
      <c r="HH267">
        <f ca="1"/>
      </c>
      <c r="HI267">
        <f ca="1"/>
      </c>
      <c r="HJ267">
        <f ca="1"/>
      </c>
      <c r="HK267">
        <f ca="1"/>
      </c>
      <c r="HL267">
        <f ca="1"/>
      </c>
      <c r="HM267">
        <f ca="1"/>
      </c>
      <c r="HN267">
        <f ca="1"/>
      </c>
      <c r="HO267">
        <f ca="1"/>
      </c>
      <c r="HP267">
        <f ca="1"/>
      </c>
      <c r="HQ267">
        <f ca="1"/>
      </c>
    </row>
    <row r="268" spans="147:225" x14ac:dyDescent="0.55000000000000004"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GX268">
        <f ca="1"/>
      </c>
      <c r="GY268">
        <f ca="1"/>
      </c>
      <c r="GZ268">
        <f ca="1"/>
      </c>
      <c r="HA268">
        <f ca="1"/>
      </c>
      <c r="HB268">
        <f ca="1"/>
      </c>
      <c r="HD268">
        <f ca="1"/>
      </c>
      <c r="HE268">
        <f ca="1"/>
      </c>
      <c r="HF268">
        <f ca="1"/>
      </c>
      <c r="HG268">
        <f ca="1"/>
      </c>
      <c r="HH268">
        <f ca="1"/>
      </c>
      <c r="HI268">
        <f ca="1"/>
      </c>
      <c r="HJ268">
        <f ca="1"/>
      </c>
      <c r="HK268">
        <f ca="1"/>
      </c>
      <c r="HL268">
        <f ca="1"/>
      </c>
      <c r="HM268">
        <f ca="1"/>
      </c>
      <c r="HN268">
        <f ca="1"/>
      </c>
      <c r="HO268">
        <f ca="1"/>
      </c>
      <c r="HP268">
        <f ca="1"/>
      </c>
      <c r="HQ268">
        <f ca="1"/>
      </c>
    </row>
    <row r="269" spans="147:225" x14ac:dyDescent="0.55000000000000004"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GX269">
        <f ca="1"/>
      </c>
      <c r="GY269">
        <f ca="1"/>
      </c>
      <c r="GZ269">
        <f ca="1"/>
      </c>
      <c r="HA269">
        <f ca="1"/>
      </c>
      <c r="HB269">
        <f ca="1"/>
      </c>
      <c r="HD269">
        <f ca="1"/>
      </c>
      <c r="HE269">
        <f ca="1"/>
      </c>
      <c r="HF269">
        <f ca="1"/>
      </c>
      <c r="HG269">
        <f ca="1"/>
      </c>
      <c r="HH269">
        <f ca="1"/>
      </c>
      <c r="HI269">
        <f ca="1"/>
      </c>
      <c r="HJ269">
        <f ca="1"/>
      </c>
      <c r="HK269">
        <f ca="1"/>
      </c>
      <c r="HL269">
        <f ca="1"/>
      </c>
      <c r="HM269">
        <f ca="1"/>
      </c>
      <c r="HN269">
        <f ca="1"/>
      </c>
      <c r="HO269">
        <f ca="1"/>
      </c>
      <c r="HP269">
        <f ca="1"/>
      </c>
      <c r="HQ269">
        <f ca="1"/>
      </c>
    </row>
    <row r="270" spans="147:225" x14ac:dyDescent="0.55000000000000004"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GX270">
        <f ca="1"/>
      </c>
      <c r="GY270">
        <f ca="1"/>
      </c>
      <c r="GZ270">
        <f ca="1"/>
      </c>
      <c r="HA270">
        <f ca="1"/>
      </c>
      <c r="HB270">
        <f ca="1"/>
      </c>
      <c r="HD270">
        <f ca="1"/>
      </c>
      <c r="HE270">
        <f ca="1"/>
      </c>
      <c r="HF270">
        <f ca="1"/>
      </c>
      <c r="HG270">
        <f ca="1"/>
      </c>
      <c r="HH270">
        <f ca="1"/>
      </c>
      <c r="HI270">
        <f ca="1"/>
      </c>
      <c r="HJ270">
        <f ca="1"/>
      </c>
      <c r="HK270">
        <f ca="1"/>
      </c>
      <c r="HL270">
        <f ca="1"/>
      </c>
      <c r="HM270">
        <f ca="1"/>
      </c>
      <c r="HN270">
        <f ca="1"/>
      </c>
      <c r="HO270">
        <f ca="1"/>
      </c>
      <c r="HP270">
        <f ca="1"/>
      </c>
      <c r="HQ270">
        <f ca="1"/>
      </c>
    </row>
    <row r="271" spans="147:225" x14ac:dyDescent="0.55000000000000004"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GX271">
        <f ca="1"/>
      </c>
      <c r="GY271">
        <f ca="1"/>
      </c>
      <c r="GZ271">
        <f ca="1"/>
      </c>
      <c r="HA271">
        <f ca="1"/>
      </c>
      <c r="HB271">
        <f ca="1"/>
      </c>
      <c r="HD271">
        <f ca="1"/>
      </c>
      <c r="HE271">
        <f ca="1"/>
      </c>
      <c r="HF271">
        <f ca="1"/>
      </c>
      <c r="HG271">
        <f ca="1"/>
      </c>
      <c r="HH271">
        <f ca="1"/>
      </c>
      <c r="HI271">
        <f ca="1"/>
      </c>
      <c r="HJ271">
        <f ca="1"/>
      </c>
      <c r="HK271">
        <f ca="1"/>
      </c>
      <c r="HL271">
        <f ca="1"/>
      </c>
      <c r="HM271">
        <f ca="1"/>
      </c>
      <c r="HN271">
        <f ca="1"/>
      </c>
      <c r="HO271">
        <f ca="1"/>
      </c>
      <c r="HP271">
        <f ca="1"/>
      </c>
      <c r="HQ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GX272">
        <f ca="1"/>
      </c>
      <c r="GY272">
        <f ca="1"/>
      </c>
      <c r="GZ272">
        <f ca="1"/>
      </c>
      <c r="HA272">
        <f ca="1"/>
      </c>
      <c r="HB272">
        <f ca="1"/>
      </c>
      <c r="HD272">
        <f ca="1"/>
      </c>
      <c r="HE272">
        <f ca="1"/>
      </c>
      <c r="HF272">
        <f ca="1"/>
      </c>
      <c r="HG272">
        <f ca="1"/>
      </c>
      <c r="HH272">
        <f ca="1"/>
      </c>
      <c r="HI272">
        <f ca="1"/>
      </c>
      <c r="HJ272">
        <f ca="1"/>
      </c>
      <c r="HK272">
        <f ca="1"/>
      </c>
      <c r="HL272">
        <f ca="1"/>
      </c>
      <c r="HM272">
        <f ca="1"/>
      </c>
      <c r="HN272">
        <f ca="1"/>
      </c>
      <c r="HO272">
        <f ca="1"/>
      </c>
      <c r="HP272">
        <f ca="1"/>
      </c>
      <c r="HQ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aca="1" ref="EQ304:FR321" ca="1">_xlfn.LET(_xlpm.g,_xlfn.DROP(_xlfn.ANCHORARRAY($CO$4),1),_xlfn._xlws.FILTER(_xlpm.g,_xlfn.TAKE(_xlpm.g,,1)=7))</f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aca="1" ref="GX305:GX322" ca="1">_xlfn.LET(_xlpm.V,_xlfn.DROP(_xlfn.ANCHORARRAY($EQ$304),,10),IF(1&lt;=COLUMNS(_xlpm.V),_xlfn.CHOOSECOLS(_xlpm.V,1),IF(_xlfn.SEQUENCE(ROWS(_xlpm.V)),NA())))</f>
      </c>
      <c r="GY305" cm="1">
        <f t="array" aca="1" ref="GY305:GY322" ca="1">_xlfn.LET(_xlpm.V,_xlfn.DROP(_xlfn.ANCHORARRAY($EQ$304),,10),IF(2&lt;=COLUMNS(_xlpm.V),_xlfn.CHOOSECOLS(_xlpm.V,2),IF(_xlfn.SEQUENCE(ROWS(_xlpm.V)),NA())))</f>
      </c>
      <c r="GZ305" cm="1">
        <f t="array" aca="1" ref="GZ305:GZ322" ca="1">_xlfn.LET(_xlpm.V,_xlfn.DROP(_xlfn.ANCHORARRAY($EQ$304),,10),IF(3&lt;=COLUMNS(_xlpm.V),_xlfn.CHOOSECOLS(_xlpm.V,3),IF(_xlfn.SEQUENCE(ROWS(_xlpm.V)),NA())))</f>
      </c>
      <c r="HA305" cm="1">
        <f t="array" aca="1" ref="HA305:HA322" ca="1">_xlfn.LET(_xlpm.V,_xlfn.DROP(_xlfn.ANCHORARRAY($EQ$304),,10),IF(4&lt;=COLUMNS(_xlpm.V),_xlfn.CHOOSECOLS(_xlpm.V,4),IF(_xlfn.SEQUENCE(ROWS(_xlpm.V)),NA())))</f>
      </c>
      <c r="HB305" cm="1">
        <f t="array" aca="1" ref="HB305:HB322" ca="1">_xlfn.LET(_xlpm.V,_xlfn.DROP(_xlfn.ANCHORARRAY($EQ$304),,10),IF(5&lt;=COLUMNS(_xlpm.V),_xlfn.CHOOSECOLS(_xlpm.V,5),IF(_xlfn.SEQUENCE(ROWS(_xlpm.V)),NA())))</f>
      </c>
      <c r="HD305" cm="1">
        <f t="array" aca="1" ref="HD305:HD322" ca="1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aca="1" ref="HF305:HF322" ca="1">_xlfn.CHOOSECOLS(_xlfn.ANCHORARRAY($EQ$304),8)+_xlfn.CHOOSECOLS(_xlfn.ANCHORARRAY($EQ$304),10)</f>
      </c>
      <c r="HG305" cm="1">
        <f t="array" aca="1" ref="HG305:HG322" ca="1">_xlfn.CHOOSECOLS(_xlfn.ANCHORARRAY($EQ$304),8)-_xlfn.CHOOSECOLS(_xlfn.ANCHORARRAY($EQ$304),10)</f>
      </c>
      <c r="HH305" cm="1">
        <f t="array" aca="1" ref="HH305:HH322" ca="1">_xlfn.LET(_xlpm.v,_xlfn.CHOOSECOLS(_xlfn._xlws.FILTER(_xlfn.DROP(_xlfn.ANCHORARRAY($HS$4),1),_xlfn.TAKE(_xlfn.DROP(_xlfn.ANCHORARRAY($HS$4),1),,1)=7),3),IF(_xlpm.v="",NA(),_xlpm.v))</f>
      </c>
      <c r="HI305" cm="1">
        <f t="array" aca="1" ref="HI305:HI322" ca="1">-_xlfn.ANCHORARRAY($HH$305)</f>
      </c>
      <c r="HJ305" cm="1">
        <f t="array" aca="1" ref="HJ305:HJ322" ca="1">_xlfn.LET(_xlpm.v,_xlfn.CHOOSECOLS(_xlfn._xlws.FILTER(_xlfn.DROP(_xlfn.ANCHORARRAY($HS$4),1),_xlfn.TAKE(_xlfn.DROP(_xlfn.ANCHORARRAY($HS$4),1),,1)=7),4),IF(_xlpm.v="",NA(),_xlpm.v))</f>
      </c>
      <c r="HK305" cm="1">
        <f t="array" aca="1" ref="HK305:HK322" ca="1">-_xlfn.ANCHORARRAY($HJ$305)</f>
      </c>
      <c r="HL305" cm="1">
        <f t="array" aca="1" ref="HL305:HL322" ca="1">_xlfn.LET(_xlpm.v,_xlfn.CHOOSECOLS(_xlfn._xlws.FILTER(_xlfn.DROP(_xlfn.ANCHORARRAY($HS$4),1),_xlfn.TAKE(_xlfn.DROP(_xlfn.ANCHORARRAY($HS$4),1),,1)=7),5),IF(_xlpm.v="",NA(),_xlpm.v))</f>
      </c>
      <c r="HM305" cm="1">
        <f t="array" aca="1" ref="HM305:HM322" ca="1">-_xlfn.ANCHORARRAY($HL$305)</f>
      </c>
      <c r="HN305" cm="1">
        <f t="array" aca="1" ref="HN305:HN322" ca="1">_xlfn.LET(_xlpm.v,_xlfn.CHOOSECOLS(_xlfn._xlws.FILTER(_xlfn.DROP(_xlfn.ANCHORARRAY($HS$4),1),_xlfn.TAKE(_xlfn.DROP(_xlfn.ANCHORARRAY($HS$4),1),,1)=7),6),IF(_xlpm.v="",NA(),_xlpm.v))</f>
      </c>
      <c r="HO305" cm="1">
        <f t="array" aca="1" ref="HO305:HO322" ca="1">-_xlfn.ANCHORARRAY($HN$305)</f>
      </c>
      <c r="HP305" cm="1">
        <f t="array" aca="1" ref="HP305:HP322" ca="1">_xlfn.LET(_xlpm.v,_xlfn.CHOOSECOLS(_xlfn._xlws.FILTER(_xlfn.DROP(_xlfn.ANCHORARRAY($HS$4),1),_xlfn.TAKE(_xlfn.DROP(_xlfn.ANCHORARRAY($HS$4),1),,1)=7),7),IF(_xlpm.v="",NA(),_xlpm.v))</f>
      </c>
      <c r="HQ305" cm="1">
        <f t="array" aca="1" ref="HQ305:HQ322" ca="1">-_xlfn.ANCHORARRAY($HP$305)</f>
      </c>
      <c r="HR305" cm="1">
        <f t="array" aca="1" ref="HR305" ca="1">IFERROR(INDEX(_xlfn._xlws.FILTER(_xlfn.DROP(_xlfn.ANCHORARRAY($HS$4),1),_xlfn.TAKE(_xlfn.DROP(_xlfn.ANCHORARRAY($HS$4),1),,1)=7),1,2),"")</f>
      </c>
    </row>
    <row r="306" spans="147:226" x14ac:dyDescent="0.55000000000000004"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GX306">
        <f ca="1"/>
      </c>
      <c r="GY306">
        <f ca="1"/>
      </c>
      <c r="GZ306">
        <f ca="1"/>
      </c>
      <c r="HA306">
        <f ca="1"/>
      </c>
      <c r="HB306">
        <f ca="1"/>
      </c>
      <c r="HD306">
        <f ca="1"/>
      </c>
      <c r="HE306">
        <f ca="1"/>
      </c>
      <c r="HF306">
        <f ca="1"/>
      </c>
      <c r="HG306">
        <f ca="1"/>
      </c>
      <c r="HH306">
        <f ca="1"/>
      </c>
      <c r="HI306">
        <f ca="1"/>
      </c>
      <c r="HJ306">
        <f ca="1"/>
      </c>
      <c r="HK306">
        <f ca="1"/>
      </c>
      <c r="HL306">
        <f ca="1"/>
      </c>
      <c r="HM306">
        <f ca="1"/>
      </c>
      <c r="HN306">
        <f ca="1"/>
      </c>
      <c r="HO306">
        <f ca="1"/>
      </c>
      <c r="HP306">
        <f ca="1"/>
      </c>
      <c r="HQ306">
        <f ca="1"/>
      </c>
    </row>
    <row r="307" spans="147:226" x14ac:dyDescent="0.55000000000000004"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GX307">
        <f ca="1"/>
      </c>
      <c r="GY307">
        <f ca="1"/>
      </c>
      <c r="GZ307">
        <f ca="1"/>
      </c>
      <c r="HA307">
        <f ca="1"/>
      </c>
      <c r="HB307">
        <f ca="1"/>
      </c>
      <c r="HD307">
        <f ca="1"/>
      </c>
      <c r="HE307">
        <f ca="1"/>
      </c>
      <c r="HF307">
        <f ca="1"/>
      </c>
      <c r="HG307">
        <f ca="1"/>
      </c>
      <c r="HH307">
        <f ca="1"/>
      </c>
      <c r="HI307">
        <f ca="1"/>
      </c>
      <c r="HJ307">
        <f ca="1"/>
      </c>
      <c r="HK307">
        <f ca="1"/>
      </c>
      <c r="HL307">
        <f ca="1"/>
      </c>
      <c r="HM307">
        <f ca="1"/>
      </c>
      <c r="HN307">
        <f ca="1"/>
      </c>
      <c r="HO307">
        <f ca="1"/>
      </c>
      <c r="HP307">
        <f ca="1"/>
      </c>
      <c r="HQ307">
        <f ca="1"/>
      </c>
    </row>
    <row r="308" spans="147:226" x14ac:dyDescent="0.55000000000000004"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GX308">
        <f ca="1"/>
      </c>
      <c r="GY308">
        <f ca="1"/>
      </c>
      <c r="GZ308">
        <f ca="1"/>
      </c>
      <c r="HA308">
        <f ca="1"/>
      </c>
      <c r="HB308">
        <f ca="1"/>
      </c>
      <c r="HD308">
        <f ca="1"/>
      </c>
      <c r="HE308">
        <f ca="1"/>
      </c>
      <c r="HF308">
        <f ca="1"/>
      </c>
      <c r="HG308">
        <f ca="1"/>
      </c>
      <c r="HH308">
        <f ca="1"/>
      </c>
      <c r="HI308">
        <f ca="1"/>
      </c>
      <c r="HJ308">
        <f ca="1"/>
      </c>
      <c r="HK308">
        <f ca="1"/>
      </c>
      <c r="HL308">
        <f ca="1"/>
      </c>
      <c r="HM308">
        <f ca="1"/>
      </c>
      <c r="HN308">
        <f ca="1"/>
      </c>
      <c r="HO308">
        <f ca="1"/>
      </c>
      <c r="HP308">
        <f ca="1"/>
      </c>
      <c r="HQ308">
        <f ca="1"/>
      </c>
    </row>
    <row r="309" spans="147:226" x14ac:dyDescent="0.55000000000000004"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GX309">
        <f ca="1"/>
      </c>
      <c r="GY309">
        <f ca="1"/>
      </c>
      <c r="GZ309">
        <f ca="1"/>
      </c>
      <c r="HA309">
        <f ca="1"/>
      </c>
      <c r="HB309">
        <f ca="1"/>
      </c>
      <c r="HD309">
        <f ca="1"/>
      </c>
      <c r="HE309">
        <f ca="1"/>
      </c>
      <c r="HF309">
        <f ca="1"/>
      </c>
      <c r="HG309">
        <f ca="1"/>
      </c>
      <c r="HH309">
        <f ca="1"/>
      </c>
      <c r="HI309">
        <f ca="1"/>
      </c>
      <c r="HJ309">
        <f ca="1"/>
      </c>
      <c r="HK309">
        <f ca="1"/>
      </c>
      <c r="HL309">
        <f ca="1"/>
      </c>
      <c r="HM309">
        <f ca="1"/>
      </c>
      <c r="HN309">
        <f ca="1"/>
      </c>
      <c r="HO309">
        <f ca="1"/>
      </c>
      <c r="HP309">
        <f ca="1"/>
      </c>
      <c r="HQ309">
        <f ca="1"/>
      </c>
    </row>
    <row r="310" spans="147:226" x14ac:dyDescent="0.55000000000000004"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GX310">
        <f ca="1"/>
      </c>
      <c r="GY310">
        <f ca="1"/>
      </c>
      <c r="GZ310">
        <f ca="1"/>
      </c>
      <c r="HA310">
        <f ca="1"/>
      </c>
      <c r="HB310">
        <f ca="1"/>
      </c>
      <c r="HD310">
        <f ca="1"/>
      </c>
      <c r="HE310">
        <f ca="1"/>
      </c>
      <c r="HF310">
        <f ca="1"/>
      </c>
      <c r="HG310">
        <f ca="1"/>
      </c>
      <c r="HH310">
        <f ca="1"/>
      </c>
      <c r="HI310">
        <f ca="1"/>
      </c>
      <c r="HJ310">
        <f ca="1"/>
      </c>
      <c r="HK310">
        <f ca="1"/>
      </c>
      <c r="HL310">
        <f ca="1"/>
      </c>
      <c r="HM310">
        <f ca="1"/>
      </c>
      <c r="HN310">
        <f ca="1"/>
      </c>
      <c r="HO310">
        <f ca="1"/>
      </c>
      <c r="HP310">
        <f ca="1"/>
      </c>
      <c r="HQ310">
        <f ca="1"/>
      </c>
    </row>
    <row r="311" spans="147:226" x14ac:dyDescent="0.55000000000000004"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GX311">
        <f ca="1"/>
      </c>
      <c r="GY311">
        <f ca="1"/>
      </c>
      <c r="GZ311">
        <f ca="1"/>
      </c>
      <c r="HA311">
        <f ca="1"/>
      </c>
      <c r="HB311">
        <f ca="1"/>
      </c>
      <c r="HD311">
        <f ca="1"/>
      </c>
      <c r="HE311">
        <f ca="1"/>
      </c>
      <c r="HF311">
        <f ca="1"/>
      </c>
      <c r="HG311">
        <f ca="1"/>
      </c>
      <c r="HH311">
        <f ca="1"/>
      </c>
      <c r="HI311">
        <f ca="1"/>
      </c>
      <c r="HJ311">
        <f ca="1"/>
      </c>
      <c r="HK311">
        <f ca="1"/>
      </c>
      <c r="HL311">
        <f ca="1"/>
      </c>
      <c r="HM311">
        <f ca="1"/>
      </c>
      <c r="HN311">
        <f ca="1"/>
      </c>
      <c r="HO311">
        <f ca="1"/>
      </c>
      <c r="HP311">
        <f ca="1"/>
      </c>
      <c r="HQ311">
        <f ca="1"/>
      </c>
    </row>
    <row r="312" spans="147:226" x14ac:dyDescent="0.55000000000000004"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GX312">
        <f ca="1"/>
      </c>
      <c r="GY312">
        <f ca="1"/>
      </c>
      <c r="GZ312">
        <f ca="1"/>
      </c>
      <c r="HA312">
        <f ca="1"/>
      </c>
      <c r="HB312">
        <f ca="1"/>
      </c>
      <c r="HD312">
        <f ca="1"/>
      </c>
      <c r="HE312">
        <f ca="1"/>
      </c>
      <c r="HF312">
        <f ca="1"/>
      </c>
      <c r="HG312">
        <f ca="1"/>
      </c>
      <c r="HH312">
        <f ca="1"/>
      </c>
      <c r="HI312">
        <f ca="1"/>
      </c>
      <c r="HJ312">
        <f ca="1"/>
      </c>
      <c r="HK312">
        <f ca="1"/>
      </c>
      <c r="HL312">
        <f ca="1"/>
      </c>
      <c r="HM312">
        <f ca="1"/>
      </c>
      <c r="HN312">
        <f ca="1"/>
      </c>
      <c r="HO312">
        <f ca="1"/>
      </c>
      <c r="HP312">
        <f ca="1"/>
      </c>
      <c r="HQ312">
        <f ca="1"/>
      </c>
    </row>
    <row r="313" spans="147:226" x14ac:dyDescent="0.55000000000000004"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GX313">
        <f ca="1"/>
      </c>
      <c r="GY313">
        <f ca="1"/>
      </c>
      <c r="GZ313">
        <f ca="1"/>
      </c>
      <c r="HA313">
        <f ca="1"/>
      </c>
      <c r="HB313">
        <f ca="1"/>
      </c>
      <c r="HD313">
        <f ca="1"/>
      </c>
      <c r="HE313">
        <f ca="1"/>
      </c>
      <c r="HF313">
        <f ca="1"/>
      </c>
      <c r="HG313">
        <f ca="1"/>
      </c>
      <c r="HH313">
        <f ca="1"/>
      </c>
      <c r="HI313">
        <f ca="1"/>
      </c>
      <c r="HJ313">
        <f ca="1"/>
      </c>
      <c r="HK313">
        <f ca="1"/>
      </c>
      <c r="HL313">
        <f ca="1"/>
      </c>
      <c r="HM313">
        <f ca="1"/>
      </c>
      <c r="HN313">
        <f ca="1"/>
      </c>
      <c r="HO313">
        <f ca="1"/>
      </c>
      <c r="HP313">
        <f ca="1"/>
      </c>
      <c r="HQ313">
        <f ca="1"/>
      </c>
    </row>
    <row r="314" spans="147:226" x14ac:dyDescent="0.55000000000000004"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GX314">
        <f ca="1"/>
      </c>
      <c r="GY314">
        <f ca="1"/>
      </c>
      <c r="GZ314">
        <f ca="1"/>
      </c>
      <c r="HA314">
        <f ca="1"/>
      </c>
      <c r="HB314">
        <f ca="1"/>
      </c>
      <c r="HD314">
        <f ca="1"/>
      </c>
      <c r="HE314">
        <f ca="1"/>
      </c>
      <c r="HF314">
        <f ca="1"/>
      </c>
      <c r="HG314">
        <f ca="1"/>
      </c>
      <c r="HH314">
        <f ca="1"/>
      </c>
      <c r="HI314">
        <f ca="1"/>
      </c>
      <c r="HJ314">
        <f ca="1"/>
      </c>
      <c r="HK314">
        <f ca="1"/>
      </c>
      <c r="HL314">
        <f ca="1"/>
      </c>
      <c r="HM314">
        <f ca="1"/>
      </c>
      <c r="HN314">
        <f ca="1"/>
      </c>
      <c r="HO314">
        <f ca="1"/>
      </c>
      <c r="HP314">
        <f ca="1"/>
      </c>
      <c r="HQ314">
        <f ca="1"/>
      </c>
    </row>
    <row r="315" spans="147:226" x14ac:dyDescent="0.55000000000000004"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GX315">
        <f ca="1"/>
      </c>
      <c r="GY315">
        <f ca="1"/>
      </c>
      <c r="GZ315">
        <f ca="1"/>
      </c>
      <c r="HA315">
        <f ca="1"/>
      </c>
      <c r="HB315">
        <f ca="1"/>
      </c>
      <c r="HD315">
        <f ca="1"/>
      </c>
      <c r="HE315">
        <f ca="1"/>
      </c>
      <c r="HF315">
        <f ca="1"/>
      </c>
      <c r="HG315">
        <f ca="1"/>
      </c>
      <c r="HH315">
        <f ca="1"/>
      </c>
      <c r="HI315">
        <f ca="1"/>
      </c>
      <c r="HJ315">
        <f ca="1"/>
      </c>
      <c r="HK315">
        <f ca="1"/>
      </c>
      <c r="HL315">
        <f ca="1"/>
      </c>
      <c r="HM315">
        <f ca="1"/>
      </c>
      <c r="HN315">
        <f ca="1"/>
      </c>
      <c r="HO315">
        <f ca="1"/>
      </c>
      <c r="HP315">
        <f ca="1"/>
      </c>
      <c r="HQ315">
        <f ca="1"/>
      </c>
    </row>
    <row r="316" spans="147:226" x14ac:dyDescent="0.55000000000000004"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GX316">
        <f ca="1"/>
      </c>
      <c r="GY316">
        <f ca="1"/>
      </c>
      <c r="GZ316">
        <f ca="1"/>
      </c>
      <c r="HA316">
        <f ca="1"/>
      </c>
      <c r="HB316">
        <f ca="1"/>
      </c>
      <c r="HD316">
        <f ca="1"/>
      </c>
      <c r="HE316">
        <f ca="1"/>
      </c>
      <c r="HF316">
        <f ca="1"/>
      </c>
      <c r="HG316">
        <f ca="1"/>
      </c>
      <c r="HH316">
        <f ca="1"/>
      </c>
      <c r="HI316">
        <f ca="1"/>
      </c>
      <c r="HJ316">
        <f ca="1"/>
      </c>
      <c r="HK316">
        <f ca="1"/>
      </c>
      <c r="HL316">
        <f ca="1"/>
      </c>
      <c r="HM316">
        <f ca="1"/>
      </c>
      <c r="HN316">
        <f ca="1"/>
      </c>
      <c r="HO316">
        <f ca="1"/>
      </c>
      <c r="HP316">
        <f ca="1"/>
      </c>
      <c r="HQ316">
        <f ca="1"/>
      </c>
    </row>
    <row r="317" spans="147:226" x14ac:dyDescent="0.55000000000000004"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GX317">
        <f ca="1"/>
      </c>
      <c r="GY317">
        <f ca="1"/>
      </c>
      <c r="GZ317">
        <f ca="1"/>
      </c>
      <c r="HA317">
        <f ca="1"/>
      </c>
      <c r="HB317">
        <f ca="1"/>
      </c>
      <c r="HD317">
        <f ca="1"/>
      </c>
      <c r="HE317">
        <f ca="1"/>
      </c>
      <c r="HF317">
        <f ca="1"/>
      </c>
      <c r="HG317">
        <f ca="1"/>
      </c>
      <c r="HH317">
        <f ca="1"/>
      </c>
      <c r="HI317">
        <f ca="1"/>
      </c>
      <c r="HJ317">
        <f ca="1"/>
      </c>
      <c r="HK317">
        <f ca="1"/>
      </c>
      <c r="HL317">
        <f ca="1"/>
      </c>
      <c r="HM317">
        <f ca="1"/>
      </c>
      <c r="HN317">
        <f ca="1"/>
      </c>
      <c r="HO317">
        <f ca="1"/>
      </c>
      <c r="HP317">
        <f ca="1"/>
      </c>
      <c r="HQ317">
        <f ca="1"/>
      </c>
    </row>
    <row r="318" spans="147:226" x14ac:dyDescent="0.55000000000000004"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GX318">
        <f ca="1"/>
      </c>
      <c r="GY318">
        <f ca="1"/>
      </c>
      <c r="GZ318">
        <f ca="1"/>
      </c>
      <c r="HA318">
        <f ca="1"/>
      </c>
      <c r="HB318">
        <f ca="1"/>
      </c>
      <c r="HD318">
        <f ca="1"/>
      </c>
      <c r="HE318">
        <f ca="1"/>
      </c>
      <c r="HF318">
        <f ca="1"/>
      </c>
      <c r="HG318">
        <f ca="1"/>
      </c>
      <c r="HH318">
        <f ca="1"/>
      </c>
      <c r="HI318">
        <f ca="1"/>
      </c>
      <c r="HJ318">
        <f ca="1"/>
      </c>
      <c r="HK318">
        <f ca="1"/>
      </c>
      <c r="HL318">
        <f ca="1"/>
      </c>
      <c r="HM318">
        <f ca="1"/>
      </c>
      <c r="HN318">
        <f ca="1"/>
      </c>
      <c r="HO318">
        <f ca="1"/>
      </c>
      <c r="HP318">
        <f ca="1"/>
      </c>
      <c r="HQ318">
        <f ca="1"/>
      </c>
    </row>
    <row r="319" spans="147:226" x14ac:dyDescent="0.55000000000000004"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GX319">
        <f ca="1"/>
      </c>
      <c r="GY319">
        <f ca="1"/>
      </c>
      <c r="GZ319">
        <f ca="1"/>
      </c>
      <c r="HA319">
        <f ca="1"/>
      </c>
      <c r="HB319">
        <f ca="1"/>
      </c>
      <c r="HD319">
        <f ca="1"/>
      </c>
      <c r="HE319">
        <f ca="1"/>
      </c>
      <c r="HF319">
        <f ca="1"/>
      </c>
      <c r="HG319">
        <f ca="1"/>
      </c>
      <c r="HH319">
        <f ca="1"/>
      </c>
      <c r="HI319">
        <f ca="1"/>
      </c>
      <c r="HJ319">
        <f ca="1"/>
      </c>
      <c r="HK319">
        <f ca="1"/>
      </c>
      <c r="HL319">
        <f ca="1"/>
      </c>
      <c r="HM319">
        <f ca="1"/>
      </c>
      <c r="HN319">
        <f ca="1"/>
      </c>
      <c r="HO319">
        <f ca="1"/>
      </c>
      <c r="HP319">
        <f ca="1"/>
      </c>
      <c r="HQ319">
        <f ca="1"/>
      </c>
    </row>
    <row r="320" spans="147:226" x14ac:dyDescent="0.55000000000000004"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GX320">
        <f ca="1"/>
      </c>
      <c r="GY320">
        <f ca="1"/>
      </c>
      <c r="GZ320">
        <f ca="1"/>
      </c>
      <c r="HA320">
        <f ca="1"/>
      </c>
      <c r="HB320">
        <f ca="1"/>
      </c>
      <c r="HD320">
        <f ca="1"/>
      </c>
      <c r="HE320">
        <f ca="1"/>
      </c>
      <c r="HF320">
        <f ca="1"/>
      </c>
      <c r="HG320">
        <f ca="1"/>
      </c>
      <c r="HH320">
        <f ca="1"/>
      </c>
      <c r="HI320">
        <f ca="1"/>
      </c>
      <c r="HJ320">
        <f ca="1"/>
      </c>
      <c r="HK320">
        <f ca="1"/>
      </c>
      <c r="HL320">
        <f ca="1"/>
      </c>
      <c r="HM320">
        <f ca="1"/>
      </c>
      <c r="HN320">
        <f ca="1"/>
      </c>
      <c r="HO320">
        <f ca="1"/>
      </c>
      <c r="HP320">
        <f ca="1"/>
      </c>
      <c r="HQ320">
        <f ca="1"/>
      </c>
    </row>
    <row r="321" spans="147:225" x14ac:dyDescent="0.55000000000000004"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GX321">
        <f ca="1"/>
      </c>
      <c r="GY321">
        <f ca="1"/>
      </c>
      <c r="GZ321">
        <f ca="1"/>
      </c>
      <c r="HA321">
        <f ca="1"/>
      </c>
      <c r="HB321">
        <f ca="1"/>
      </c>
      <c r="HD321">
        <f ca="1"/>
      </c>
      <c r="HE321">
        <f ca="1"/>
      </c>
      <c r="HF321">
        <f ca="1"/>
      </c>
      <c r="HG321">
        <f ca="1"/>
      </c>
      <c r="HH321">
        <f ca="1"/>
      </c>
      <c r="HI321">
        <f ca="1"/>
      </c>
      <c r="HJ321">
        <f ca="1"/>
      </c>
      <c r="HK321">
        <f ca="1"/>
      </c>
      <c r="HL321">
        <f ca="1"/>
      </c>
      <c r="HM321">
        <f ca="1"/>
      </c>
      <c r="HN321">
        <f ca="1"/>
      </c>
      <c r="HO321">
        <f ca="1"/>
      </c>
      <c r="HP321">
        <f ca="1"/>
      </c>
      <c r="HQ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GX322">
        <f ca="1"/>
      </c>
      <c r="GY322">
        <f ca="1"/>
      </c>
      <c r="GZ322">
        <f ca="1"/>
      </c>
      <c r="HA322">
        <f ca="1"/>
      </c>
      <c r="HB322">
        <f ca="1"/>
      </c>
      <c r="HD322">
        <f ca="1"/>
      </c>
      <c r="HE322">
        <f ca="1"/>
      </c>
      <c r="HF322">
        <f ca="1"/>
      </c>
      <c r="HG322">
        <f ca="1"/>
      </c>
      <c r="HH322">
        <f ca="1"/>
      </c>
      <c r="HI322">
        <f ca="1"/>
      </c>
      <c r="HJ322">
        <f ca="1"/>
      </c>
      <c r="HK322">
        <f ca="1"/>
      </c>
      <c r="HL322">
        <f ca="1"/>
      </c>
      <c r="HM322">
        <f ca="1"/>
      </c>
      <c r="HN322">
        <f ca="1"/>
      </c>
      <c r="HO322">
        <f ca="1"/>
      </c>
      <c r="HP322">
        <f ca="1"/>
      </c>
      <c r="HQ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aca="1" ref="EQ354:FR371" ca="1">_xlfn.LET(_xlpm.g,_xlfn.DROP(_xlfn.ANCHORARRAY($CO$4),1),_xlfn._xlws.FILTER(_xlpm.g,_xlfn.TAKE(_xlpm.g,,1)=8))</f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aca="1" ref="GX355:GX372" ca="1">_xlfn.LET(_xlpm.V,_xlfn.DROP(_xlfn.ANCHORARRAY($EQ$354),,10),IF(1&lt;=COLUMNS(_xlpm.V),_xlfn.CHOOSECOLS(_xlpm.V,1),IF(_xlfn.SEQUENCE(ROWS(_xlpm.V)),NA())))</f>
      </c>
      <c r="GY355" cm="1">
        <f t="array" aca="1" ref="GY355:GY372" ca="1">_xlfn.LET(_xlpm.V,_xlfn.DROP(_xlfn.ANCHORARRAY($EQ$354),,10),IF(2&lt;=COLUMNS(_xlpm.V),_xlfn.CHOOSECOLS(_xlpm.V,2),IF(_xlfn.SEQUENCE(ROWS(_xlpm.V)),NA())))</f>
      </c>
      <c r="GZ355" cm="1">
        <f t="array" aca="1" ref="GZ355:GZ372" ca="1">_xlfn.LET(_xlpm.V,_xlfn.DROP(_xlfn.ANCHORARRAY($EQ$354),,10),IF(3&lt;=COLUMNS(_xlpm.V),_xlfn.CHOOSECOLS(_xlpm.V,3),IF(_xlfn.SEQUENCE(ROWS(_xlpm.V)),NA())))</f>
      </c>
      <c r="HA355" cm="1">
        <f t="array" aca="1" ref="HA355:HA372" ca="1">_xlfn.LET(_xlpm.V,_xlfn.DROP(_xlfn.ANCHORARRAY($EQ$354),,10),IF(4&lt;=COLUMNS(_xlpm.V),_xlfn.CHOOSECOLS(_xlpm.V,4),IF(_xlfn.SEQUENCE(ROWS(_xlpm.V)),NA())))</f>
      </c>
      <c r="HB355" cm="1">
        <f t="array" aca="1" ref="HB355:HB372" ca="1">_xlfn.LET(_xlpm.V,_xlfn.DROP(_xlfn.ANCHORARRAY($EQ$354),,10),IF(5&lt;=COLUMNS(_xlpm.V),_xlfn.CHOOSECOLS(_xlpm.V,5),IF(_xlfn.SEQUENCE(ROWS(_xlpm.V)),NA())))</f>
      </c>
      <c r="HD355" cm="1">
        <f t="array" aca="1" ref="HD355:HD372" ca="1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aca="1" ref="HF355:HF372" ca="1">_xlfn.CHOOSECOLS(_xlfn.ANCHORARRAY($EQ$354),8)+_xlfn.CHOOSECOLS(_xlfn.ANCHORARRAY($EQ$354),10)</f>
      </c>
      <c r="HG355" cm="1">
        <f t="array" aca="1" ref="HG355:HG372" ca="1">_xlfn.CHOOSECOLS(_xlfn.ANCHORARRAY($EQ$354),8)-_xlfn.CHOOSECOLS(_xlfn.ANCHORARRAY($EQ$354),10)</f>
      </c>
      <c r="HH355" cm="1">
        <f t="array" aca="1" ref="HH355:HH372" ca="1">_xlfn.LET(_xlpm.v,_xlfn.CHOOSECOLS(_xlfn._xlws.FILTER(_xlfn.DROP(_xlfn.ANCHORARRAY($HS$4),1),_xlfn.TAKE(_xlfn.DROP(_xlfn.ANCHORARRAY($HS$4),1),,1)=8),3),IF(_xlpm.v="",NA(),_xlpm.v))</f>
      </c>
      <c r="HI355" cm="1">
        <f t="array" aca="1" ref="HI355:HI372" ca="1">-_xlfn.ANCHORARRAY($HH$355)</f>
      </c>
      <c r="HJ355" cm="1">
        <f t="array" aca="1" ref="HJ355:HJ372" ca="1">_xlfn.LET(_xlpm.v,_xlfn.CHOOSECOLS(_xlfn._xlws.FILTER(_xlfn.DROP(_xlfn.ANCHORARRAY($HS$4),1),_xlfn.TAKE(_xlfn.DROP(_xlfn.ANCHORARRAY($HS$4),1),,1)=8),4),IF(_xlpm.v="",NA(),_xlpm.v))</f>
      </c>
      <c r="HK355" cm="1">
        <f t="array" aca="1" ref="HK355:HK372" ca="1">-_xlfn.ANCHORARRAY($HJ$355)</f>
      </c>
      <c r="HL355" cm="1">
        <f t="array" aca="1" ref="HL355:HL372" ca="1">_xlfn.LET(_xlpm.v,_xlfn.CHOOSECOLS(_xlfn._xlws.FILTER(_xlfn.DROP(_xlfn.ANCHORARRAY($HS$4),1),_xlfn.TAKE(_xlfn.DROP(_xlfn.ANCHORARRAY($HS$4),1),,1)=8),5),IF(_xlpm.v="",NA(),_xlpm.v))</f>
      </c>
      <c r="HM355" cm="1">
        <f t="array" aca="1" ref="HM355:HM372" ca="1">-_xlfn.ANCHORARRAY($HL$355)</f>
      </c>
      <c r="HN355" cm="1">
        <f t="array" aca="1" ref="HN355:HN372" ca="1">_xlfn.LET(_xlpm.v,_xlfn.CHOOSECOLS(_xlfn._xlws.FILTER(_xlfn.DROP(_xlfn.ANCHORARRAY($HS$4),1),_xlfn.TAKE(_xlfn.DROP(_xlfn.ANCHORARRAY($HS$4),1),,1)=8),6),IF(_xlpm.v="",NA(),_xlpm.v))</f>
      </c>
      <c r="HO355" cm="1">
        <f t="array" aca="1" ref="HO355:HO372" ca="1">-_xlfn.ANCHORARRAY($HN$355)</f>
      </c>
      <c r="HP355" cm="1">
        <f t="array" aca="1" ref="HP355:HP372" ca="1">_xlfn.LET(_xlpm.v,_xlfn.CHOOSECOLS(_xlfn._xlws.FILTER(_xlfn.DROP(_xlfn.ANCHORARRAY($HS$4),1),_xlfn.TAKE(_xlfn.DROP(_xlfn.ANCHORARRAY($HS$4),1),,1)=8),7),IF(_xlpm.v="",NA(),_xlpm.v))</f>
      </c>
      <c r="HQ355" cm="1">
        <f t="array" aca="1" ref="HQ355:HQ372" ca="1">-_xlfn.ANCHORARRAY($HP$355)</f>
      </c>
      <c r="HR355" cm="1">
        <f t="array" aca="1" ref="HR355" ca="1">IFERROR(INDEX(_xlfn._xlws.FILTER(_xlfn.DROP(_xlfn.ANCHORARRAY($HS$4),1),_xlfn.TAKE(_xlfn.DROP(_xlfn.ANCHORARRAY($HS$4),1),,1)=8),1,2),"")</f>
      </c>
    </row>
    <row r="356" spans="146:226" x14ac:dyDescent="0.55000000000000004"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GX356">
        <f ca="1"/>
      </c>
      <c r="GY356">
        <f ca="1"/>
      </c>
      <c r="GZ356">
        <f ca="1"/>
      </c>
      <c r="HA356">
        <f ca="1"/>
      </c>
      <c r="HB356">
        <f ca="1"/>
      </c>
      <c r="HD356">
        <f ca="1"/>
      </c>
      <c r="HE356">
        <f ca="1"/>
      </c>
      <c r="HF356">
        <f ca="1"/>
      </c>
      <c r="HG356">
        <f ca="1"/>
      </c>
      <c r="HH356">
        <f ca="1"/>
      </c>
      <c r="HI356">
        <f ca="1"/>
      </c>
      <c r="HJ356">
        <f ca="1"/>
      </c>
      <c r="HK356">
        <f ca="1"/>
      </c>
      <c r="HL356">
        <f ca="1"/>
      </c>
      <c r="HM356">
        <f ca="1"/>
      </c>
      <c r="HN356">
        <f ca="1"/>
      </c>
      <c r="HO356">
        <f ca="1"/>
      </c>
      <c r="HP356">
        <f ca="1"/>
      </c>
      <c r="HQ356">
        <f ca="1"/>
      </c>
    </row>
    <row r="357" spans="146:226" x14ac:dyDescent="0.55000000000000004"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GX357">
        <f ca="1"/>
      </c>
      <c r="GY357">
        <f ca="1"/>
      </c>
      <c r="GZ357">
        <f ca="1"/>
      </c>
      <c r="HA357">
        <f ca="1"/>
      </c>
      <c r="HB357">
        <f ca="1"/>
      </c>
      <c r="HD357">
        <f ca="1"/>
      </c>
      <c r="HE357">
        <f ca="1"/>
      </c>
      <c r="HF357">
        <f ca="1"/>
      </c>
      <c r="HG357">
        <f ca="1"/>
      </c>
      <c r="HH357">
        <f ca="1"/>
      </c>
      <c r="HI357">
        <f ca="1"/>
      </c>
      <c r="HJ357">
        <f ca="1"/>
      </c>
      <c r="HK357">
        <f ca="1"/>
      </c>
      <c r="HL357">
        <f ca="1"/>
      </c>
      <c r="HM357">
        <f ca="1"/>
      </c>
      <c r="HN357">
        <f ca="1"/>
      </c>
      <c r="HO357">
        <f ca="1"/>
      </c>
      <c r="HP357">
        <f ca="1"/>
      </c>
      <c r="HQ357">
        <f ca="1"/>
      </c>
    </row>
    <row r="358" spans="146:226" x14ac:dyDescent="0.55000000000000004"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GX358">
        <f ca="1"/>
      </c>
      <c r="GY358">
        <f ca="1"/>
      </c>
      <c r="GZ358">
        <f ca="1"/>
      </c>
      <c r="HA358">
        <f ca="1"/>
      </c>
      <c r="HB358">
        <f ca="1"/>
      </c>
      <c r="HD358">
        <f ca="1"/>
      </c>
      <c r="HE358">
        <f ca="1"/>
      </c>
      <c r="HF358">
        <f ca="1"/>
      </c>
      <c r="HG358">
        <f ca="1"/>
      </c>
      <c r="HH358">
        <f ca="1"/>
      </c>
      <c r="HI358">
        <f ca="1"/>
      </c>
      <c r="HJ358">
        <f ca="1"/>
      </c>
      <c r="HK358">
        <f ca="1"/>
      </c>
      <c r="HL358">
        <f ca="1"/>
      </c>
      <c r="HM358">
        <f ca="1"/>
      </c>
      <c r="HN358">
        <f ca="1"/>
      </c>
      <c r="HO358">
        <f ca="1"/>
      </c>
      <c r="HP358">
        <f ca="1"/>
      </c>
      <c r="HQ358">
        <f ca="1"/>
      </c>
    </row>
    <row r="359" spans="146:226" x14ac:dyDescent="0.55000000000000004"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GX359">
        <f ca="1"/>
      </c>
      <c r="GY359">
        <f ca="1"/>
      </c>
      <c r="GZ359">
        <f ca="1"/>
      </c>
      <c r="HA359">
        <f ca="1"/>
      </c>
      <c r="HB359">
        <f ca="1"/>
      </c>
      <c r="HD359">
        <f ca="1"/>
      </c>
      <c r="HE359">
        <f ca="1"/>
      </c>
      <c r="HF359">
        <f ca="1"/>
      </c>
      <c r="HG359">
        <f ca="1"/>
      </c>
      <c r="HH359">
        <f ca="1"/>
      </c>
      <c r="HI359">
        <f ca="1"/>
      </c>
      <c r="HJ359">
        <f ca="1"/>
      </c>
      <c r="HK359">
        <f ca="1"/>
      </c>
      <c r="HL359">
        <f ca="1"/>
      </c>
      <c r="HM359">
        <f ca="1"/>
      </c>
      <c r="HN359">
        <f ca="1"/>
      </c>
      <c r="HO359">
        <f ca="1"/>
      </c>
      <c r="HP359">
        <f ca="1"/>
      </c>
      <c r="HQ359">
        <f ca="1"/>
      </c>
    </row>
    <row r="360" spans="146:226" x14ac:dyDescent="0.55000000000000004"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GX360">
        <f ca="1"/>
      </c>
      <c r="GY360">
        <f ca="1"/>
      </c>
      <c r="GZ360">
        <f ca="1"/>
      </c>
      <c r="HA360">
        <f ca="1"/>
      </c>
      <c r="HB360">
        <f ca="1"/>
      </c>
      <c r="HD360">
        <f ca="1"/>
      </c>
      <c r="HE360">
        <f ca="1"/>
      </c>
      <c r="HF360">
        <f ca="1"/>
      </c>
      <c r="HG360">
        <f ca="1"/>
      </c>
      <c r="HH360">
        <f ca="1"/>
      </c>
      <c r="HI360">
        <f ca="1"/>
      </c>
      <c r="HJ360">
        <f ca="1"/>
      </c>
      <c r="HK360">
        <f ca="1"/>
      </c>
      <c r="HL360">
        <f ca="1"/>
      </c>
      <c r="HM360">
        <f ca="1"/>
      </c>
      <c r="HN360">
        <f ca="1"/>
      </c>
      <c r="HO360">
        <f ca="1"/>
      </c>
      <c r="HP360">
        <f ca="1"/>
      </c>
      <c r="HQ360">
        <f ca="1"/>
      </c>
    </row>
    <row r="361" spans="146:226" x14ac:dyDescent="0.55000000000000004"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GX361">
        <f ca="1"/>
      </c>
      <c r="GY361">
        <f ca="1"/>
      </c>
      <c r="GZ361">
        <f ca="1"/>
      </c>
      <c r="HA361">
        <f ca="1"/>
      </c>
      <c r="HB361">
        <f ca="1"/>
      </c>
      <c r="HD361">
        <f ca="1"/>
      </c>
      <c r="HE361">
        <f ca="1"/>
      </c>
      <c r="HF361">
        <f ca="1"/>
      </c>
      <c r="HG361">
        <f ca="1"/>
      </c>
      <c r="HH361">
        <f ca="1"/>
      </c>
      <c r="HI361">
        <f ca="1"/>
      </c>
      <c r="HJ361">
        <f ca="1"/>
      </c>
      <c r="HK361">
        <f ca="1"/>
      </c>
      <c r="HL361">
        <f ca="1"/>
      </c>
      <c r="HM361">
        <f ca="1"/>
      </c>
      <c r="HN361">
        <f ca="1"/>
      </c>
      <c r="HO361">
        <f ca="1"/>
      </c>
      <c r="HP361">
        <f ca="1"/>
      </c>
      <c r="HQ361">
        <f ca="1"/>
      </c>
    </row>
    <row r="362" spans="146:226" x14ac:dyDescent="0.55000000000000004"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GX362">
        <f ca="1"/>
      </c>
      <c r="GY362">
        <f ca="1"/>
      </c>
      <c r="GZ362">
        <f ca="1"/>
      </c>
      <c r="HA362">
        <f ca="1"/>
      </c>
      <c r="HB362">
        <f ca="1"/>
      </c>
      <c r="HD362">
        <f ca="1"/>
      </c>
      <c r="HE362">
        <f ca="1"/>
      </c>
      <c r="HF362">
        <f ca="1"/>
      </c>
      <c r="HG362">
        <f ca="1"/>
      </c>
      <c r="HH362">
        <f ca="1"/>
      </c>
      <c r="HI362">
        <f ca="1"/>
      </c>
      <c r="HJ362">
        <f ca="1"/>
      </c>
      <c r="HK362">
        <f ca="1"/>
      </c>
      <c r="HL362">
        <f ca="1"/>
      </c>
      <c r="HM362">
        <f ca="1"/>
      </c>
      <c r="HN362">
        <f ca="1"/>
      </c>
      <c r="HO362">
        <f ca="1"/>
      </c>
      <c r="HP362">
        <f ca="1"/>
      </c>
      <c r="HQ362">
        <f ca="1"/>
      </c>
    </row>
    <row r="363" spans="146:226" x14ac:dyDescent="0.55000000000000004"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GX363">
        <f ca="1"/>
      </c>
      <c r="GY363">
        <f ca="1"/>
      </c>
      <c r="GZ363">
        <f ca="1"/>
      </c>
      <c r="HA363">
        <f ca="1"/>
      </c>
      <c r="HB363">
        <f ca="1"/>
      </c>
      <c r="HD363">
        <f ca="1"/>
      </c>
      <c r="HE363">
        <f ca="1"/>
      </c>
      <c r="HF363">
        <f ca="1"/>
      </c>
      <c r="HG363">
        <f ca="1"/>
      </c>
      <c r="HH363">
        <f ca="1"/>
      </c>
      <c r="HI363">
        <f ca="1"/>
      </c>
      <c r="HJ363">
        <f ca="1"/>
      </c>
      <c r="HK363">
        <f ca="1"/>
      </c>
      <c r="HL363">
        <f ca="1"/>
      </c>
      <c r="HM363">
        <f ca="1"/>
      </c>
      <c r="HN363">
        <f ca="1"/>
      </c>
      <c r="HO363">
        <f ca="1"/>
      </c>
      <c r="HP363">
        <f ca="1"/>
      </c>
      <c r="HQ363">
        <f ca="1"/>
      </c>
    </row>
    <row r="364" spans="146:226" x14ac:dyDescent="0.55000000000000004"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GX364">
        <f ca="1"/>
      </c>
      <c r="GY364">
        <f ca="1"/>
      </c>
      <c r="GZ364">
        <f ca="1"/>
      </c>
      <c r="HA364">
        <f ca="1"/>
      </c>
      <c r="HB364">
        <f ca="1"/>
      </c>
      <c r="HD364">
        <f ca="1"/>
      </c>
      <c r="HE364">
        <f ca="1"/>
      </c>
      <c r="HF364">
        <f ca="1"/>
      </c>
      <c r="HG364">
        <f ca="1"/>
      </c>
      <c r="HH364">
        <f ca="1"/>
      </c>
      <c r="HI364">
        <f ca="1"/>
      </c>
      <c r="HJ364">
        <f ca="1"/>
      </c>
      <c r="HK364">
        <f ca="1"/>
      </c>
      <c r="HL364">
        <f ca="1"/>
      </c>
      <c r="HM364">
        <f ca="1"/>
      </c>
      <c r="HN364">
        <f ca="1"/>
      </c>
      <c r="HO364">
        <f ca="1"/>
      </c>
      <c r="HP364">
        <f ca="1"/>
      </c>
      <c r="HQ364">
        <f ca="1"/>
      </c>
    </row>
    <row r="365" spans="146:226" x14ac:dyDescent="0.55000000000000004"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GX365">
        <f ca="1"/>
      </c>
      <c r="GY365">
        <f ca="1"/>
      </c>
      <c r="GZ365">
        <f ca="1"/>
      </c>
      <c r="HA365">
        <f ca="1"/>
      </c>
      <c r="HB365">
        <f ca="1"/>
      </c>
      <c r="HD365">
        <f ca="1"/>
      </c>
      <c r="HE365">
        <f ca="1"/>
      </c>
      <c r="HF365">
        <f ca="1"/>
      </c>
      <c r="HG365">
        <f ca="1"/>
      </c>
      <c r="HH365">
        <f ca="1"/>
      </c>
      <c r="HI365">
        <f ca="1"/>
      </c>
      <c r="HJ365">
        <f ca="1"/>
      </c>
      <c r="HK365">
        <f ca="1"/>
      </c>
      <c r="HL365">
        <f ca="1"/>
      </c>
      <c r="HM365">
        <f ca="1"/>
      </c>
      <c r="HN365">
        <f ca="1"/>
      </c>
      <c r="HO365">
        <f ca="1"/>
      </c>
      <c r="HP365">
        <f ca="1"/>
      </c>
      <c r="HQ365">
        <f ca="1"/>
      </c>
    </row>
    <row r="366" spans="146:226" x14ac:dyDescent="0.55000000000000004"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GX366">
        <f ca="1"/>
      </c>
      <c r="GY366">
        <f ca="1"/>
      </c>
      <c r="GZ366">
        <f ca="1"/>
      </c>
      <c r="HA366">
        <f ca="1"/>
      </c>
      <c r="HB366">
        <f ca="1"/>
      </c>
      <c r="HD366">
        <f ca="1"/>
      </c>
      <c r="HE366">
        <f ca="1"/>
      </c>
      <c r="HF366">
        <f ca="1"/>
      </c>
      <c r="HG366">
        <f ca="1"/>
      </c>
      <c r="HH366">
        <f ca="1"/>
      </c>
      <c r="HI366">
        <f ca="1"/>
      </c>
      <c r="HJ366">
        <f ca="1"/>
      </c>
      <c r="HK366">
        <f ca="1"/>
      </c>
      <c r="HL366">
        <f ca="1"/>
      </c>
      <c r="HM366">
        <f ca="1"/>
      </c>
      <c r="HN366">
        <f ca="1"/>
      </c>
      <c r="HO366">
        <f ca="1"/>
      </c>
      <c r="HP366">
        <f ca="1"/>
      </c>
      <c r="HQ366">
        <f ca="1"/>
      </c>
    </row>
    <row r="367" spans="146:226" x14ac:dyDescent="0.55000000000000004"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GX367">
        <f ca="1"/>
      </c>
      <c r="GY367">
        <f ca="1"/>
      </c>
      <c r="GZ367">
        <f ca="1"/>
      </c>
      <c r="HA367">
        <f ca="1"/>
      </c>
      <c r="HB367">
        <f ca="1"/>
      </c>
      <c r="HD367">
        <f ca="1"/>
      </c>
      <c r="HE367">
        <f ca="1"/>
      </c>
      <c r="HF367">
        <f ca="1"/>
      </c>
      <c r="HG367">
        <f ca="1"/>
      </c>
      <c r="HH367">
        <f ca="1"/>
      </c>
      <c r="HI367">
        <f ca="1"/>
      </c>
      <c r="HJ367">
        <f ca="1"/>
      </c>
      <c r="HK367">
        <f ca="1"/>
      </c>
      <c r="HL367">
        <f ca="1"/>
      </c>
      <c r="HM367">
        <f ca="1"/>
      </c>
      <c r="HN367">
        <f ca="1"/>
      </c>
      <c r="HO367">
        <f ca="1"/>
      </c>
      <c r="HP367">
        <f ca="1"/>
      </c>
      <c r="HQ367">
        <f ca="1"/>
      </c>
    </row>
    <row r="368" spans="146:226" x14ac:dyDescent="0.55000000000000004"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GX368">
        <f ca="1"/>
      </c>
      <c r="GY368">
        <f ca="1"/>
      </c>
      <c r="GZ368">
        <f ca="1"/>
      </c>
      <c r="HA368">
        <f ca="1"/>
      </c>
      <c r="HB368">
        <f ca="1"/>
      </c>
      <c r="HD368">
        <f ca="1"/>
      </c>
      <c r="HE368">
        <f ca="1"/>
      </c>
      <c r="HF368">
        <f ca="1"/>
      </c>
      <c r="HG368">
        <f ca="1"/>
      </c>
      <c r="HH368">
        <f ca="1"/>
      </c>
      <c r="HI368">
        <f ca="1"/>
      </c>
      <c r="HJ368">
        <f ca="1"/>
      </c>
      <c r="HK368">
        <f ca="1"/>
      </c>
      <c r="HL368">
        <f ca="1"/>
      </c>
      <c r="HM368">
        <f ca="1"/>
      </c>
      <c r="HN368">
        <f ca="1"/>
      </c>
      <c r="HO368">
        <f ca="1"/>
      </c>
      <c r="HP368">
        <f ca="1"/>
      </c>
      <c r="HQ368">
        <f ca="1"/>
      </c>
    </row>
    <row r="369" spans="147:225" x14ac:dyDescent="0.55000000000000004"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GX369">
        <f ca="1"/>
      </c>
      <c r="GY369">
        <f ca="1"/>
      </c>
      <c r="GZ369">
        <f ca="1"/>
      </c>
      <c r="HA369">
        <f ca="1"/>
      </c>
      <c r="HB369">
        <f ca="1"/>
      </c>
      <c r="HD369">
        <f ca="1"/>
      </c>
      <c r="HE369">
        <f ca="1"/>
      </c>
      <c r="HF369">
        <f ca="1"/>
      </c>
      <c r="HG369">
        <f ca="1"/>
      </c>
      <c r="HH369">
        <f ca="1"/>
      </c>
      <c r="HI369">
        <f ca="1"/>
      </c>
      <c r="HJ369">
        <f ca="1"/>
      </c>
      <c r="HK369">
        <f ca="1"/>
      </c>
      <c r="HL369">
        <f ca="1"/>
      </c>
      <c r="HM369">
        <f ca="1"/>
      </c>
      <c r="HN369">
        <f ca="1"/>
      </c>
      <c r="HO369">
        <f ca="1"/>
      </c>
      <c r="HP369">
        <f ca="1"/>
      </c>
      <c r="HQ369">
        <f ca="1"/>
      </c>
    </row>
    <row r="370" spans="147:225" x14ac:dyDescent="0.55000000000000004"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GX370">
        <f ca="1"/>
      </c>
      <c r="GY370">
        <f ca="1"/>
      </c>
      <c r="GZ370">
        <f ca="1"/>
      </c>
      <c r="HA370">
        <f ca="1"/>
      </c>
      <c r="HB370">
        <f ca="1"/>
      </c>
      <c r="HD370">
        <f ca="1"/>
      </c>
      <c r="HE370">
        <f ca="1"/>
      </c>
      <c r="HF370">
        <f ca="1"/>
      </c>
      <c r="HG370">
        <f ca="1"/>
      </c>
      <c r="HH370">
        <f ca="1"/>
      </c>
      <c r="HI370">
        <f ca="1"/>
      </c>
      <c r="HJ370">
        <f ca="1"/>
      </c>
      <c r="HK370">
        <f ca="1"/>
      </c>
      <c r="HL370">
        <f ca="1"/>
      </c>
      <c r="HM370">
        <f ca="1"/>
      </c>
      <c r="HN370">
        <f ca="1"/>
      </c>
      <c r="HO370">
        <f ca="1"/>
      </c>
      <c r="HP370">
        <f ca="1"/>
      </c>
      <c r="HQ370">
        <f ca="1"/>
      </c>
    </row>
    <row r="371" spans="147:225" x14ac:dyDescent="0.55000000000000004"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GX371">
        <f ca="1"/>
      </c>
      <c r="GY371">
        <f ca="1"/>
      </c>
      <c r="GZ371">
        <f ca="1"/>
      </c>
      <c r="HA371">
        <f ca="1"/>
      </c>
      <c r="HB371">
        <f ca="1"/>
      </c>
      <c r="HD371">
        <f ca="1"/>
      </c>
      <c r="HE371">
        <f ca="1"/>
      </c>
      <c r="HF371">
        <f ca="1"/>
      </c>
      <c r="HG371">
        <f ca="1"/>
      </c>
      <c r="HH371">
        <f ca="1"/>
      </c>
      <c r="HI371">
        <f ca="1"/>
      </c>
      <c r="HJ371">
        <f ca="1"/>
      </c>
      <c r="HK371">
        <f ca="1"/>
      </c>
      <c r="HL371">
        <f ca="1"/>
      </c>
      <c r="HM371">
        <f ca="1"/>
      </c>
      <c r="HN371">
        <f ca="1"/>
      </c>
      <c r="HO371">
        <f ca="1"/>
      </c>
      <c r="HP371">
        <f ca="1"/>
      </c>
      <c r="HQ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GX372">
        <f ca="1"/>
      </c>
      <c r="GY372">
        <f ca="1"/>
      </c>
      <c r="GZ372">
        <f ca="1"/>
      </c>
      <c r="HA372">
        <f ca="1"/>
      </c>
      <c r="HB372">
        <f ca="1"/>
      </c>
      <c r="HD372">
        <f ca="1"/>
      </c>
      <c r="HE372">
        <f ca="1"/>
      </c>
      <c r="HF372">
        <f ca="1"/>
      </c>
      <c r="HG372">
        <f ca="1"/>
      </c>
      <c r="HH372">
        <f ca="1"/>
      </c>
      <c r="HI372">
        <f ca="1"/>
      </c>
      <c r="HJ372">
        <f ca="1"/>
      </c>
      <c r="HK372">
        <f ca="1"/>
      </c>
      <c r="HL372">
        <f ca="1"/>
      </c>
      <c r="HM372">
        <f ca="1"/>
      </c>
      <c r="HN372">
        <f ca="1"/>
      </c>
      <c r="HO372">
        <f ca="1"/>
      </c>
      <c r="HP372">
        <f ca="1"/>
      </c>
      <c r="HQ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aca="1" ref="EQ404:FR421" ca="1">_xlfn.LET(_xlpm.g,_xlfn.DROP(_xlfn.ANCHORARRAY($CO$4),1),_xlfn._xlws.FILTER(_xlpm.g,_xlfn.TAKE(_xlpm.g,,1)=9))</f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aca="1" ref="GX405:GX422" ca="1">_xlfn.LET(_xlpm.V,_xlfn.DROP(_xlfn.ANCHORARRAY($EQ$404),,10),IF(1&lt;=COLUMNS(_xlpm.V),_xlfn.CHOOSECOLS(_xlpm.V,1),IF(_xlfn.SEQUENCE(ROWS(_xlpm.V)),NA())))</f>
      </c>
      <c r="GY405" cm="1">
        <f t="array" aca="1" ref="GY405:GY422" ca="1">_xlfn.LET(_xlpm.V,_xlfn.DROP(_xlfn.ANCHORARRAY($EQ$404),,10),IF(2&lt;=COLUMNS(_xlpm.V),_xlfn.CHOOSECOLS(_xlpm.V,2),IF(_xlfn.SEQUENCE(ROWS(_xlpm.V)),NA())))</f>
      </c>
      <c r="GZ405" cm="1">
        <f t="array" aca="1" ref="GZ405:GZ422" ca="1">_xlfn.LET(_xlpm.V,_xlfn.DROP(_xlfn.ANCHORARRAY($EQ$404),,10),IF(3&lt;=COLUMNS(_xlpm.V),_xlfn.CHOOSECOLS(_xlpm.V,3),IF(_xlfn.SEQUENCE(ROWS(_xlpm.V)),NA())))</f>
      </c>
      <c r="HA405" cm="1">
        <f t="array" aca="1" ref="HA405:HA422" ca="1">_xlfn.LET(_xlpm.V,_xlfn.DROP(_xlfn.ANCHORARRAY($EQ$404),,10),IF(4&lt;=COLUMNS(_xlpm.V),_xlfn.CHOOSECOLS(_xlpm.V,4),IF(_xlfn.SEQUENCE(ROWS(_xlpm.V)),NA())))</f>
      </c>
      <c r="HB405" cm="1">
        <f t="array" aca="1" ref="HB405:HB422" ca="1">_xlfn.LET(_xlpm.V,_xlfn.DROP(_xlfn.ANCHORARRAY($EQ$404),,10),IF(5&lt;=COLUMNS(_xlpm.V),_xlfn.CHOOSECOLS(_xlpm.V,5),IF(_xlfn.SEQUENCE(ROWS(_xlpm.V)),NA())))</f>
      </c>
      <c r="HD405" cm="1">
        <f t="array" aca="1" ref="HD405:HD422" ca="1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aca="1" ref="HF405:HF422" ca="1">_xlfn.CHOOSECOLS(_xlfn.ANCHORARRAY($EQ$404),8)+_xlfn.CHOOSECOLS(_xlfn.ANCHORARRAY($EQ$404),10)</f>
      </c>
      <c r="HG405" cm="1">
        <f t="array" aca="1" ref="HG405:HG422" ca="1">_xlfn.CHOOSECOLS(_xlfn.ANCHORARRAY($EQ$404),8)-_xlfn.CHOOSECOLS(_xlfn.ANCHORARRAY($EQ$404),10)</f>
      </c>
      <c r="HH405" cm="1">
        <f t="array" aca="1" ref="HH405:HH422" ca="1">_xlfn.LET(_xlpm.v,_xlfn.CHOOSECOLS(_xlfn._xlws.FILTER(_xlfn.DROP(_xlfn.ANCHORARRAY($HS$4),1),_xlfn.TAKE(_xlfn.DROP(_xlfn.ANCHORARRAY($HS$4),1),,1)=9),3),IF(_xlpm.v="",NA(),_xlpm.v))</f>
      </c>
      <c r="HI405" cm="1">
        <f t="array" aca="1" ref="HI405:HI422" ca="1">-_xlfn.ANCHORARRAY($HH$405)</f>
      </c>
      <c r="HJ405" cm="1">
        <f t="array" aca="1" ref="HJ405:HJ422" ca="1">_xlfn.LET(_xlpm.v,_xlfn.CHOOSECOLS(_xlfn._xlws.FILTER(_xlfn.DROP(_xlfn.ANCHORARRAY($HS$4),1),_xlfn.TAKE(_xlfn.DROP(_xlfn.ANCHORARRAY($HS$4),1),,1)=9),4),IF(_xlpm.v="",NA(),_xlpm.v))</f>
      </c>
      <c r="HK405" cm="1">
        <f t="array" aca="1" ref="HK405:HK422" ca="1">-_xlfn.ANCHORARRAY($HJ$405)</f>
      </c>
      <c r="HL405" cm="1">
        <f t="array" aca="1" ref="HL405:HL422" ca="1">_xlfn.LET(_xlpm.v,_xlfn.CHOOSECOLS(_xlfn._xlws.FILTER(_xlfn.DROP(_xlfn.ANCHORARRAY($HS$4),1),_xlfn.TAKE(_xlfn.DROP(_xlfn.ANCHORARRAY($HS$4),1),,1)=9),5),IF(_xlpm.v="",NA(),_xlpm.v))</f>
      </c>
      <c r="HM405" cm="1">
        <f t="array" aca="1" ref="HM405:HM422" ca="1">-_xlfn.ANCHORARRAY($HL$405)</f>
      </c>
      <c r="HN405" cm="1">
        <f t="array" aca="1" ref="HN405:HN422" ca="1">_xlfn.LET(_xlpm.v,_xlfn.CHOOSECOLS(_xlfn._xlws.FILTER(_xlfn.DROP(_xlfn.ANCHORARRAY($HS$4),1),_xlfn.TAKE(_xlfn.DROP(_xlfn.ANCHORARRAY($HS$4),1),,1)=9),6),IF(_xlpm.v="",NA(),_xlpm.v))</f>
      </c>
      <c r="HO405" cm="1">
        <f t="array" aca="1" ref="HO405:HO422" ca="1">-_xlfn.ANCHORARRAY($HN$405)</f>
      </c>
      <c r="HP405" cm="1">
        <f t="array" aca="1" ref="HP405:HP422" ca="1">_xlfn.LET(_xlpm.v,_xlfn.CHOOSECOLS(_xlfn._xlws.FILTER(_xlfn.DROP(_xlfn.ANCHORARRAY($HS$4),1),_xlfn.TAKE(_xlfn.DROP(_xlfn.ANCHORARRAY($HS$4),1),,1)=9),7),IF(_xlpm.v="",NA(),_xlpm.v))</f>
      </c>
      <c r="HQ405" cm="1">
        <f t="array" aca="1" ref="HQ405:HQ422" ca="1">-_xlfn.ANCHORARRAY($HP$405)</f>
      </c>
      <c r="HR405" cm="1">
        <f t="array" aca="1" ref="HR405" ca="1">IFERROR(INDEX(_xlfn._xlws.FILTER(_xlfn.DROP(_xlfn.ANCHORARRAY($HS$4),1),_xlfn.TAKE(_xlfn.DROP(_xlfn.ANCHORARRAY($HS$4),1),,1)=9),1,2),"")</f>
      </c>
    </row>
    <row r="406" spans="146:226" x14ac:dyDescent="0.55000000000000004"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GX406">
        <f ca="1"/>
      </c>
      <c r="GY406">
        <f ca="1"/>
      </c>
      <c r="GZ406">
        <f ca="1"/>
      </c>
      <c r="HA406">
        <f ca="1"/>
      </c>
      <c r="HB406">
        <f ca="1"/>
      </c>
      <c r="HD406">
        <f ca="1"/>
      </c>
      <c r="HE406">
        <f ca="1"/>
      </c>
      <c r="HF406">
        <f ca="1"/>
      </c>
      <c r="HG406">
        <f ca="1"/>
      </c>
      <c r="HH406">
        <f ca="1"/>
      </c>
      <c r="HI406">
        <f ca="1"/>
      </c>
      <c r="HJ406">
        <f ca="1"/>
      </c>
      <c r="HK406">
        <f ca="1"/>
      </c>
      <c r="HL406">
        <f ca="1"/>
      </c>
      <c r="HM406">
        <f ca="1"/>
      </c>
      <c r="HN406">
        <f ca="1"/>
      </c>
      <c r="HO406">
        <f ca="1"/>
      </c>
      <c r="HP406">
        <f ca="1"/>
      </c>
      <c r="HQ406">
        <f ca="1"/>
      </c>
    </row>
    <row r="407" spans="146:226" x14ac:dyDescent="0.55000000000000004"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GX407">
        <f ca="1"/>
      </c>
      <c r="GY407">
        <f ca="1"/>
      </c>
      <c r="GZ407">
        <f ca="1"/>
      </c>
      <c r="HA407">
        <f ca="1"/>
      </c>
      <c r="HB407">
        <f ca="1"/>
      </c>
      <c r="HD407">
        <f ca="1"/>
      </c>
      <c r="HE407">
        <f ca="1"/>
      </c>
      <c r="HF407">
        <f ca="1"/>
      </c>
      <c r="HG407">
        <f ca="1"/>
      </c>
      <c r="HH407">
        <f ca="1"/>
      </c>
      <c r="HI407">
        <f ca="1"/>
      </c>
      <c r="HJ407">
        <f ca="1"/>
      </c>
      <c r="HK407">
        <f ca="1"/>
      </c>
      <c r="HL407">
        <f ca="1"/>
      </c>
      <c r="HM407">
        <f ca="1"/>
      </c>
      <c r="HN407">
        <f ca="1"/>
      </c>
      <c r="HO407">
        <f ca="1"/>
      </c>
      <c r="HP407">
        <f ca="1"/>
      </c>
      <c r="HQ407">
        <f ca="1"/>
      </c>
    </row>
    <row r="408" spans="146:226" x14ac:dyDescent="0.55000000000000004"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GX408">
        <f ca="1"/>
      </c>
      <c r="GY408">
        <f ca="1"/>
      </c>
      <c r="GZ408">
        <f ca="1"/>
      </c>
      <c r="HA408">
        <f ca="1"/>
      </c>
      <c r="HB408">
        <f ca="1"/>
      </c>
      <c r="HD408">
        <f ca="1"/>
      </c>
      <c r="HE408">
        <f ca="1"/>
      </c>
      <c r="HF408">
        <f ca="1"/>
      </c>
      <c r="HG408">
        <f ca="1"/>
      </c>
      <c r="HH408">
        <f ca="1"/>
      </c>
      <c r="HI408">
        <f ca="1"/>
      </c>
      <c r="HJ408">
        <f ca="1"/>
      </c>
      <c r="HK408">
        <f ca="1"/>
      </c>
      <c r="HL408">
        <f ca="1"/>
      </c>
      <c r="HM408">
        <f ca="1"/>
      </c>
      <c r="HN408">
        <f ca="1"/>
      </c>
      <c r="HO408">
        <f ca="1"/>
      </c>
      <c r="HP408">
        <f ca="1"/>
      </c>
      <c r="HQ408">
        <f ca="1"/>
      </c>
    </row>
    <row r="409" spans="146:226" x14ac:dyDescent="0.55000000000000004"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GX409">
        <f ca="1"/>
      </c>
      <c r="GY409">
        <f ca="1"/>
      </c>
      <c r="GZ409">
        <f ca="1"/>
      </c>
      <c r="HA409">
        <f ca="1"/>
      </c>
      <c r="HB409">
        <f ca="1"/>
      </c>
      <c r="HD409">
        <f ca="1"/>
      </c>
      <c r="HE409">
        <f ca="1"/>
      </c>
      <c r="HF409">
        <f ca="1"/>
      </c>
      <c r="HG409">
        <f ca="1"/>
      </c>
      <c r="HH409">
        <f ca="1"/>
      </c>
      <c r="HI409">
        <f ca="1"/>
      </c>
      <c r="HJ409">
        <f ca="1"/>
      </c>
      <c r="HK409">
        <f ca="1"/>
      </c>
      <c r="HL409">
        <f ca="1"/>
      </c>
      <c r="HM409">
        <f ca="1"/>
      </c>
      <c r="HN409">
        <f ca="1"/>
      </c>
      <c r="HO409">
        <f ca="1"/>
      </c>
      <c r="HP409">
        <f ca="1"/>
      </c>
      <c r="HQ409">
        <f ca="1"/>
      </c>
    </row>
    <row r="410" spans="146:226" x14ac:dyDescent="0.55000000000000004"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GX410">
        <f ca="1"/>
      </c>
      <c r="GY410">
        <f ca="1"/>
      </c>
      <c r="GZ410">
        <f ca="1"/>
      </c>
      <c r="HA410">
        <f ca="1"/>
      </c>
      <c r="HB410">
        <f ca="1"/>
      </c>
      <c r="HD410">
        <f ca="1"/>
      </c>
      <c r="HE410">
        <f ca="1"/>
      </c>
      <c r="HF410">
        <f ca="1"/>
      </c>
      <c r="HG410">
        <f ca="1"/>
      </c>
      <c r="HH410">
        <f ca="1"/>
      </c>
      <c r="HI410">
        <f ca="1"/>
      </c>
      <c r="HJ410">
        <f ca="1"/>
      </c>
      <c r="HK410">
        <f ca="1"/>
      </c>
      <c r="HL410">
        <f ca="1"/>
      </c>
      <c r="HM410">
        <f ca="1"/>
      </c>
      <c r="HN410">
        <f ca="1"/>
      </c>
      <c r="HO410">
        <f ca="1"/>
      </c>
      <c r="HP410">
        <f ca="1"/>
      </c>
      <c r="HQ410">
        <f ca="1"/>
      </c>
    </row>
    <row r="411" spans="146:226" x14ac:dyDescent="0.55000000000000004"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GX411">
        <f ca="1"/>
      </c>
      <c r="GY411">
        <f ca="1"/>
      </c>
      <c r="GZ411">
        <f ca="1"/>
      </c>
      <c r="HA411">
        <f ca="1"/>
      </c>
      <c r="HB411">
        <f ca="1"/>
      </c>
      <c r="HD411">
        <f ca="1"/>
      </c>
      <c r="HE411">
        <f ca="1"/>
      </c>
      <c r="HF411">
        <f ca="1"/>
      </c>
      <c r="HG411">
        <f ca="1"/>
      </c>
      <c r="HH411">
        <f ca="1"/>
      </c>
      <c r="HI411">
        <f ca="1"/>
      </c>
      <c r="HJ411">
        <f ca="1"/>
      </c>
      <c r="HK411">
        <f ca="1"/>
      </c>
      <c r="HL411">
        <f ca="1"/>
      </c>
      <c r="HM411">
        <f ca="1"/>
      </c>
      <c r="HN411">
        <f ca="1"/>
      </c>
      <c r="HO411">
        <f ca="1"/>
      </c>
      <c r="HP411">
        <f ca="1"/>
      </c>
      <c r="HQ411">
        <f ca="1"/>
      </c>
    </row>
    <row r="412" spans="146:226" x14ac:dyDescent="0.55000000000000004"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GX412">
        <f ca="1"/>
      </c>
      <c r="GY412">
        <f ca="1"/>
      </c>
      <c r="GZ412">
        <f ca="1"/>
      </c>
      <c r="HA412">
        <f ca="1"/>
      </c>
      <c r="HB412">
        <f ca="1"/>
      </c>
      <c r="HD412">
        <f ca="1"/>
      </c>
      <c r="HE412">
        <f ca="1"/>
      </c>
      <c r="HF412">
        <f ca="1"/>
      </c>
      <c r="HG412">
        <f ca="1"/>
      </c>
      <c r="HH412">
        <f ca="1"/>
      </c>
      <c r="HI412">
        <f ca="1"/>
      </c>
      <c r="HJ412">
        <f ca="1"/>
      </c>
      <c r="HK412">
        <f ca="1"/>
      </c>
      <c r="HL412">
        <f ca="1"/>
      </c>
      <c r="HM412">
        <f ca="1"/>
      </c>
      <c r="HN412">
        <f ca="1"/>
      </c>
      <c r="HO412">
        <f ca="1"/>
      </c>
      <c r="HP412">
        <f ca="1"/>
      </c>
      <c r="HQ412">
        <f ca="1"/>
      </c>
    </row>
    <row r="413" spans="146:226" x14ac:dyDescent="0.55000000000000004"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GX413">
        <f ca="1"/>
      </c>
      <c r="GY413">
        <f ca="1"/>
      </c>
      <c r="GZ413">
        <f ca="1"/>
      </c>
      <c r="HA413">
        <f ca="1"/>
      </c>
      <c r="HB413">
        <f ca="1"/>
      </c>
      <c r="HD413">
        <f ca="1"/>
      </c>
      <c r="HE413">
        <f ca="1"/>
      </c>
      <c r="HF413">
        <f ca="1"/>
      </c>
      <c r="HG413">
        <f ca="1"/>
      </c>
      <c r="HH413">
        <f ca="1"/>
      </c>
      <c r="HI413">
        <f ca="1"/>
      </c>
      <c r="HJ413">
        <f ca="1"/>
      </c>
      <c r="HK413">
        <f ca="1"/>
      </c>
      <c r="HL413">
        <f ca="1"/>
      </c>
      <c r="HM413">
        <f ca="1"/>
      </c>
      <c r="HN413">
        <f ca="1"/>
      </c>
      <c r="HO413">
        <f ca="1"/>
      </c>
      <c r="HP413">
        <f ca="1"/>
      </c>
      <c r="HQ413">
        <f ca="1"/>
      </c>
    </row>
    <row r="414" spans="146:226" x14ac:dyDescent="0.55000000000000004"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GX414">
        <f ca="1"/>
      </c>
      <c r="GY414">
        <f ca="1"/>
      </c>
      <c r="GZ414">
        <f ca="1"/>
      </c>
      <c r="HA414">
        <f ca="1"/>
      </c>
      <c r="HB414">
        <f ca="1"/>
      </c>
      <c r="HD414">
        <f ca="1"/>
      </c>
      <c r="HE414">
        <f ca="1"/>
      </c>
      <c r="HF414">
        <f ca="1"/>
      </c>
      <c r="HG414">
        <f ca="1"/>
      </c>
      <c r="HH414">
        <f ca="1"/>
      </c>
      <c r="HI414">
        <f ca="1"/>
      </c>
      <c r="HJ414">
        <f ca="1"/>
      </c>
      <c r="HK414">
        <f ca="1"/>
      </c>
      <c r="HL414">
        <f ca="1"/>
      </c>
      <c r="HM414">
        <f ca="1"/>
      </c>
      <c r="HN414">
        <f ca="1"/>
      </c>
      <c r="HO414">
        <f ca="1"/>
      </c>
      <c r="HP414">
        <f ca="1"/>
      </c>
      <c r="HQ414">
        <f ca="1"/>
      </c>
    </row>
    <row r="415" spans="146:226" x14ac:dyDescent="0.55000000000000004"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GX415">
        <f ca="1"/>
      </c>
      <c r="GY415">
        <f ca="1"/>
      </c>
      <c r="GZ415">
        <f ca="1"/>
      </c>
      <c r="HA415">
        <f ca="1"/>
      </c>
      <c r="HB415">
        <f ca="1"/>
      </c>
      <c r="HD415">
        <f ca="1"/>
      </c>
      <c r="HE415">
        <f ca="1"/>
      </c>
      <c r="HF415">
        <f ca="1"/>
      </c>
      <c r="HG415">
        <f ca="1"/>
      </c>
      <c r="HH415">
        <f ca="1"/>
      </c>
      <c r="HI415">
        <f ca="1"/>
      </c>
      <c r="HJ415">
        <f ca="1"/>
      </c>
      <c r="HK415">
        <f ca="1"/>
      </c>
      <c r="HL415">
        <f ca="1"/>
      </c>
      <c r="HM415">
        <f ca="1"/>
      </c>
      <c r="HN415">
        <f ca="1"/>
      </c>
      <c r="HO415">
        <f ca="1"/>
      </c>
      <c r="HP415">
        <f ca="1"/>
      </c>
      <c r="HQ415">
        <f ca="1"/>
      </c>
    </row>
    <row r="416" spans="146:226" x14ac:dyDescent="0.55000000000000004"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GX416">
        <f ca="1"/>
      </c>
      <c r="GY416">
        <f ca="1"/>
      </c>
      <c r="GZ416">
        <f ca="1"/>
      </c>
      <c r="HA416">
        <f ca="1"/>
      </c>
      <c r="HB416">
        <f ca="1"/>
      </c>
      <c r="HD416">
        <f ca="1"/>
      </c>
      <c r="HE416">
        <f ca="1"/>
      </c>
      <c r="HF416">
        <f ca="1"/>
      </c>
      <c r="HG416">
        <f ca="1"/>
      </c>
      <c r="HH416">
        <f ca="1"/>
      </c>
      <c r="HI416">
        <f ca="1"/>
      </c>
      <c r="HJ416">
        <f ca="1"/>
      </c>
      <c r="HK416">
        <f ca="1"/>
      </c>
      <c r="HL416">
        <f ca="1"/>
      </c>
      <c r="HM416">
        <f ca="1"/>
      </c>
      <c r="HN416">
        <f ca="1"/>
      </c>
      <c r="HO416">
        <f ca="1"/>
      </c>
      <c r="HP416">
        <f ca="1"/>
      </c>
      <c r="HQ416">
        <f ca="1"/>
      </c>
    </row>
    <row r="417" spans="147:225" x14ac:dyDescent="0.55000000000000004"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GX417">
        <f ca="1"/>
      </c>
      <c r="GY417">
        <f ca="1"/>
      </c>
      <c r="GZ417">
        <f ca="1"/>
      </c>
      <c r="HA417">
        <f ca="1"/>
      </c>
      <c r="HB417">
        <f ca="1"/>
      </c>
      <c r="HD417">
        <f ca="1"/>
      </c>
      <c r="HE417">
        <f ca="1"/>
      </c>
      <c r="HF417">
        <f ca="1"/>
      </c>
      <c r="HG417">
        <f ca="1"/>
      </c>
      <c r="HH417">
        <f ca="1"/>
      </c>
      <c r="HI417">
        <f ca="1"/>
      </c>
      <c r="HJ417">
        <f ca="1"/>
      </c>
      <c r="HK417">
        <f ca="1"/>
      </c>
      <c r="HL417">
        <f ca="1"/>
      </c>
      <c r="HM417">
        <f ca="1"/>
      </c>
      <c r="HN417">
        <f ca="1"/>
      </c>
      <c r="HO417">
        <f ca="1"/>
      </c>
      <c r="HP417">
        <f ca="1"/>
      </c>
      <c r="HQ417">
        <f ca="1"/>
      </c>
    </row>
    <row r="418" spans="147:225" x14ac:dyDescent="0.55000000000000004"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GX418">
        <f ca="1"/>
      </c>
      <c r="GY418">
        <f ca="1"/>
      </c>
      <c r="GZ418">
        <f ca="1"/>
      </c>
      <c r="HA418">
        <f ca="1"/>
      </c>
      <c r="HB418">
        <f ca="1"/>
      </c>
      <c r="HD418">
        <f ca="1"/>
      </c>
      <c r="HE418">
        <f ca="1"/>
      </c>
      <c r="HF418">
        <f ca="1"/>
      </c>
      <c r="HG418">
        <f ca="1"/>
      </c>
      <c r="HH418">
        <f ca="1"/>
      </c>
      <c r="HI418">
        <f ca="1"/>
      </c>
      <c r="HJ418">
        <f ca="1"/>
      </c>
      <c r="HK418">
        <f ca="1"/>
      </c>
      <c r="HL418">
        <f ca="1"/>
      </c>
      <c r="HM418">
        <f ca="1"/>
      </c>
      <c r="HN418">
        <f ca="1"/>
      </c>
      <c r="HO418">
        <f ca="1"/>
      </c>
      <c r="HP418">
        <f ca="1"/>
      </c>
      <c r="HQ418">
        <f ca="1"/>
      </c>
    </row>
    <row r="419" spans="147:225" x14ac:dyDescent="0.55000000000000004"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GX419">
        <f ca="1"/>
      </c>
      <c r="GY419">
        <f ca="1"/>
      </c>
      <c r="GZ419">
        <f ca="1"/>
      </c>
      <c r="HA419">
        <f ca="1"/>
      </c>
      <c r="HB419">
        <f ca="1"/>
      </c>
      <c r="HD419">
        <f ca="1"/>
      </c>
      <c r="HE419">
        <f ca="1"/>
      </c>
      <c r="HF419">
        <f ca="1"/>
      </c>
      <c r="HG419">
        <f ca="1"/>
      </c>
      <c r="HH419">
        <f ca="1"/>
      </c>
      <c r="HI419">
        <f ca="1"/>
      </c>
      <c r="HJ419">
        <f ca="1"/>
      </c>
      <c r="HK419">
        <f ca="1"/>
      </c>
      <c r="HL419">
        <f ca="1"/>
      </c>
      <c r="HM419">
        <f ca="1"/>
      </c>
      <c r="HN419">
        <f ca="1"/>
      </c>
      <c r="HO419">
        <f ca="1"/>
      </c>
      <c r="HP419">
        <f ca="1"/>
      </c>
      <c r="HQ419">
        <f ca="1"/>
      </c>
    </row>
    <row r="420" spans="147:225" x14ac:dyDescent="0.55000000000000004"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GX420">
        <f ca="1"/>
      </c>
      <c r="GY420">
        <f ca="1"/>
      </c>
      <c r="GZ420">
        <f ca="1"/>
      </c>
      <c r="HA420">
        <f ca="1"/>
      </c>
      <c r="HB420">
        <f ca="1"/>
      </c>
      <c r="HD420">
        <f ca="1"/>
      </c>
      <c r="HE420">
        <f ca="1"/>
      </c>
      <c r="HF420">
        <f ca="1"/>
      </c>
      <c r="HG420">
        <f ca="1"/>
      </c>
      <c r="HH420">
        <f ca="1"/>
      </c>
      <c r="HI420">
        <f ca="1"/>
      </c>
      <c r="HJ420">
        <f ca="1"/>
      </c>
      <c r="HK420">
        <f ca="1"/>
      </c>
      <c r="HL420">
        <f ca="1"/>
      </c>
      <c r="HM420">
        <f ca="1"/>
      </c>
      <c r="HN420">
        <f ca="1"/>
      </c>
      <c r="HO420">
        <f ca="1"/>
      </c>
      <c r="HP420">
        <f ca="1"/>
      </c>
      <c r="HQ420">
        <f ca="1"/>
      </c>
    </row>
    <row r="421" spans="147:225" x14ac:dyDescent="0.55000000000000004"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GX421">
        <f ca="1"/>
      </c>
      <c r="GY421">
        <f ca="1"/>
      </c>
      <c r="GZ421">
        <f ca="1"/>
      </c>
      <c r="HA421">
        <f ca="1"/>
      </c>
      <c r="HB421">
        <f ca="1"/>
      </c>
      <c r="HD421">
        <f ca="1"/>
      </c>
      <c r="HE421">
        <f ca="1"/>
      </c>
      <c r="HF421">
        <f ca="1"/>
      </c>
      <c r="HG421">
        <f ca="1"/>
      </c>
      <c r="HH421">
        <f ca="1"/>
      </c>
      <c r="HI421">
        <f ca="1"/>
      </c>
      <c r="HJ421">
        <f ca="1"/>
      </c>
      <c r="HK421">
        <f ca="1"/>
      </c>
      <c r="HL421">
        <f ca="1"/>
      </c>
      <c r="HM421">
        <f ca="1"/>
      </c>
      <c r="HN421">
        <f ca="1"/>
      </c>
      <c r="HO421">
        <f ca="1"/>
      </c>
      <c r="HP421">
        <f ca="1"/>
      </c>
      <c r="HQ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GX422">
        <f ca="1"/>
      </c>
      <c r="GY422">
        <f ca="1"/>
      </c>
      <c r="GZ422">
        <f ca="1"/>
      </c>
      <c r="HA422">
        <f ca="1"/>
      </c>
      <c r="HB422">
        <f ca="1"/>
      </c>
      <c r="HD422">
        <f ca="1"/>
      </c>
      <c r="HE422">
        <f ca="1"/>
      </c>
      <c r="HF422">
        <f ca="1"/>
      </c>
      <c r="HG422">
        <f ca="1"/>
      </c>
      <c r="HH422">
        <f ca="1"/>
      </c>
      <c r="HI422">
        <f ca="1"/>
      </c>
      <c r="HJ422">
        <f ca="1"/>
      </c>
      <c r="HK422">
        <f ca="1"/>
      </c>
      <c r="HL422">
        <f ca="1"/>
      </c>
      <c r="HM422">
        <f ca="1"/>
      </c>
      <c r="HN422">
        <f ca="1"/>
      </c>
      <c r="HO422">
        <f ca="1"/>
      </c>
      <c r="HP422">
        <f ca="1"/>
      </c>
      <c r="HQ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aca="1" ref="EQ454:FR471" ca="1">_xlfn.LET(_xlpm.g,_xlfn.DROP(_xlfn.ANCHORARRAY($CO$4),1),_xlfn._xlws.FILTER(_xlpm.g,_xlfn.TAKE(_xlpm.g,,1)=10))</f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aca="1" ref="GX455:GX472" ca="1">_xlfn.LET(_xlpm.V,_xlfn.DROP(_xlfn.ANCHORARRAY($EQ$454),,10),IF(1&lt;=COLUMNS(_xlpm.V),_xlfn.CHOOSECOLS(_xlpm.V,1),IF(_xlfn.SEQUENCE(ROWS(_xlpm.V)),NA())))</f>
      </c>
      <c r="GY455" cm="1">
        <f t="array" aca="1" ref="GY455:GY472" ca="1">_xlfn.LET(_xlpm.V,_xlfn.DROP(_xlfn.ANCHORARRAY($EQ$454),,10),IF(2&lt;=COLUMNS(_xlpm.V),_xlfn.CHOOSECOLS(_xlpm.V,2),IF(_xlfn.SEQUENCE(ROWS(_xlpm.V)),NA())))</f>
      </c>
      <c r="GZ455" cm="1">
        <f t="array" aca="1" ref="GZ455:GZ472" ca="1">_xlfn.LET(_xlpm.V,_xlfn.DROP(_xlfn.ANCHORARRAY($EQ$454),,10),IF(3&lt;=COLUMNS(_xlpm.V),_xlfn.CHOOSECOLS(_xlpm.V,3),IF(_xlfn.SEQUENCE(ROWS(_xlpm.V)),NA())))</f>
      </c>
      <c r="HA455" cm="1">
        <f t="array" aca="1" ref="HA455:HA472" ca="1">_xlfn.LET(_xlpm.V,_xlfn.DROP(_xlfn.ANCHORARRAY($EQ$454),,10),IF(4&lt;=COLUMNS(_xlpm.V),_xlfn.CHOOSECOLS(_xlpm.V,4),IF(_xlfn.SEQUENCE(ROWS(_xlpm.V)),NA())))</f>
      </c>
      <c r="HB455" cm="1">
        <f t="array" aca="1" ref="HB455:HB472" ca="1">_xlfn.LET(_xlpm.V,_xlfn.DROP(_xlfn.ANCHORARRAY($EQ$454),,10),IF(5&lt;=COLUMNS(_xlpm.V),_xlfn.CHOOSECOLS(_xlpm.V,5),IF(_xlfn.SEQUENCE(ROWS(_xlpm.V)),NA())))</f>
      </c>
      <c r="HD455" cm="1">
        <f t="array" aca="1" ref="HD455:HD472" ca="1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aca="1" ref="HF455:HF472" ca="1">_xlfn.CHOOSECOLS(_xlfn.ANCHORARRAY($EQ$454),8)+_xlfn.CHOOSECOLS(_xlfn.ANCHORARRAY($EQ$454),10)</f>
      </c>
      <c r="HG455" cm="1">
        <f t="array" aca="1" ref="HG455:HG472" ca="1">_xlfn.CHOOSECOLS(_xlfn.ANCHORARRAY($EQ$454),8)-_xlfn.CHOOSECOLS(_xlfn.ANCHORARRAY($EQ$454),10)</f>
      </c>
      <c r="HH455" cm="1">
        <f t="array" aca="1" ref="HH455:HH472" ca="1">_xlfn.LET(_xlpm.v,_xlfn.CHOOSECOLS(_xlfn._xlws.FILTER(_xlfn.DROP(_xlfn.ANCHORARRAY($HS$4),1),_xlfn.TAKE(_xlfn.DROP(_xlfn.ANCHORARRAY($HS$4),1),,1)=10),3),IF(_xlpm.v="",NA(),_xlpm.v))</f>
      </c>
      <c r="HI455" cm="1">
        <f t="array" aca="1" ref="HI455:HI472" ca="1">-_xlfn.ANCHORARRAY($HH$455)</f>
      </c>
      <c r="HJ455" cm="1">
        <f t="array" aca="1" ref="HJ455:HJ472" ca="1">_xlfn.LET(_xlpm.v,_xlfn.CHOOSECOLS(_xlfn._xlws.FILTER(_xlfn.DROP(_xlfn.ANCHORARRAY($HS$4),1),_xlfn.TAKE(_xlfn.DROP(_xlfn.ANCHORARRAY($HS$4),1),,1)=10),4),IF(_xlpm.v="",NA(),_xlpm.v))</f>
      </c>
      <c r="HK455" cm="1">
        <f t="array" aca="1" ref="HK455:HK472" ca="1">-_xlfn.ANCHORARRAY($HJ$455)</f>
      </c>
      <c r="HL455" cm="1">
        <f t="array" aca="1" ref="HL455:HL472" ca="1">_xlfn.LET(_xlpm.v,_xlfn.CHOOSECOLS(_xlfn._xlws.FILTER(_xlfn.DROP(_xlfn.ANCHORARRAY($HS$4),1),_xlfn.TAKE(_xlfn.DROP(_xlfn.ANCHORARRAY($HS$4),1),,1)=10),5),IF(_xlpm.v="",NA(),_xlpm.v))</f>
      </c>
      <c r="HM455" cm="1">
        <f t="array" aca="1" ref="HM455:HM472" ca="1">-_xlfn.ANCHORARRAY($HL$455)</f>
      </c>
      <c r="HN455" cm="1">
        <f t="array" aca="1" ref="HN455:HN472" ca="1">_xlfn.LET(_xlpm.v,_xlfn.CHOOSECOLS(_xlfn._xlws.FILTER(_xlfn.DROP(_xlfn.ANCHORARRAY($HS$4),1),_xlfn.TAKE(_xlfn.DROP(_xlfn.ANCHORARRAY($HS$4),1),,1)=10),6),IF(_xlpm.v="",NA(),_xlpm.v))</f>
      </c>
      <c r="HO455" cm="1">
        <f t="array" aca="1" ref="HO455:HO472" ca="1">-_xlfn.ANCHORARRAY($HN$455)</f>
      </c>
      <c r="HP455" cm="1">
        <f t="array" aca="1" ref="HP455:HP472" ca="1">_xlfn.LET(_xlpm.v,_xlfn.CHOOSECOLS(_xlfn._xlws.FILTER(_xlfn.DROP(_xlfn.ANCHORARRAY($HS$4),1),_xlfn.TAKE(_xlfn.DROP(_xlfn.ANCHORARRAY($HS$4),1),,1)=10),7),IF(_xlpm.v="",NA(),_xlpm.v))</f>
      </c>
      <c r="HQ455" cm="1">
        <f t="array" aca="1" ref="HQ455:HQ472" ca="1">-_xlfn.ANCHORARRAY($HP$455)</f>
      </c>
      <c r="HR455" cm="1">
        <f t="array" aca="1" ref="HR455" ca="1">IFERROR(INDEX(_xlfn._xlws.FILTER(_xlfn.DROP(_xlfn.ANCHORARRAY($HS$4),1),_xlfn.TAKE(_xlfn.DROP(_xlfn.ANCHORARRAY($HS$4),1),,1)=10),1,2),"")</f>
      </c>
    </row>
    <row r="456" spans="146:226" x14ac:dyDescent="0.55000000000000004"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GX456">
        <f ca="1"/>
      </c>
      <c r="GY456">
        <f ca="1"/>
      </c>
      <c r="GZ456">
        <f ca="1"/>
      </c>
      <c r="HA456">
        <f ca="1"/>
      </c>
      <c r="HB456">
        <f ca="1"/>
      </c>
      <c r="HD456">
        <f ca="1"/>
      </c>
      <c r="HE456">
        <f ca="1"/>
      </c>
      <c r="HF456">
        <f ca="1"/>
      </c>
      <c r="HG456">
        <f ca="1"/>
      </c>
      <c r="HH456">
        <f ca="1"/>
      </c>
      <c r="HI456">
        <f ca="1"/>
      </c>
      <c r="HJ456">
        <f ca="1"/>
      </c>
      <c r="HK456">
        <f ca="1"/>
      </c>
      <c r="HL456">
        <f ca="1"/>
      </c>
      <c r="HM456">
        <f ca="1"/>
      </c>
      <c r="HN456">
        <f ca="1"/>
      </c>
      <c r="HO456">
        <f ca="1"/>
      </c>
      <c r="HP456">
        <f ca="1"/>
      </c>
      <c r="HQ456">
        <f ca="1"/>
      </c>
    </row>
    <row r="457" spans="146:226" x14ac:dyDescent="0.55000000000000004"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GX457">
        <f ca="1"/>
      </c>
      <c r="GY457">
        <f ca="1"/>
      </c>
      <c r="GZ457">
        <f ca="1"/>
      </c>
      <c r="HA457">
        <f ca="1"/>
      </c>
      <c r="HB457">
        <f ca="1"/>
      </c>
      <c r="HD457">
        <f ca="1"/>
      </c>
      <c r="HE457">
        <f ca="1"/>
      </c>
      <c r="HF457">
        <f ca="1"/>
      </c>
      <c r="HG457">
        <f ca="1"/>
      </c>
      <c r="HH457">
        <f ca="1"/>
      </c>
      <c r="HI457">
        <f ca="1"/>
      </c>
      <c r="HJ457">
        <f ca="1"/>
      </c>
      <c r="HK457">
        <f ca="1"/>
      </c>
      <c r="HL457">
        <f ca="1"/>
      </c>
      <c r="HM457">
        <f ca="1"/>
      </c>
      <c r="HN457">
        <f ca="1"/>
      </c>
      <c r="HO457">
        <f ca="1"/>
      </c>
      <c r="HP457">
        <f ca="1"/>
      </c>
      <c r="HQ457">
        <f ca="1"/>
      </c>
    </row>
    <row r="458" spans="146:226" x14ac:dyDescent="0.55000000000000004"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GX458">
        <f ca="1"/>
      </c>
      <c r="GY458">
        <f ca="1"/>
      </c>
      <c r="GZ458">
        <f ca="1"/>
      </c>
      <c r="HA458">
        <f ca="1"/>
      </c>
      <c r="HB458">
        <f ca="1"/>
      </c>
      <c r="HD458">
        <f ca="1"/>
      </c>
      <c r="HE458">
        <f ca="1"/>
      </c>
      <c r="HF458">
        <f ca="1"/>
      </c>
      <c r="HG458">
        <f ca="1"/>
      </c>
      <c r="HH458">
        <f ca="1"/>
      </c>
      <c r="HI458">
        <f ca="1"/>
      </c>
      <c r="HJ458">
        <f ca="1"/>
      </c>
      <c r="HK458">
        <f ca="1"/>
      </c>
      <c r="HL458">
        <f ca="1"/>
      </c>
      <c r="HM458">
        <f ca="1"/>
      </c>
      <c r="HN458">
        <f ca="1"/>
      </c>
      <c r="HO458">
        <f ca="1"/>
      </c>
      <c r="HP458">
        <f ca="1"/>
      </c>
      <c r="HQ458">
        <f ca="1"/>
      </c>
    </row>
    <row r="459" spans="146:226" x14ac:dyDescent="0.55000000000000004"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GX459">
        <f ca="1"/>
      </c>
      <c r="GY459">
        <f ca="1"/>
      </c>
      <c r="GZ459">
        <f ca="1"/>
      </c>
      <c r="HA459">
        <f ca="1"/>
      </c>
      <c r="HB459">
        <f ca="1"/>
      </c>
      <c r="HD459">
        <f ca="1"/>
      </c>
      <c r="HE459">
        <f ca="1"/>
      </c>
      <c r="HF459">
        <f ca="1"/>
      </c>
      <c r="HG459">
        <f ca="1"/>
      </c>
      <c r="HH459">
        <f ca="1"/>
      </c>
      <c r="HI459">
        <f ca="1"/>
      </c>
      <c r="HJ459">
        <f ca="1"/>
      </c>
      <c r="HK459">
        <f ca="1"/>
      </c>
      <c r="HL459">
        <f ca="1"/>
      </c>
      <c r="HM459">
        <f ca="1"/>
      </c>
      <c r="HN459">
        <f ca="1"/>
      </c>
      <c r="HO459">
        <f ca="1"/>
      </c>
      <c r="HP459">
        <f ca="1"/>
      </c>
      <c r="HQ459">
        <f ca="1"/>
      </c>
    </row>
    <row r="460" spans="146:226" x14ac:dyDescent="0.55000000000000004"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GX460">
        <f ca="1"/>
      </c>
      <c r="GY460">
        <f ca="1"/>
      </c>
      <c r="GZ460">
        <f ca="1"/>
      </c>
      <c r="HA460">
        <f ca="1"/>
      </c>
      <c r="HB460">
        <f ca="1"/>
      </c>
      <c r="HD460">
        <f ca="1"/>
      </c>
      <c r="HE460">
        <f ca="1"/>
      </c>
      <c r="HF460">
        <f ca="1"/>
      </c>
      <c r="HG460">
        <f ca="1"/>
      </c>
      <c r="HH460">
        <f ca="1"/>
      </c>
      <c r="HI460">
        <f ca="1"/>
      </c>
      <c r="HJ460">
        <f ca="1"/>
      </c>
      <c r="HK460">
        <f ca="1"/>
      </c>
      <c r="HL460">
        <f ca="1"/>
      </c>
      <c r="HM460">
        <f ca="1"/>
      </c>
      <c r="HN460">
        <f ca="1"/>
      </c>
      <c r="HO460">
        <f ca="1"/>
      </c>
      <c r="HP460">
        <f ca="1"/>
      </c>
      <c r="HQ460">
        <f ca="1"/>
      </c>
    </row>
    <row r="461" spans="146:226" x14ac:dyDescent="0.55000000000000004"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GX461">
        <f ca="1"/>
      </c>
      <c r="GY461">
        <f ca="1"/>
      </c>
      <c r="GZ461">
        <f ca="1"/>
      </c>
      <c r="HA461">
        <f ca="1"/>
      </c>
      <c r="HB461">
        <f ca="1"/>
      </c>
      <c r="HD461">
        <f ca="1"/>
      </c>
      <c r="HE461">
        <f ca="1"/>
      </c>
      <c r="HF461">
        <f ca="1"/>
      </c>
      <c r="HG461">
        <f ca="1"/>
      </c>
      <c r="HH461">
        <f ca="1"/>
      </c>
      <c r="HI461">
        <f ca="1"/>
      </c>
      <c r="HJ461">
        <f ca="1"/>
      </c>
      <c r="HK461">
        <f ca="1"/>
      </c>
      <c r="HL461">
        <f ca="1"/>
      </c>
      <c r="HM461">
        <f ca="1"/>
      </c>
      <c r="HN461">
        <f ca="1"/>
      </c>
      <c r="HO461">
        <f ca="1"/>
      </c>
      <c r="HP461">
        <f ca="1"/>
      </c>
      <c r="HQ461">
        <f ca="1"/>
      </c>
    </row>
    <row r="462" spans="146:226" x14ac:dyDescent="0.55000000000000004"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GX462">
        <f ca="1"/>
      </c>
      <c r="GY462">
        <f ca="1"/>
      </c>
      <c r="GZ462">
        <f ca="1"/>
      </c>
      <c r="HA462">
        <f ca="1"/>
      </c>
      <c r="HB462">
        <f ca="1"/>
      </c>
      <c r="HD462">
        <f ca="1"/>
      </c>
      <c r="HE462">
        <f ca="1"/>
      </c>
      <c r="HF462">
        <f ca="1"/>
      </c>
      <c r="HG462">
        <f ca="1"/>
      </c>
      <c r="HH462">
        <f ca="1"/>
      </c>
      <c r="HI462">
        <f ca="1"/>
      </c>
      <c r="HJ462">
        <f ca="1"/>
      </c>
      <c r="HK462">
        <f ca="1"/>
      </c>
      <c r="HL462">
        <f ca="1"/>
      </c>
      <c r="HM462">
        <f ca="1"/>
      </c>
      <c r="HN462">
        <f ca="1"/>
      </c>
      <c r="HO462">
        <f ca="1"/>
      </c>
      <c r="HP462">
        <f ca="1"/>
      </c>
      <c r="HQ462">
        <f ca="1"/>
      </c>
    </row>
    <row r="463" spans="146:226" x14ac:dyDescent="0.55000000000000004"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GX463">
        <f ca="1"/>
      </c>
      <c r="GY463">
        <f ca="1"/>
      </c>
      <c r="GZ463">
        <f ca="1"/>
      </c>
      <c r="HA463">
        <f ca="1"/>
      </c>
      <c r="HB463">
        <f ca="1"/>
      </c>
      <c r="HD463">
        <f ca="1"/>
      </c>
      <c r="HE463">
        <f ca="1"/>
      </c>
      <c r="HF463">
        <f ca="1"/>
      </c>
      <c r="HG463">
        <f ca="1"/>
      </c>
      <c r="HH463">
        <f ca="1"/>
      </c>
      <c r="HI463">
        <f ca="1"/>
      </c>
      <c r="HJ463">
        <f ca="1"/>
      </c>
      <c r="HK463">
        <f ca="1"/>
      </c>
      <c r="HL463">
        <f ca="1"/>
      </c>
      <c r="HM463">
        <f ca="1"/>
      </c>
      <c r="HN463">
        <f ca="1"/>
      </c>
      <c r="HO463">
        <f ca="1"/>
      </c>
      <c r="HP463">
        <f ca="1"/>
      </c>
      <c r="HQ463">
        <f ca="1"/>
      </c>
    </row>
    <row r="464" spans="146:226" x14ac:dyDescent="0.55000000000000004"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GX464">
        <f ca="1"/>
      </c>
      <c r="GY464">
        <f ca="1"/>
      </c>
      <c r="GZ464">
        <f ca="1"/>
      </c>
      <c r="HA464">
        <f ca="1"/>
      </c>
      <c r="HB464">
        <f ca="1"/>
      </c>
      <c r="HD464">
        <f ca="1"/>
      </c>
      <c r="HE464">
        <f ca="1"/>
      </c>
      <c r="HF464">
        <f ca="1"/>
      </c>
      <c r="HG464">
        <f ca="1"/>
      </c>
      <c r="HH464">
        <f ca="1"/>
      </c>
      <c r="HI464">
        <f ca="1"/>
      </c>
      <c r="HJ464">
        <f ca="1"/>
      </c>
      <c r="HK464">
        <f ca="1"/>
      </c>
      <c r="HL464">
        <f ca="1"/>
      </c>
      <c r="HM464">
        <f ca="1"/>
      </c>
      <c r="HN464">
        <f ca="1"/>
      </c>
      <c r="HO464">
        <f ca="1"/>
      </c>
      <c r="HP464">
        <f ca="1"/>
      </c>
      <c r="HQ464">
        <f ca="1"/>
      </c>
    </row>
    <row r="465" spans="147:225" x14ac:dyDescent="0.55000000000000004"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GX465">
        <f ca="1"/>
      </c>
      <c r="GY465">
        <f ca="1"/>
      </c>
      <c r="GZ465">
        <f ca="1"/>
      </c>
      <c r="HA465">
        <f ca="1"/>
      </c>
      <c r="HB465">
        <f ca="1"/>
      </c>
      <c r="HD465">
        <f ca="1"/>
      </c>
      <c r="HE465">
        <f ca="1"/>
      </c>
      <c r="HF465">
        <f ca="1"/>
      </c>
      <c r="HG465">
        <f ca="1"/>
      </c>
      <c r="HH465">
        <f ca="1"/>
      </c>
      <c r="HI465">
        <f ca="1"/>
      </c>
      <c r="HJ465">
        <f ca="1"/>
      </c>
      <c r="HK465">
        <f ca="1"/>
      </c>
      <c r="HL465">
        <f ca="1"/>
      </c>
      <c r="HM465">
        <f ca="1"/>
      </c>
      <c r="HN465">
        <f ca="1"/>
      </c>
      <c r="HO465">
        <f ca="1"/>
      </c>
      <c r="HP465">
        <f ca="1"/>
      </c>
      <c r="HQ465">
        <f ca="1"/>
      </c>
    </row>
    <row r="466" spans="147:225" x14ac:dyDescent="0.55000000000000004"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GX466">
        <f ca="1"/>
      </c>
      <c r="GY466">
        <f ca="1"/>
      </c>
      <c r="GZ466">
        <f ca="1"/>
      </c>
      <c r="HA466">
        <f ca="1"/>
      </c>
      <c r="HB466">
        <f ca="1"/>
      </c>
      <c r="HD466">
        <f ca="1"/>
      </c>
      <c r="HE466">
        <f ca="1"/>
      </c>
      <c r="HF466">
        <f ca="1"/>
      </c>
      <c r="HG466">
        <f ca="1"/>
      </c>
      <c r="HH466">
        <f ca="1"/>
      </c>
      <c r="HI466">
        <f ca="1"/>
      </c>
      <c r="HJ466">
        <f ca="1"/>
      </c>
      <c r="HK466">
        <f ca="1"/>
      </c>
      <c r="HL466">
        <f ca="1"/>
      </c>
      <c r="HM466">
        <f ca="1"/>
      </c>
      <c r="HN466">
        <f ca="1"/>
      </c>
      <c r="HO466">
        <f ca="1"/>
      </c>
      <c r="HP466">
        <f ca="1"/>
      </c>
      <c r="HQ466">
        <f ca="1"/>
      </c>
    </row>
    <row r="467" spans="147:225" x14ac:dyDescent="0.55000000000000004"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GX467">
        <f ca="1"/>
      </c>
      <c r="GY467">
        <f ca="1"/>
      </c>
      <c r="GZ467">
        <f ca="1"/>
      </c>
      <c r="HA467">
        <f ca="1"/>
      </c>
      <c r="HB467">
        <f ca="1"/>
      </c>
      <c r="HD467">
        <f ca="1"/>
      </c>
      <c r="HE467">
        <f ca="1"/>
      </c>
      <c r="HF467">
        <f ca="1"/>
      </c>
      <c r="HG467">
        <f ca="1"/>
      </c>
      <c r="HH467">
        <f ca="1"/>
      </c>
      <c r="HI467">
        <f ca="1"/>
      </c>
      <c r="HJ467">
        <f ca="1"/>
      </c>
      <c r="HK467">
        <f ca="1"/>
      </c>
      <c r="HL467">
        <f ca="1"/>
      </c>
      <c r="HM467">
        <f ca="1"/>
      </c>
      <c r="HN467">
        <f ca="1"/>
      </c>
      <c r="HO467">
        <f ca="1"/>
      </c>
      <c r="HP467">
        <f ca="1"/>
      </c>
      <c r="HQ467">
        <f ca="1"/>
      </c>
    </row>
    <row r="468" spans="147:225" x14ac:dyDescent="0.55000000000000004"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GX468">
        <f ca="1"/>
      </c>
      <c r="GY468">
        <f ca="1"/>
      </c>
      <c r="GZ468">
        <f ca="1"/>
      </c>
      <c r="HA468">
        <f ca="1"/>
      </c>
      <c r="HB468">
        <f ca="1"/>
      </c>
      <c r="HD468">
        <f ca="1"/>
      </c>
      <c r="HE468">
        <f ca="1"/>
      </c>
      <c r="HF468">
        <f ca="1"/>
      </c>
      <c r="HG468">
        <f ca="1"/>
      </c>
      <c r="HH468">
        <f ca="1"/>
      </c>
      <c r="HI468">
        <f ca="1"/>
      </c>
      <c r="HJ468">
        <f ca="1"/>
      </c>
      <c r="HK468">
        <f ca="1"/>
      </c>
      <c r="HL468">
        <f ca="1"/>
      </c>
      <c r="HM468">
        <f ca="1"/>
      </c>
      <c r="HN468">
        <f ca="1"/>
      </c>
      <c r="HO468">
        <f ca="1"/>
      </c>
      <c r="HP468">
        <f ca="1"/>
      </c>
      <c r="HQ468">
        <f ca="1"/>
      </c>
    </row>
    <row r="469" spans="147:225" x14ac:dyDescent="0.55000000000000004"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GX469">
        <f ca="1"/>
      </c>
      <c r="GY469">
        <f ca="1"/>
      </c>
      <c r="GZ469">
        <f ca="1"/>
      </c>
      <c r="HA469">
        <f ca="1"/>
      </c>
      <c r="HB469">
        <f ca="1"/>
      </c>
      <c r="HD469">
        <f ca="1"/>
      </c>
      <c r="HE469">
        <f ca="1"/>
      </c>
      <c r="HF469">
        <f ca="1"/>
      </c>
      <c r="HG469">
        <f ca="1"/>
      </c>
      <c r="HH469">
        <f ca="1"/>
      </c>
      <c r="HI469">
        <f ca="1"/>
      </c>
      <c r="HJ469">
        <f ca="1"/>
      </c>
      <c r="HK469">
        <f ca="1"/>
      </c>
      <c r="HL469">
        <f ca="1"/>
      </c>
      <c r="HM469">
        <f ca="1"/>
      </c>
      <c r="HN469">
        <f ca="1"/>
      </c>
      <c r="HO469">
        <f ca="1"/>
      </c>
      <c r="HP469">
        <f ca="1"/>
      </c>
      <c r="HQ469">
        <f ca="1"/>
      </c>
    </row>
    <row r="470" spans="147:225" x14ac:dyDescent="0.55000000000000004"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GX470">
        <f ca="1"/>
      </c>
      <c r="GY470">
        <f ca="1"/>
      </c>
      <c r="GZ470">
        <f ca="1"/>
      </c>
      <c r="HA470">
        <f ca="1"/>
      </c>
      <c r="HB470">
        <f ca="1"/>
      </c>
      <c r="HD470">
        <f ca="1"/>
      </c>
      <c r="HE470">
        <f ca="1"/>
      </c>
      <c r="HF470">
        <f ca="1"/>
      </c>
      <c r="HG470">
        <f ca="1"/>
      </c>
      <c r="HH470">
        <f ca="1"/>
      </c>
      <c r="HI470">
        <f ca="1"/>
      </c>
      <c r="HJ470">
        <f ca="1"/>
      </c>
      <c r="HK470">
        <f ca="1"/>
      </c>
      <c r="HL470">
        <f ca="1"/>
      </c>
      <c r="HM470">
        <f ca="1"/>
      </c>
      <c r="HN470">
        <f ca="1"/>
      </c>
      <c r="HO470">
        <f ca="1"/>
      </c>
      <c r="HP470">
        <f ca="1"/>
      </c>
      <c r="HQ470">
        <f ca="1"/>
      </c>
    </row>
    <row r="471" spans="147:225" x14ac:dyDescent="0.55000000000000004"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GX471">
        <f ca="1"/>
      </c>
      <c r="GY471">
        <f ca="1"/>
      </c>
      <c r="GZ471">
        <f ca="1"/>
      </c>
      <c r="HA471">
        <f ca="1"/>
      </c>
      <c r="HB471">
        <f ca="1"/>
      </c>
      <c r="HD471">
        <f ca="1"/>
      </c>
      <c r="HE471">
        <f ca="1"/>
      </c>
      <c r="HF471">
        <f ca="1"/>
      </c>
      <c r="HG471">
        <f ca="1"/>
      </c>
      <c r="HH471">
        <f ca="1"/>
      </c>
      <c r="HI471">
        <f ca="1"/>
      </c>
      <c r="HJ471">
        <f ca="1"/>
      </c>
      <c r="HK471">
        <f ca="1"/>
      </c>
      <c r="HL471">
        <f ca="1"/>
      </c>
      <c r="HM471">
        <f ca="1"/>
      </c>
      <c r="HN471">
        <f ca="1"/>
      </c>
      <c r="HO471">
        <f ca="1"/>
      </c>
      <c r="HP471">
        <f ca="1"/>
      </c>
      <c r="HQ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GX472">
        <f ca="1"/>
      </c>
      <c r="GY472">
        <f ca="1"/>
      </c>
      <c r="GZ472">
        <f ca="1"/>
      </c>
      <c r="HA472">
        <f ca="1"/>
      </c>
      <c r="HB472">
        <f ca="1"/>
      </c>
      <c r="HD472">
        <f ca="1"/>
      </c>
      <c r="HE472">
        <f ca="1"/>
      </c>
      <c r="HF472">
        <f ca="1"/>
      </c>
      <c r="HG472">
        <f ca="1"/>
      </c>
      <c r="HH472">
        <f ca="1"/>
      </c>
      <c r="HI472">
        <f ca="1"/>
      </c>
      <c r="HJ472">
        <f ca="1"/>
      </c>
      <c r="HK472">
        <f ca="1"/>
      </c>
      <c r="HL472">
        <f ca="1"/>
      </c>
      <c r="HM472">
        <f ca="1"/>
      </c>
      <c r="HN472">
        <f ca="1"/>
      </c>
      <c r="HO472">
        <f ca="1"/>
      </c>
      <c r="HP472">
        <f ca="1"/>
      </c>
      <c r="HQ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1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  <dataValidation type="list" allowBlank="1" showInputMessage="1" showErrorMessage="1" prompt="Tenor to mark with a vertical guide line on all charts (blank = none)" sqref="A58:A62" xr:uid="{18A3996A-B383-4B29-B586-48262F8DD582}">
      <formula1>$A$12:$A$53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abSelected="1" zoomScale="56" workbookViewId="0">
      <selection activeCell="F28" sqref="F28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70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ref="F4:G8">PcaWindow(VOL_Labels,VOL_Mode,VOL_Standardize,VOL_window,VOL_WindowEnd,"vol")</f>
      </c>
      <c r="G4" s="7"/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ref="BP4:HS160">PcaModel(VOL_Labels,VOL_Mode,VOL_Standardize,VOL_window,VOL_WindowEnd,"vol")</f>
      </c>
      <c r="JD4" cm="1">
        <f t="array" ref="JD4:JD16">_xlfn._xlws.FILTER($A$15:$A$30,$B$15:$B$30="○")</f>
      </c>
      <c r="JE4" cm="1">
        <f t="array" ref="JE4:JE15">_xlfn._xlws.FILTER($C$15:$C$26,$D$15:$D$26="○")</f>
      </c>
      <c r="JG4" cm="1">
        <f t="array" ref="JG4:JG159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G5" s="7"/>
      <c r="I5">
        <f ca="1"/>
      </c>
      <c r="J5">
        <f ca="1"/>
      </c>
      <c r="P5" t="s">
        <v>230</v>
      </c>
      <c r="BG5" s="7"/>
      <c r="BI5" cm="1">
        <f t="array" ref="BI5:BI160">_xlfn.DROP(_xlfn.TAKE(_xlfn.ANCHORARRAY($BP$4),,1),1)</f>
      </c>
      <c r="BJ5" s="11" cm="1">
        <f t="array" aca="1" ref="BJ5:BJ160" ca="1">PcaActual(VOL_Labels,VOL_Mode,VOL_ReconDate,_xlfn.ANCHORARRAY($LA$3),"vol")</f>
      </c>
      <c r="BK5" s="11" cm="1">
        <f t="array" ref="BK5:BK160">_xlfn.DROP(_xlfn.CHOOSECOLS(_xlfn.ANCHORARRAY($BP$4),2),1)</f>
      </c>
      <c r="BL5" s="11" cm="1">
        <f t="array" ref="BL5:BL160">_xlfn.DROP(_xlfn.CHOOSECOLS(_xlfn.ANCHORARRAY($BP$4),3),1)</f>
      </c>
      <c r="BM5" s="11" cm="1">
        <f t="array" aca="1" ref="BM5:BM160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60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I6">
        <f ca="1"/>
      </c>
      <c r="J6" s="7">
        <f ca="1"/>
      </c>
      <c r="BJ6" s="11">
        <f ca="1"/>
      </c>
      <c r="BK6" s="11"/>
      <c r="BL6" s="11"/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I7">
        <f ca="1"/>
      </c>
      <c r="J7" s="8">
        <f ca="1"/>
      </c>
      <c r="BJ7" s="11">
        <f ca="1"/>
      </c>
      <c r="BK7" s="11"/>
      <c r="BL7" s="11"/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J8" s="11">
        <f ca="1"/>
      </c>
      <c r="BK8" s="11"/>
      <c r="BL8" s="11"/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J9" s="11">
        <f ca="1"/>
      </c>
      <c r="BK9" s="11"/>
      <c r="BL9" s="11"/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J10" s="11">
        <f ca="1"/>
      </c>
      <c r="BK10" s="11"/>
      <c r="BL10" s="11"/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J11" s="11">
        <f ca="1"/>
      </c>
      <c r="BK11" s="11"/>
      <c r="BL11" s="11"/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4">VOL_Expiries</f>
      </c>
      <c r="G12" s="11" cm="1">
        <f t="array" aca="1" ref="G12:R24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4">VOL_Expiries</f>
      </c>
      <c r="V12" s="14" cm="1">
        <f t="array" aca="1" ref="V12:AG24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ref="AJ12:AJ21">_xlfn.TAKE(_xlfn.DROP(_xlfn.TAKE(_xlfn.ANCHORARRAY($BF$17),,1),1),10)</f>
      </c>
      <c r="AK12" s="11" cm="1">
        <f t="array" ref="AK12:AK21">_xlfn.TAKE(_xlfn.DROP(_xlfn.CHOOSECOLS(_xlfn.ANCHORARRAY($BF$17),2),1),10)</f>
      </c>
      <c r="AL12" s="12" cm="1">
        <f t="array" ref="AL12:AL21">_xlfn.ANCHORARRAY(AK12)/SUM(_xlfn.DROP(_xlfn.CHOOSECOLS(_xlfn.ANCHORARRAY($BF$17),2),1))</f>
      </c>
      <c r="AM12" s="12" cm="1">
        <f t="array" ref="AM12:AM2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ref="AO12:AO21">IF(_xlfn.SEQUENCE(ROWS(_xlfn.ANCHORARRAY(AJ12)))&lt;=VOL_k,"Yes","")</f>
      </c>
      <c r="BJ12" s="11">
        <f ca="1"/>
      </c>
      <c r="BK12" s="11"/>
      <c r="BL12" s="11"/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/>
      <c r="AK13" s="11"/>
      <c r="AL13" s="12"/>
      <c r="AM13" s="12"/>
      <c r="AN13" s="11">
        <f ca="1"/>
      </c>
      <c r="AO13" s="14"/>
      <c r="BG13" s="7"/>
      <c r="BJ13" s="11">
        <f ca="1"/>
      </c>
      <c r="BK13" s="11"/>
      <c r="BL13" s="11"/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/>
      <c r="AK14" s="11"/>
      <c r="AL14" s="12"/>
      <c r="AM14" s="12"/>
      <c r="AN14" s="11">
        <f ca="1"/>
      </c>
      <c r="AO14" s="14"/>
      <c r="BJ14" s="11">
        <f ca="1"/>
      </c>
      <c r="BK14" s="11"/>
      <c r="BL14" s="11"/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373</v>
      </c>
      <c r="B15" s="6" t="s">
        <v>374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/>
      <c r="AK15" s="11"/>
      <c r="AL15" s="12"/>
      <c r="AM15" s="12"/>
      <c r="AN15" s="11">
        <f ca="1"/>
      </c>
      <c r="AO15" s="14"/>
      <c r="BJ15" s="11">
        <f ca="1"/>
      </c>
      <c r="BK15" s="11"/>
      <c r="BL15" s="11"/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375</v>
      </c>
      <c r="B16" s="6" t="s">
        <v>374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/>
      <c r="AK16" s="11"/>
      <c r="AL16" s="12"/>
      <c r="AM16" s="12"/>
      <c r="AN16" s="11">
        <f ca="1"/>
      </c>
      <c r="AO16" s="14"/>
      <c r="BF16" t="s">
        <v>206</v>
      </c>
      <c r="BJ16" s="11">
        <f ca="1"/>
      </c>
      <c r="BK16" s="11"/>
      <c r="BL16" s="11"/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376</v>
      </c>
      <c r="B17" s="6" t="s">
        <v>374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/>
      <c r="AK17" s="11"/>
      <c r="AL17" s="12"/>
      <c r="AM17" s="12"/>
      <c r="AN17" s="11">
        <f ca="1"/>
      </c>
      <c r="AO17" s="14"/>
      <c r="BF17" cm="1">
        <f t="array" ref="BF17:BG173">PcaEigen(VOL_Labels,VOL_Mode,VOL_Standardize,VOL_window,VOL_WindowEnd,"vol")</f>
      </c>
      <c r="BJ17" s="11">
        <f ca="1"/>
      </c>
      <c r="BK17" s="11"/>
      <c r="BL17" s="11"/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377</v>
      </c>
      <c r="B18" s="6" t="s">
        <v>374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/>
      <c r="AK18" s="11"/>
      <c r="AL18" s="12"/>
      <c r="AM18" s="12"/>
      <c r="AN18" s="11">
        <f ca="1"/>
      </c>
      <c r="AO18" s="14"/>
      <c r="BJ18" s="11">
        <f ca="1"/>
      </c>
      <c r="BK18" s="11"/>
      <c r="BL18" s="11"/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378</v>
      </c>
      <c r="B19" s="6" t="s">
        <v>374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/>
      <c r="AK19" s="11"/>
      <c r="AL19" s="12"/>
      <c r="AM19" s="12"/>
      <c r="AN19" s="11">
        <f ca="1"/>
      </c>
      <c r="AO19" s="14"/>
      <c r="BJ19" s="11">
        <f ca="1"/>
      </c>
      <c r="BK19" s="11"/>
      <c r="BL19" s="11"/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379</v>
      </c>
      <c r="B20" s="6" t="s">
        <v>374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/>
      <c r="AK20" s="11"/>
      <c r="AL20" s="12"/>
      <c r="AM20" s="12"/>
      <c r="AN20" s="11">
        <f ca="1"/>
      </c>
      <c r="AO20" s="14"/>
      <c r="BJ20" s="11">
        <f ca="1"/>
      </c>
      <c r="BK20" s="11"/>
      <c r="BL20" s="11"/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380</v>
      </c>
      <c r="B21" s="6" t="s">
        <v>374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/>
      <c r="AK21" s="11"/>
      <c r="AL21" s="12"/>
      <c r="AM21" s="12"/>
      <c r="AN21" s="11">
        <f ca="1"/>
      </c>
      <c r="AO21" s="14"/>
      <c r="BJ21" s="11">
        <f ca="1"/>
      </c>
      <c r="BK21" s="11"/>
      <c r="BL21" s="11"/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381</v>
      </c>
      <c r="B22" s="6" t="s">
        <v>374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J22" s="11">
        <f ca="1"/>
      </c>
      <c r="BK22" s="11"/>
      <c r="BL22" s="11"/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382</v>
      </c>
      <c r="B23" s="6" t="s">
        <v>374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J23" s="11">
        <f ca="1"/>
      </c>
      <c r="BK23" s="11"/>
      <c r="BL23" s="11"/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383</v>
      </c>
      <c r="B24" s="6" t="s">
        <v>374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J24" s="11">
        <f ca="1"/>
      </c>
      <c r="BK24" s="11"/>
      <c r="BL24" s="11"/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384</v>
      </c>
      <c r="B25" s="6" t="s">
        <v>374</v>
      </c>
      <c r="C25" t="s">
        <v>27</v>
      </c>
      <c r="D25" s="6" t="s">
        <v>42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BJ25" s="11">
        <f ca="1"/>
      </c>
      <c r="BK25" s="11"/>
      <c r="BL25" s="11"/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385</v>
      </c>
      <c r="B26" s="6" t="s">
        <v>374</v>
      </c>
      <c r="C26" t="s">
        <v>28</v>
      </c>
      <c r="D26" s="6" t="s">
        <v>42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BJ26" s="11">
        <f ca="1"/>
      </c>
      <c r="BK26" s="11"/>
      <c r="BL26" s="11"/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386</v>
      </c>
      <c r="B27" s="6" t="s">
        <v>374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BJ27" s="11">
        <f ca="1"/>
      </c>
      <c r="BK27" s="11"/>
      <c r="BL27" s="11"/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B28" s="6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J28" s="11">
        <f ca="1"/>
      </c>
      <c r="BK28" s="11"/>
      <c r="BL28" s="11"/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B29" s="6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J29" s="11">
        <f ca="1"/>
      </c>
      <c r="BK29" s="11"/>
      <c r="BL29" s="11"/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B30" s="6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J30" s="11">
        <f ca="1"/>
      </c>
      <c r="BK30" s="11"/>
      <c r="BL30" s="11"/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J31" s="11">
        <f ca="1"/>
      </c>
      <c r="BK31" s="11"/>
      <c r="BL31" s="11"/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J32" s="11">
        <f ca="1"/>
      </c>
      <c r="BK32" s="11"/>
      <c r="BL32" s="11"/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J33" s="11">
        <f ca="1"/>
      </c>
      <c r="BK33" s="11"/>
      <c r="BL33" s="11"/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J34" s="11">
        <f ca="1"/>
      </c>
      <c r="BK34" s="11"/>
      <c r="BL34" s="11"/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J35" s="11">
        <f ca="1"/>
      </c>
      <c r="BK35" s="11"/>
      <c r="BL35" s="11"/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48">VOL_Expiries</f>
      </c>
      <c r="G36" s="14" cm="1">
        <f t="array" aca="1" ref="G36:R48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48">VOL_Expiries</f>
      </c>
      <c r="V36" s="14" cm="1">
        <f t="array" ref="V36:AG48">_xlfn.XLOOKUP(_xlfn.ANCHORARRAY(U36)&amp;"x"&amp;_xlfn.ANCHORARRAY(V35),_xlfn.ANCHORARRAY($BI$5),_xlfn.ANCHORARRAY($BK$5))</f>
      </c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BJ36" s="11">
        <f ca="1"/>
      </c>
      <c r="BK36" s="11"/>
      <c r="BL36" s="11"/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BJ37" s="11">
        <f ca="1"/>
      </c>
      <c r="BK37" s="11"/>
      <c r="BL37" s="11"/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BJ38" s="11">
        <f ca="1"/>
      </c>
      <c r="BK38" s="11"/>
      <c r="BL38" s="11"/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BJ39" s="11">
        <f ca="1"/>
      </c>
      <c r="BK39" s="11"/>
      <c r="BL39" s="11"/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BJ40" s="11">
        <f ca="1"/>
      </c>
      <c r="BK40" s="11"/>
      <c r="BL40" s="11"/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BJ41" s="11">
        <f ca="1"/>
      </c>
      <c r="BK41" s="11"/>
      <c r="BL41" s="11"/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BJ42" s="11">
        <f ca="1"/>
      </c>
      <c r="BK42" s="11"/>
      <c r="BL42" s="11"/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BJ43" s="11">
        <f ca="1"/>
      </c>
      <c r="BK43" s="11"/>
      <c r="BL43" s="11"/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BJ44" s="11">
        <f ca="1"/>
      </c>
      <c r="BK44" s="11"/>
      <c r="BL44" s="11"/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BJ45" s="11">
        <f ca="1"/>
      </c>
      <c r="BK45" s="11"/>
      <c r="BL45" s="11"/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BJ46" s="11">
        <f ca="1"/>
      </c>
      <c r="BK46" s="11"/>
      <c r="BL46" s="11"/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BJ47" s="11">
        <f ca="1"/>
      </c>
      <c r="BK47" s="11"/>
      <c r="BL47" s="11"/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BJ48" s="11">
        <f ca="1"/>
      </c>
      <c r="BK48" s="11"/>
      <c r="BL48" s="11"/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J49" s="11">
        <f ca="1"/>
      </c>
      <c r="BK49" s="11"/>
      <c r="BL49" s="11"/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J50" s="11">
        <f ca="1"/>
      </c>
      <c r="BK50" s="11"/>
      <c r="BL50" s="11"/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J51" s="11">
        <f ca="1"/>
      </c>
      <c r="BK51" s="11"/>
      <c r="BL51" s="11"/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J52" s="11">
        <f ca="1"/>
      </c>
      <c r="BK52" s="11"/>
      <c r="BL52" s="11"/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J53" s="11">
        <f ca="1"/>
      </c>
      <c r="BK53" s="11"/>
      <c r="BL53" s="11"/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J54" s="11">
        <f ca="1"/>
      </c>
      <c r="BK54" s="11"/>
      <c r="BL54" s="11"/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J55" s="11">
        <f ca="1"/>
      </c>
      <c r="BK55" s="11"/>
      <c r="BL55" s="11"/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J56" s="11">
        <f ca="1"/>
      </c>
      <c r="BK56" s="11"/>
      <c r="BL56" s="11"/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J57" s="11">
        <f ca="1"/>
      </c>
      <c r="BK57" s="11"/>
      <c r="BL57" s="11"/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J58" s="11">
        <f ca="1"/>
      </c>
      <c r="BK58" s="11"/>
      <c r="BL58" s="11"/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J59" s="11">
        <f ca="1"/>
      </c>
      <c r="BK59" s="11"/>
      <c r="BL59" s="11"/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2">VOL_Expiries</f>
      </c>
      <c r="G60" s="13" cm="1">
        <f t="array" ref="G60:R72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 cm="1">
        <f t="array" ref="U60:U72">VOL_Expiries</f>
      </c>
      <c r="V60" s="13" cm="1">
        <f t="array" ref="V60:AG72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 cm="1">
        <f t="array" ref="AJ60:AJ72">VOL_Expiries</f>
      </c>
      <c r="AK60" s="13" cm="1">
        <f t="array" ref="AK60:AV72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J60" s="11">
        <f ca="1"/>
      </c>
      <c r="BK60" s="11"/>
      <c r="BL60" s="11"/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J61" s="11">
        <f ca="1"/>
      </c>
      <c r="BK61" s="11"/>
      <c r="BL61" s="11"/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J62" s="11">
        <f ca="1"/>
      </c>
      <c r="BK62" s="11"/>
      <c r="BL62" s="11"/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J63" s="11">
        <f ca="1"/>
      </c>
      <c r="BK63" s="11"/>
      <c r="BL63" s="11"/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J64" s="11">
        <f ca="1"/>
      </c>
      <c r="BK64" s="11"/>
      <c r="BL64" s="11"/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J65" s="11">
        <f ca="1"/>
      </c>
      <c r="BK65" s="11"/>
      <c r="BL65" s="11"/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J66" s="11">
        <f ca="1"/>
      </c>
      <c r="BK66" s="11"/>
      <c r="BL66" s="11"/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J67" s="11">
        <f ca="1"/>
      </c>
      <c r="BK67" s="11"/>
      <c r="BL67" s="11"/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J68" s="11">
        <f ca="1"/>
      </c>
      <c r="BK68" s="11"/>
      <c r="BL68" s="11"/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J69" s="11">
        <f ca="1"/>
      </c>
      <c r="BK69" s="11"/>
      <c r="BL69" s="11"/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J70" s="11">
        <f ca="1"/>
      </c>
      <c r="BK70" s="11"/>
      <c r="BL70" s="11"/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J71" s="11">
        <f ca="1"/>
      </c>
      <c r="BK71" s="11"/>
      <c r="BL71" s="11"/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J72" s="11">
        <f ca="1"/>
      </c>
      <c r="BK72" s="11"/>
      <c r="BL72" s="11"/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J73" s="11">
        <f ca="1"/>
      </c>
      <c r="BK73" s="11"/>
      <c r="BL73" s="11"/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J74" s="11">
        <f ca="1"/>
      </c>
      <c r="BK74" s="11"/>
      <c r="BL74" s="11"/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J75" s="11">
        <f ca="1"/>
      </c>
      <c r="BK75" s="11"/>
      <c r="BL75" s="11"/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J76" s="11">
        <f ca="1"/>
      </c>
      <c r="BK76" s="11"/>
      <c r="BL76" s="11"/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J77" s="11">
        <f ca="1"/>
      </c>
      <c r="BK77" s="11"/>
      <c r="BL77" s="11"/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J78" s="11">
        <f ca="1"/>
      </c>
      <c r="BK78" s="11"/>
      <c r="BL78" s="11"/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J79" s="11">
        <f ca="1"/>
      </c>
      <c r="BK79" s="11"/>
      <c r="BL79" s="11"/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J80" s="11">
        <f ca="1"/>
      </c>
      <c r="BK80" s="11"/>
      <c r="BL80" s="11"/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58:315" x14ac:dyDescent="0.55000000000000004">
      <c r="BJ81" s="11">
        <f ca="1"/>
      </c>
      <c r="BK81" s="11"/>
      <c r="BL81" s="11"/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58:315" x14ac:dyDescent="0.55000000000000004">
      <c r="BJ82" s="11">
        <f ca="1"/>
      </c>
      <c r="BK82" s="11"/>
      <c r="BL82" s="11"/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58:315" x14ac:dyDescent="0.55000000000000004">
      <c r="BJ83" s="11">
        <f ca="1"/>
      </c>
      <c r="BK83" s="11"/>
      <c r="BL83" s="11"/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58:315" x14ac:dyDescent="0.55000000000000004">
      <c r="BJ84" s="11">
        <f ca="1"/>
      </c>
      <c r="BK84" s="11"/>
      <c r="BL84" s="11"/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58:315" x14ac:dyDescent="0.55000000000000004">
      <c r="BJ85" s="11">
        <f ca="1"/>
      </c>
      <c r="BK85" s="11"/>
      <c r="BL85" s="11"/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58:315" x14ac:dyDescent="0.55000000000000004">
      <c r="BJ86" s="11">
        <f ca="1"/>
      </c>
      <c r="BK86" s="11"/>
      <c r="BL86" s="11"/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58:315" x14ac:dyDescent="0.55000000000000004">
      <c r="BJ87" s="11">
        <f ca="1"/>
      </c>
      <c r="BK87" s="11"/>
      <c r="BL87" s="11"/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58:315" x14ac:dyDescent="0.55000000000000004">
      <c r="BJ88" s="11">
        <f ca="1"/>
      </c>
      <c r="BK88" s="11"/>
      <c r="BL88" s="11"/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58:315" x14ac:dyDescent="0.55000000000000004">
      <c r="BJ89" s="11">
        <f ca="1"/>
      </c>
      <c r="BK89" s="11"/>
      <c r="BL89" s="11"/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58:315" x14ac:dyDescent="0.55000000000000004">
      <c r="BJ90" s="11">
        <f ca="1"/>
      </c>
      <c r="BK90" s="11"/>
      <c r="BL90" s="11"/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58:315" x14ac:dyDescent="0.55000000000000004">
      <c r="BJ91" s="11">
        <f ca="1"/>
      </c>
      <c r="BK91" s="11"/>
      <c r="BL91" s="11"/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58:315" x14ac:dyDescent="0.55000000000000004">
      <c r="BJ92" s="11">
        <f ca="1"/>
      </c>
      <c r="BK92" s="11"/>
      <c r="BL92" s="11"/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58:315" x14ac:dyDescent="0.55000000000000004">
      <c r="BJ93" s="11">
        <f ca="1"/>
      </c>
      <c r="BK93" s="11"/>
      <c r="BL93" s="11"/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58:315" x14ac:dyDescent="0.55000000000000004">
      <c r="BJ94" s="11">
        <f ca="1"/>
      </c>
      <c r="BK94" s="11"/>
      <c r="BL94" s="11"/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58:315" x14ac:dyDescent="0.55000000000000004">
      <c r="BJ95" s="11">
        <f ca="1"/>
      </c>
      <c r="BK95" s="11"/>
      <c r="BL95" s="11"/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58:315" x14ac:dyDescent="0.55000000000000004">
      <c r="BJ96" s="11">
        <f ca="1"/>
      </c>
      <c r="BK96" s="11"/>
      <c r="BL96" s="11"/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58:315" x14ac:dyDescent="0.55000000000000004">
      <c r="BJ97" s="11">
        <f ca="1"/>
      </c>
      <c r="BK97" s="11"/>
      <c r="BL97" s="11"/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58:315" x14ac:dyDescent="0.55000000000000004">
      <c r="BJ98" s="11">
        <f ca="1"/>
      </c>
      <c r="BK98" s="11"/>
      <c r="BL98" s="11"/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58:315" x14ac:dyDescent="0.55000000000000004">
      <c r="BJ99" s="11">
        <f ca="1"/>
      </c>
      <c r="BK99" s="11"/>
      <c r="BL99" s="11"/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58:315" x14ac:dyDescent="0.55000000000000004">
      <c r="BJ100" s="11">
        <f ca="1"/>
      </c>
      <c r="BK100" s="11"/>
      <c r="BL100" s="11"/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J101" s="11">
        <f ca="1"/>
      </c>
      <c r="BK101" s="11"/>
      <c r="BL101" s="11"/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J102" s="11">
        <f ca="1"/>
      </c>
      <c r="BK102" s="11"/>
      <c r="BL102" s="11"/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J103" s="11">
        <f ca="1"/>
      </c>
      <c r="BK103" s="11"/>
      <c r="BL103" s="11"/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J104" s="11">
        <f ca="1"/>
      </c>
      <c r="BK104" s="11"/>
      <c r="BL104" s="11"/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J105" s="11">
        <f ca="1"/>
      </c>
      <c r="BK105" s="11"/>
      <c r="BL105" s="11"/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J106" s="11">
        <f ca="1"/>
      </c>
      <c r="BK106" s="11"/>
      <c r="BL106" s="11"/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J107" s="11">
        <f ca="1"/>
      </c>
      <c r="BK107" s="11"/>
      <c r="BL107" s="11"/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J108" s="11">
        <f ca="1"/>
      </c>
      <c r="BK108" s="11"/>
      <c r="BL108" s="11"/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J109" s="11">
        <f ca="1"/>
      </c>
      <c r="BK109" s="11"/>
      <c r="BL109" s="11"/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J110" s="11">
        <f ca="1"/>
      </c>
      <c r="BK110" s="11"/>
      <c r="BL110" s="11"/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J111" s="11">
        <f ca="1"/>
      </c>
      <c r="BK111" s="11"/>
      <c r="BL111" s="11"/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J112" s="11">
        <f ca="1"/>
      </c>
      <c r="BK112" s="11"/>
      <c r="BL112" s="11"/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J113" s="11">
        <f ca="1"/>
      </c>
      <c r="BK113" s="11"/>
      <c r="BL113" s="11"/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J114" s="11">
        <f ca="1"/>
      </c>
      <c r="BK114" s="11"/>
      <c r="BL114" s="11"/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J115" s="11">
        <f ca="1"/>
      </c>
      <c r="BK115" s="11"/>
      <c r="BL115" s="11"/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J116" s="11">
        <f ca="1"/>
      </c>
      <c r="BK116" s="11"/>
      <c r="BL116" s="11"/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J117" s="11">
        <f ca="1"/>
      </c>
      <c r="BK117" s="11"/>
      <c r="BL117" s="11"/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J118" s="11">
        <f ca="1"/>
      </c>
      <c r="BK118" s="11"/>
      <c r="BL118" s="11"/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J119" s="11">
        <f ca="1"/>
      </c>
      <c r="BK119" s="11"/>
      <c r="BL119" s="11"/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J120" s="11">
        <f ca="1"/>
      </c>
      <c r="BK120" s="11"/>
      <c r="BL120" s="11"/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J121" s="11">
        <f ca="1"/>
      </c>
      <c r="BK121" s="11"/>
      <c r="BL121" s="11"/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J122" s="11">
        <f ca="1"/>
      </c>
      <c r="BK122" s="11"/>
      <c r="BL122" s="11"/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J123" s="11">
        <f ca="1"/>
      </c>
      <c r="BK123" s="11"/>
      <c r="BL123" s="11"/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J124" s="11">
        <f ca="1"/>
      </c>
      <c r="BK124" s="11"/>
      <c r="BL124" s="11"/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J125" s="11">
        <f ca="1"/>
      </c>
      <c r="BK125" s="11"/>
      <c r="BL125" s="11"/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J126" s="11">
        <f ca="1"/>
      </c>
      <c r="BK126" s="11"/>
      <c r="BL126" s="11"/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J127" s="11">
        <f ca="1"/>
      </c>
      <c r="BK127" s="11"/>
      <c r="BL127" s="11"/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J128" s="11">
        <f ca="1"/>
      </c>
      <c r="BK128" s="11"/>
      <c r="BL128" s="11"/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J129" s="11">
        <f ca="1"/>
      </c>
      <c r="BK129" s="11"/>
      <c r="BL129" s="11"/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J130" s="11">
        <f ca="1"/>
      </c>
      <c r="BK130" s="11"/>
      <c r="BL130" s="11"/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J131" s="11">
        <f ca="1"/>
      </c>
      <c r="BK131" s="11"/>
      <c r="BL131" s="11"/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J132" s="11">
        <f ca="1"/>
      </c>
      <c r="BK132" s="11"/>
      <c r="BL132" s="11"/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J133" s="11">
        <f ca="1"/>
      </c>
      <c r="BK133" s="11"/>
      <c r="BL133" s="11"/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J134" s="11">
        <f ca="1"/>
      </c>
      <c r="BK134" s="11"/>
      <c r="BL134" s="11"/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J135" s="11">
        <f ca="1"/>
      </c>
      <c r="BK135" s="11"/>
      <c r="BL135" s="11"/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J136" s="11">
        <f ca="1"/>
      </c>
      <c r="BK136" s="11"/>
      <c r="BL136" s="11"/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J137" s="11">
        <f ca="1"/>
      </c>
      <c r="BK137" s="11"/>
      <c r="BL137" s="11"/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J138" s="11">
        <f ca="1"/>
      </c>
      <c r="BK138" s="11"/>
      <c r="BL138" s="11"/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J139" s="11">
        <f ca="1"/>
      </c>
      <c r="BK139" s="11"/>
      <c r="BL139" s="11"/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J140" s="11">
        <f ca="1"/>
      </c>
      <c r="BK140" s="11"/>
      <c r="BL140" s="11"/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J141" s="11">
        <f ca="1"/>
      </c>
      <c r="BK141" s="11"/>
      <c r="BL141" s="11"/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J142" s="11">
        <f ca="1"/>
      </c>
      <c r="BK142" s="11"/>
      <c r="BL142" s="11"/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J143" s="11">
        <f ca="1"/>
      </c>
      <c r="BK143" s="11"/>
      <c r="BL143" s="11"/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J144" s="11">
        <f ca="1"/>
      </c>
      <c r="BK144" s="11"/>
      <c r="BL144" s="11"/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J145" s="11">
        <f ca="1"/>
      </c>
      <c r="BK145" s="11"/>
      <c r="BL145" s="11"/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J146" s="11">
        <f ca="1"/>
      </c>
      <c r="BK146" s="11"/>
      <c r="BL146" s="11"/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J147" s="11">
        <f ca="1"/>
      </c>
      <c r="BK147" s="11"/>
      <c r="BL147" s="11"/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J148" s="11">
        <f ca="1"/>
      </c>
      <c r="BK148" s="11"/>
      <c r="BL148" s="11"/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J149" s="11">
        <f ca="1"/>
      </c>
      <c r="BK149" s="11"/>
      <c r="BL149" s="11"/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J150" s="11">
        <f ca="1"/>
      </c>
      <c r="BK150" s="11"/>
      <c r="BL150" s="11"/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J151" s="11">
        <f ca="1"/>
      </c>
      <c r="BK151" s="11"/>
      <c r="BL151" s="11"/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J152" s="11">
        <f ca="1"/>
      </c>
      <c r="BK152" s="11"/>
      <c r="BL152" s="11"/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J153" s="11">
        <f ca="1"/>
      </c>
      <c r="BK153" s="11"/>
      <c r="BL153" s="11"/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J154" s="11">
        <f ca="1"/>
      </c>
      <c r="BK154" s="11"/>
      <c r="BL154" s="11"/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J155" s="11">
        <f ca="1"/>
      </c>
      <c r="BK155" s="11"/>
      <c r="BL155" s="11"/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J156" s="11">
        <f ca="1"/>
      </c>
      <c r="BK156" s="11"/>
      <c r="BL156" s="11"/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J157" s="11">
        <f ca="1"/>
      </c>
      <c r="BK157" s="11"/>
      <c r="BL157" s="11"/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J158" s="11">
        <f ca="1"/>
      </c>
      <c r="BK158" s="11"/>
      <c r="BL158" s="11"/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J159" s="11">
        <f ca="1"/>
      </c>
      <c r="BK159" s="11"/>
      <c r="BL159" s="11"/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J160" s="11">
        <f ca="1"/>
      </c>
      <c r="BK160" s="11"/>
      <c r="BL160" s="11"/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J161" s="11"/>
      <c r="BK161" s="11"/>
      <c r="BL161" s="11"/>
      <c r="BM161" s="11"/>
      <c r="BN161" s="11"/>
      <c r="LA161">
        <f ca="1"/>
      </c>
      <c r="LB161">
        <f ca="1"/>
      </c>
      <c r="LC161">
        <f ca="1"/>
      </c>
    </row>
    <row r="162" spans="58:315" x14ac:dyDescent="0.55000000000000004">
      <c r="BJ162" s="11"/>
      <c r="BK162" s="11"/>
      <c r="BL162" s="11"/>
      <c r="BM162" s="11"/>
      <c r="BN162" s="11"/>
      <c r="LA162">
        <f ca="1"/>
      </c>
      <c r="LB162">
        <f ca="1"/>
      </c>
      <c r="LC162">
        <f ca="1"/>
      </c>
    </row>
    <row r="163" spans="58:315" x14ac:dyDescent="0.55000000000000004">
      <c r="BJ163" s="11"/>
      <c r="BK163" s="11"/>
      <c r="BL163" s="11"/>
      <c r="BM163" s="11"/>
      <c r="BN163" s="11"/>
      <c r="LA163">
        <f ca="1"/>
      </c>
      <c r="LB163">
        <f ca="1"/>
      </c>
      <c r="LC163">
        <f ca="1"/>
      </c>
    </row>
    <row r="164" spans="58:315" x14ac:dyDescent="0.55000000000000004">
      <c r="BJ164" s="11"/>
      <c r="BK164" s="11"/>
      <c r="BL164" s="11"/>
      <c r="BM164" s="11"/>
      <c r="BN164" s="11"/>
      <c r="LA164">
        <f ca="1"/>
      </c>
      <c r="LB164">
        <f ca="1"/>
      </c>
      <c r="LC164">
        <f ca="1"/>
      </c>
    </row>
    <row r="165" spans="58:315" x14ac:dyDescent="0.55000000000000004">
      <c r="BJ165" s="11"/>
      <c r="BK165" s="11"/>
      <c r="BL165" s="11"/>
      <c r="BM165" s="11"/>
      <c r="BN165" s="11"/>
      <c r="LA165">
        <f ca="1"/>
      </c>
      <c r="LB165">
        <f ca="1"/>
      </c>
      <c r="LC165">
        <f ca="1"/>
      </c>
    </row>
    <row r="166" spans="58:315" x14ac:dyDescent="0.55000000000000004">
      <c r="BJ166" s="11"/>
      <c r="BK166" s="11"/>
      <c r="BL166" s="11"/>
      <c r="BM166" s="11"/>
      <c r="BN166" s="11"/>
      <c r="LA166">
        <f ca="1"/>
      </c>
      <c r="LB166">
        <f ca="1"/>
      </c>
      <c r="LC166">
        <f ca="1"/>
      </c>
    </row>
    <row r="167" spans="58:315" x14ac:dyDescent="0.55000000000000004">
      <c r="BJ167" s="11"/>
      <c r="BK167" s="11"/>
      <c r="BL167" s="11"/>
      <c r="BM167" s="11"/>
      <c r="BN167" s="11"/>
      <c r="LA167">
        <f ca="1"/>
      </c>
      <c r="LB167">
        <f ca="1"/>
      </c>
      <c r="LC167">
        <f ca="1"/>
      </c>
    </row>
    <row r="168" spans="58:315" x14ac:dyDescent="0.55000000000000004">
      <c r="BJ168" s="11"/>
      <c r="BK168" s="11"/>
      <c r="BL168" s="11"/>
      <c r="BM168" s="11"/>
      <c r="BN168" s="11"/>
      <c r="LA168">
        <f ca="1"/>
      </c>
      <c r="LB168">
        <f ca="1"/>
      </c>
      <c r="LC168">
        <f ca="1"/>
      </c>
    </row>
    <row r="169" spans="58:315" x14ac:dyDescent="0.55000000000000004">
      <c r="BJ169" s="11"/>
      <c r="BK169" s="11"/>
      <c r="BL169" s="11"/>
      <c r="BM169" s="11"/>
      <c r="BN169" s="11"/>
      <c r="LA169">
        <f ca="1"/>
      </c>
      <c r="LB169">
        <f ca="1"/>
      </c>
      <c r="LC169">
        <f ca="1"/>
      </c>
    </row>
    <row r="170" spans="58:315" x14ac:dyDescent="0.55000000000000004">
      <c r="BJ170" s="11"/>
      <c r="BK170" s="11"/>
      <c r="BL170" s="11"/>
      <c r="BM170" s="11"/>
      <c r="BN170" s="11"/>
      <c r="LA170">
        <f ca="1"/>
      </c>
      <c r="LB170">
        <f ca="1"/>
      </c>
      <c r="LC170">
        <f ca="1"/>
      </c>
    </row>
    <row r="171" spans="58:315" x14ac:dyDescent="0.55000000000000004">
      <c r="BJ171" s="11"/>
      <c r="BK171" s="11"/>
      <c r="BL171" s="11"/>
      <c r="BM171" s="11"/>
      <c r="BN171" s="11"/>
    </row>
    <row r="172" spans="58:315" x14ac:dyDescent="0.55000000000000004">
      <c r="BJ172" s="11"/>
      <c r="BK172" s="11"/>
      <c r="BL172" s="11"/>
      <c r="BM172" s="11"/>
      <c r="BN172" s="11"/>
    </row>
    <row r="173" spans="58:315" x14ac:dyDescent="0.55000000000000004">
      <c r="BJ173" s="11"/>
      <c r="BK173" s="11"/>
      <c r="BL173" s="11"/>
      <c r="BM173" s="11"/>
      <c r="BN173" s="11"/>
    </row>
    <row r="174" spans="58:315" x14ac:dyDescent="0.55000000000000004">
      <c r="BJ174" s="11"/>
      <c r="BK174" s="11"/>
      <c r="BL174" s="11"/>
      <c r="BM174" s="11"/>
      <c r="BN174" s="11"/>
    </row>
    <row r="175" spans="58:315" x14ac:dyDescent="0.55000000000000004">
      <c r="BJ175" s="11"/>
      <c r="BK175" s="11"/>
      <c r="BL175" s="11"/>
      <c r="BM175" s="11"/>
      <c r="BN175" s="11"/>
    </row>
    <row r="176" spans="58:315" x14ac:dyDescent="0.55000000000000004">
      <c r="BJ176" s="11"/>
      <c r="BK176" s="11"/>
      <c r="BL176" s="11"/>
      <c r="BM176" s="11"/>
      <c r="BN176" s="11"/>
    </row>
    <row r="177" spans="62:66" x14ac:dyDescent="0.55000000000000004">
      <c r="BJ177" s="11"/>
      <c r="BK177" s="11"/>
      <c r="BL177" s="11"/>
      <c r="BM177" s="11"/>
      <c r="BN177" s="11"/>
    </row>
    <row r="178" spans="62:66" x14ac:dyDescent="0.55000000000000004">
      <c r="BJ178" s="11"/>
      <c r="BK178" s="11"/>
      <c r="BL178" s="11"/>
      <c r="BM178" s="11"/>
      <c r="BN178" s="11"/>
    </row>
    <row r="179" spans="62:66" x14ac:dyDescent="0.55000000000000004">
      <c r="BJ179" s="11"/>
      <c r="BK179" s="11"/>
      <c r="BL179" s="11"/>
      <c r="BM179" s="11"/>
      <c r="BN179" s="11"/>
    </row>
    <row r="180" spans="62:66" x14ac:dyDescent="0.55000000000000004">
      <c r="BJ180" s="11"/>
      <c r="BK180" s="11"/>
      <c r="BL180" s="11"/>
      <c r="BM180" s="11"/>
      <c r="BN180" s="11"/>
    </row>
    <row r="181" spans="62:66" x14ac:dyDescent="0.55000000000000004">
      <c r="BJ181" s="11"/>
      <c r="BK181" s="11"/>
      <c r="BL181" s="11"/>
      <c r="BM181" s="11"/>
      <c r="BN181" s="11"/>
    </row>
    <row r="182" spans="62:66" x14ac:dyDescent="0.55000000000000004">
      <c r="BJ182" s="11"/>
      <c r="BK182" s="11"/>
      <c r="BL182" s="11"/>
      <c r="BM182" s="11"/>
      <c r="BN182" s="11"/>
    </row>
    <row r="183" spans="62:66" x14ac:dyDescent="0.55000000000000004">
      <c r="BJ183" s="11"/>
      <c r="BK183" s="11"/>
      <c r="BL183" s="11"/>
      <c r="BM183" s="11"/>
      <c r="BN183" s="11"/>
    </row>
    <row r="184" spans="62:66" x14ac:dyDescent="0.55000000000000004">
      <c r="BJ184" s="11"/>
      <c r="BK184" s="11"/>
      <c r="BL184" s="11"/>
      <c r="BM184" s="11"/>
      <c r="BN184" s="11"/>
    </row>
    <row r="185" spans="62:66" x14ac:dyDescent="0.55000000000000004">
      <c r="BJ185" s="11"/>
      <c r="BK185" s="11"/>
      <c r="BL185" s="11"/>
      <c r="BM185" s="11"/>
      <c r="BN185" s="11"/>
    </row>
    <row r="186" spans="62:66" x14ac:dyDescent="0.55000000000000004">
      <c r="BJ186" s="11"/>
      <c r="BK186" s="11"/>
      <c r="BL186" s="11"/>
      <c r="BM186" s="11"/>
      <c r="BN186" s="11"/>
    </row>
    <row r="187" spans="62:66" x14ac:dyDescent="0.55000000000000004">
      <c r="BJ187" s="11"/>
      <c r="BK187" s="11"/>
      <c r="BL187" s="11"/>
      <c r="BM187" s="11"/>
      <c r="BN187" s="11"/>
    </row>
    <row r="188" spans="62:66" x14ac:dyDescent="0.55000000000000004">
      <c r="BJ188" s="11"/>
      <c r="BK188" s="11"/>
      <c r="BL188" s="11"/>
      <c r="BM188" s="11"/>
      <c r="BN188" s="11"/>
    </row>
    <row r="189" spans="62:66" x14ac:dyDescent="0.55000000000000004">
      <c r="BJ189" s="11"/>
      <c r="BK189" s="11"/>
      <c r="BL189" s="11"/>
      <c r="BM189" s="11"/>
      <c r="BN189" s="11"/>
    </row>
    <row r="190" spans="62:66" x14ac:dyDescent="0.55000000000000004">
      <c r="BJ190" s="11"/>
      <c r="BK190" s="11"/>
      <c r="BL190" s="11"/>
      <c r="BM190" s="11"/>
      <c r="BN190" s="11"/>
    </row>
    <row r="191" spans="62:66" x14ac:dyDescent="0.55000000000000004">
      <c r="BJ191" s="11"/>
      <c r="BK191" s="11"/>
      <c r="BL191" s="11"/>
      <c r="BM191" s="11"/>
      <c r="BN191" s="11"/>
    </row>
    <row r="192" spans="62:66" x14ac:dyDescent="0.55000000000000004">
      <c r="BJ192" s="11"/>
      <c r="BK192" s="11"/>
      <c r="BL192" s="11"/>
      <c r="BM192" s="11"/>
      <c r="BN192" s="11"/>
    </row>
    <row r="193" spans="62:66" x14ac:dyDescent="0.55000000000000004">
      <c r="BJ193" s="11"/>
      <c r="BK193" s="11"/>
      <c r="BL193" s="11"/>
      <c r="BM193" s="11"/>
      <c r="BN193" s="11"/>
    </row>
    <row r="194" spans="62:66" x14ac:dyDescent="0.55000000000000004">
      <c r="BJ194" s="11"/>
      <c r="BK194" s="11"/>
      <c r="BL194" s="11"/>
      <c r="BM194" s="11"/>
      <c r="BN194" s="11"/>
    </row>
    <row r="195" spans="62:66" x14ac:dyDescent="0.55000000000000004">
      <c r="BJ195" s="11"/>
      <c r="BK195" s="11"/>
      <c r="BL195" s="11"/>
      <c r="BM195" s="11"/>
      <c r="BN195" s="11"/>
    </row>
    <row r="196" spans="62:66" x14ac:dyDescent="0.55000000000000004">
      <c r="BJ196" s="11"/>
      <c r="BK196" s="11"/>
      <c r="BL196" s="11"/>
      <c r="BM196" s="11"/>
      <c r="BN196" s="11"/>
    </row>
    <row r="197" spans="62:66" x14ac:dyDescent="0.55000000000000004">
      <c r="BJ197" s="11"/>
      <c r="BK197" s="11"/>
      <c r="BL197" s="11"/>
      <c r="BM197" s="11"/>
      <c r="BN197" s="11"/>
    </row>
    <row r="198" spans="62:66" x14ac:dyDescent="0.55000000000000004">
      <c r="BJ198" s="11"/>
      <c r="BK198" s="11"/>
      <c r="BL198" s="11"/>
      <c r="BM198" s="11"/>
      <c r="BN198" s="11"/>
    </row>
    <row r="199" spans="62:66" x14ac:dyDescent="0.55000000000000004">
      <c r="BJ199" s="11"/>
      <c r="BK199" s="11"/>
      <c r="BL199" s="11"/>
      <c r="BM199" s="11"/>
      <c r="BN199" s="11"/>
    </row>
    <row r="200" spans="62:66" x14ac:dyDescent="0.55000000000000004">
      <c r="BJ200" s="11"/>
      <c r="BK200" s="11"/>
      <c r="BL200" s="11"/>
      <c r="BM200" s="11"/>
      <c r="BN200" s="11"/>
    </row>
    <row r="201" spans="62:66" x14ac:dyDescent="0.55000000000000004">
      <c r="BJ201" s="11"/>
      <c r="BK201" s="11"/>
      <c r="BL201" s="11"/>
      <c r="BM201" s="11"/>
      <c r="BN201" s="11"/>
    </row>
    <row r="202" spans="62:66" x14ac:dyDescent="0.55000000000000004">
      <c r="BJ202" s="11"/>
      <c r="BK202" s="11"/>
      <c r="BL202" s="11"/>
      <c r="BM202" s="11"/>
      <c r="BN202" s="11"/>
    </row>
    <row r="203" spans="62:66" x14ac:dyDescent="0.55000000000000004">
      <c r="BJ203" s="11"/>
      <c r="BK203" s="11"/>
      <c r="BL203" s="11"/>
      <c r="BM203" s="11"/>
      <c r="BN203" s="11"/>
    </row>
    <row r="204" spans="62:66" x14ac:dyDescent="0.55000000000000004">
      <c r="BJ204" s="11"/>
      <c r="BK204" s="11"/>
      <c r="BL204" s="11"/>
      <c r="BM204" s="11"/>
      <c r="BN204" s="11"/>
    </row>
    <row r="205" spans="62:66" x14ac:dyDescent="0.55000000000000004">
      <c r="BJ205" s="11"/>
      <c r="BK205" s="11"/>
      <c r="BL205" s="11"/>
      <c r="BM205" s="11"/>
      <c r="BN205" s="11"/>
    </row>
    <row r="206" spans="62:66" x14ac:dyDescent="0.55000000000000004">
      <c r="BJ206" s="11"/>
      <c r="BK206" s="11"/>
      <c r="BL206" s="11"/>
      <c r="BM206" s="11"/>
      <c r="BN206" s="11"/>
    </row>
    <row r="207" spans="62:66" x14ac:dyDescent="0.55000000000000004">
      <c r="BJ207" s="11"/>
      <c r="BK207" s="11"/>
      <c r="BL207" s="11"/>
      <c r="BM207" s="11"/>
      <c r="BN207" s="11"/>
    </row>
    <row r="208" spans="62:66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GU800"/>
  <sheetViews>
    <sheetView zoomScale="56" workbookViewId="0">
      <selection activeCell="K8" sqref="K8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15" width="11.58203125" customWidth="1"/>
    <col min="27" max="199" width="8.6640625" hidden="1" customWidth="1" outlineLevel="1"/>
    <col min="200" max="202" width="0" hidden="1" customWidth="1" outlineLevel="1"/>
    <col min="203" max="203" width="8.6640625" collapsed="1"/>
  </cols>
  <sheetData>
    <row r="1" spans="1:202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LiveInfo("swap",_xlfn.ANCHORARRAY($AA$3))</f>
      </c>
      <c r="E1" t="s">
        <v>255</v>
      </c>
    </row>
    <row r="2" spans="1:202" ht="20" x14ac:dyDescent="0.55000000000000004">
      <c r="A2" s="20" t="s">
        <v>256</v>
      </c>
      <c r="AA2" s="4" t="s">
        <v>116</v>
      </c>
      <c r="AB2" s="4"/>
      <c r="AC2" s="4"/>
      <c r="AD2" s="4"/>
      <c r="AE2" s="4"/>
      <c r="AF2" s="4" t="s">
        <v>117</v>
      </c>
      <c r="AG2" s="4"/>
      <c r="AH2" s="4"/>
      <c r="AI2" s="4"/>
      <c r="AJ2" s="4"/>
      <c r="AK2" s="4"/>
      <c r="AL2" s="4" t="s">
        <v>118</v>
      </c>
      <c r="AM2" s="4"/>
      <c r="AN2" s="4"/>
      <c r="AO2" s="4" t="s">
        <v>268</v>
      </c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 t="s">
        <v>269</v>
      </c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 t="s">
        <v>270</v>
      </c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 t="s">
        <v>319</v>
      </c>
      <c r="GD2" s="4"/>
      <c r="GE2" s="4"/>
      <c r="GF2" s="4"/>
      <c r="GG2" s="4"/>
      <c r="GH2" s="4" t="s">
        <v>322</v>
      </c>
      <c r="GI2" s="4"/>
      <c r="GJ2" s="4"/>
      <c r="GK2" s="4"/>
      <c r="GL2" s="4"/>
      <c r="GM2" s="4" t="s">
        <v>323</v>
      </c>
      <c r="GN2" s="4"/>
      <c r="GO2" s="4"/>
      <c r="GP2" s="4"/>
      <c r="GQ2" s="4"/>
      <c r="GS2" s="4" t="s">
        <v>325</v>
      </c>
      <c r="GT2" s="4"/>
    </row>
    <row r="3" spans="1:202" x14ac:dyDescent="0.55000000000000004">
      <c r="A3" s="4" t="s">
        <v>257</v>
      </c>
      <c r="AA3" s="4" cm="1">
        <f t="array" aca="1" ref="AA3:AD46" ca="1">IF($B$1="Fixed",LiveSnapshot("swap"),LiveQuotes("swap"))</f>
      </c>
      <c r="AB3" s="4">
        <f ca="1"/>
      </c>
      <c r="AC3" s="4">
        <f ca="1"/>
      </c>
      <c r="AD3" s="4">
        <f ca="1"/>
      </c>
      <c r="AE3" s="4"/>
      <c r="AF3" s="4" cm="1">
        <f t="array" aca="1" ref="AF3:AJ46" ca="1">_xlfn.LET(_xlpm.q,_xlfn.ANCHORARRAY($AA$3),_xlpm.t,$AL$4:$AL$47,_xlfn.HSTACK($AM$4:$AM$47,_xlpm.t,INDEX(_xlpm.q,_xlfn.XMATCH(_xlpm.t,INDEX(_xlpm.q,,1)),{2,3,4})))</f>
      </c>
      <c r="AG3" s="4">
        <f ca="1"/>
      </c>
      <c r="AH3" s="4">
        <f ca="1"/>
      </c>
      <c r="AI3" s="4">
        <f ca="1"/>
      </c>
      <c r="AJ3" s="4">
        <f ca="1"/>
      </c>
      <c r="AK3" s="4"/>
      <c r="AL3" s="4" t="s">
        <v>119</v>
      </c>
      <c r="AM3" s="4" t="s">
        <v>120</v>
      </c>
      <c r="AN3" s="4"/>
      <c r="AO3" s="4" cm="1">
        <f t="array" aca="1" ref="AO3:CI486" ca="1">FwdHistory($A$12:$A$35,"CMT",FWM_Base)</f>
      </c>
      <c r="AP3" s="4">
        <f ca="1"/>
      </c>
      <c r="AQ3" s="4">
        <f ca="1"/>
      </c>
      <c r="AR3" s="4">
        <f ca="1"/>
      </c>
      <c r="AS3" s="4">
        <f ca="1"/>
      </c>
      <c r="AT3" s="4">
        <f ca="1"/>
      </c>
      <c r="AU3" s="4">
        <f ca="1"/>
      </c>
      <c r="AV3" s="4">
        <f ca="1"/>
      </c>
      <c r="AW3" s="4">
        <f ca="1"/>
      </c>
      <c r="AX3" s="4">
        <f ca="1"/>
      </c>
      <c r="AY3" s="4">
        <f ca="1"/>
      </c>
      <c r="AZ3" s="4">
        <f ca="1"/>
      </c>
      <c r="BA3" s="4">
        <f ca="1"/>
      </c>
      <c r="BB3" s="4">
        <f ca="1"/>
      </c>
      <c r="BC3" s="4">
        <f ca="1"/>
      </c>
      <c r="BD3" s="4">
        <f ca="1"/>
      </c>
      <c r="BE3" s="4">
        <f ca="1"/>
      </c>
      <c r="BF3" s="4">
        <f ca="1"/>
      </c>
      <c r="BG3" s="4">
        <f ca="1"/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/>
      <c r="CK3" s="4" cm="1">
        <f t="array" aca="1" ref="CK3:EE486" ca="1">FwdHistory($A$12:$A$35,"FIXED",FWM_Base)</f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>
        <f ca="1"/>
      </c>
      <c r="DG3" s="4">
        <f ca="1"/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/>
      <c r="EG3" s="4" cm="1">
        <f t="array" aca="1" ref="EG3:GA486" ca="1">FwdHistory($A$12:$A$35,"ROLLING",FWM_Base)</f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>
        <f ca="1"/>
      </c>
      <c r="FC3" s="4">
        <f ca="1"/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/>
      <c r="GC3" s="4" t="s">
        <v>320</v>
      </c>
      <c r="GD3" s="4" t="s">
        <v>53</v>
      </c>
      <c r="GE3" s="4">
        <f>"Compare "&amp;TEXT(FWM_Cmp,"yyyy-mm-dd")</f>
      </c>
      <c r="GF3" s="4" t="s">
        <v>321</v>
      </c>
      <c r="GG3" s="4"/>
      <c r="GH3" s="4" t="s">
        <v>320</v>
      </c>
      <c r="GI3" s="4" t="s">
        <v>53</v>
      </c>
      <c r="GJ3" s="4">
        <f>GE3</f>
      </c>
      <c r="GK3" s="4" t="s">
        <v>321</v>
      </c>
      <c r="GL3" s="4"/>
      <c r="GM3" s="4" t="s">
        <v>75</v>
      </c>
      <c r="GN3" s="4" cm="1">
        <f t="array" aca="1" ref="GN3" ca="1">_xlfn.LET(_xlpm.r,IFERROR(SMALL(IF((FWM_TShow="Yes")*(FWM_TL1&lt;&gt;""),_xlfn.SEQUENCE(10)),1),0),IF(_xlpm.r=0,"",INDEX(FWM_TName,_xlpm.r)&amp;" ("&amp;INDEX(FWM_TMode,_xlpm.r)&amp;")"))</f>
      </c>
      <c r="GO3" s="4" cm="1">
        <f t="array" aca="1" ref="GO3" ca="1">_xlfn.LET(_xlpm.r,IFERROR(SMALL(IF((FWM_TShow="Yes")*(FWM_TL1&lt;&gt;""),_xlfn.SEQUENCE(10)),2),0),IF(_xlpm.r=0,"",INDEX(FWM_TName,_xlpm.r)&amp;" ("&amp;INDEX(FWM_TMode,_xlpm.r)&amp;")"))</f>
      </c>
      <c r="GP3" s="4" cm="1">
        <f t="array" aca="1" ref="GP3" ca="1">_xlfn.LET(_xlpm.r,IFERROR(SMALL(IF((FWM_TShow="Yes")*(FWM_TL1&lt;&gt;""),_xlfn.SEQUENCE(10)),3),0),IF(_xlpm.r=0,"",INDEX(FWM_TName,_xlpm.r)&amp;" ("&amp;INDEX(FWM_TMode,_xlpm.r)&amp;")"))</f>
      </c>
      <c r="GQ3" s="4" cm="1">
        <f t="array" aca="1" ref="GQ3" ca="1">_xlfn.LET(_xlpm.r,IFERROR(SMALL(IF((FWM_TShow="Yes")*(FWM_TL1&lt;&gt;""),_xlfn.SEQUENCE(10)),4),0),IF(_xlpm.r=0,"",INDEX(FWM_TName,_xlpm.r)&amp;" ("&amp;INDEX(FWM_TMode,_xlpm.r)&amp;")"))</f>
      </c>
      <c r="GS3" s="4" t="s">
        <v>272</v>
      </c>
      <c r="GT3" s="4" t="s">
        <v>273</v>
      </c>
    </row>
    <row r="4" spans="1:202" x14ac:dyDescent="0.55000000000000004">
      <c r="A4" s="4" t="s">
        <v>258</v>
      </c>
      <c r="B4" s="3"/>
      <c r="C4" t="s">
        <v>259</v>
      </c>
      <c r="AA4">
        <f ca="1"/>
      </c>
      <c r="AB4">
        <f ca="1"/>
      </c>
      <c r="AC4">
        <f ca="1"/>
      </c>
      <c r="AD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L4" t="s">
        <v>0</v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C4">
        <f>VALUE(_xlfn.TEXTBEFORE($A$12,"y"))</f>
      </c>
      <c r="GD4">
        <f ca="1">$B$12</f>
      </c>
      <c r="GE4">
        <f ca="1">IFERROR($B$12-$G$12/100,NA())</f>
      </c>
      <c r="GF4">
        <f ca="1">$G$12</f>
      </c>
      <c r="GH4">
        <f>VALUE(_xlfn.TEXTBEFORE($A$29,"y"))</f>
      </c>
      <c r="GI4">
        <f ca="1">$B$29</f>
      </c>
      <c r="GJ4">
        <f ca="1">IFERROR($B$29-$G$29/100,NA())</f>
      </c>
      <c r="GK4">
        <f ca="1">$G$29</f>
      </c>
      <c r="GM4" s="7" cm="1">
        <f t="array" aca="1" ref="GM4:GM244" ca="1">_xlfn._xlws.FILTER(FWM_Dates,FWM_Dates&gt;=N(FWM_From))</f>
      </c>
      <c r="GN4" cm="1">
        <f t="array" aca="1" ref="GN4:GN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O4" cm="1">
        <f t="array" aca="1" ref="GO4:GO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P4" cm="1">
        <f t="array" aca="1" ref="GP4:GP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Q4" cm="1">
        <f t="array" aca="1" ref="GQ4:GQ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S4" cm="1">
        <f t="array" ref="GS4:GS26">_xlfn._xlws.FILTER($A$12:$A$35,$A$12:$A$35&lt;&gt;"")</f>
      </c>
      <c r="GT4" cm="1">
        <f t="array" aca="1" ref="GT4:GT26" ca="1">FwdLive(_xlfn.ANCHORARRAY($GS$4),_xlfn.TAKE(_xlfn.ANCHORARRAY($AF$3),,3))</f>
      </c>
    </row>
    <row r="5" spans="1:202" x14ac:dyDescent="0.55000000000000004">
      <c r="A5" s="4" t="s">
        <v>260</v>
      </c>
      <c r="B5" s="3">
        <v>46290</v>
      </c>
      <c r="C5" t="s">
        <v>261</v>
      </c>
      <c r="AA5">
        <f ca="1"/>
      </c>
      <c r="AB5">
        <f ca="1"/>
      </c>
      <c r="AC5">
        <f ca="1"/>
      </c>
      <c r="AD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L5" t="s">
        <v>1</v>
      </c>
      <c r="AM5">
        <v>1</v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C5">
        <f>VALUE(_xlfn.TEXTBEFORE($A$13,"y"))</f>
      </c>
      <c r="GD5">
        <f ca="1">$B$13</f>
      </c>
      <c r="GE5">
        <f ca="1">IFERROR($B$13-$G$13/100,NA())</f>
      </c>
      <c r="GF5">
        <f ca="1">$G$13</f>
      </c>
      <c r="GH5">
        <f>VALUE(_xlfn.TEXTBEFORE($A$30,"y"))</f>
      </c>
      <c r="GI5">
        <f ca="1">$B$30</f>
      </c>
      <c r="GJ5">
        <f ca="1">IFERROR($B$30-$G$30/100,NA())</f>
      </c>
      <c r="GK5">
        <f ca="1">$G$30</f>
      </c>
      <c r="GM5" s="7">
        <f ca="1"/>
      </c>
      <c r="GN5">
        <f ca="1"/>
      </c>
      <c r="GO5">
        <f ca="1"/>
      </c>
      <c r="GP5">
        <f ca="1"/>
      </c>
      <c r="GQ5">
        <f ca="1"/>
      </c>
      <c r="GT5">
        <f ca="1"/>
      </c>
    </row>
    <row r="6" spans="1:202" x14ac:dyDescent="0.55000000000000004">
      <c r="A6" s="4" t="s">
        <v>262</v>
      </c>
      <c r="B6" s="2">
        <v>63</v>
      </c>
      <c r="C6" t="s">
        <v>263</v>
      </c>
      <c r="AA6">
        <f ca="1"/>
      </c>
      <c r="AB6">
        <f ca="1"/>
      </c>
      <c r="AC6">
        <f ca="1"/>
      </c>
      <c r="AD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L6" t="s">
        <v>2</v>
      </c>
      <c r="AM6">
        <v>1</v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C6">
        <f>VALUE(_xlfn.TEXTBEFORE($A$14,"y"))</f>
      </c>
      <c r="GD6">
        <f ca="1">$B$14</f>
      </c>
      <c r="GE6">
        <f ca="1">IFERROR($B$14-$G$14/100,NA())</f>
      </c>
      <c r="GF6">
        <f ca="1">$G$14</f>
      </c>
      <c r="GH6">
        <f>VALUE(_xlfn.TEXTBEFORE($A$31,"y"))</f>
      </c>
      <c r="GI6">
        <f ca="1">$B$31</f>
      </c>
      <c r="GJ6">
        <f ca="1">IFERROR($B$31-$G$31/100,NA())</f>
      </c>
      <c r="GK6">
        <f ca="1">$G$31</f>
      </c>
      <c r="GM6" s="7">
        <f ca="1"/>
      </c>
      <c r="GN6">
        <f ca="1"/>
      </c>
      <c r="GO6">
        <f ca="1"/>
      </c>
      <c r="GP6">
        <f ca="1"/>
      </c>
      <c r="GQ6">
        <f ca="1"/>
      </c>
      <c r="GT6">
        <f ca="1"/>
      </c>
    </row>
    <row r="7" spans="1:202" x14ac:dyDescent="0.55000000000000004">
      <c r="A7" s="4" t="s">
        <v>264</v>
      </c>
      <c r="B7" s="3">
        <v>45955</v>
      </c>
      <c r="C7" t="s">
        <v>265</v>
      </c>
      <c r="AA7">
        <f ca="1"/>
      </c>
      <c r="AB7">
        <f ca="1"/>
      </c>
      <c r="AC7">
        <f ca="1"/>
      </c>
      <c r="AD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L7" t="s">
        <v>3</v>
      </c>
      <c r="AM7">
        <v>1</v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C7">
        <f>VALUE(_xlfn.TEXTBEFORE($A$15,"y"))</f>
      </c>
      <c r="GD7">
        <f ca="1">$B$15</f>
      </c>
      <c r="GE7">
        <f ca="1">IFERROR($B$15-$G$15/100,NA())</f>
      </c>
      <c r="GF7">
        <f ca="1">$G$15</f>
      </c>
      <c r="GH7">
        <f>VALUE(_xlfn.TEXTBEFORE($A$32,"y"))</f>
      </c>
      <c r="GI7">
        <f ca="1">$B$32</f>
      </c>
      <c r="GJ7">
        <f ca="1">IFERROR($B$32-$G$32/100,NA())</f>
      </c>
      <c r="GK7">
        <f ca="1">$G$32</f>
      </c>
      <c r="GM7" s="7">
        <f ca="1"/>
      </c>
      <c r="GN7">
        <f ca="1"/>
      </c>
      <c r="GO7">
        <f ca="1"/>
      </c>
      <c r="GP7">
        <f ca="1"/>
      </c>
      <c r="GQ7">
        <f ca="1"/>
      </c>
      <c r="GT7">
        <f ca="1"/>
      </c>
    </row>
    <row r="8" spans="1:202" x14ac:dyDescent="0.55000000000000004">
      <c r="A8" s="4" t="s">
        <v>266</v>
      </c>
      <c r="B8" s="2" t="s">
        <v>151</v>
      </c>
      <c r="C8" t="s">
        <v>267</v>
      </c>
      <c r="AA8">
        <f ca="1"/>
      </c>
      <c r="AB8">
        <f ca="1"/>
      </c>
      <c r="AC8">
        <f ca="1"/>
      </c>
      <c r="AD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L8" t="s">
        <v>4</v>
      </c>
      <c r="AM8">
        <v>1</v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C8">
        <f>VALUE(_xlfn.TEXTBEFORE($A$16,"y"))</f>
      </c>
      <c r="GD8">
        <f ca="1">$B$16</f>
      </c>
      <c r="GE8">
        <f ca="1">IFERROR($B$16-$G$16/100,NA())</f>
      </c>
      <c r="GF8">
        <f ca="1">$G$16</f>
      </c>
      <c r="GH8">
        <f>VALUE(_xlfn.TEXTBEFORE($A$33,"y"))</f>
      </c>
      <c r="GI8">
        <f ca="1">$B$33</f>
      </c>
      <c r="GJ8">
        <f ca="1">IFERROR($B$33-$G$33/100,NA())</f>
      </c>
      <c r="GK8">
        <f ca="1">$G$33</f>
      </c>
      <c r="GM8" s="7">
        <f ca="1"/>
      </c>
      <c r="GN8">
        <f ca="1"/>
      </c>
      <c r="GO8">
        <f ca="1"/>
      </c>
      <c r="GP8">
        <f ca="1"/>
      </c>
      <c r="GQ8">
        <f ca="1"/>
      </c>
      <c r="GT8">
        <f ca="1"/>
      </c>
    </row>
    <row r="9" spans="1:202" x14ac:dyDescent="0.55000000000000004">
      <c r="AA9">
        <f ca="1"/>
      </c>
      <c r="AB9">
        <f ca="1"/>
      </c>
      <c r="AC9">
        <f ca="1"/>
      </c>
      <c r="AD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L9" t="s">
        <v>5</v>
      </c>
      <c r="AM9">
        <v>1</v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C9">
        <f>VALUE(_xlfn.TEXTBEFORE($A$17,"y"))</f>
      </c>
      <c r="GD9">
        <f ca="1">$B$17</f>
      </c>
      <c r="GE9">
        <f ca="1">IFERROR($B$17-$G$17/100,NA())</f>
      </c>
      <c r="GF9">
        <f ca="1">$G$17</f>
      </c>
      <c r="GH9">
        <f>VALUE(_xlfn.TEXTBEFORE($A$34,"y"))</f>
      </c>
      <c r="GI9">
        <f ca="1">$B$34</f>
      </c>
      <c r="GJ9">
        <f ca="1">IFERROR($B$34-$G$34/100,NA())</f>
      </c>
      <c r="GK9">
        <f ca="1">$G$34</f>
      </c>
      <c r="GM9" s="7">
        <f ca="1"/>
      </c>
      <c r="GN9">
        <f ca="1"/>
      </c>
      <c r="GO9">
        <f ca="1"/>
      </c>
      <c r="GP9">
        <f ca="1"/>
      </c>
      <c r="GQ9">
        <f ca="1"/>
      </c>
      <c r="GT9">
        <f ca="1"/>
      </c>
    </row>
    <row r="10" spans="1:202" x14ac:dyDescent="0.55000000000000004">
      <c r="A10" s="4" t="s">
        <v>271</v>
      </c>
      <c r="AA10">
        <f ca="1"/>
      </c>
      <c r="AB10">
        <f ca="1"/>
      </c>
      <c r="AC10">
        <f ca="1"/>
      </c>
      <c r="AD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L10" t="s">
        <v>6</v>
      </c>
      <c r="AM10">
        <v>1</v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C10">
        <f>VALUE(_xlfn.TEXTBEFORE($A$18,"y"))</f>
      </c>
      <c r="GD10">
        <f ca="1">$B$18</f>
      </c>
      <c r="GE10">
        <f ca="1">IFERROR($B$18-$G$18/100,NA())</f>
      </c>
      <c r="GF10">
        <f ca="1">$G$18</f>
      </c>
      <c r="GH10">
        <f>VALUE(_xlfn.TEXTBEFORE($A$35,"y"))</f>
      </c>
      <c r="GI10">
        <f ca="1">$B$35</f>
      </c>
      <c r="GJ10">
        <f ca="1">IFERROR($B$35-$G$35/100,NA())</f>
      </c>
      <c r="GK10">
        <f ca="1">$G$35</f>
      </c>
      <c r="GM10" s="7">
        <f ca="1"/>
      </c>
      <c r="GN10">
        <f ca="1"/>
      </c>
      <c r="GO10">
        <f ca="1"/>
      </c>
      <c r="GP10">
        <f ca="1"/>
      </c>
      <c r="GQ10">
        <f ca="1"/>
      </c>
      <c r="GT10">
        <f ca="1"/>
      </c>
    </row>
    <row r="11" spans="1:202" x14ac:dyDescent="0.55000000000000004">
      <c r="A11" s="4" t="s">
        <v>272</v>
      </c>
      <c r="B11" s="4" t="s">
        <v>273</v>
      </c>
      <c r="C11" s="4" t="s">
        <v>274</v>
      </c>
      <c r="D11" s="4" t="s">
        <v>275</v>
      </c>
      <c r="E11" s="4" t="s">
        <v>276</v>
      </c>
      <c r="F11" s="4" t="s">
        <v>277</v>
      </c>
      <c r="G11" s="4" t="s">
        <v>278</v>
      </c>
      <c r="H11" s="4" t="s">
        <v>279</v>
      </c>
      <c r="I11" s="4" t="s">
        <v>280</v>
      </c>
      <c r="J11" s="4" t="s">
        <v>281</v>
      </c>
      <c r="K11" s="4" t="s">
        <v>324</v>
      </c>
      <c r="AA11">
        <f ca="1"/>
      </c>
      <c r="AB11">
        <f ca="1"/>
      </c>
      <c r="AC11">
        <f ca="1"/>
      </c>
      <c r="AD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L11" t="s">
        <v>7</v>
      </c>
      <c r="AM11">
        <v>1</v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C11">
        <f>VALUE(_xlfn.TEXTBEFORE($A$19,"y"))</f>
      </c>
      <c r="GD11">
        <f ca="1">$B$19</f>
      </c>
      <c r="GE11">
        <f ca="1">IFERROR($B$19-$G$19/100,NA())</f>
      </c>
      <c r="GF11">
        <f ca="1">$G$19</f>
      </c>
      <c r="GM11" s="7">
        <f ca="1"/>
      </c>
      <c r="GN11">
        <f ca="1"/>
      </c>
      <c r="GO11">
        <f ca="1"/>
      </c>
      <c r="GP11">
        <f ca="1"/>
      </c>
      <c r="GQ11">
        <f ca="1"/>
      </c>
      <c r="GT11">
        <f ca="1"/>
      </c>
    </row>
    <row r="12" spans="1:202" x14ac:dyDescent="0.55000000000000004">
      <c r="A12" t="s">
        <v>282</v>
      </c>
      <c r="B12" s="13" cm="1">
        <f t="array" aca="1" ref="B12" ca="1">_xlfn.XLOOKUP($A12,_xlfn.ANCHORARRAY($GS$4),_xlfn.ANCHORARRAY($GT$4),"")</f>
      </c>
      <c r="C12" s="13" cm="1">
        <f t="array" aca="1" ref="C12" ca="1">_xlfn.LET(_xlpm.h,FWM_HC,_xlpm.c,_xlfn.XMATCH($A12,_xlfn.TAKE(_xlpm.h,1)),INDEX(_xlpm.h,ROWS(_xlpm.h),_xlpm.c))</f>
      </c>
      <c r="D12" s="44">
        <f t="shared" ref="D12:D35" ca="1" si="0">(B12-C12)*100</f>
      </c>
      <c r="E12" s="44" cm="1">
        <f t="array" aca="1" ref="E12" ca="1">_xlfn.LET(_xlpm.h,FWM_HC,_xlpm.c,_xlfn.XMATCH($A12,_xlfn.TAKE(_xlpm.h,1)),(B12-INDEX(_xlpm.h,ROWS(_xlpm.h)-4,_xlpm.c))*100)</f>
      </c>
      <c r="F12" s="44" cm="1">
        <f t="array" aca="1" ref="F12" ca="1">_xlfn.LET(_xlpm.h,FWM_HC,_xlpm.c,_xlfn.XMATCH($A12,_xlfn.TAKE(_xlpm.h,1)),(B12-INDEX(_xlpm.h,ROWS(_xlpm.h)-20,_xlpm.c))*100)</f>
      </c>
      <c r="G12" s="44" cm="1">
        <f t="array" aca="1" ref="G12" ca="1">_xlfn.LET(_xlpm.h,FWM_HC,_xlpm.c,_xlfn.XMATCH($A12,_xlfn.TAKE(_xlpm.h,1)),(B12-_xlfn.XLOOKUP(FWM_Cmp,_xlfn.DROP(INDEX(_xlpm.h,,1),1),_xlfn.DROP(INDEX(_xlpm.h,,_xlpm.c),1),"",-1))*100)</f>
      </c>
      <c r="H12" s="11" cm="1">
        <f t="array" aca="1" ref="H12" ca="1">_xlfn.LET(_xlpm.h,FWM_HC,FWM_Sigma(_xlfn.DROP(INDEX(_xlpm.h,,_xlfn.XMATCH($A12&amp;" dF",_xlfn.TAKE(_xlpm.h,1))),1)))</f>
      </c>
      <c r="I12" s="45">
        <f t="shared" ref="I12:I35" ca="1" si="1">D12/H12</f>
      </c>
      <c r="J12" s="45">
        <f t="shared" ref="J12:J35" ca="1" si="2">E12/(H12*SQRT(5))</f>
      </c>
      <c r="K12" s="44">
        <f t="shared" ref="K12:K27" si="3">IF(ISNUMBER(B11),(B12-B11)*100,"")</f>
      </c>
      <c r="AA12">
        <f ca="1"/>
      </c>
      <c r="AB12">
        <f ca="1"/>
      </c>
      <c r="AC12">
        <f ca="1"/>
      </c>
      <c r="AD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L12" t="s">
        <v>8</v>
      </c>
      <c r="AM12">
        <v>1</v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C12">
        <f>VALUE(_xlfn.TEXTBEFORE($A$20,"y"))</f>
      </c>
      <c r="GD12">
        <f ca="1">$B$20</f>
      </c>
      <c r="GE12">
        <f ca="1">IFERROR($B$20-$G$20/100,NA())</f>
      </c>
      <c r="GF12">
        <f ca="1">$G$20</f>
      </c>
      <c r="GM12" s="7">
        <f ca="1"/>
      </c>
      <c r="GN12">
        <f ca="1"/>
      </c>
      <c r="GO12">
        <f ca="1"/>
      </c>
      <c r="GP12">
        <f ca="1"/>
      </c>
      <c r="GQ12">
        <f ca="1"/>
      </c>
      <c r="GT12">
        <f ca="1"/>
      </c>
    </row>
    <row r="13" spans="1:202" x14ac:dyDescent="0.55000000000000004">
      <c r="A13" t="s">
        <v>283</v>
      </c>
      <c r="B13" s="13" cm="1">
        <f t="array" aca="1" ref="B13" ca="1">_xlfn.XLOOKUP($A13,_xlfn.ANCHORARRAY($GS$4),_xlfn.ANCHORARRAY($GT$4),"")</f>
      </c>
      <c r="C13" s="13" cm="1">
        <f t="array" aca="1" ref="C13" ca="1">_xlfn.LET(_xlpm.h,FWM_HC,_xlpm.c,_xlfn.XMATCH($A13,_xlfn.TAKE(_xlpm.h,1)),INDEX(_xlpm.h,ROWS(_xlpm.h),_xlpm.c))</f>
      </c>
      <c r="D13" s="44">
        <f t="shared" ca="1" si="0"/>
      </c>
      <c r="E13" s="44" cm="1">
        <f t="array" aca="1" ref="E13" ca="1">_xlfn.LET(_xlpm.h,FWM_HC,_xlpm.c,_xlfn.XMATCH($A13,_xlfn.TAKE(_xlpm.h,1)),(B13-INDEX(_xlpm.h,ROWS(_xlpm.h)-4,_xlpm.c))*100)</f>
      </c>
      <c r="F13" s="44" cm="1">
        <f t="array" aca="1" ref="F13" ca="1">_xlfn.LET(_xlpm.h,FWM_HC,_xlpm.c,_xlfn.XMATCH($A13,_xlfn.TAKE(_xlpm.h,1)),(B13-INDEX(_xlpm.h,ROWS(_xlpm.h)-20,_xlpm.c))*100)</f>
      </c>
      <c r="G13" s="44" cm="1">
        <f t="array" aca="1" ref="G13" ca="1">_xlfn.LET(_xlpm.h,FWM_HC,_xlpm.c,_xlfn.XMATCH($A13,_xlfn.TAKE(_xlpm.h,1)),(B13-_xlfn.XLOOKUP(FWM_Cmp,_xlfn.DROP(INDEX(_xlpm.h,,1),1),_xlfn.DROP(INDEX(_xlpm.h,,_xlpm.c),1),"",-1))*100)</f>
      </c>
      <c r="H13" s="11" cm="1">
        <f t="array" aca="1" ref="H13" ca="1">_xlfn.LET(_xlpm.h,FWM_HC,FWM_Sigma(_xlfn.DROP(INDEX(_xlpm.h,,_xlfn.XMATCH($A13&amp;" dF",_xlfn.TAKE(_xlpm.h,1))),1)))</f>
      </c>
      <c r="I13" s="45">
        <f t="shared" ca="1" si="1"/>
      </c>
      <c r="J13" s="45">
        <f t="shared" ca="1" si="2"/>
      </c>
      <c r="K13" s="44">
        <f t="shared" ca="1" si="3"/>
      </c>
      <c r="AA13">
        <f ca="1"/>
      </c>
      <c r="AB13">
        <f ca="1"/>
      </c>
      <c r="AC13">
        <f ca="1"/>
      </c>
      <c r="AD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L13" t="s">
        <v>9</v>
      </c>
      <c r="AM13">
        <v>1</v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C13">
        <f>VALUE(_xlfn.TEXTBEFORE($A$21,"y"))</f>
      </c>
      <c r="GD13">
        <f ca="1">$B$21</f>
      </c>
      <c r="GE13">
        <f ca="1">IFERROR($B$21-$G$21/100,NA())</f>
      </c>
      <c r="GF13">
        <f ca="1">$G$21</f>
      </c>
      <c r="GM13" s="7">
        <f ca="1"/>
      </c>
      <c r="GN13">
        <f ca="1"/>
      </c>
      <c r="GO13">
        <f ca="1"/>
      </c>
      <c r="GP13">
        <f ca="1"/>
      </c>
      <c r="GQ13">
        <f ca="1"/>
      </c>
      <c r="GT13">
        <f ca="1"/>
      </c>
    </row>
    <row r="14" spans="1:202" x14ac:dyDescent="0.55000000000000004">
      <c r="A14" t="s">
        <v>284</v>
      </c>
      <c r="B14" s="13" cm="1">
        <f t="array" aca="1" ref="B14" ca="1">_xlfn.XLOOKUP($A14,_xlfn.ANCHORARRAY($GS$4),_xlfn.ANCHORARRAY($GT$4),"")</f>
      </c>
      <c r="C14" s="13" cm="1">
        <f t="array" aca="1" ref="C14" ca="1">_xlfn.LET(_xlpm.h,FWM_HC,_xlpm.c,_xlfn.XMATCH($A14,_xlfn.TAKE(_xlpm.h,1)),INDEX(_xlpm.h,ROWS(_xlpm.h),_xlpm.c))</f>
      </c>
      <c r="D14" s="44">
        <f t="shared" ca="1" si="0"/>
      </c>
      <c r="E14" s="44" cm="1">
        <f t="array" aca="1" ref="E14" ca="1">_xlfn.LET(_xlpm.h,FWM_HC,_xlpm.c,_xlfn.XMATCH($A14,_xlfn.TAKE(_xlpm.h,1)),(B14-INDEX(_xlpm.h,ROWS(_xlpm.h)-4,_xlpm.c))*100)</f>
      </c>
      <c r="F14" s="44" cm="1">
        <f t="array" aca="1" ref="F14" ca="1">_xlfn.LET(_xlpm.h,FWM_HC,_xlpm.c,_xlfn.XMATCH($A14,_xlfn.TAKE(_xlpm.h,1)),(B14-INDEX(_xlpm.h,ROWS(_xlpm.h)-20,_xlpm.c))*100)</f>
      </c>
      <c r="G14" s="44" cm="1">
        <f t="array" aca="1" ref="G14" ca="1">_xlfn.LET(_xlpm.h,FWM_HC,_xlpm.c,_xlfn.XMATCH($A14,_xlfn.TAKE(_xlpm.h,1)),(B14-_xlfn.XLOOKUP(FWM_Cmp,_xlfn.DROP(INDEX(_xlpm.h,,1),1),_xlfn.DROP(INDEX(_xlpm.h,,_xlpm.c),1),"",-1))*100)</f>
      </c>
      <c r="H14" s="11" cm="1">
        <f t="array" aca="1" ref="H14" ca="1">_xlfn.LET(_xlpm.h,FWM_HC,FWM_Sigma(_xlfn.DROP(INDEX(_xlpm.h,,_xlfn.XMATCH($A14&amp;" dF",_xlfn.TAKE(_xlpm.h,1))),1)))</f>
      </c>
      <c r="I14" s="45">
        <f t="shared" ca="1" si="1"/>
      </c>
      <c r="J14" s="45">
        <f t="shared" ca="1" si="2"/>
      </c>
      <c r="K14" s="44">
        <f t="shared" ca="1" si="3"/>
      </c>
      <c r="AA14">
        <f ca="1"/>
      </c>
      <c r="AB14">
        <f ca="1"/>
      </c>
      <c r="AC14">
        <f ca="1"/>
      </c>
      <c r="AD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L14" t="s">
        <v>10</v>
      </c>
      <c r="AM14">
        <v>1</v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C14">
        <f>VALUE(_xlfn.TEXTBEFORE($A$22,"y"))</f>
      </c>
      <c r="GD14">
        <f ca="1">$B$22</f>
      </c>
      <c r="GE14">
        <f ca="1">IFERROR($B$22-$G$22/100,NA())</f>
      </c>
      <c r="GF14">
        <f ca="1">$G$22</f>
      </c>
      <c r="GM14" s="7">
        <f ca="1"/>
      </c>
      <c r="GN14">
        <f ca="1"/>
      </c>
      <c r="GO14">
        <f ca="1"/>
      </c>
      <c r="GP14">
        <f ca="1"/>
      </c>
      <c r="GQ14">
        <f ca="1"/>
      </c>
      <c r="GT14">
        <f ca="1"/>
      </c>
    </row>
    <row r="15" spans="1:202" x14ac:dyDescent="0.55000000000000004">
      <c r="A15" t="s">
        <v>285</v>
      </c>
      <c r="B15" s="13" cm="1">
        <f t="array" aca="1" ref="B15" ca="1">_xlfn.XLOOKUP($A15,_xlfn.ANCHORARRAY($GS$4),_xlfn.ANCHORARRAY($GT$4),"")</f>
      </c>
      <c r="C15" s="13" cm="1">
        <f t="array" aca="1" ref="C15" ca="1">_xlfn.LET(_xlpm.h,FWM_HC,_xlpm.c,_xlfn.XMATCH($A15,_xlfn.TAKE(_xlpm.h,1)),INDEX(_xlpm.h,ROWS(_xlpm.h),_xlpm.c))</f>
      </c>
      <c r="D15" s="44">
        <f t="shared" ca="1" si="0"/>
      </c>
      <c r="E15" s="44" cm="1">
        <f t="array" aca="1" ref="E15" ca="1">_xlfn.LET(_xlpm.h,FWM_HC,_xlpm.c,_xlfn.XMATCH($A15,_xlfn.TAKE(_xlpm.h,1)),(B15-INDEX(_xlpm.h,ROWS(_xlpm.h)-4,_xlpm.c))*100)</f>
      </c>
      <c r="F15" s="44" cm="1">
        <f t="array" aca="1" ref="F15" ca="1">_xlfn.LET(_xlpm.h,FWM_HC,_xlpm.c,_xlfn.XMATCH($A15,_xlfn.TAKE(_xlpm.h,1)),(B15-INDEX(_xlpm.h,ROWS(_xlpm.h)-20,_xlpm.c))*100)</f>
      </c>
      <c r="G15" s="44" cm="1">
        <f t="array" aca="1" ref="G15" ca="1">_xlfn.LET(_xlpm.h,FWM_HC,_xlpm.c,_xlfn.XMATCH($A15,_xlfn.TAKE(_xlpm.h,1)),(B15-_xlfn.XLOOKUP(FWM_Cmp,_xlfn.DROP(INDEX(_xlpm.h,,1),1),_xlfn.DROP(INDEX(_xlpm.h,,_xlpm.c),1),"",-1))*100)</f>
      </c>
      <c r="H15" s="11" cm="1">
        <f t="array" aca="1" ref="H15" ca="1">_xlfn.LET(_xlpm.h,FWM_HC,FWM_Sigma(_xlfn.DROP(INDEX(_xlpm.h,,_xlfn.XMATCH($A15&amp;" dF",_xlfn.TAKE(_xlpm.h,1))),1)))</f>
      </c>
      <c r="I15" s="45">
        <f t="shared" ca="1" si="1"/>
      </c>
      <c r="J15" s="45">
        <f t="shared" ca="1" si="2"/>
      </c>
      <c r="K15" s="44">
        <f t="shared" ca="1" si="3"/>
      </c>
      <c r="AA15">
        <f ca="1"/>
      </c>
      <c r="AB15">
        <f ca="1"/>
      </c>
      <c r="AC15">
        <f ca="1"/>
      </c>
      <c r="AD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L15" t="s">
        <v>11</v>
      </c>
      <c r="AM15">
        <v>1</v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C15">
        <f>VALUE(_xlfn.TEXTBEFORE($A$23,"y"))</f>
      </c>
      <c r="GD15">
        <f ca="1">$B$23</f>
      </c>
      <c r="GE15">
        <f ca="1">IFERROR($B$23-$G$23/100,NA())</f>
      </c>
      <c r="GF15">
        <f ca="1">$G$23</f>
      </c>
      <c r="GM15" s="7">
        <f ca="1"/>
      </c>
      <c r="GN15">
        <f ca="1"/>
      </c>
      <c r="GO15">
        <f ca="1"/>
      </c>
      <c r="GP15">
        <f ca="1"/>
      </c>
      <c r="GQ15">
        <f ca="1"/>
      </c>
      <c r="GT15">
        <f ca="1"/>
      </c>
    </row>
    <row r="16" spans="1:202" x14ac:dyDescent="0.55000000000000004">
      <c r="A16" t="s">
        <v>286</v>
      </c>
      <c r="B16" s="13" cm="1">
        <f t="array" aca="1" ref="B16" ca="1">_xlfn.XLOOKUP($A16,_xlfn.ANCHORARRAY($GS$4),_xlfn.ANCHORARRAY($GT$4),"")</f>
      </c>
      <c r="C16" s="13" cm="1">
        <f t="array" aca="1" ref="C16" ca="1">_xlfn.LET(_xlpm.h,FWM_HC,_xlpm.c,_xlfn.XMATCH($A16,_xlfn.TAKE(_xlpm.h,1)),INDEX(_xlpm.h,ROWS(_xlpm.h),_xlpm.c))</f>
      </c>
      <c r="D16" s="44">
        <f t="shared" ca="1" si="0"/>
      </c>
      <c r="E16" s="44" cm="1">
        <f t="array" aca="1" ref="E16" ca="1">_xlfn.LET(_xlpm.h,FWM_HC,_xlpm.c,_xlfn.XMATCH($A16,_xlfn.TAKE(_xlpm.h,1)),(B16-INDEX(_xlpm.h,ROWS(_xlpm.h)-4,_xlpm.c))*100)</f>
      </c>
      <c r="F16" s="44" cm="1">
        <f t="array" aca="1" ref="F16" ca="1">_xlfn.LET(_xlpm.h,FWM_HC,_xlpm.c,_xlfn.XMATCH($A16,_xlfn.TAKE(_xlpm.h,1)),(B16-INDEX(_xlpm.h,ROWS(_xlpm.h)-20,_xlpm.c))*100)</f>
      </c>
      <c r="G16" s="44" cm="1">
        <f t="array" aca="1" ref="G16" ca="1">_xlfn.LET(_xlpm.h,FWM_HC,_xlpm.c,_xlfn.XMATCH($A16,_xlfn.TAKE(_xlpm.h,1)),(B16-_xlfn.XLOOKUP(FWM_Cmp,_xlfn.DROP(INDEX(_xlpm.h,,1),1),_xlfn.DROP(INDEX(_xlpm.h,,_xlpm.c),1),"",-1))*100)</f>
      </c>
      <c r="H16" s="11" cm="1">
        <f t="array" aca="1" ref="H16" ca="1">_xlfn.LET(_xlpm.h,FWM_HC,FWM_Sigma(_xlfn.DROP(INDEX(_xlpm.h,,_xlfn.XMATCH($A16&amp;" dF",_xlfn.TAKE(_xlpm.h,1))),1)))</f>
      </c>
      <c r="I16" s="45">
        <f t="shared" ca="1" si="1"/>
      </c>
      <c r="J16" s="45">
        <f t="shared" ca="1" si="2"/>
      </c>
      <c r="K16" s="44">
        <f t="shared" ca="1" si="3"/>
      </c>
      <c r="AA16">
        <f ca="1"/>
      </c>
      <c r="AB16">
        <f ca="1"/>
      </c>
      <c r="AC16">
        <f ca="1"/>
      </c>
      <c r="AD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L16" t="s">
        <v>12</v>
      </c>
      <c r="AM16">
        <v>1</v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C16">
        <f>VALUE(_xlfn.TEXTBEFORE($A$24,"y"))</f>
      </c>
      <c r="GD16">
        <f ca="1">$B$24</f>
      </c>
      <c r="GE16">
        <f ca="1">IFERROR($B$24-$G$24/100,NA())</f>
      </c>
      <c r="GF16">
        <f ca="1">$G$24</f>
      </c>
      <c r="GM16" s="7">
        <f ca="1"/>
      </c>
      <c r="GN16">
        <f ca="1"/>
      </c>
      <c r="GO16">
        <f ca="1"/>
      </c>
      <c r="GP16">
        <f ca="1"/>
      </c>
      <c r="GQ16">
        <f ca="1"/>
      </c>
      <c r="GT16">
        <f ca="1"/>
      </c>
    </row>
    <row r="17" spans="1:202" x14ac:dyDescent="0.55000000000000004">
      <c r="A17" t="s">
        <v>287</v>
      </c>
      <c r="B17" s="13" cm="1">
        <f t="array" aca="1" ref="B17" ca="1">_xlfn.XLOOKUP($A17,_xlfn.ANCHORARRAY($GS$4),_xlfn.ANCHORARRAY($GT$4),"")</f>
      </c>
      <c r="C17" s="13" cm="1">
        <f t="array" aca="1" ref="C17" ca="1">_xlfn.LET(_xlpm.h,FWM_HC,_xlpm.c,_xlfn.XMATCH($A17,_xlfn.TAKE(_xlpm.h,1)),INDEX(_xlpm.h,ROWS(_xlpm.h),_xlpm.c))</f>
      </c>
      <c r="D17" s="44">
        <f t="shared" ca="1" si="0"/>
      </c>
      <c r="E17" s="44" cm="1">
        <f t="array" aca="1" ref="E17" ca="1">_xlfn.LET(_xlpm.h,FWM_HC,_xlpm.c,_xlfn.XMATCH($A17,_xlfn.TAKE(_xlpm.h,1)),(B17-INDEX(_xlpm.h,ROWS(_xlpm.h)-4,_xlpm.c))*100)</f>
      </c>
      <c r="F17" s="44" cm="1">
        <f t="array" aca="1" ref="F17" ca="1">_xlfn.LET(_xlpm.h,FWM_HC,_xlpm.c,_xlfn.XMATCH($A17,_xlfn.TAKE(_xlpm.h,1)),(B17-INDEX(_xlpm.h,ROWS(_xlpm.h)-20,_xlpm.c))*100)</f>
      </c>
      <c r="G17" s="44" cm="1">
        <f t="array" aca="1" ref="G17" ca="1">_xlfn.LET(_xlpm.h,FWM_HC,_xlpm.c,_xlfn.XMATCH($A17,_xlfn.TAKE(_xlpm.h,1)),(B17-_xlfn.XLOOKUP(FWM_Cmp,_xlfn.DROP(INDEX(_xlpm.h,,1),1),_xlfn.DROP(INDEX(_xlpm.h,,_xlpm.c),1),"",-1))*100)</f>
      </c>
      <c r="H17" s="11" cm="1">
        <f t="array" aca="1" ref="H17" ca="1">_xlfn.LET(_xlpm.h,FWM_HC,FWM_Sigma(_xlfn.DROP(INDEX(_xlpm.h,,_xlfn.XMATCH($A17&amp;" dF",_xlfn.TAKE(_xlpm.h,1))),1)))</f>
      </c>
      <c r="I17" s="45">
        <f t="shared" ca="1" si="1"/>
      </c>
      <c r="J17" s="45">
        <f t="shared" ca="1" si="2"/>
      </c>
      <c r="K17" s="44">
        <f t="shared" ca="1" si="3"/>
      </c>
      <c r="AA17">
        <f ca="1"/>
      </c>
      <c r="AB17">
        <f ca="1"/>
      </c>
      <c r="AC17">
        <f ca="1"/>
      </c>
      <c r="AD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L17" t="s">
        <v>41</v>
      </c>
      <c r="AM17">
        <v>1</v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C17">
        <f>VALUE(_xlfn.TEXTBEFORE($A$25,"y"))</f>
      </c>
      <c r="GD17">
        <f ca="1">$B$25</f>
      </c>
      <c r="GE17">
        <f ca="1">IFERROR($B$25-$G$25/100,NA())</f>
      </c>
      <c r="GF17">
        <f ca="1">$G$25</f>
      </c>
      <c r="GM17" s="7">
        <f ca="1"/>
      </c>
      <c r="GN17">
        <f ca="1"/>
      </c>
      <c r="GO17">
        <f ca="1"/>
      </c>
      <c r="GP17">
        <f ca="1"/>
      </c>
      <c r="GQ17">
        <f ca="1"/>
      </c>
      <c r="GT17">
        <f ca="1"/>
      </c>
    </row>
    <row r="18" spans="1:202" x14ac:dyDescent="0.55000000000000004">
      <c r="A18" t="s">
        <v>288</v>
      </c>
      <c r="B18" s="13" cm="1">
        <f t="array" aca="1" ref="B18" ca="1">_xlfn.XLOOKUP($A18,_xlfn.ANCHORARRAY($GS$4),_xlfn.ANCHORARRAY($GT$4),"")</f>
      </c>
      <c r="C18" s="13" cm="1">
        <f t="array" aca="1" ref="C18" ca="1">_xlfn.LET(_xlpm.h,FWM_HC,_xlpm.c,_xlfn.XMATCH($A18,_xlfn.TAKE(_xlpm.h,1)),INDEX(_xlpm.h,ROWS(_xlpm.h),_xlpm.c))</f>
      </c>
      <c r="D18" s="44">
        <f t="shared" ca="1" si="0"/>
      </c>
      <c r="E18" s="44" cm="1">
        <f t="array" aca="1" ref="E18" ca="1">_xlfn.LET(_xlpm.h,FWM_HC,_xlpm.c,_xlfn.XMATCH($A18,_xlfn.TAKE(_xlpm.h,1)),(B18-INDEX(_xlpm.h,ROWS(_xlpm.h)-4,_xlpm.c))*100)</f>
      </c>
      <c r="F18" s="44" cm="1">
        <f t="array" aca="1" ref="F18" ca="1">_xlfn.LET(_xlpm.h,FWM_HC,_xlpm.c,_xlfn.XMATCH($A18,_xlfn.TAKE(_xlpm.h,1)),(B18-INDEX(_xlpm.h,ROWS(_xlpm.h)-20,_xlpm.c))*100)</f>
      </c>
      <c r="G18" s="44" cm="1">
        <f t="array" aca="1" ref="G18" ca="1">_xlfn.LET(_xlpm.h,FWM_HC,_xlpm.c,_xlfn.XMATCH($A18,_xlfn.TAKE(_xlpm.h,1)),(B18-_xlfn.XLOOKUP(FWM_Cmp,_xlfn.DROP(INDEX(_xlpm.h,,1),1),_xlfn.DROP(INDEX(_xlpm.h,,_xlpm.c),1),"",-1))*100)</f>
      </c>
      <c r="H18" s="11" cm="1">
        <f t="array" aca="1" ref="H18" ca="1">_xlfn.LET(_xlpm.h,FWM_HC,FWM_Sigma(_xlfn.DROP(INDEX(_xlpm.h,,_xlfn.XMATCH($A18&amp;" dF",_xlfn.TAKE(_xlpm.h,1))),1)))</f>
      </c>
      <c r="I18" s="45">
        <f t="shared" ca="1" si="1"/>
      </c>
      <c r="J18" s="45">
        <f t="shared" ca="1" si="2"/>
      </c>
      <c r="K18" s="44">
        <f t="shared" ca="1" si="3"/>
      </c>
      <c r="AA18">
        <f ca="1"/>
      </c>
      <c r="AB18">
        <f ca="1"/>
      </c>
      <c r="AC18">
        <f ca="1"/>
      </c>
      <c r="AD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L18" t="s">
        <v>13</v>
      </c>
      <c r="AM18">
        <v>1</v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C18">
        <f>VALUE(_xlfn.TEXTBEFORE($A$26,"y"))</f>
      </c>
      <c r="GD18">
        <f ca="1">$B$26</f>
      </c>
      <c r="GE18">
        <f ca="1">IFERROR($B$26-$G$26/100,NA())</f>
      </c>
      <c r="GF18">
        <f ca="1">$G$26</f>
      </c>
      <c r="GM18" s="7">
        <f ca="1"/>
      </c>
      <c r="GN18">
        <f ca="1"/>
      </c>
      <c r="GO18">
        <f ca="1"/>
      </c>
      <c r="GP18">
        <f ca="1"/>
      </c>
      <c r="GQ18">
        <f ca="1"/>
      </c>
      <c r="GT18">
        <f ca="1"/>
      </c>
    </row>
    <row r="19" spans="1:202" x14ac:dyDescent="0.55000000000000004">
      <c r="A19" t="s">
        <v>289</v>
      </c>
      <c r="B19" s="13" cm="1">
        <f t="array" aca="1" ref="B19" ca="1">_xlfn.XLOOKUP($A19,_xlfn.ANCHORARRAY($GS$4),_xlfn.ANCHORARRAY($GT$4),"")</f>
      </c>
      <c r="C19" s="13" cm="1">
        <f t="array" aca="1" ref="C19" ca="1">_xlfn.LET(_xlpm.h,FWM_HC,_xlpm.c,_xlfn.XMATCH($A19,_xlfn.TAKE(_xlpm.h,1)),INDEX(_xlpm.h,ROWS(_xlpm.h),_xlpm.c))</f>
      </c>
      <c r="D19" s="44">
        <f t="shared" ca="1" si="0"/>
      </c>
      <c r="E19" s="44" cm="1">
        <f t="array" aca="1" ref="E19" ca="1">_xlfn.LET(_xlpm.h,FWM_HC,_xlpm.c,_xlfn.XMATCH($A19,_xlfn.TAKE(_xlpm.h,1)),(B19-INDEX(_xlpm.h,ROWS(_xlpm.h)-4,_xlpm.c))*100)</f>
      </c>
      <c r="F19" s="44" cm="1">
        <f t="array" aca="1" ref="F19" ca="1">_xlfn.LET(_xlpm.h,FWM_HC,_xlpm.c,_xlfn.XMATCH($A19,_xlfn.TAKE(_xlpm.h,1)),(B19-INDEX(_xlpm.h,ROWS(_xlpm.h)-20,_xlpm.c))*100)</f>
      </c>
      <c r="G19" s="44" cm="1">
        <f t="array" aca="1" ref="G19" ca="1">_xlfn.LET(_xlpm.h,FWM_HC,_xlpm.c,_xlfn.XMATCH($A19,_xlfn.TAKE(_xlpm.h,1)),(B19-_xlfn.XLOOKUP(FWM_Cmp,_xlfn.DROP(INDEX(_xlpm.h,,1),1),_xlfn.DROP(INDEX(_xlpm.h,,_xlpm.c),1),"",-1))*100)</f>
      </c>
      <c r="H19" s="11" cm="1">
        <f t="array" aca="1" ref="H19" ca="1">_xlfn.LET(_xlpm.h,FWM_HC,FWM_Sigma(_xlfn.DROP(INDEX(_xlpm.h,,_xlfn.XMATCH($A19&amp;" dF",_xlfn.TAKE(_xlpm.h,1))),1)))</f>
      </c>
      <c r="I19" s="45">
        <f t="shared" ca="1" si="1"/>
      </c>
      <c r="J19" s="45">
        <f t="shared" ca="1" si="2"/>
      </c>
      <c r="K19" s="44">
        <f t="shared" ca="1" si="3"/>
      </c>
      <c r="AA19">
        <f ca="1"/>
      </c>
      <c r="AB19">
        <f ca="1"/>
      </c>
      <c r="AC19">
        <f ca="1"/>
      </c>
      <c r="AD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L19" t="s">
        <v>14</v>
      </c>
      <c r="AM19">
        <v>1</v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C19">
        <f>VALUE(_xlfn.TEXTBEFORE($A$27,"y"))</f>
      </c>
      <c r="GD19">
        <f ca="1">$B$27</f>
      </c>
      <c r="GE19">
        <f ca="1">IFERROR($B$27-$G$27/100,NA())</f>
      </c>
      <c r="GF19">
        <f ca="1">$G$27</f>
      </c>
      <c r="GM19" s="7">
        <f ca="1"/>
      </c>
      <c r="GN19">
        <f ca="1"/>
      </c>
      <c r="GO19">
        <f ca="1"/>
      </c>
      <c r="GP19">
        <f ca="1"/>
      </c>
      <c r="GQ19">
        <f ca="1"/>
      </c>
      <c r="GT19">
        <f ca="1"/>
      </c>
    </row>
    <row r="20" spans="1:202" x14ac:dyDescent="0.55000000000000004">
      <c r="A20" t="s">
        <v>290</v>
      </c>
      <c r="B20" s="13" cm="1">
        <f t="array" aca="1" ref="B20" ca="1">_xlfn.XLOOKUP($A20,_xlfn.ANCHORARRAY($GS$4),_xlfn.ANCHORARRAY($GT$4),"")</f>
      </c>
      <c r="C20" s="13" cm="1">
        <f t="array" aca="1" ref="C20" ca="1">_xlfn.LET(_xlpm.h,FWM_HC,_xlpm.c,_xlfn.XMATCH($A20,_xlfn.TAKE(_xlpm.h,1)),INDEX(_xlpm.h,ROWS(_xlpm.h),_xlpm.c))</f>
      </c>
      <c r="D20" s="44">
        <f t="shared" ca="1" si="0"/>
      </c>
      <c r="E20" s="44" cm="1">
        <f t="array" aca="1" ref="E20" ca="1">_xlfn.LET(_xlpm.h,FWM_HC,_xlpm.c,_xlfn.XMATCH($A20,_xlfn.TAKE(_xlpm.h,1)),(B20-INDEX(_xlpm.h,ROWS(_xlpm.h)-4,_xlpm.c))*100)</f>
      </c>
      <c r="F20" s="44" cm="1">
        <f t="array" aca="1" ref="F20" ca="1">_xlfn.LET(_xlpm.h,FWM_HC,_xlpm.c,_xlfn.XMATCH($A20,_xlfn.TAKE(_xlpm.h,1)),(B20-INDEX(_xlpm.h,ROWS(_xlpm.h)-20,_xlpm.c))*100)</f>
      </c>
      <c r="G20" s="44" cm="1">
        <f t="array" aca="1" ref="G20" ca="1">_xlfn.LET(_xlpm.h,FWM_HC,_xlpm.c,_xlfn.XMATCH($A20,_xlfn.TAKE(_xlpm.h,1)),(B20-_xlfn.XLOOKUP(FWM_Cmp,_xlfn.DROP(INDEX(_xlpm.h,,1),1),_xlfn.DROP(INDEX(_xlpm.h,,_xlpm.c),1),"",-1))*100)</f>
      </c>
      <c r="H20" s="11" cm="1">
        <f t="array" aca="1" ref="H20" ca="1">_xlfn.LET(_xlpm.h,FWM_HC,FWM_Sigma(_xlfn.DROP(INDEX(_xlpm.h,,_xlfn.XMATCH($A20&amp;" dF",_xlfn.TAKE(_xlpm.h,1))),1)))</f>
      </c>
      <c r="I20" s="45">
        <f t="shared" ca="1" si="1"/>
      </c>
      <c r="J20" s="45">
        <f t="shared" ca="1" si="2"/>
      </c>
      <c r="K20" s="44">
        <f t="shared" ca="1" si="3"/>
      </c>
      <c r="AA20">
        <f ca="1"/>
      </c>
      <c r="AB20">
        <f ca="1"/>
      </c>
      <c r="AC20">
        <f ca="1"/>
      </c>
      <c r="AD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L20" t="s">
        <v>15</v>
      </c>
      <c r="AM20">
        <v>1</v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M20" s="7">
        <f ca="1"/>
      </c>
      <c r="GN20">
        <f ca="1"/>
      </c>
      <c r="GO20">
        <f ca="1"/>
      </c>
      <c r="GP20">
        <f ca="1"/>
      </c>
      <c r="GQ20">
        <f ca="1"/>
      </c>
      <c r="GT20">
        <f ca="1"/>
      </c>
    </row>
    <row r="21" spans="1:202" x14ac:dyDescent="0.55000000000000004">
      <c r="A21" t="s">
        <v>291</v>
      </c>
      <c r="B21" s="13" cm="1">
        <f t="array" aca="1" ref="B21" ca="1">_xlfn.XLOOKUP($A21,_xlfn.ANCHORARRAY($GS$4),_xlfn.ANCHORARRAY($GT$4),"")</f>
      </c>
      <c r="C21" s="13" cm="1">
        <f t="array" aca="1" ref="C21" ca="1">_xlfn.LET(_xlpm.h,FWM_HC,_xlpm.c,_xlfn.XMATCH($A21,_xlfn.TAKE(_xlpm.h,1)),INDEX(_xlpm.h,ROWS(_xlpm.h),_xlpm.c))</f>
      </c>
      <c r="D21" s="44">
        <f t="shared" ca="1" si="0"/>
      </c>
      <c r="E21" s="44" cm="1">
        <f t="array" aca="1" ref="E21" ca="1">_xlfn.LET(_xlpm.h,FWM_HC,_xlpm.c,_xlfn.XMATCH($A21,_xlfn.TAKE(_xlpm.h,1)),(B21-INDEX(_xlpm.h,ROWS(_xlpm.h)-4,_xlpm.c))*100)</f>
      </c>
      <c r="F21" s="44" cm="1">
        <f t="array" aca="1" ref="F21" ca="1">_xlfn.LET(_xlpm.h,FWM_HC,_xlpm.c,_xlfn.XMATCH($A21,_xlfn.TAKE(_xlpm.h,1)),(B21-INDEX(_xlpm.h,ROWS(_xlpm.h)-20,_xlpm.c))*100)</f>
      </c>
      <c r="G21" s="44" cm="1">
        <f t="array" aca="1" ref="G21" ca="1">_xlfn.LET(_xlpm.h,FWM_HC,_xlpm.c,_xlfn.XMATCH($A21,_xlfn.TAKE(_xlpm.h,1)),(B21-_xlfn.XLOOKUP(FWM_Cmp,_xlfn.DROP(INDEX(_xlpm.h,,1),1),_xlfn.DROP(INDEX(_xlpm.h,,_xlpm.c),1),"",-1))*100)</f>
      </c>
      <c r="H21" s="11" cm="1">
        <f t="array" aca="1" ref="H21" ca="1">_xlfn.LET(_xlpm.h,FWM_HC,FWM_Sigma(_xlfn.DROP(INDEX(_xlpm.h,,_xlfn.XMATCH($A21&amp;" dF",_xlfn.TAKE(_xlpm.h,1))),1)))</f>
      </c>
      <c r="I21" s="45">
        <f t="shared" ca="1" si="1"/>
      </c>
      <c r="J21" s="45">
        <f t="shared" ca="1" si="2"/>
      </c>
      <c r="K21" s="44">
        <f t="shared" ca="1" si="3"/>
      </c>
      <c r="AA21">
        <f ca="1"/>
      </c>
      <c r="AB21">
        <f ca="1"/>
      </c>
      <c r="AC21">
        <f ca="1"/>
      </c>
      <c r="AD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L21" t="s">
        <v>16</v>
      </c>
      <c r="AM21">
        <v>1</v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M21" s="7">
        <f ca="1"/>
      </c>
      <c r="GN21">
        <f ca="1"/>
      </c>
      <c r="GO21">
        <f ca="1"/>
      </c>
      <c r="GP21">
        <f ca="1"/>
      </c>
      <c r="GQ21">
        <f ca="1"/>
      </c>
      <c r="GT21">
        <f ca="1"/>
      </c>
    </row>
    <row r="22" spans="1:202" x14ac:dyDescent="0.55000000000000004">
      <c r="A22" t="s">
        <v>292</v>
      </c>
      <c r="B22" s="13" cm="1">
        <f t="array" aca="1" ref="B22" ca="1">_xlfn.XLOOKUP($A22,_xlfn.ANCHORARRAY($GS$4),_xlfn.ANCHORARRAY($GT$4),"")</f>
      </c>
      <c r="C22" s="13" cm="1">
        <f t="array" aca="1" ref="C22" ca="1">_xlfn.LET(_xlpm.h,FWM_HC,_xlpm.c,_xlfn.XMATCH($A22,_xlfn.TAKE(_xlpm.h,1)),INDEX(_xlpm.h,ROWS(_xlpm.h),_xlpm.c))</f>
      </c>
      <c r="D22" s="44">
        <f t="shared" ca="1" si="0"/>
      </c>
      <c r="E22" s="44" cm="1">
        <f t="array" aca="1" ref="E22" ca="1">_xlfn.LET(_xlpm.h,FWM_HC,_xlpm.c,_xlfn.XMATCH($A22,_xlfn.TAKE(_xlpm.h,1)),(B22-INDEX(_xlpm.h,ROWS(_xlpm.h)-4,_xlpm.c))*100)</f>
      </c>
      <c r="F22" s="44" cm="1">
        <f t="array" aca="1" ref="F22" ca="1">_xlfn.LET(_xlpm.h,FWM_HC,_xlpm.c,_xlfn.XMATCH($A22,_xlfn.TAKE(_xlpm.h,1)),(B22-INDEX(_xlpm.h,ROWS(_xlpm.h)-20,_xlpm.c))*100)</f>
      </c>
      <c r="G22" s="44" cm="1">
        <f t="array" aca="1" ref="G22" ca="1">_xlfn.LET(_xlpm.h,FWM_HC,_xlpm.c,_xlfn.XMATCH($A22,_xlfn.TAKE(_xlpm.h,1)),(B22-_xlfn.XLOOKUP(FWM_Cmp,_xlfn.DROP(INDEX(_xlpm.h,,1),1),_xlfn.DROP(INDEX(_xlpm.h,,_xlpm.c),1),"",-1))*100)</f>
      </c>
      <c r="H22" s="11" cm="1">
        <f t="array" aca="1" ref="H22" ca="1">_xlfn.LET(_xlpm.h,FWM_HC,FWM_Sigma(_xlfn.DROP(INDEX(_xlpm.h,,_xlfn.XMATCH($A22&amp;" dF",_xlfn.TAKE(_xlpm.h,1))),1)))</f>
      </c>
      <c r="I22" s="45">
        <f t="shared" ca="1" si="1"/>
      </c>
      <c r="J22" s="45">
        <f t="shared" ca="1" si="2"/>
      </c>
      <c r="K22" s="44">
        <f t="shared" ca="1" si="3"/>
      </c>
      <c r="AA22">
        <f ca="1"/>
      </c>
      <c r="AB22">
        <f ca="1"/>
      </c>
      <c r="AC22">
        <f ca="1"/>
      </c>
      <c r="AD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L22" t="s">
        <v>17</v>
      </c>
      <c r="AM22">
        <v>1</v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M22" s="7">
        <f ca="1"/>
      </c>
      <c r="GN22">
        <f ca="1"/>
      </c>
      <c r="GO22">
        <f ca="1"/>
      </c>
      <c r="GP22">
        <f ca="1"/>
      </c>
      <c r="GQ22">
        <f ca="1"/>
      </c>
      <c r="GT22">
        <f ca="1"/>
      </c>
    </row>
    <row r="23" spans="1:202" x14ac:dyDescent="0.55000000000000004">
      <c r="A23" t="s">
        <v>293</v>
      </c>
      <c r="B23" s="13" cm="1">
        <f t="array" aca="1" ref="B23" ca="1">_xlfn.XLOOKUP($A23,_xlfn.ANCHORARRAY($GS$4),_xlfn.ANCHORARRAY($GT$4),"")</f>
      </c>
      <c r="C23" s="13" cm="1">
        <f t="array" aca="1" ref="C23" ca="1">_xlfn.LET(_xlpm.h,FWM_HC,_xlpm.c,_xlfn.XMATCH($A23,_xlfn.TAKE(_xlpm.h,1)),INDEX(_xlpm.h,ROWS(_xlpm.h),_xlpm.c))</f>
      </c>
      <c r="D23" s="44">
        <f t="shared" ca="1" si="0"/>
      </c>
      <c r="E23" s="44" cm="1">
        <f t="array" aca="1" ref="E23" ca="1">_xlfn.LET(_xlpm.h,FWM_HC,_xlpm.c,_xlfn.XMATCH($A23,_xlfn.TAKE(_xlpm.h,1)),(B23-INDEX(_xlpm.h,ROWS(_xlpm.h)-4,_xlpm.c))*100)</f>
      </c>
      <c r="F23" s="44" cm="1">
        <f t="array" aca="1" ref="F23" ca="1">_xlfn.LET(_xlpm.h,FWM_HC,_xlpm.c,_xlfn.XMATCH($A23,_xlfn.TAKE(_xlpm.h,1)),(B23-INDEX(_xlpm.h,ROWS(_xlpm.h)-20,_xlpm.c))*100)</f>
      </c>
      <c r="G23" s="44" cm="1">
        <f t="array" aca="1" ref="G23" ca="1">_xlfn.LET(_xlpm.h,FWM_HC,_xlpm.c,_xlfn.XMATCH($A23,_xlfn.TAKE(_xlpm.h,1)),(B23-_xlfn.XLOOKUP(FWM_Cmp,_xlfn.DROP(INDEX(_xlpm.h,,1),1),_xlfn.DROP(INDEX(_xlpm.h,,_xlpm.c),1),"",-1))*100)</f>
      </c>
      <c r="H23" s="11" cm="1">
        <f t="array" aca="1" ref="H23" ca="1">_xlfn.LET(_xlpm.h,FWM_HC,FWM_Sigma(_xlfn.DROP(INDEX(_xlpm.h,,_xlfn.XMATCH($A23&amp;" dF",_xlfn.TAKE(_xlpm.h,1))),1)))</f>
      </c>
      <c r="I23" s="45">
        <f t="shared" ca="1" si="1"/>
      </c>
      <c r="J23" s="45">
        <f t="shared" ca="1" si="2"/>
      </c>
      <c r="K23" s="44">
        <f t="shared" ca="1" si="3"/>
      </c>
      <c r="AA23">
        <f ca="1"/>
      </c>
      <c r="AB23">
        <f ca="1"/>
      </c>
      <c r="AC23">
        <f ca="1"/>
      </c>
      <c r="AD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L23" t="s">
        <v>18</v>
      </c>
      <c r="AM23">
        <v>1</v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M23" s="7">
        <f ca="1"/>
      </c>
      <c r="GN23">
        <f ca="1"/>
      </c>
      <c r="GO23">
        <f ca="1"/>
      </c>
      <c r="GP23">
        <f ca="1"/>
      </c>
      <c r="GQ23">
        <f ca="1"/>
      </c>
      <c r="GT23">
        <f ca="1"/>
      </c>
    </row>
    <row r="24" spans="1:202" x14ac:dyDescent="0.55000000000000004">
      <c r="A24" t="s">
        <v>294</v>
      </c>
      <c r="B24" s="13" cm="1">
        <f t="array" aca="1" ref="B24" ca="1">_xlfn.XLOOKUP($A24,_xlfn.ANCHORARRAY($GS$4),_xlfn.ANCHORARRAY($GT$4),"")</f>
      </c>
      <c r="C24" s="13" cm="1">
        <f t="array" aca="1" ref="C24" ca="1">_xlfn.LET(_xlpm.h,FWM_HC,_xlpm.c,_xlfn.XMATCH($A24,_xlfn.TAKE(_xlpm.h,1)),INDEX(_xlpm.h,ROWS(_xlpm.h),_xlpm.c))</f>
      </c>
      <c r="D24" s="44">
        <f t="shared" ca="1" si="0"/>
      </c>
      <c r="E24" s="44" cm="1">
        <f t="array" aca="1" ref="E24" ca="1">_xlfn.LET(_xlpm.h,FWM_HC,_xlpm.c,_xlfn.XMATCH($A24,_xlfn.TAKE(_xlpm.h,1)),(B24-INDEX(_xlpm.h,ROWS(_xlpm.h)-4,_xlpm.c))*100)</f>
      </c>
      <c r="F24" s="44" cm="1">
        <f t="array" aca="1" ref="F24" ca="1">_xlfn.LET(_xlpm.h,FWM_HC,_xlpm.c,_xlfn.XMATCH($A24,_xlfn.TAKE(_xlpm.h,1)),(B24-INDEX(_xlpm.h,ROWS(_xlpm.h)-20,_xlpm.c))*100)</f>
      </c>
      <c r="G24" s="44" cm="1">
        <f t="array" aca="1" ref="G24" ca="1">_xlfn.LET(_xlpm.h,FWM_HC,_xlpm.c,_xlfn.XMATCH($A24,_xlfn.TAKE(_xlpm.h,1)),(B24-_xlfn.XLOOKUP(FWM_Cmp,_xlfn.DROP(INDEX(_xlpm.h,,1),1),_xlfn.DROP(INDEX(_xlpm.h,,_xlpm.c),1),"",-1))*100)</f>
      </c>
      <c r="H24" s="11" cm="1">
        <f t="array" aca="1" ref="H24" ca="1">_xlfn.LET(_xlpm.h,FWM_HC,FWM_Sigma(_xlfn.DROP(INDEX(_xlpm.h,,_xlfn.XMATCH($A24&amp;" dF",_xlfn.TAKE(_xlpm.h,1))),1)))</f>
      </c>
      <c r="I24" s="45">
        <f t="shared" ca="1" si="1"/>
      </c>
      <c r="J24" s="45">
        <f t="shared" ca="1" si="2"/>
      </c>
      <c r="K24" s="44">
        <f t="shared" ca="1" si="3"/>
      </c>
      <c r="AA24">
        <f ca="1"/>
      </c>
      <c r="AB24">
        <f ca="1"/>
      </c>
      <c r="AC24">
        <f ca="1"/>
      </c>
      <c r="AD24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L24" t="s">
        <v>19</v>
      </c>
      <c r="AM24">
        <v>1</v>
      </c>
      <c r="AO24">
        <f ca="1"/>
      </c>
      <c r="AP24">
        <f ca="1"/>
      </c>
      <c r="AQ24">
        <f ca="1"/>
      </c>
      <c r="AR24">
        <f ca="1"/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M24" s="7">
        <f ca="1"/>
      </c>
      <c r="GN24">
        <f ca="1"/>
      </c>
      <c r="GO24">
        <f ca="1"/>
      </c>
      <c r="GP24">
        <f ca="1"/>
      </c>
      <c r="GQ24">
        <f ca="1"/>
      </c>
      <c r="GT24">
        <f ca="1"/>
      </c>
    </row>
    <row r="25" spans="1:202" x14ac:dyDescent="0.55000000000000004">
      <c r="A25" t="s">
        <v>295</v>
      </c>
      <c r="B25" s="13" cm="1">
        <f t="array" aca="1" ref="B25" ca="1">_xlfn.XLOOKUP($A25,_xlfn.ANCHORARRAY($GS$4),_xlfn.ANCHORARRAY($GT$4),"")</f>
      </c>
      <c r="C25" s="13" cm="1">
        <f t="array" aca="1" ref="C25" ca="1">_xlfn.LET(_xlpm.h,FWM_HC,_xlpm.c,_xlfn.XMATCH($A25,_xlfn.TAKE(_xlpm.h,1)),INDEX(_xlpm.h,ROWS(_xlpm.h),_xlpm.c))</f>
      </c>
      <c r="D25" s="44">
        <f t="shared" ca="1" si="0"/>
      </c>
      <c r="E25" s="44" cm="1">
        <f t="array" aca="1" ref="E25" ca="1">_xlfn.LET(_xlpm.h,FWM_HC,_xlpm.c,_xlfn.XMATCH($A25,_xlfn.TAKE(_xlpm.h,1)),(B25-INDEX(_xlpm.h,ROWS(_xlpm.h)-4,_xlpm.c))*100)</f>
      </c>
      <c r="F25" s="44" cm="1">
        <f t="array" aca="1" ref="F25" ca="1">_xlfn.LET(_xlpm.h,FWM_HC,_xlpm.c,_xlfn.XMATCH($A25,_xlfn.TAKE(_xlpm.h,1)),(B25-INDEX(_xlpm.h,ROWS(_xlpm.h)-20,_xlpm.c))*100)</f>
      </c>
      <c r="G25" s="44" cm="1">
        <f t="array" aca="1" ref="G25" ca="1">_xlfn.LET(_xlpm.h,FWM_HC,_xlpm.c,_xlfn.XMATCH($A25,_xlfn.TAKE(_xlpm.h,1)),(B25-_xlfn.XLOOKUP(FWM_Cmp,_xlfn.DROP(INDEX(_xlpm.h,,1),1),_xlfn.DROP(INDEX(_xlpm.h,,_xlpm.c),1),"",-1))*100)</f>
      </c>
      <c r="H25" s="11" cm="1">
        <f t="array" aca="1" ref="H25" ca="1">_xlfn.LET(_xlpm.h,FWM_HC,FWM_Sigma(_xlfn.DROP(INDEX(_xlpm.h,,_xlfn.XMATCH($A25&amp;" dF",_xlfn.TAKE(_xlpm.h,1))),1)))</f>
      </c>
      <c r="I25" s="45">
        <f t="shared" ca="1" si="1"/>
      </c>
      <c r="J25" s="45">
        <f t="shared" ca="1" si="2"/>
      </c>
      <c r="K25" s="44">
        <f t="shared" ca="1" si="3"/>
      </c>
      <c r="AA25">
        <f ca="1"/>
      </c>
      <c r="AB25">
        <f ca="1"/>
      </c>
      <c r="AC25">
        <f ca="1"/>
      </c>
      <c r="AD25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L25" t="s">
        <v>20</v>
      </c>
      <c r="AM25">
        <v>1</v>
      </c>
      <c r="AO25">
        <f ca="1"/>
      </c>
      <c r="AP25">
        <f ca="1"/>
      </c>
      <c r="AQ25">
        <f ca="1"/>
      </c>
      <c r="AR25">
        <f ca="1"/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M25" s="7">
        <f ca="1"/>
      </c>
      <c r="GN25">
        <f ca="1"/>
      </c>
      <c r="GO25">
        <f ca="1"/>
      </c>
      <c r="GP25">
        <f ca="1"/>
      </c>
      <c r="GQ25">
        <f ca="1"/>
      </c>
      <c r="GT25">
        <f ca="1"/>
      </c>
    </row>
    <row r="26" spans="1:202" x14ac:dyDescent="0.55000000000000004">
      <c r="A26" t="s">
        <v>296</v>
      </c>
      <c r="B26" s="13" cm="1">
        <f t="array" aca="1" ref="B26" ca="1">_xlfn.XLOOKUP($A26,_xlfn.ANCHORARRAY($GS$4),_xlfn.ANCHORARRAY($GT$4),"")</f>
      </c>
      <c r="C26" s="13" cm="1">
        <f t="array" aca="1" ref="C26" ca="1">_xlfn.LET(_xlpm.h,FWM_HC,_xlpm.c,_xlfn.XMATCH($A26,_xlfn.TAKE(_xlpm.h,1)),INDEX(_xlpm.h,ROWS(_xlpm.h),_xlpm.c))</f>
      </c>
      <c r="D26" s="44">
        <f t="shared" ca="1" si="0"/>
      </c>
      <c r="E26" s="44" cm="1">
        <f t="array" aca="1" ref="E26" ca="1">_xlfn.LET(_xlpm.h,FWM_HC,_xlpm.c,_xlfn.XMATCH($A26,_xlfn.TAKE(_xlpm.h,1)),(B26-INDEX(_xlpm.h,ROWS(_xlpm.h)-4,_xlpm.c))*100)</f>
      </c>
      <c r="F26" s="44" cm="1">
        <f t="array" aca="1" ref="F26" ca="1">_xlfn.LET(_xlpm.h,FWM_HC,_xlpm.c,_xlfn.XMATCH($A26,_xlfn.TAKE(_xlpm.h,1)),(B26-INDEX(_xlpm.h,ROWS(_xlpm.h)-20,_xlpm.c))*100)</f>
      </c>
      <c r="G26" s="44" cm="1">
        <f t="array" aca="1" ref="G26" ca="1">_xlfn.LET(_xlpm.h,FWM_HC,_xlpm.c,_xlfn.XMATCH($A26,_xlfn.TAKE(_xlpm.h,1)),(B26-_xlfn.XLOOKUP(FWM_Cmp,_xlfn.DROP(INDEX(_xlpm.h,,1),1),_xlfn.DROP(INDEX(_xlpm.h,,_xlpm.c),1),"",-1))*100)</f>
      </c>
      <c r="H26" s="11" cm="1">
        <f t="array" aca="1" ref="H26" ca="1">_xlfn.LET(_xlpm.h,FWM_HC,FWM_Sigma(_xlfn.DROP(INDEX(_xlpm.h,,_xlfn.XMATCH($A26&amp;" dF",_xlfn.TAKE(_xlpm.h,1))),1)))</f>
      </c>
      <c r="I26" s="45">
        <f t="shared" ca="1" si="1"/>
      </c>
      <c r="J26" s="45">
        <f t="shared" ca="1" si="2"/>
      </c>
      <c r="K26" s="44">
        <f t="shared" ca="1" si="3"/>
      </c>
      <c r="AA26">
        <f ca="1"/>
      </c>
      <c r="AB26">
        <f ca="1"/>
      </c>
      <c r="AC26">
        <f ca="1"/>
      </c>
      <c r="AD26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L26" t="s">
        <v>21</v>
      </c>
      <c r="AM26">
        <v>1</v>
      </c>
      <c r="AO26">
        <f ca="1"/>
      </c>
      <c r="AP26">
        <f ca="1"/>
      </c>
      <c r="AQ26">
        <f ca="1"/>
      </c>
      <c r="AR26">
        <f ca="1"/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M26" s="7">
        <f ca="1"/>
      </c>
      <c r="GN26">
        <f ca="1"/>
      </c>
      <c r="GO26">
        <f ca="1"/>
      </c>
      <c r="GP26">
        <f ca="1"/>
      </c>
      <c r="GQ26">
        <f ca="1"/>
      </c>
      <c r="GT26">
        <f ca="1"/>
      </c>
    </row>
    <row r="27" spans="1:202" x14ac:dyDescent="0.55000000000000004">
      <c r="A27" t="s">
        <v>297</v>
      </c>
      <c r="B27" s="13" cm="1">
        <f t="array" aca="1" ref="B27" ca="1">_xlfn.XLOOKUP($A27,_xlfn.ANCHORARRAY($GS$4),_xlfn.ANCHORARRAY($GT$4),"")</f>
      </c>
      <c r="C27" s="13" cm="1">
        <f t="array" aca="1" ref="C27" ca="1">_xlfn.LET(_xlpm.h,FWM_HC,_xlpm.c,_xlfn.XMATCH($A27,_xlfn.TAKE(_xlpm.h,1)),INDEX(_xlpm.h,ROWS(_xlpm.h),_xlpm.c))</f>
      </c>
      <c r="D27" s="44">
        <f t="shared" ca="1" si="0"/>
      </c>
      <c r="E27" s="44" cm="1">
        <f t="array" aca="1" ref="E27" ca="1">_xlfn.LET(_xlpm.h,FWM_HC,_xlpm.c,_xlfn.XMATCH($A27,_xlfn.TAKE(_xlpm.h,1)),(B27-INDEX(_xlpm.h,ROWS(_xlpm.h)-4,_xlpm.c))*100)</f>
      </c>
      <c r="F27" s="44" cm="1">
        <f t="array" aca="1" ref="F27" ca="1">_xlfn.LET(_xlpm.h,FWM_HC,_xlpm.c,_xlfn.XMATCH($A27,_xlfn.TAKE(_xlpm.h,1)),(B27-INDEX(_xlpm.h,ROWS(_xlpm.h)-20,_xlpm.c))*100)</f>
      </c>
      <c r="G27" s="44" cm="1">
        <f t="array" aca="1" ref="G27" ca="1">_xlfn.LET(_xlpm.h,FWM_HC,_xlpm.c,_xlfn.XMATCH($A27,_xlfn.TAKE(_xlpm.h,1)),(B27-_xlfn.XLOOKUP(FWM_Cmp,_xlfn.DROP(INDEX(_xlpm.h,,1),1),_xlfn.DROP(INDEX(_xlpm.h,,_xlpm.c),1),"",-1))*100)</f>
      </c>
      <c r="H27" s="11" cm="1">
        <f t="array" aca="1" ref="H27" ca="1">_xlfn.LET(_xlpm.h,FWM_HC,FWM_Sigma(_xlfn.DROP(INDEX(_xlpm.h,,_xlfn.XMATCH($A27&amp;" dF",_xlfn.TAKE(_xlpm.h,1))),1)))</f>
      </c>
      <c r="I27" s="45">
        <f t="shared" ca="1" si="1"/>
      </c>
      <c r="J27" s="45">
        <f t="shared" ca="1" si="2"/>
      </c>
      <c r="K27" s="44">
        <f t="shared" ca="1" si="3"/>
      </c>
      <c r="AA27">
        <f ca="1"/>
      </c>
      <c r="AB27">
        <f ca="1"/>
      </c>
      <c r="AC27">
        <f ca="1"/>
      </c>
      <c r="AD2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L27" t="s">
        <v>22</v>
      </c>
      <c r="AM27">
        <v>1</v>
      </c>
      <c r="AO27">
        <f ca="1"/>
      </c>
      <c r="AP27">
        <f ca="1"/>
      </c>
      <c r="AQ27">
        <f ca="1"/>
      </c>
      <c r="AR27">
        <f ca="1"/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M27" s="7">
        <f ca="1"/>
      </c>
      <c r="GN27">
        <f ca="1"/>
      </c>
      <c r="GO27">
        <f ca="1"/>
      </c>
      <c r="GP27">
        <f ca="1"/>
      </c>
      <c r="GQ27">
        <f ca="1"/>
      </c>
    </row>
    <row r="28" spans="1:202" x14ac:dyDescent="0.55000000000000004">
      <c r="B28" s="13"/>
      <c r="C28" s="13"/>
      <c r="D28" s="44"/>
      <c r="E28" s="44"/>
      <c r="F28" s="44"/>
      <c r="G28" s="44"/>
      <c r="H28" s="11"/>
      <c r="I28" s="45"/>
      <c r="J28" s="45"/>
      <c r="K28" s="44"/>
      <c r="AA28">
        <f ca="1"/>
      </c>
      <c r="AB28">
        <f ca="1"/>
      </c>
      <c r="AC28">
        <f ca="1"/>
      </c>
      <c r="AD28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L28" t="s">
        <v>23</v>
      </c>
      <c r="AM28">
        <v>1</v>
      </c>
      <c r="AO28">
        <f ca="1"/>
      </c>
      <c r="AP28">
        <f ca="1"/>
      </c>
      <c r="AQ28">
        <f ca="1"/>
      </c>
      <c r="AR28">
        <f ca="1"/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M28" s="7">
        <f ca="1"/>
      </c>
      <c r="GN28">
        <f ca="1"/>
      </c>
      <c r="GO28">
        <f ca="1"/>
      </c>
      <c r="GP28">
        <f ca="1"/>
      </c>
      <c r="GQ28">
        <f ca="1"/>
      </c>
    </row>
    <row r="29" spans="1:202" x14ac:dyDescent="0.55000000000000004">
      <c r="A29" t="s">
        <v>298</v>
      </c>
      <c r="B29" s="13" cm="1">
        <f t="array" aca="1" ref="B29" ca="1">_xlfn.XLOOKUP($A29,_xlfn.ANCHORARRAY($GS$4),_xlfn.ANCHORARRAY($GT$4),"")</f>
      </c>
      <c r="C29" s="13" cm="1">
        <f t="array" aca="1" ref="C29" ca="1">_xlfn.LET(_xlpm.h,FWM_HC,_xlpm.c,_xlfn.XMATCH($A29,_xlfn.TAKE(_xlpm.h,1)),INDEX(_xlpm.h,ROWS(_xlpm.h),_xlpm.c))</f>
      </c>
      <c r="D29" s="44">
        <f t="shared" ca="1" si="0"/>
      </c>
      <c r="E29" s="44" cm="1">
        <f t="array" aca="1" ref="E29" ca="1">_xlfn.LET(_xlpm.h,FWM_HC,_xlpm.c,_xlfn.XMATCH($A29,_xlfn.TAKE(_xlpm.h,1)),(B29-INDEX(_xlpm.h,ROWS(_xlpm.h)-4,_xlpm.c))*100)</f>
      </c>
      <c r="F29" s="44" cm="1">
        <f t="array" aca="1" ref="F29" ca="1">_xlfn.LET(_xlpm.h,FWM_HC,_xlpm.c,_xlfn.XMATCH($A29,_xlfn.TAKE(_xlpm.h,1)),(B29-INDEX(_xlpm.h,ROWS(_xlpm.h)-20,_xlpm.c))*100)</f>
      </c>
      <c r="G29" s="44" cm="1">
        <f t="array" aca="1" ref="G29" ca="1">_xlfn.LET(_xlpm.h,FWM_HC,_xlpm.c,_xlfn.XMATCH($A29,_xlfn.TAKE(_xlpm.h,1)),(B29-_xlfn.XLOOKUP(FWM_Cmp,_xlfn.DROP(INDEX(_xlpm.h,,1),1),_xlfn.DROP(INDEX(_xlpm.h,,_xlpm.c),1),"",-1))*100)</f>
      </c>
      <c r="H29" s="11" cm="1">
        <f t="array" aca="1" ref="H29" ca="1">_xlfn.LET(_xlpm.h,FWM_HC,FWM_Sigma(_xlfn.DROP(INDEX(_xlpm.h,,_xlfn.XMATCH($A29&amp;" dF",_xlfn.TAKE(_xlpm.h,1))),1)))</f>
      </c>
      <c r="I29" s="45">
        <f t="shared" ca="1" si="1"/>
      </c>
      <c r="J29" s="45">
        <f t="shared" ca="1" si="2"/>
      </c>
      <c r="K29" s="44">
        <f t="shared" ref="K29:K35" si="4">IF(ISNUMBER(B28),(B29-B28)*100,"")</f>
      </c>
      <c r="AA29">
        <f ca="1"/>
      </c>
      <c r="AB29">
        <f ca="1"/>
      </c>
      <c r="AC29">
        <f ca="1"/>
      </c>
      <c r="AD29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L29" t="s">
        <v>24</v>
      </c>
      <c r="AM29">
        <v>1</v>
      </c>
      <c r="AO29">
        <f ca="1"/>
      </c>
      <c r="AP29">
        <f ca="1"/>
      </c>
      <c r="AQ29">
        <f ca="1"/>
      </c>
      <c r="AR29">
        <f ca="1"/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M29" s="7">
        <f ca="1"/>
      </c>
      <c r="GN29">
        <f ca="1"/>
      </c>
      <c r="GO29">
        <f ca="1"/>
      </c>
      <c r="GP29">
        <f ca="1"/>
      </c>
      <c r="GQ29">
        <f ca="1"/>
      </c>
    </row>
    <row r="30" spans="1:202" x14ac:dyDescent="0.55000000000000004">
      <c r="A30" t="s">
        <v>299</v>
      </c>
      <c r="B30" s="13" cm="1">
        <f t="array" aca="1" ref="B30" ca="1">_xlfn.XLOOKUP($A30,_xlfn.ANCHORARRAY($GS$4),_xlfn.ANCHORARRAY($GT$4),"")</f>
      </c>
      <c r="C30" s="13" cm="1">
        <f t="array" aca="1" ref="C30" ca="1">_xlfn.LET(_xlpm.h,FWM_HC,_xlpm.c,_xlfn.XMATCH($A30,_xlfn.TAKE(_xlpm.h,1)),INDEX(_xlpm.h,ROWS(_xlpm.h),_xlpm.c))</f>
      </c>
      <c r="D30" s="44">
        <f t="shared" ca="1" si="0"/>
      </c>
      <c r="E30" s="44" cm="1">
        <f t="array" aca="1" ref="E30" ca="1">_xlfn.LET(_xlpm.h,FWM_HC,_xlpm.c,_xlfn.XMATCH($A30,_xlfn.TAKE(_xlpm.h,1)),(B30-INDEX(_xlpm.h,ROWS(_xlpm.h)-4,_xlpm.c))*100)</f>
      </c>
      <c r="F30" s="44" cm="1">
        <f t="array" aca="1" ref="F30" ca="1">_xlfn.LET(_xlpm.h,FWM_HC,_xlpm.c,_xlfn.XMATCH($A30,_xlfn.TAKE(_xlpm.h,1)),(B30-INDEX(_xlpm.h,ROWS(_xlpm.h)-20,_xlpm.c))*100)</f>
      </c>
      <c r="G30" s="44" cm="1">
        <f t="array" aca="1" ref="G30" ca="1">_xlfn.LET(_xlpm.h,FWM_HC,_xlpm.c,_xlfn.XMATCH($A30,_xlfn.TAKE(_xlpm.h,1)),(B30-_xlfn.XLOOKUP(FWM_Cmp,_xlfn.DROP(INDEX(_xlpm.h,,1),1),_xlfn.DROP(INDEX(_xlpm.h,,_xlpm.c),1),"",-1))*100)</f>
      </c>
      <c r="H30" s="11" cm="1">
        <f t="array" aca="1" ref="H30" ca="1">_xlfn.LET(_xlpm.h,FWM_HC,FWM_Sigma(_xlfn.DROP(INDEX(_xlpm.h,,_xlfn.XMATCH($A30&amp;" dF",_xlfn.TAKE(_xlpm.h,1))),1)))</f>
      </c>
      <c r="I30" s="45">
        <f t="shared" ca="1" si="1"/>
      </c>
      <c r="J30" s="45">
        <f t="shared" ca="1" si="2"/>
      </c>
      <c r="K30" s="44">
        <f t="shared" ca="1" si="4"/>
      </c>
      <c r="AA30">
        <f ca="1"/>
      </c>
      <c r="AB30">
        <f ca="1"/>
      </c>
      <c r="AC30">
        <f ca="1"/>
      </c>
      <c r="AD30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L30" t="s">
        <v>25</v>
      </c>
      <c r="AM30">
        <v>1</v>
      </c>
      <c r="AO30">
        <f ca="1"/>
      </c>
      <c r="AP30">
        <f ca="1"/>
      </c>
      <c r="AQ30">
        <f ca="1"/>
      </c>
      <c r="AR30">
        <f ca="1"/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M30" s="7">
        <f ca="1"/>
      </c>
      <c r="GN30">
        <f ca="1"/>
      </c>
      <c r="GO30">
        <f ca="1"/>
      </c>
      <c r="GP30">
        <f ca="1"/>
      </c>
      <c r="GQ30">
        <f ca="1"/>
      </c>
    </row>
    <row r="31" spans="1:202" x14ac:dyDescent="0.55000000000000004">
      <c r="A31" t="s">
        <v>300</v>
      </c>
      <c r="B31" s="13" cm="1">
        <f t="array" aca="1" ref="B31" ca="1">_xlfn.XLOOKUP($A31,_xlfn.ANCHORARRAY($GS$4),_xlfn.ANCHORARRAY($GT$4),"")</f>
      </c>
      <c r="C31" s="13" cm="1">
        <f t="array" aca="1" ref="C31" ca="1">_xlfn.LET(_xlpm.h,FWM_HC,_xlpm.c,_xlfn.XMATCH($A31,_xlfn.TAKE(_xlpm.h,1)),INDEX(_xlpm.h,ROWS(_xlpm.h),_xlpm.c))</f>
      </c>
      <c r="D31" s="44">
        <f t="shared" ca="1" si="0"/>
      </c>
      <c r="E31" s="44" cm="1">
        <f t="array" aca="1" ref="E31" ca="1">_xlfn.LET(_xlpm.h,FWM_HC,_xlpm.c,_xlfn.XMATCH($A31,_xlfn.TAKE(_xlpm.h,1)),(B31-INDEX(_xlpm.h,ROWS(_xlpm.h)-4,_xlpm.c))*100)</f>
      </c>
      <c r="F31" s="44" cm="1">
        <f t="array" aca="1" ref="F31" ca="1">_xlfn.LET(_xlpm.h,FWM_HC,_xlpm.c,_xlfn.XMATCH($A31,_xlfn.TAKE(_xlpm.h,1)),(B31-INDEX(_xlpm.h,ROWS(_xlpm.h)-20,_xlpm.c))*100)</f>
      </c>
      <c r="G31" s="44" cm="1">
        <f t="array" aca="1" ref="G31" ca="1">_xlfn.LET(_xlpm.h,FWM_HC,_xlpm.c,_xlfn.XMATCH($A31,_xlfn.TAKE(_xlpm.h,1)),(B31-_xlfn.XLOOKUP(FWM_Cmp,_xlfn.DROP(INDEX(_xlpm.h,,1),1),_xlfn.DROP(INDEX(_xlpm.h,,_xlpm.c),1),"",-1))*100)</f>
      </c>
      <c r="H31" s="11" cm="1">
        <f t="array" aca="1" ref="H31" ca="1">_xlfn.LET(_xlpm.h,FWM_HC,FWM_Sigma(_xlfn.DROP(INDEX(_xlpm.h,,_xlfn.XMATCH($A31&amp;" dF",_xlfn.TAKE(_xlpm.h,1))),1)))</f>
      </c>
      <c r="I31" s="45">
        <f t="shared" ca="1" si="1"/>
      </c>
      <c r="J31" s="45">
        <f t="shared" ca="1" si="2"/>
      </c>
      <c r="K31" s="44">
        <f t="shared" ca="1" si="4"/>
      </c>
      <c r="AA31">
        <f ca="1"/>
      </c>
      <c r="AB31">
        <f ca="1"/>
      </c>
      <c r="AC31">
        <f ca="1"/>
      </c>
      <c r="AD31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L31" t="s">
        <v>26</v>
      </c>
      <c r="AM31">
        <v>1</v>
      </c>
      <c r="AO31">
        <f ca="1"/>
      </c>
      <c r="AP31">
        <f ca="1"/>
      </c>
      <c r="AQ31">
        <f ca="1"/>
      </c>
      <c r="AR31">
        <f ca="1"/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M31" s="7">
        <f ca="1"/>
      </c>
      <c r="GN31">
        <f ca="1"/>
      </c>
      <c r="GO31">
        <f ca="1"/>
      </c>
      <c r="GP31">
        <f ca="1"/>
      </c>
      <c r="GQ31">
        <f ca="1"/>
      </c>
    </row>
    <row r="32" spans="1:202" x14ac:dyDescent="0.55000000000000004">
      <c r="A32" t="s">
        <v>301</v>
      </c>
      <c r="B32" s="13" cm="1">
        <f t="array" aca="1" ref="B32" ca="1">_xlfn.XLOOKUP($A32,_xlfn.ANCHORARRAY($GS$4),_xlfn.ANCHORARRAY($GT$4),"")</f>
      </c>
      <c r="C32" s="13" cm="1">
        <f t="array" aca="1" ref="C32" ca="1">_xlfn.LET(_xlpm.h,FWM_HC,_xlpm.c,_xlfn.XMATCH($A32,_xlfn.TAKE(_xlpm.h,1)),INDEX(_xlpm.h,ROWS(_xlpm.h),_xlpm.c))</f>
      </c>
      <c r="D32" s="44">
        <f t="shared" ca="1" si="0"/>
      </c>
      <c r="E32" s="44" cm="1">
        <f t="array" aca="1" ref="E32" ca="1">_xlfn.LET(_xlpm.h,FWM_HC,_xlpm.c,_xlfn.XMATCH($A32,_xlfn.TAKE(_xlpm.h,1)),(B32-INDEX(_xlpm.h,ROWS(_xlpm.h)-4,_xlpm.c))*100)</f>
      </c>
      <c r="F32" s="44" cm="1">
        <f t="array" aca="1" ref="F32" ca="1">_xlfn.LET(_xlpm.h,FWM_HC,_xlpm.c,_xlfn.XMATCH($A32,_xlfn.TAKE(_xlpm.h,1)),(B32-INDEX(_xlpm.h,ROWS(_xlpm.h)-20,_xlpm.c))*100)</f>
      </c>
      <c r="G32" s="44" cm="1">
        <f t="array" aca="1" ref="G32" ca="1">_xlfn.LET(_xlpm.h,FWM_HC,_xlpm.c,_xlfn.XMATCH($A32,_xlfn.TAKE(_xlpm.h,1)),(B32-_xlfn.XLOOKUP(FWM_Cmp,_xlfn.DROP(INDEX(_xlpm.h,,1),1),_xlfn.DROP(INDEX(_xlpm.h,,_xlpm.c),1),"",-1))*100)</f>
      </c>
      <c r="H32" s="11" cm="1">
        <f t="array" aca="1" ref="H32" ca="1">_xlfn.LET(_xlpm.h,FWM_HC,FWM_Sigma(_xlfn.DROP(INDEX(_xlpm.h,,_xlfn.XMATCH($A32&amp;" dF",_xlfn.TAKE(_xlpm.h,1))),1)))</f>
      </c>
      <c r="I32" s="45">
        <f t="shared" ca="1" si="1"/>
      </c>
      <c r="J32" s="45">
        <f t="shared" ca="1" si="2"/>
      </c>
      <c r="K32" s="44">
        <f t="shared" ca="1" si="4"/>
      </c>
      <c r="AA32">
        <f ca="1"/>
      </c>
      <c r="AB32">
        <f ca="1"/>
      </c>
      <c r="AC32">
        <f ca="1"/>
      </c>
      <c r="AD32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L32" t="s">
        <v>27</v>
      </c>
      <c r="AM32">
        <v>1</v>
      </c>
      <c r="AO32">
        <f ca="1"/>
      </c>
      <c r="AP32">
        <f ca="1"/>
      </c>
      <c r="AQ32">
        <f ca="1"/>
      </c>
      <c r="AR32">
        <f ca="1"/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M32" s="7">
        <f ca="1"/>
      </c>
      <c r="GN32">
        <f ca="1"/>
      </c>
      <c r="GO32">
        <f ca="1"/>
      </c>
      <c r="GP32">
        <f ca="1"/>
      </c>
      <c r="GQ32">
        <f ca="1"/>
      </c>
    </row>
    <row r="33" spans="1:199" x14ac:dyDescent="0.55000000000000004">
      <c r="A33" t="s">
        <v>302</v>
      </c>
      <c r="B33" s="13" cm="1">
        <f t="array" aca="1" ref="B33" ca="1">_xlfn.XLOOKUP($A33,_xlfn.ANCHORARRAY($GS$4),_xlfn.ANCHORARRAY($GT$4),"")</f>
      </c>
      <c r="C33" s="13" cm="1">
        <f t="array" aca="1" ref="C33" ca="1">_xlfn.LET(_xlpm.h,FWM_HC,_xlpm.c,_xlfn.XMATCH($A33,_xlfn.TAKE(_xlpm.h,1)),INDEX(_xlpm.h,ROWS(_xlpm.h),_xlpm.c))</f>
      </c>
      <c r="D33" s="44">
        <f t="shared" ca="1" si="0"/>
      </c>
      <c r="E33" s="44" cm="1">
        <f t="array" aca="1" ref="E33" ca="1">_xlfn.LET(_xlpm.h,FWM_HC,_xlpm.c,_xlfn.XMATCH($A33,_xlfn.TAKE(_xlpm.h,1)),(B33-INDEX(_xlpm.h,ROWS(_xlpm.h)-4,_xlpm.c))*100)</f>
      </c>
      <c r="F33" s="44" cm="1">
        <f t="array" aca="1" ref="F33" ca="1">_xlfn.LET(_xlpm.h,FWM_HC,_xlpm.c,_xlfn.XMATCH($A33,_xlfn.TAKE(_xlpm.h,1)),(B33-INDEX(_xlpm.h,ROWS(_xlpm.h)-20,_xlpm.c))*100)</f>
      </c>
      <c r="G33" s="44" cm="1">
        <f t="array" aca="1" ref="G33" ca="1">_xlfn.LET(_xlpm.h,FWM_HC,_xlpm.c,_xlfn.XMATCH($A33,_xlfn.TAKE(_xlpm.h,1)),(B33-_xlfn.XLOOKUP(FWM_Cmp,_xlfn.DROP(INDEX(_xlpm.h,,1),1),_xlfn.DROP(INDEX(_xlpm.h,,_xlpm.c),1),"",-1))*100)</f>
      </c>
      <c r="H33" s="11" cm="1">
        <f t="array" aca="1" ref="H33" ca="1">_xlfn.LET(_xlpm.h,FWM_HC,FWM_Sigma(_xlfn.DROP(INDEX(_xlpm.h,,_xlfn.XMATCH($A33&amp;" dF",_xlfn.TAKE(_xlpm.h,1))),1)))</f>
      </c>
      <c r="I33" s="45">
        <f t="shared" ca="1" si="1"/>
      </c>
      <c r="J33" s="45">
        <f t="shared" ca="1" si="2"/>
      </c>
      <c r="K33" s="44">
        <f t="shared" ca="1" si="4"/>
      </c>
      <c r="AA33">
        <f ca="1"/>
      </c>
      <c r="AB33">
        <f ca="1"/>
      </c>
      <c r="AC33">
        <f ca="1"/>
      </c>
      <c r="AD33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L33" t="s">
        <v>28</v>
      </c>
      <c r="AM33">
        <v>1</v>
      </c>
      <c r="AO33">
        <f ca="1"/>
      </c>
      <c r="AP33">
        <f ca="1"/>
      </c>
      <c r="AQ33">
        <f ca="1"/>
      </c>
      <c r="AR33">
        <f ca="1"/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M33" s="7">
        <f ca="1"/>
      </c>
      <c r="GN33">
        <f ca="1"/>
      </c>
      <c r="GO33">
        <f ca="1"/>
      </c>
      <c r="GP33">
        <f ca="1"/>
      </c>
      <c r="GQ33">
        <f ca="1"/>
      </c>
    </row>
    <row r="34" spans="1:199" x14ac:dyDescent="0.55000000000000004">
      <c r="A34" t="s">
        <v>303</v>
      </c>
      <c r="B34" s="13" cm="1">
        <f t="array" aca="1" ref="B34" ca="1">_xlfn.XLOOKUP($A34,_xlfn.ANCHORARRAY($GS$4),_xlfn.ANCHORARRAY($GT$4),"")</f>
      </c>
      <c r="C34" s="13" cm="1">
        <f t="array" aca="1" ref="C34" ca="1">_xlfn.LET(_xlpm.h,FWM_HC,_xlpm.c,_xlfn.XMATCH($A34,_xlfn.TAKE(_xlpm.h,1)),INDEX(_xlpm.h,ROWS(_xlpm.h),_xlpm.c))</f>
      </c>
      <c r="D34" s="44">
        <f t="shared" ca="1" si="0"/>
      </c>
      <c r="E34" s="44" cm="1">
        <f t="array" aca="1" ref="E34" ca="1">_xlfn.LET(_xlpm.h,FWM_HC,_xlpm.c,_xlfn.XMATCH($A34,_xlfn.TAKE(_xlpm.h,1)),(B34-INDEX(_xlpm.h,ROWS(_xlpm.h)-4,_xlpm.c))*100)</f>
      </c>
      <c r="F34" s="44" cm="1">
        <f t="array" aca="1" ref="F34" ca="1">_xlfn.LET(_xlpm.h,FWM_HC,_xlpm.c,_xlfn.XMATCH($A34,_xlfn.TAKE(_xlpm.h,1)),(B34-INDEX(_xlpm.h,ROWS(_xlpm.h)-20,_xlpm.c))*100)</f>
      </c>
      <c r="G34" s="44" cm="1">
        <f t="array" aca="1" ref="G34" ca="1">_xlfn.LET(_xlpm.h,FWM_HC,_xlpm.c,_xlfn.XMATCH($A34,_xlfn.TAKE(_xlpm.h,1)),(B34-_xlfn.XLOOKUP(FWM_Cmp,_xlfn.DROP(INDEX(_xlpm.h,,1),1),_xlfn.DROP(INDEX(_xlpm.h,,_xlpm.c),1),"",-1))*100)</f>
      </c>
      <c r="H34" s="11" cm="1">
        <f t="array" aca="1" ref="H34" ca="1">_xlfn.LET(_xlpm.h,FWM_HC,FWM_Sigma(_xlfn.DROP(INDEX(_xlpm.h,,_xlfn.XMATCH($A34&amp;" dF",_xlfn.TAKE(_xlpm.h,1))),1)))</f>
      </c>
      <c r="I34" s="45">
        <f t="shared" ca="1" si="1"/>
      </c>
      <c r="J34" s="45">
        <f t="shared" ca="1" si="2"/>
      </c>
      <c r="K34" s="44">
        <f t="shared" ca="1" si="4"/>
      </c>
      <c r="AA34">
        <f ca="1"/>
      </c>
      <c r="AB34">
        <f ca="1"/>
      </c>
      <c r="AC34">
        <f ca="1"/>
      </c>
      <c r="AD34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L34" t="s">
        <v>29</v>
      </c>
      <c r="AM34">
        <v>1</v>
      </c>
      <c r="AO34">
        <f ca="1"/>
      </c>
      <c r="AP34">
        <f ca="1"/>
      </c>
      <c r="AQ34">
        <f ca="1"/>
      </c>
      <c r="AR34">
        <f ca="1"/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M34" s="7">
        <f ca="1"/>
      </c>
      <c r="GN34">
        <f ca="1"/>
      </c>
      <c r="GO34">
        <f ca="1"/>
      </c>
      <c r="GP34">
        <f ca="1"/>
      </c>
      <c r="GQ34">
        <f ca="1"/>
      </c>
    </row>
    <row r="35" spans="1:199" x14ac:dyDescent="0.55000000000000004">
      <c r="A35" t="s">
        <v>304</v>
      </c>
      <c r="B35" s="13" cm="1">
        <f t="array" aca="1" ref="B35" ca="1">_xlfn.XLOOKUP($A35,_xlfn.ANCHORARRAY($GS$4),_xlfn.ANCHORARRAY($GT$4),"")</f>
      </c>
      <c r="C35" s="13" cm="1">
        <f t="array" aca="1" ref="C35" ca="1">_xlfn.LET(_xlpm.h,FWM_HC,_xlpm.c,_xlfn.XMATCH($A35,_xlfn.TAKE(_xlpm.h,1)),INDEX(_xlpm.h,ROWS(_xlpm.h),_xlpm.c))</f>
      </c>
      <c r="D35" s="44">
        <f t="shared" ca="1" si="0"/>
      </c>
      <c r="E35" s="44" cm="1">
        <f t="array" aca="1" ref="E35" ca="1">_xlfn.LET(_xlpm.h,FWM_HC,_xlpm.c,_xlfn.XMATCH($A35,_xlfn.TAKE(_xlpm.h,1)),(B35-INDEX(_xlpm.h,ROWS(_xlpm.h)-4,_xlpm.c))*100)</f>
      </c>
      <c r="F35" s="44" cm="1">
        <f t="array" aca="1" ref="F35" ca="1">_xlfn.LET(_xlpm.h,FWM_HC,_xlpm.c,_xlfn.XMATCH($A35,_xlfn.TAKE(_xlpm.h,1)),(B35-INDEX(_xlpm.h,ROWS(_xlpm.h)-20,_xlpm.c))*100)</f>
      </c>
      <c r="G35" s="44" cm="1">
        <f t="array" aca="1" ref="G35" ca="1">_xlfn.LET(_xlpm.h,FWM_HC,_xlpm.c,_xlfn.XMATCH($A35,_xlfn.TAKE(_xlpm.h,1)),(B35-_xlfn.XLOOKUP(FWM_Cmp,_xlfn.DROP(INDEX(_xlpm.h,,1),1),_xlfn.DROP(INDEX(_xlpm.h,,_xlpm.c),1),"",-1))*100)</f>
      </c>
      <c r="H35" s="11" cm="1">
        <f t="array" aca="1" ref="H35" ca="1">_xlfn.LET(_xlpm.h,FWM_HC,FWM_Sigma(_xlfn.DROP(INDEX(_xlpm.h,,_xlfn.XMATCH($A35&amp;" dF",_xlfn.TAKE(_xlpm.h,1))),1)))</f>
      </c>
      <c r="I35" s="45">
        <f t="shared" ca="1" si="1"/>
      </c>
      <c r="J35" s="45">
        <f t="shared" ca="1" si="2"/>
      </c>
      <c r="K35" s="44">
        <f t="shared" ca="1" si="4"/>
      </c>
      <c r="AA35">
        <f ca="1"/>
      </c>
      <c r="AB35">
        <f ca="1"/>
      </c>
      <c r="AC35">
        <f ca="1"/>
      </c>
      <c r="AD35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L35" t="s">
        <v>30</v>
      </c>
      <c r="AM35">
        <v>1</v>
      </c>
      <c r="AO35">
        <f ca="1"/>
      </c>
      <c r="AP35">
        <f ca="1"/>
      </c>
      <c r="AQ35">
        <f ca="1"/>
      </c>
      <c r="AR35">
        <f ca="1"/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M35" s="7">
        <f ca="1"/>
      </c>
      <c r="GN35">
        <f ca="1"/>
      </c>
      <c r="GO35">
        <f ca="1"/>
      </c>
      <c r="GP35">
        <f ca="1"/>
      </c>
      <c r="GQ35">
        <f ca="1"/>
      </c>
    </row>
    <row r="36" spans="1:199" x14ac:dyDescent="0.55000000000000004">
      <c r="A36" t="s">
        <v>305</v>
      </c>
      <c r="AA36">
        <f ca="1"/>
      </c>
      <c r="AB36">
        <f ca="1"/>
      </c>
      <c r="AC36">
        <f ca="1"/>
      </c>
      <c r="AD36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L36" t="s">
        <v>31</v>
      </c>
      <c r="AM36">
        <v>1</v>
      </c>
      <c r="AO36">
        <f ca="1"/>
      </c>
      <c r="AP36">
        <f ca="1"/>
      </c>
      <c r="AQ36">
        <f ca="1"/>
      </c>
      <c r="AR36">
        <f ca="1"/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M36" s="7">
        <f ca="1"/>
      </c>
      <c r="GN36">
        <f ca="1"/>
      </c>
      <c r="GO36">
        <f ca="1"/>
      </c>
      <c r="GP36">
        <f ca="1"/>
      </c>
      <c r="GQ36">
        <f ca="1"/>
      </c>
    </row>
    <row r="37" spans="1:199" x14ac:dyDescent="0.55000000000000004">
      <c r="A37" s="4" t="s">
        <v>306</v>
      </c>
      <c r="AA37">
        <f ca="1"/>
      </c>
      <c r="AB37">
        <f ca="1"/>
      </c>
      <c r="AC37">
        <f ca="1"/>
      </c>
      <c r="AD3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L37" t="s">
        <v>32</v>
      </c>
      <c r="AM37">
        <v>1</v>
      </c>
      <c r="AO37">
        <f ca="1"/>
      </c>
      <c r="AP37">
        <f ca="1"/>
      </c>
      <c r="AQ37">
        <f ca="1"/>
      </c>
      <c r="AR37">
        <f ca="1"/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M37" s="7">
        <f ca="1"/>
      </c>
      <c r="GN37">
        <f ca="1"/>
      </c>
      <c r="GO37">
        <f ca="1"/>
      </c>
      <c r="GP37">
        <f ca="1"/>
      </c>
      <c r="GQ37">
        <f ca="1"/>
      </c>
    </row>
    <row r="38" spans="1:199" x14ac:dyDescent="0.55000000000000004">
      <c r="A38" s="4" t="s">
        <v>307</v>
      </c>
      <c r="B38" s="4" t="s">
        <v>308</v>
      </c>
      <c r="C38" s="4" t="s">
        <v>146</v>
      </c>
      <c r="D38" s="4" t="s">
        <v>309</v>
      </c>
      <c r="E38" s="4" t="s">
        <v>310</v>
      </c>
      <c r="F38" s="4" t="s">
        <v>311</v>
      </c>
      <c r="G38" s="4" t="s">
        <v>312</v>
      </c>
      <c r="H38" s="4" t="s">
        <v>313</v>
      </c>
      <c r="I38" s="4" t="s">
        <v>314</v>
      </c>
      <c r="J38" s="4" t="s">
        <v>315</v>
      </c>
      <c r="K38" s="4" t="s">
        <v>275</v>
      </c>
      <c r="L38" s="4" t="s">
        <v>277</v>
      </c>
      <c r="M38" s="4" t="s">
        <v>279</v>
      </c>
      <c r="N38" s="4" t="s">
        <v>280</v>
      </c>
      <c r="O38" s="4" t="s">
        <v>281</v>
      </c>
      <c r="AA38">
        <f ca="1"/>
      </c>
      <c r="AB38">
        <f ca="1"/>
      </c>
      <c r="AC38">
        <f ca="1"/>
      </c>
      <c r="AD38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L38" t="s">
        <v>109</v>
      </c>
      <c r="AM38">
        <v>0</v>
      </c>
      <c r="AO38">
        <f ca="1"/>
      </c>
      <c r="AP38">
        <f ca="1"/>
      </c>
      <c r="AQ38">
        <f ca="1"/>
      </c>
      <c r="AR38">
        <f ca="1"/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M38" s="7">
        <f ca="1"/>
      </c>
      <c r="GN38">
        <f ca="1"/>
      </c>
      <c r="GO38">
        <f ca="1"/>
      </c>
      <c r="GP38">
        <f ca="1"/>
      </c>
      <c r="GQ38">
        <f ca="1"/>
      </c>
    </row>
    <row r="39" spans="1:199" x14ac:dyDescent="0.55000000000000004">
      <c r="A39" s="2" t="s">
        <v>143</v>
      </c>
      <c r="B39">
        <f t="shared" ref="B39:B48" si="5">IF(D39="","",D39&amp;IF(F39="","","/"&amp;F39)&amp;IF(H39="","","/"&amp;H39))</f>
      </c>
      <c r="C39" s="2" t="s">
        <v>316</v>
      </c>
      <c r="D39" s="2" t="s">
        <v>298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6">IF(D39="","",K39/M39)</f>
      </c>
      <c r="O39" s="45" cm="1">
        <f t="array" aca="1" ref="O39" ca="1">IF(D39="","",_xlfn.LET(_xlpm.x,FWM_Row(1,""),(J39-INDEX(_xlpm.x,ROWS(_xlpm.x)-4))/(M39*SQRT(5))))</f>
      </c>
      <c r="AA39">
        <f ca="1"/>
      </c>
      <c r="AB39">
        <f ca="1"/>
      </c>
      <c r="AC39">
        <f ca="1"/>
      </c>
      <c r="AD39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L39" t="s">
        <v>33</v>
      </c>
      <c r="AM39">
        <v>0</v>
      </c>
      <c r="AO39">
        <f ca="1"/>
      </c>
      <c r="AP39">
        <f ca="1"/>
      </c>
      <c r="AQ39">
        <f ca="1"/>
      </c>
      <c r="AR39">
        <f ca="1"/>
      </c>
      <c r="AS39">
        <f ca="1"/>
      </c>
      <c r="AT39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AZ39">
        <f ca="1"/>
      </c>
      <c r="BA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M39" s="7">
        <f ca="1"/>
      </c>
      <c r="GN39">
        <f ca="1"/>
      </c>
      <c r="GO39">
        <f ca="1"/>
      </c>
      <c r="GP39">
        <f ca="1"/>
      </c>
      <c r="GQ39">
        <f ca="1"/>
      </c>
    </row>
    <row r="40" spans="1:199" x14ac:dyDescent="0.55000000000000004">
      <c r="A40" s="2" t="s">
        <v>143</v>
      </c>
      <c r="B40">
        <f t="shared" si="5"/>
      </c>
      <c r="C40" s="2" t="s">
        <v>317</v>
      </c>
      <c r="D40" s="2" t="s">
        <v>298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6"/>
      </c>
      <c r="O40" s="45" cm="1">
        <f t="array" aca="1" ref="O40" ca="1">IF(D40="","",_xlfn.LET(_xlpm.x,FWM_Row(2,""),(J40-INDEX(_xlpm.x,ROWS(_xlpm.x)-4))/(M40*SQRT(5))))</f>
      </c>
      <c r="AA40">
        <f ca="1"/>
      </c>
      <c r="AB40">
        <f ca="1"/>
      </c>
      <c r="AC40">
        <f ca="1"/>
      </c>
      <c r="AD40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L40" t="s">
        <v>34</v>
      </c>
      <c r="AM40">
        <v>0</v>
      </c>
      <c r="AO40">
        <f ca="1"/>
      </c>
      <c r="AP40">
        <f ca="1"/>
      </c>
      <c r="AQ40">
        <f ca="1"/>
      </c>
      <c r="AR40">
        <f ca="1"/>
      </c>
      <c r="AS40">
        <f ca="1"/>
      </c>
      <c r="AT40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AZ40">
        <f ca="1"/>
      </c>
      <c r="BA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M40" s="7">
        <f ca="1"/>
      </c>
      <c r="GN40">
        <f ca="1"/>
      </c>
      <c r="GO40">
        <f ca="1"/>
      </c>
      <c r="GP40">
        <f ca="1"/>
      </c>
      <c r="GQ40">
        <f ca="1"/>
      </c>
    </row>
    <row r="41" spans="1:199" x14ac:dyDescent="0.55000000000000004">
      <c r="A41" s="2" t="s">
        <v>143</v>
      </c>
      <c r="B41">
        <f t="shared" si="5"/>
      </c>
      <c r="C41" s="2" t="s">
        <v>316</v>
      </c>
      <c r="D41" s="2" t="s">
        <v>298</v>
      </c>
      <c r="E41" s="2">
        <v>-1</v>
      </c>
      <c r="F41" s="2" t="s">
        <v>299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6"/>
      </c>
      <c r="O41" s="45" cm="1">
        <f t="array" aca="1" ref="O41" ca="1">IF(D41="","",_xlfn.LET(_xlpm.x,FWM_Row(3,""),(J41-INDEX(_xlpm.x,ROWS(_xlpm.x)-4))/(M41*SQRT(5))))</f>
      </c>
      <c r="AA41">
        <f ca="1"/>
      </c>
      <c r="AB41">
        <f ca="1"/>
      </c>
      <c r="AC41">
        <f ca="1"/>
      </c>
      <c r="AD41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L41" t="s">
        <v>35</v>
      </c>
      <c r="AM41">
        <v>0</v>
      </c>
      <c r="AO41">
        <f ca="1"/>
      </c>
      <c r="AP41">
        <f ca="1"/>
      </c>
      <c r="AQ41">
        <f ca="1"/>
      </c>
      <c r="AR41">
        <f ca="1"/>
      </c>
      <c r="AS41">
        <f ca="1"/>
      </c>
      <c r="AT41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AZ41">
        <f ca="1"/>
      </c>
      <c r="BA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M41" s="7">
        <f ca="1"/>
      </c>
      <c r="GN41">
        <f ca="1"/>
      </c>
      <c r="GO41">
        <f ca="1"/>
      </c>
      <c r="GP41">
        <f ca="1"/>
      </c>
      <c r="GQ41">
        <f ca="1"/>
      </c>
    </row>
    <row r="42" spans="1:199" x14ac:dyDescent="0.55000000000000004">
      <c r="A42" s="2"/>
      <c r="B42">
        <f t="shared" si="5"/>
      </c>
      <c r="C42" s="2" t="s">
        <v>316</v>
      </c>
      <c r="D42" s="2" t="s">
        <v>286</v>
      </c>
      <c r="E42" s="2">
        <v>-1</v>
      </c>
      <c r="F42" s="2" t="s">
        <v>291</v>
      </c>
      <c r="G42" s="2">
        <v>2</v>
      </c>
      <c r="H42" s="2" t="s">
        <v>294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6"/>
      </c>
      <c r="O42" s="45" cm="1">
        <f t="array" aca="1" ref="O42" ca="1">IF(D42="","",_xlfn.LET(_xlpm.x,FWM_Row(4,""),(J42-INDEX(_xlpm.x,ROWS(_xlpm.x)-4))/(M42*SQRT(5))))</f>
      </c>
      <c r="AA42">
        <f ca="1"/>
      </c>
      <c r="AB42">
        <f ca="1"/>
      </c>
      <c r="AC42">
        <f ca="1"/>
      </c>
      <c r="AD42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L42" t="s">
        <v>36</v>
      </c>
      <c r="AM42">
        <v>0</v>
      </c>
      <c r="AO42">
        <f ca="1"/>
      </c>
      <c r="AP42">
        <f ca="1"/>
      </c>
      <c r="AQ42">
        <f ca="1"/>
      </c>
      <c r="AR42">
        <f ca="1"/>
      </c>
      <c r="AS42">
        <f ca="1"/>
      </c>
      <c r="AT42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AZ42">
        <f ca="1"/>
      </c>
      <c r="BA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M42" s="7">
        <f ca="1"/>
      </c>
      <c r="GN42">
        <f ca="1"/>
      </c>
      <c r="GO42">
        <f ca="1"/>
      </c>
      <c r="GP42">
        <f ca="1"/>
      </c>
      <c r="GQ42">
        <f ca="1"/>
      </c>
    </row>
    <row r="43" spans="1:199" x14ac:dyDescent="0.55000000000000004">
      <c r="A43" s="2"/>
      <c r="B43">
        <f t="shared" si="5"/>
      </c>
      <c r="C43" s="2" t="s">
        <v>316</v>
      </c>
      <c r="D43" s="2" t="s">
        <v>282</v>
      </c>
      <c r="E43" s="2">
        <v>-1</v>
      </c>
      <c r="F43" s="2" t="s">
        <v>283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6"/>
      </c>
      <c r="O43" s="45" cm="1">
        <f t="array" aca="1" ref="O43" ca="1">IF(D43="","",_xlfn.LET(_xlpm.x,FWM_Row(5,""),(J43-INDEX(_xlpm.x,ROWS(_xlpm.x)-4))/(M43*SQRT(5))))</f>
      </c>
      <c r="AA43">
        <f ca="1"/>
      </c>
      <c r="AB43">
        <f ca="1"/>
      </c>
      <c r="AC43">
        <f ca="1"/>
      </c>
      <c r="AD43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L43" t="s">
        <v>37</v>
      </c>
      <c r="AM43">
        <v>0</v>
      </c>
      <c r="AO43">
        <f ca="1"/>
      </c>
      <c r="AP43">
        <f ca="1"/>
      </c>
      <c r="AQ43">
        <f ca="1"/>
      </c>
      <c r="AR43">
        <f ca="1"/>
      </c>
      <c r="AS43">
        <f ca="1"/>
      </c>
      <c r="AT43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AZ43">
        <f ca="1"/>
      </c>
      <c r="BA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M43" s="7">
        <f ca="1"/>
      </c>
      <c r="GN43">
        <f ca="1"/>
      </c>
      <c r="GO43">
        <f ca="1"/>
      </c>
      <c r="GP43">
        <f ca="1"/>
      </c>
      <c r="GQ43">
        <f ca="1"/>
      </c>
    </row>
    <row r="44" spans="1:199" x14ac:dyDescent="0.55000000000000004">
      <c r="A44" s="2"/>
      <c r="B44">
        <f t="shared" si="5"/>
      </c>
      <c r="C44" s="2" t="s">
        <v>316</v>
      </c>
      <c r="D44" s="2" t="s">
        <v>291</v>
      </c>
      <c r="E44" s="2">
        <v>-1</v>
      </c>
      <c r="F44" s="2" t="s">
        <v>296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6"/>
      </c>
      <c r="O44" s="45" cm="1">
        <f t="array" aca="1" ref="O44" ca="1">IF(D44="","",_xlfn.LET(_xlpm.x,FWM_Row(6,""),(J44-INDEX(_xlpm.x,ROWS(_xlpm.x)-4))/(M44*SQRT(5))))</f>
      </c>
      <c r="AA44">
        <f ca="1"/>
      </c>
      <c r="AB44">
        <f ca="1"/>
      </c>
      <c r="AC44">
        <f ca="1"/>
      </c>
      <c r="AD44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L44" t="s">
        <v>38</v>
      </c>
      <c r="AM44">
        <v>0</v>
      </c>
      <c r="AO44">
        <f ca="1"/>
      </c>
      <c r="AP44">
        <f ca="1"/>
      </c>
      <c r="AQ44">
        <f ca="1"/>
      </c>
      <c r="AR44">
        <f ca="1"/>
      </c>
      <c r="AS44">
        <f ca="1"/>
      </c>
      <c r="AT44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AZ44">
        <f ca="1"/>
      </c>
      <c r="BA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M44" s="7">
        <f ca="1"/>
      </c>
      <c r="GN44">
        <f ca="1"/>
      </c>
      <c r="GO44">
        <f ca="1"/>
      </c>
      <c r="GP44">
        <f ca="1"/>
      </c>
      <c r="GQ44">
        <f ca="1"/>
      </c>
    </row>
    <row r="45" spans="1:199" x14ac:dyDescent="0.55000000000000004">
      <c r="A45" s="2"/>
      <c r="B45">
        <f t="shared" si="5"/>
      </c>
      <c r="C45" s="2" t="s">
        <v>316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6"/>
      </c>
      <c r="O45" s="45" cm="1">
        <f t="array" aca="1" ref="O45" ca="1">IF(D45="","",_xlfn.LET(_xlpm.x,FWM_Row(7,""),(J45-INDEX(_xlpm.x,ROWS(_xlpm.x)-4))/(M45*SQRT(5))))</f>
      </c>
      <c r="AA45">
        <f ca="1"/>
      </c>
      <c r="AB45">
        <f ca="1"/>
      </c>
      <c r="AC45">
        <f ca="1"/>
      </c>
      <c r="AD45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L45" t="s">
        <v>39</v>
      </c>
      <c r="AM45">
        <v>0</v>
      </c>
      <c r="AO45">
        <f ca="1"/>
      </c>
      <c r="AP45">
        <f ca="1"/>
      </c>
      <c r="AQ45">
        <f ca="1"/>
      </c>
      <c r="AR45">
        <f ca="1"/>
      </c>
      <c r="AS45">
        <f ca="1"/>
      </c>
      <c r="AT45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AZ45">
        <f ca="1"/>
      </c>
      <c r="BA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M45" s="7">
        <f ca="1"/>
      </c>
      <c r="GN45">
        <f ca="1"/>
      </c>
      <c r="GO45">
        <f ca="1"/>
      </c>
      <c r="GP45">
        <f ca="1"/>
      </c>
      <c r="GQ45">
        <f ca="1"/>
      </c>
    </row>
    <row r="46" spans="1:199" x14ac:dyDescent="0.55000000000000004">
      <c r="A46" s="2"/>
      <c r="B46">
        <f t="shared" si="5"/>
      </c>
      <c r="C46" s="2" t="s">
        <v>316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6"/>
      </c>
      <c r="O46" s="45" cm="1">
        <f t="array" aca="1" ref="O46" ca="1">IF(D46="","",_xlfn.LET(_xlpm.x,FWM_Row(8,""),(J46-INDEX(_xlpm.x,ROWS(_xlpm.x)-4))/(M46*SQRT(5))))</f>
      </c>
      <c r="AA46">
        <f ca="1"/>
      </c>
      <c r="AB46">
        <f ca="1"/>
      </c>
      <c r="AC46">
        <f ca="1"/>
      </c>
      <c r="AD46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L46" t="s">
        <v>40</v>
      </c>
      <c r="AM46">
        <v>0</v>
      </c>
      <c r="AO46">
        <f ca="1"/>
      </c>
      <c r="AP46">
        <f ca="1"/>
      </c>
      <c r="AQ46">
        <f ca="1"/>
      </c>
      <c r="AR46">
        <f ca="1"/>
      </c>
      <c r="AS46">
        <f ca="1"/>
      </c>
      <c r="AT46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AZ46">
        <f ca="1"/>
      </c>
      <c r="BA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M46" s="7">
        <f ca="1"/>
      </c>
      <c r="GN46">
        <f ca="1"/>
      </c>
      <c r="GO46">
        <f ca="1"/>
      </c>
      <c r="GP46">
        <f ca="1"/>
      </c>
      <c r="GQ46">
        <f ca="1"/>
      </c>
    </row>
    <row r="47" spans="1:199" x14ac:dyDescent="0.55000000000000004">
      <c r="A47" s="2"/>
      <c r="B47">
        <f t="shared" si="5"/>
      </c>
      <c r="C47" s="2" t="s">
        <v>316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6"/>
      </c>
      <c r="O47" s="45" cm="1">
        <f t="array" aca="1" ref="O47" ca="1">IF(D47="","",_xlfn.LET(_xlpm.x,FWM_Row(9,""),(J47-INDEX(_xlpm.x,ROWS(_xlpm.x)-4))/(M47*SQRT(5))))</f>
      </c>
      <c r="AL47" t="s">
        <v>110</v>
      </c>
      <c r="AM47">
        <v>0</v>
      </c>
      <c r="AO47">
        <f ca="1"/>
      </c>
      <c r="AP47">
        <f ca="1"/>
      </c>
      <c r="AQ47">
        <f ca="1"/>
      </c>
      <c r="AR47">
        <f ca="1"/>
      </c>
      <c r="AS47">
        <f ca="1"/>
      </c>
      <c r="AT4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AZ47">
        <f ca="1"/>
      </c>
      <c r="BA47">
        <f ca="1"/>
      </c>
      <c r="BB47">
        <f ca="1"/>
      </c>
      <c r="BC47">
        <f ca="1"/>
      </c>
      <c r="BD47">
        <f ca="1"/>
      </c>
      <c r="BE47">
        <f ca="1"/>
      </c>
      <c r="BF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M47" s="7">
        <f ca="1"/>
      </c>
      <c r="GN47">
        <f ca="1"/>
      </c>
      <c r="GO47">
        <f ca="1"/>
      </c>
      <c r="GP47">
        <f ca="1"/>
      </c>
      <c r="GQ47">
        <f ca="1"/>
      </c>
    </row>
    <row r="48" spans="1:199" x14ac:dyDescent="0.55000000000000004">
      <c r="A48" s="2"/>
      <c r="B48">
        <f t="shared" si="5"/>
      </c>
      <c r="C48" s="2" t="s">
        <v>316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6"/>
      </c>
      <c r="O48" s="45" cm="1">
        <f t="array" aca="1" ref="O48" ca="1">IF(D48="","",_xlfn.LET(_xlpm.x,FWM_Row(10,""),(J48-INDEX(_xlpm.x,ROWS(_xlpm.x)-4))/(M48*SQRT(5))))</f>
      </c>
      <c r="AO48">
        <f ca="1"/>
      </c>
      <c r="AP48">
        <f ca="1"/>
      </c>
      <c r="AQ48">
        <f ca="1"/>
      </c>
      <c r="AR48">
        <f ca="1"/>
      </c>
      <c r="AS48">
        <f ca="1"/>
      </c>
      <c r="AT48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AZ48">
        <f ca="1"/>
      </c>
      <c r="BA48">
        <f ca="1"/>
      </c>
      <c r="BB48">
        <f ca="1"/>
      </c>
      <c r="BC48">
        <f ca="1"/>
      </c>
      <c r="BD48">
        <f ca="1"/>
      </c>
      <c r="BE48">
        <f ca="1"/>
      </c>
      <c r="BF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M48" s="7">
        <f ca="1"/>
      </c>
      <c r="GN48">
        <f ca="1"/>
      </c>
      <c r="GO48">
        <f ca="1"/>
      </c>
      <c r="GP48">
        <f ca="1"/>
      </c>
      <c r="GQ48">
        <f ca="1"/>
      </c>
    </row>
    <row r="49" spans="1:199" x14ac:dyDescent="0.55000000000000004">
      <c r="A49" t="s">
        <v>318</v>
      </c>
      <c r="AO49">
        <f ca="1"/>
      </c>
      <c r="AP49">
        <f ca="1"/>
      </c>
      <c r="AQ49">
        <f ca="1"/>
      </c>
      <c r="AR49">
        <f ca="1"/>
      </c>
      <c r="AS49">
        <f ca="1"/>
      </c>
      <c r="AT49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AZ49">
        <f ca="1"/>
      </c>
      <c r="BA49">
        <f ca="1"/>
      </c>
      <c r="BB49">
        <f ca="1"/>
      </c>
      <c r="BC49">
        <f ca="1"/>
      </c>
      <c r="BD49">
        <f ca="1"/>
      </c>
      <c r="BE49">
        <f ca="1"/>
      </c>
      <c r="BF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M49" s="7">
        <f ca="1"/>
      </c>
      <c r="GN49">
        <f ca="1"/>
      </c>
      <c r="GO49">
        <f ca="1"/>
      </c>
      <c r="GP49">
        <f ca="1"/>
      </c>
      <c r="GQ49">
        <f ca="1"/>
      </c>
    </row>
    <row r="50" spans="1:199" x14ac:dyDescent="0.55000000000000004">
      <c r="AO50">
        <f ca="1"/>
      </c>
      <c r="AP50">
        <f ca="1"/>
      </c>
      <c r="AQ50">
        <f ca="1"/>
      </c>
      <c r="AR50">
        <f ca="1"/>
      </c>
      <c r="AS50">
        <f ca="1"/>
      </c>
      <c r="AT50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AZ50">
        <f ca="1"/>
      </c>
      <c r="BA50">
        <f ca="1"/>
      </c>
      <c r="BB50">
        <f ca="1"/>
      </c>
      <c r="BC50">
        <f ca="1"/>
      </c>
      <c r="BD50">
        <f ca="1"/>
      </c>
      <c r="BE50">
        <f ca="1"/>
      </c>
      <c r="BF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M50" s="7">
        <f ca="1"/>
      </c>
      <c r="GN50">
        <f ca="1"/>
      </c>
      <c r="GO50">
        <f ca="1"/>
      </c>
      <c r="GP50">
        <f ca="1"/>
      </c>
      <c r="GQ50">
        <f ca="1"/>
      </c>
    </row>
    <row r="51" spans="1:199" x14ac:dyDescent="0.55000000000000004">
      <c r="AO51">
        <f ca="1"/>
      </c>
      <c r="AP51">
        <f ca="1"/>
      </c>
      <c r="AQ51">
        <f ca="1"/>
      </c>
      <c r="AR51">
        <f ca="1"/>
      </c>
      <c r="AS51">
        <f ca="1"/>
      </c>
      <c r="AT51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AZ51">
        <f ca="1"/>
      </c>
      <c r="BA51">
        <f ca="1"/>
      </c>
      <c r="BB51">
        <f ca="1"/>
      </c>
      <c r="BC51">
        <f ca="1"/>
      </c>
      <c r="BD51">
        <f ca="1"/>
      </c>
      <c r="BE51">
        <f ca="1"/>
      </c>
      <c r="BF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M51" s="7">
        <f ca="1"/>
      </c>
      <c r="GN51">
        <f ca="1"/>
      </c>
      <c r="GO51">
        <f ca="1"/>
      </c>
      <c r="GP51">
        <f ca="1"/>
      </c>
      <c r="GQ51">
        <f ca="1"/>
      </c>
    </row>
    <row r="52" spans="1:199" x14ac:dyDescent="0.55000000000000004">
      <c r="AO52">
        <f ca="1"/>
      </c>
      <c r="AP52">
        <f ca="1"/>
      </c>
      <c r="AQ52">
        <f ca="1"/>
      </c>
      <c r="AR52">
        <f ca="1"/>
      </c>
      <c r="AS52">
        <f ca="1"/>
      </c>
      <c r="AT52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AZ52">
        <f ca="1"/>
      </c>
      <c r="BA52">
        <f ca="1"/>
      </c>
      <c r="BB52">
        <f ca="1"/>
      </c>
      <c r="BC52">
        <f ca="1"/>
      </c>
      <c r="BD52">
        <f ca="1"/>
      </c>
      <c r="BE52">
        <f ca="1"/>
      </c>
      <c r="BF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M52" s="7">
        <f ca="1"/>
      </c>
      <c r="GN52">
        <f ca="1"/>
      </c>
      <c r="GO52">
        <f ca="1"/>
      </c>
      <c r="GP52">
        <f ca="1"/>
      </c>
      <c r="GQ52">
        <f ca="1"/>
      </c>
    </row>
    <row r="53" spans="1:199" x14ac:dyDescent="0.55000000000000004">
      <c r="AO53">
        <f ca="1"/>
      </c>
      <c r="AP53">
        <f ca="1"/>
      </c>
      <c r="AQ53">
        <f ca="1"/>
      </c>
      <c r="AR53">
        <f ca="1"/>
      </c>
      <c r="AS53">
        <f ca="1"/>
      </c>
      <c r="AT53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AZ53">
        <f ca="1"/>
      </c>
      <c r="BA53">
        <f ca="1"/>
      </c>
      <c r="BB53">
        <f ca="1"/>
      </c>
      <c r="BC53">
        <f ca="1"/>
      </c>
      <c r="BD53">
        <f ca="1"/>
      </c>
      <c r="BE53">
        <f ca="1"/>
      </c>
      <c r="BF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M53" s="7">
        <f ca="1"/>
      </c>
      <c r="GN53">
        <f ca="1"/>
      </c>
      <c r="GO53">
        <f ca="1"/>
      </c>
      <c r="GP53">
        <f ca="1"/>
      </c>
      <c r="GQ53">
        <f ca="1"/>
      </c>
    </row>
    <row r="54" spans="1:199" x14ac:dyDescent="0.55000000000000004">
      <c r="AO54">
        <f ca="1"/>
      </c>
      <c r="AP54">
        <f ca="1"/>
      </c>
      <c r="AQ54">
        <f ca="1"/>
      </c>
      <c r="AR54">
        <f ca="1"/>
      </c>
      <c r="AS54">
        <f ca="1"/>
      </c>
      <c r="AT54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AZ54">
        <f ca="1"/>
      </c>
      <c r="BA54">
        <f ca="1"/>
      </c>
      <c r="BB54">
        <f ca="1"/>
      </c>
      <c r="BC54">
        <f ca="1"/>
      </c>
      <c r="BD54">
        <f ca="1"/>
      </c>
      <c r="BE54">
        <f ca="1"/>
      </c>
      <c r="BF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M54" s="7">
        <f ca="1"/>
      </c>
      <c r="GN54">
        <f ca="1"/>
      </c>
      <c r="GO54">
        <f ca="1"/>
      </c>
      <c r="GP54">
        <f ca="1"/>
      </c>
      <c r="GQ54">
        <f ca="1"/>
      </c>
    </row>
    <row r="55" spans="1:199" x14ac:dyDescent="0.55000000000000004">
      <c r="AO55">
        <f ca="1"/>
      </c>
      <c r="AP55">
        <f ca="1"/>
      </c>
      <c r="AQ55">
        <f ca="1"/>
      </c>
      <c r="AR55">
        <f ca="1"/>
      </c>
      <c r="AS55">
        <f ca="1"/>
      </c>
      <c r="AT55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AZ55">
        <f ca="1"/>
      </c>
      <c r="BA55">
        <f ca="1"/>
      </c>
      <c r="BB55">
        <f ca="1"/>
      </c>
      <c r="BC55">
        <f ca="1"/>
      </c>
      <c r="BD55">
        <f ca="1"/>
      </c>
      <c r="BE55">
        <f ca="1"/>
      </c>
      <c r="BF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M55" s="7">
        <f ca="1"/>
      </c>
      <c r="GN55">
        <f ca="1"/>
      </c>
      <c r="GO55">
        <f ca="1"/>
      </c>
      <c r="GP55">
        <f ca="1"/>
      </c>
      <c r="GQ55">
        <f ca="1"/>
      </c>
    </row>
    <row r="56" spans="1:199" x14ac:dyDescent="0.55000000000000004">
      <c r="AO56">
        <f ca="1"/>
      </c>
      <c r="AP56">
        <f ca="1"/>
      </c>
      <c r="AQ56">
        <f ca="1"/>
      </c>
      <c r="AR56">
        <f ca="1"/>
      </c>
      <c r="AS56">
        <f ca="1"/>
      </c>
      <c r="AT56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AZ56">
        <f ca="1"/>
      </c>
      <c r="BA56">
        <f ca="1"/>
      </c>
      <c r="BB56">
        <f ca="1"/>
      </c>
      <c r="BC56">
        <f ca="1"/>
      </c>
      <c r="BD56">
        <f ca="1"/>
      </c>
      <c r="BE56">
        <f ca="1"/>
      </c>
      <c r="BF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M56" s="7">
        <f ca="1"/>
      </c>
      <c r="GN56">
        <f ca="1"/>
      </c>
      <c r="GO56">
        <f ca="1"/>
      </c>
      <c r="GP56">
        <f ca="1"/>
      </c>
      <c r="GQ56">
        <f ca="1"/>
      </c>
    </row>
    <row r="57" spans="1:199" x14ac:dyDescent="0.55000000000000004">
      <c r="AO57">
        <f ca="1"/>
      </c>
      <c r="AP57">
        <f ca="1"/>
      </c>
      <c r="AQ57">
        <f ca="1"/>
      </c>
      <c r="AR57">
        <f ca="1"/>
      </c>
      <c r="AS57">
        <f ca="1"/>
      </c>
      <c r="AT5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AZ57">
        <f ca="1"/>
      </c>
      <c r="BA57">
        <f ca="1"/>
      </c>
      <c r="BB57">
        <f ca="1"/>
      </c>
      <c r="BC57">
        <f ca="1"/>
      </c>
      <c r="BD57">
        <f ca="1"/>
      </c>
      <c r="BE57">
        <f ca="1"/>
      </c>
      <c r="BF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M57" s="7">
        <f ca="1"/>
      </c>
      <c r="GN57">
        <f ca="1"/>
      </c>
      <c r="GO57">
        <f ca="1"/>
      </c>
      <c r="GP57">
        <f ca="1"/>
      </c>
      <c r="GQ57">
        <f ca="1"/>
      </c>
    </row>
    <row r="58" spans="1:199" x14ac:dyDescent="0.55000000000000004">
      <c r="AO58">
        <f ca="1"/>
      </c>
      <c r="AP58">
        <f ca="1"/>
      </c>
      <c r="AQ58">
        <f ca="1"/>
      </c>
      <c r="AR58">
        <f ca="1"/>
      </c>
      <c r="AS58">
        <f ca="1"/>
      </c>
      <c r="AT58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AZ58">
        <f ca="1"/>
      </c>
      <c r="BA58">
        <f ca="1"/>
      </c>
      <c r="BB58">
        <f ca="1"/>
      </c>
      <c r="BC58">
        <f ca="1"/>
      </c>
      <c r="BD58">
        <f ca="1"/>
      </c>
      <c r="BE58">
        <f ca="1"/>
      </c>
      <c r="BF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M58" s="7">
        <f ca="1"/>
      </c>
      <c r="GN58">
        <f ca="1"/>
      </c>
      <c r="GO58">
        <f ca="1"/>
      </c>
      <c r="GP58">
        <f ca="1"/>
      </c>
      <c r="GQ58">
        <f ca="1"/>
      </c>
    </row>
    <row r="59" spans="1:199" x14ac:dyDescent="0.55000000000000004">
      <c r="AO59">
        <f ca="1"/>
      </c>
      <c r="AP59">
        <f ca="1"/>
      </c>
      <c r="AQ59">
        <f ca="1"/>
      </c>
      <c r="AR59">
        <f ca="1"/>
      </c>
      <c r="AS59">
        <f ca="1"/>
      </c>
      <c r="AT59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AZ59">
        <f ca="1"/>
      </c>
      <c r="BA59">
        <f ca="1"/>
      </c>
      <c r="BB59">
        <f ca="1"/>
      </c>
      <c r="BC59">
        <f ca="1"/>
      </c>
      <c r="BD59">
        <f ca="1"/>
      </c>
      <c r="BE59">
        <f ca="1"/>
      </c>
      <c r="BF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M59" s="7">
        <f ca="1"/>
      </c>
      <c r="GN59">
        <f ca="1"/>
      </c>
      <c r="GO59">
        <f ca="1"/>
      </c>
      <c r="GP59">
        <f ca="1"/>
      </c>
      <c r="GQ59">
        <f ca="1"/>
      </c>
    </row>
    <row r="60" spans="1:199" x14ac:dyDescent="0.55000000000000004">
      <c r="AO60">
        <f ca="1"/>
      </c>
      <c r="AP60">
        <f ca="1"/>
      </c>
      <c r="AQ60">
        <f ca="1"/>
      </c>
      <c r="AR60">
        <f ca="1"/>
      </c>
      <c r="AS60">
        <f ca="1"/>
      </c>
      <c r="AT60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AZ60">
        <f ca="1"/>
      </c>
      <c r="BA60">
        <f ca="1"/>
      </c>
      <c r="BB60">
        <f ca="1"/>
      </c>
      <c r="BC60">
        <f ca="1"/>
      </c>
      <c r="BD60">
        <f ca="1"/>
      </c>
      <c r="BE60">
        <f ca="1"/>
      </c>
      <c r="BF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M60" s="7">
        <f ca="1"/>
      </c>
      <c r="GN60">
        <f ca="1"/>
      </c>
      <c r="GO60">
        <f ca="1"/>
      </c>
      <c r="GP60">
        <f ca="1"/>
      </c>
      <c r="GQ60">
        <f ca="1"/>
      </c>
    </row>
    <row r="61" spans="1:199" x14ac:dyDescent="0.55000000000000004">
      <c r="AO61">
        <f ca="1"/>
      </c>
      <c r="AP61">
        <f ca="1"/>
      </c>
      <c r="AQ61">
        <f ca="1"/>
      </c>
      <c r="AR61">
        <f ca="1"/>
      </c>
      <c r="AS61">
        <f ca="1"/>
      </c>
      <c r="AT61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AZ61">
        <f ca="1"/>
      </c>
      <c r="BA61">
        <f ca="1"/>
      </c>
      <c r="BB61">
        <f ca="1"/>
      </c>
      <c r="BC61">
        <f ca="1"/>
      </c>
      <c r="BD61">
        <f ca="1"/>
      </c>
      <c r="BE61">
        <f ca="1"/>
      </c>
      <c r="BF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M61" s="7">
        <f ca="1"/>
      </c>
      <c r="GN61">
        <f ca="1"/>
      </c>
      <c r="GO61">
        <f ca="1"/>
      </c>
      <c r="GP61">
        <f ca="1"/>
      </c>
      <c r="GQ61">
        <f ca="1"/>
      </c>
    </row>
    <row r="62" spans="1:199" x14ac:dyDescent="0.55000000000000004">
      <c r="AO62">
        <f ca="1"/>
      </c>
      <c r="AP62">
        <f ca="1"/>
      </c>
      <c r="AQ62">
        <f ca="1"/>
      </c>
      <c r="AR62">
        <f ca="1"/>
      </c>
      <c r="AS62">
        <f ca="1"/>
      </c>
      <c r="AT62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AZ62">
        <f ca="1"/>
      </c>
      <c r="BA62">
        <f ca="1"/>
      </c>
      <c r="BB62">
        <f ca="1"/>
      </c>
      <c r="BC62">
        <f ca="1"/>
      </c>
      <c r="BD62">
        <f ca="1"/>
      </c>
      <c r="BE62">
        <f ca="1"/>
      </c>
      <c r="BF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M62" s="7">
        <f ca="1"/>
      </c>
      <c r="GN62">
        <f ca="1"/>
      </c>
      <c r="GO62">
        <f ca="1"/>
      </c>
      <c r="GP62">
        <f ca="1"/>
      </c>
      <c r="GQ62">
        <f ca="1"/>
      </c>
    </row>
    <row r="63" spans="1:199" x14ac:dyDescent="0.55000000000000004">
      <c r="AO63">
        <f ca="1"/>
      </c>
      <c r="AP63">
        <f ca="1"/>
      </c>
      <c r="AQ63">
        <f ca="1"/>
      </c>
      <c r="AR63">
        <f ca="1"/>
      </c>
      <c r="AS63">
        <f ca="1"/>
      </c>
      <c r="AT63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AZ63">
        <f ca="1"/>
      </c>
      <c r="BA63">
        <f ca="1"/>
      </c>
      <c r="BB63">
        <f ca="1"/>
      </c>
      <c r="BC63">
        <f ca="1"/>
      </c>
      <c r="BD63">
        <f ca="1"/>
      </c>
      <c r="BE63">
        <f ca="1"/>
      </c>
      <c r="BF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M63" s="7">
        <f ca="1"/>
      </c>
      <c r="GN63">
        <f ca="1"/>
      </c>
      <c r="GO63">
        <f ca="1"/>
      </c>
      <c r="GP63">
        <f ca="1"/>
      </c>
      <c r="GQ63">
        <f ca="1"/>
      </c>
    </row>
    <row r="64" spans="1:199" x14ac:dyDescent="0.55000000000000004">
      <c r="AO64">
        <f ca="1"/>
      </c>
      <c r="AP64">
        <f ca="1"/>
      </c>
      <c r="AQ64">
        <f ca="1"/>
      </c>
      <c r="AR64">
        <f ca="1"/>
      </c>
      <c r="AS64">
        <f ca="1"/>
      </c>
      <c r="AT64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AZ64">
        <f ca="1"/>
      </c>
      <c r="BA64">
        <f ca="1"/>
      </c>
      <c r="BB64">
        <f ca="1"/>
      </c>
      <c r="BC64">
        <f ca="1"/>
      </c>
      <c r="BD64">
        <f ca="1"/>
      </c>
      <c r="BE64">
        <f ca="1"/>
      </c>
      <c r="BF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M64" s="7">
        <f ca="1"/>
      </c>
      <c r="GN64">
        <f ca="1"/>
      </c>
      <c r="GO64">
        <f ca="1"/>
      </c>
      <c r="GP64">
        <f ca="1"/>
      </c>
      <c r="GQ64">
        <f ca="1"/>
      </c>
    </row>
    <row r="65" spans="41:199" x14ac:dyDescent="0.55000000000000004">
      <c r="AO65">
        <f ca="1"/>
      </c>
      <c r="AP65">
        <f ca="1"/>
      </c>
      <c r="AQ65">
        <f ca="1"/>
      </c>
      <c r="AR65">
        <f ca="1"/>
      </c>
      <c r="AS65">
        <f ca="1"/>
      </c>
      <c r="AT65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AZ65">
        <f ca="1"/>
      </c>
      <c r="BA65">
        <f ca="1"/>
      </c>
      <c r="BB65">
        <f ca="1"/>
      </c>
      <c r="BC65">
        <f ca="1"/>
      </c>
      <c r="BD65">
        <f ca="1"/>
      </c>
      <c r="BE65">
        <f ca="1"/>
      </c>
      <c r="BF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M65" s="7">
        <f ca="1"/>
      </c>
      <c r="GN65">
        <f ca="1"/>
      </c>
      <c r="GO65">
        <f ca="1"/>
      </c>
      <c r="GP65">
        <f ca="1"/>
      </c>
      <c r="GQ65">
        <f ca="1"/>
      </c>
    </row>
    <row r="66" spans="41:199" x14ac:dyDescent="0.55000000000000004">
      <c r="AO66">
        <f ca="1"/>
      </c>
      <c r="AP66">
        <f ca="1"/>
      </c>
      <c r="AQ66">
        <f ca="1"/>
      </c>
      <c r="AR66">
        <f ca="1"/>
      </c>
      <c r="AS66">
        <f ca="1"/>
      </c>
      <c r="AT66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AZ66">
        <f ca="1"/>
      </c>
      <c r="BA66">
        <f ca="1"/>
      </c>
      <c r="BB66">
        <f ca="1"/>
      </c>
      <c r="BC66">
        <f ca="1"/>
      </c>
      <c r="BD66">
        <f ca="1"/>
      </c>
      <c r="BE66">
        <f ca="1"/>
      </c>
      <c r="BF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M66" s="7">
        <f ca="1"/>
      </c>
      <c r="GN66">
        <f ca="1"/>
      </c>
      <c r="GO66">
        <f ca="1"/>
      </c>
      <c r="GP66">
        <f ca="1"/>
      </c>
      <c r="GQ66">
        <f ca="1"/>
      </c>
    </row>
    <row r="67" spans="41:199" x14ac:dyDescent="0.55000000000000004">
      <c r="AO67">
        <f ca="1"/>
      </c>
      <c r="AP67">
        <f ca="1"/>
      </c>
      <c r="AQ67">
        <f ca="1"/>
      </c>
      <c r="AR67">
        <f ca="1"/>
      </c>
      <c r="AS67">
        <f ca="1"/>
      </c>
      <c r="AT6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AZ67">
        <f ca="1"/>
      </c>
      <c r="BA67">
        <f ca="1"/>
      </c>
      <c r="BB67">
        <f ca="1"/>
      </c>
      <c r="BC67">
        <f ca="1"/>
      </c>
      <c r="BD67">
        <f ca="1"/>
      </c>
      <c r="BE67">
        <f ca="1"/>
      </c>
      <c r="BF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M67" s="7">
        <f ca="1"/>
      </c>
      <c r="GN67">
        <f ca="1"/>
      </c>
      <c r="GO67">
        <f ca="1"/>
      </c>
      <c r="GP67">
        <f ca="1"/>
      </c>
      <c r="GQ67">
        <f ca="1"/>
      </c>
    </row>
    <row r="68" spans="41:199" x14ac:dyDescent="0.55000000000000004">
      <c r="AO68">
        <f ca="1"/>
      </c>
      <c r="AP68">
        <f ca="1"/>
      </c>
      <c r="AQ68">
        <f ca="1"/>
      </c>
      <c r="AR68">
        <f ca="1"/>
      </c>
      <c r="AS68">
        <f ca="1"/>
      </c>
      <c r="AT68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AZ68">
        <f ca="1"/>
      </c>
      <c r="BA68">
        <f ca="1"/>
      </c>
      <c r="BB68">
        <f ca="1"/>
      </c>
      <c r="BC68">
        <f ca="1"/>
      </c>
      <c r="BD68">
        <f ca="1"/>
      </c>
      <c r="BE68">
        <f ca="1"/>
      </c>
      <c r="BF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M68" s="7">
        <f ca="1"/>
      </c>
      <c r="GN68">
        <f ca="1"/>
      </c>
      <c r="GO68">
        <f ca="1"/>
      </c>
      <c r="GP68">
        <f ca="1"/>
      </c>
      <c r="GQ68">
        <f ca="1"/>
      </c>
    </row>
    <row r="69" spans="41:199" x14ac:dyDescent="0.55000000000000004">
      <c r="AO69">
        <f ca="1"/>
      </c>
      <c r="AP69">
        <f ca="1"/>
      </c>
      <c r="AQ69">
        <f ca="1"/>
      </c>
      <c r="AR69">
        <f ca="1"/>
      </c>
      <c r="AS69">
        <f ca="1"/>
      </c>
      <c r="AT69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AZ69">
        <f ca="1"/>
      </c>
      <c r="BA69">
        <f ca="1"/>
      </c>
      <c r="BB69">
        <f ca="1"/>
      </c>
      <c r="BC69">
        <f ca="1"/>
      </c>
      <c r="BD69">
        <f ca="1"/>
      </c>
      <c r="BE69">
        <f ca="1"/>
      </c>
      <c r="BF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M69" s="7">
        <f ca="1"/>
      </c>
      <c r="GN69">
        <f ca="1"/>
      </c>
      <c r="GO69">
        <f ca="1"/>
      </c>
      <c r="GP69">
        <f ca="1"/>
      </c>
      <c r="GQ69">
        <f ca="1"/>
      </c>
    </row>
    <row r="70" spans="41:199" x14ac:dyDescent="0.55000000000000004">
      <c r="AO70">
        <f ca="1"/>
      </c>
      <c r="AP70">
        <f ca="1"/>
      </c>
      <c r="AQ70">
        <f ca="1"/>
      </c>
      <c r="AR70">
        <f ca="1"/>
      </c>
      <c r="AS70">
        <f ca="1"/>
      </c>
      <c r="AT70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AZ70">
        <f ca="1"/>
      </c>
      <c r="BA70">
        <f ca="1"/>
      </c>
      <c r="BB70">
        <f ca="1"/>
      </c>
      <c r="BC70">
        <f ca="1"/>
      </c>
      <c r="BD70">
        <f ca="1"/>
      </c>
      <c r="BE70">
        <f ca="1"/>
      </c>
      <c r="BF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M70" s="7">
        <f ca="1"/>
      </c>
      <c r="GN70">
        <f ca="1"/>
      </c>
      <c r="GO70">
        <f ca="1"/>
      </c>
      <c r="GP70">
        <f ca="1"/>
      </c>
      <c r="GQ70">
        <f ca="1"/>
      </c>
    </row>
    <row r="71" spans="41:199" x14ac:dyDescent="0.55000000000000004">
      <c r="AO71">
        <f ca="1"/>
      </c>
      <c r="AP71">
        <f ca="1"/>
      </c>
      <c r="AQ71">
        <f ca="1"/>
      </c>
      <c r="AR71">
        <f ca="1"/>
      </c>
      <c r="AS71">
        <f ca="1"/>
      </c>
      <c r="AT71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AZ71">
        <f ca="1"/>
      </c>
      <c r="BA71">
        <f ca="1"/>
      </c>
      <c r="BB71">
        <f ca="1"/>
      </c>
      <c r="BC71">
        <f ca="1"/>
      </c>
      <c r="BD71">
        <f ca="1"/>
      </c>
      <c r="BE71">
        <f ca="1"/>
      </c>
      <c r="BF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M71" s="7">
        <f ca="1"/>
      </c>
      <c r="GN71">
        <f ca="1"/>
      </c>
      <c r="GO71">
        <f ca="1"/>
      </c>
      <c r="GP71">
        <f ca="1"/>
      </c>
      <c r="GQ71">
        <f ca="1"/>
      </c>
    </row>
    <row r="72" spans="41:199" x14ac:dyDescent="0.55000000000000004">
      <c r="AO72">
        <f ca="1"/>
      </c>
      <c r="AP72">
        <f ca="1"/>
      </c>
      <c r="AQ72">
        <f ca="1"/>
      </c>
      <c r="AR72">
        <f ca="1"/>
      </c>
      <c r="AS72">
        <f ca="1"/>
      </c>
      <c r="AT72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AZ72">
        <f ca="1"/>
      </c>
      <c r="BA72">
        <f ca="1"/>
      </c>
      <c r="BB72">
        <f ca="1"/>
      </c>
      <c r="BC72">
        <f ca="1"/>
      </c>
      <c r="BD72">
        <f ca="1"/>
      </c>
      <c r="BE72">
        <f ca="1"/>
      </c>
      <c r="BF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M72" s="7">
        <f ca="1"/>
      </c>
      <c r="GN72">
        <f ca="1"/>
      </c>
      <c r="GO72">
        <f ca="1"/>
      </c>
      <c r="GP72">
        <f ca="1"/>
      </c>
      <c r="GQ72">
        <f ca="1"/>
      </c>
    </row>
    <row r="73" spans="41:199" x14ac:dyDescent="0.55000000000000004">
      <c r="AO73">
        <f ca="1"/>
      </c>
      <c r="AP73">
        <f ca="1"/>
      </c>
      <c r="AQ73">
        <f ca="1"/>
      </c>
      <c r="AR73">
        <f ca="1"/>
      </c>
      <c r="AS73">
        <f ca="1"/>
      </c>
      <c r="AT73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AZ73">
        <f ca="1"/>
      </c>
      <c r="BA73">
        <f ca="1"/>
      </c>
      <c r="BB73">
        <f ca="1"/>
      </c>
      <c r="BC73">
        <f ca="1"/>
      </c>
      <c r="BD73">
        <f ca="1"/>
      </c>
      <c r="BE73">
        <f ca="1"/>
      </c>
      <c r="BF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M73" s="7">
        <f ca="1"/>
      </c>
      <c r="GN73">
        <f ca="1"/>
      </c>
      <c r="GO73">
        <f ca="1"/>
      </c>
      <c r="GP73">
        <f ca="1"/>
      </c>
      <c r="GQ73">
        <f ca="1"/>
      </c>
    </row>
    <row r="74" spans="41:199" x14ac:dyDescent="0.55000000000000004">
      <c r="AO74">
        <f ca="1"/>
      </c>
      <c r="AP74">
        <f ca="1"/>
      </c>
      <c r="AQ74">
        <f ca="1"/>
      </c>
      <c r="AR74">
        <f ca="1"/>
      </c>
      <c r="AS74">
        <f ca="1"/>
      </c>
      <c r="AT74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AZ74">
        <f ca="1"/>
      </c>
      <c r="BA74">
        <f ca="1"/>
      </c>
      <c r="BB74">
        <f ca="1"/>
      </c>
      <c r="BC74">
        <f ca="1"/>
      </c>
      <c r="BD74">
        <f ca="1"/>
      </c>
      <c r="BE74">
        <f ca="1"/>
      </c>
      <c r="BF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M74" s="7">
        <f ca="1"/>
      </c>
      <c r="GN74">
        <f ca="1"/>
      </c>
      <c r="GO74">
        <f ca="1"/>
      </c>
      <c r="GP74">
        <f ca="1"/>
      </c>
      <c r="GQ74">
        <f ca="1"/>
      </c>
    </row>
    <row r="75" spans="41:199" x14ac:dyDescent="0.55000000000000004">
      <c r="AO75">
        <f ca="1"/>
      </c>
      <c r="AP75">
        <f ca="1"/>
      </c>
      <c r="AQ75">
        <f ca="1"/>
      </c>
      <c r="AR75">
        <f ca="1"/>
      </c>
      <c r="AS75">
        <f ca="1"/>
      </c>
      <c r="AT75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AZ75">
        <f ca="1"/>
      </c>
      <c r="BA75">
        <f ca="1"/>
      </c>
      <c r="BB75">
        <f ca="1"/>
      </c>
      <c r="BC75">
        <f ca="1"/>
      </c>
      <c r="BD75">
        <f ca="1"/>
      </c>
      <c r="BE75">
        <f ca="1"/>
      </c>
      <c r="BF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M75" s="7">
        <f ca="1"/>
      </c>
      <c r="GN75">
        <f ca="1"/>
      </c>
      <c r="GO75">
        <f ca="1"/>
      </c>
      <c r="GP75">
        <f ca="1"/>
      </c>
      <c r="GQ75">
        <f ca="1"/>
      </c>
    </row>
    <row r="76" spans="41:199" x14ac:dyDescent="0.55000000000000004">
      <c r="AO76">
        <f ca="1"/>
      </c>
      <c r="AP76">
        <f ca="1"/>
      </c>
      <c r="AQ76">
        <f ca="1"/>
      </c>
      <c r="AR76">
        <f ca="1"/>
      </c>
      <c r="AS76">
        <f ca="1"/>
      </c>
      <c r="AT76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AZ76">
        <f ca="1"/>
      </c>
      <c r="BA76">
        <f ca="1"/>
      </c>
      <c r="BB76">
        <f ca="1"/>
      </c>
      <c r="BC76">
        <f ca="1"/>
      </c>
      <c r="BD76">
        <f ca="1"/>
      </c>
      <c r="BE76">
        <f ca="1"/>
      </c>
      <c r="BF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M76" s="7">
        <f ca="1"/>
      </c>
      <c r="GN76">
        <f ca="1"/>
      </c>
      <c r="GO76">
        <f ca="1"/>
      </c>
      <c r="GP76">
        <f ca="1"/>
      </c>
      <c r="GQ76">
        <f ca="1"/>
      </c>
    </row>
    <row r="77" spans="41:199" x14ac:dyDescent="0.55000000000000004">
      <c r="AO77">
        <f ca="1"/>
      </c>
      <c r="AP77">
        <f ca="1"/>
      </c>
      <c r="AQ77">
        <f ca="1"/>
      </c>
      <c r="AR77">
        <f ca="1"/>
      </c>
      <c r="AS77">
        <f ca="1"/>
      </c>
      <c r="AT7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AZ77">
        <f ca="1"/>
      </c>
      <c r="BA77">
        <f ca="1"/>
      </c>
      <c r="BB77">
        <f ca="1"/>
      </c>
      <c r="BC77">
        <f ca="1"/>
      </c>
      <c r="BD77">
        <f ca="1"/>
      </c>
      <c r="BE77">
        <f ca="1"/>
      </c>
      <c r="BF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M77" s="7">
        <f ca="1"/>
      </c>
      <c r="GN77">
        <f ca="1"/>
      </c>
      <c r="GO77">
        <f ca="1"/>
      </c>
      <c r="GP77">
        <f ca="1"/>
      </c>
      <c r="GQ77">
        <f ca="1"/>
      </c>
    </row>
    <row r="78" spans="41:199" x14ac:dyDescent="0.55000000000000004">
      <c r="AO78">
        <f ca="1"/>
      </c>
      <c r="AP78">
        <f ca="1"/>
      </c>
      <c r="AQ78">
        <f ca="1"/>
      </c>
      <c r="AR78">
        <f ca="1"/>
      </c>
      <c r="AS78">
        <f ca="1"/>
      </c>
      <c r="AT78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AZ78">
        <f ca="1"/>
      </c>
      <c r="BA78">
        <f ca="1"/>
      </c>
      <c r="BB78">
        <f ca="1"/>
      </c>
      <c r="BC78">
        <f ca="1"/>
      </c>
      <c r="BD78">
        <f ca="1"/>
      </c>
      <c r="BE78">
        <f ca="1"/>
      </c>
      <c r="BF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M78" s="7">
        <f ca="1"/>
      </c>
      <c r="GN78">
        <f ca="1"/>
      </c>
      <c r="GO78">
        <f ca="1"/>
      </c>
      <c r="GP78">
        <f ca="1"/>
      </c>
      <c r="GQ78">
        <f ca="1"/>
      </c>
    </row>
    <row r="79" spans="41:199" x14ac:dyDescent="0.55000000000000004">
      <c r="AO79">
        <f ca="1"/>
      </c>
      <c r="AP79">
        <f ca="1"/>
      </c>
      <c r="AQ79">
        <f ca="1"/>
      </c>
      <c r="AR79">
        <f ca="1"/>
      </c>
      <c r="AS79">
        <f ca="1"/>
      </c>
      <c r="AT79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AZ79">
        <f ca="1"/>
      </c>
      <c r="BA79">
        <f ca="1"/>
      </c>
      <c r="BB79">
        <f ca="1"/>
      </c>
      <c r="BC79">
        <f ca="1"/>
      </c>
      <c r="BD79">
        <f ca="1"/>
      </c>
      <c r="BE79">
        <f ca="1"/>
      </c>
      <c r="BF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M79" s="7">
        <f ca="1"/>
      </c>
      <c r="GN79">
        <f ca="1"/>
      </c>
      <c r="GO79">
        <f ca="1"/>
      </c>
      <c r="GP79">
        <f ca="1"/>
      </c>
      <c r="GQ79">
        <f ca="1"/>
      </c>
    </row>
    <row r="80" spans="41:199" x14ac:dyDescent="0.55000000000000004">
      <c r="AO80">
        <f ca="1"/>
      </c>
      <c r="AP80">
        <f ca="1"/>
      </c>
      <c r="AQ80">
        <f ca="1"/>
      </c>
      <c r="AR80">
        <f ca="1"/>
      </c>
      <c r="AS80">
        <f ca="1"/>
      </c>
      <c r="AT80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AZ80">
        <f ca="1"/>
      </c>
      <c r="BA80">
        <f ca="1"/>
      </c>
      <c r="BB80">
        <f ca="1"/>
      </c>
      <c r="BC80">
        <f ca="1"/>
      </c>
      <c r="BD80">
        <f ca="1"/>
      </c>
      <c r="BE80">
        <f ca="1"/>
      </c>
      <c r="BF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M80" s="7">
        <f ca="1"/>
      </c>
      <c r="GN80">
        <f ca="1"/>
      </c>
      <c r="GO80">
        <f ca="1"/>
      </c>
      <c r="GP80">
        <f ca="1"/>
      </c>
      <c r="GQ80">
        <f ca="1"/>
      </c>
    </row>
    <row r="81" spans="41:199" x14ac:dyDescent="0.55000000000000004">
      <c r="AO81">
        <f ca="1"/>
      </c>
      <c r="AP81">
        <f ca="1"/>
      </c>
      <c r="AQ81">
        <f ca="1"/>
      </c>
      <c r="AR81">
        <f ca="1"/>
      </c>
      <c r="AS81">
        <f ca="1"/>
      </c>
      <c r="AT81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AZ81">
        <f ca="1"/>
      </c>
      <c r="BA81">
        <f ca="1"/>
      </c>
      <c r="BB81">
        <f ca="1"/>
      </c>
      <c r="BC81">
        <f ca="1"/>
      </c>
      <c r="BD81">
        <f ca="1"/>
      </c>
      <c r="BE81">
        <f ca="1"/>
      </c>
      <c r="BF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M81" s="7">
        <f ca="1"/>
      </c>
      <c r="GN81">
        <f ca="1"/>
      </c>
      <c r="GO81">
        <f ca="1"/>
      </c>
      <c r="GP81">
        <f ca="1"/>
      </c>
      <c r="GQ81">
        <f ca="1"/>
      </c>
    </row>
    <row r="82" spans="41:199" x14ac:dyDescent="0.55000000000000004">
      <c r="AO82">
        <f ca="1"/>
      </c>
      <c r="AP82">
        <f ca="1"/>
      </c>
      <c r="AQ82">
        <f ca="1"/>
      </c>
      <c r="AR82">
        <f ca="1"/>
      </c>
      <c r="AS82">
        <f ca="1"/>
      </c>
      <c r="AT82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AZ82">
        <f ca="1"/>
      </c>
      <c r="BA82">
        <f ca="1"/>
      </c>
      <c r="BB82">
        <f ca="1"/>
      </c>
      <c r="BC82">
        <f ca="1"/>
      </c>
      <c r="BD82">
        <f ca="1"/>
      </c>
      <c r="BE82">
        <f ca="1"/>
      </c>
      <c r="BF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M82" s="7">
        <f ca="1"/>
      </c>
      <c r="GN82">
        <f ca="1"/>
      </c>
      <c r="GO82">
        <f ca="1"/>
      </c>
      <c r="GP82">
        <f ca="1"/>
      </c>
      <c r="GQ82">
        <f ca="1"/>
      </c>
    </row>
    <row r="83" spans="41:199" x14ac:dyDescent="0.55000000000000004">
      <c r="AO83">
        <f ca="1"/>
      </c>
      <c r="AP83">
        <f ca="1"/>
      </c>
      <c r="AQ83">
        <f ca="1"/>
      </c>
      <c r="AR83">
        <f ca="1"/>
      </c>
      <c r="AS83">
        <f ca="1"/>
      </c>
      <c r="AT83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AZ83">
        <f ca="1"/>
      </c>
      <c r="BA83">
        <f ca="1"/>
      </c>
      <c r="BB83">
        <f ca="1"/>
      </c>
      <c r="BC83">
        <f ca="1"/>
      </c>
      <c r="BD83">
        <f ca="1"/>
      </c>
      <c r="BE83">
        <f ca="1"/>
      </c>
      <c r="BF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M83" s="7">
        <f ca="1"/>
      </c>
      <c r="GN83">
        <f ca="1"/>
      </c>
      <c r="GO83">
        <f ca="1"/>
      </c>
      <c r="GP83">
        <f ca="1"/>
      </c>
      <c r="GQ83">
        <f ca="1"/>
      </c>
    </row>
    <row r="84" spans="41:199" x14ac:dyDescent="0.55000000000000004">
      <c r="AO84">
        <f ca="1"/>
      </c>
      <c r="AP84">
        <f ca="1"/>
      </c>
      <c r="AQ84">
        <f ca="1"/>
      </c>
      <c r="AR84">
        <f ca="1"/>
      </c>
      <c r="AS84">
        <f ca="1"/>
      </c>
      <c r="AT84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AZ84">
        <f ca="1"/>
      </c>
      <c r="BA84">
        <f ca="1"/>
      </c>
      <c r="BB84">
        <f ca="1"/>
      </c>
      <c r="BC84">
        <f ca="1"/>
      </c>
      <c r="BD84">
        <f ca="1"/>
      </c>
      <c r="BE84">
        <f ca="1"/>
      </c>
      <c r="BF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M84" s="7">
        <f ca="1"/>
      </c>
      <c r="GN84">
        <f ca="1"/>
      </c>
      <c r="GO84">
        <f ca="1"/>
      </c>
      <c r="GP84">
        <f ca="1"/>
      </c>
      <c r="GQ84">
        <f ca="1"/>
      </c>
    </row>
    <row r="85" spans="41:199" x14ac:dyDescent="0.55000000000000004">
      <c r="AO85">
        <f ca="1"/>
      </c>
      <c r="AP85">
        <f ca="1"/>
      </c>
      <c r="AQ85">
        <f ca="1"/>
      </c>
      <c r="AR85">
        <f ca="1"/>
      </c>
      <c r="AS85">
        <f ca="1"/>
      </c>
      <c r="AT85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AZ85">
        <f ca="1"/>
      </c>
      <c r="BA85">
        <f ca="1"/>
      </c>
      <c r="BB85">
        <f ca="1"/>
      </c>
      <c r="BC85">
        <f ca="1"/>
      </c>
      <c r="BD85">
        <f ca="1"/>
      </c>
      <c r="BE85">
        <f ca="1"/>
      </c>
      <c r="BF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M85" s="7">
        <f ca="1"/>
      </c>
      <c r="GN85">
        <f ca="1"/>
      </c>
      <c r="GO85">
        <f ca="1"/>
      </c>
      <c r="GP85">
        <f ca="1"/>
      </c>
      <c r="GQ85">
        <f ca="1"/>
      </c>
    </row>
    <row r="86" spans="41:199" x14ac:dyDescent="0.55000000000000004">
      <c r="AO86">
        <f ca="1"/>
      </c>
      <c r="AP86">
        <f ca="1"/>
      </c>
      <c r="AQ86">
        <f ca="1"/>
      </c>
      <c r="AR86">
        <f ca="1"/>
      </c>
      <c r="AS86">
        <f ca="1"/>
      </c>
      <c r="AT86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AZ86">
        <f ca="1"/>
      </c>
      <c r="BA86">
        <f ca="1"/>
      </c>
      <c r="BB86">
        <f ca="1"/>
      </c>
      <c r="BC86">
        <f ca="1"/>
      </c>
      <c r="BD86">
        <f ca="1"/>
      </c>
      <c r="BE86">
        <f ca="1"/>
      </c>
      <c r="BF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M86" s="7">
        <f ca="1"/>
      </c>
      <c r="GN86">
        <f ca="1"/>
      </c>
      <c r="GO86">
        <f ca="1"/>
      </c>
      <c r="GP86">
        <f ca="1"/>
      </c>
      <c r="GQ86">
        <f ca="1"/>
      </c>
    </row>
    <row r="87" spans="41:199" x14ac:dyDescent="0.55000000000000004">
      <c r="AO87">
        <f ca="1"/>
      </c>
      <c r="AP87">
        <f ca="1"/>
      </c>
      <c r="AQ87">
        <f ca="1"/>
      </c>
      <c r="AR87">
        <f ca="1"/>
      </c>
      <c r="AS87">
        <f ca="1"/>
      </c>
      <c r="AT8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AZ87">
        <f ca="1"/>
      </c>
      <c r="BA87">
        <f ca="1"/>
      </c>
      <c r="BB87">
        <f ca="1"/>
      </c>
      <c r="BC87">
        <f ca="1"/>
      </c>
      <c r="BD87">
        <f ca="1"/>
      </c>
      <c r="BE87">
        <f ca="1"/>
      </c>
      <c r="BF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M87" s="7">
        <f ca="1"/>
      </c>
      <c r="GN87">
        <f ca="1"/>
      </c>
      <c r="GO87">
        <f ca="1"/>
      </c>
      <c r="GP87">
        <f ca="1"/>
      </c>
      <c r="GQ87">
        <f ca="1"/>
      </c>
    </row>
    <row r="88" spans="41:199" x14ac:dyDescent="0.55000000000000004">
      <c r="AO88">
        <f ca="1"/>
      </c>
      <c r="AP88">
        <f ca="1"/>
      </c>
      <c r="AQ88">
        <f ca="1"/>
      </c>
      <c r="AR88">
        <f ca="1"/>
      </c>
      <c r="AS88">
        <f ca="1"/>
      </c>
      <c r="AT88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AZ88">
        <f ca="1"/>
      </c>
      <c r="BA88">
        <f ca="1"/>
      </c>
      <c r="BB88">
        <f ca="1"/>
      </c>
      <c r="BC88">
        <f ca="1"/>
      </c>
      <c r="BD88">
        <f ca="1"/>
      </c>
      <c r="BE88">
        <f ca="1"/>
      </c>
      <c r="BF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M88" s="7">
        <f ca="1"/>
      </c>
      <c r="GN88">
        <f ca="1"/>
      </c>
      <c r="GO88">
        <f ca="1"/>
      </c>
      <c r="GP88">
        <f ca="1"/>
      </c>
      <c r="GQ88">
        <f ca="1"/>
      </c>
    </row>
    <row r="89" spans="41:199" x14ac:dyDescent="0.55000000000000004">
      <c r="AO89">
        <f ca="1"/>
      </c>
      <c r="AP89">
        <f ca="1"/>
      </c>
      <c r="AQ89">
        <f ca="1"/>
      </c>
      <c r="AR89">
        <f ca="1"/>
      </c>
      <c r="AS89">
        <f ca="1"/>
      </c>
      <c r="AT89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AZ89">
        <f ca="1"/>
      </c>
      <c r="BA89">
        <f ca="1"/>
      </c>
      <c r="BB89">
        <f ca="1"/>
      </c>
      <c r="BC89">
        <f ca="1"/>
      </c>
      <c r="BD89">
        <f ca="1"/>
      </c>
      <c r="BE89">
        <f ca="1"/>
      </c>
      <c r="BF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M89" s="7">
        <f ca="1"/>
      </c>
      <c r="GN89">
        <f ca="1"/>
      </c>
      <c r="GO89">
        <f ca="1"/>
      </c>
      <c r="GP89">
        <f ca="1"/>
      </c>
      <c r="GQ89">
        <f ca="1"/>
      </c>
    </row>
    <row r="90" spans="41:199" x14ac:dyDescent="0.55000000000000004">
      <c r="AO90">
        <f ca="1"/>
      </c>
      <c r="AP90">
        <f ca="1"/>
      </c>
      <c r="AQ90">
        <f ca="1"/>
      </c>
      <c r="AR90">
        <f ca="1"/>
      </c>
      <c r="AS90">
        <f ca="1"/>
      </c>
      <c r="AT90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AZ90">
        <f ca="1"/>
      </c>
      <c r="BA90">
        <f ca="1"/>
      </c>
      <c r="BB90">
        <f ca="1"/>
      </c>
      <c r="BC90">
        <f ca="1"/>
      </c>
      <c r="BD90">
        <f ca="1"/>
      </c>
      <c r="BE90">
        <f ca="1"/>
      </c>
      <c r="BF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M90" s="7">
        <f ca="1"/>
      </c>
      <c r="GN90">
        <f ca="1"/>
      </c>
      <c r="GO90">
        <f ca="1"/>
      </c>
      <c r="GP90">
        <f ca="1"/>
      </c>
      <c r="GQ90">
        <f ca="1"/>
      </c>
    </row>
    <row r="91" spans="41:199" x14ac:dyDescent="0.55000000000000004">
      <c r="AO91">
        <f ca="1"/>
      </c>
      <c r="AP91">
        <f ca="1"/>
      </c>
      <c r="AQ91">
        <f ca="1"/>
      </c>
      <c r="AR91">
        <f ca="1"/>
      </c>
      <c r="AS91">
        <f ca="1"/>
      </c>
      <c r="AT91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AZ91">
        <f ca="1"/>
      </c>
      <c r="BA91">
        <f ca="1"/>
      </c>
      <c r="BB91">
        <f ca="1"/>
      </c>
      <c r="BC91">
        <f ca="1"/>
      </c>
      <c r="BD91">
        <f ca="1"/>
      </c>
      <c r="BE91">
        <f ca="1"/>
      </c>
      <c r="BF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M91" s="7">
        <f ca="1"/>
      </c>
      <c r="GN91">
        <f ca="1"/>
      </c>
      <c r="GO91">
        <f ca="1"/>
      </c>
      <c r="GP91">
        <f ca="1"/>
      </c>
      <c r="GQ91">
        <f ca="1"/>
      </c>
    </row>
    <row r="92" spans="41:199" x14ac:dyDescent="0.55000000000000004">
      <c r="AO92">
        <f ca="1"/>
      </c>
      <c r="AP92">
        <f ca="1"/>
      </c>
      <c r="AQ92">
        <f ca="1"/>
      </c>
      <c r="AR92">
        <f ca="1"/>
      </c>
      <c r="AS92">
        <f ca="1"/>
      </c>
      <c r="AT92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AZ92">
        <f ca="1"/>
      </c>
      <c r="BA92">
        <f ca="1"/>
      </c>
      <c r="BB92">
        <f ca="1"/>
      </c>
      <c r="BC92">
        <f ca="1"/>
      </c>
      <c r="BD92">
        <f ca="1"/>
      </c>
      <c r="BE92">
        <f ca="1"/>
      </c>
      <c r="BF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M92" s="7">
        <f ca="1"/>
      </c>
      <c r="GN92">
        <f ca="1"/>
      </c>
      <c r="GO92">
        <f ca="1"/>
      </c>
      <c r="GP92">
        <f ca="1"/>
      </c>
      <c r="GQ92">
        <f ca="1"/>
      </c>
    </row>
    <row r="93" spans="41:199" x14ac:dyDescent="0.55000000000000004">
      <c r="AO93">
        <f ca="1"/>
      </c>
      <c r="AP93">
        <f ca="1"/>
      </c>
      <c r="AQ93">
        <f ca="1"/>
      </c>
      <c r="AR93">
        <f ca="1"/>
      </c>
      <c r="AS93">
        <f ca="1"/>
      </c>
      <c r="AT93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AZ93">
        <f ca="1"/>
      </c>
      <c r="BA93">
        <f ca="1"/>
      </c>
      <c r="BB93">
        <f ca="1"/>
      </c>
      <c r="BC93">
        <f ca="1"/>
      </c>
      <c r="BD93">
        <f ca="1"/>
      </c>
      <c r="BE93">
        <f ca="1"/>
      </c>
      <c r="BF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M93" s="7">
        <f ca="1"/>
      </c>
      <c r="GN93">
        <f ca="1"/>
      </c>
      <c r="GO93">
        <f ca="1"/>
      </c>
      <c r="GP93">
        <f ca="1"/>
      </c>
      <c r="GQ93">
        <f ca="1"/>
      </c>
    </row>
    <row r="94" spans="41:199" x14ac:dyDescent="0.55000000000000004">
      <c r="AO94">
        <f ca="1"/>
      </c>
      <c r="AP94">
        <f ca="1"/>
      </c>
      <c r="AQ94">
        <f ca="1"/>
      </c>
      <c r="AR94">
        <f ca="1"/>
      </c>
      <c r="AS94">
        <f ca="1"/>
      </c>
      <c r="AT94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AZ94">
        <f ca="1"/>
      </c>
      <c r="BA94">
        <f ca="1"/>
      </c>
      <c r="BB94">
        <f ca="1"/>
      </c>
      <c r="BC94">
        <f ca="1"/>
      </c>
      <c r="BD94">
        <f ca="1"/>
      </c>
      <c r="BE94">
        <f ca="1"/>
      </c>
      <c r="BF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M94" s="7">
        <f ca="1"/>
      </c>
      <c r="GN94">
        <f ca="1"/>
      </c>
      <c r="GO94">
        <f ca="1"/>
      </c>
      <c r="GP94">
        <f ca="1"/>
      </c>
      <c r="GQ94">
        <f ca="1"/>
      </c>
    </row>
    <row r="95" spans="41:199" x14ac:dyDescent="0.55000000000000004">
      <c r="AO95">
        <f ca="1"/>
      </c>
      <c r="AP95">
        <f ca="1"/>
      </c>
      <c r="AQ95">
        <f ca="1"/>
      </c>
      <c r="AR95">
        <f ca="1"/>
      </c>
      <c r="AS95">
        <f ca="1"/>
      </c>
      <c r="AT95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AZ95">
        <f ca="1"/>
      </c>
      <c r="BA95">
        <f ca="1"/>
      </c>
      <c r="BB95">
        <f ca="1"/>
      </c>
      <c r="BC95">
        <f ca="1"/>
      </c>
      <c r="BD95">
        <f ca="1"/>
      </c>
      <c r="BE95">
        <f ca="1"/>
      </c>
      <c r="BF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M95" s="7">
        <f ca="1"/>
      </c>
      <c r="GN95">
        <f ca="1"/>
      </c>
      <c r="GO95">
        <f ca="1"/>
      </c>
      <c r="GP95">
        <f ca="1"/>
      </c>
      <c r="GQ95">
        <f ca="1"/>
      </c>
    </row>
    <row r="96" spans="41:199" x14ac:dyDescent="0.55000000000000004">
      <c r="AO96">
        <f ca="1"/>
      </c>
      <c r="AP96">
        <f ca="1"/>
      </c>
      <c r="AQ96">
        <f ca="1"/>
      </c>
      <c r="AR96">
        <f ca="1"/>
      </c>
      <c r="AS96">
        <f ca="1"/>
      </c>
      <c r="AT96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AZ96">
        <f ca="1"/>
      </c>
      <c r="BA96">
        <f ca="1"/>
      </c>
      <c r="BB96">
        <f ca="1"/>
      </c>
      <c r="BC96">
        <f ca="1"/>
      </c>
      <c r="BD96">
        <f ca="1"/>
      </c>
      <c r="BE96">
        <f ca="1"/>
      </c>
      <c r="BF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M96" s="7">
        <f ca="1"/>
      </c>
      <c r="GN96">
        <f ca="1"/>
      </c>
      <c r="GO96">
        <f ca="1"/>
      </c>
      <c r="GP96">
        <f ca="1"/>
      </c>
      <c r="GQ96">
        <f ca="1"/>
      </c>
    </row>
    <row r="97" spans="41:199" x14ac:dyDescent="0.55000000000000004">
      <c r="AO97">
        <f ca="1"/>
      </c>
      <c r="AP97">
        <f ca="1"/>
      </c>
      <c r="AQ97">
        <f ca="1"/>
      </c>
      <c r="AR97">
        <f ca="1"/>
      </c>
      <c r="AS97">
        <f ca="1"/>
      </c>
      <c r="AT9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AZ97">
        <f ca="1"/>
      </c>
      <c r="BA97">
        <f ca="1"/>
      </c>
      <c r="BB97">
        <f ca="1"/>
      </c>
      <c r="BC97">
        <f ca="1"/>
      </c>
      <c r="BD97">
        <f ca="1"/>
      </c>
      <c r="BE97">
        <f ca="1"/>
      </c>
      <c r="BF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M97" s="7">
        <f ca="1"/>
      </c>
      <c r="GN97">
        <f ca="1"/>
      </c>
      <c r="GO97">
        <f ca="1"/>
      </c>
      <c r="GP97">
        <f ca="1"/>
      </c>
      <c r="GQ97">
        <f ca="1"/>
      </c>
    </row>
    <row r="98" spans="41:199" x14ac:dyDescent="0.55000000000000004">
      <c r="AO98">
        <f ca="1"/>
      </c>
      <c r="AP98">
        <f ca="1"/>
      </c>
      <c r="AQ98">
        <f ca="1"/>
      </c>
      <c r="AR98">
        <f ca="1"/>
      </c>
      <c r="AS98">
        <f ca="1"/>
      </c>
      <c r="AT98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AZ98">
        <f ca="1"/>
      </c>
      <c r="BA98">
        <f ca="1"/>
      </c>
      <c r="BB98">
        <f ca="1"/>
      </c>
      <c r="BC98">
        <f ca="1"/>
      </c>
      <c r="BD98">
        <f ca="1"/>
      </c>
      <c r="BE98">
        <f ca="1"/>
      </c>
      <c r="BF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M98" s="7">
        <f ca="1"/>
      </c>
      <c r="GN98">
        <f ca="1"/>
      </c>
      <c r="GO98">
        <f ca="1"/>
      </c>
      <c r="GP98">
        <f ca="1"/>
      </c>
      <c r="GQ98">
        <f ca="1"/>
      </c>
    </row>
    <row r="99" spans="41:199" x14ac:dyDescent="0.55000000000000004">
      <c r="AO99">
        <f ca="1"/>
      </c>
      <c r="AP99">
        <f ca="1"/>
      </c>
      <c r="AQ99">
        <f ca="1"/>
      </c>
      <c r="AR99">
        <f ca="1"/>
      </c>
      <c r="AS99">
        <f ca="1"/>
      </c>
      <c r="AT99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AZ99">
        <f ca="1"/>
      </c>
      <c r="BA99">
        <f ca="1"/>
      </c>
      <c r="BB99">
        <f ca="1"/>
      </c>
      <c r="BC99">
        <f ca="1"/>
      </c>
      <c r="BD99">
        <f ca="1"/>
      </c>
      <c r="BE99">
        <f ca="1"/>
      </c>
      <c r="BF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M99" s="7">
        <f ca="1"/>
      </c>
      <c r="GN99">
        <f ca="1"/>
      </c>
      <c r="GO99">
        <f ca="1"/>
      </c>
      <c r="GP99">
        <f ca="1"/>
      </c>
      <c r="GQ99">
        <f ca="1"/>
      </c>
    </row>
    <row r="100" spans="41:199" x14ac:dyDescent="0.55000000000000004">
      <c r="AO100">
        <f ca="1"/>
      </c>
      <c r="AP100">
        <f ca="1"/>
      </c>
      <c r="AQ100">
        <f ca="1"/>
      </c>
      <c r="AR100">
        <f ca="1"/>
      </c>
      <c r="AS100">
        <f ca="1"/>
      </c>
      <c r="AT100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AZ100">
        <f ca="1"/>
      </c>
      <c r="BA100">
        <f ca="1"/>
      </c>
      <c r="BB100">
        <f ca="1"/>
      </c>
      <c r="BC100">
        <f ca="1"/>
      </c>
      <c r="BD100">
        <f ca="1"/>
      </c>
      <c r="BE100">
        <f ca="1"/>
      </c>
      <c r="BF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M100" s="7">
        <f ca="1"/>
      </c>
      <c r="GN100">
        <f ca="1"/>
      </c>
      <c r="GO100">
        <f ca="1"/>
      </c>
      <c r="GP100">
        <f ca="1"/>
      </c>
      <c r="GQ100">
        <f ca="1"/>
      </c>
    </row>
    <row r="101" spans="41:199" x14ac:dyDescent="0.55000000000000004">
      <c r="AO101">
        <f ca="1"/>
      </c>
      <c r="AP101">
        <f ca="1"/>
      </c>
      <c r="AQ101">
        <f ca="1"/>
      </c>
      <c r="AR101">
        <f ca="1"/>
      </c>
      <c r="AS101">
        <f ca="1"/>
      </c>
      <c r="AT101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AZ101">
        <f ca="1"/>
      </c>
      <c r="BA101">
        <f ca="1"/>
      </c>
      <c r="BB101">
        <f ca="1"/>
      </c>
      <c r="BC101">
        <f ca="1"/>
      </c>
      <c r="BD101">
        <f ca="1"/>
      </c>
      <c r="BE101">
        <f ca="1"/>
      </c>
      <c r="BF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M101" s="7">
        <f ca="1"/>
      </c>
      <c r="GN101">
        <f ca="1"/>
      </c>
      <c r="GO101">
        <f ca="1"/>
      </c>
      <c r="GP101">
        <f ca="1"/>
      </c>
      <c r="GQ101">
        <f ca="1"/>
      </c>
    </row>
    <row r="102" spans="41:199" x14ac:dyDescent="0.55000000000000004">
      <c r="AO102">
        <f ca="1"/>
      </c>
      <c r="AP102">
        <f ca="1"/>
      </c>
      <c r="AQ102">
        <f ca="1"/>
      </c>
      <c r="AR102">
        <f ca="1"/>
      </c>
      <c r="AS102">
        <f ca="1"/>
      </c>
      <c r="AT102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AZ102">
        <f ca="1"/>
      </c>
      <c r="BA102">
        <f ca="1"/>
      </c>
      <c r="BB102">
        <f ca="1"/>
      </c>
      <c r="BC102">
        <f ca="1"/>
      </c>
      <c r="BD102">
        <f ca="1"/>
      </c>
      <c r="BE102">
        <f ca="1"/>
      </c>
      <c r="BF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M102" s="7">
        <f ca="1"/>
      </c>
      <c r="GN102">
        <f ca="1"/>
      </c>
      <c r="GO102">
        <f ca="1"/>
      </c>
      <c r="GP102">
        <f ca="1"/>
      </c>
      <c r="GQ102">
        <f ca="1"/>
      </c>
    </row>
    <row r="103" spans="41:199" x14ac:dyDescent="0.55000000000000004">
      <c r="AO103">
        <f ca="1"/>
      </c>
      <c r="AP103">
        <f ca="1"/>
      </c>
      <c r="AQ103">
        <f ca="1"/>
      </c>
      <c r="AR103">
        <f ca="1"/>
      </c>
      <c r="AS103">
        <f ca="1"/>
      </c>
      <c r="AT103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AZ103">
        <f ca="1"/>
      </c>
      <c r="BA103">
        <f ca="1"/>
      </c>
      <c r="BB103">
        <f ca="1"/>
      </c>
      <c r="BC103">
        <f ca="1"/>
      </c>
      <c r="BD103">
        <f ca="1"/>
      </c>
      <c r="BE103">
        <f ca="1"/>
      </c>
      <c r="BF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M103" s="7">
        <f ca="1"/>
      </c>
      <c r="GN103">
        <f ca="1"/>
      </c>
      <c r="GO103">
        <f ca="1"/>
      </c>
      <c r="GP103">
        <f ca="1"/>
      </c>
      <c r="GQ103">
        <f ca="1"/>
      </c>
    </row>
    <row r="104" spans="41:199" x14ac:dyDescent="0.55000000000000004">
      <c r="AO104">
        <f ca="1"/>
      </c>
      <c r="AP104">
        <f ca="1"/>
      </c>
      <c r="AQ104">
        <f ca="1"/>
      </c>
      <c r="AR104">
        <f ca="1"/>
      </c>
      <c r="AS104">
        <f ca="1"/>
      </c>
      <c r="AT104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AZ104">
        <f ca="1"/>
      </c>
      <c r="BA104">
        <f ca="1"/>
      </c>
      <c r="BB104">
        <f ca="1"/>
      </c>
      <c r="BC104">
        <f ca="1"/>
      </c>
      <c r="BD104">
        <f ca="1"/>
      </c>
      <c r="BE104">
        <f ca="1"/>
      </c>
      <c r="BF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M104" s="7">
        <f ca="1"/>
      </c>
      <c r="GN104">
        <f ca="1"/>
      </c>
      <c r="GO104">
        <f ca="1"/>
      </c>
      <c r="GP104">
        <f ca="1"/>
      </c>
      <c r="GQ104">
        <f ca="1"/>
      </c>
    </row>
    <row r="105" spans="41:199" x14ac:dyDescent="0.55000000000000004">
      <c r="AO105">
        <f ca="1"/>
      </c>
      <c r="AP105">
        <f ca="1"/>
      </c>
      <c r="AQ105">
        <f ca="1"/>
      </c>
      <c r="AR105">
        <f ca="1"/>
      </c>
      <c r="AS105">
        <f ca="1"/>
      </c>
      <c r="AT105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AZ105">
        <f ca="1"/>
      </c>
      <c r="BA105">
        <f ca="1"/>
      </c>
      <c r="BB105">
        <f ca="1"/>
      </c>
      <c r="BC105">
        <f ca="1"/>
      </c>
      <c r="BD105">
        <f ca="1"/>
      </c>
      <c r="BE105">
        <f ca="1"/>
      </c>
      <c r="BF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M105" s="7">
        <f ca="1"/>
      </c>
      <c r="GN105">
        <f ca="1"/>
      </c>
      <c r="GO105">
        <f ca="1"/>
      </c>
      <c r="GP105">
        <f ca="1"/>
      </c>
      <c r="GQ105">
        <f ca="1"/>
      </c>
    </row>
    <row r="106" spans="41:199" x14ac:dyDescent="0.55000000000000004">
      <c r="AO106">
        <f ca="1"/>
      </c>
      <c r="AP106">
        <f ca="1"/>
      </c>
      <c r="AQ106">
        <f ca="1"/>
      </c>
      <c r="AR106">
        <f ca="1"/>
      </c>
      <c r="AS106">
        <f ca="1"/>
      </c>
      <c r="AT106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AZ106">
        <f ca="1"/>
      </c>
      <c r="BA106">
        <f ca="1"/>
      </c>
      <c r="BB106">
        <f ca="1"/>
      </c>
      <c r="BC106">
        <f ca="1"/>
      </c>
      <c r="BD106">
        <f ca="1"/>
      </c>
      <c r="BE106">
        <f ca="1"/>
      </c>
      <c r="BF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M106" s="7">
        <f ca="1"/>
      </c>
      <c r="GN106">
        <f ca="1"/>
      </c>
      <c r="GO106">
        <f ca="1"/>
      </c>
      <c r="GP106">
        <f ca="1"/>
      </c>
      <c r="GQ106">
        <f ca="1"/>
      </c>
    </row>
    <row r="107" spans="41:199" x14ac:dyDescent="0.55000000000000004">
      <c r="AO107">
        <f ca="1"/>
      </c>
      <c r="AP107">
        <f ca="1"/>
      </c>
      <c r="AQ107">
        <f ca="1"/>
      </c>
      <c r="AR107">
        <f ca="1"/>
      </c>
      <c r="AS107">
        <f ca="1"/>
      </c>
      <c r="AT10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AZ107">
        <f ca="1"/>
      </c>
      <c r="BA107">
        <f ca="1"/>
      </c>
      <c r="BB107">
        <f ca="1"/>
      </c>
      <c r="BC107">
        <f ca="1"/>
      </c>
      <c r="BD107">
        <f ca="1"/>
      </c>
      <c r="BE107">
        <f ca="1"/>
      </c>
      <c r="BF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M107" s="7">
        <f ca="1"/>
      </c>
      <c r="GN107">
        <f ca="1"/>
      </c>
      <c r="GO107">
        <f ca="1"/>
      </c>
      <c r="GP107">
        <f ca="1"/>
      </c>
      <c r="GQ107">
        <f ca="1"/>
      </c>
    </row>
    <row r="108" spans="41:199" x14ac:dyDescent="0.55000000000000004">
      <c r="AO108">
        <f ca="1"/>
      </c>
      <c r="AP108">
        <f ca="1"/>
      </c>
      <c r="AQ108">
        <f ca="1"/>
      </c>
      <c r="AR108">
        <f ca="1"/>
      </c>
      <c r="AS108">
        <f ca="1"/>
      </c>
      <c r="AT108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AZ108">
        <f ca="1"/>
      </c>
      <c r="BA108">
        <f ca="1"/>
      </c>
      <c r="BB108">
        <f ca="1"/>
      </c>
      <c r="BC108">
        <f ca="1"/>
      </c>
      <c r="BD108">
        <f ca="1"/>
      </c>
      <c r="BE108">
        <f ca="1"/>
      </c>
      <c r="BF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M108" s="7">
        <f ca="1"/>
      </c>
      <c r="GN108">
        <f ca="1"/>
      </c>
      <c r="GO108">
        <f ca="1"/>
      </c>
      <c r="GP108">
        <f ca="1"/>
      </c>
      <c r="GQ108">
        <f ca="1"/>
      </c>
    </row>
    <row r="109" spans="41:199" x14ac:dyDescent="0.55000000000000004">
      <c r="AO109">
        <f ca="1"/>
      </c>
      <c r="AP109">
        <f ca="1"/>
      </c>
      <c r="AQ109">
        <f ca="1"/>
      </c>
      <c r="AR109">
        <f ca="1"/>
      </c>
      <c r="AS109">
        <f ca="1"/>
      </c>
      <c r="AT109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AZ109">
        <f ca="1"/>
      </c>
      <c r="BA109">
        <f ca="1"/>
      </c>
      <c r="BB109">
        <f ca="1"/>
      </c>
      <c r="BC109">
        <f ca="1"/>
      </c>
      <c r="BD109">
        <f ca="1"/>
      </c>
      <c r="BE109">
        <f ca="1"/>
      </c>
      <c r="BF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M109" s="7">
        <f ca="1"/>
      </c>
      <c r="GN109">
        <f ca="1"/>
      </c>
      <c r="GO109">
        <f ca="1"/>
      </c>
      <c r="GP109">
        <f ca="1"/>
      </c>
      <c r="GQ109">
        <f ca="1"/>
      </c>
    </row>
    <row r="110" spans="41:199" x14ac:dyDescent="0.55000000000000004">
      <c r="AO110">
        <f ca="1"/>
      </c>
      <c r="AP110">
        <f ca="1"/>
      </c>
      <c r="AQ110">
        <f ca="1"/>
      </c>
      <c r="AR110">
        <f ca="1"/>
      </c>
      <c r="AS110">
        <f ca="1"/>
      </c>
      <c r="AT110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AZ110">
        <f ca="1"/>
      </c>
      <c r="BA110">
        <f ca="1"/>
      </c>
      <c r="BB110">
        <f ca="1"/>
      </c>
      <c r="BC110">
        <f ca="1"/>
      </c>
      <c r="BD110">
        <f ca="1"/>
      </c>
      <c r="BE110">
        <f ca="1"/>
      </c>
      <c r="BF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M110" s="7">
        <f ca="1"/>
      </c>
      <c r="GN110">
        <f ca="1"/>
      </c>
      <c r="GO110">
        <f ca="1"/>
      </c>
      <c r="GP110">
        <f ca="1"/>
      </c>
      <c r="GQ110">
        <f ca="1"/>
      </c>
    </row>
    <row r="111" spans="41:199" x14ac:dyDescent="0.55000000000000004">
      <c r="AO111">
        <f ca="1"/>
      </c>
      <c r="AP111">
        <f ca="1"/>
      </c>
      <c r="AQ111">
        <f ca="1"/>
      </c>
      <c r="AR111">
        <f ca="1"/>
      </c>
      <c r="AS111">
        <f ca="1"/>
      </c>
      <c r="AT111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AZ111">
        <f ca="1"/>
      </c>
      <c r="BA111">
        <f ca="1"/>
      </c>
      <c r="BB111">
        <f ca="1"/>
      </c>
      <c r="BC111">
        <f ca="1"/>
      </c>
      <c r="BD111">
        <f ca="1"/>
      </c>
      <c r="BE111">
        <f ca="1"/>
      </c>
      <c r="BF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M111" s="7">
        <f ca="1"/>
      </c>
      <c r="GN111">
        <f ca="1"/>
      </c>
      <c r="GO111">
        <f ca="1"/>
      </c>
      <c r="GP111">
        <f ca="1"/>
      </c>
      <c r="GQ111">
        <f ca="1"/>
      </c>
    </row>
    <row r="112" spans="41:199" x14ac:dyDescent="0.55000000000000004">
      <c r="AO112">
        <f ca="1"/>
      </c>
      <c r="AP112">
        <f ca="1"/>
      </c>
      <c r="AQ112">
        <f ca="1"/>
      </c>
      <c r="AR112">
        <f ca="1"/>
      </c>
      <c r="AS112">
        <f ca="1"/>
      </c>
      <c r="AT112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AZ112">
        <f ca="1"/>
      </c>
      <c r="BA112">
        <f ca="1"/>
      </c>
      <c r="BB112">
        <f ca="1"/>
      </c>
      <c r="BC112">
        <f ca="1"/>
      </c>
      <c r="BD112">
        <f ca="1"/>
      </c>
      <c r="BE112">
        <f ca="1"/>
      </c>
      <c r="BF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M112" s="7">
        <f ca="1"/>
      </c>
      <c r="GN112">
        <f ca="1"/>
      </c>
      <c r="GO112">
        <f ca="1"/>
      </c>
      <c r="GP112">
        <f ca="1"/>
      </c>
      <c r="GQ112">
        <f ca="1"/>
      </c>
    </row>
    <row r="113" spans="41:199" x14ac:dyDescent="0.55000000000000004">
      <c r="AO113">
        <f ca="1"/>
      </c>
      <c r="AP113">
        <f ca="1"/>
      </c>
      <c r="AQ113">
        <f ca="1"/>
      </c>
      <c r="AR113">
        <f ca="1"/>
      </c>
      <c r="AS113">
        <f ca="1"/>
      </c>
      <c r="AT113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AZ113">
        <f ca="1"/>
      </c>
      <c r="BA113">
        <f ca="1"/>
      </c>
      <c r="BB113">
        <f ca="1"/>
      </c>
      <c r="BC113">
        <f ca="1"/>
      </c>
      <c r="BD113">
        <f ca="1"/>
      </c>
      <c r="BE113">
        <f ca="1"/>
      </c>
      <c r="BF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M113" s="7">
        <f ca="1"/>
      </c>
      <c r="GN113">
        <f ca="1"/>
      </c>
      <c r="GO113">
        <f ca="1"/>
      </c>
      <c r="GP113">
        <f ca="1"/>
      </c>
      <c r="GQ113">
        <f ca="1"/>
      </c>
    </row>
    <row r="114" spans="41:199" x14ac:dyDescent="0.55000000000000004">
      <c r="AO114">
        <f ca="1"/>
      </c>
      <c r="AP114">
        <f ca="1"/>
      </c>
      <c r="AQ114">
        <f ca="1"/>
      </c>
      <c r="AR114">
        <f ca="1"/>
      </c>
      <c r="AS114">
        <f ca="1"/>
      </c>
      <c r="AT114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AZ114">
        <f ca="1"/>
      </c>
      <c r="BA114">
        <f ca="1"/>
      </c>
      <c r="BB114">
        <f ca="1"/>
      </c>
      <c r="BC114">
        <f ca="1"/>
      </c>
      <c r="BD114">
        <f ca="1"/>
      </c>
      <c r="BE114">
        <f ca="1"/>
      </c>
      <c r="BF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M114" s="7">
        <f ca="1"/>
      </c>
      <c r="GN114">
        <f ca="1"/>
      </c>
      <c r="GO114">
        <f ca="1"/>
      </c>
      <c r="GP114">
        <f ca="1"/>
      </c>
      <c r="GQ114">
        <f ca="1"/>
      </c>
    </row>
    <row r="115" spans="41:199" x14ac:dyDescent="0.55000000000000004">
      <c r="AO115">
        <f ca="1"/>
      </c>
      <c r="AP115">
        <f ca="1"/>
      </c>
      <c r="AQ115">
        <f ca="1"/>
      </c>
      <c r="AR115">
        <f ca="1"/>
      </c>
      <c r="AS115">
        <f ca="1"/>
      </c>
      <c r="AT115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AZ115">
        <f ca="1"/>
      </c>
      <c r="BA115">
        <f ca="1"/>
      </c>
      <c r="BB115">
        <f ca="1"/>
      </c>
      <c r="BC115">
        <f ca="1"/>
      </c>
      <c r="BD115">
        <f ca="1"/>
      </c>
      <c r="BE115">
        <f ca="1"/>
      </c>
      <c r="BF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M115" s="7">
        <f ca="1"/>
      </c>
      <c r="GN115">
        <f ca="1"/>
      </c>
      <c r="GO115">
        <f ca="1"/>
      </c>
      <c r="GP115">
        <f ca="1"/>
      </c>
      <c r="GQ115">
        <f ca="1"/>
      </c>
    </row>
    <row r="116" spans="41:199" x14ac:dyDescent="0.55000000000000004">
      <c r="AO116">
        <f ca="1"/>
      </c>
      <c r="AP116">
        <f ca="1"/>
      </c>
      <c r="AQ116">
        <f ca="1"/>
      </c>
      <c r="AR116">
        <f ca="1"/>
      </c>
      <c r="AS116">
        <f ca="1"/>
      </c>
      <c r="AT116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AZ116">
        <f ca="1"/>
      </c>
      <c r="BA116">
        <f ca="1"/>
      </c>
      <c r="BB116">
        <f ca="1"/>
      </c>
      <c r="BC116">
        <f ca="1"/>
      </c>
      <c r="BD116">
        <f ca="1"/>
      </c>
      <c r="BE116">
        <f ca="1"/>
      </c>
      <c r="BF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M116" s="7">
        <f ca="1"/>
      </c>
      <c r="GN116">
        <f ca="1"/>
      </c>
      <c r="GO116">
        <f ca="1"/>
      </c>
      <c r="GP116">
        <f ca="1"/>
      </c>
      <c r="GQ116">
        <f ca="1"/>
      </c>
    </row>
    <row r="117" spans="41:199" x14ac:dyDescent="0.55000000000000004">
      <c r="AO117">
        <f ca="1"/>
      </c>
      <c r="AP117">
        <f ca="1"/>
      </c>
      <c r="AQ117">
        <f ca="1"/>
      </c>
      <c r="AR117">
        <f ca="1"/>
      </c>
      <c r="AS117">
        <f ca="1"/>
      </c>
      <c r="AT11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AZ117">
        <f ca="1"/>
      </c>
      <c r="BA117">
        <f ca="1"/>
      </c>
      <c r="BB117">
        <f ca="1"/>
      </c>
      <c r="BC117">
        <f ca="1"/>
      </c>
      <c r="BD117">
        <f ca="1"/>
      </c>
      <c r="BE117">
        <f ca="1"/>
      </c>
      <c r="BF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M117" s="7">
        <f ca="1"/>
      </c>
      <c r="GN117">
        <f ca="1"/>
      </c>
      <c r="GO117">
        <f ca="1"/>
      </c>
      <c r="GP117">
        <f ca="1"/>
      </c>
      <c r="GQ117">
        <f ca="1"/>
      </c>
    </row>
    <row r="118" spans="41:199" x14ac:dyDescent="0.55000000000000004">
      <c r="AO118">
        <f ca="1"/>
      </c>
      <c r="AP118">
        <f ca="1"/>
      </c>
      <c r="AQ118">
        <f ca="1"/>
      </c>
      <c r="AR118">
        <f ca="1"/>
      </c>
      <c r="AS118">
        <f ca="1"/>
      </c>
      <c r="AT118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AZ118">
        <f ca="1"/>
      </c>
      <c r="BA118">
        <f ca="1"/>
      </c>
      <c r="BB118">
        <f ca="1"/>
      </c>
      <c r="BC118">
        <f ca="1"/>
      </c>
      <c r="BD118">
        <f ca="1"/>
      </c>
      <c r="BE118">
        <f ca="1"/>
      </c>
      <c r="BF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M118" s="7">
        <f ca="1"/>
      </c>
      <c r="GN118">
        <f ca="1"/>
      </c>
      <c r="GO118">
        <f ca="1"/>
      </c>
      <c r="GP118">
        <f ca="1"/>
      </c>
      <c r="GQ118">
        <f ca="1"/>
      </c>
    </row>
    <row r="119" spans="41:199" x14ac:dyDescent="0.55000000000000004">
      <c r="AO119">
        <f ca="1"/>
      </c>
      <c r="AP119">
        <f ca="1"/>
      </c>
      <c r="AQ119">
        <f ca="1"/>
      </c>
      <c r="AR119">
        <f ca="1"/>
      </c>
      <c r="AS119">
        <f ca="1"/>
      </c>
      <c r="AT119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AZ119">
        <f ca="1"/>
      </c>
      <c r="BA119">
        <f ca="1"/>
      </c>
      <c r="BB119">
        <f ca="1"/>
      </c>
      <c r="BC119">
        <f ca="1"/>
      </c>
      <c r="BD119">
        <f ca="1"/>
      </c>
      <c r="BE119">
        <f ca="1"/>
      </c>
      <c r="BF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M119" s="7">
        <f ca="1"/>
      </c>
      <c r="GN119">
        <f ca="1"/>
      </c>
      <c r="GO119">
        <f ca="1"/>
      </c>
      <c r="GP119">
        <f ca="1"/>
      </c>
      <c r="GQ119">
        <f ca="1"/>
      </c>
    </row>
    <row r="120" spans="41:199" x14ac:dyDescent="0.55000000000000004">
      <c r="AO120">
        <f ca="1"/>
      </c>
      <c r="AP120">
        <f ca="1"/>
      </c>
      <c r="AQ120">
        <f ca="1"/>
      </c>
      <c r="AR120">
        <f ca="1"/>
      </c>
      <c r="AS120">
        <f ca="1"/>
      </c>
      <c r="AT120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AZ120">
        <f ca="1"/>
      </c>
      <c r="BA120">
        <f ca="1"/>
      </c>
      <c r="BB120">
        <f ca="1"/>
      </c>
      <c r="BC120">
        <f ca="1"/>
      </c>
      <c r="BD120">
        <f ca="1"/>
      </c>
      <c r="BE120">
        <f ca="1"/>
      </c>
      <c r="BF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M120" s="7">
        <f ca="1"/>
      </c>
      <c r="GN120">
        <f ca="1"/>
      </c>
      <c r="GO120">
        <f ca="1"/>
      </c>
      <c r="GP120">
        <f ca="1"/>
      </c>
      <c r="GQ120">
        <f ca="1"/>
      </c>
    </row>
    <row r="121" spans="41:199" x14ac:dyDescent="0.55000000000000004">
      <c r="AO121">
        <f ca="1"/>
      </c>
      <c r="AP121">
        <f ca="1"/>
      </c>
      <c r="AQ121">
        <f ca="1"/>
      </c>
      <c r="AR121">
        <f ca="1"/>
      </c>
      <c r="AS121">
        <f ca="1"/>
      </c>
      <c r="AT121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AZ121">
        <f ca="1"/>
      </c>
      <c r="BA121">
        <f ca="1"/>
      </c>
      <c r="BB121">
        <f ca="1"/>
      </c>
      <c r="BC121">
        <f ca="1"/>
      </c>
      <c r="BD121">
        <f ca="1"/>
      </c>
      <c r="BE121">
        <f ca="1"/>
      </c>
      <c r="BF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M121" s="7">
        <f ca="1"/>
      </c>
      <c r="GN121">
        <f ca="1"/>
      </c>
      <c r="GO121">
        <f ca="1"/>
      </c>
      <c r="GP121">
        <f ca="1"/>
      </c>
      <c r="GQ121">
        <f ca="1"/>
      </c>
    </row>
    <row r="122" spans="41:199" x14ac:dyDescent="0.55000000000000004">
      <c r="AO122">
        <f ca="1"/>
      </c>
      <c r="AP122">
        <f ca="1"/>
      </c>
      <c r="AQ122">
        <f ca="1"/>
      </c>
      <c r="AR122">
        <f ca="1"/>
      </c>
      <c r="AS122">
        <f ca="1"/>
      </c>
      <c r="AT122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AZ122">
        <f ca="1"/>
      </c>
      <c r="BA122">
        <f ca="1"/>
      </c>
      <c r="BB122">
        <f ca="1"/>
      </c>
      <c r="BC122">
        <f ca="1"/>
      </c>
      <c r="BD122">
        <f ca="1"/>
      </c>
      <c r="BE122">
        <f ca="1"/>
      </c>
      <c r="BF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M122" s="7">
        <f ca="1"/>
      </c>
      <c r="GN122">
        <f ca="1"/>
      </c>
      <c r="GO122">
        <f ca="1"/>
      </c>
      <c r="GP122">
        <f ca="1"/>
      </c>
      <c r="GQ122">
        <f ca="1"/>
      </c>
    </row>
    <row r="123" spans="41:199" x14ac:dyDescent="0.55000000000000004">
      <c r="AO123">
        <f ca="1"/>
      </c>
      <c r="AP123">
        <f ca="1"/>
      </c>
      <c r="AQ123">
        <f ca="1"/>
      </c>
      <c r="AR123">
        <f ca="1"/>
      </c>
      <c r="AS123">
        <f ca="1"/>
      </c>
      <c r="AT123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AZ123">
        <f ca="1"/>
      </c>
      <c r="BA123">
        <f ca="1"/>
      </c>
      <c r="BB123">
        <f ca="1"/>
      </c>
      <c r="BC123">
        <f ca="1"/>
      </c>
      <c r="BD123">
        <f ca="1"/>
      </c>
      <c r="BE123">
        <f ca="1"/>
      </c>
      <c r="BF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M123" s="7">
        <f ca="1"/>
      </c>
      <c r="GN123">
        <f ca="1"/>
      </c>
      <c r="GO123">
        <f ca="1"/>
      </c>
      <c r="GP123">
        <f ca="1"/>
      </c>
      <c r="GQ123">
        <f ca="1"/>
      </c>
    </row>
    <row r="124" spans="41:199" x14ac:dyDescent="0.55000000000000004">
      <c r="AO124">
        <f ca="1"/>
      </c>
      <c r="AP124">
        <f ca="1"/>
      </c>
      <c r="AQ124">
        <f ca="1"/>
      </c>
      <c r="AR124">
        <f ca="1"/>
      </c>
      <c r="AS124">
        <f ca="1"/>
      </c>
      <c r="AT124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AZ124">
        <f ca="1"/>
      </c>
      <c r="BA124">
        <f ca="1"/>
      </c>
      <c r="BB124">
        <f ca="1"/>
      </c>
      <c r="BC124">
        <f ca="1"/>
      </c>
      <c r="BD124">
        <f ca="1"/>
      </c>
      <c r="BE124">
        <f ca="1"/>
      </c>
      <c r="BF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M124" s="7">
        <f ca="1"/>
      </c>
      <c r="GN124">
        <f ca="1"/>
      </c>
      <c r="GO124">
        <f ca="1"/>
      </c>
      <c r="GP124">
        <f ca="1"/>
      </c>
      <c r="GQ124">
        <f ca="1"/>
      </c>
    </row>
    <row r="125" spans="41:199" x14ac:dyDescent="0.55000000000000004">
      <c r="AO125">
        <f ca="1"/>
      </c>
      <c r="AP125">
        <f ca="1"/>
      </c>
      <c r="AQ125">
        <f ca="1"/>
      </c>
      <c r="AR125">
        <f ca="1"/>
      </c>
      <c r="AS125">
        <f ca="1"/>
      </c>
      <c r="AT125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AZ125">
        <f ca="1"/>
      </c>
      <c r="BA125">
        <f ca="1"/>
      </c>
      <c r="BB125">
        <f ca="1"/>
      </c>
      <c r="BC125">
        <f ca="1"/>
      </c>
      <c r="BD125">
        <f ca="1"/>
      </c>
      <c r="BE125">
        <f ca="1"/>
      </c>
      <c r="BF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M125" s="7">
        <f ca="1"/>
      </c>
      <c r="GN125">
        <f ca="1"/>
      </c>
      <c r="GO125">
        <f ca="1"/>
      </c>
      <c r="GP125">
        <f ca="1"/>
      </c>
      <c r="GQ125">
        <f ca="1"/>
      </c>
    </row>
    <row r="126" spans="41:199" x14ac:dyDescent="0.55000000000000004">
      <c r="AO126">
        <f ca="1"/>
      </c>
      <c r="AP126">
        <f ca="1"/>
      </c>
      <c r="AQ126">
        <f ca="1"/>
      </c>
      <c r="AR126">
        <f ca="1"/>
      </c>
      <c r="AS126">
        <f ca="1"/>
      </c>
      <c r="AT126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AZ126">
        <f ca="1"/>
      </c>
      <c r="BA126">
        <f ca="1"/>
      </c>
      <c r="BB126">
        <f ca="1"/>
      </c>
      <c r="BC126">
        <f ca="1"/>
      </c>
      <c r="BD126">
        <f ca="1"/>
      </c>
      <c r="BE126">
        <f ca="1"/>
      </c>
      <c r="BF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M126" s="7">
        <f ca="1"/>
      </c>
      <c r="GN126">
        <f ca="1"/>
      </c>
      <c r="GO126">
        <f ca="1"/>
      </c>
      <c r="GP126">
        <f ca="1"/>
      </c>
      <c r="GQ126">
        <f ca="1"/>
      </c>
    </row>
    <row r="127" spans="41:199" x14ac:dyDescent="0.55000000000000004">
      <c r="AO127">
        <f ca="1"/>
      </c>
      <c r="AP127">
        <f ca="1"/>
      </c>
      <c r="AQ127">
        <f ca="1"/>
      </c>
      <c r="AR127">
        <f ca="1"/>
      </c>
      <c r="AS127">
        <f ca="1"/>
      </c>
      <c r="AT12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AZ127">
        <f ca="1"/>
      </c>
      <c r="BA127">
        <f ca="1"/>
      </c>
      <c r="BB127">
        <f ca="1"/>
      </c>
      <c r="BC127">
        <f ca="1"/>
      </c>
      <c r="BD127">
        <f ca="1"/>
      </c>
      <c r="BE127">
        <f ca="1"/>
      </c>
      <c r="BF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M127" s="7">
        <f ca="1"/>
      </c>
      <c r="GN127">
        <f ca="1"/>
      </c>
      <c r="GO127">
        <f ca="1"/>
      </c>
      <c r="GP127">
        <f ca="1"/>
      </c>
      <c r="GQ127">
        <f ca="1"/>
      </c>
    </row>
    <row r="128" spans="41:199" x14ac:dyDescent="0.55000000000000004">
      <c r="AO128">
        <f ca="1"/>
      </c>
      <c r="AP128">
        <f ca="1"/>
      </c>
      <c r="AQ128">
        <f ca="1"/>
      </c>
      <c r="AR128">
        <f ca="1"/>
      </c>
      <c r="AS128">
        <f ca="1"/>
      </c>
      <c r="AT128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AZ128">
        <f ca="1"/>
      </c>
      <c r="BA128">
        <f ca="1"/>
      </c>
      <c r="BB128">
        <f ca="1"/>
      </c>
      <c r="BC128">
        <f ca="1"/>
      </c>
      <c r="BD128">
        <f ca="1"/>
      </c>
      <c r="BE128">
        <f ca="1"/>
      </c>
      <c r="BF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M128" s="7">
        <f ca="1"/>
      </c>
      <c r="GN128">
        <f ca="1"/>
      </c>
      <c r="GO128">
        <f ca="1"/>
      </c>
      <c r="GP128">
        <f ca="1"/>
      </c>
      <c r="GQ128">
        <f ca="1"/>
      </c>
    </row>
    <row r="129" spans="41:199" x14ac:dyDescent="0.55000000000000004">
      <c r="AO129">
        <f ca="1"/>
      </c>
      <c r="AP129">
        <f ca="1"/>
      </c>
      <c r="AQ129">
        <f ca="1"/>
      </c>
      <c r="AR129">
        <f ca="1"/>
      </c>
      <c r="AS129">
        <f ca="1"/>
      </c>
      <c r="AT129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AZ129">
        <f ca="1"/>
      </c>
      <c r="BA129">
        <f ca="1"/>
      </c>
      <c r="BB129">
        <f ca="1"/>
      </c>
      <c r="BC129">
        <f ca="1"/>
      </c>
      <c r="BD129">
        <f ca="1"/>
      </c>
      <c r="BE129">
        <f ca="1"/>
      </c>
      <c r="BF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M129" s="7">
        <f ca="1"/>
      </c>
      <c r="GN129">
        <f ca="1"/>
      </c>
      <c r="GO129">
        <f ca="1"/>
      </c>
      <c r="GP129">
        <f ca="1"/>
      </c>
      <c r="GQ129">
        <f ca="1"/>
      </c>
    </row>
    <row r="130" spans="41:199" x14ac:dyDescent="0.55000000000000004">
      <c r="AO130">
        <f ca="1"/>
      </c>
      <c r="AP130">
        <f ca="1"/>
      </c>
      <c r="AQ130">
        <f ca="1"/>
      </c>
      <c r="AR130">
        <f ca="1"/>
      </c>
      <c r="AS130">
        <f ca="1"/>
      </c>
      <c r="AT130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AZ130">
        <f ca="1"/>
      </c>
      <c r="BA130">
        <f ca="1"/>
      </c>
      <c r="BB130">
        <f ca="1"/>
      </c>
      <c r="BC130">
        <f ca="1"/>
      </c>
      <c r="BD130">
        <f ca="1"/>
      </c>
      <c r="BE130">
        <f ca="1"/>
      </c>
      <c r="BF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M130" s="7">
        <f ca="1"/>
      </c>
      <c r="GN130">
        <f ca="1"/>
      </c>
      <c r="GO130">
        <f ca="1"/>
      </c>
      <c r="GP130">
        <f ca="1"/>
      </c>
      <c r="GQ130">
        <f ca="1"/>
      </c>
    </row>
    <row r="131" spans="41:199" x14ac:dyDescent="0.55000000000000004">
      <c r="AO131">
        <f ca="1"/>
      </c>
      <c r="AP131">
        <f ca="1"/>
      </c>
      <c r="AQ131">
        <f ca="1"/>
      </c>
      <c r="AR131">
        <f ca="1"/>
      </c>
      <c r="AS131">
        <f ca="1"/>
      </c>
      <c r="AT131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AZ131">
        <f ca="1"/>
      </c>
      <c r="BA131">
        <f ca="1"/>
      </c>
      <c r="BB131">
        <f ca="1"/>
      </c>
      <c r="BC131">
        <f ca="1"/>
      </c>
      <c r="BD131">
        <f ca="1"/>
      </c>
      <c r="BE131">
        <f ca="1"/>
      </c>
      <c r="BF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M131" s="7">
        <f ca="1"/>
      </c>
      <c r="GN131">
        <f ca="1"/>
      </c>
      <c r="GO131">
        <f ca="1"/>
      </c>
      <c r="GP131">
        <f ca="1"/>
      </c>
      <c r="GQ131">
        <f ca="1"/>
      </c>
    </row>
    <row r="132" spans="41:199" x14ac:dyDescent="0.55000000000000004">
      <c r="AO132">
        <f ca="1"/>
      </c>
      <c r="AP132">
        <f ca="1"/>
      </c>
      <c r="AQ132">
        <f ca="1"/>
      </c>
      <c r="AR132">
        <f ca="1"/>
      </c>
      <c r="AS132">
        <f ca="1"/>
      </c>
      <c r="AT132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AZ132">
        <f ca="1"/>
      </c>
      <c r="BA132">
        <f ca="1"/>
      </c>
      <c r="BB132">
        <f ca="1"/>
      </c>
      <c r="BC132">
        <f ca="1"/>
      </c>
      <c r="BD132">
        <f ca="1"/>
      </c>
      <c r="BE132">
        <f ca="1"/>
      </c>
      <c r="BF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M132" s="7">
        <f ca="1"/>
      </c>
      <c r="GN132">
        <f ca="1"/>
      </c>
      <c r="GO132">
        <f ca="1"/>
      </c>
      <c r="GP132">
        <f ca="1"/>
      </c>
      <c r="GQ132">
        <f ca="1"/>
      </c>
    </row>
    <row r="133" spans="41:199" x14ac:dyDescent="0.55000000000000004">
      <c r="AO133">
        <f ca="1"/>
      </c>
      <c r="AP133">
        <f ca="1"/>
      </c>
      <c r="AQ133">
        <f ca="1"/>
      </c>
      <c r="AR133">
        <f ca="1"/>
      </c>
      <c r="AS133">
        <f ca="1"/>
      </c>
      <c r="AT133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AZ133">
        <f ca="1"/>
      </c>
      <c r="BA133">
        <f ca="1"/>
      </c>
      <c r="BB133">
        <f ca="1"/>
      </c>
      <c r="BC133">
        <f ca="1"/>
      </c>
      <c r="BD133">
        <f ca="1"/>
      </c>
      <c r="BE133">
        <f ca="1"/>
      </c>
      <c r="BF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M133" s="7">
        <f ca="1"/>
      </c>
      <c r="GN133">
        <f ca="1"/>
      </c>
      <c r="GO133">
        <f ca="1"/>
      </c>
      <c r="GP133">
        <f ca="1"/>
      </c>
      <c r="GQ133">
        <f ca="1"/>
      </c>
    </row>
    <row r="134" spans="41:199" x14ac:dyDescent="0.55000000000000004">
      <c r="AO134">
        <f ca="1"/>
      </c>
      <c r="AP134">
        <f ca="1"/>
      </c>
      <c r="AQ134">
        <f ca="1"/>
      </c>
      <c r="AR134">
        <f ca="1"/>
      </c>
      <c r="AS134">
        <f ca="1"/>
      </c>
      <c r="AT134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AZ134">
        <f ca="1"/>
      </c>
      <c r="BA134">
        <f ca="1"/>
      </c>
      <c r="BB134">
        <f ca="1"/>
      </c>
      <c r="BC134">
        <f ca="1"/>
      </c>
      <c r="BD134">
        <f ca="1"/>
      </c>
      <c r="BE134">
        <f ca="1"/>
      </c>
      <c r="BF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M134" s="7">
        <f ca="1"/>
      </c>
      <c r="GN134">
        <f ca="1"/>
      </c>
      <c r="GO134">
        <f ca="1"/>
      </c>
      <c r="GP134">
        <f ca="1"/>
      </c>
      <c r="GQ134">
        <f ca="1"/>
      </c>
    </row>
    <row r="135" spans="41:199" x14ac:dyDescent="0.55000000000000004">
      <c r="AO135">
        <f ca="1"/>
      </c>
      <c r="AP135">
        <f ca="1"/>
      </c>
      <c r="AQ135">
        <f ca="1"/>
      </c>
      <c r="AR135">
        <f ca="1"/>
      </c>
      <c r="AS135">
        <f ca="1"/>
      </c>
      <c r="AT135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AZ135">
        <f ca="1"/>
      </c>
      <c r="BA135">
        <f ca="1"/>
      </c>
      <c r="BB135">
        <f ca="1"/>
      </c>
      <c r="BC135">
        <f ca="1"/>
      </c>
      <c r="BD135">
        <f ca="1"/>
      </c>
      <c r="BE135">
        <f ca="1"/>
      </c>
      <c r="BF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M135" s="7">
        <f ca="1"/>
      </c>
      <c r="GN135">
        <f ca="1"/>
      </c>
      <c r="GO135">
        <f ca="1"/>
      </c>
      <c r="GP135">
        <f ca="1"/>
      </c>
      <c r="GQ135">
        <f ca="1"/>
      </c>
    </row>
    <row r="136" spans="41:199" x14ac:dyDescent="0.55000000000000004">
      <c r="AO136">
        <f ca="1"/>
      </c>
      <c r="AP136">
        <f ca="1"/>
      </c>
      <c r="AQ136">
        <f ca="1"/>
      </c>
      <c r="AR136">
        <f ca="1"/>
      </c>
      <c r="AS136">
        <f ca="1"/>
      </c>
      <c r="AT136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AZ136">
        <f ca="1"/>
      </c>
      <c r="BA136">
        <f ca="1"/>
      </c>
      <c r="BB136">
        <f ca="1"/>
      </c>
      <c r="BC136">
        <f ca="1"/>
      </c>
      <c r="BD136">
        <f ca="1"/>
      </c>
      <c r="BE136">
        <f ca="1"/>
      </c>
      <c r="BF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M136" s="7">
        <f ca="1"/>
      </c>
      <c r="GN136">
        <f ca="1"/>
      </c>
      <c r="GO136">
        <f ca="1"/>
      </c>
      <c r="GP136">
        <f ca="1"/>
      </c>
      <c r="GQ136">
        <f ca="1"/>
      </c>
    </row>
    <row r="137" spans="41:199" x14ac:dyDescent="0.55000000000000004">
      <c r="AO137">
        <f ca="1"/>
      </c>
      <c r="AP137">
        <f ca="1"/>
      </c>
      <c r="AQ137">
        <f ca="1"/>
      </c>
      <c r="AR137">
        <f ca="1"/>
      </c>
      <c r="AS137">
        <f ca="1"/>
      </c>
      <c r="AT13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AZ137">
        <f ca="1"/>
      </c>
      <c r="BA137">
        <f ca="1"/>
      </c>
      <c r="BB137">
        <f ca="1"/>
      </c>
      <c r="BC137">
        <f ca="1"/>
      </c>
      <c r="BD137">
        <f ca="1"/>
      </c>
      <c r="BE137">
        <f ca="1"/>
      </c>
      <c r="BF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M137" s="7">
        <f ca="1"/>
      </c>
      <c r="GN137">
        <f ca="1"/>
      </c>
      <c r="GO137">
        <f ca="1"/>
      </c>
      <c r="GP137">
        <f ca="1"/>
      </c>
      <c r="GQ137">
        <f ca="1"/>
      </c>
    </row>
    <row r="138" spans="41:199" x14ac:dyDescent="0.55000000000000004">
      <c r="AO138">
        <f ca="1"/>
      </c>
      <c r="AP138">
        <f ca="1"/>
      </c>
      <c r="AQ138">
        <f ca="1"/>
      </c>
      <c r="AR138">
        <f ca="1"/>
      </c>
      <c r="AS138">
        <f ca="1"/>
      </c>
      <c r="AT138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AZ138">
        <f ca="1"/>
      </c>
      <c r="BA138">
        <f ca="1"/>
      </c>
      <c r="BB138">
        <f ca="1"/>
      </c>
      <c r="BC138">
        <f ca="1"/>
      </c>
      <c r="BD138">
        <f ca="1"/>
      </c>
      <c r="BE138">
        <f ca="1"/>
      </c>
      <c r="BF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M138" s="7">
        <f ca="1"/>
      </c>
      <c r="GN138">
        <f ca="1"/>
      </c>
      <c r="GO138">
        <f ca="1"/>
      </c>
      <c r="GP138">
        <f ca="1"/>
      </c>
      <c r="GQ138">
        <f ca="1"/>
      </c>
    </row>
    <row r="139" spans="41:199" x14ac:dyDescent="0.55000000000000004">
      <c r="AO139">
        <f ca="1"/>
      </c>
      <c r="AP139">
        <f ca="1"/>
      </c>
      <c r="AQ139">
        <f ca="1"/>
      </c>
      <c r="AR139">
        <f ca="1"/>
      </c>
      <c r="AS139">
        <f ca="1"/>
      </c>
      <c r="AT139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AZ139">
        <f ca="1"/>
      </c>
      <c r="BA139">
        <f ca="1"/>
      </c>
      <c r="BB139">
        <f ca="1"/>
      </c>
      <c r="BC139">
        <f ca="1"/>
      </c>
      <c r="BD139">
        <f ca="1"/>
      </c>
      <c r="BE139">
        <f ca="1"/>
      </c>
      <c r="BF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M139" s="7">
        <f ca="1"/>
      </c>
      <c r="GN139">
        <f ca="1"/>
      </c>
      <c r="GO139">
        <f ca="1"/>
      </c>
      <c r="GP139">
        <f ca="1"/>
      </c>
      <c r="GQ139">
        <f ca="1"/>
      </c>
    </row>
    <row r="140" spans="41:199" x14ac:dyDescent="0.55000000000000004">
      <c r="AO140">
        <f ca="1"/>
      </c>
      <c r="AP140">
        <f ca="1"/>
      </c>
      <c r="AQ140">
        <f ca="1"/>
      </c>
      <c r="AR140">
        <f ca="1"/>
      </c>
      <c r="AS140">
        <f ca="1"/>
      </c>
      <c r="AT140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AZ140">
        <f ca="1"/>
      </c>
      <c r="BA140">
        <f ca="1"/>
      </c>
      <c r="BB140">
        <f ca="1"/>
      </c>
      <c r="BC140">
        <f ca="1"/>
      </c>
      <c r="BD140">
        <f ca="1"/>
      </c>
      <c r="BE140">
        <f ca="1"/>
      </c>
      <c r="BF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M140" s="7">
        <f ca="1"/>
      </c>
      <c r="GN140">
        <f ca="1"/>
      </c>
      <c r="GO140">
        <f ca="1"/>
      </c>
      <c r="GP140">
        <f ca="1"/>
      </c>
      <c r="GQ140">
        <f ca="1"/>
      </c>
    </row>
    <row r="141" spans="41:199" x14ac:dyDescent="0.55000000000000004">
      <c r="AO141">
        <f ca="1"/>
      </c>
      <c r="AP141">
        <f ca="1"/>
      </c>
      <c r="AQ141">
        <f ca="1"/>
      </c>
      <c r="AR141">
        <f ca="1"/>
      </c>
      <c r="AS141">
        <f ca="1"/>
      </c>
      <c r="AT141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AZ141">
        <f ca="1"/>
      </c>
      <c r="BA141">
        <f ca="1"/>
      </c>
      <c r="BB141">
        <f ca="1"/>
      </c>
      <c r="BC141">
        <f ca="1"/>
      </c>
      <c r="BD141">
        <f ca="1"/>
      </c>
      <c r="BE141">
        <f ca="1"/>
      </c>
      <c r="BF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M141" s="7">
        <f ca="1"/>
      </c>
      <c r="GN141">
        <f ca="1"/>
      </c>
      <c r="GO141">
        <f ca="1"/>
      </c>
      <c r="GP141">
        <f ca="1"/>
      </c>
      <c r="GQ141">
        <f ca="1"/>
      </c>
    </row>
    <row r="142" spans="41:199" x14ac:dyDescent="0.55000000000000004">
      <c r="AO142">
        <f ca="1"/>
      </c>
      <c r="AP142">
        <f ca="1"/>
      </c>
      <c r="AQ142">
        <f ca="1"/>
      </c>
      <c r="AR142">
        <f ca="1"/>
      </c>
      <c r="AS142">
        <f ca="1"/>
      </c>
      <c r="AT142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AZ142">
        <f ca="1"/>
      </c>
      <c r="BA142">
        <f ca="1"/>
      </c>
      <c r="BB142">
        <f ca="1"/>
      </c>
      <c r="BC142">
        <f ca="1"/>
      </c>
      <c r="BD142">
        <f ca="1"/>
      </c>
      <c r="BE142">
        <f ca="1"/>
      </c>
      <c r="BF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M142" s="7">
        <f ca="1"/>
      </c>
      <c r="GN142">
        <f ca="1"/>
      </c>
      <c r="GO142">
        <f ca="1"/>
      </c>
      <c r="GP142">
        <f ca="1"/>
      </c>
      <c r="GQ142">
        <f ca="1"/>
      </c>
    </row>
    <row r="143" spans="41:199" x14ac:dyDescent="0.55000000000000004">
      <c r="AO143">
        <f ca="1"/>
      </c>
      <c r="AP143">
        <f ca="1"/>
      </c>
      <c r="AQ143">
        <f ca="1"/>
      </c>
      <c r="AR143">
        <f ca="1"/>
      </c>
      <c r="AS143">
        <f ca="1"/>
      </c>
      <c r="AT143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AZ143">
        <f ca="1"/>
      </c>
      <c r="BA143">
        <f ca="1"/>
      </c>
      <c r="BB143">
        <f ca="1"/>
      </c>
      <c r="BC143">
        <f ca="1"/>
      </c>
      <c r="BD143">
        <f ca="1"/>
      </c>
      <c r="BE143">
        <f ca="1"/>
      </c>
      <c r="BF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M143" s="7">
        <f ca="1"/>
      </c>
      <c r="GN143">
        <f ca="1"/>
      </c>
      <c r="GO143">
        <f ca="1"/>
      </c>
      <c r="GP143">
        <f ca="1"/>
      </c>
      <c r="GQ143">
        <f ca="1"/>
      </c>
    </row>
    <row r="144" spans="41:199" x14ac:dyDescent="0.55000000000000004">
      <c r="AO144">
        <f ca="1"/>
      </c>
      <c r="AP144">
        <f ca="1"/>
      </c>
      <c r="AQ144">
        <f ca="1"/>
      </c>
      <c r="AR144">
        <f ca="1"/>
      </c>
      <c r="AS144">
        <f ca="1"/>
      </c>
      <c r="AT144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AZ144">
        <f ca="1"/>
      </c>
      <c r="BA144">
        <f ca="1"/>
      </c>
      <c r="BB144">
        <f ca="1"/>
      </c>
      <c r="BC144">
        <f ca="1"/>
      </c>
      <c r="BD144">
        <f ca="1"/>
      </c>
      <c r="BE144">
        <f ca="1"/>
      </c>
      <c r="BF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M144" s="7">
        <f ca="1"/>
      </c>
      <c r="GN144">
        <f ca="1"/>
      </c>
      <c r="GO144">
        <f ca="1"/>
      </c>
      <c r="GP144">
        <f ca="1"/>
      </c>
      <c r="GQ144">
        <f ca="1"/>
      </c>
    </row>
    <row r="145" spans="41:199" x14ac:dyDescent="0.55000000000000004">
      <c r="AO145">
        <f ca="1"/>
      </c>
      <c r="AP145">
        <f ca="1"/>
      </c>
      <c r="AQ145">
        <f ca="1"/>
      </c>
      <c r="AR145">
        <f ca="1"/>
      </c>
      <c r="AS145">
        <f ca="1"/>
      </c>
      <c r="AT145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AZ145">
        <f ca="1"/>
      </c>
      <c r="BA145">
        <f ca="1"/>
      </c>
      <c r="BB145">
        <f ca="1"/>
      </c>
      <c r="BC145">
        <f ca="1"/>
      </c>
      <c r="BD145">
        <f ca="1"/>
      </c>
      <c r="BE145">
        <f ca="1"/>
      </c>
      <c r="BF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M145" s="7">
        <f ca="1"/>
      </c>
      <c r="GN145">
        <f ca="1"/>
      </c>
      <c r="GO145">
        <f ca="1"/>
      </c>
      <c r="GP145">
        <f ca="1"/>
      </c>
      <c r="GQ145">
        <f ca="1"/>
      </c>
    </row>
    <row r="146" spans="41:199" x14ac:dyDescent="0.55000000000000004">
      <c r="AO146">
        <f ca="1"/>
      </c>
      <c r="AP146">
        <f ca="1"/>
      </c>
      <c r="AQ146">
        <f ca="1"/>
      </c>
      <c r="AR146">
        <f ca="1"/>
      </c>
      <c r="AS146">
        <f ca="1"/>
      </c>
      <c r="AT146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AZ146">
        <f ca="1"/>
      </c>
      <c r="BA146">
        <f ca="1"/>
      </c>
      <c r="BB146">
        <f ca="1"/>
      </c>
      <c r="BC146">
        <f ca="1"/>
      </c>
      <c r="BD146">
        <f ca="1"/>
      </c>
      <c r="BE146">
        <f ca="1"/>
      </c>
      <c r="BF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M146" s="7">
        <f ca="1"/>
      </c>
      <c r="GN146">
        <f ca="1"/>
      </c>
      <c r="GO146">
        <f ca="1"/>
      </c>
      <c r="GP146">
        <f ca="1"/>
      </c>
      <c r="GQ146">
        <f ca="1"/>
      </c>
    </row>
    <row r="147" spans="41:199" x14ac:dyDescent="0.55000000000000004">
      <c r="AO147">
        <f ca="1"/>
      </c>
      <c r="AP147">
        <f ca="1"/>
      </c>
      <c r="AQ147">
        <f ca="1"/>
      </c>
      <c r="AR147">
        <f ca="1"/>
      </c>
      <c r="AS147">
        <f ca="1"/>
      </c>
      <c r="AT14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AZ147">
        <f ca="1"/>
      </c>
      <c r="BA147">
        <f ca="1"/>
      </c>
      <c r="BB147">
        <f ca="1"/>
      </c>
      <c r="BC147">
        <f ca="1"/>
      </c>
      <c r="BD147">
        <f ca="1"/>
      </c>
      <c r="BE147">
        <f ca="1"/>
      </c>
      <c r="BF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M147" s="7">
        <f ca="1"/>
      </c>
      <c r="GN147">
        <f ca="1"/>
      </c>
      <c r="GO147">
        <f ca="1"/>
      </c>
      <c r="GP147">
        <f ca="1"/>
      </c>
      <c r="GQ147">
        <f ca="1"/>
      </c>
    </row>
    <row r="148" spans="41:199" x14ac:dyDescent="0.55000000000000004">
      <c r="AO148">
        <f ca="1"/>
      </c>
      <c r="AP148">
        <f ca="1"/>
      </c>
      <c r="AQ148">
        <f ca="1"/>
      </c>
      <c r="AR148">
        <f ca="1"/>
      </c>
      <c r="AS148">
        <f ca="1"/>
      </c>
      <c r="AT148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AZ148">
        <f ca="1"/>
      </c>
      <c r="BA148">
        <f ca="1"/>
      </c>
      <c r="BB148">
        <f ca="1"/>
      </c>
      <c r="BC148">
        <f ca="1"/>
      </c>
      <c r="BD148">
        <f ca="1"/>
      </c>
      <c r="BE148">
        <f ca="1"/>
      </c>
      <c r="BF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M148" s="7">
        <f ca="1"/>
      </c>
      <c r="GN148">
        <f ca="1"/>
      </c>
      <c r="GO148">
        <f ca="1"/>
      </c>
      <c r="GP148">
        <f ca="1"/>
      </c>
      <c r="GQ148">
        <f ca="1"/>
      </c>
    </row>
    <row r="149" spans="41:199" x14ac:dyDescent="0.55000000000000004">
      <c r="AO149">
        <f ca="1"/>
      </c>
      <c r="AP149">
        <f ca="1"/>
      </c>
      <c r="AQ149">
        <f ca="1"/>
      </c>
      <c r="AR149">
        <f ca="1"/>
      </c>
      <c r="AS149">
        <f ca="1"/>
      </c>
      <c r="AT149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AZ149">
        <f ca="1"/>
      </c>
      <c r="BA149">
        <f ca="1"/>
      </c>
      <c r="BB149">
        <f ca="1"/>
      </c>
      <c r="BC149">
        <f ca="1"/>
      </c>
      <c r="BD149">
        <f ca="1"/>
      </c>
      <c r="BE149">
        <f ca="1"/>
      </c>
      <c r="BF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M149" s="7">
        <f ca="1"/>
      </c>
      <c r="GN149">
        <f ca="1"/>
      </c>
      <c r="GO149">
        <f ca="1"/>
      </c>
      <c r="GP149">
        <f ca="1"/>
      </c>
      <c r="GQ149">
        <f ca="1"/>
      </c>
    </row>
    <row r="150" spans="41:199" x14ac:dyDescent="0.55000000000000004">
      <c r="AO150">
        <f ca="1"/>
      </c>
      <c r="AP150">
        <f ca="1"/>
      </c>
      <c r="AQ150">
        <f ca="1"/>
      </c>
      <c r="AR150">
        <f ca="1"/>
      </c>
      <c r="AS150">
        <f ca="1"/>
      </c>
      <c r="AT150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AZ150">
        <f ca="1"/>
      </c>
      <c r="BA150">
        <f ca="1"/>
      </c>
      <c r="BB150">
        <f ca="1"/>
      </c>
      <c r="BC150">
        <f ca="1"/>
      </c>
      <c r="BD150">
        <f ca="1"/>
      </c>
      <c r="BE150">
        <f ca="1"/>
      </c>
      <c r="BF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M150" s="7">
        <f ca="1"/>
      </c>
      <c r="GN150">
        <f ca="1"/>
      </c>
      <c r="GO150">
        <f ca="1"/>
      </c>
      <c r="GP150">
        <f ca="1"/>
      </c>
      <c r="GQ150">
        <f ca="1"/>
      </c>
    </row>
    <row r="151" spans="41:199" x14ac:dyDescent="0.55000000000000004">
      <c r="AO151">
        <f ca="1"/>
      </c>
      <c r="AP151">
        <f ca="1"/>
      </c>
      <c r="AQ151">
        <f ca="1"/>
      </c>
      <c r="AR151">
        <f ca="1"/>
      </c>
      <c r="AS151">
        <f ca="1"/>
      </c>
      <c r="AT151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AZ151">
        <f ca="1"/>
      </c>
      <c r="BA151">
        <f ca="1"/>
      </c>
      <c r="BB151">
        <f ca="1"/>
      </c>
      <c r="BC151">
        <f ca="1"/>
      </c>
      <c r="BD151">
        <f ca="1"/>
      </c>
      <c r="BE151">
        <f ca="1"/>
      </c>
      <c r="BF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M151" s="7">
        <f ca="1"/>
      </c>
      <c r="GN151">
        <f ca="1"/>
      </c>
      <c r="GO151">
        <f ca="1"/>
      </c>
      <c r="GP151">
        <f ca="1"/>
      </c>
      <c r="GQ151">
        <f ca="1"/>
      </c>
    </row>
    <row r="152" spans="41:199" x14ac:dyDescent="0.55000000000000004">
      <c r="AO152">
        <f ca="1"/>
      </c>
      <c r="AP152">
        <f ca="1"/>
      </c>
      <c r="AQ152">
        <f ca="1"/>
      </c>
      <c r="AR152">
        <f ca="1"/>
      </c>
      <c r="AS152">
        <f ca="1"/>
      </c>
      <c r="AT152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AZ152">
        <f ca="1"/>
      </c>
      <c r="BA152">
        <f ca="1"/>
      </c>
      <c r="BB152">
        <f ca="1"/>
      </c>
      <c r="BC152">
        <f ca="1"/>
      </c>
      <c r="BD152">
        <f ca="1"/>
      </c>
      <c r="BE152">
        <f ca="1"/>
      </c>
      <c r="BF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M152" s="7">
        <f ca="1"/>
      </c>
      <c r="GN152">
        <f ca="1"/>
      </c>
      <c r="GO152">
        <f ca="1"/>
      </c>
      <c r="GP152">
        <f ca="1"/>
      </c>
      <c r="GQ152">
        <f ca="1"/>
      </c>
    </row>
    <row r="153" spans="41:199" x14ac:dyDescent="0.55000000000000004">
      <c r="AO153">
        <f ca="1"/>
      </c>
      <c r="AP153">
        <f ca="1"/>
      </c>
      <c r="AQ153">
        <f ca="1"/>
      </c>
      <c r="AR153">
        <f ca="1"/>
      </c>
      <c r="AS153">
        <f ca="1"/>
      </c>
      <c r="AT153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AZ153">
        <f ca="1"/>
      </c>
      <c r="BA153">
        <f ca="1"/>
      </c>
      <c r="BB153">
        <f ca="1"/>
      </c>
      <c r="BC153">
        <f ca="1"/>
      </c>
      <c r="BD153">
        <f ca="1"/>
      </c>
      <c r="BE153">
        <f ca="1"/>
      </c>
      <c r="BF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M153" s="7">
        <f ca="1"/>
      </c>
      <c r="GN153">
        <f ca="1"/>
      </c>
      <c r="GO153">
        <f ca="1"/>
      </c>
      <c r="GP153">
        <f ca="1"/>
      </c>
      <c r="GQ153">
        <f ca="1"/>
      </c>
    </row>
    <row r="154" spans="41:199" x14ac:dyDescent="0.55000000000000004">
      <c r="AO154">
        <f ca="1"/>
      </c>
      <c r="AP154">
        <f ca="1"/>
      </c>
      <c r="AQ154">
        <f ca="1"/>
      </c>
      <c r="AR154">
        <f ca="1"/>
      </c>
      <c r="AS154">
        <f ca="1"/>
      </c>
      <c r="AT154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AZ154">
        <f ca="1"/>
      </c>
      <c r="BA154">
        <f ca="1"/>
      </c>
      <c r="BB154">
        <f ca="1"/>
      </c>
      <c r="BC154">
        <f ca="1"/>
      </c>
      <c r="BD154">
        <f ca="1"/>
      </c>
      <c r="BE154">
        <f ca="1"/>
      </c>
      <c r="BF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M154" s="7">
        <f ca="1"/>
      </c>
      <c r="GN154">
        <f ca="1"/>
      </c>
      <c r="GO154">
        <f ca="1"/>
      </c>
      <c r="GP154">
        <f ca="1"/>
      </c>
      <c r="GQ154">
        <f ca="1"/>
      </c>
    </row>
    <row r="155" spans="41:199" x14ac:dyDescent="0.55000000000000004">
      <c r="AO155">
        <f ca="1"/>
      </c>
      <c r="AP155">
        <f ca="1"/>
      </c>
      <c r="AQ155">
        <f ca="1"/>
      </c>
      <c r="AR155">
        <f ca="1"/>
      </c>
      <c r="AS155">
        <f ca="1"/>
      </c>
      <c r="AT155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AZ155">
        <f ca="1"/>
      </c>
      <c r="BA155">
        <f ca="1"/>
      </c>
      <c r="BB155">
        <f ca="1"/>
      </c>
      <c r="BC155">
        <f ca="1"/>
      </c>
      <c r="BD155">
        <f ca="1"/>
      </c>
      <c r="BE155">
        <f ca="1"/>
      </c>
      <c r="BF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M155" s="7">
        <f ca="1"/>
      </c>
      <c r="GN155">
        <f ca="1"/>
      </c>
      <c r="GO155">
        <f ca="1"/>
      </c>
      <c r="GP155">
        <f ca="1"/>
      </c>
      <c r="GQ155">
        <f ca="1"/>
      </c>
    </row>
    <row r="156" spans="41:199" x14ac:dyDescent="0.55000000000000004">
      <c r="AO156">
        <f ca="1"/>
      </c>
      <c r="AP156">
        <f ca="1"/>
      </c>
      <c r="AQ156">
        <f ca="1"/>
      </c>
      <c r="AR156">
        <f ca="1"/>
      </c>
      <c r="AS156">
        <f ca="1"/>
      </c>
      <c r="AT156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AZ156">
        <f ca="1"/>
      </c>
      <c r="BA156">
        <f ca="1"/>
      </c>
      <c r="BB156">
        <f ca="1"/>
      </c>
      <c r="BC156">
        <f ca="1"/>
      </c>
      <c r="BD156">
        <f ca="1"/>
      </c>
      <c r="BE156">
        <f ca="1"/>
      </c>
      <c r="BF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M156" s="7">
        <f ca="1"/>
      </c>
      <c r="GN156">
        <f ca="1"/>
      </c>
      <c r="GO156">
        <f ca="1"/>
      </c>
      <c r="GP156">
        <f ca="1"/>
      </c>
      <c r="GQ156">
        <f ca="1"/>
      </c>
    </row>
    <row r="157" spans="41:199" x14ac:dyDescent="0.55000000000000004">
      <c r="AO157">
        <f ca="1"/>
      </c>
      <c r="AP157">
        <f ca="1"/>
      </c>
      <c r="AQ157">
        <f ca="1"/>
      </c>
      <c r="AR157">
        <f ca="1"/>
      </c>
      <c r="AS157">
        <f ca="1"/>
      </c>
      <c r="AT15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AZ157">
        <f ca="1"/>
      </c>
      <c r="BA157">
        <f ca="1"/>
      </c>
      <c r="BB157">
        <f ca="1"/>
      </c>
      <c r="BC157">
        <f ca="1"/>
      </c>
      <c r="BD157">
        <f ca="1"/>
      </c>
      <c r="BE157">
        <f ca="1"/>
      </c>
      <c r="BF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M157" s="7">
        <f ca="1"/>
      </c>
      <c r="GN157">
        <f ca="1"/>
      </c>
      <c r="GO157">
        <f ca="1"/>
      </c>
      <c r="GP157">
        <f ca="1"/>
      </c>
      <c r="GQ157">
        <f ca="1"/>
      </c>
    </row>
    <row r="158" spans="41:199" x14ac:dyDescent="0.55000000000000004">
      <c r="AO158">
        <f ca="1"/>
      </c>
      <c r="AP158">
        <f ca="1"/>
      </c>
      <c r="AQ158">
        <f ca="1"/>
      </c>
      <c r="AR158">
        <f ca="1"/>
      </c>
      <c r="AS158">
        <f ca="1"/>
      </c>
      <c r="AT158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AZ158">
        <f ca="1"/>
      </c>
      <c r="BA158">
        <f ca="1"/>
      </c>
      <c r="BB158">
        <f ca="1"/>
      </c>
      <c r="BC158">
        <f ca="1"/>
      </c>
      <c r="BD158">
        <f ca="1"/>
      </c>
      <c r="BE158">
        <f ca="1"/>
      </c>
      <c r="BF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M158" s="7">
        <f ca="1"/>
      </c>
      <c r="GN158">
        <f ca="1"/>
      </c>
      <c r="GO158">
        <f ca="1"/>
      </c>
      <c r="GP158">
        <f ca="1"/>
      </c>
      <c r="GQ158">
        <f ca="1"/>
      </c>
    </row>
    <row r="159" spans="41:199" x14ac:dyDescent="0.55000000000000004">
      <c r="AO159">
        <f ca="1"/>
      </c>
      <c r="AP159">
        <f ca="1"/>
      </c>
      <c r="AQ159">
        <f ca="1"/>
      </c>
      <c r="AR159">
        <f ca="1"/>
      </c>
      <c r="AS159">
        <f ca="1"/>
      </c>
      <c r="AT159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AZ159">
        <f ca="1"/>
      </c>
      <c r="BA159">
        <f ca="1"/>
      </c>
      <c r="BB159">
        <f ca="1"/>
      </c>
      <c r="BC159">
        <f ca="1"/>
      </c>
      <c r="BD159">
        <f ca="1"/>
      </c>
      <c r="BE159">
        <f ca="1"/>
      </c>
      <c r="BF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M159" s="7">
        <f ca="1"/>
      </c>
      <c r="GN159">
        <f ca="1"/>
      </c>
      <c r="GO159">
        <f ca="1"/>
      </c>
      <c r="GP159">
        <f ca="1"/>
      </c>
      <c r="GQ159">
        <f ca="1"/>
      </c>
    </row>
    <row r="160" spans="41:199" x14ac:dyDescent="0.55000000000000004">
      <c r="AO160">
        <f ca="1"/>
      </c>
      <c r="AP160">
        <f ca="1"/>
      </c>
      <c r="AQ160">
        <f ca="1"/>
      </c>
      <c r="AR160">
        <f ca="1"/>
      </c>
      <c r="AS160">
        <f ca="1"/>
      </c>
      <c r="AT160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AZ160">
        <f ca="1"/>
      </c>
      <c r="BA160">
        <f ca="1"/>
      </c>
      <c r="BB160">
        <f ca="1"/>
      </c>
      <c r="BC160">
        <f ca="1"/>
      </c>
      <c r="BD160">
        <f ca="1"/>
      </c>
      <c r="BE160">
        <f ca="1"/>
      </c>
      <c r="BF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M160" s="7">
        <f ca="1"/>
      </c>
      <c r="GN160">
        <f ca="1"/>
      </c>
      <c r="GO160">
        <f ca="1"/>
      </c>
      <c r="GP160">
        <f ca="1"/>
      </c>
      <c r="GQ160">
        <f ca="1"/>
      </c>
    </row>
    <row r="161" spans="41:199" x14ac:dyDescent="0.55000000000000004">
      <c r="AO161">
        <f ca="1"/>
      </c>
      <c r="AP161">
        <f ca="1"/>
      </c>
      <c r="AQ161">
        <f ca="1"/>
      </c>
      <c r="AR161">
        <f ca="1"/>
      </c>
      <c r="AS161">
        <f ca="1"/>
      </c>
      <c r="AT161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AZ161">
        <f ca="1"/>
      </c>
      <c r="BA161">
        <f ca="1"/>
      </c>
      <c r="BB161">
        <f ca="1"/>
      </c>
      <c r="BC161">
        <f ca="1"/>
      </c>
      <c r="BD161">
        <f ca="1"/>
      </c>
      <c r="BE161">
        <f ca="1"/>
      </c>
      <c r="BF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M161" s="7">
        <f ca="1"/>
      </c>
      <c r="GN161">
        <f ca="1"/>
      </c>
      <c r="GO161">
        <f ca="1"/>
      </c>
      <c r="GP161">
        <f ca="1"/>
      </c>
      <c r="GQ161">
        <f ca="1"/>
      </c>
    </row>
    <row r="162" spans="41:199" x14ac:dyDescent="0.55000000000000004">
      <c r="AO162">
        <f ca="1"/>
      </c>
      <c r="AP162">
        <f ca="1"/>
      </c>
      <c r="AQ162">
        <f ca="1"/>
      </c>
      <c r="AR162">
        <f ca="1"/>
      </c>
      <c r="AS162">
        <f ca="1"/>
      </c>
      <c r="AT162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AZ162">
        <f ca="1"/>
      </c>
      <c r="BA162">
        <f ca="1"/>
      </c>
      <c r="BB162">
        <f ca="1"/>
      </c>
      <c r="BC162">
        <f ca="1"/>
      </c>
      <c r="BD162">
        <f ca="1"/>
      </c>
      <c r="BE162">
        <f ca="1"/>
      </c>
      <c r="BF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M162" s="7">
        <f ca="1"/>
      </c>
      <c r="GN162">
        <f ca="1"/>
      </c>
      <c r="GO162">
        <f ca="1"/>
      </c>
      <c r="GP162">
        <f ca="1"/>
      </c>
      <c r="GQ162">
        <f ca="1"/>
      </c>
    </row>
    <row r="163" spans="41:199" x14ac:dyDescent="0.55000000000000004">
      <c r="AO163">
        <f ca="1"/>
      </c>
      <c r="AP163">
        <f ca="1"/>
      </c>
      <c r="AQ163">
        <f ca="1"/>
      </c>
      <c r="AR163">
        <f ca="1"/>
      </c>
      <c r="AS163">
        <f ca="1"/>
      </c>
      <c r="AT163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AZ163">
        <f ca="1"/>
      </c>
      <c r="BA163">
        <f ca="1"/>
      </c>
      <c r="BB163">
        <f ca="1"/>
      </c>
      <c r="BC163">
        <f ca="1"/>
      </c>
      <c r="BD163">
        <f ca="1"/>
      </c>
      <c r="BE163">
        <f ca="1"/>
      </c>
      <c r="BF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M163" s="7">
        <f ca="1"/>
      </c>
      <c r="GN163">
        <f ca="1"/>
      </c>
      <c r="GO163">
        <f ca="1"/>
      </c>
      <c r="GP163">
        <f ca="1"/>
      </c>
      <c r="GQ163">
        <f ca="1"/>
      </c>
    </row>
    <row r="164" spans="41:199" x14ac:dyDescent="0.55000000000000004">
      <c r="AO164">
        <f ca="1"/>
      </c>
      <c r="AP164">
        <f ca="1"/>
      </c>
      <c r="AQ164">
        <f ca="1"/>
      </c>
      <c r="AR164">
        <f ca="1"/>
      </c>
      <c r="AS164">
        <f ca="1"/>
      </c>
      <c r="AT164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AZ164">
        <f ca="1"/>
      </c>
      <c r="BA164">
        <f ca="1"/>
      </c>
      <c r="BB164">
        <f ca="1"/>
      </c>
      <c r="BC164">
        <f ca="1"/>
      </c>
      <c r="BD164">
        <f ca="1"/>
      </c>
      <c r="BE164">
        <f ca="1"/>
      </c>
      <c r="BF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M164" s="7">
        <f ca="1"/>
      </c>
      <c r="GN164">
        <f ca="1"/>
      </c>
      <c r="GO164">
        <f ca="1"/>
      </c>
      <c r="GP164">
        <f ca="1"/>
      </c>
      <c r="GQ164">
        <f ca="1"/>
      </c>
    </row>
    <row r="165" spans="41:199" x14ac:dyDescent="0.55000000000000004">
      <c r="AO165">
        <f ca="1"/>
      </c>
      <c r="AP165">
        <f ca="1"/>
      </c>
      <c r="AQ165">
        <f ca="1"/>
      </c>
      <c r="AR165">
        <f ca="1"/>
      </c>
      <c r="AS165">
        <f ca="1"/>
      </c>
      <c r="AT165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AZ165">
        <f ca="1"/>
      </c>
      <c r="BA165">
        <f ca="1"/>
      </c>
      <c r="BB165">
        <f ca="1"/>
      </c>
      <c r="BC165">
        <f ca="1"/>
      </c>
      <c r="BD165">
        <f ca="1"/>
      </c>
      <c r="BE165">
        <f ca="1"/>
      </c>
      <c r="BF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M165" s="7">
        <f ca="1"/>
      </c>
      <c r="GN165">
        <f ca="1"/>
      </c>
      <c r="GO165">
        <f ca="1"/>
      </c>
      <c r="GP165">
        <f ca="1"/>
      </c>
      <c r="GQ165">
        <f ca="1"/>
      </c>
    </row>
    <row r="166" spans="41:199" x14ac:dyDescent="0.55000000000000004">
      <c r="AO166">
        <f ca="1"/>
      </c>
      <c r="AP166">
        <f ca="1"/>
      </c>
      <c r="AQ166">
        <f ca="1"/>
      </c>
      <c r="AR166">
        <f ca="1"/>
      </c>
      <c r="AS166">
        <f ca="1"/>
      </c>
      <c r="AT166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AZ166">
        <f ca="1"/>
      </c>
      <c r="BA166">
        <f ca="1"/>
      </c>
      <c r="BB166">
        <f ca="1"/>
      </c>
      <c r="BC166">
        <f ca="1"/>
      </c>
      <c r="BD166">
        <f ca="1"/>
      </c>
      <c r="BE166">
        <f ca="1"/>
      </c>
      <c r="BF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M166" s="7">
        <f ca="1"/>
      </c>
      <c r="GN166">
        <f ca="1"/>
      </c>
      <c r="GO166">
        <f ca="1"/>
      </c>
      <c r="GP166">
        <f ca="1"/>
      </c>
      <c r="GQ166">
        <f ca="1"/>
      </c>
    </row>
    <row r="167" spans="41:199" x14ac:dyDescent="0.55000000000000004">
      <c r="AO167">
        <f ca="1"/>
      </c>
      <c r="AP167">
        <f ca="1"/>
      </c>
      <c r="AQ167">
        <f ca="1"/>
      </c>
      <c r="AR167">
        <f ca="1"/>
      </c>
      <c r="AS167">
        <f ca="1"/>
      </c>
      <c r="AT16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AZ167">
        <f ca="1"/>
      </c>
      <c r="BA167">
        <f ca="1"/>
      </c>
      <c r="BB167">
        <f ca="1"/>
      </c>
      <c r="BC167">
        <f ca="1"/>
      </c>
      <c r="BD167">
        <f ca="1"/>
      </c>
      <c r="BE167">
        <f ca="1"/>
      </c>
      <c r="BF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M167" s="7">
        <f ca="1"/>
      </c>
      <c r="GN167">
        <f ca="1"/>
      </c>
      <c r="GO167">
        <f ca="1"/>
      </c>
      <c r="GP167">
        <f ca="1"/>
      </c>
      <c r="GQ167">
        <f ca="1"/>
      </c>
    </row>
    <row r="168" spans="41:199" x14ac:dyDescent="0.55000000000000004">
      <c r="AO168">
        <f ca="1"/>
      </c>
      <c r="AP168">
        <f ca="1"/>
      </c>
      <c r="AQ168">
        <f ca="1"/>
      </c>
      <c r="AR168">
        <f ca="1"/>
      </c>
      <c r="AS168">
        <f ca="1"/>
      </c>
      <c r="AT168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AZ168">
        <f ca="1"/>
      </c>
      <c r="BA168">
        <f ca="1"/>
      </c>
      <c r="BB168">
        <f ca="1"/>
      </c>
      <c r="BC168">
        <f ca="1"/>
      </c>
      <c r="BD168">
        <f ca="1"/>
      </c>
      <c r="BE168">
        <f ca="1"/>
      </c>
      <c r="BF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M168" s="7">
        <f ca="1"/>
      </c>
      <c r="GN168">
        <f ca="1"/>
      </c>
      <c r="GO168">
        <f ca="1"/>
      </c>
      <c r="GP168">
        <f ca="1"/>
      </c>
      <c r="GQ168">
        <f ca="1"/>
      </c>
    </row>
    <row r="169" spans="41:199" x14ac:dyDescent="0.55000000000000004">
      <c r="AO169">
        <f ca="1"/>
      </c>
      <c r="AP169">
        <f ca="1"/>
      </c>
      <c r="AQ169">
        <f ca="1"/>
      </c>
      <c r="AR169">
        <f ca="1"/>
      </c>
      <c r="AS169">
        <f ca="1"/>
      </c>
      <c r="AT169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AZ169">
        <f ca="1"/>
      </c>
      <c r="BA169">
        <f ca="1"/>
      </c>
      <c r="BB169">
        <f ca="1"/>
      </c>
      <c r="BC169">
        <f ca="1"/>
      </c>
      <c r="BD169">
        <f ca="1"/>
      </c>
      <c r="BE169">
        <f ca="1"/>
      </c>
      <c r="BF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M169" s="7">
        <f ca="1"/>
      </c>
      <c r="GN169">
        <f ca="1"/>
      </c>
      <c r="GO169">
        <f ca="1"/>
      </c>
      <c r="GP169">
        <f ca="1"/>
      </c>
      <c r="GQ169">
        <f ca="1"/>
      </c>
    </row>
    <row r="170" spans="41:199" x14ac:dyDescent="0.55000000000000004">
      <c r="AO170">
        <f ca="1"/>
      </c>
      <c r="AP170">
        <f ca="1"/>
      </c>
      <c r="AQ170">
        <f ca="1"/>
      </c>
      <c r="AR170">
        <f ca="1"/>
      </c>
      <c r="AS170">
        <f ca="1"/>
      </c>
      <c r="AT170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AZ170">
        <f ca="1"/>
      </c>
      <c r="BA170">
        <f ca="1"/>
      </c>
      <c r="BB170">
        <f ca="1"/>
      </c>
      <c r="BC170">
        <f ca="1"/>
      </c>
      <c r="BD170">
        <f ca="1"/>
      </c>
      <c r="BE170">
        <f ca="1"/>
      </c>
      <c r="BF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M170" s="7">
        <f ca="1"/>
      </c>
      <c r="GN170">
        <f ca="1"/>
      </c>
      <c r="GO170">
        <f ca="1"/>
      </c>
      <c r="GP170">
        <f ca="1"/>
      </c>
      <c r="GQ170">
        <f ca="1"/>
      </c>
    </row>
    <row r="171" spans="41:199" x14ac:dyDescent="0.55000000000000004">
      <c r="AO171">
        <f ca="1"/>
      </c>
      <c r="AP171">
        <f ca="1"/>
      </c>
      <c r="AQ171">
        <f ca="1"/>
      </c>
      <c r="AR171">
        <f ca="1"/>
      </c>
      <c r="AS171">
        <f ca="1"/>
      </c>
      <c r="AT171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AZ171">
        <f ca="1"/>
      </c>
      <c r="BA171">
        <f ca="1"/>
      </c>
      <c r="BB171">
        <f ca="1"/>
      </c>
      <c r="BC171">
        <f ca="1"/>
      </c>
      <c r="BD171">
        <f ca="1"/>
      </c>
      <c r="BE171">
        <f ca="1"/>
      </c>
      <c r="BF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M171" s="7">
        <f ca="1"/>
      </c>
      <c r="GN171">
        <f ca="1"/>
      </c>
      <c r="GO171">
        <f ca="1"/>
      </c>
      <c r="GP171">
        <f ca="1"/>
      </c>
      <c r="GQ171">
        <f ca="1"/>
      </c>
    </row>
    <row r="172" spans="41:199" x14ac:dyDescent="0.55000000000000004">
      <c r="AO172">
        <f ca="1"/>
      </c>
      <c r="AP172">
        <f ca="1"/>
      </c>
      <c r="AQ172">
        <f ca="1"/>
      </c>
      <c r="AR172">
        <f ca="1"/>
      </c>
      <c r="AS172">
        <f ca="1"/>
      </c>
      <c r="AT172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AZ172">
        <f ca="1"/>
      </c>
      <c r="BA172">
        <f ca="1"/>
      </c>
      <c r="BB172">
        <f ca="1"/>
      </c>
      <c r="BC172">
        <f ca="1"/>
      </c>
      <c r="BD172">
        <f ca="1"/>
      </c>
      <c r="BE172">
        <f ca="1"/>
      </c>
      <c r="BF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M172" s="7">
        <f ca="1"/>
      </c>
      <c r="GN172">
        <f ca="1"/>
      </c>
      <c r="GO172">
        <f ca="1"/>
      </c>
      <c r="GP172">
        <f ca="1"/>
      </c>
      <c r="GQ172">
        <f ca="1"/>
      </c>
    </row>
    <row r="173" spans="41:199" x14ac:dyDescent="0.55000000000000004">
      <c r="AO173">
        <f ca="1"/>
      </c>
      <c r="AP173">
        <f ca="1"/>
      </c>
      <c r="AQ173">
        <f ca="1"/>
      </c>
      <c r="AR173">
        <f ca="1"/>
      </c>
      <c r="AS173">
        <f ca="1"/>
      </c>
      <c r="AT173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AZ173">
        <f ca="1"/>
      </c>
      <c r="BA173">
        <f ca="1"/>
      </c>
      <c r="BB173">
        <f ca="1"/>
      </c>
      <c r="BC173">
        <f ca="1"/>
      </c>
      <c r="BD173">
        <f ca="1"/>
      </c>
      <c r="BE173">
        <f ca="1"/>
      </c>
      <c r="BF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M173" s="7">
        <f ca="1"/>
      </c>
      <c r="GN173">
        <f ca="1"/>
      </c>
      <c r="GO173">
        <f ca="1"/>
      </c>
      <c r="GP173">
        <f ca="1"/>
      </c>
      <c r="GQ173">
        <f ca="1"/>
      </c>
    </row>
    <row r="174" spans="41:199" x14ac:dyDescent="0.55000000000000004">
      <c r="AO174">
        <f ca="1"/>
      </c>
      <c r="AP174">
        <f ca="1"/>
      </c>
      <c r="AQ174">
        <f ca="1"/>
      </c>
      <c r="AR174">
        <f ca="1"/>
      </c>
      <c r="AS174">
        <f ca="1"/>
      </c>
      <c r="AT174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AZ174">
        <f ca="1"/>
      </c>
      <c r="BA174">
        <f ca="1"/>
      </c>
      <c r="BB174">
        <f ca="1"/>
      </c>
      <c r="BC174">
        <f ca="1"/>
      </c>
      <c r="BD174">
        <f ca="1"/>
      </c>
      <c r="BE174">
        <f ca="1"/>
      </c>
      <c r="BF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M174" s="7">
        <f ca="1"/>
      </c>
      <c r="GN174">
        <f ca="1"/>
      </c>
      <c r="GO174">
        <f ca="1"/>
      </c>
      <c r="GP174">
        <f ca="1"/>
      </c>
      <c r="GQ174">
        <f ca="1"/>
      </c>
    </row>
    <row r="175" spans="41:199" x14ac:dyDescent="0.55000000000000004">
      <c r="AO175">
        <f ca="1"/>
      </c>
      <c r="AP175">
        <f ca="1"/>
      </c>
      <c r="AQ175">
        <f ca="1"/>
      </c>
      <c r="AR175">
        <f ca="1"/>
      </c>
      <c r="AS175">
        <f ca="1"/>
      </c>
      <c r="AT175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AZ175">
        <f ca="1"/>
      </c>
      <c r="BA175">
        <f ca="1"/>
      </c>
      <c r="BB175">
        <f ca="1"/>
      </c>
      <c r="BC175">
        <f ca="1"/>
      </c>
      <c r="BD175">
        <f ca="1"/>
      </c>
      <c r="BE175">
        <f ca="1"/>
      </c>
      <c r="BF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M175" s="7">
        <f ca="1"/>
      </c>
      <c r="GN175">
        <f ca="1"/>
      </c>
      <c r="GO175">
        <f ca="1"/>
      </c>
      <c r="GP175">
        <f ca="1"/>
      </c>
      <c r="GQ175">
        <f ca="1"/>
      </c>
    </row>
    <row r="176" spans="41:199" x14ac:dyDescent="0.55000000000000004">
      <c r="AO176">
        <f ca="1"/>
      </c>
      <c r="AP176">
        <f ca="1"/>
      </c>
      <c r="AQ176">
        <f ca="1"/>
      </c>
      <c r="AR176">
        <f ca="1"/>
      </c>
      <c r="AS176">
        <f ca="1"/>
      </c>
      <c r="AT176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AZ176">
        <f ca="1"/>
      </c>
      <c r="BA176">
        <f ca="1"/>
      </c>
      <c r="BB176">
        <f ca="1"/>
      </c>
      <c r="BC176">
        <f ca="1"/>
      </c>
      <c r="BD176">
        <f ca="1"/>
      </c>
      <c r="BE176">
        <f ca="1"/>
      </c>
      <c r="BF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M176" s="7">
        <f ca="1"/>
      </c>
      <c r="GN176">
        <f ca="1"/>
      </c>
      <c r="GO176">
        <f ca="1"/>
      </c>
      <c r="GP176">
        <f ca="1"/>
      </c>
      <c r="GQ176">
        <f ca="1"/>
      </c>
    </row>
    <row r="177" spans="41:199" x14ac:dyDescent="0.55000000000000004">
      <c r="AO177">
        <f ca="1"/>
      </c>
      <c r="AP177">
        <f ca="1"/>
      </c>
      <c r="AQ177">
        <f ca="1"/>
      </c>
      <c r="AR177">
        <f ca="1"/>
      </c>
      <c r="AS177">
        <f ca="1"/>
      </c>
      <c r="AT17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AZ177">
        <f ca="1"/>
      </c>
      <c r="BA177">
        <f ca="1"/>
      </c>
      <c r="BB177">
        <f ca="1"/>
      </c>
      <c r="BC177">
        <f ca="1"/>
      </c>
      <c r="BD177">
        <f ca="1"/>
      </c>
      <c r="BE177">
        <f ca="1"/>
      </c>
      <c r="BF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M177" s="7">
        <f ca="1"/>
      </c>
      <c r="GN177">
        <f ca="1"/>
      </c>
      <c r="GO177">
        <f ca="1"/>
      </c>
      <c r="GP177">
        <f ca="1"/>
      </c>
      <c r="GQ177">
        <f ca="1"/>
      </c>
    </row>
    <row r="178" spans="41:199" x14ac:dyDescent="0.55000000000000004">
      <c r="AO178">
        <f ca="1"/>
      </c>
      <c r="AP178">
        <f ca="1"/>
      </c>
      <c r="AQ178">
        <f ca="1"/>
      </c>
      <c r="AR178">
        <f ca="1"/>
      </c>
      <c r="AS178">
        <f ca="1"/>
      </c>
      <c r="AT178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AZ178">
        <f ca="1"/>
      </c>
      <c r="BA178">
        <f ca="1"/>
      </c>
      <c r="BB178">
        <f ca="1"/>
      </c>
      <c r="BC178">
        <f ca="1"/>
      </c>
      <c r="BD178">
        <f ca="1"/>
      </c>
      <c r="BE178">
        <f ca="1"/>
      </c>
      <c r="BF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M178" s="7">
        <f ca="1"/>
      </c>
      <c r="GN178">
        <f ca="1"/>
      </c>
      <c r="GO178">
        <f ca="1"/>
      </c>
      <c r="GP178">
        <f ca="1"/>
      </c>
      <c r="GQ178">
        <f ca="1"/>
      </c>
    </row>
    <row r="179" spans="41:199" x14ac:dyDescent="0.55000000000000004">
      <c r="AO179">
        <f ca="1"/>
      </c>
      <c r="AP179">
        <f ca="1"/>
      </c>
      <c r="AQ179">
        <f ca="1"/>
      </c>
      <c r="AR179">
        <f ca="1"/>
      </c>
      <c r="AS179">
        <f ca="1"/>
      </c>
      <c r="AT179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AZ179">
        <f ca="1"/>
      </c>
      <c r="BA179">
        <f ca="1"/>
      </c>
      <c r="BB179">
        <f ca="1"/>
      </c>
      <c r="BC179">
        <f ca="1"/>
      </c>
      <c r="BD179">
        <f ca="1"/>
      </c>
      <c r="BE179">
        <f ca="1"/>
      </c>
      <c r="BF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M179" s="7">
        <f ca="1"/>
      </c>
      <c r="GN179">
        <f ca="1"/>
      </c>
      <c r="GO179">
        <f ca="1"/>
      </c>
      <c r="GP179">
        <f ca="1"/>
      </c>
      <c r="GQ179">
        <f ca="1"/>
      </c>
    </row>
    <row r="180" spans="41:199" x14ac:dyDescent="0.55000000000000004">
      <c r="AO180">
        <f ca="1"/>
      </c>
      <c r="AP180">
        <f ca="1"/>
      </c>
      <c r="AQ180">
        <f ca="1"/>
      </c>
      <c r="AR180">
        <f ca="1"/>
      </c>
      <c r="AS180">
        <f ca="1"/>
      </c>
      <c r="AT180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AZ180">
        <f ca="1"/>
      </c>
      <c r="BA180">
        <f ca="1"/>
      </c>
      <c r="BB180">
        <f ca="1"/>
      </c>
      <c r="BC180">
        <f ca="1"/>
      </c>
      <c r="BD180">
        <f ca="1"/>
      </c>
      <c r="BE180">
        <f ca="1"/>
      </c>
      <c r="BF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M180" s="7">
        <f ca="1"/>
      </c>
      <c r="GN180">
        <f ca="1"/>
      </c>
      <c r="GO180">
        <f ca="1"/>
      </c>
      <c r="GP180">
        <f ca="1"/>
      </c>
      <c r="GQ180">
        <f ca="1"/>
      </c>
    </row>
    <row r="181" spans="41:199" x14ac:dyDescent="0.55000000000000004">
      <c r="AO181">
        <f ca="1"/>
      </c>
      <c r="AP181">
        <f ca="1"/>
      </c>
      <c r="AQ181">
        <f ca="1"/>
      </c>
      <c r="AR181">
        <f ca="1"/>
      </c>
      <c r="AS181">
        <f ca="1"/>
      </c>
      <c r="AT181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AZ181">
        <f ca="1"/>
      </c>
      <c r="BA181">
        <f ca="1"/>
      </c>
      <c r="BB181">
        <f ca="1"/>
      </c>
      <c r="BC181">
        <f ca="1"/>
      </c>
      <c r="BD181">
        <f ca="1"/>
      </c>
      <c r="BE181">
        <f ca="1"/>
      </c>
      <c r="BF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M181" s="7">
        <f ca="1"/>
      </c>
      <c r="GN181">
        <f ca="1"/>
      </c>
      <c r="GO181">
        <f ca="1"/>
      </c>
      <c r="GP181">
        <f ca="1"/>
      </c>
      <c r="GQ181">
        <f ca="1"/>
      </c>
    </row>
    <row r="182" spans="41:199" x14ac:dyDescent="0.55000000000000004">
      <c r="AO182">
        <f ca="1"/>
      </c>
      <c r="AP182">
        <f ca="1"/>
      </c>
      <c r="AQ182">
        <f ca="1"/>
      </c>
      <c r="AR182">
        <f ca="1"/>
      </c>
      <c r="AS182">
        <f ca="1"/>
      </c>
      <c r="AT182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AZ182">
        <f ca="1"/>
      </c>
      <c r="BA182">
        <f ca="1"/>
      </c>
      <c r="BB182">
        <f ca="1"/>
      </c>
      <c r="BC182">
        <f ca="1"/>
      </c>
      <c r="BD182">
        <f ca="1"/>
      </c>
      <c r="BE182">
        <f ca="1"/>
      </c>
      <c r="BF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M182" s="7">
        <f ca="1"/>
      </c>
      <c r="GN182">
        <f ca="1"/>
      </c>
      <c r="GO182">
        <f ca="1"/>
      </c>
      <c r="GP182">
        <f ca="1"/>
      </c>
      <c r="GQ182">
        <f ca="1"/>
      </c>
    </row>
    <row r="183" spans="41:199" x14ac:dyDescent="0.55000000000000004">
      <c r="AO183">
        <f ca="1"/>
      </c>
      <c r="AP183">
        <f ca="1"/>
      </c>
      <c r="AQ183">
        <f ca="1"/>
      </c>
      <c r="AR183">
        <f ca="1"/>
      </c>
      <c r="AS183">
        <f ca="1"/>
      </c>
      <c r="AT183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AZ183">
        <f ca="1"/>
      </c>
      <c r="BA183">
        <f ca="1"/>
      </c>
      <c r="BB183">
        <f ca="1"/>
      </c>
      <c r="BC183">
        <f ca="1"/>
      </c>
      <c r="BD183">
        <f ca="1"/>
      </c>
      <c r="BE183">
        <f ca="1"/>
      </c>
      <c r="BF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M183" s="7">
        <f ca="1"/>
      </c>
      <c r="GN183">
        <f ca="1"/>
      </c>
      <c r="GO183">
        <f ca="1"/>
      </c>
      <c r="GP183">
        <f ca="1"/>
      </c>
      <c r="GQ183">
        <f ca="1"/>
      </c>
    </row>
    <row r="184" spans="41:199" x14ac:dyDescent="0.55000000000000004">
      <c r="AO184">
        <f ca="1"/>
      </c>
      <c r="AP184">
        <f ca="1"/>
      </c>
      <c r="AQ184">
        <f ca="1"/>
      </c>
      <c r="AR184">
        <f ca="1"/>
      </c>
      <c r="AS184">
        <f ca="1"/>
      </c>
      <c r="AT184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AZ184">
        <f ca="1"/>
      </c>
      <c r="BA184">
        <f ca="1"/>
      </c>
      <c r="BB184">
        <f ca="1"/>
      </c>
      <c r="BC184">
        <f ca="1"/>
      </c>
      <c r="BD184">
        <f ca="1"/>
      </c>
      <c r="BE184">
        <f ca="1"/>
      </c>
      <c r="BF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M184" s="7">
        <f ca="1"/>
      </c>
      <c r="GN184">
        <f ca="1"/>
      </c>
      <c r="GO184">
        <f ca="1"/>
      </c>
      <c r="GP184">
        <f ca="1"/>
      </c>
      <c r="GQ184">
        <f ca="1"/>
      </c>
    </row>
    <row r="185" spans="41:199" x14ac:dyDescent="0.55000000000000004">
      <c r="AO185">
        <f ca="1"/>
      </c>
      <c r="AP185">
        <f ca="1"/>
      </c>
      <c r="AQ185">
        <f ca="1"/>
      </c>
      <c r="AR185">
        <f ca="1"/>
      </c>
      <c r="AS185">
        <f ca="1"/>
      </c>
      <c r="AT185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AZ185">
        <f ca="1"/>
      </c>
      <c r="BA185">
        <f ca="1"/>
      </c>
      <c r="BB185">
        <f ca="1"/>
      </c>
      <c r="BC185">
        <f ca="1"/>
      </c>
      <c r="BD185">
        <f ca="1"/>
      </c>
      <c r="BE185">
        <f ca="1"/>
      </c>
      <c r="BF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M185" s="7">
        <f ca="1"/>
      </c>
      <c r="GN185">
        <f ca="1"/>
      </c>
      <c r="GO185">
        <f ca="1"/>
      </c>
      <c r="GP185">
        <f ca="1"/>
      </c>
      <c r="GQ185">
        <f ca="1"/>
      </c>
    </row>
    <row r="186" spans="41:199" x14ac:dyDescent="0.55000000000000004">
      <c r="AO186">
        <f ca="1"/>
      </c>
      <c r="AP186">
        <f ca="1"/>
      </c>
      <c r="AQ186">
        <f ca="1"/>
      </c>
      <c r="AR186">
        <f ca="1"/>
      </c>
      <c r="AS186">
        <f ca="1"/>
      </c>
      <c r="AT186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AZ186">
        <f ca="1"/>
      </c>
      <c r="BA186">
        <f ca="1"/>
      </c>
      <c r="BB186">
        <f ca="1"/>
      </c>
      <c r="BC186">
        <f ca="1"/>
      </c>
      <c r="BD186">
        <f ca="1"/>
      </c>
      <c r="BE186">
        <f ca="1"/>
      </c>
      <c r="BF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M186" s="7">
        <f ca="1"/>
      </c>
      <c r="GN186">
        <f ca="1"/>
      </c>
      <c r="GO186">
        <f ca="1"/>
      </c>
      <c r="GP186">
        <f ca="1"/>
      </c>
      <c r="GQ186">
        <f ca="1"/>
      </c>
    </row>
    <row r="187" spans="41:199" x14ac:dyDescent="0.55000000000000004">
      <c r="AO187">
        <f ca="1"/>
      </c>
      <c r="AP187">
        <f ca="1"/>
      </c>
      <c r="AQ187">
        <f ca="1"/>
      </c>
      <c r="AR187">
        <f ca="1"/>
      </c>
      <c r="AS187">
        <f ca="1"/>
      </c>
      <c r="AT18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AZ187">
        <f ca="1"/>
      </c>
      <c r="BA187">
        <f ca="1"/>
      </c>
      <c r="BB187">
        <f ca="1"/>
      </c>
      <c r="BC187">
        <f ca="1"/>
      </c>
      <c r="BD187">
        <f ca="1"/>
      </c>
      <c r="BE187">
        <f ca="1"/>
      </c>
      <c r="BF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M187" s="7">
        <f ca="1"/>
      </c>
      <c r="GN187">
        <f ca="1"/>
      </c>
      <c r="GO187">
        <f ca="1"/>
      </c>
      <c r="GP187">
        <f ca="1"/>
      </c>
      <c r="GQ187">
        <f ca="1"/>
      </c>
    </row>
    <row r="188" spans="41:199" x14ac:dyDescent="0.55000000000000004">
      <c r="AO188">
        <f ca="1"/>
      </c>
      <c r="AP188">
        <f ca="1"/>
      </c>
      <c r="AQ188">
        <f ca="1"/>
      </c>
      <c r="AR188">
        <f ca="1"/>
      </c>
      <c r="AS188">
        <f ca="1"/>
      </c>
      <c r="AT188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AZ188">
        <f ca="1"/>
      </c>
      <c r="BA188">
        <f ca="1"/>
      </c>
      <c r="BB188">
        <f ca="1"/>
      </c>
      <c r="BC188">
        <f ca="1"/>
      </c>
      <c r="BD188">
        <f ca="1"/>
      </c>
      <c r="BE188">
        <f ca="1"/>
      </c>
      <c r="BF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M188" s="7">
        <f ca="1"/>
      </c>
      <c r="GN188">
        <f ca="1"/>
      </c>
      <c r="GO188">
        <f ca="1"/>
      </c>
      <c r="GP188">
        <f ca="1"/>
      </c>
      <c r="GQ188">
        <f ca="1"/>
      </c>
    </row>
    <row r="189" spans="41:199" x14ac:dyDescent="0.55000000000000004">
      <c r="AO189">
        <f ca="1"/>
      </c>
      <c r="AP189">
        <f ca="1"/>
      </c>
      <c r="AQ189">
        <f ca="1"/>
      </c>
      <c r="AR189">
        <f ca="1"/>
      </c>
      <c r="AS189">
        <f ca="1"/>
      </c>
      <c r="AT189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AZ189">
        <f ca="1"/>
      </c>
      <c r="BA189">
        <f ca="1"/>
      </c>
      <c r="BB189">
        <f ca="1"/>
      </c>
      <c r="BC189">
        <f ca="1"/>
      </c>
      <c r="BD189">
        <f ca="1"/>
      </c>
      <c r="BE189">
        <f ca="1"/>
      </c>
      <c r="BF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M189" s="7">
        <f ca="1"/>
      </c>
      <c r="GN189">
        <f ca="1"/>
      </c>
      <c r="GO189">
        <f ca="1"/>
      </c>
      <c r="GP189">
        <f ca="1"/>
      </c>
      <c r="GQ189">
        <f ca="1"/>
      </c>
    </row>
    <row r="190" spans="41:199" x14ac:dyDescent="0.55000000000000004">
      <c r="AO190">
        <f ca="1"/>
      </c>
      <c r="AP190">
        <f ca="1"/>
      </c>
      <c r="AQ190">
        <f ca="1"/>
      </c>
      <c r="AR190">
        <f ca="1"/>
      </c>
      <c r="AS190">
        <f ca="1"/>
      </c>
      <c r="AT190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AZ190">
        <f ca="1"/>
      </c>
      <c r="BA190">
        <f ca="1"/>
      </c>
      <c r="BB190">
        <f ca="1"/>
      </c>
      <c r="BC190">
        <f ca="1"/>
      </c>
      <c r="BD190">
        <f ca="1"/>
      </c>
      <c r="BE190">
        <f ca="1"/>
      </c>
      <c r="BF190">
        <f ca="1"/>
      </c>
      <c r="BG190">
        <f ca="1"/>
      </c>
      <c r="BH190">
        <f ca="1"/>
      </c>
      <c r="BI190">
        <f ca="1"/>
      </c>
      <c r="BJ190">
        <f ca="1"/>
      </c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M190" s="7">
        <f ca="1"/>
      </c>
      <c r="GN190">
        <f ca="1"/>
      </c>
      <c r="GO190">
        <f ca="1"/>
      </c>
      <c r="GP190">
        <f ca="1"/>
      </c>
      <c r="GQ190">
        <f ca="1"/>
      </c>
    </row>
    <row r="191" spans="41:199" x14ac:dyDescent="0.55000000000000004">
      <c r="AO191">
        <f ca="1"/>
      </c>
      <c r="AP191">
        <f ca="1"/>
      </c>
      <c r="AQ191">
        <f ca="1"/>
      </c>
      <c r="AR191">
        <f ca="1"/>
      </c>
      <c r="AS191">
        <f ca="1"/>
      </c>
      <c r="AT191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AZ191">
        <f ca="1"/>
      </c>
      <c r="BA191">
        <f ca="1"/>
      </c>
      <c r="BB191">
        <f ca="1"/>
      </c>
      <c r="BC191">
        <f ca="1"/>
      </c>
      <c r="BD191">
        <f ca="1"/>
      </c>
      <c r="BE191">
        <f ca="1"/>
      </c>
      <c r="BF191">
        <f ca="1"/>
      </c>
      <c r="BG191">
        <f ca="1"/>
      </c>
      <c r="BH191">
        <f ca="1"/>
      </c>
      <c r="BI191">
        <f ca="1"/>
      </c>
      <c r="BJ191">
        <f ca="1"/>
      </c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M191" s="7">
        <f ca="1"/>
      </c>
      <c r="GN191">
        <f ca="1"/>
      </c>
      <c r="GO191">
        <f ca="1"/>
      </c>
      <c r="GP191">
        <f ca="1"/>
      </c>
      <c r="GQ191">
        <f ca="1"/>
      </c>
    </row>
    <row r="192" spans="41:199" x14ac:dyDescent="0.55000000000000004">
      <c r="AO192">
        <f ca="1"/>
      </c>
      <c r="AP192">
        <f ca="1"/>
      </c>
      <c r="AQ192">
        <f ca="1"/>
      </c>
      <c r="AR192">
        <f ca="1"/>
      </c>
      <c r="AS192">
        <f ca="1"/>
      </c>
      <c r="AT192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AZ192">
        <f ca="1"/>
      </c>
      <c r="BA192">
        <f ca="1"/>
      </c>
      <c r="BB192">
        <f ca="1"/>
      </c>
      <c r="BC192">
        <f ca="1"/>
      </c>
      <c r="BD192">
        <f ca="1"/>
      </c>
      <c r="BE192">
        <f ca="1"/>
      </c>
      <c r="BF192">
        <f ca="1"/>
      </c>
      <c r="BG192">
        <f ca="1"/>
      </c>
      <c r="BH192">
        <f ca="1"/>
      </c>
      <c r="BI192">
        <f ca="1"/>
      </c>
      <c r="BJ192">
        <f ca="1"/>
      </c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M192" s="7">
        <f ca="1"/>
      </c>
      <c r="GN192">
        <f ca="1"/>
      </c>
      <c r="GO192">
        <f ca="1"/>
      </c>
      <c r="GP192">
        <f ca="1"/>
      </c>
      <c r="GQ192">
        <f ca="1"/>
      </c>
    </row>
    <row r="193" spans="41:199" x14ac:dyDescent="0.55000000000000004">
      <c r="AO193">
        <f ca="1"/>
      </c>
      <c r="AP193">
        <f ca="1"/>
      </c>
      <c r="AQ193">
        <f ca="1"/>
      </c>
      <c r="AR193">
        <f ca="1"/>
      </c>
      <c r="AS193">
        <f ca="1"/>
      </c>
      <c r="AT193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AZ193">
        <f ca="1"/>
      </c>
      <c r="BA193">
        <f ca="1"/>
      </c>
      <c r="BB193">
        <f ca="1"/>
      </c>
      <c r="BC193">
        <f ca="1"/>
      </c>
      <c r="BD193">
        <f ca="1"/>
      </c>
      <c r="BE193">
        <f ca="1"/>
      </c>
      <c r="BF193">
        <f ca="1"/>
      </c>
      <c r="BG193">
        <f ca="1"/>
      </c>
      <c r="BH193">
        <f ca="1"/>
      </c>
      <c r="BI193">
        <f ca="1"/>
      </c>
      <c r="BJ193">
        <f ca="1"/>
      </c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M193" s="7">
        <f ca="1"/>
      </c>
      <c r="GN193">
        <f ca="1"/>
      </c>
      <c r="GO193">
        <f ca="1"/>
      </c>
      <c r="GP193">
        <f ca="1"/>
      </c>
      <c r="GQ193">
        <f ca="1"/>
      </c>
    </row>
    <row r="194" spans="41:199" x14ac:dyDescent="0.55000000000000004">
      <c r="AO194">
        <f ca="1"/>
      </c>
      <c r="AP194">
        <f ca="1"/>
      </c>
      <c r="AQ194">
        <f ca="1"/>
      </c>
      <c r="AR194">
        <f ca="1"/>
      </c>
      <c r="AS194">
        <f ca="1"/>
      </c>
      <c r="AT194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AZ194">
        <f ca="1"/>
      </c>
      <c r="BA194">
        <f ca="1"/>
      </c>
      <c r="BB194">
        <f ca="1"/>
      </c>
      <c r="BC194">
        <f ca="1"/>
      </c>
      <c r="BD194">
        <f ca="1"/>
      </c>
      <c r="BE194">
        <f ca="1"/>
      </c>
      <c r="BF194">
        <f ca="1"/>
      </c>
      <c r="BG194">
        <f ca="1"/>
      </c>
      <c r="BH194">
        <f ca="1"/>
      </c>
      <c r="BI194">
        <f ca="1"/>
      </c>
      <c r="BJ194">
        <f ca="1"/>
      </c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M194" s="7">
        <f ca="1"/>
      </c>
      <c r="GN194">
        <f ca="1"/>
      </c>
      <c r="GO194">
        <f ca="1"/>
      </c>
      <c r="GP194">
        <f ca="1"/>
      </c>
      <c r="GQ194">
        <f ca="1"/>
      </c>
    </row>
    <row r="195" spans="41:199" x14ac:dyDescent="0.55000000000000004">
      <c r="AO195">
        <f ca="1"/>
      </c>
      <c r="AP195">
        <f ca="1"/>
      </c>
      <c r="AQ195">
        <f ca="1"/>
      </c>
      <c r="AR195">
        <f ca="1"/>
      </c>
      <c r="AS195">
        <f ca="1"/>
      </c>
      <c r="AT195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AZ195">
        <f ca="1"/>
      </c>
      <c r="BA195">
        <f ca="1"/>
      </c>
      <c r="BB195">
        <f ca="1"/>
      </c>
      <c r="BC195">
        <f ca="1"/>
      </c>
      <c r="BD195">
        <f ca="1"/>
      </c>
      <c r="BE195">
        <f ca="1"/>
      </c>
      <c r="BF195">
        <f ca="1"/>
      </c>
      <c r="BG195">
        <f ca="1"/>
      </c>
      <c r="BH195">
        <f ca="1"/>
      </c>
      <c r="BI195">
        <f ca="1"/>
      </c>
      <c r="BJ195">
        <f ca="1"/>
      </c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M195" s="7">
        <f ca="1"/>
      </c>
      <c r="GN195">
        <f ca="1"/>
      </c>
      <c r="GO195">
        <f ca="1"/>
      </c>
      <c r="GP195">
        <f ca="1"/>
      </c>
      <c r="GQ195">
        <f ca="1"/>
      </c>
    </row>
    <row r="196" spans="41:199" x14ac:dyDescent="0.55000000000000004">
      <c r="AO196">
        <f ca="1"/>
      </c>
      <c r="AP196">
        <f ca="1"/>
      </c>
      <c r="AQ196">
        <f ca="1"/>
      </c>
      <c r="AR196">
        <f ca="1"/>
      </c>
      <c r="AS196">
        <f ca="1"/>
      </c>
      <c r="AT196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AZ196">
        <f ca="1"/>
      </c>
      <c r="BA196">
        <f ca="1"/>
      </c>
      <c r="BB196">
        <f ca="1"/>
      </c>
      <c r="BC196">
        <f ca="1"/>
      </c>
      <c r="BD196">
        <f ca="1"/>
      </c>
      <c r="BE196">
        <f ca="1"/>
      </c>
      <c r="BF196">
        <f ca="1"/>
      </c>
      <c r="BG196">
        <f ca="1"/>
      </c>
      <c r="BH196">
        <f ca="1"/>
      </c>
      <c r="BI196">
        <f ca="1"/>
      </c>
      <c r="BJ196">
        <f ca="1"/>
      </c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M196" s="7">
        <f ca="1"/>
      </c>
      <c r="GN196">
        <f ca="1"/>
      </c>
      <c r="GO196">
        <f ca="1"/>
      </c>
      <c r="GP196">
        <f ca="1"/>
      </c>
      <c r="GQ196">
        <f ca="1"/>
      </c>
    </row>
    <row r="197" spans="41:199" x14ac:dyDescent="0.55000000000000004">
      <c r="AO197">
        <f ca="1"/>
      </c>
      <c r="AP197">
        <f ca="1"/>
      </c>
      <c r="AQ197">
        <f ca="1"/>
      </c>
      <c r="AR197">
        <f ca="1"/>
      </c>
      <c r="AS197">
        <f ca="1"/>
      </c>
      <c r="AT19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AZ197">
        <f ca="1"/>
      </c>
      <c r="BA197">
        <f ca="1"/>
      </c>
      <c r="BB197">
        <f ca="1"/>
      </c>
      <c r="BC197">
        <f ca="1"/>
      </c>
      <c r="BD197">
        <f ca="1"/>
      </c>
      <c r="BE197">
        <f ca="1"/>
      </c>
      <c r="BF197">
        <f ca="1"/>
      </c>
      <c r="BG197">
        <f ca="1"/>
      </c>
      <c r="BH197">
        <f ca="1"/>
      </c>
      <c r="BI197">
        <f ca="1"/>
      </c>
      <c r="BJ197">
        <f ca="1"/>
      </c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F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B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M197" s="7">
        <f ca="1"/>
      </c>
      <c r="GN197">
        <f ca="1"/>
      </c>
      <c r="GO197">
        <f ca="1"/>
      </c>
      <c r="GP197">
        <f ca="1"/>
      </c>
      <c r="GQ197">
        <f ca="1"/>
      </c>
    </row>
    <row r="198" spans="41:199" x14ac:dyDescent="0.55000000000000004">
      <c r="AO198">
        <f ca="1"/>
      </c>
      <c r="AP198">
        <f ca="1"/>
      </c>
      <c r="AQ198">
        <f ca="1"/>
      </c>
      <c r="AR198">
        <f ca="1"/>
      </c>
      <c r="AS198">
        <f ca="1"/>
      </c>
      <c r="AT198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AZ198">
        <f ca="1"/>
      </c>
      <c r="BA198">
        <f ca="1"/>
      </c>
      <c r="BB198">
        <f ca="1"/>
      </c>
      <c r="BC198">
        <f ca="1"/>
      </c>
      <c r="BD198">
        <f ca="1"/>
      </c>
      <c r="BE198">
        <f ca="1"/>
      </c>
      <c r="BF198">
        <f ca="1"/>
      </c>
      <c r="BG198">
        <f ca="1"/>
      </c>
      <c r="BH198">
        <f ca="1"/>
      </c>
      <c r="BI198">
        <f ca="1"/>
      </c>
      <c r="BJ198">
        <f ca="1"/>
      </c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F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B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M198" s="7">
        <f ca="1"/>
      </c>
      <c r="GN198">
        <f ca="1"/>
      </c>
      <c r="GO198">
        <f ca="1"/>
      </c>
      <c r="GP198">
        <f ca="1"/>
      </c>
      <c r="GQ198">
        <f ca="1"/>
      </c>
    </row>
    <row r="199" spans="41:199" x14ac:dyDescent="0.55000000000000004">
      <c r="AO199">
        <f ca="1"/>
      </c>
      <c r="AP199">
        <f ca="1"/>
      </c>
      <c r="AQ199">
        <f ca="1"/>
      </c>
      <c r="AR199">
        <f ca="1"/>
      </c>
      <c r="AS199">
        <f ca="1"/>
      </c>
      <c r="AT199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AZ199">
        <f ca="1"/>
      </c>
      <c r="BA199">
        <f ca="1"/>
      </c>
      <c r="BB199">
        <f ca="1"/>
      </c>
      <c r="BC199">
        <f ca="1"/>
      </c>
      <c r="BD199">
        <f ca="1"/>
      </c>
      <c r="BE199">
        <f ca="1"/>
      </c>
      <c r="BF199">
        <f ca="1"/>
      </c>
      <c r="BG199">
        <f ca="1"/>
      </c>
      <c r="BH199">
        <f ca="1"/>
      </c>
      <c r="BI199">
        <f ca="1"/>
      </c>
      <c r="BJ199">
        <f ca="1"/>
      </c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F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B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M199" s="7">
        <f ca="1"/>
      </c>
      <c r="GN199">
        <f ca="1"/>
      </c>
      <c r="GO199">
        <f ca="1"/>
      </c>
      <c r="GP199">
        <f ca="1"/>
      </c>
      <c r="GQ199">
        <f ca="1"/>
      </c>
    </row>
    <row r="200" spans="41:199" x14ac:dyDescent="0.55000000000000004">
      <c r="AO200">
        <f ca="1"/>
      </c>
      <c r="AP200">
        <f ca="1"/>
      </c>
      <c r="AQ200">
        <f ca="1"/>
      </c>
      <c r="AR200">
        <f ca="1"/>
      </c>
      <c r="AS200">
        <f ca="1"/>
      </c>
      <c r="AT200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AZ200">
        <f ca="1"/>
      </c>
      <c r="BA200">
        <f ca="1"/>
      </c>
      <c r="BB200">
        <f ca="1"/>
      </c>
      <c r="BC200">
        <f ca="1"/>
      </c>
      <c r="BD200">
        <f ca="1"/>
      </c>
      <c r="BE200">
        <f ca="1"/>
      </c>
      <c r="BF200">
        <f ca="1"/>
      </c>
      <c r="BG200">
        <f ca="1"/>
      </c>
      <c r="BH200">
        <f ca="1"/>
      </c>
      <c r="BI200">
        <f ca="1"/>
      </c>
      <c r="BJ200">
        <f ca="1"/>
      </c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F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B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M200" s="7">
        <f ca="1"/>
      </c>
      <c r="GN200">
        <f ca="1"/>
      </c>
      <c r="GO200">
        <f ca="1"/>
      </c>
      <c r="GP200">
        <f ca="1"/>
      </c>
      <c r="GQ200">
        <f ca="1"/>
      </c>
    </row>
    <row r="201" spans="41:199" x14ac:dyDescent="0.55000000000000004">
      <c r="AO201">
        <f ca="1"/>
      </c>
      <c r="AP201">
        <f ca="1"/>
      </c>
      <c r="AQ201">
        <f ca="1"/>
      </c>
      <c r="AR201">
        <f ca="1"/>
      </c>
      <c r="AS201">
        <f ca="1"/>
      </c>
      <c r="AT201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AZ201">
        <f ca="1"/>
      </c>
      <c r="BA201">
        <f ca="1"/>
      </c>
      <c r="BB201">
        <f ca="1"/>
      </c>
      <c r="BC201">
        <f ca="1"/>
      </c>
      <c r="BD201">
        <f ca="1"/>
      </c>
      <c r="BE201">
        <f ca="1"/>
      </c>
      <c r="BF201">
        <f ca="1"/>
      </c>
      <c r="BG201">
        <f ca="1"/>
      </c>
      <c r="BH201">
        <f ca="1"/>
      </c>
      <c r="BI201">
        <f ca="1"/>
      </c>
      <c r="BJ201">
        <f ca="1"/>
      </c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F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B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M201" s="7">
        <f ca="1"/>
      </c>
      <c r="GN201">
        <f ca="1"/>
      </c>
      <c r="GO201">
        <f ca="1"/>
      </c>
      <c r="GP201">
        <f ca="1"/>
      </c>
      <c r="GQ201">
        <f ca="1"/>
      </c>
    </row>
    <row r="202" spans="41:199" x14ac:dyDescent="0.55000000000000004">
      <c r="AO202">
        <f ca="1"/>
      </c>
      <c r="AP202">
        <f ca="1"/>
      </c>
      <c r="AQ202">
        <f ca="1"/>
      </c>
      <c r="AR202">
        <f ca="1"/>
      </c>
      <c r="AS202">
        <f ca="1"/>
      </c>
      <c r="AT202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AZ202">
        <f ca="1"/>
      </c>
      <c r="BA202">
        <f ca="1"/>
      </c>
      <c r="BB202">
        <f ca="1"/>
      </c>
      <c r="BC202">
        <f ca="1"/>
      </c>
      <c r="BD202">
        <f ca="1"/>
      </c>
      <c r="BE202">
        <f ca="1"/>
      </c>
      <c r="BF202">
        <f ca="1"/>
      </c>
      <c r="BG202">
        <f ca="1"/>
      </c>
      <c r="BH202">
        <f ca="1"/>
      </c>
      <c r="BI202">
        <f ca="1"/>
      </c>
      <c r="BJ202">
        <f ca="1"/>
      </c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F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B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M202" s="7">
        <f ca="1"/>
      </c>
      <c r="GN202">
        <f ca="1"/>
      </c>
      <c r="GO202">
        <f ca="1"/>
      </c>
      <c r="GP202">
        <f ca="1"/>
      </c>
      <c r="GQ202">
        <f ca="1"/>
      </c>
    </row>
    <row r="203" spans="41:199" x14ac:dyDescent="0.55000000000000004">
      <c r="AO203">
        <f ca="1"/>
      </c>
      <c r="AP203">
        <f ca="1"/>
      </c>
      <c r="AQ203">
        <f ca="1"/>
      </c>
      <c r="AR203">
        <f ca="1"/>
      </c>
      <c r="AS203">
        <f ca="1"/>
      </c>
      <c r="AT203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AZ203">
        <f ca="1"/>
      </c>
      <c r="BA203">
        <f ca="1"/>
      </c>
      <c r="BB203">
        <f ca="1"/>
      </c>
      <c r="BC203">
        <f ca="1"/>
      </c>
      <c r="BD203">
        <f ca="1"/>
      </c>
      <c r="BE203">
        <f ca="1"/>
      </c>
      <c r="BF203">
        <f ca="1"/>
      </c>
      <c r="BG203">
        <f ca="1"/>
      </c>
      <c r="BH203">
        <f ca="1"/>
      </c>
      <c r="BI203">
        <f ca="1"/>
      </c>
      <c r="BJ203">
        <f ca="1"/>
      </c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F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B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M203" s="7">
        <f ca="1"/>
      </c>
      <c r="GN203">
        <f ca="1"/>
      </c>
      <c r="GO203">
        <f ca="1"/>
      </c>
      <c r="GP203">
        <f ca="1"/>
      </c>
      <c r="GQ203">
        <f ca="1"/>
      </c>
    </row>
    <row r="204" spans="41:199" x14ac:dyDescent="0.55000000000000004">
      <c r="AO204">
        <f ca="1"/>
      </c>
      <c r="AP204">
        <f ca="1"/>
      </c>
      <c r="AQ204">
        <f ca="1"/>
      </c>
      <c r="AR204">
        <f ca="1"/>
      </c>
      <c r="AS204">
        <f ca="1"/>
      </c>
      <c r="AT204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AZ204">
        <f ca="1"/>
      </c>
      <c r="BA204">
        <f ca="1"/>
      </c>
      <c r="BB204">
        <f ca="1"/>
      </c>
      <c r="BC204">
        <f ca="1"/>
      </c>
      <c r="BD204">
        <f ca="1"/>
      </c>
      <c r="BE204">
        <f ca="1"/>
      </c>
      <c r="BF204">
        <f ca="1"/>
      </c>
      <c r="BG204">
        <f ca="1"/>
      </c>
      <c r="BH204">
        <f ca="1"/>
      </c>
      <c r="BI204">
        <f ca="1"/>
      </c>
      <c r="BJ204">
        <f ca="1"/>
      </c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F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M204" s="7">
        <f ca="1"/>
      </c>
      <c r="GN204">
        <f ca="1"/>
      </c>
      <c r="GO204">
        <f ca="1"/>
      </c>
      <c r="GP204">
        <f ca="1"/>
      </c>
      <c r="GQ204">
        <f ca="1"/>
      </c>
    </row>
    <row r="205" spans="41:199" x14ac:dyDescent="0.55000000000000004">
      <c r="AO205">
        <f ca="1"/>
      </c>
      <c r="AP205">
        <f ca="1"/>
      </c>
      <c r="AQ205">
        <f ca="1"/>
      </c>
      <c r="AR205">
        <f ca="1"/>
      </c>
      <c r="AS205">
        <f ca="1"/>
      </c>
      <c r="AT205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AZ205">
        <f ca="1"/>
      </c>
      <c r="BA205">
        <f ca="1"/>
      </c>
      <c r="BB205">
        <f ca="1"/>
      </c>
      <c r="BC205">
        <f ca="1"/>
      </c>
      <c r="BD205">
        <f ca="1"/>
      </c>
      <c r="BE205">
        <f ca="1"/>
      </c>
      <c r="BF205">
        <f ca="1"/>
      </c>
      <c r="BG205">
        <f ca="1"/>
      </c>
      <c r="BH205">
        <f ca="1"/>
      </c>
      <c r="BI205">
        <f ca="1"/>
      </c>
      <c r="BJ205">
        <f ca="1"/>
      </c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F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M205" s="7">
        <f ca="1"/>
      </c>
      <c r="GN205">
        <f ca="1"/>
      </c>
      <c r="GO205">
        <f ca="1"/>
      </c>
      <c r="GP205">
        <f ca="1"/>
      </c>
      <c r="GQ205">
        <f ca="1"/>
      </c>
    </row>
    <row r="206" spans="41:199" x14ac:dyDescent="0.55000000000000004">
      <c r="AO206">
        <f ca="1"/>
      </c>
      <c r="AP206">
        <f ca="1"/>
      </c>
      <c r="AQ206">
        <f ca="1"/>
      </c>
      <c r="AR206">
        <f ca="1"/>
      </c>
      <c r="AS206">
        <f ca="1"/>
      </c>
      <c r="AT206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AZ206">
        <f ca="1"/>
      </c>
      <c r="BA206">
        <f ca="1"/>
      </c>
      <c r="BB206">
        <f ca="1"/>
      </c>
      <c r="BC206">
        <f ca="1"/>
      </c>
      <c r="BD206">
        <f ca="1"/>
      </c>
      <c r="BE206">
        <f ca="1"/>
      </c>
      <c r="BF206">
        <f ca="1"/>
      </c>
      <c r="BG206">
        <f ca="1"/>
      </c>
      <c r="BH206">
        <f ca="1"/>
      </c>
      <c r="BI206">
        <f ca="1"/>
      </c>
      <c r="BJ206">
        <f ca="1"/>
      </c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F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M206" s="7">
        <f ca="1"/>
      </c>
      <c r="GN206">
        <f ca="1"/>
      </c>
      <c r="GO206">
        <f ca="1"/>
      </c>
      <c r="GP206">
        <f ca="1"/>
      </c>
      <c r="GQ206">
        <f ca="1"/>
      </c>
    </row>
    <row r="207" spans="41:199" x14ac:dyDescent="0.55000000000000004">
      <c r="AO207">
        <f ca="1"/>
      </c>
      <c r="AP207">
        <f ca="1"/>
      </c>
      <c r="AQ207">
        <f ca="1"/>
      </c>
      <c r="AR207">
        <f ca="1"/>
      </c>
      <c r="AS207">
        <f ca="1"/>
      </c>
      <c r="AT20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AZ207">
        <f ca="1"/>
      </c>
      <c r="BA207">
        <f ca="1"/>
      </c>
      <c r="BB207">
        <f ca="1"/>
      </c>
      <c r="BC207">
        <f ca="1"/>
      </c>
      <c r="BD207">
        <f ca="1"/>
      </c>
      <c r="BE207">
        <f ca="1"/>
      </c>
      <c r="BF207">
        <f ca="1"/>
      </c>
      <c r="BG207">
        <f ca="1"/>
      </c>
      <c r="BH207">
        <f ca="1"/>
      </c>
      <c r="BI207">
        <f ca="1"/>
      </c>
      <c r="BJ207">
        <f ca="1"/>
      </c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F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M207" s="7">
        <f ca="1"/>
      </c>
      <c r="GN207">
        <f ca="1"/>
      </c>
      <c r="GO207">
        <f ca="1"/>
      </c>
      <c r="GP207">
        <f ca="1"/>
      </c>
      <c r="GQ207">
        <f ca="1"/>
      </c>
    </row>
    <row r="208" spans="41:199" x14ac:dyDescent="0.55000000000000004">
      <c r="AO208">
        <f ca="1"/>
      </c>
      <c r="AP208">
        <f ca="1"/>
      </c>
      <c r="AQ208">
        <f ca="1"/>
      </c>
      <c r="AR208">
        <f ca="1"/>
      </c>
      <c r="AS208">
        <f ca="1"/>
      </c>
      <c r="AT208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AZ208">
        <f ca="1"/>
      </c>
      <c r="BA208">
        <f ca="1"/>
      </c>
      <c r="BB208">
        <f ca="1"/>
      </c>
      <c r="BC208">
        <f ca="1"/>
      </c>
      <c r="BD208">
        <f ca="1"/>
      </c>
      <c r="BE208">
        <f ca="1"/>
      </c>
      <c r="BF208">
        <f ca="1"/>
      </c>
      <c r="BG208">
        <f ca="1"/>
      </c>
      <c r="BH208">
        <f ca="1"/>
      </c>
      <c r="BI208">
        <f ca="1"/>
      </c>
      <c r="BJ208">
        <f ca="1"/>
      </c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F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M208" s="7">
        <f ca="1"/>
      </c>
      <c r="GN208">
        <f ca="1"/>
      </c>
      <c r="GO208">
        <f ca="1"/>
      </c>
      <c r="GP208">
        <f ca="1"/>
      </c>
      <c r="GQ208">
        <f ca="1"/>
      </c>
    </row>
    <row r="209" spans="41:199" x14ac:dyDescent="0.55000000000000004">
      <c r="AO209">
        <f ca="1"/>
      </c>
      <c r="AP209">
        <f ca="1"/>
      </c>
      <c r="AQ209">
        <f ca="1"/>
      </c>
      <c r="AR209">
        <f ca="1"/>
      </c>
      <c r="AS209">
        <f ca="1"/>
      </c>
      <c r="AT209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AZ209">
        <f ca="1"/>
      </c>
      <c r="BA209">
        <f ca="1"/>
      </c>
      <c r="BB209">
        <f ca="1"/>
      </c>
      <c r="BC209">
        <f ca="1"/>
      </c>
      <c r="BD209">
        <f ca="1"/>
      </c>
      <c r="BE209">
        <f ca="1"/>
      </c>
      <c r="BF209">
        <f ca="1"/>
      </c>
      <c r="BG209">
        <f ca="1"/>
      </c>
      <c r="BH209">
        <f ca="1"/>
      </c>
      <c r="BI209">
        <f ca="1"/>
      </c>
      <c r="BJ209">
        <f ca="1"/>
      </c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F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M209" s="7">
        <f ca="1"/>
      </c>
      <c r="GN209">
        <f ca="1"/>
      </c>
      <c r="GO209">
        <f ca="1"/>
      </c>
      <c r="GP209">
        <f ca="1"/>
      </c>
      <c r="GQ209">
        <f ca="1"/>
      </c>
    </row>
    <row r="210" spans="41:199" x14ac:dyDescent="0.55000000000000004">
      <c r="AO210">
        <f ca="1"/>
      </c>
      <c r="AP210">
        <f ca="1"/>
      </c>
      <c r="AQ210">
        <f ca="1"/>
      </c>
      <c r="AR210">
        <f ca="1"/>
      </c>
      <c r="AS210">
        <f ca="1"/>
      </c>
      <c r="AT210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AZ210">
        <f ca="1"/>
      </c>
      <c r="BA210">
        <f ca="1"/>
      </c>
      <c r="BB210">
        <f ca="1"/>
      </c>
      <c r="BC210">
        <f ca="1"/>
      </c>
      <c r="BD210">
        <f ca="1"/>
      </c>
      <c r="BE210">
        <f ca="1"/>
      </c>
      <c r="BF210">
        <f ca="1"/>
      </c>
      <c r="BG210">
        <f ca="1"/>
      </c>
      <c r="BH210">
        <f ca="1"/>
      </c>
      <c r="BI210">
        <f ca="1"/>
      </c>
      <c r="BJ210">
        <f ca="1"/>
      </c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F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M210" s="7">
        <f ca="1"/>
      </c>
      <c r="GN210">
        <f ca="1"/>
      </c>
      <c r="GO210">
        <f ca="1"/>
      </c>
      <c r="GP210">
        <f ca="1"/>
      </c>
      <c r="GQ210">
        <f ca="1"/>
      </c>
    </row>
    <row r="211" spans="41:199" x14ac:dyDescent="0.55000000000000004">
      <c r="AO211">
        <f ca="1"/>
      </c>
      <c r="AP211">
        <f ca="1"/>
      </c>
      <c r="AQ211">
        <f ca="1"/>
      </c>
      <c r="AR211">
        <f ca="1"/>
      </c>
      <c r="AS211">
        <f ca="1"/>
      </c>
      <c r="AT211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AZ211">
        <f ca="1"/>
      </c>
      <c r="BA211">
        <f ca="1"/>
      </c>
      <c r="BB211">
        <f ca="1"/>
      </c>
      <c r="BC211">
        <f ca="1"/>
      </c>
      <c r="BD211">
        <f ca="1"/>
      </c>
      <c r="BE211">
        <f ca="1"/>
      </c>
      <c r="BF211">
        <f ca="1"/>
      </c>
      <c r="BG211">
        <f ca="1"/>
      </c>
      <c r="BH211">
        <f ca="1"/>
      </c>
      <c r="BI211">
        <f ca="1"/>
      </c>
      <c r="BJ211">
        <f ca="1"/>
      </c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F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M211" s="7">
        <f ca="1"/>
      </c>
      <c r="GN211">
        <f ca="1"/>
      </c>
      <c r="GO211">
        <f ca="1"/>
      </c>
      <c r="GP211">
        <f ca="1"/>
      </c>
      <c r="GQ211">
        <f ca="1"/>
      </c>
    </row>
    <row r="212" spans="41:199" x14ac:dyDescent="0.55000000000000004">
      <c r="AO212">
        <f ca="1"/>
      </c>
      <c r="AP212">
        <f ca="1"/>
      </c>
      <c r="AQ212">
        <f ca="1"/>
      </c>
      <c r="AR212">
        <f ca="1"/>
      </c>
      <c r="AS212">
        <f ca="1"/>
      </c>
      <c r="AT212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AZ212">
        <f ca="1"/>
      </c>
      <c r="BA212">
        <f ca="1"/>
      </c>
      <c r="BB212">
        <f ca="1"/>
      </c>
      <c r="BC212">
        <f ca="1"/>
      </c>
      <c r="BD212">
        <f ca="1"/>
      </c>
      <c r="BE212">
        <f ca="1"/>
      </c>
      <c r="BF212">
        <f ca="1"/>
      </c>
      <c r="BG212">
        <f ca="1"/>
      </c>
      <c r="BH212">
        <f ca="1"/>
      </c>
      <c r="BI212">
        <f ca="1"/>
      </c>
      <c r="BJ212">
        <f ca="1"/>
      </c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F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M212" s="7">
        <f ca="1"/>
      </c>
      <c r="GN212">
        <f ca="1"/>
      </c>
      <c r="GO212">
        <f ca="1"/>
      </c>
      <c r="GP212">
        <f ca="1"/>
      </c>
      <c r="GQ212">
        <f ca="1"/>
      </c>
    </row>
    <row r="213" spans="41:199" x14ac:dyDescent="0.55000000000000004">
      <c r="AO213">
        <f ca="1"/>
      </c>
      <c r="AP213">
        <f ca="1"/>
      </c>
      <c r="AQ213">
        <f ca="1"/>
      </c>
      <c r="AR213">
        <f ca="1"/>
      </c>
      <c r="AS213">
        <f ca="1"/>
      </c>
      <c r="AT213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AZ213">
        <f ca="1"/>
      </c>
      <c r="BA213">
        <f ca="1"/>
      </c>
      <c r="BB213">
        <f ca="1"/>
      </c>
      <c r="BC213">
        <f ca="1"/>
      </c>
      <c r="BD213">
        <f ca="1"/>
      </c>
      <c r="BE213">
        <f ca="1"/>
      </c>
      <c r="BF213">
        <f ca="1"/>
      </c>
      <c r="BG213">
        <f ca="1"/>
      </c>
      <c r="BH213">
        <f ca="1"/>
      </c>
      <c r="BI213">
        <f ca="1"/>
      </c>
      <c r="BJ213">
        <f ca="1"/>
      </c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F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M213" s="7">
        <f ca="1"/>
      </c>
      <c r="GN213">
        <f ca="1"/>
      </c>
      <c r="GO213">
        <f ca="1"/>
      </c>
      <c r="GP213">
        <f ca="1"/>
      </c>
      <c r="GQ213">
        <f ca="1"/>
      </c>
    </row>
    <row r="214" spans="41:199" x14ac:dyDescent="0.55000000000000004">
      <c r="AO214">
        <f ca="1"/>
      </c>
      <c r="AP214">
        <f ca="1"/>
      </c>
      <c r="AQ214">
        <f ca="1"/>
      </c>
      <c r="AR214">
        <f ca="1"/>
      </c>
      <c r="AS214">
        <f ca="1"/>
      </c>
      <c r="AT214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AZ214">
        <f ca="1"/>
      </c>
      <c r="BA214">
        <f ca="1"/>
      </c>
      <c r="BB214">
        <f ca="1"/>
      </c>
      <c r="BC214">
        <f ca="1"/>
      </c>
      <c r="BD214">
        <f ca="1"/>
      </c>
      <c r="BE214">
        <f ca="1"/>
      </c>
      <c r="BF214">
        <f ca="1"/>
      </c>
      <c r="BG214">
        <f ca="1"/>
      </c>
      <c r="BH214">
        <f ca="1"/>
      </c>
      <c r="BI214">
        <f ca="1"/>
      </c>
      <c r="BJ214">
        <f ca="1"/>
      </c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F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M214" s="7">
        <f ca="1"/>
      </c>
      <c r="GN214">
        <f ca="1"/>
      </c>
      <c r="GO214">
        <f ca="1"/>
      </c>
      <c r="GP214">
        <f ca="1"/>
      </c>
      <c r="GQ214">
        <f ca="1"/>
      </c>
    </row>
    <row r="215" spans="41:199" x14ac:dyDescent="0.55000000000000004">
      <c r="AO215">
        <f ca="1"/>
      </c>
      <c r="AP215">
        <f ca="1"/>
      </c>
      <c r="AQ215">
        <f ca="1"/>
      </c>
      <c r="AR215">
        <f ca="1"/>
      </c>
      <c r="AS215">
        <f ca="1"/>
      </c>
      <c r="AT215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AZ215">
        <f ca="1"/>
      </c>
      <c r="BA215">
        <f ca="1"/>
      </c>
      <c r="BB215">
        <f ca="1"/>
      </c>
      <c r="BC215">
        <f ca="1"/>
      </c>
      <c r="BD215">
        <f ca="1"/>
      </c>
      <c r="BE215">
        <f ca="1"/>
      </c>
      <c r="BF215">
        <f ca="1"/>
      </c>
      <c r="BG215">
        <f ca="1"/>
      </c>
      <c r="BH215">
        <f ca="1"/>
      </c>
      <c r="BI215">
        <f ca="1"/>
      </c>
      <c r="BJ215">
        <f ca="1"/>
      </c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F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M215" s="7">
        <f ca="1"/>
      </c>
      <c r="GN215">
        <f ca="1"/>
      </c>
      <c r="GO215">
        <f ca="1"/>
      </c>
      <c r="GP215">
        <f ca="1"/>
      </c>
      <c r="GQ215">
        <f ca="1"/>
      </c>
    </row>
    <row r="216" spans="41:199" x14ac:dyDescent="0.55000000000000004">
      <c r="AO216">
        <f ca="1"/>
      </c>
      <c r="AP216">
        <f ca="1"/>
      </c>
      <c r="AQ216">
        <f ca="1"/>
      </c>
      <c r="AR216">
        <f ca="1"/>
      </c>
      <c r="AS216">
        <f ca="1"/>
      </c>
      <c r="AT216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AZ216">
        <f ca="1"/>
      </c>
      <c r="BA216">
        <f ca="1"/>
      </c>
      <c r="BB216">
        <f ca="1"/>
      </c>
      <c r="BC216">
        <f ca="1"/>
      </c>
      <c r="BD216">
        <f ca="1"/>
      </c>
      <c r="BE216">
        <f ca="1"/>
      </c>
      <c r="BF216">
        <f ca="1"/>
      </c>
      <c r="BG216">
        <f ca="1"/>
      </c>
      <c r="BH216">
        <f ca="1"/>
      </c>
      <c r="BI216">
        <f ca="1"/>
      </c>
      <c r="BJ216">
        <f ca="1"/>
      </c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F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M216" s="7">
        <f ca="1"/>
      </c>
      <c r="GN216">
        <f ca="1"/>
      </c>
      <c r="GO216">
        <f ca="1"/>
      </c>
      <c r="GP216">
        <f ca="1"/>
      </c>
      <c r="GQ216">
        <f ca="1"/>
      </c>
    </row>
    <row r="217" spans="41:199" x14ac:dyDescent="0.55000000000000004">
      <c r="AO217">
        <f ca="1"/>
      </c>
      <c r="AP217">
        <f ca="1"/>
      </c>
      <c r="AQ217">
        <f ca="1"/>
      </c>
      <c r="AR217">
        <f ca="1"/>
      </c>
      <c r="AS217">
        <f ca="1"/>
      </c>
      <c r="AT21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AZ217">
        <f ca="1"/>
      </c>
      <c r="BA217">
        <f ca="1"/>
      </c>
      <c r="BB217">
        <f ca="1"/>
      </c>
      <c r="BC217">
        <f ca="1"/>
      </c>
      <c r="BD217">
        <f ca="1"/>
      </c>
      <c r="BE217">
        <f ca="1"/>
      </c>
      <c r="BF217">
        <f ca="1"/>
      </c>
      <c r="BG217">
        <f ca="1"/>
      </c>
      <c r="BH217">
        <f ca="1"/>
      </c>
      <c r="BI217">
        <f ca="1"/>
      </c>
      <c r="BJ217">
        <f ca="1"/>
      </c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F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M217" s="7">
        <f ca="1"/>
      </c>
      <c r="GN217">
        <f ca="1"/>
      </c>
      <c r="GO217">
        <f ca="1"/>
      </c>
      <c r="GP217">
        <f ca="1"/>
      </c>
      <c r="GQ217">
        <f ca="1"/>
      </c>
    </row>
    <row r="218" spans="41:199" x14ac:dyDescent="0.55000000000000004">
      <c r="AO218">
        <f ca="1"/>
      </c>
      <c r="AP218">
        <f ca="1"/>
      </c>
      <c r="AQ218">
        <f ca="1"/>
      </c>
      <c r="AR218">
        <f ca="1"/>
      </c>
      <c r="AS218">
        <f ca="1"/>
      </c>
      <c r="AT218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AZ218">
        <f ca="1"/>
      </c>
      <c r="BA218">
        <f ca="1"/>
      </c>
      <c r="BB218">
        <f ca="1"/>
      </c>
      <c r="BC218">
        <f ca="1"/>
      </c>
      <c r="BD218">
        <f ca="1"/>
      </c>
      <c r="BE218">
        <f ca="1"/>
      </c>
      <c r="BF218">
        <f ca="1"/>
      </c>
      <c r="BG218">
        <f ca="1"/>
      </c>
      <c r="BH218">
        <f ca="1"/>
      </c>
      <c r="BI218">
        <f ca="1"/>
      </c>
      <c r="BJ218">
        <f ca="1"/>
      </c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F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M218" s="7">
        <f ca="1"/>
      </c>
      <c r="GN218">
        <f ca="1"/>
      </c>
      <c r="GO218">
        <f ca="1"/>
      </c>
      <c r="GP218">
        <f ca="1"/>
      </c>
      <c r="GQ218">
        <f ca="1"/>
      </c>
    </row>
    <row r="219" spans="41:199" x14ac:dyDescent="0.55000000000000004">
      <c r="AO219">
        <f ca="1"/>
      </c>
      <c r="AP219">
        <f ca="1"/>
      </c>
      <c r="AQ219">
        <f ca="1"/>
      </c>
      <c r="AR219">
        <f ca="1"/>
      </c>
      <c r="AS219">
        <f ca="1"/>
      </c>
      <c r="AT219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AZ219">
        <f ca="1"/>
      </c>
      <c r="BA219">
        <f ca="1"/>
      </c>
      <c r="BB219">
        <f ca="1"/>
      </c>
      <c r="BC219">
        <f ca="1"/>
      </c>
      <c r="BD219">
        <f ca="1"/>
      </c>
      <c r="BE219">
        <f ca="1"/>
      </c>
      <c r="BF219">
        <f ca="1"/>
      </c>
      <c r="BG219">
        <f ca="1"/>
      </c>
      <c r="BH219">
        <f ca="1"/>
      </c>
      <c r="BI219">
        <f ca="1"/>
      </c>
      <c r="BJ219">
        <f ca="1"/>
      </c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F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M219" s="7">
        <f ca="1"/>
      </c>
      <c r="GN219">
        <f ca="1"/>
      </c>
      <c r="GO219">
        <f ca="1"/>
      </c>
      <c r="GP219">
        <f ca="1"/>
      </c>
      <c r="GQ219">
        <f ca="1"/>
      </c>
    </row>
    <row r="220" spans="41:199" x14ac:dyDescent="0.55000000000000004">
      <c r="AO220">
        <f ca="1"/>
      </c>
      <c r="AP220">
        <f ca="1"/>
      </c>
      <c r="AQ220">
        <f ca="1"/>
      </c>
      <c r="AR220">
        <f ca="1"/>
      </c>
      <c r="AS220">
        <f ca="1"/>
      </c>
      <c r="AT220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AZ220">
        <f ca="1"/>
      </c>
      <c r="BA220">
        <f ca="1"/>
      </c>
      <c r="BB220">
        <f ca="1"/>
      </c>
      <c r="BC220">
        <f ca="1"/>
      </c>
      <c r="BD220">
        <f ca="1"/>
      </c>
      <c r="BE220">
        <f ca="1"/>
      </c>
      <c r="BF220">
        <f ca="1"/>
      </c>
      <c r="BG220">
        <f ca="1"/>
      </c>
      <c r="BH220">
        <f ca="1"/>
      </c>
      <c r="BI220">
        <f ca="1"/>
      </c>
      <c r="BJ220">
        <f ca="1"/>
      </c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F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M220" s="7">
        <f ca="1"/>
      </c>
      <c r="GN220">
        <f ca="1"/>
      </c>
      <c r="GO220">
        <f ca="1"/>
      </c>
      <c r="GP220">
        <f ca="1"/>
      </c>
      <c r="GQ220">
        <f ca="1"/>
      </c>
    </row>
    <row r="221" spans="41:199" x14ac:dyDescent="0.55000000000000004">
      <c r="AO221">
        <f ca="1"/>
      </c>
      <c r="AP221">
        <f ca="1"/>
      </c>
      <c r="AQ221">
        <f ca="1"/>
      </c>
      <c r="AR221">
        <f ca="1"/>
      </c>
      <c r="AS221">
        <f ca="1"/>
      </c>
      <c r="AT221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AZ221">
        <f ca="1"/>
      </c>
      <c r="BA221">
        <f ca="1"/>
      </c>
      <c r="BB221">
        <f ca="1"/>
      </c>
      <c r="BC221">
        <f ca="1"/>
      </c>
      <c r="BD221">
        <f ca="1"/>
      </c>
      <c r="BE221">
        <f ca="1"/>
      </c>
      <c r="BF221">
        <f ca="1"/>
      </c>
      <c r="BG221">
        <f ca="1"/>
      </c>
      <c r="BH221">
        <f ca="1"/>
      </c>
      <c r="BI221">
        <f ca="1"/>
      </c>
      <c r="BJ221">
        <f ca="1"/>
      </c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F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M221" s="7">
        <f ca="1"/>
      </c>
      <c r="GN221">
        <f ca="1"/>
      </c>
      <c r="GO221">
        <f ca="1"/>
      </c>
      <c r="GP221">
        <f ca="1"/>
      </c>
      <c r="GQ221">
        <f ca="1"/>
      </c>
    </row>
    <row r="222" spans="41:199" x14ac:dyDescent="0.55000000000000004">
      <c r="AO222">
        <f ca="1"/>
      </c>
      <c r="AP222">
        <f ca="1"/>
      </c>
      <c r="AQ222">
        <f ca="1"/>
      </c>
      <c r="AR222">
        <f ca="1"/>
      </c>
      <c r="AS222">
        <f ca="1"/>
      </c>
      <c r="AT222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AZ222">
        <f ca="1"/>
      </c>
      <c r="BA222">
        <f ca="1"/>
      </c>
      <c r="BB222">
        <f ca="1"/>
      </c>
      <c r="BC222">
        <f ca="1"/>
      </c>
      <c r="BD222">
        <f ca="1"/>
      </c>
      <c r="BE222">
        <f ca="1"/>
      </c>
      <c r="BF222">
        <f ca="1"/>
      </c>
      <c r="BG222">
        <f ca="1"/>
      </c>
      <c r="BH222">
        <f ca="1"/>
      </c>
      <c r="BI222">
        <f ca="1"/>
      </c>
      <c r="BJ222">
        <f ca="1"/>
      </c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F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B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M222" s="7">
        <f ca="1"/>
      </c>
      <c r="GN222">
        <f ca="1"/>
      </c>
      <c r="GO222">
        <f ca="1"/>
      </c>
      <c r="GP222">
        <f ca="1"/>
      </c>
      <c r="GQ222">
        <f ca="1"/>
      </c>
    </row>
    <row r="223" spans="41:199" x14ac:dyDescent="0.55000000000000004">
      <c r="AO223">
        <f ca="1"/>
      </c>
      <c r="AP223">
        <f ca="1"/>
      </c>
      <c r="AQ223">
        <f ca="1"/>
      </c>
      <c r="AR223">
        <f ca="1"/>
      </c>
      <c r="AS223">
        <f ca="1"/>
      </c>
      <c r="AT223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AZ223">
        <f ca="1"/>
      </c>
      <c r="BA223">
        <f ca="1"/>
      </c>
      <c r="BB223">
        <f ca="1"/>
      </c>
      <c r="BC223">
        <f ca="1"/>
      </c>
      <c r="BD223">
        <f ca="1"/>
      </c>
      <c r="BE223">
        <f ca="1"/>
      </c>
      <c r="BF223">
        <f ca="1"/>
      </c>
      <c r="BG223">
        <f ca="1"/>
      </c>
      <c r="BH223">
        <f ca="1"/>
      </c>
      <c r="BI223">
        <f ca="1"/>
      </c>
      <c r="BJ223">
        <f ca="1"/>
      </c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F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B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M223" s="7">
        <f ca="1"/>
      </c>
      <c r="GN223">
        <f ca="1"/>
      </c>
      <c r="GO223">
        <f ca="1"/>
      </c>
      <c r="GP223">
        <f ca="1"/>
      </c>
      <c r="GQ223">
        <f ca="1"/>
      </c>
    </row>
    <row r="224" spans="41:199" x14ac:dyDescent="0.55000000000000004">
      <c r="AO224">
        <f ca="1"/>
      </c>
      <c r="AP224">
        <f ca="1"/>
      </c>
      <c r="AQ224">
        <f ca="1"/>
      </c>
      <c r="AR224">
        <f ca="1"/>
      </c>
      <c r="AS224">
        <f ca="1"/>
      </c>
      <c r="AT224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AZ224">
        <f ca="1"/>
      </c>
      <c r="BA224">
        <f ca="1"/>
      </c>
      <c r="BB224">
        <f ca="1"/>
      </c>
      <c r="BC224">
        <f ca="1"/>
      </c>
      <c r="BD224">
        <f ca="1"/>
      </c>
      <c r="BE224">
        <f ca="1"/>
      </c>
      <c r="BF224">
        <f ca="1"/>
      </c>
      <c r="BG224">
        <f ca="1"/>
      </c>
      <c r="BH224">
        <f ca="1"/>
      </c>
      <c r="BI224">
        <f ca="1"/>
      </c>
      <c r="BJ224">
        <f ca="1"/>
      </c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F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B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M224" s="7">
        <f ca="1"/>
      </c>
      <c r="GN224">
        <f ca="1"/>
      </c>
      <c r="GO224">
        <f ca="1"/>
      </c>
      <c r="GP224">
        <f ca="1"/>
      </c>
      <c r="GQ224">
        <f ca="1"/>
      </c>
    </row>
    <row r="225" spans="41:199" x14ac:dyDescent="0.55000000000000004">
      <c r="AO225">
        <f ca="1"/>
      </c>
      <c r="AP225">
        <f ca="1"/>
      </c>
      <c r="AQ225">
        <f ca="1"/>
      </c>
      <c r="AR225">
        <f ca="1"/>
      </c>
      <c r="AS225">
        <f ca="1"/>
      </c>
      <c r="AT225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AZ225">
        <f ca="1"/>
      </c>
      <c r="BA225">
        <f ca="1"/>
      </c>
      <c r="BB225">
        <f ca="1"/>
      </c>
      <c r="BC225">
        <f ca="1"/>
      </c>
      <c r="BD225">
        <f ca="1"/>
      </c>
      <c r="BE225">
        <f ca="1"/>
      </c>
      <c r="BF225">
        <f ca="1"/>
      </c>
      <c r="BG225">
        <f ca="1"/>
      </c>
      <c r="BH225">
        <f ca="1"/>
      </c>
      <c r="BI225">
        <f ca="1"/>
      </c>
      <c r="BJ225">
        <f ca="1"/>
      </c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F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B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M225" s="7">
        <f ca="1"/>
      </c>
      <c r="GN225">
        <f ca="1"/>
      </c>
      <c r="GO225">
        <f ca="1"/>
      </c>
      <c r="GP225">
        <f ca="1"/>
      </c>
      <c r="GQ225">
        <f ca="1"/>
      </c>
    </row>
    <row r="226" spans="41:199" x14ac:dyDescent="0.55000000000000004">
      <c r="AO226">
        <f ca="1"/>
      </c>
      <c r="AP226">
        <f ca="1"/>
      </c>
      <c r="AQ226">
        <f ca="1"/>
      </c>
      <c r="AR226">
        <f ca="1"/>
      </c>
      <c r="AS226">
        <f ca="1"/>
      </c>
      <c r="AT226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AZ226">
        <f ca="1"/>
      </c>
      <c r="BA226">
        <f ca="1"/>
      </c>
      <c r="BB226">
        <f ca="1"/>
      </c>
      <c r="BC226">
        <f ca="1"/>
      </c>
      <c r="BD226">
        <f ca="1"/>
      </c>
      <c r="BE226">
        <f ca="1"/>
      </c>
      <c r="BF226">
        <f ca="1"/>
      </c>
      <c r="BG226">
        <f ca="1"/>
      </c>
      <c r="BH226">
        <f ca="1"/>
      </c>
      <c r="BI226">
        <f ca="1"/>
      </c>
      <c r="BJ226">
        <f ca="1"/>
      </c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F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B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M226" s="7">
        <f ca="1"/>
      </c>
      <c r="GN226">
        <f ca="1"/>
      </c>
      <c r="GO226">
        <f ca="1"/>
      </c>
      <c r="GP226">
        <f ca="1"/>
      </c>
      <c r="GQ226">
        <f ca="1"/>
      </c>
    </row>
    <row r="227" spans="41:199" x14ac:dyDescent="0.55000000000000004">
      <c r="AO227">
        <f ca="1"/>
      </c>
      <c r="AP227">
        <f ca="1"/>
      </c>
      <c r="AQ227">
        <f ca="1"/>
      </c>
      <c r="AR227">
        <f ca="1"/>
      </c>
      <c r="AS227">
        <f ca="1"/>
      </c>
      <c r="AT22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AZ227">
        <f ca="1"/>
      </c>
      <c r="BA227">
        <f ca="1"/>
      </c>
      <c r="BB227">
        <f ca="1"/>
      </c>
      <c r="BC227">
        <f ca="1"/>
      </c>
      <c r="BD227">
        <f ca="1"/>
      </c>
      <c r="BE227">
        <f ca="1"/>
      </c>
      <c r="BF227">
        <f ca="1"/>
      </c>
      <c r="BG227">
        <f ca="1"/>
      </c>
      <c r="BH227">
        <f ca="1"/>
      </c>
      <c r="BI227">
        <f ca="1"/>
      </c>
      <c r="BJ227">
        <f ca="1"/>
      </c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F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B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M227" s="7">
        <f ca="1"/>
      </c>
      <c r="GN227">
        <f ca="1"/>
      </c>
      <c r="GO227">
        <f ca="1"/>
      </c>
      <c r="GP227">
        <f ca="1"/>
      </c>
      <c r="GQ227">
        <f ca="1"/>
      </c>
    </row>
    <row r="228" spans="41:199" x14ac:dyDescent="0.55000000000000004">
      <c r="AO228">
        <f ca="1"/>
      </c>
      <c r="AP228">
        <f ca="1"/>
      </c>
      <c r="AQ228">
        <f ca="1"/>
      </c>
      <c r="AR228">
        <f ca="1"/>
      </c>
      <c r="AS228">
        <f ca="1"/>
      </c>
      <c r="AT228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AZ228">
        <f ca="1"/>
      </c>
      <c r="BA228">
        <f ca="1"/>
      </c>
      <c r="BB228">
        <f ca="1"/>
      </c>
      <c r="BC228">
        <f ca="1"/>
      </c>
      <c r="BD228">
        <f ca="1"/>
      </c>
      <c r="BE228">
        <f ca="1"/>
      </c>
      <c r="BF228">
        <f ca="1"/>
      </c>
      <c r="BG228">
        <f ca="1"/>
      </c>
      <c r="BH228">
        <f ca="1"/>
      </c>
      <c r="BI228">
        <f ca="1"/>
      </c>
      <c r="BJ228">
        <f ca="1"/>
      </c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F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B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M228" s="7">
        <f ca="1"/>
      </c>
      <c r="GN228">
        <f ca="1"/>
      </c>
      <c r="GO228">
        <f ca="1"/>
      </c>
      <c r="GP228">
        <f ca="1"/>
      </c>
      <c r="GQ228">
        <f ca="1"/>
      </c>
    </row>
    <row r="229" spans="41:199" x14ac:dyDescent="0.55000000000000004">
      <c r="AO229">
        <f ca="1"/>
      </c>
      <c r="AP229">
        <f ca="1"/>
      </c>
      <c r="AQ229">
        <f ca="1"/>
      </c>
      <c r="AR229">
        <f ca="1"/>
      </c>
      <c r="AS229">
        <f ca="1"/>
      </c>
      <c r="AT229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AZ229">
        <f ca="1"/>
      </c>
      <c r="BA229">
        <f ca="1"/>
      </c>
      <c r="BB229">
        <f ca="1"/>
      </c>
      <c r="BC229">
        <f ca="1"/>
      </c>
      <c r="BD229">
        <f ca="1"/>
      </c>
      <c r="BE229">
        <f ca="1"/>
      </c>
      <c r="BF229">
        <f ca="1"/>
      </c>
      <c r="BG229">
        <f ca="1"/>
      </c>
      <c r="BH229">
        <f ca="1"/>
      </c>
      <c r="BI229">
        <f ca="1"/>
      </c>
      <c r="BJ229">
        <f ca="1"/>
      </c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F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B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M229" s="7">
        <f ca="1"/>
      </c>
      <c r="GN229">
        <f ca="1"/>
      </c>
      <c r="GO229">
        <f ca="1"/>
      </c>
      <c r="GP229">
        <f ca="1"/>
      </c>
      <c r="GQ229">
        <f ca="1"/>
      </c>
    </row>
    <row r="230" spans="41:199" x14ac:dyDescent="0.55000000000000004">
      <c r="AO230">
        <f ca="1"/>
      </c>
      <c r="AP230">
        <f ca="1"/>
      </c>
      <c r="AQ230">
        <f ca="1"/>
      </c>
      <c r="AR230">
        <f ca="1"/>
      </c>
      <c r="AS230">
        <f ca="1"/>
      </c>
      <c r="AT230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AZ230">
        <f ca="1"/>
      </c>
      <c r="BA230">
        <f ca="1"/>
      </c>
      <c r="BB230">
        <f ca="1"/>
      </c>
      <c r="BC230">
        <f ca="1"/>
      </c>
      <c r="BD230">
        <f ca="1"/>
      </c>
      <c r="BE230">
        <f ca="1"/>
      </c>
      <c r="BF230">
        <f ca="1"/>
      </c>
      <c r="BG230">
        <f ca="1"/>
      </c>
      <c r="BH230">
        <f ca="1"/>
      </c>
      <c r="BI230">
        <f ca="1"/>
      </c>
      <c r="BJ230">
        <f ca="1"/>
      </c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F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B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M230" s="7">
        <f ca="1"/>
      </c>
      <c r="GN230">
        <f ca="1"/>
      </c>
      <c r="GO230">
        <f ca="1"/>
      </c>
      <c r="GP230">
        <f ca="1"/>
      </c>
      <c r="GQ230">
        <f ca="1"/>
      </c>
    </row>
    <row r="231" spans="41:199" x14ac:dyDescent="0.55000000000000004">
      <c r="AO231">
        <f ca="1"/>
      </c>
      <c r="AP231">
        <f ca="1"/>
      </c>
      <c r="AQ231">
        <f ca="1"/>
      </c>
      <c r="AR231">
        <f ca="1"/>
      </c>
      <c r="AS231">
        <f ca="1"/>
      </c>
      <c r="AT231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AZ231">
        <f ca="1"/>
      </c>
      <c r="BA231">
        <f ca="1"/>
      </c>
      <c r="BB231">
        <f ca="1"/>
      </c>
      <c r="BC231">
        <f ca="1"/>
      </c>
      <c r="BD231">
        <f ca="1"/>
      </c>
      <c r="BE231">
        <f ca="1"/>
      </c>
      <c r="BF231">
        <f ca="1"/>
      </c>
      <c r="BG231">
        <f ca="1"/>
      </c>
      <c r="BH231">
        <f ca="1"/>
      </c>
      <c r="BI231">
        <f ca="1"/>
      </c>
      <c r="BJ231">
        <f ca="1"/>
      </c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F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B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M231" s="7">
        <f ca="1"/>
      </c>
      <c r="GN231">
        <f ca="1"/>
      </c>
      <c r="GO231">
        <f ca="1"/>
      </c>
      <c r="GP231">
        <f ca="1"/>
      </c>
      <c r="GQ231">
        <f ca="1"/>
      </c>
    </row>
    <row r="232" spans="41:199" x14ac:dyDescent="0.55000000000000004">
      <c r="AO232">
        <f ca="1"/>
      </c>
      <c r="AP232">
        <f ca="1"/>
      </c>
      <c r="AQ232">
        <f ca="1"/>
      </c>
      <c r="AR232">
        <f ca="1"/>
      </c>
      <c r="AS232">
        <f ca="1"/>
      </c>
      <c r="AT232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AZ232">
        <f ca="1"/>
      </c>
      <c r="BA232">
        <f ca="1"/>
      </c>
      <c r="BB232">
        <f ca="1"/>
      </c>
      <c r="BC232">
        <f ca="1"/>
      </c>
      <c r="BD232">
        <f ca="1"/>
      </c>
      <c r="BE232">
        <f ca="1"/>
      </c>
      <c r="BF232">
        <f ca="1"/>
      </c>
      <c r="BG232">
        <f ca="1"/>
      </c>
      <c r="BH232">
        <f ca="1"/>
      </c>
      <c r="BI232">
        <f ca="1"/>
      </c>
      <c r="BJ232">
        <f ca="1"/>
      </c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F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B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M232" s="7">
        <f ca="1"/>
      </c>
      <c r="GN232">
        <f ca="1"/>
      </c>
      <c r="GO232">
        <f ca="1"/>
      </c>
      <c r="GP232">
        <f ca="1"/>
      </c>
      <c r="GQ232">
        <f ca="1"/>
      </c>
    </row>
    <row r="233" spans="41:199" x14ac:dyDescent="0.55000000000000004">
      <c r="AO233">
        <f ca="1"/>
      </c>
      <c r="AP233">
        <f ca="1"/>
      </c>
      <c r="AQ233">
        <f ca="1"/>
      </c>
      <c r="AR233">
        <f ca="1"/>
      </c>
      <c r="AS233">
        <f ca="1"/>
      </c>
      <c r="AT233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AZ233">
        <f ca="1"/>
      </c>
      <c r="BA233">
        <f ca="1"/>
      </c>
      <c r="BB233">
        <f ca="1"/>
      </c>
      <c r="BC233">
        <f ca="1"/>
      </c>
      <c r="BD233">
        <f ca="1"/>
      </c>
      <c r="BE233">
        <f ca="1"/>
      </c>
      <c r="BF233">
        <f ca="1"/>
      </c>
      <c r="BG233">
        <f ca="1"/>
      </c>
      <c r="BH233">
        <f ca="1"/>
      </c>
      <c r="BI233">
        <f ca="1"/>
      </c>
      <c r="BJ233">
        <f ca="1"/>
      </c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F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B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M233" s="7">
        <f ca="1"/>
      </c>
      <c r="GN233">
        <f ca="1"/>
      </c>
      <c r="GO233">
        <f ca="1"/>
      </c>
      <c r="GP233">
        <f ca="1"/>
      </c>
      <c r="GQ233">
        <f ca="1"/>
      </c>
    </row>
    <row r="234" spans="41:199" x14ac:dyDescent="0.55000000000000004">
      <c r="AO234">
        <f ca="1"/>
      </c>
      <c r="AP234">
        <f ca="1"/>
      </c>
      <c r="AQ234">
        <f ca="1"/>
      </c>
      <c r="AR234">
        <f ca="1"/>
      </c>
      <c r="AS234">
        <f ca="1"/>
      </c>
      <c r="AT234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AZ234">
        <f ca="1"/>
      </c>
      <c r="BA234">
        <f ca="1"/>
      </c>
      <c r="BB234">
        <f ca="1"/>
      </c>
      <c r="BC234">
        <f ca="1"/>
      </c>
      <c r="BD234">
        <f ca="1"/>
      </c>
      <c r="BE234">
        <f ca="1"/>
      </c>
      <c r="BF234">
        <f ca="1"/>
      </c>
      <c r="BG234">
        <f ca="1"/>
      </c>
      <c r="BH234">
        <f ca="1"/>
      </c>
      <c r="BI234">
        <f ca="1"/>
      </c>
      <c r="BJ234">
        <f ca="1"/>
      </c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F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B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M234" s="7">
        <f ca="1"/>
      </c>
      <c r="GN234">
        <f ca="1"/>
      </c>
      <c r="GO234">
        <f ca="1"/>
      </c>
      <c r="GP234">
        <f ca="1"/>
      </c>
      <c r="GQ234">
        <f ca="1"/>
      </c>
    </row>
    <row r="235" spans="41:199" x14ac:dyDescent="0.55000000000000004">
      <c r="AO235">
        <f ca="1"/>
      </c>
      <c r="AP235">
        <f ca="1"/>
      </c>
      <c r="AQ235">
        <f ca="1"/>
      </c>
      <c r="AR235">
        <f ca="1"/>
      </c>
      <c r="AS235">
        <f ca="1"/>
      </c>
      <c r="AT235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AZ235">
        <f ca="1"/>
      </c>
      <c r="BA235">
        <f ca="1"/>
      </c>
      <c r="BB235">
        <f ca="1"/>
      </c>
      <c r="BC235">
        <f ca="1"/>
      </c>
      <c r="BD235">
        <f ca="1"/>
      </c>
      <c r="BE235">
        <f ca="1"/>
      </c>
      <c r="BF235">
        <f ca="1"/>
      </c>
      <c r="BG235">
        <f ca="1"/>
      </c>
      <c r="BH235">
        <f ca="1"/>
      </c>
      <c r="BI235">
        <f ca="1"/>
      </c>
      <c r="BJ235">
        <f ca="1"/>
      </c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F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B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M235" s="7">
        <f ca="1"/>
      </c>
      <c r="GN235">
        <f ca="1"/>
      </c>
      <c r="GO235">
        <f ca="1"/>
      </c>
      <c r="GP235">
        <f ca="1"/>
      </c>
      <c r="GQ235">
        <f ca="1"/>
      </c>
    </row>
    <row r="236" spans="41:199" x14ac:dyDescent="0.55000000000000004">
      <c r="AO236">
        <f ca="1"/>
      </c>
      <c r="AP236">
        <f ca="1"/>
      </c>
      <c r="AQ236">
        <f ca="1"/>
      </c>
      <c r="AR236">
        <f ca="1"/>
      </c>
      <c r="AS236">
        <f ca="1"/>
      </c>
      <c r="AT236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AZ236">
        <f ca="1"/>
      </c>
      <c r="BA236">
        <f ca="1"/>
      </c>
      <c r="BB236">
        <f ca="1"/>
      </c>
      <c r="BC236">
        <f ca="1"/>
      </c>
      <c r="BD236">
        <f ca="1"/>
      </c>
      <c r="BE236">
        <f ca="1"/>
      </c>
      <c r="BF236">
        <f ca="1"/>
      </c>
      <c r="BG236">
        <f ca="1"/>
      </c>
      <c r="BH236">
        <f ca="1"/>
      </c>
      <c r="BI236">
        <f ca="1"/>
      </c>
      <c r="BJ236">
        <f ca="1"/>
      </c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F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B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M236" s="7">
        <f ca="1"/>
      </c>
      <c r="GN236">
        <f ca="1"/>
      </c>
      <c r="GO236">
        <f ca="1"/>
      </c>
      <c r="GP236">
        <f ca="1"/>
      </c>
      <c r="GQ236">
        <f ca="1"/>
      </c>
    </row>
    <row r="237" spans="41:199" x14ac:dyDescent="0.55000000000000004">
      <c r="AO237">
        <f ca="1"/>
      </c>
      <c r="AP237">
        <f ca="1"/>
      </c>
      <c r="AQ237">
        <f ca="1"/>
      </c>
      <c r="AR237">
        <f ca="1"/>
      </c>
      <c r="AS237">
        <f ca="1"/>
      </c>
      <c r="AT23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AZ237">
        <f ca="1"/>
      </c>
      <c r="BA237">
        <f ca="1"/>
      </c>
      <c r="BB237">
        <f ca="1"/>
      </c>
      <c r="BC237">
        <f ca="1"/>
      </c>
      <c r="BD237">
        <f ca="1"/>
      </c>
      <c r="BE237">
        <f ca="1"/>
      </c>
      <c r="BF237">
        <f ca="1"/>
      </c>
      <c r="BG237">
        <f ca="1"/>
      </c>
      <c r="BH237">
        <f ca="1"/>
      </c>
      <c r="BI237">
        <f ca="1"/>
      </c>
      <c r="BJ237">
        <f ca="1"/>
      </c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F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B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M237" s="7">
        <f ca="1"/>
      </c>
      <c r="GN237">
        <f ca="1"/>
      </c>
      <c r="GO237">
        <f ca="1"/>
      </c>
      <c r="GP237">
        <f ca="1"/>
      </c>
      <c r="GQ237">
        <f ca="1"/>
      </c>
    </row>
    <row r="238" spans="41:199" x14ac:dyDescent="0.55000000000000004">
      <c r="AO238">
        <f ca="1"/>
      </c>
      <c r="AP238">
        <f ca="1"/>
      </c>
      <c r="AQ238">
        <f ca="1"/>
      </c>
      <c r="AR238">
        <f ca="1"/>
      </c>
      <c r="AS238">
        <f ca="1"/>
      </c>
      <c r="AT238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AZ238">
        <f ca="1"/>
      </c>
      <c r="BA238">
        <f ca="1"/>
      </c>
      <c r="BB238">
        <f ca="1"/>
      </c>
      <c r="BC238">
        <f ca="1"/>
      </c>
      <c r="BD238">
        <f ca="1"/>
      </c>
      <c r="BE238">
        <f ca="1"/>
      </c>
      <c r="BF238">
        <f ca="1"/>
      </c>
      <c r="BG238">
        <f ca="1"/>
      </c>
      <c r="BH238">
        <f ca="1"/>
      </c>
      <c r="BI238">
        <f ca="1"/>
      </c>
      <c r="BJ238">
        <f ca="1"/>
      </c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F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B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M238" s="7">
        <f ca="1"/>
      </c>
      <c r="GN238">
        <f ca="1"/>
      </c>
      <c r="GO238">
        <f ca="1"/>
      </c>
      <c r="GP238">
        <f ca="1"/>
      </c>
      <c r="GQ238">
        <f ca="1"/>
      </c>
    </row>
    <row r="239" spans="41:199" x14ac:dyDescent="0.55000000000000004">
      <c r="AO239">
        <f ca="1"/>
      </c>
      <c r="AP239">
        <f ca="1"/>
      </c>
      <c r="AQ239">
        <f ca="1"/>
      </c>
      <c r="AR239">
        <f ca="1"/>
      </c>
      <c r="AS239">
        <f ca="1"/>
      </c>
      <c r="AT239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AZ239">
        <f ca="1"/>
      </c>
      <c r="BA239">
        <f ca="1"/>
      </c>
      <c r="BB239">
        <f ca="1"/>
      </c>
      <c r="BC239">
        <f ca="1"/>
      </c>
      <c r="BD239">
        <f ca="1"/>
      </c>
      <c r="BE239">
        <f ca="1"/>
      </c>
      <c r="BF239">
        <f ca="1"/>
      </c>
      <c r="BG239">
        <f ca="1"/>
      </c>
      <c r="BH239">
        <f ca="1"/>
      </c>
      <c r="BI239">
        <f ca="1"/>
      </c>
      <c r="BJ239">
        <f ca="1"/>
      </c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F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B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M239" s="7">
        <f ca="1"/>
      </c>
      <c r="GN239">
        <f ca="1"/>
      </c>
      <c r="GO239">
        <f ca="1"/>
      </c>
      <c r="GP239">
        <f ca="1"/>
      </c>
      <c r="GQ239">
        <f ca="1"/>
      </c>
    </row>
    <row r="240" spans="41:199" x14ac:dyDescent="0.55000000000000004">
      <c r="AO240">
        <f ca="1"/>
      </c>
      <c r="AP240">
        <f ca="1"/>
      </c>
      <c r="AQ240">
        <f ca="1"/>
      </c>
      <c r="AR240">
        <f ca="1"/>
      </c>
      <c r="AS240">
        <f ca="1"/>
      </c>
      <c r="AT240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AZ240">
        <f ca="1"/>
      </c>
      <c r="BA240">
        <f ca="1"/>
      </c>
      <c r="BB240">
        <f ca="1"/>
      </c>
      <c r="BC240">
        <f ca="1"/>
      </c>
      <c r="BD240">
        <f ca="1"/>
      </c>
      <c r="BE240">
        <f ca="1"/>
      </c>
      <c r="BF240">
        <f ca="1"/>
      </c>
      <c r="BG240">
        <f ca="1"/>
      </c>
      <c r="BH240">
        <f ca="1"/>
      </c>
      <c r="BI240">
        <f ca="1"/>
      </c>
      <c r="BJ240">
        <f ca="1"/>
      </c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F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B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M240" s="7">
        <f ca="1"/>
      </c>
      <c r="GN240">
        <f ca="1"/>
      </c>
      <c r="GO240">
        <f ca="1"/>
      </c>
      <c r="GP240">
        <f ca="1"/>
      </c>
      <c r="GQ240">
        <f ca="1"/>
      </c>
    </row>
    <row r="241" spans="41:199" x14ac:dyDescent="0.55000000000000004">
      <c r="AO241">
        <f ca="1"/>
      </c>
      <c r="AP241">
        <f ca="1"/>
      </c>
      <c r="AQ241">
        <f ca="1"/>
      </c>
      <c r="AR241">
        <f ca="1"/>
      </c>
      <c r="AS241">
        <f ca="1"/>
      </c>
      <c r="AT241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AZ241">
        <f ca="1"/>
      </c>
      <c r="BA241">
        <f ca="1"/>
      </c>
      <c r="BB241">
        <f ca="1"/>
      </c>
      <c r="BC241">
        <f ca="1"/>
      </c>
      <c r="BD241">
        <f ca="1"/>
      </c>
      <c r="BE241">
        <f ca="1"/>
      </c>
      <c r="BF241">
        <f ca="1"/>
      </c>
      <c r="BG241">
        <f ca="1"/>
      </c>
      <c r="BH241">
        <f ca="1"/>
      </c>
      <c r="BI241">
        <f ca="1"/>
      </c>
      <c r="BJ241">
        <f ca="1"/>
      </c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F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B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M241" s="7">
        <f ca="1"/>
      </c>
      <c r="GN241">
        <f ca="1"/>
      </c>
      <c r="GO241">
        <f ca="1"/>
      </c>
      <c r="GP241">
        <f ca="1"/>
      </c>
      <c r="GQ241">
        <f ca="1"/>
      </c>
    </row>
    <row r="242" spans="41:199" x14ac:dyDescent="0.55000000000000004">
      <c r="AO242">
        <f ca="1"/>
      </c>
      <c r="AP242">
        <f ca="1"/>
      </c>
      <c r="AQ242">
        <f ca="1"/>
      </c>
      <c r="AR242">
        <f ca="1"/>
      </c>
      <c r="AS242">
        <f ca="1"/>
      </c>
      <c r="AT242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AZ242">
        <f ca="1"/>
      </c>
      <c r="BA242">
        <f ca="1"/>
      </c>
      <c r="BB242">
        <f ca="1"/>
      </c>
      <c r="BC242">
        <f ca="1"/>
      </c>
      <c r="BD242">
        <f ca="1"/>
      </c>
      <c r="BE242">
        <f ca="1"/>
      </c>
      <c r="BF242">
        <f ca="1"/>
      </c>
      <c r="BG242">
        <f ca="1"/>
      </c>
      <c r="BH242">
        <f ca="1"/>
      </c>
      <c r="BI242">
        <f ca="1"/>
      </c>
      <c r="BJ242">
        <f ca="1"/>
      </c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F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B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M242" s="7">
        <f ca="1"/>
      </c>
      <c r="GN242">
        <f ca="1"/>
      </c>
      <c r="GO242">
        <f ca="1"/>
      </c>
      <c r="GP242">
        <f ca="1"/>
      </c>
      <c r="GQ242">
        <f ca="1"/>
      </c>
    </row>
    <row r="243" spans="41:199" x14ac:dyDescent="0.55000000000000004">
      <c r="AO243">
        <f ca="1"/>
      </c>
      <c r="AP243">
        <f ca="1"/>
      </c>
      <c r="AQ243">
        <f ca="1"/>
      </c>
      <c r="AR243">
        <f ca="1"/>
      </c>
      <c r="AS243">
        <f ca="1"/>
      </c>
      <c r="AT243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AZ243">
        <f ca="1"/>
      </c>
      <c r="BA243">
        <f ca="1"/>
      </c>
      <c r="BB243">
        <f ca="1"/>
      </c>
      <c r="BC243">
        <f ca="1"/>
      </c>
      <c r="BD243">
        <f ca="1"/>
      </c>
      <c r="BE243">
        <f ca="1"/>
      </c>
      <c r="BF243">
        <f ca="1"/>
      </c>
      <c r="BG243">
        <f ca="1"/>
      </c>
      <c r="BH243">
        <f ca="1"/>
      </c>
      <c r="BI243">
        <f ca="1"/>
      </c>
      <c r="BJ243">
        <f ca="1"/>
      </c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F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B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M243" s="7">
        <f ca="1"/>
      </c>
      <c r="GN243">
        <f ca="1"/>
      </c>
      <c r="GO243">
        <f ca="1"/>
      </c>
      <c r="GP243">
        <f ca="1"/>
      </c>
      <c r="GQ243">
        <f ca="1"/>
      </c>
    </row>
    <row r="244" spans="41:199" x14ac:dyDescent="0.55000000000000004">
      <c r="AO244">
        <f ca="1"/>
      </c>
      <c r="AP244">
        <f ca="1"/>
      </c>
      <c r="AQ244">
        <f ca="1"/>
      </c>
      <c r="AR244">
        <f ca="1"/>
      </c>
      <c r="AS244">
        <f ca="1"/>
      </c>
      <c r="AT244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AZ244">
        <f ca="1"/>
      </c>
      <c r="BA244">
        <f ca="1"/>
      </c>
      <c r="BB244">
        <f ca="1"/>
      </c>
      <c r="BC244">
        <f ca="1"/>
      </c>
      <c r="BD244">
        <f ca="1"/>
      </c>
      <c r="BE244">
        <f ca="1"/>
      </c>
      <c r="BF244">
        <f ca="1"/>
      </c>
      <c r="BG244">
        <f ca="1"/>
      </c>
      <c r="BH244">
        <f ca="1"/>
      </c>
      <c r="BI244">
        <f ca="1"/>
      </c>
      <c r="BJ244">
        <f ca="1"/>
      </c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F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B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M244" s="7">
        <f ca="1"/>
      </c>
      <c r="GN244">
        <f ca="1"/>
      </c>
      <c r="GO244">
        <f ca="1"/>
      </c>
      <c r="GP244">
        <f ca="1"/>
      </c>
      <c r="GQ244">
        <f ca="1"/>
      </c>
    </row>
    <row r="245" spans="41:199" x14ac:dyDescent="0.55000000000000004">
      <c r="AO245">
        <f ca="1"/>
      </c>
      <c r="AP245">
        <f ca="1"/>
      </c>
      <c r="AQ245">
        <f ca="1"/>
      </c>
      <c r="AR245">
        <f ca="1"/>
      </c>
      <c r="AS245">
        <f ca="1"/>
      </c>
      <c r="AT245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AZ245">
        <f ca="1"/>
      </c>
      <c r="BA245">
        <f ca="1"/>
      </c>
      <c r="BB245">
        <f ca="1"/>
      </c>
      <c r="BC245">
        <f ca="1"/>
      </c>
      <c r="BD245">
        <f ca="1"/>
      </c>
      <c r="BE245">
        <f ca="1"/>
      </c>
      <c r="BF245">
        <f ca="1"/>
      </c>
      <c r="BG245">
        <f ca="1"/>
      </c>
      <c r="BH245">
        <f ca="1"/>
      </c>
      <c r="BI245">
        <f ca="1"/>
      </c>
      <c r="BJ245">
        <f ca="1"/>
      </c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F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B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M245" s="7"/>
    </row>
    <row r="246" spans="41:199" x14ac:dyDescent="0.55000000000000004">
      <c r="AO246">
        <f ca="1"/>
      </c>
      <c r="AP246">
        <f ca="1"/>
      </c>
      <c r="AQ246">
        <f ca="1"/>
      </c>
      <c r="AR246">
        <f ca="1"/>
      </c>
      <c r="AS246">
        <f ca="1"/>
      </c>
      <c r="AT246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AZ246">
        <f ca="1"/>
      </c>
      <c r="BA246">
        <f ca="1"/>
      </c>
      <c r="BB246">
        <f ca="1"/>
      </c>
      <c r="BC246">
        <f ca="1"/>
      </c>
      <c r="BD246">
        <f ca="1"/>
      </c>
      <c r="BE246">
        <f ca="1"/>
      </c>
      <c r="BF246">
        <f ca="1"/>
      </c>
      <c r="BG246">
        <f ca="1"/>
      </c>
      <c r="BH246">
        <f ca="1"/>
      </c>
      <c r="BI246">
        <f ca="1"/>
      </c>
      <c r="BJ246">
        <f ca="1"/>
      </c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F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B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M246" s="7"/>
    </row>
    <row r="247" spans="41:199" x14ac:dyDescent="0.55000000000000004">
      <c r="AO247">
        <f ca="1"/>
      </c>
      <c r="AP247">
        <f ca="1"/>
      </c>
      <c r="AQ247">
        <f ca="1"/>
      </c>
      <c r="AR247">
        <f ca="1"/>
      </c>
      <c r="AS247">
        <f ca="1"/>
      </c>
      <c r="AT24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AZ247">
        <f ca="1"/>
      </c>
      <c r="BA247">
        <f ca="1"/>
      </c>
      <c r="BB247">
        <f ca="1"/>
      </c>
      <c r="BC247">
        <f ca="1"/>
      </c>
      <c r="BD247">
        <f ca="1"/>
      </c>
      <c r="BE247">
        <f ca="1"/>
      </c>
      <c r="BF247">
        <f ca="1"/>
      </c>
      <c r="BG247">
        <f ca="1"/>
      </c>
      <c r="BH247">
        <f ca="1"/>
      </c>
      <c r="BI247">
        <f ca="1"/>
      </c>
      <c r="BJ247">
        <f ca="1"/>
      </c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F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B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M247" s="7"/>
    </row>
    <row r="248" spans="41:199" x14ac:dyDescent="0.55000000000000004">
      <c r="AO248">
        <f ca="1"/>
      </c>
      <c r="AP248">
        <f ca="1"/>
      </c>
      <c r="AQ248">
        <f ca="1"/>
      </c>
      <c r="AR248">
        <f ca="1"/>
      </c>
      <c r="AS248">
        <f ca="1"/>
      </c>
      <c r="AT248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AZ248">
        <f ca="1"/>
      </c>
      <c r="BA248">
        <f ca="1"/>
      </c>
      <c r="BB248">
        <f ca="1"/>
      </c>
      <c r="BC248">
        <f ca="1"/>
      </c>
      <c r="BD248">
        <f ca="1"/>
      </c>
      <c r="BE248">
        <f ca="1"/>
      </c>
      <c r="BF248">
        <f ca="1"/>
      </c>
      <c r="BG248">
        <f ca="1"/>
      </c>
      <c r="BH248">
        <f ca="1"/>
      </c>
      <c r="BI248">
        <f ca="1"/>
      </c>
      <c r="BJ248">
        <f ca="1"/>
      </c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F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B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M248" s="7"/>
    </row>
    <row r="249" spans="41:199" x14ac:dyDescent="0.55000000000000004">
      <c r="AO249">
        <f ca="1"/>
      </c>
      <c r="AP249">
        <f ca="1"/>
      </c>
      <c r="AQ249">
        <f ca="1"/>
      </c>
      <c r="AR249">
        <f ca="1"/>
      </c>
      <c r="AS249">
        <f ca="1"/>
      </c>
      <c r="AT249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AZ249">
        <f ca="1"/>
      </c>
      <c r="BA249">
        <f ca="1"/>
      </c>
      <c r="BB249">
        <f ca="1"/>
      </c>
      <c r="BC249">
        <f ca="1"/>
      </c>
      <c r="BD249">
        <f ca="1"/>
      </c>
      <c r="BE249">
        <f ca="1"/>
      </c>
      <c r="BF249">
        <f ca="1"/>
      </c>
      <c r="BG249">
        <f ca="1"/>
      </c>
      <c r="BH249">
        <f ca="1"/>
      </c>
      <c r="BI249">
        <f ca="1"/>
      </c>
      <c r="BJ249">
        <f ca="1"/>
      </c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F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B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M249" s="7"/>
    </row>
    <row r="250" spans="41:199" x14ac:dyDescent="0.55000000000000004">
      <c r="AO250">
        <f ca="1"/>
      </c>
      <c r="AP250">
        <f ca="1"/>
      </c>
      <c r="AQ250">
        <f ca="1"/>
      </c>
      <c r="AR250">
        <f ca="1"/>
      </c>
      <c r="AS250">
        <f ca="1"/>
      </c>
      <c r="AT250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AZ250">
        <f ca="1"/>
      </c>
      <c r="BA250">
        <f ca="1"/>
      </c>
      <c r="BB250">
        <f ca="1"/>
      </c>
      <c r="BC250">
        <f ca="1"/>
      </c>
      <c r="BD250">
        <f ca="1"/>
      </c>
      <c r="BE250">
        <f ca="1"/>
      </c>
      <c r="BF250">
        <f ca="1"/>
      </c>
      <c r="BG250">
        <f ca="1"/>
      </c>
      <c r="BH250">
        <f ca="1"/>
      </c>
      <c r="BI250">
        <f ca="1"/>
      </c>
      <c r="BJ250">
        <f ca="1"/>
      </c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F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B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M250" s="7"/>
    </row>
    <row r="251" spans="41:199" x14ac:dyDescent="0.55000000000000004">
      <c r="AO251">
        <f ca="1"/>
      </c>
      <c r="AP251">
        <f ca="1"/>
      </c>
      <c r="AQ251">
        <f ca="1"/>
      </c>
      <c r="AR251">
        <f ca="1"/>
      </c>
      <c r="AS251">
        <f ca="1"/>
      </c>
      <c r="AT251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AZ251">
        <f ca="1"/>
      </c>
      <c r="BA251">
        <f ca="1"/>
      </c>
      <c r="BB251">
        <f ca="1"/>
      </c>
      <c r="BC251">
        <f ca="1"/>
      </c>
      <c r="BD251">
        <f ca="1"/>
      </c>
      <c r="BE251">
        <f ca="1"/>
      </c>
      <c r="BF251">
        <f ca="1"/>
      </c>
      <c r="BG251">
        <f ca="1"/>
      </c>
      <c r="BH251">
        <f ca="1"/>
      </c>
      <c r="BI251">
        <f ca="1"/>
      </c>
      <c r="BJ251">
        <f ca="1"/>
      </c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F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B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M251" s="7"/>
    </row>
    <row r="252" spans="41:199" x14ac:dyDescent="0.55000000000000004">
      <c r="AO252">
        <f ca="1"/>
      </c>
      <c r="AP252">
        <f ca="1"/>
      </c>
      <c r="AQ252">
        <f ca="1"/>
      </c>
      <c r="AR252">
        <f ca="1"/>
      </c>
      <c r="AS252">
        <f ca="1"/>
      </c>
      <c r="AT252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AZ252">
        <f ca="1"/>
      </c>
      <c r="BA252">
        <f ca="1"/>
      </c>
      <c r="BB252">
        <f ca="1"/>
      </c>
      <c r="BC252">
        <f ca="1"/>
      </c>
      <c r="BD252">
        <f ca="1"/>
      </c>
      <c r="BE252">
        <f ca="1"/>
      </c>
      <c r="BF252">
        <f ca="1"/>
      </c>
      <c r="BG252">
        <f ca="1"/>
      </c>
      <c r="BH252">
        <f ca="1"/>
      </c>
      <c r="BI252">
        <f ca="1"/>
      </c>
      <c r="BJ252">
        <f ca="1"/>
      </c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F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B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M252" s="7"/>
    </row>
    <row r="253" spans="41:199" x14ac:dyDescent="0.55000000000000004">
      <c r="AO253">
        <f ca="1"/>
      </c>
      <c r="AP253">
        <f ca="1"/>
      </c>
      <c r="AQ253">
        <f ca="1"/>
      </c>
      <c r="AR253">
        <f ca="1"/>
      </c>
      <c r="AS253">
        <f ca="1"/>
      </c>
      <c r="AT253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AZ253">
        <f ca="1"/>
      </c>
      <c r="BA253">
        <f ca="1"/>
      </c>
      <c r="BB253">
        <f ca="1"/>
      </c>
      <c r="BC253">
        <f ca="1"/>
      </c>
      <c r="BD253">
        <f ca="1"/>
      </c>
      <c r="BE253">
        <f ca="1"/>
      </c>
      <c r="BF253">
        <f ca="1"/>
      </c>
      <c r="BG253">
        <f ca="1"/>
      </c>
      <c r="BH253">
        <f ca="1"/>
      </c>
      <c r="BI253">
        <f ca="1"/>
      </c>
      <c r="BJ253">
        <f ca="1"/>
      </c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F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B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M253" s="7"/>
    </row>
    <row r="254" spans="41:199" x14ac:dyDescent="0.55000000000000004">
      <c r="AO254">
        <f ca="1"/>
      </c>
      <c r="AP254">
        <f ca="1"/>
      </c>
      <c r="AQ254">
        <f ca="1"/>
      </c>
      <c r="AR254">
        <f ca="1"/>
      </c>
      <c r="AS254">
        <f ca="1"/>
      </c>
      <c r="AT254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AZ254">
        <f ca="1"/>
      </c>
      <c r="BA254">
        <f ca="1"/>
      </c>
      <c r="BB254">
        <f ca="1"/>
      </c>
      <c r="BC254">
        <f ca="1"/>
      </c>
      <c r="BD254">
        <f ca="1"/>
      </c>
      <c r="BE254">
        <f ca="1"/>
      </c>
      <c r="BF254">
        <f ca="1"/>
      </c>
      <c r="BG254">
        <f ca="1"/>
      </c>
      <c r="BH254">
        <f ca="1"/>
      </c>
      <c r="BI254">
        <f ca="1"/>
      </c>
      <c r="BJ254">
        <f ca="1"/>
      </c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F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M254" s="7"/>
    </row>
    <row r="255" spans="41:199" x14ac:dyDescent="0.55000000000000004">
      <c r="AO255">
        <f ca="1"/>
      </c>
      <c r="AP255">
        <f ca="1"/>
      </c>
      <c r="AQ255">
        <f ca="1"/>
      </c>
      <c r="AR255">
        <f ca="1"/>
      </c>
      <c r="AS255">
        <f ca="1"/>
      </c>
      <c r="AT255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AZ255">
        <f ca="1"/>
      </c>
      <c r="BA255">
        <f ca="1"/>
      </c>
      <c r="BB255">
        <f ca="1"/>
      </c>
      <c r="BC255">
        <f ca="1"/>
      </c>
      <c r="BD255">
        <f ca="1"/>
      </c>
      <c r="BE255">
        <f ca="1"/>
      </c>
      <c r="BF255">
        <f ca="1"/>
      </c>
      <c r="BG255">
        <f ca="1"/>
      </c>
      <c r="BH255">
        <f ca="1"/>
      </c>
      <c r="BI255">
        <f ca="1"/>
      </c>
      <c r="BJ255">
        <f ca="1"/>
      </c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F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M255" s="7"/>
    </row>
    <row r="256" spans="41:199" x14ac:dyDescent="0.55000000000000004">
      <c r="AO256">
        <f ca="1"/>
      </c>
      <c r="AP256">
        <f ca="1"/>
      </c>
      <c r="AQ256">
        <f ca="1"/>
      </c>
      <c r="AR256">
        <f ca="1"/>
      </c>
      <c r="AS256">
        <f ca="1"/>
      </c>
      <c r="AT256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AZ256">
        <f ca="1"/>
      </c>
      <c r="BA256">
        <f ca="1"/>
      </c>
      <c r="BB256">
        <f ca="1"/>
      </c>
      <c r="BC256">
        <f ca="1"/>
      </c>
      <c r="BD256">
        <f ca="1"/>
      </c>
      <c r="BE256">
        <f ca="1"/>
      </c>
      <c r="BF256">
        <f ca="1"/>
      </c>
      <c r="BG256">
        <f ca="1"/>
      </c>
      <c r="BH256">
        <f ca="1"/>
      </c>
      <c r="BI256">
        <f ca="1"/>
      </c>
      <c r="BJ256">
        <f ca="1"/>
      </c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F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M256" s="7"/>
    </row>
    <row r="257" spans="41:195" x14ac:dyDescent="0.55000000000000004">
      <c r="AO257">
        <f ca="1"/>
      </c>
      <c r="AP257">
        <f ca="1"/>
      </c>
      <c r="AQ257">
        <f ca="1"/>
      </c>
      <c r="AR257">
        <f ca="1"/>
      </c>
      <c r="AS257">
        <f ca="1"/>
      </c>
      <c r="AT25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AZ257">
        <f ca="1"/>
      </c>
      <c r="BA257">
        <f ca="1"/>
      </c>
      <c r="BB257">
        <f ca="1"/>
      </c>
      <c r="BC257">
        <f ca="1"/>
      </c>
      <c r="BD257">
        <f ca="1"/>
      </c>
      <c r="BE257">
        <f ca="1"/>
      </c>
      <c r="BF257">
        <f ca="1"/>
      </c>
      <c r="BG257">
        <f ca="1"/>
      </c>
      <c r="BH257">
        <f ca="1"/>
      </c>
      <c r="BI257">
        <f ca="1"/>
      </c>
      <c r="BJ257">
        <f ca="1"/>
      </c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F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M257" s="7"/>
    </row>
    <row r="258" spans="41:195" x14ac:dyDescent="0.55000000000000004">
      <c r="AO258">
        <f ca="1"/>
      </c>
      <c r="AP258">
        <f ca="1"/>
      </c>
      <c r="AQ258">
        <f ca="1"/>
      </c>
      <c r="AR258">
        <f ca="1"/>
      </c>
      <c r="AS258">
        <f ca="1"/>
      </c>
      <c r="AT258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AZ258">
        <f ca="1"/>
      </c>
      <c r="BA258">
        <f ca="1"/>
      </c>
      <c r="BB258">
        <f ca="1"/>
      </c>
      <c r="BC258">
        <f ca="1"/>
      </c>
      <c r="BD258">
        <f ca="1"/>
      </c>
      <c r="BE258">
        <f ca="1"/>
      </c>
      <c r="BF258">
        <f ca="1"/>
      </c>
      <c r="BG258">
        <f ca="1"/>
      </c>
      <c r="BH258">
        <f ca="1"/>
      </c>
      <c r="BI258">
        <f ca="1"/>
      </c>
      <c r="BJ258">
        <f ca="1"/>
      </c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F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M258" s="7"/>
    </row>
    <row r="259" spans="41:195" x14ac:dyDescent="0.55000000000000004">
      <c r="AO259">
        <f ca="1"/>
      </c>
      <c r="AP259">
        <f ca="1"/>
      </c>
      <c r="AQ259">
        <f ca="1"/>
      </c>
      <c r="AR259">
        <f ca="1"/>
      </c>
      <c r="AS259">
        <f ca="1"/>
      </c>
      <c r="AT259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AZ259">
        <f ca="1"/>
      </c>
      <c r="BA259">
        <f ca="1"/>
      </c>
      <c r="BB259">
        <f ca="1"/>
      </c>
      <c r="BC259">
        <f ca="1"/>
      </c>
      <c r="BD259">
        <f ca="1"/>
      </c>
      <c r="BE259">
        <f ca="1"/>
      </c>
      <c r="BF259">
        <f ca="1"/>
      </c>
      <c r="BG259">
        <f ca="1"/>
      </c>
      <c r="BH259">
        <f ca="1"/>
      </c>
      <c r="BI259">
        <f ca="1"/>
      </c>
      <c r="BJ259">
        <f ca="1"/>
      </c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F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M259" s="7"/>
    </row>
    <row r="260" spans="41:195" x14ac:dyDescent="0.55000000000000004">
      <c r="AO260">
        <f ca="1"/>
      </c>
      <c r="AP260">
        <f ca="1"/>
      </c>
      <c r="AQ260">
        <f ca="1"/>
      </c>
      <c r="AR260">
        <f ca="1"/>
      </c>
      <c r="AS260">
        <f ca="1"/>
      </c>
      <c r="AT260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AZ260">
        <f ca="1"/>
      </c>
      <c r="BA260">
        <f ca="1"/>
      </c>
      <c r="BB260">
        <f ca="1"/>
      </c>
      <c r="BC260">
        <f ca="1"/>
      </c>
      <c r="BD260">
        <f ca="1"/>
      </c>
      <c r="BE260">
        <f ca="1"/>
      </c>
      <c r="BF260">
        <f ca="1"/>
      </c>
      <c r="BG260">
        <f ca="1"/>
      </c>
      <c r="BH260">
        <f ca="1"/>
      </c>
      <c r="BI260">
        <f ca="1"/>
      </c>
      <c r="BJ260">
        <f ca="1"/>
      </c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F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M260" s="7"/>
    </row>
    <row r="261" spans="41:195" x14ac:dyDescent="0.55000000000000004">
      <c r="AO261">
        <f ca="1"/>
      </c>
      <c r="AP261">
        <f ca="1"/>
      </c>
      <c r="AQ261">
        <f ca="1"/>
      </c>
      <c r="AR261">
        <f ca="1"/>
      </c>
      <c r="AS261">
        <f ca="1"/>
      </c>
      <c r="AT261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AZ261">
        <f ca="1"/>
      </c>
      <c r="BA261">
        <f ca="1"/>
      </c>
      <c r="BB261">
        <f ca="1"/>
      </c>
      <c r="BC261">
        <f ca="1"/>
      </c>
      <c r="BD261">
        <f ca="1"/>
      </c>
      <c r="BE261">
        <f ca="1"/>
      </c>
      <c r="BF261">
        <f ca="1"/>
      </c>
      <c r="BG261">
        <f ca="1"/>
      </c>
      <c r="BH261">
        <f ca="1"/>
      </c>
      <c r="BI261">
        <f ca="1"/>
      </c>
      <c r="BJ261">
        <f ca="1"/>
      </c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F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M261" s="7"/>
    </row>
    <row r="262" spans="41:195" x14ac:dyDescent="0.55000000000000004">
      <c r="AO262">
        <f ca="1"/>
      </c>
      <c r="AP262">
        <f ca="1"/>
      </c>
      <c r="AQ262">
        <f ca="1"/>
      </c>
      <c r="AR262">
        <f ca="1"/>
      </c>
      <c r="AS262">
        <f ca="1"/>
      </c>
      <c r="AT262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AZ262">
        <f ca="1"/>
      </c>
      <c r="BA262">
        <f ca="1"/>
      </c>
      <c r="BB262">
        <f ca="1"/>
      </c>
      <c r="BC262">
        <f ca="1"/>
      </c>
      <c r="BD262">
        <f ca="1"/>
      </c>
      <c r="BE262">
        <f ca="1"/>
      </c>
      <c r="BF262">
        <f ca="1"/>
      </c>
      <c r="BG262">
        <f ca="1"/>
      </c>
      <c r="BH262">
        <f ca="1"/>
      </c>
      <c r="BI262">
        <f ca="1"/>
      </c>
      <c r="BJ262">
        <f ca="1"/>
      </c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F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M262" s="7"/>
    </row>
    <row r="263" spans="41:195" x14ac:dyDescent="0.55000000000000004">
      <c r="AO263">
        <f ca="1"/>
      </c>
      <c r="AP263">
        <f ca="1"/>
      </c>
      <c r="AQ263">
        <f ca="1"/>
      </c>
      <c r="AR263">
        <f ca="1"/>
      </c>
      <c r="AS263">
        <f ca="1"/>
      </c>
      <c r="AT263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AZ263">
        <f ca="1"/>
      </c>
      <c r="BA263">
        <f ca="1"/>
      </c>
      <c r="BB263">
        <f ca="1"/>
      </c>
      <c r="BC263">
        <f ca="1"/>
      </c>
      <c r="BD263">
        <f ca="1"/>
      </c>
      <c r="BE263">
        <f ca="1"/>
      </c>
      <c r="BF263">
        <f ca="1"/>
      </c>
      <c r="BG263">
        <f ca="1"/>
      </c>
      <c r="BH263">
        <f ca="1"/>
      </c>
      <c r="BI263">
        <f ca="1"/>
      </c>
      <c r="BJ263">
        <f ca="1"/>
      </c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F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M263" s="7"/>
    </row>
    <row r="264" spans="41:195" x14ac:dyDescent="0.55000000000000004">
      <c r="AO264">
        <f ca="1"/>
      </c>
      <c r="AP264">
        <f ca="1"/>
      </c>
      <c r="AQ264">
        <f ca="1"/>
      </c>
      <c r="AR264">
        <f ca="1"/>
      </c>
      <c r="AS264">
        <f ca="1"/>
      </c>
      <c r="AT264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AZ264">
        <f ca="1"/>
      </c>
      <c r="BA264">
        <f ca="1"/>
      </c>
      <c r="BB264">
        <f ca="1"/>
      </c>
      <c r="BC264">
        <f ca="1"/>
      </c>
      <c r="BD264">
        <f ca="1"/>
      </c>
      <c r="BE264">
        <f ca="1"/>
      </c>
      <c r="BF264">
        <f ca="1"/>
      </c>
      <c r="BG264">
        <f ca="1"/>
      </c>
      <c r="BH264">
        <f ca="1"/>
      </c>
      <c r="BI264">
        <f ca="1"/>
      </c>
      <c r="BJ264">
        <f ca="1"/>
      </c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F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M264" s="7"/>
    </row>
    <row r="265" spans="41:195" x14ac:dyDescent="0.55000000000000004">
      <c r="AO265">
        <f ca="1"/>
      </c>
      <c r="AP265">
        <f ca="1"/>
      </c>
      <c r="AQ265">
        <f ca="1"/>
      </c>
      <c r="AR265">
        <f ca="1"/>
      </c>
      <c r="AS265">
        <f ca="1"/>
      </c>
      <c r="AT265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AZ265">
        <f ca="1"/>
      </c>
      <c r="BA265">
        <f ca="1"/>
      </c>
      <c r="BB265">
        <f ca="1"/>
      </c>
      <c r="BC265">
        <f ca="1"/>
      </c>
      <c r="BD265">
        <f ca="1"/>
      </c>
      <c r="BE265">
        <f ca="1"/>
      </c>
      <c r="BF265">
        <f ca="1"/>
      </c>
      <c r="BG265">
        <f ca="1"/>
      </c>
      <c r="BH265">
        <f ca="1"/>
      </c>
      <c r="BI265">
        <f ca="1"/>
      </c>
      <c r="BJ265">
        <f ca="1"/>
      </c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F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M265" s="7"/>
    </row>
    <row r="266" spans="41:195" x14ac:dyDescent="0.55000000000000004">
      <c r="AO266">
        <f ca="1"/>
      </c>
      <c r="AP266">
        <f ca="1"/>
      </c>
      <c r="AQ266">
        <f ca="1"/>
      </c>
      <c r="AR266">
        <f ca="1"/>
      </c>
      <c r="AS266">
        <f ca="1"/>
      </c>
      <c r="AT266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AZ266">
        <f ca="1"/>
      </c>
      <c r="BA266">
        <f ca="1"/>
      </c>
      <c r="BB266">
        <f ca="1"/>
      </c>
      <c r="BC266">
        <f ca="1"/>
      </c>
      <c r="BD266">
        <f ca="1"/>
      </c>
      <c r="BE266">
        <f ca="1"/>
      </c>
      <c r="BF266">
        <f ca="1"/>
      </c>
      <c r="BG266">
        <f ca="1"/>
      </c>
      <c r="BH266">
        <f ca="1"/>
      </c>
      <c r="BI266">
        <f ca="1"/>
      </c>
      <c r="BJ266">
        <f ca="1"/>
      </c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F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M266" s="7"/>
    </row>
    <row r="267" spans="41:195" x14ac:dyDescent="0.55000000000000004">
      <c r="AO267">
        <f ca="1"/>
      </c>
      <c r="AP267">
        <f ca="1"/>
      </c>
      <c r="AQ267">
        <f ca="1"/>
      </c>
      <c r="AR267">
        <f ca="1"/>
      </c>
      <c r="AS267">
        <f ca="1"/>
      </c>
      <c r="AT26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AZ267">
        <f ca="1"/>
      </c>
      <c r="BA267">
        <f ca="1"/>
      </c>
      <c r="BB267">
        <f ca="1"/>
      </c>
      <c r="BC267">
        <f ca="1"/>
      </c>
      <c r="BD267">
        <f ca="1"/>
      </c>
      <c r="BE267">
        <f ca="1"/>
      </c>
      <c r="BF267">
        <f ca="1"/>
      </c>
      <c r="BG267">
        <f ca="1"/>
      </c>
      <c r="BH267">
        <f ca="1"/>
      </c>
      <c r="BI267">
        <f ca="1"/>
      </c>
      <c r="BJ267">
        <f ca="1"/>
      </c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F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M267" s="7"/>
    </row>
    <row r="268" spans="41:195" x14ac:dyDescent="0.55000000000000004">
      <c r="AO268">
        <f ca="1"/>
      </c>
      <c r="AP268">
        <f ca="1"/>
      </c>
      <c r="AQ268">
        <f ca="1"/>
      </c>
      <c r="AR268">
        <f ca="1"/>
      </c>
      <c r="AS268">
        <f ca="1"/>
      </c>
      <c r="AT268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AZ268">
        <f ca="1"/>
      </c>
      <c r="BA268">
        <f ca="1"/>
      </c>
      <c r="BB268">
        <f ca="1"/>
      </c>
      <c r="BC268">
        <f ca="1"/>
      </c>
      <c r="BD268">
        <f ca="1"/>
      </c>
      <c r="BE268">
        <f ca="1"/>
      </c>
      <c r="BF268">
        <f ca="1"/>
      </c>
      <c r="BG268">
        <f ca="1"/>
      </c>
      <c r="BH268">
        <f ca="1"/>
      </c>
      <c r="BI268">
        <f ca="1"/>
      </c>
      <c r="BJ268">
        <f ca="1"/>
      </c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F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M268" s="7"/>
    </row>
    <row r="269" spans="41:195" x14ac:dyDescent="0.55000000000000004">
      <c r="AO269">
        <f ca="1"/>
      </c>
      <c r="AP269">
        <f ca="1"/>
      </c>
      <c r="AQ269">
        <f ca="1"/>
      </c>
      <c r="AR269">
        <f ca="1"/>
      </c>
      <c r="AS269">
        <f ca="1"/>
      </c>
      <c r="AT269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AZ269">
        <f ca="1"/>
      </c>
      <c r="BA269">
        <f ca="1"/>
      </c>
      <c r="BB269">
        <f ca="1"/>
      </c>
      <c r="BC269">
        <f ca="1"/>
      </c>
      <c r="BD269">
        <f ca="1"/>
      </c>
      <c r="BE269">
        <f ca="1"/>
      </c>
      <c r="BF269">
        <f ca="1"/>
      </c>
      <c r="BG269">
        <f ca="1"/>
      </c>
      <c r="BH269">
        <f ca="1"/>
      </c>
      <c r="BI269">
        <f ca="1"/>
      </c>
      <c r="BJ269">
        <f ca="1"/>
      </c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F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M269" s="7"/>
    </row>
    <row r="270" spans="41:195" x14ac:dyDescent="0.55000000000000004">
      <c r="AO270">
        <f ca="1"/>
      </c>
      <c r="AP270">
        <f ca="1"/>
      </c>
      <c r="AQ270">
        <f ca="1"/>
      </c>
      <c r="AR270">
        <f ca="1"/>
      </c>
      <c r="AS270">
        <f ca="1"/>
      </c>
      <c r="AT270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AZ270">
        <f ca="1"/>
      </c>
      <c r="BA270">
        <f ca="1"/>
      </c>
      <c r="BB270">
        <f ca="1"/>
      </c>
      <c r="BC270">
        <f ca="1"/>
      </c>
      <c r="BD270">
        <f ca="1"/>
      </c>
      <c r="BE270">
        <f ca="1"/>
      </c>
      <c r="BF270">
        <f ca="1"/>
      </c>
      <c r="BG270">
        <f ca="1"/>
      </c>
      <c r="BH270">
        <f ca="1"/>
      </c>
      <c r="BI270">
        <f ca="1"/>
      </c>
      <c r="BJ270">
        <f ca="1"/>
      </c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F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M270" s="7"/>
    </row>
    <row r="271" spans="41:195" x14ac:dyDescent="0.55000000000000004">
      <c r="AO271">
        <f ca="1"/>
      </c>
      <c r="AP271">
        <f ca="1"/>
      </c>
      <c r="AQ271">
        <f ca="1"/>
      </c>
      <c r="AR271">
        <f ca="1"/>
      </c>
      <c r="AS271">
        <f ca="1"/>
      </c>
      <c r="AT271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AZ271">
        <f ca="1"/>
      </c>
      <c r="BA271">
        <f ca="1"/>
      </c>
      <c r="BB271">
        <f ca="1"/>
      </c>
      <c r="BC271">
        <f ca="1"/>
      </c>
      <c r="BD271">
        <f ca="1"/>
      </c>
      <c r="BE271">
        <f ca="1"/>
      </c>
      <c r="BF271">
        <f ca="1"/>
      </c>
      <c r="BG271">
        <f ca="1"/>
      </c>
      <c r="BH271">
        <f ca="1"/>
      </c>
      <c r="BI271">
        <f ca="1"/>
      </c>
      <c r="BJ271">
        <f ca="1"/>
      </c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F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M271" s="7"/>
    </row>
    <row r="272" spans="41:195" x14ac:dyDescent="0.55000000000000004">
      <c r="AO272">
        <f ca="1"/>
      </c>
      <c r="AP272">
        <f ca="1"/>
      </c>
      <c r="AQ272">
        <f ca="1"/>
      </c>
      <c r="AR272">
        <f ca="1"/>
      </c>
      <c r="AS272">
        <f ca="1"/>
      </c>
      <c r="AT272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AZ272">
        <f ca="1"/>
      </c>
      <c r="BA272">
        <f ca="1"/>
      </c>
      <c r="BB272">
        <f ca="1"/>
      </c>
      <c r="BC272">
        <f ca="1"/>
      </c>
      <c r="BD272">
        <f ca="1"/>
      </c>
      <c r="BE272">
        <f ca="1"/>
      </c>
      <c r="BF272">
        <f ca="1"/>
      </c>
      <c r="BG272">
        <f ca="1"/>
      </c>
      <c r="BH272">
        <f ca="1"/>
      </c>
      <c r="BI272">
        <f ca="1"/>
      </c>
      <c r="BJ272">
        <f ca="1"/>
      </c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F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B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M272" s="7"/>
    </row>
    <row r="273" spans="41:195" x14ac:dyDescent="0.55000000000000004">
      <c r="AO273">
        <f ca="1"/>
      </c>
      <c r="AP273">
        <f ca="1"/>
      </c>
      <c r="AQ273">
        <f ca="1"/>
      </c>
      <c r="AR273">
        <f ca="1"/>
      </c>
      <c r="AS273">
        <f ca="1"/>
      </c>
      <c r="AT273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AZ273">
        <f ca="1"/>
      </c>
      <c r="BA273">
        <f ca="1"/>
      </c>
      <c r="BB273">
        <f ca="1"/>
      </c>
      <c r="BC273">
        <f ca="1"/>
      </c>
      <c r="BD273">
        <f ca="1"/>
      </c>
      <c r="BE273">
        <f ca="1"/>
      </c>
      <c r="BF273">
        <f ca="1"/>
      </c>
      <c r="BG273">
        <f ca="1"/>
      </c>
      <c r="BH273">
        <f ca="1"/>
      </c>
      <c r="BI273">
        <f ca="1"/>
      </c>
      <c r="BJ273">
        <f ca="1"/>
      </c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F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B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M273" s="7"/>
    </row>
    <row r="274" spans="41:195" x14ac:dyDescent="0.55000000000000004">
      <c r="AO274">
        <f ca="1"/>
      </c>
      <c r="AP274">
        <f ca="1"/>
      </c>
      <c r="AQ274">
        <f ca="1"/>
      </c>
      <c r="AR274">
        <f ca="1"/>
      </c>
      <c r="AS274">
        <f ca="1"/>
      </c>
      <c r="AT274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AZ274">
        <f ca="1"/>
      </c>
      <c r="BA274">
        <f ca="1"/>
      </c>
      <c r="BB274">
        <f ca="1"/>
      </c>
      <c r="BC274">
        <f ca="1"/>
      </c>
      <c r="BD274">
        <f ca="1"/>
      </c>
      <c r="BE274">
        <f ca="1"/>
      </c>
      <c r="BF274">
        <f ca="1"/>
      </c>
      <c r="BG274">
        <f ca="1"/>
      </c>
      <c r="BH274">
        <f ca="1"/>
      </c>
      <c r="BI274">
        <f ca="1"/>
      </c>
      <c r="BJ274">
        <f ca="1"/>
      </c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F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B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M274" s="7"/>
    </row>
    <row r="275" spans="41:195" x14ac:dyDescent="0.55000000000000004">
      <c r="AO275">
        <f ca="1"/>
      </c>
      <c r="AP275">
        <f ca="1"/>
      </c>
      <c r="AQ275">
        <f ca="1"/>
      </c>
      <c r="AR275">
        <f ca="1"/>
      </c>
      <c r="AS275">
        <f ca="1"/>
      </c>
      <c r="AT275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AZ275">
        <f ca="1"/>
      </c>
      <c r="BA275">
        <f ca="1"/>
      </c>
      <c r="BB275">
        <f ca="1"/>
      </c>
      <c r="BC275">
        <f ca="1"/>
      </c>
      <c r="BD275">
        <f ca="1"/>
      </c>
      <c r="BE275">
        <f ca="1"/>
      </c>
      <c r="BF275">
        <f ca="1"/>
      </c>
      <c r="BG275">
        <f ca="1"/>
      </c>
      <c r="BH275">
        <f ca="1"/>
      </c>
      <c r="BI275">
        <f ca="1"/>
      </c>
      <c r="BJ275">
        <f ca="1"/>
      </c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F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B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M275" s="7"/>
    </row>
    <row r="276" spans="41:195" x14ac:dyDescent="0.55000000000000004">
      <c r="AO276">
        <f ca="1"/>
      </c>
      <c r="AP276">
        <f ca="1"/>
      </c>
      <c r="AQ276">
        <f ca="1"/>
      </c>
      <c r="AR276">
        <f ca="1"/>
      </c>
      <c r="AS276">
        <f ca="1"/>
      </c>
      <c r="AT276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AZ276">
        <f ca="1"/>
      </c>
      <c r="BA276">
        <f ca="1"/>
      </c>
      <c r="BB276">
        <f ca="1"/>
      </c>
      <c r="BC276">
        <f ca="1"/>
      </c>
      <c r="BD276">
        <f ca="1"/>
      </c>
      <c r="BE276">
        <f ca="1"/>
      </c>
      <c r="BF276">
        <f ca="1"/>
      </c>
      <c r="BG276">
        <f ca="1"/>
      </c>
      <c r="BH276">
        <f ca="1"/>
      </c>
      <c r="BI276">
        <f ca="1"/>
      </c>
      <c r="BJ276">
        <f ca="1"/>
      </c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F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B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M276" s="7"/>
    </row>
    <row r="277" spans="41:195" x14ac:dyDescent="0.55000000000000004">
      <c r="AO277">
        <f ca="1"/>
      </c>
      <c r="AP277">
        <f ca="1"/>
      </c>
      <c r="AQ277">
        <f ca="1"/>
      </c>
      <c r="AR277">
        <f ca="1"/>
      </c>
      <c r="AS277">
        <f ca="1"/>
      </c>
      <c r="AT27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AZ277">
        <f ca="1"/>
      </c>
      <c r="BA277">
        <f ca="1"/>
      </c>
      <c r="BB277">
        <f ca="1"/>
      </c>
      <c r="BC277">
        <f ca="1"/>
      </c>
      <c r="BD277">
        <f ca="1"/>
      </c>
      <c r="BE277">
        <f ca="1"/>
      </c>
      <c r="BF277">
        <f ca="1"/>
      </c>
      <c r="BG277">
        <f ca="1"/>
      </c>
      <c r="BH277">
        <f ca="1"/>
      </c>
      <c r="BI277">
        <f ca="1"/>
      </c>
      <c r="BJ277">
        <f ca="1"/>
      </c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F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B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M277" s="7"/>
    </row>
    <row r="278" spans="41:195" x14ac:dyDescent="0.55000000000000004">
      <c r="AO278">
        <f ca="1"/>
      </c>
      <c r="AP278">
        <f ca="1"/>
      </c>
      <c r="AQ278">
        <f ca="1"/>
      </c>
      <c r="AR278">
        <f ca="1"/>
      </c>
      <c r="AS278">
        <f ca="1"/>
      </c>
      <c r="AT278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AZ278">
        <f ca="1"/>
      </c>
      <c r="BA278">
        <f ca="1"/>
      </c>
      <c r="BB278">
        <f ca="1"/>
      </c>
      <c r="BC278">
        <f ca="1"/>
      </c>
      <c r="BD278">
        <f ca="1"/>
      </c>
      <c r="BE278">
        <f ca="1"/>
      </c>
      <c r="BF278">
        <f ca="1"/>
      </c>
      <c r="BG278">
        <f ca="1"/>
      </c>
      <c r="BH278">
        <f ca="1"/>
      </c>
      <c r="BI278">
        <f ca="1"/>
      </c>
      <c r="BJ278">
        <f ca="1"/>
      </c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F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B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M278" s="7"/>
    </row>
    <row r="279" spans="41:195" x14ac:dyDescent="0.55000000000000004">
      <c r="AO279">
        <f ca="1"/>
      </c>
      <c r="AP279">
        <f ca="1"/>
      </c>
      <c r="AQ279">
        <f ca="1"/>
      </c>
      <c r="AR279">
        <f ca="1"/>
      </c>
      <c r="AS279">
        <f ca="1"/>
      </c>
      <c r="AT279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AZ279">
        <f ca="1"/>
      </c>
      <c r="BA279">
        <f ca="1"/>
      </c>
      <c r="BB279">
        <f ca="1"/>
      </c>
      <c r="BC279">
        <f ca="1"/>
      </c>
      <c r="BD279">
        <f ca="1"/>
      </c>
      <c r="BE279">
        <f ca="1"/>
      </c>
      <c r="BF279">
        <f ca="1"/>
      </c>
      <c r="BG279">
        <f ca="1"/>
      </c>
      <c r="BH279">
        <f ca="1"/>
      </c>
      <c r="BI279">
        <f ca="1"/>
      </c>
      <c r="BJ279">
        <f ca="1"/>
      </c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F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B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M279" s="7"/>
    </row>
    <row r="280" spans="41:195" x14ac:dyDescent="0.55000000000000004">
      <c r="AO280">
        <f ca="1"/>
      </c>
      <c r="AP280">
        <f ca="1"/>
      </c>
      <c r="AQ280">
        <f ca="1"/>
      </c>
      <c r="AR280">
        <f ca="1"/>
      </c>
      <c r="AS280">
        <f ca="1"/>
      </c>
      <c r="AT280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AZ280">
        <f ca="1"/>
      </c>
      <c r="BA280">
        <f ca="1"/>
      </c>
      <c r="BB280">
        <f ca="1"/>
      </c>
      <c r="BC280">
        <f ca="1"/>
      </c>
      <c r="BD280">
        <f ca="1"/>
      </c>
      <c r="BE280">
        <f ca="1"/>
      </c>
      <c r="BF280">
        <f ca="1"/>
      </c>
      <c r="BG280">
        <f ca="1"/>
      </c>
      <c r="BH280">
        <f ca="1"/>
      </c>
      <c r="BI280">
        <f ca="1"/>
      </c>
      <c r="BJ280">
        <f ca="1"/>
      </c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F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B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M280" s="7"/>
    </row>
    <row r="281" spans="41:195" x14ac:dyDescent="0.55000000000000004">
      <c r="AO281">
        <f ca="1"/>
      </c>
      <c r="AP281">
        <f ca="1"/>
      </c>
      <c r="AQ281">
        <f ca="1"/>
      </c>
      <c r="AR281">
        <f ca="1"/>
      </c>
      <c r="AS281">
        <f ca="1"/>
      </c>
      <c r="AT281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AZ281">
        <f ca="1"/>
      </c>
      <c r="BA281">
        <f ca="1"/>
      </c>
      <c r="BB281">
        <f ca="1"/>
      </c>
      <c r="BC281">
        <f ca="1"/>
      </c>
      <c r="BD281">
        <f ca="1"/>
      </c>
      <c r="BE281">
        <f ca="1"/>
      </c>
      <c r="BF281">
        <f ca="1"/>
      </c>
      <c r="BG281">
        <f ca="1"/>
      </c>
      <c r="BH281">
        <f ca="1"/>
      </c>
      <c r="BI281">
        <f ca="1"/>
      </c>
      <c r="BJ281">
        <f ca="1"/>
      </c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F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B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M281" s="7"/>
    </row>
    <row r="282" spans="41:195" x14ac:dyDescent="0.55000000000000004">
      <c r="AO282">
        <f ca="1"/>
      </c>
      <c r="AP282">
        <f ca="1"/>
      </c>
      <c r="AQ282">
        <f ca="1"/>
      </c>
      <c r="AR282">
        <f ca="1"/>
      </c>
      <c r="AS282">
        <f ca="1"/>
      </c>
      <c r="AT282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AZ282">
        <f ca="1"/>
      </c>
      <c r="BA282">
        <f ca="1"/>
      </c>
      <c r="BB282">
        <f ca="1"/>
      </c>
      <c r="BC282">
        <f ca="1"/>
      </c>
      <c r="BD282">
        <f ca="1"/>
      </c>
      <c r="BE282">
        <f ca="1"/>
      </c>
      <c r="BF282">
        <f ca="1"/>
      </c>
      <c r="BG282">
        <f ca="1"/>
      </c>
      <c r="BH282">
        <f ca="1"/>
      </c>
      <c r="BI282">
        <f ca="1"/>
      </c>
      <c r="BJ282">
        <f ca="1"/>
      </c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F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B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M282" s="7"/>
    </row>
    <row r="283" spans="41:195" x14ac:dyDescent="0.55000000000000004">
      <c r="AO283">
        <f ca="1"/>
      </c>
      <c r="AP283">
        <f ca="1"/>
      </c>
      <c r="AQ283">
        <f ca="1"/>
      </c>
      <c r="AR283">
        <f ca="1"/>
      </c>
      <c r="AS283">
        <f ca="1"/>
      </c>
      <c r="AT283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AZ283">
        <f ca="1"/>
      </c>
      <c r="BA283">
        <f ca="1"/>
      </c>
      <c r="BB283">
        <f ca="1"/>
      </c>
      <c r="BC283">
        <f ca="1"/>
      </c>
      <c r="BD283">
        <f ca="1"/>
      </c>
      <c r="BE283">
        <f ca="1"/>
      </c>
      <c r="BF283">
        <f ca="1"/>
      </c>
      <c r="BG283">
        <f ca="1"/>
      </c>
      <c r="BH283">
        <f ca="1"/>
      </c>
      <c r="BI283">
        <f ca="1"/>
      </c>
      <c r="BJ283">
        <f ca="1"/>
      </c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F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B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M283" s="7"/>
    </row>
    <row r="284" spans="41:195" x14ac:dyDescent="0.55000000000000004">
      <c r="AO284">
        <f ca="1"/>
      </c>
      <c r="AP284">
        <f ca="1"/>
      </c>
      <c r="AQ284">
        <f ca="1"/>
      </c>
      <c r="AR284">
        <f ca="1"/>
      </c>
      <c r="AS284">
        <f ca="1"/>
      </c>
      <c r="AT284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AZ284">
        <f ca="1"/>
      </c>
      <c r="BA284">
        <f ca="1"/>
      </c>
      <c r="BB284">
        <f ca="1"/>
      </c>
      <c r="BC284">
        <f ca="1"/>
      </c>
      <c r="BD284">
        <f ca="1"/>
      </c>
      <c r="BE284">
        <f ca="1"/>
      </c>
      <c r="BF284">
        <f ca="1"/>
      </c>
      <c r="BG284">
        <f ca="1"/>
      </c>
      <c r="BH284">
        <f ca="1"/>
      </c>
      <c r="BI284">
        <f ca="1"/>
      </c>
      <c r="BJ284">
        <f ca="1"/>
      </c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F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B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M284" s="7"/>
    </row>
    <row r="285" spans="41:195" x14ac:dyDescent="0.55000000000000004">
      <c r="AO285">
        <f ca="1"/>
      </c>
      <c r="AP285">
        <f ca="1"/>
      </c>
      <c r="AQ285">
        <f ca="1"/>
      </c>
      <c r="AR285">
        <f ca="1"/>
      </c>
      <c r="AS285">
        <f ca="1"/>
      </c>
      <c r="AT285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AZ285">
        <f ca="1"/>
      </c>
      <c r="BA285">
        <f ca="1"/>
      </c>
      <c r="BB285">
        <f ca="1"/>
      </c>
      <c r="BC285">
        <f ca="1"/>
      </c>
      <c r="BD285">
        <f ca="1"/>
      </c>
      <c r="BE285">
        <f ca="1"/>
      </c>
      <c r="BF285">
        <f ca="1"/>
      </c>
      <c r="BG285">
        <f ca="1"/>
      </c>
      <c r="BH285">
        <f ca="1"/>
      </c>
      <c r="BI285">
        <f ca="1"/>
      </c>
      <c r="BJ285">
        <f ca="1"/>
      </c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F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B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M285" s="7"/>
    </row>
    <row r="286" spans="41:195" x14ac:dyDescent="0.55000000000000004">
      <c r="AO286">
        <f ca="1"/>
      </c>
      <c r="AP286">
        <f ca="1"/>
      </c>
      <c r="AQ286">
        <f ca="1"/>
      </c>
      <c r="AR286">
        <f ca="1"/>
      </c>
      <c r="AS286">
        <f ca="1"/>
      </c>
      <c r="AT286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AZ286">
        <f ca="1"/>
      </c>
      <c r="BA286">
        <f ca="1"/>
      </c>
      <c r="BB286">
        <f ca="1"/>
      </c>
      <c r="BC286">
        <f ca="1"/>
      </c>
      <c r="BD286">
        <f ca="1"/>
      </c>
      <c r="BE286">
        <f ca="1"/>
      </c>
      <c r="BF286">
        <f ca="1"/>
      </c>
      <c r="BG286">
        <f ca="1"/>
      </c>
      <c r="BH286">
        <f ca="1"/>
      </c>
      <c r="BI286">
        <f ca="1"/>
      </c>
      <c r="BJ286">
        <f ca="1"/>
      </c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F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B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M286" s="7"/>
    </row>
    <row r="287" spans="41:195" x14ac:dyDescent="0.55000000000000004">
      <c r="AO287">
        <f ca="1"/>
      </c>
      <c r="AP287">
        <f ca="1"/>
      </c>
      <c r="AQ287">
        <f ca="1"/>
      </c>
      <c r="AR287">
        <f ca="1"/>
      </c>
      <c r="AS287">
        <f ca="1"/>
      </c>
      <c r="AT28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AZ287">
        <f ca="1"/>
      </c>
      <c r="BA287">
        <f ca="1"/>
      </c>
      <c r="BB287">
        <f ca="1"/>
      </c>
      <c r="BC287">
        <f ca="1"/>
      </c>
      <c r="BD287">
        <f ca="1"/>
      </c>
      <c r="BE287">
        <f ca="1"/>
      </c>
      <c r="BF287">
        <f ca="1"/>
      </c>
      <c r="BG287">
        <f ca="1"/>
      </c>
      <c r="BH287">
        <f ca="1"/>
      </c>
      <c r="BI287">
        <f ca="1"/>
      </c>
      <c r="BJ287">
        <f ca="1"/>
      </c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F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B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M287" s="7"/>
    </row>
    <row r="288" spans="41:195" x14ac:dyDescent="0.55000000000000004">
      <c r="AO288">
        <f ca="1"/>
      </c>
      <c r="AP288">
        <f ca="1"/>
      </c>
      <c r="AQ288">
        <f ca="1"/>
      </c>
      <c r="AR288">
        <f ca="1"/>
      </c>
      <c r="AS288">
        <f ca="1"/>
      </c>
      <c r="AT288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AZ288">
        <f ca="1"/>
      </c>
      <c r="BA288">
        <f ca="1"/>
      </c>
      <c r="BB288">
        <f ca="1"/>
      </c>
      <c r="BC288">
        <f ca="1"/>
      </c>
      <c r="BD288">
        <f ca="1"/>
      </c>
      <c r="BE288">
        <f ca="1"/>
      </c>
      <c r="BF288">
        <f ca="1"/>
      </c>
      <c r="BG288">
        <f ca="1"/>
      </c>
      <c r="BH288">
        <f ca="1"/>
      </c>
      <c r="BI288">
        <f ca="1"/>
      </c>
      <c r="BJ288">
        <f ca="1"/>
      </c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F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B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M288" s="7"/>
    </row>
    <row r="289" spans="41:195" x14ac:dyDescent="0.55000000000000004">
      <c r="AO289">
        <f ca="1"/>
      </c>
      <c r="AP289">
        <f ca="1"/>
      </c>
      <c r="AQ289">
        <f ca="1"/>
      </c>
      <c r="AR289">
        <f ca="1"/>
      </c>
      <c r="AS289">
        <f ca="1"/>
      </c>
      <c r="AT289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AZ289">
        <f ca="1"/>
      </c>
      <c r="BA289">
        <f ca="1"/>
      </c>
      <c r="BB289">
        <f ca="1"/>
      </c>
      <c r="BC289">
        <f ca="1"/>
      </c>
      <c r="BD289">
        <f ca="1"/>
      </c>
      <c r="BE289">
        <f ca="1"/>
      </c>
      <c r="BF289">
        <f ca="1"/>
      </c>
      <c r="BG289">
        <f ca="1"/>
      </c>
      <c r="BH289">
        <f ca="1"/>
      </c>
      <c r="BI289">
        <f ca="1"/>
      </c>
      <c r="BJ289">
        <f ca="1"/>
      </c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F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B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M289" s="7"/>
    </row>
    <row r="290" spans="41:195" x14ac:dyDescent="0.55000000000000004">
      <c r="AO290">
        <f ca="1"/>
      </c>
      <c r="AP290">
        <f ca="1"/>
      </c>
      <c r="AQ290">
        <f ca="1"/>
      </c>
      <c r="AR290">
        <f ca="1"/>
      </c>
      <c r="AS290">
        <f ca="1"/>
      </c>
      <c r="AT290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AZ290">
        <f ca="1"/>
      </c>
      <c r="BA290">
        <f ca="1"/>
      </c>
      <c r="BB290">
        <f ca="1"/>
      </c>
      <c r="BC290">
        <f ca="1"/>
      </c>
      <c r="BD290">
        <f ca="1"/>
      </c>
      <c r="BE290">
        <f ca="1"/>
      </c>
      <c r="BF290">
        <f ca="1"/>
      </c>
      <c r="BG290">
        <f ca="1"/>
      </c>
      <c r="BH290">
        <f ca="1"/>
      </c>
      <c r="BI290">
        <f ca="1"/>
      </c>
      <c r="BJ290">
        <f ca="1"/>
      </c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F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B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M290" s="7"/>
    </row>
    <row r="291" spans="41:195" x14ac:dyDescent="0.55000000000000004">
      <c r="AO291">
        <f ca="1"/>
      </c>
      <c r="AP291">
        <f ca="1"/>
      </c>
      <c r="AQ291">
        <f ca="1"/>
      </c>
      <c r="AR291">
        <f ca="1"/>
      </c>
      <c r="AS291">
        <f ca="1"/>
      </c>
      <c r="AT291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AZ291">
        <f ca="1"/>
      </c>
      <c r="BA291">
        <f ca="1"/>
      </c>
      <c r="BB291">
        <f ca="1"/>
      </c>
      <c r="BC291">
        <f ca="1"/>
      </c>
      <c r="BD291">
        <f ca="1"/>
      </c>
      <c r="BE291">
        <f ca="1"/>
      </c>
      <c r="BF291">
        <f ca="1"/>
      </c>
      <c r="BG291">
        <f ca="1"/>
      </c>
      <c r="BH291">
        <f ca="1"/>
      </c>
      <c r="BI291">
        <f ca="1"/>
      </c>
      <c r="BJ291">
        <f ca="1"/>
      </c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F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B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M291" s="7"/>
    </row>
    <row r="292" spans="41:195" x14ac:dyDescent="0.55000000000000004">
      <c r="AO292">
        <f ca="1"/>
      </c>
      <c r="AP292">
        <f ca="1"/>
      </c>
      <c r="AQ292">
        <f ca="1"/>
      </c>
      <c r="AR292">
        <f ca="1"/>
      </c>
      <c r="AS292">
        <f ca="1"/>
      </c>
      <c r="AT292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AZ292">
        <f ca="1"/>
      </c>
      <c r="BA292">
        <f ca="1"/>
      </c>
      <c r="BB292">
        <f ca="1"/>
      </c>
      <c r="BC292">
        <f ca="1"/>
      </c>
      <c r="BD292">
        <f ca="1"/>
      </c>
      <c r="BE292">
        <f ca="1"/>
      </c>
      <c r="BF292">
        <f ca="1"/>
      </c>
      <c r="BG292">
        <f ca="1"/>
      </c>
      <c r="BH292">
        <f ca="1"/>
      </c>
      <c r="BI292">
        <f ca="1"/>
      </c>
      <c r="BJ292">
        <f ca="1"/>
      </c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F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B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M292" s="7"/>
    </row>
    <row r="293" spans="41:195" x14ac:dyDescent="0.55000000000000004">
      <c r="AO293">
        <f ca="1"/>
      </c>
      <c r="AP293">
        <f ca="1"/>
      </c>
      <c r="AQ293">
        <f ca="1"/>
      </c>
      <c r="AR293">
        <f ca="1"/>
      </c>
      <c r="AS293">
        <f ca="1"/>
      </c>
      <c r="AT293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AZ293">
        <f ca="1"/>
      </c>
      <c r="BA293">
        <f ca="1"/>
      </c>
      <c r="BB293">
        <f ca="1"/>
      </c>
      <c r="BC293">
        <f ca="1"/>
      </c>
      <c r="BD293">
        <f ca="1"/>
      </c>
      <c r="BE293">
        <f ca="1"/>
      </c>
      <c r="BF293">
        <f ca="1"/>
      </c>
      <c r="BG293">
        <f ca="1"/>
      </c>
      <c r="BH293">
        <f ca="1"/>
      </c>
      <c r="BI293">
        <f ca="1"/>
      </c>
      <c r="BJ293">
        <f ca="1"/>
      </c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F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B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M293" s="7"/>
    </row>
    <row r="294" spans="41:195" x14ac:dyDescent="0.55000000000000004">
      <c r="AO294">
        <f ca="1"/>
      </c>
      <c r="AP294">
        <f ca="1"/>
      </c>
      <c r="AQ294">
        <f ca="1"/>
      </c>
      <c r="AR294">
        <f ca="1"/>
      </c>
      <c r="AS294">
        <f ca="1"/>
      </c>
      <c r="AT294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AZ294">
        <f ca="1"/>
      </c>
      <c r="BA294">
        <f ca="1"/>
      </c>
      <c r="BB294">
        <f ca="1"/>
      </c>
      <c r="BC294">
        <f ca="1"/>
      </c>
      <c r="BD294">
        <f ca="1"/>
      </c>
      <c r="BE294">
        <f ca="1"/>
      </c>
      <c r="BF294">
        <f ca="1"/>
      </c>
      <c r="BG294">
        <f ca="1"/>
      </c>
      <c r="BH294">
        <f ca="1"/>
      </c>
      <c r="BI294">
        <f ca="1"/>
      </c>
      <c r="BJ294">
        <f ca="1"/>
      </c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F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B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M294" s="7"/>
    </row>
    <row r="295" spans="41:195" x14ac:dyDescent="0.55000000000000004">
      <c r="AO295">
        <f ca="1"/>
      </c>
      <c r="AP295">
        <f ca="1"/>
      </c>
      <c r="AQ295">
        <f ca="1"/>
      </c>
      <c r="AR295">
        <f ca="1"/>
      </c>
      <c r="AS295">
        <f ca="1"/>
      </c>
      <c r="AT295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AZ295">
        <f ca="1"/>
      </c>
      <c r="BA295">
        <f ca="1"/>
      </c>
      <c r="BB295">
        <f ca="1"/>
      </c>
      <c r="BC295">
        <f ca="1"/>
      </c>
      <c r="BD295">
        <f ca="1"/>
      </c>
      <c r="BE295">
        <f ca="1"/>
      </c>
      <c r="BF295">
        <f ca="1"/>
      </c>
      <c r="BG295">
        <f ca="1"/>
      </c>
      <c r="BH295">
        <f ca="1"/>
      </c>
      <c r="BI295">
        <f ca="1"/>
      </c>
      <c r="BJ295">
        <f ca="1"/>
      </c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F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B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M295" s="7"/>
    </row>
    <row r="296" spans="41:195" x14ac:dyDescent="0.55000000000000004">
      <c r="AO296">
        <f ca="1"/>
      </c>
      <c r="AP296">
        <f ca="1"/>
      </c>
      <c r="AQ296">
        <f ca="1"/>
      </c>
      <c r="AR296">
        <f ca="1"/>
      </c>
      <c r="AS296">
        <f ca="1"/>
      </c>
      <c r="AT296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AZ296">
        <f ca="1"/>
      </c>
      <c r="BA296">
        <f ca="1"/>
      </c>
      <c r="BB296">
        <f ca="1"/>
      </c>
      <c r="BC296">
        <f ca="1"/>
      </c>
      <c r="BD296">
        <f ca="1"/>
      </c>
      <c r="BE296">
        <f ca="1"/>
      </c>
      <c r="BF296">
        <f ca="1"/>
      </c>
      <c r="BG296">
        <f ca="1"/>
      </c>
      <c r="BH296">
        <f ca="1"/>
      </c>
      <c r="BI296">
        <f ca="1"/>
      </c>
      <c r="BJ296">
        <f ca="1"/>
      </c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F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B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M296" s="7"/>
    </row>
    <row r="297" spans="41:195" x14ac:dyDescent="0.55000000000000004">
      <c r="AO297">
        <f ca="1"/>
      </c>
      <c r="AP297">
        <f ca="1"/>
      </c>
      <c r="AQ297">
        <f ca="1"/>
      </c>
      <c r="AR297">
        <f ca="1"/>
      </c>
      <c r="AS297">
        <f ca="1"/>
      </c>
      <c r="AT29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AZ297">
        <f ca="1"/>
      </c>
      <c r="BA297">
        <f ca="1"/>
      </c>
      <c r="BB297">
        <f ca="1"/>
      </c>
      <c r="BC297">
        <f ca="1"/>
      </c>
      <c r="BD297">
        <f ca="1"/>
      </c>
      <c r="BE297">
        <f ca="1"/>
      </c>
      <c r="BF297">
        <f ca="1"/>
      </c>
      <c r="BG297">
        <f ca="1"/>
      </c>
      <c r="BH297">
        <f ca="1"/>
      </c>
      <c r="BI297">
        <f ca="1"/>
      </c>
      <c r="BJ297">
        <f ca="1"/>
      </c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F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B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M297" s="7"/>
    </row>
    <row r="298" spans="41:195" x14ac:dyDescent="0.55000000000000004">
      <c r="AO298">
        <f ca="1"/>
      </c>
      <c r="AP298">
        <f ca="1"/>
      </c>
      <c r="AQ298">
        <f ca="1"/>
      </c>
      <c r="AR298">
        <f ca="1"/>
      </c>
      <c r="AS298">
        <f ca="1"/>
      </c>
      <c r="AT298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AZ298">
        <f ca="1"/>
      </c>
      <c r="BA298">
        <f ca="1"/>
      </c>
      <c r="BB298">
        <f ca="1"/>
      </c>
      <c r="BC298">
        <f ca="1"/>
      </c>
      <c r="BD298">
        <f ca="1"/>
      </c>
      <c r="BE298">
        <f ca="1"/>
      </c>
      <c r="BF298">
        <f ca="1"/>
      </c>
      <c r="BG298">
        <f ca="1"/>
      </c>
      <c r="BH298">
        <f ca="1"/>
      </c>
      <c r="BI298">
        <f ca="1"/>
      </c>
      <c r="BJ298">
        <f ca="1"/>
      </c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F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B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M298" s="7"/>
    </row>
    <row r="299" spans="41:195" x14ac:dyDescent="0.55000000000000004">
      <c r="AO299">
        <f ca="1"/>
      </c>
      <c r="AP299">
        <f ca="1"/>
      </c>
      <c r="AQ299">
        <f ca="1"/>
      </c>
      <c r="AR299">
        <f ca="1"/>
      </c>
      <c r="AS299">
        <f ca="1"/>
      </c>
      <c r="AT299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AZ299">
        <f ca="1"/>
      </c>
      <c r="BA299">
        <f ca="1"/>
      </c>
      <c r="BB299">
        <f ca="1"/>
      </c>
      <c r="BC299">
        <f ca="1"/>
      </c>
      <c r="BD299">
        <f ca="1"/>
      </c>
      <c r="BE299">
        <f ca="1"/>
      </c>
      <c r="BF299">
        <f ca="1"/>
      </c>
      <c r="BG299">
        <f ca="1"/>
      </c>
      <c r="BH299">
        <f ca="1"/>
      </c>
      <c r="BI299">
        <f ca="1"/>
      </c>
      <c r="BJ299">
        <f ca="1"/>
      </c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F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B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M299" s="7"/>
    </row>
    <row r="300" spans="41:195" x14ac:dyDescent="0.55000000000000004">
      <c r="AO300">
        <f ca="1"/>
      </c>
      <c r="AP300">
        <f ca="1"/>
      </c>
      <c r="AQ300">
        <f ca="1"/>
      </c>
      <c r="AR300">
        <f ca="1"/>
      </c>
      <c r="AS300">
        <f ca="1"/>
      </c>
      <c r="AT300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AZ300">
        <f ca="1"/>
      </c>
      <c r="BA300">
        <f ca="1"/>
      </c>
      <c r="BB300">
        <f ca="1"/>
      </c>
      <c r="BC300">
        <f ca="1"/>
      </c>
      <c r="BD300">
        <f ca="1"/>
      </c>
      <c r="BE300">
        <f ca="1"/>
      </c>
      <c r="BF300">
        <f ca="1"/>
      </c>
      <c r="BG300">
        <f ca="1"/>
      </c>
      <c r="BH300">
        <f ca="1"/>
      </c>
      <c r="BI300">
        <f ca="1"/>
      </c>
      <c r="BJ300">
        <f ca="1"/>
      </c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F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B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M300" s="7"/>
    </row>
    <row r="301" spans="41:195" x14ac:dyDescent="0.55000000000000004">
      <c r="AO301">
        <f ca="1"/>
      </c>
      <c r="AP301">
        <f ca="1"/>
      </c>
      <c r="AQ301">
        <f ca="1"/>
      </c>
      <c r="AR301">
        <f ca="1"/>
      </c>
      <c r="AS301">
        <f ca="1"/>
      </c>
      <c r="AT301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AZ301">
        <f ca="1"/>
      </c>
      <c r="BA301">
        <f ca="1"/>
      </c>
      <c r="BB301">
        <f ca="1"/>
      </c>
      <c r="BC301">
        <f ca="1"/>
      </c>
      <c r="BD301">
        <f ca="1"/>
      </c>
      <c r="BE301">
        <f ca="1"/>
      </c>
      <c r="BF301">
        <f ca="1"/>
      </c>
      <c r="BG301">
        <f ca="1"/>
      </c>
      <c r="BH301">
        <f ca="1"/>
      </c>
      <c r="BI301">
        <f ca="1"/>
      </c>
      <c r="BJ301">
        <f ca="1"/>
      </c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F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B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M301" s="7"/>
    </row>
    <row r="302" spans="41:195" x14ac:dyDescent="0.55000000000000004">
      <c r="AO302">
        <f ca="1"/>
      </c>
      <c r="AP302">
        <f ca="1"/>
      </c>
      <c r="AQ302">
        <f ca="1"/>
      </c>
      <c r="AR302">
        <f ca="1"/>
      </c>
      <c r="AS302">
        <f ca="1"/>
      </c>
      <c r="AT302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AZ302">
        <f ca="1"/>
      </c>
      <c r="BA302">
        <f ca="1"/>
      </c>
      <c r="BB302">
        <f ca="1"/>
      </c>
      <c r="BC302">
        <f ca="1"/>
      </c>
      <c r="BD302">
        <f ca="1"/>
      </c>
      <c r="BE302">
        <f ca="1"/>
      </c>
      <c r="BF302">
        <f ca="1"/>
      </c>
      <c r="BG302">
        <f ca="1"/>
      </c>
      <c r="BH302">
        <f ca="1"/>
      </c>
      <c r="BI302">
        <f ca="1"/>
      </c>
      <c r="BJ302">
        <f ca="1"/>
      </c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F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B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M302" s="7"/>
    </row>
    <row r="303" spans="41:195" x14ac:dyDescent="0.55000000000000004">
      <c r="AO303">
        <f ca="1"/>
      </c>
      <c r="AP303">
        <f ca="1"/>
      </c>
      <c r="AQ303">
        <f ca="1"/>
      </c>
      <c r="AR303">
        <f ca="1"/>
      </c>
      <c r="AS303">
        <f ca="1"/>
      </c>
      <c r="AT303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AZ303">
        <f ca="1"/>
      </c>
      <c r="BA303">
        <f ca="1"/>
      </c>
      <c r="BB303">
        <f ca="1"/>
      </c>
      <c r="BC303">
        <f ca="1"/>
      </c>
      <c r="BD303">
        <f ca="1"/>
      </c>
      <c r="BE303">
        <f ca="1"/>
      </c>
      <c r="BF303">
        <f ca="1"/>
      </c>
      <c r="BG303">
        <f ca="1"/>
      </c>
      <c r="BH303">
        <f ca="1"/>
      </c>
      <c r="BI303">
        <f ca="1"/>
      </c>
      <c r="BJ303">
        <f ca="1"/>
      </c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F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B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M303" s="7"/>
    </row>
    <row r="304" spans="41:195" x14ac:dyDescent="0.55000000000000004">
      <c r="AO304">
        <f ca="1"/>
      </c>
      <c r="AP304">
        <f ca="1"/>
      </c>
      <c r="AQ304">
        <f ca="1"/>
      </c>
      <c r="AR304">
        <f ca="1"/>
      </c>
      <c r="AS304">
        <f ca="1"/>
      </c>
      <c r="AT304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AZ304">
        <f ca="1"/>
      </c>
      <c r="BA304">
        <f ca="1"/>
      </c>
      <c r="BB304">
        <f ca="1"/>
      </c>
      <c r="BC304">
        <f ca="1"/>
      </c>
      <c r="BD304">
        <f ca="1"/>
      </c>
      <c r="BE304">
        <f ca="1"/>
      </c>
      <c r="BF304">
        <f ca="1"/>
      </c>
      <c r="BG304">
        <f ca="1"/>
      </c>
      <c r="BH304">
        <f ca="1"/>
      </c>
      <c r="BI304">
        <f ca="1"/>
      </c>
      <c r="BJ304">
        <f ca="1"/>
      </c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F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M304" s="7"/>
    </row>
    <row r="305" spans="41:195" x14ac:dyDescent="0.55000000000000004">
      <c r="AO305">
        <f ca="1"/>
      </c>
      <c r="AP305">
        <f ca="1"/>
      </c>
      <c r="AQ305">
        <f ca="1"/>
      </c>
      <c r="AR305">
        <f ca="1"/>
      </c>
      <c r="AS305">
        <f ca="1"/>
      </c>
      <c r="AT305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AZ305">
        <f ca="1"/>
      </c>
      <c r="BA305">
        <f ca="1"/>
      </c>
      <c r="BB305">
        <f ca="1"/>
      </c>
      <c r="BC305">
        <f ca="1"/>
      </c>
      <c r="BD305">
        <f ca="1"/>
      </c>
      <c r="BE305">
        <f ca="1"/>
      </c>
      <c r="BF305">
        <f ca="1"/>
      </c>
      <c r="BG305">
        <f ca="1"/>
      </c>
      <c r="BH305">
        <f ca="1"/>
      </c>
      <c r="BI305">
        <f ca="1"/>
      </c>
      <c r="BJ305">
        <f ca="1"/>
      </c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F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M305" s="7"/>
    </row>
    <row r="306" spans="41:195" x14ac:dyDescent="0.55000000000000004">
      <c r="AO306">
        <f ca="1"/>
      </c>
      <c r="AP306">
        <f ca="1"/>
      </c>
      <c r="AQ306">
        <f ca="1"/>
      </c>
      <c r="AR306">
        <f ca="1"/>
      </c>
      <c r="AS306">
        <f ca="1"/>
      </c>
      <c r="AT306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AZ306">
        <f ca="1"/>
      </c>
      <c r="BA306">
        <f ca="1"/>
      </c>
      <c r="BB306">
        <f ca="1"/>
      </c>
      <c r="BC306">
        <f ca="1"/>
      </c>
      <c r="BD306">
        <f ca="1"/>
      </c>
      <c r="BE306">
        <f ca="1"/>
      </c>
      <c r="BF306">
        <f ca="1"/>
      </c>
      <c r="BG306">
        <f ca="1"/>
      </c>
      <c r="BH306">
        <f ca="1"/>
      </c>
      <c r="BI306">
        <f ca="1"/>
      </c>
      <c r="BJ306">
        <f ca="1"/>
      </c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F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M306" s="7"/>
    </row>
    <row r="307" spans="41:195" x14ac:dyDescent="0.55000000000000004">
      <c r="AO307">
        <f ca="1"/>
      </c>
      <c r="AP307">
        <f ca="1"/>
      </c>
      <c r="AQ307">
        <f ca="1"/>
      </c>
      <c r="AR307">
        <f ca="1"/>
      </c>
      <c r="AS307">
        <f ca="1"/>
      </c>
      <c r="AT30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AZ307">
        <f ca="1"/>
      </c>
      <c r="BA307">
        <f ca="1"/>
      </c>
      <c r="BB307">
        <f ca="1"/>
      </c>
      <c r="BC307">
        <f ca="1"/>
      </c>
      <c r="BD307">
        <f ca="1"/>
      </c>
      <c r="BE307">
        <f ca="1"/>
      </c>
      <c r="BF307">
        <f ca="1"/>
      </c>
      <c r="BG307">
        <f ca="1"/>
      </c>
      <c r="BH307">
        <f ca="1"/>
      </c>
      <c r="BI307">
        <f ca="1"/>
      </c>
      <c r="BJ307">
        <f ca="1"/>
      </c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F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M307" s="7"/>
    </row>
    <row r="308" spans="41:195" x14ac:dyDescent="0.55000000000000004">
      <c r="AO308">
        <f ca="1"/>
      </c>
      <c r="AP308">
        <f ca="1"/>
      </c>
      <c r="AQ308">
        <f ca="1"/>
      </c>
      <c r="AR308">
        <f ca="1"/>
      </c>
      <c r="AS308">
        <f ca="1"/>
      </c>
      <c r="AT308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AZ308">
        <f ca="1"/>
      </c>
      <c r="BA308">
        <f ca="1"/>
      </c>
      <c r="BB308">
        <f ca="1"/>
      </c>
      <c r="BC308">
        <f ca="1"/>
      </c>
      <c r="BD308">
        <f ca="1"/>
      </c>
      <c r="BE308">
        <f ca="1"/>
      </c>
      <c r="BF308">
        <f ca="1"/>
      </c>
      <c r="BG308">
        <f ca="1"/>
      </c>
      <c r="BH308">
        <f ca="1"/>
      </c>
      <c r="BI308">
        <f ca="1"/>
      </c>
      <c r="BJ308">
        <f ca="1"/>
      </c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F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M308" s="7"/>
    </row>
    <row r="309" spans="41:195" x14ac:dyDescent="0.55000000000000004">
      <c r="AO309">
        <f ca="1"/>
      </c>
      <c r="AP309">
        <f ca="1"/>
      </c>
      <c r="AQ309">
        <f ca="1"/>
      </c>
      <c r="AR309">
        <f ca="1"/>
      </c>
      <c r="AS309">
        <f ca="1"/>
      </c>
      <c r="AT309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AZ309">
        <f ca="1"/>
      </c>
      <c r="BA309">
        <f ca="1"/>
      </c>
      <c r="BB309">
        <f ca="1"/>
      </c>
      <c r="BC309">
        <f ca="1"/>
      </c>
      <c r="BD309">
        <f ca="1"/>
      </c>
      <c r="BE309">
        <f ca="1"/>
      </c>
      <c r="BF309">
        <f ca="1"/>
      </c>
      <c r="BG309">
        <f ca="1"/>
      </c>
      <c r="BH309">
        <f ca="1"/>
      </c>
      <c r="BI309">
        <f ca="1"/>
      </c>
      <c r="BJ309">
        <f ca="1"/>
      </c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F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M309" s="7"/>
    </row>
    <row r="310" spans="41:195" x14ac:dyDescent="0.55000000000000004">
      <c r="AO310">
        <f ca="1"/>
      </c>
      <c r="AP310">
        <f ca="1"/>
      </c>
      <c r="AQ310">
        <f ca="1"/>
      </c>
      <c r="AR310">
        <f ca="1"/>
      </c>
      <c r="AS310">
        <f ca="1"/>
      </c>
      <c r="AT310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AZ310">
        <f ca="1"/>
      </c>
      <c r="BA310">
        <f ca="1"/>
      </c>
      <c r="BB310">
        <f ca="1"/>
      </c>
      <c r="BC310">
        <f ca="1"/>
      </c>
      <c r="BD310">
        <f ca="1"/>
      </c>
      <c r="BE310">
        <f ca="1"/>
      </c>
      <c r="BF310">
        <f ca="1"/>
      </c>
      <c r="BG310">
        <f ca="1"/>
      </c>
      <c r="BH310">
        <f ca="1"/>
      </c>
      <c r="BI310">
        <f ca="1"/>
      </c>
      <c r="BJ310">
        <f ca="1"/>
      </c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F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M310" s="7"/>
    </row>
    <row r="311" spans="41:195" x14ac:dyDescent="0.55000000000000004">
      <c r="AO311">
        <f ca="1"/>
      </c>
      <c r="AP311">
        <f ca="1"/>
      </c>
      <c r="AQ311">
        <f ca="1"/>
      </c>
      <c r="AR311">
        <f ca="1"/>
      </c>
      <c r="AS311">
        <f ca="1"/>
      </c>
      <c r="AT311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AZ311">
        <f ca="1"/>
      </c>
      <c r="BA311">
        <f ca="1"/>
      </c>
      <c r="BB311">
        <f ca="1"/>
      </c>
      <c r="BC311">
        <f ca="1"/>
      </c>
      <c r="BD311">
        <f ca="1"/>
      </c>
      <c r="BE311">
        <f ca="1"/>
      </c>
      <c r="BF311">
        <f ca="1"/>
      </c>
      <c r="BG311">
        <f ca="1"/>
      </c>
      <c r="BH311">
        <f ca="1"/>
      </c>
      <c r="BI311">
        <f ca="1"/>
      </c>
      <c r="BJ311">
        <f ca="1"/>
      </c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F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M311" s="7"/>
    </row>
    <row r="312" spans="41:195" x14ac:dyDescent="0.55000000000000004">
      <c r="AO312">
        <f ca="1"/>
      </c>
      <c r="AP312">
        <f ca="1"/>
      </c>
      <c r="AQ312">
        <f ca="1"/>
      </c>
      <c r="AR312">
        <f ca="1"/>
      </c>
      <c r="AS312">
        <f ca="1"/>
      </c>
      <c r="AT312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AZ312">
        <f ca="1"/>
      </c>
      <c r="BA312">
        <f ca="1"/>
      </c>
      <c r="BB312">
        <f ca="1"/>
      </c>
      <c r="BC312">
        <f ca="1"/>
      </c>
      <c r="BD312">
        <f ca="1"/>
      </c>
      <c r="BE312">
        <f ca="1"/>
      </c>
      <c r="BF312">
        <f ca="1"/>
      </c>
      <c r="BG312">
        <f ca="1"/>
      </c>
      <c r="BH312">
        <f ca="1"/>
      </c>
      <c r="BI312">
        <f ca="1"/>
      </c>
      <c r="BJ312">
        <f ca="1"/>
      </c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F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M312" s="7"/>
    </row>
    <row r="313" spans="41:195" x14ac:dyDescent="0.55000000000000004">
      <c r="AO313">
        <f ca="1"/>
      </c>
      <c r="AP313">
        <f ca="1"/>
      </c>
      <c r="AQ313">
        <f ca="1"/>
      </c>
      <c r="AR313">
        <f ca="1"/>
      </c>
      <c r="AS313">
        <f ca="1"/>
      </c>
      <c r="AT313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AZ313">
        <f ca="1"/>
      </c>
      <c r="BA313">
        <f ca="1"/>
      </c>
      <c r="BB313">
        <f ca="1"/>
      </c>
      <c r="BC313">
        <f ca="1"/>
      </c>
      <c r="BD313">
        <f ca="1"/>
      </c>
      <c r="BE313">
        <f ca="1"/>
      </c>
      <c r="BF313">
        <f ca="1"/>
      </c>
      <c r="BG313">
        <f ca="1"/>
      </c>
      <c r="BH313">
        <f ca="1"/>
      </c>
      <c r="BI313">
        <f ca="1"/>
      </c>
      <c r="BJ313">
        <f ca="1"/>
      </c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F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M313" s="7"/>
    </row>
    <row r="314" spans="41:195" x14ac:dyDescent="0.55000000000000004">
      <c r="AO314">
        <f ca="1"/>
      </c>
      <c r="AP314">
        <f ca="1"/>
      </c>
      <c r="AQ314">
        <f ca="1"/>
      </c>
      <c r="AR314">
        <f ca="1"/>
      </c>
      <c r="AS314">
        <f ca="1"/>
      </c>
      <c r="AT314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AZ314">
        <f ca="1"/>
      </c>
      <c r="BA314">
        <f ca="1"/>
      </c>
      <c r="BB314">
        <f ca="1"/>
      </c>
      <c r="BC314">
        <f ca="1"/>
      </c>
      <c r="BD314">
        <f ca="1"/>
      </c>
      <c r="BE314">
        <f ca="1"/>
      </c>
      <c r="BF314">
        <f ca="1"/>
      </c>
      <c r="BG314">
        <f ca="1"/>
      </c>
      <c r="BH314">
        <f ca="1"/>
      </c>
      <c r="BI314">
        <f ca="1"/>
      </c>
      <c r="BJ314">
        <f ca="1"/>
      </c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F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M314" s="7"/>
    </row>
    <row r="315" spans="41:195" x14ac:dyDescent="0.55000000000000004">
      <c r="AO315">
        <f ca="1"/>
      </c>
      <c r="AP315">
        <f ca="1"/>
      </c>
      <c r="AQ315">
        <f ca="1"/>
      </c>
      <c r="AR315">
        <f ca="1"/>
      </c>
      <c r="AS315">
        <f ca="1"/>
      </c>
      <c r="AT315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AZ315">
        <f ca="1"/>
      </c>
      <c r="BA315">
        <f ca="1"/>
      </c>
      <c r="BB315">
        <f ca="1"/>
      </c>
      <c r="BC315">
        <f ca="1"/>
      </c>
      <c r="BD315">
        <f ca="1"/>
      </c>
      <c r="BE315">
        <f ca="1"/>
      </c>
      <c r="BF315">
        <f ca="1"/>
      </c>
      <c r="BG315">
        <f ca="1"/>
      </c>
      <c r="BH315">
        <f ca="1"/>
      </c>
      <c r="BI315">
        <f ca="1"/>
      </c>
      <c r="BJ315">
        <f ca="1"/>
      </c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F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M315" s="7"/>
    </row>
    <row r="316" spans="41:195" x14ac:dyDescent="0.55000000000000004">
      <c r="AO316">
        <f ca="1"/>
      </c>
      <c r="AP316">
        <f ca="1"/>
      </c>
      <c r="AQ316">
        <f ca="1"/>
      </c>
      <c r="AR316">
        <f ca="1"/>
      </c>
      <c r="AS316">
        <f ca="1"/>
      </c>
      <c r="AT316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AZ316">
        <f ca="1"/>
      </c>
      <c r="BA316">
        <f ca="1"/>
      </c>
      <c r="BB316">
        <f ca="1"/>
      </c>
      <c r="BC316">
        <f ca="1"/>
      </c>
      <c r="BD316">
        <f ca="1"/>
      </c>
      <c r="BE316">
        <f ca="1"/>
      </c>
      <c r="BF316">
        <f ca="1"/>
      </c>
      <c r="BG316">
        <f ca="1"/>
      </c>
      <c r="BH316">
        <f ca="1"/>
      </c>
      <c r="BI316">
        <f ca="1"/>
      </c>
      <c r="BJ316">
        <f ca="1"/>
      </c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F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M316" s="7"/>
    </row>
    <row r="317" spans="41:195" x14ac:dyDescent="0.55000000000000004">
      <c r="AO317">
        <f ca="1"/>
      </c>
      <c r="AP317">
        <f ca="1"/>
      </c>
      <c r="AQ317">
        <f ca="1"/>
      </c>
      <c r="AR317">
        <f ca="1"/>
      </c>
      <c r="AS317">
        <f ca="1"/>
      </c>
      <c r="AT31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AZ317">
        <f ca="1"/>
      </c>
      <c r="BA317">
        <f ca="1"/>
      </c>
      <c r="BB317">
        <f ca="1"/>
      </c>
      <c r="BC317">
        <f ca="1"/>
      </c>
      <c r="BD317">
        <f ca="1"/>
      </c>
      <c r="BE317">
        <f ca="1"/>
      </c>
      <c r="BF317">
        <f ca="1"/>
      </c>
      <c r="BG317">
        <f ca="1"/>
      </c>
      <c r="BH317">
        <f ca="1"/>
      </c>
      <c r="BI317">
        <f ca="1"/>
      </c>
      <c r="BJ317">
        <f ca="1"/>
      </c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F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M317" s="7"/>
    </row>
    <row r="318" spans="41:195" x14ac:dyDescent="0.55000000000000004">
      <c r="AO318">
        <f ca="1"/>
      </c>
      <c r="AP318">
        <f ca="1"/>
      </c>
      <c r="AQ318">
        <f ca="1"/>
      </c>
      <c r="AR318">
        <f ca="1"/>
      </c>
      <c r="AS318">
        <f ca="1"/>
      </c>
      <c r="AT318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AZ318">
        <f ca="1"/>
      </c>
      <c r="BA318">
        <f ca="1"/>
      </c>
      <c r="BB318">
        <f ca="1"/>
      </c>
      <c r="BC318">
        <f ca="1"/>
      </c>
      <c r="BD318">
        <f ca="1"/>
      </c>
      <c r="BE318">
        <f ca="1"/>
      </c>
      <c r="BF318">
        <f ca="1"/>
      </c>
      <c r="BG318">
        <f ca="1"/>
      </c>
      <c r="BH318">
        <f ca="1"/>
      </c>
      <c r="BI318">
        <f ca="1"/>
      </c>
      <c r="BJ318">
        <f ca="1"/>
      </c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F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M318" s="7"/>
    </row>
    <row r="319" spans="41:195" x14ac:dyDescent="0.55000000000000004">
      <c r="AO319">
        <f ca="1"/>
      </c>
      <c r="AP319">
        <f ca="1"/>
      </c>
      <c r="AQ319">
        <f ca="1"/>
      </c>
      <c r="AR319">
        <f ca="1"/>
      </c>
      <c r="AS319">
        <f ca="1"/>
      </c>
      <c r="AT319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AZ319">
        <f ca="1"/>
      </c>
      <c r="BA319">
        <f ca="1"/>
      </c>
      <c r="BB319">
        <f ca="1"/>
      </c>
      <c r="BC319">
        <f ca="1"/>
      </c>
      <c r="BD319">
        <f ca="1"/>
      </c>
      <c r="BE319">
        <f ca="1"/>
      </c>
      <c r="BF319">
        <f ca="1"/>
      </c>
      <c r="BG319">
        <f ca="1"/>
      </c>
      <c r="BH319">
        <f ca="1"/>
      </c>
      <c r="BI319">
        <f ca="1"/>
      </c>
      <c r="BJ319">
        <f ca="1"/>
      </c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F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M319" s="7"/>
    </row>
    <row r="320" spans="41:195" x14ac:dyDescent="0.55000000000000004">
      <c r="AO320">
        <f ca="1"/>
      </c>
      <c r="AP320">
        <f ca="1"/>
      </c>
      <c r="AQ320">
        <f ca="1"/>
      </c>
      <c r="AR320">
        <f ca="1"/>
      </c>
      <c r="AS320">
        <f ca="1"/>
      </c>
      <c r="AT320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AZ320">
        <f ca="1"/>
      </c>
      <c r="BA320">
        <f ca="1"/>
      </c>
      <c r="BB320">
        <f ca="1"/>
      </c>
      <c r="BC320">
        <f ca="1"/>
      </c>
      <c r="BD320">
        <f ca="1"/>
      </c>
      <c r="BE320">
        <f ca="1"/>
      </c>
      <c r="BF320">
        <f ca="1"/>
      </c>
      <c r="BG320">
        <f ca="1"/>
      </c>
      <c r="BH320">
        <f ca="1"/>
      </c>
      <c r="BI320">
        <f ca="1"/>
      </c>
      <c r="BJ320">
        <f ca="1"/>
      </c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F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M320" s="7"/>
    </row>
    <row r="321" spans="41:195" x14ac:dyDescent="0.55000000000000004">
      <c r="AO321">
        <f ca="1"/>
      </c>
      <c r="AP321">
        <f ca="1"/>
      </c>
      <c r="AQ321">
        <f ca="1"/>
      </c>
      <c r="AR321">
        <f ca="1"/>
      </c>
      <c r="AS321">
        <f ca="1"/>
      </c>
      <c r="AT321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AZ321">
        <f ca="1"/>
      </c>
      <c r="BA321">
        <f ca="1"/>
      </c>
      <c r="BB321">
        <f ca="1"/>
      </c>
      <c r="BC321">
        <f ca="1"/>
      </c>
      <c r="BD321">
        <f ca="1"/>
      </c>
      <c r="BE321">
        <f ca="1"/>
      </c>
      <c r="BF321">
        <f ca="1"/>
      </c>
      <c r="BG321">
        <f ca="1"/>
      </c>
      <c r="BH321">
        <f ca="1"/>
      </c>
      <c r="BI321">
        <f ca="1"/>
      </c>
      <c r="BJ321">
        <f ca="1"/>
      </c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F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M321" s="7"/>
    </row>
    <row r="322" spans="41:195" x14ac:dyDescent="0.55000000000000004">
      <c r="AO322">
        <f ca="1"/>
      </c>
      <c r="AP322">
        <f ca="1"/>
      </c>
      <c r="AQ322">
        <f ca="1"/>
      </c>
      <c r="AR322">
        <f ca="1"/>
      </c>
      <c r="AS322">
        <f ca="1"/>
      </c>
      <c r="AT322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AZ322">
        <f ca="1"/>
      </c>
      <c r="BA322">
        <f ca="1"/>
      </c>
      <c r="BB322">
        <f ca="1"/>
      </c>
      <c r="BC322">
        <f ca="1"/>
      </c>
      <c r="BD322">
        <f ca="1"/>
      </c>
      <c r="BE322">
        <f ca="1"/>
      </c>
      <c r="BF322">
        <f ca="1"/>
      </c>
      <c r="BG322">
        <f ca="1"/>
      </c>
      <c r="BH322">
        <f ca="1"/>
      </c>
      <c r="BI322">
        <f ca="1"/>
      </c>
      <c r="BJ322">
        <f ca="1"/>
      </c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F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B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M322" s="7"/>
    </row>
    <row r="323" spans="41:195" x14ac:dyDescent="0.55000000000000004">
      <c r="AO323">
        <f ca="1"/>
      </c>
      <c r="AP323">
        <f ca="1"/>
      </c>
      <c r="AQ323">
        <f ca="1"/>
      </c>
      <c r="AR323">
        <f ca="1"/>
      </c>
      <c r="AS323">
        <f ca="1"/>
      </c>
      <c r="AT323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AZ323">
        <f ca="1"/>
      </c>
      <c r="BA323">
        <f ca="1"/>
      </c>
      <c r="BB323">
        <f ca="1"/>
      </c>
      <c r="BC323">
        <f ca="1"/>
      </c>
      <c r="BD323">
        <f ca="1"/>
      </c>
      <c r="BE323">
        <f ca="1"/>
      </c>
      <c r="BF323">
        <f ca="1"/>
      </c>
      <c r="BG323">
        <f ca="1"/>
      </c>
      <c r="BH323">
        <f ca="1"/>
      </c>
      <c r="BI323">
        <f ca="1"/>
      </c>
      <c r="BJ323">
        <f ca="1"/>
      </c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F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B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M323" s="7"/>
    </row>
    <row r="324" spans="41:195" x14ac:dyDescent="0.55000000000000004">
      <c r="AO324">
        <f ca="1"/>
      </c>
      <c r="AP324">
        <f ca="1"/>
      </c>
      <c r="AQ324">
        <f ca="1"/>
      </c>
      <c r="AR324">
        <f ca="1"/>
      </c>
      <c r="AS324">
        <f ca="1"/>
      </c>
      <c r="AT324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AZ324">
        <f ca="1"/>
      </c>
      <c r="BA324">
        <f ca="1"/>
      </c>
      <c r="BB324">
        <f ca="1"/>
      </c>
      <c r="BC324">
        <f ca="1"/>
      </c>
      <c r="BD324">
        <f ca="1"/>
      </c>
      <c r="BE324">
        <f ca="1"/>
      </c>
      <c r="BF324">
        <f ca="1"/>
      </c>
      <c r="BG324">
        <f ca="1"/>
      </c>
      <c r="BH324">
        <f ca="1"/>
      </c>
      <c r="BI324">
        <f ca="1"/>
      </c>
      <c r="BJ324">
        <f ca="1"/>
      </c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F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B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M324" s="7"/>
    </row>
    <row r="325" spans="41:195" x14ac:dyDescent="0.55000000000000004">
      <c r="AO325">
        <f ca="1"/>
      </c>
      <c r="AP325">
        <f ca="1"/>
      </c>
      <c r="AQ325">
        <f ca="1"/>
      </c>
      <c r="AR325">
        <f ca="1"/>
      </c>
      <c r="AS325">
        <f ca="1"/>
      </c>
      <c r="AT325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AZ325">
        <f ca="1"/>
      </c>
      <c r="BA325">
        <f ca="1"/>
      </c>
      <c r="BB325">
        <f ca="1"/>
      </c>
      <c r="BC325">
        <f ca="1"/>
      </c>
      <c r="BD325">
        <f ca="1"/>
      </c>
      <c r="BE325">
        <f ca="1"/>
      </c>
      <c r="BF325">
        <f ca="1"/>
      </c>
      <c r="BG325">
        <f ca="1"/>
      </c>
      <c r="BH325">
        <f ca="1"/>
      </c>
      <c r="BI325">
        <f ca="1"/>
      </c>
      <c r="BJ325">
        <f ca="1"/>
      </c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F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B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M325" s="7"/>
    </row>
    <row r="326" spans="41:195" x14ac:dyDescent="0.55000000000000004">
      <c r="AO326">
        <f ca="1"/>
      </c>
      <c r="AP326">
        <f ca="1"/>
      </c>
      <c r="AQ326">
        <f ca="1"/>
      </c>
      <c r="AR326">
        <f ca="1"/>
      </c>
      <c r="AS326">
        <f ca="1"/>
      </c>
      <c r="AT326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AZ326">
        <f ca="1"/>
      </c>
      <c r="BA326">
        <f ca="1"/>
      </c>
      <c r="BB326">
        <f ca="1"/>
      </c>
      <c r="BC326">
        <f ca="1"/>
      </c>
      <c r="BD326">
        <f ca="1"/>
      </c>
      <c r="BE326">
        <f ca="1"/>
      </c>
      <c r="BF326">
        <f ca="1"/>
      </c>
      <c r="BG326">
        <f ca="1"/>
      </c>
      <c r="BH326">
        <f ca="1"/>
      </c>
      <c r="BI326">
        <f ca="1"/>
      </c>
      <c r="BJ326">
        <f ca="1"/>
      </c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F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B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M326" s="7"/>
    </row>
    <row r="327" spans="41:195" x14ac:dyDescent="0.55000000000000004">
      <c r="AO327">
        <f ca="1"/>
      </c>
      <c r="AP327">
        <f ca="1"/>
      </c>
      <c r="AQ327">
        <f ca="1"/>
      </c>
      <c r="AR327">
        <f ca="1"/>
      </c>
      <c r="AS327">
        <f ca="1"/>
      </c>
      <c r="AT32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AZ327">
        <f ca="1"/>
      </c>
      <c r="BA327">
        <f ca="1"/>
      </c>
      <c r="BB327">
        <f ca="1"/>
      </c>
      <c r="BC327">
        <f ca="1"/>
      </c>
      <c r="BD327">
        <f ca="1"/>
      </c>
      <c r="BE327">
        <f ca="1"/>
      </c>
      <c r="BF327">
        <f ca="1"/>
      </c>
      <c r="BG327">
        <f ca="1"/>
      </c>
      <c r="BH327">
        <f ca="1"/>
      </c>
      <c r="BI327">
        <f ca="1"/>
      </c>
      <c r="BJ327">
        <f ca="1"/>
      </c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F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B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M327" s="7"/>
    </row>
    <row r="328" spans="41:195" x14ac:dyDescent="0.55000000000000004">
      <c r="AO328">
        <f ca="1"/>
      </c>
      <c r="AP328">
        <f ca="1"/>
      </c>
      <c r="AQ328">
        <f ca="1"/>
      </c>
      <c r="AR328">
        <f ca="1"/>
      </c>
      <c r="AS328">
        <f ca="1"/>
      </c>
      <c r="AT328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AZ328">
        <f ca="1"/>
      </c>
      <c r="BA328">
        <f ca="1"/>
      </c>
      <c r="BB328">
        <f ca="1"/>
      </c>
      <c r="BC328">
        <f ca="1"/>
      </c>
      <c r="BD328">
        <f ca="1"/>
      </c>
      <c r="BE328">
        <f ca="1"/>
      </c>
      <c r="BF328">
        <f ca="1"/>
      </c>
      <c r="BG328">
        <f ca="1"/>
      </c>
      <c r="BH328">
        <f ca="1"/>
      </c>
      <c r="BI328">
        <f ca="1"/>
      </c>
      <c r="BJ328">
        <f ca="1"/>
      </c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F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B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M328" s="7"/>
    </row>
    <row r="329" spans="41:195" x14ac:dyDescent="0.55000000000000004">
      <c r="AO329">
        <f ca="1"/>
      </c>
      <c r="AP329">
        <f ca="1"/>
      </c>
      <c r="AQ329">
        <f ca="1"/>
      </c>
      <c r="AR329">
        <f ca="1"/>
      </c>
      <c r="AS329">
        <f ca="1"/>
      </c>
      <c r="AT329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AZ329">
        <f ca="1"/>
      </c>
      <c r="BA329">
        <f ca="1"/>
      </c>
      <c r="BB329">
        <f ca="1"/>
      </c>
      <c r="BC329">
        <f ca="1"/>
      </c>
      <c r="BD329">
        <f ca="1"/>
      </c>
      <c r="BE329">
        <f ca="1"/>
      </c>
      <c r="BF329">
        <f ca="1"/>
      </c>
      <c r="BG329">
        <f ca="1"/>
      </c>
      <c r="BH329">
        <f ca="1"/>
      </c>
      <c r="BI329">
        <f ca="1"/>
      </c>
      <c r="BJ329">
        <f ca="1"/>
      </c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F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B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M329" s="7"/>
    </row>
    <row r="330" spans="41:195" x14ac:dyDescent="0.55000000000000004">
      <c r="AO330">
        <f ca="1"/>
      </c>
      <c r="AP330">
        <f ca="1"/>
      </c>
      <c r="AQ330">
        <f ca="1"/>
      </c>
      <c r="AR330">
        <f ca="1"/>
      </c>
      <c r="AS330">
        <f ca="1"/>
      </c>
      <c r="AT330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AZ330">
        <f ca="1"/>
      </c>
      <c r="BA330">
        <f ca="1"/>
      </c>
      <c r="BB330">
        <f ca="1"/>
      </c>
      <c r="BC330">
        <f ca="1"/>
      </c>
      <c r="BD330">
        <f ca="1"/>
      </c>
      <c r="BE330">
        <f ca="1"/>
      </c>
      <c r="BF330">
        <f ca="1"/>
      </c>
      <c r="BG330">
        <f ca="1"/>
      </c>
      <c r="BH330">
        <f ca="1"/>
      </c>
      <c r="BI330">
        <f ca="1"/>
      </c>
      <c r="BJ330">
        <f ca="1"/>
      </c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F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B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M330" s="7"/>
    </row>
    <row r="331" spans="41:195" x14ac:dyDescent="0.55000000000000004">
      <c r="AO331">
        <f ca="1"/>
      </c>
      <c r="AP331">
        <f ca="1"/>
      </c>
      <c r="AQ331">
        <f ca="1"/>
      </c>
      <c r="AR331">
        <f ca="1"/>
      </c>
      <c r="AS331">
        <f ca="1"/>
      </c>
      <c r="AT331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AZ331">
        <f ca="1"/>
      </c>
      <c r="BA331">
        <f ca="1"/>
      </c>
      <c r="BB331">
        <f ca="1"/>
      </c>
      <c r="BC331">
        <f ca="1"/>
      </c>
      <c r="BD331">
        <f ca="1"/>
      </c>
      <c r="BE331">
        <f ca="1"/>
      </c>
      <c r="BF331">
        <f ca="1"/>
      </c>
      <c r="BG331">
        <f ca="1"/>
      </c>
      <c r="BH331">
        <f ca="1"/>
      </c>
      <c r="BI331">
        <f ca="1"/>
      </c>
      <c r="BJ331">
        <f ca="1"/>
      </c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F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B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M331" s="7"/>
    </row>
    <row r="332" spans="41:195" x14ac:dyDescent="0.55000000000000004">
      <c r="AO332">
        <f ca="1"/>
      </c>
      <c r="AP332">
        <f ca="1"/>
      </c>
      <c r="AQ332">
        <f ca="1"/>
      </c>
      <c r="AR332">
        <f ca="1"/>
      </c>
      <c r="AS332">
        <f ca="1"/>
      </c>
      <c r="AT332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AZ332">
        <f ca="1"/>
      </c>
      <c r="BA332">
        <f ca="1"/>
      </c>
      <c r="BB332">
        <f ca="1"/>
      </c>
      <c r="BC332">
        <f ca="1"/>
      </c>
      <c r="BD332">
        <f ca="1"/>
      </c>
      <c r="BE332">
        <f ca="1"/>
      </c>
      <c r="BF332">
        <f ca="1"/>
      </c>
      <c r="BG332">
        <f ca="1"/>
      </c>
      <c r="BH332">
        <f ca="1"/>
      </c>
      <c r="BI332">
        <f ca="1"/>
      </c>
      <c r="BJ332">
        <f ca="1"/>
      </c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F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B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M332" s="7"/>
    </row>
    <row r="333" spans="41:195" x14ac:dyDescent="0.55000000000000004">
      <c r="AO333">
        <f ca="1"/>
      </c>
      <c r="AP333">
        <f ca="1"/>
      </c>
      <c r="AQ333">
        <f ca="1"/>
      </c>
      <c r="AR333">
        <f ca="1"/>
      </c>
      <c r="AS333">
        <f ca="1"/>
      </c>
      <c r="AT333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AZ333">
        <f ca="1"/>
      </c>
      <c r="BA333">
        <f ca="1"/>
      </c>
      <c r="BB333">
        <f ca="1"/>
      </c>
      <c r="BC333">
        <f ca="1"/>
      </c>
      <c r="BD333">
        <f ca="1"/>
      </c>
      <c r="BE333">
        <f ca="1"/>
      </c>
      <c r="BF333">
        <f ca="1"/>
      </c>
      <c r="BG333">
        <f ca="1"/>
      </c>
      <c r="BH333">
        <f ca="1"/>
      </c>
      <c r="BI333">
        <f ca="1"/>
      </c>
      <c r="BJ333">
        <f ca="1"/>
      </c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F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B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M333" s="7"/>
    </row>
    <row r="334" spans="41:195" x14ac:dyDescent="0.55000000000000004">
      <c r="AO334">
        <f ca="1"/>
      </c>
      <c r="AP334">
        <f ca="1"/>
      </c>
      <c r="AQ334">
        <f ca="1"/>
      </c>
      <c r="AR334">
        <f ca="1"/>
      </c>
      <c r="AS334">
        <f ca="1"/>
      </c>
      <c r="AT334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AZ334">
        <f ca="1"/>
      </c>
      <c r="BA334">
        <f ca="1"/>
      </c>
      <c r="BB334">
        <f ca="1"/>
      </c>
      <c r="BC334">
        <f ca="1"/>
      </c>
      <c r="BD334">
        <f ca="1"/>
      </c>
      <c r="BE334">
        <f ca="1"/>
      </c>
      <c r="BF334">
        <f ca="1"/>
      </c>
      <c r="BG334">
        <f ca="1"/>
      </c>
      <c r="BH334">
        <f ca="1"/>
      </c>
      <c r="BI334">
        <f ca="1"/>
      </c>
      <c r="BJ334">
        <f ca="1"/>
      </c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F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B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M334" s="7"/>
    </row>
    <row r="335" spans="41:195" x14ac:dyDescent="0.55000000000000004">
      <c r="AO335">
        <f ca="1"/>
      </c>
      <c r="AP335">
        <f ca="1"/>
      </c>
      <c r="AQ335">
        <f ca="1"/>
      </c>
      <c r="AR335">
        <f ca="1"/>
      </c>
      <c r="AS335">
        <f ca="1"/>
      </c>
      <c r="AT335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AZ335">
        <f ca="1"/>
      </c>
      <c r="BA335">
        <f ca="1"/>
      </c>
      <c r="BB335">
        <f ca="1"/>
      </c>
      <c r="BC335">
        <f ca="1"/>
      </c>
      <c r="BD335">
        <f ca="1"/>
      </c>
      <c r="BE335">
        <f ca="1"/>
      </c>
      <c r="BF335">
        <f ca="1"/>
      </c>
      <c r="BG335">
        <f ca="1"/>
      </c>
      <c r="BH335">
        <f ca="1"/>
      </c>
      <c r="BI335">
        <f ca="1"/>
      </c>
      <c r="BJ335">
        <f ca="1"/>
      </c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F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B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M335" s="7"/>
    </row>
    <row r="336" spans="41:195" x14ac:dyDescent="0.55000000000000004">
      <c r="AO336">
        <f ca="1"/>
      </c>
      <c r="AP336">
        <f ca="1"/>
      </c>
      <c r="AQ336">
        <f ca="1"/>
      </c>
      <c r="AR336">
        <f ca="1"/>
      </c>
      <c r="AS336">
        <f ca="1"/>
      </c>
      <c r="AT336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AZ336">
        <f ca="1"/>
      </c>
      <c r="BA336">
        <f ca="1"/>
      </c>
      <c r="BB336">
        <f ca="1"/>
      </c>
      <c r="BC336">
        <f ca="1"/>
      </c>
      <c r="BD336">
        <f ca="1"/>
      </c>
      <c r="BE336">
        <f ca="1"/>
      </c>
      <c r="BF336">
        <f ca="1"/>
      </c>
      <c r="BG336">
        <f ca="1"/>
      </c>
      <c r="BH336">
        <f ca="1"/>
      </c>
      <c r="BI336">
        <f ca="1"/>
      </c>
      <c r="BJ336">
        <f ca="1"/>
      </c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F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B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M336" s="7"/>
    </row>
    <row r="337" spans="41:195" x14ac:dyDescent="0.55000000000000004">
      <c r="AO337">
        <f ca="1"/>
      </c>
      <c r="AP337">
        <f ca="1"/>
      </c>
      <c r="AQ337">
        <f ca="1"/>
      </c>
      <c r="AR337">
        <f ca="1"/>
      </c>
      <c r="AS337">
        <f ca="1"/>
      </c>
      <c r="AT33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AZ337">
        <f ca="1"/>
      </c>
      <c r="BA337">
        <f ca="1"/>
      </c>
      <c r="BB337">
        <f ca="1"/>
      </c>
      <c r="BC337">
        <f ca="1"/>
      </c>
      <c r="BD337">
        <f ca="1"/>
      </c>
      <c r="BE337">
        <f ca="1"/>
      </c>
      <c r="BF337">
        <f ca="1"/>
      </c>
      <c r="BG337">
        <f ca="1"/>
      </c>
      <c r="BH337">
        <f ca="1"/>
      </c>
      <c r="BI337">
        <f ca="1"/>
      </c>
      <c r="BJ337">
        <f ca="1"/>
      </c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F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B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M337" s="7"/>
    </row>
    <row r="338" spans="41:195" x14ac:dyDescent="0.55000000000000004">
      <c r="AO338">
        <f ca="1"/>
      </c>
      <c r="AP338">
        <f ca="1"/>
      </c>
      <c r="AQ338">
        <f ca="1"/>
      </c>
      <c r="AR338">
        <f ca="1"/>
      </c>
      <c r="AS338">
        <f ca="1"/>
      </c>
      <c r="AT338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AZ338">
        <f ca="1"/>
      </c>
      <c r="BA338">
        <f ca="1"/>
      </c>
      <c r="BB338">
        <f ca="1"/>
      </c>
      <c r="BC338">
        <f ca="1"/>
      </c>
      <c r="BD338">
        <f ca="1"/>
      </c>
      <c r="BE338">
        <f ca="1"/>
      </c>
      <c r="BF338">
        <f ca="1"/>
      </c>
      <c r="BG338">
        <f ca="1"/>
      </c>
      <c r="BH338">
        <f ca="1"/>
      </c>
      <c r="BI338">
        <f ca="1"/>
      </c>
      <c r="BJ338">
        <f ca="1"/>
      </c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F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B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M338" s="7"/>
    </row>
    <row r="339" spans="41:195" x14ac:dyDescent="0.55000000000000004">
      <c r="AO339">
        <f ca="1"/>
      </c>
      <c r="AP339">
        <f ca="1"/>
      </c>
      <c r="AQ339">
        <f ca="1"/>
      </c>
      <c r="AR339">
        <f ca="1"/>
      </c>
      <c r="AS339">
        <f ca="1"/>
      </c>
      <c r="AT339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AZ339">
        <f ca="1"/>
      </c>
      <c r="BA339">
        <f ca="1"/>
      </c>
      <c r="BB339">
        <f ca="1"/>
      </c>
      <c r="BC339">
        <f ca="1"/>
      </c>
      <c r="BD339">
        <f ca="1"/>
      </c>
      <c r="BE339">
        <f ca="1"/>
      </c>
      <c r="BF339">
        <f ca="1"/>
      </c>
      <c r="BG339">
        <f ca="1"/>
      </c>
      <c r="BH339">
        <f ca="1"/>
      </c>
      <c r="BI339">
        <f ca="1"/>
      </c>
      <c r="BJ339">
        <f ca="1"/>
      </c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F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B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M339" s="7"/>
    </row>
    <row r="340" spans="41:195" x14ac:dyDescent="0.55000000000000004">
      <c r="AO340">
        <f ca="1"/>
      </c>
      <c r="AP340">
        <f ca="1"/>
      </c>
      <c r="AQ340">
        <f ca="1"/>
      </c>
      <c r="AR340">
        <f ca="1"/>
      </c>
      <c r="AS340">
        <f ca="1"/>
      </c>
      <c r="AT340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AZ340">
        <f ca="1"/>
      </c>
      <c r="BA340">
        <f ca="1"/>
      </c>
      <c r="BB340">
        <f ca="1"/>
      </c>
      <c r="BC340">
        <f ca="1"/>
      </c>
      <c r="BD340">
        <f ca="1"/>
      </c>
      <c r="BE340">
        <f ca="1"/>
      </c>
      <c r="BF340">
        <f ca="1"/>
      </c>
      <c r="BG340">
        <f ca="1"/>
      </c>
      <c r="BH340">
        <f ca="1"/>
      </c>
      <c r="BI340">
        <f ca="1"/>
      </c>
      <c r="BJ340">
        <f ca="1"/>
      </c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F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B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M340" s="7"/>
    </row>
    <row r="341" spans="41:195" x14ac:dyDescent="0.55000000000000004">
      <c r="AO341">
        <f ca="1"/>
      </c>
      <c r="AP341">
        <f ca="1"/>
      </c>
      <c r="AQ341">
        <f ca="1"/>
      </c>
      <c r="AR341">
        <f ca="1"/>
      </c>
      <c r="AS341">
        <f ca="1"/>
      </c>
      <c r="AT341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AZ341">
        <f ca="1"/>
      </c>
      <c r="BA341">
        <f ca="1"/>
      </c>
      <c r="BB341">
        <f ca="1"/>
      </c>
      <c r="BC341">
        <f ca="1"/>
      </c>
      <c r="BD341">
        <f ca="1"/>
      </c>
      <c r="BE341">
        <f ca="1"/>
      </c>
      <c r="BF341">
        <f ca="1"/>
      </c>
      <c r="BG341">
        <f ca="1"/>
      </c>
      <c r="BH341">
        <f ca="1"/>
      </c>
      <c r="BI341">
        <f ca="1"/>
      </c>
      <c r="BJ341">
        <f ca="1"/>
      </c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F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B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M341" s="7"/>
    </row>
    <row r="342" spans="41:195" x14ac:dyDescent="0.55000000000000004">
      <c r="AO342">
        <f ca="1"/>
      </c>
      <c r="AP342">
        <f ca="1"/>
      </c>
      <c r="AQ342">
        <f ca="1"/>
      </c>
      <c r="AR342">
        <f ca="1"/>
      </c>
      <c r="AS342">
        <f ca="1"/>
      </c>
      <c r="AT342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AZ342">
        <f ca="1"/>
      </c>
      <c r="BA342">
        <f ca="1"/>
      </c>
      <c r="BB342">
        <f ca="1"/>
      </c>
      <c r="BC342">
        <f ca="1"/>
      </c>
      <c r="BD342">
        <f ca="1"/>
      </c>
      <c r="BE342">
        <f ca="1"/>
      </c>
      <c r="BF342">
        <f ca="1"/>
      </c>
      <c r="BG342">
        <f ca="1"/>
      </c>
      <c r="BH342">
        <f ca="1"/>
      </c>
      <c r="BI342">
        <f ca="1"/>
      </c>
      <c r="BJ342">
        <f ca="1"/>
      </c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F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B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M342" s="7"/>
    </row>
    <row r="343" spans="41:195" x14ac:dyDescent="0.55000000000000004">
      <c r="AO343">
        <f ca="1"/>
      </c>
      <c r="AP343">
        <f ca="1"/>
      </c>
      <c r="AQ343">
        <f ca="1"/>
      </c>
      <c r="AR343">
        <f ca="1"/>
      </c>
      <c r="AS343">
        <f ca="1"/>
      </c>
      <c r="AT343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AZ343">
        <f ca="1"/>
      </c>
      <c r="BA343">
        <f ca="1"/>
      </c>
      <c r="BB343">
        <f ca="1"/>
      </c>
      <c r="BC343">
        <f ca="1"/>
      </c>
      <c r="BD343">
        <f ca="1"/>
      </c>
      <c r="BE343">
        <f ca="1"/>
      </c>
      <c r="BF343">
        <f ca="1"/>
      </c>
      <c r="BG343">
        <f ca="1"/>
      </c>
      <c r="BH343">
        <f ca="1"/>
      </c>
      <c r="BI343">
        <f ca="1"/>
      </c>
      <c r="BJ343">
        <f ca="1"/>
      </c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F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B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M343" s="7"/>
    </row>
    <row r="344" spans="41:195" x14ac:dyDescent="0.55000000000000004">
      <c r="AO344">
        <f ca="1"/>
      </c>
      <c r="AP344">
        <f ca="1"/>
      </c>
      <c r="AQ344">
        <f ca="1"/>
      </c>
      <c r="AR344">
        <f ca="1"/>
      </c>
      <c r="AS344">
        <f ca="1"/>
      </c>
      <c r="AT344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AZ344">
        <f ca="1"/>
      </c>
      <c r="BA344">
        <f ca="1"/>
      </c>
      <c r="BB344">
        <f ca="1"/>
      </c>
      <c r="BC344">
        <f ca="1"/>
      </c>
      <c r="BD344">
        <f ca="1"/>
      </c>
      <c r="BE344">
        <f ca="1"/>
      </c>
      <c r="BF344">
        <f ca="1"/>
      </c>
      <c r="BG344">
        <f ca="1"/>
      </c>
      <c r="BH344">
        <f ca="1"/>
      </c>
      <c r="BI344">
        <f ca="1"/>
      </c>
      <c r="BJ344">
        <f ca="1"/>
      </c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F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B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M344" s="7"/>
    </row>
    <row r="345" spans="41:195" x14ac:dyDescent="0.55000000000000004">
      <c r="AO345">
        <f ca="1"/>
      </c>
      <c r="AP345">
        <f ca="1"/>
      </c>
      <c r="AQ345">
        <f ca="1"/>
      </c>
      <c r="AR345">
        <f ca="1"/>
      </c>
      <c r="AS345">
        <f ca="1"/>
      </c>
      <c r="AT345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AZ345">
        <f ca="1"/>
      </c>
      <c r="BA345">
        <f ca="1"/>
      </c>
      <c r="BB345">
        <f ca="1"/>
      </c>
      <c r="BC345">
        <f ca="1"/>
      </c>
      <c r="BD345">
        <f ca="1"/>
      </c>
      <c r="BE345">
        <f ca="1"/>
      </c>
      <c r="BF345">
        <f ca="1"/>
      </c>
      <c r="BG345">
        <f ca="1"/>
      </c>
      <c r="BH345">
        <f ca="1"/>
      </c>
      <c r="BI345">
        <f ca="1"/>
      </c>
      <c r="BJ345">
        <f ca="1"/>
      </c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F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B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M345" s="7"/>
    </row>
    <row r="346" spans="41:195" x14ac:dyDescent="0.55000000000000004">
      <c r="AO346">
        <f ca="1"/>
      </c>
      <c r="AP346">
        <f ca="1"/>
      </c>
      <c r="AQ346">
        <f ca="1"/>
      </c>
      <c r="AR346">
        <f ca="1"/>
      </c>
      <c r="AS346">
        <f ca="1"/>
      </c>
      <c r="AT346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AZ346">
        <f ca="1"/>
      </c>
      <c r="BA346">
        <f ca="1"/>
      </c>
      <c r="BB346">
        <f ca="1"/>
      </c>
      <c r="BC346">
        <f ca="1"/>
      </c>
      <c r="BD346">
        <f ca="1"/>
      </c>
      <c r="BE346">
        <f ca="1"/>
      </c>
      <c r="BF346">
        <f ca="1"/>
      </c>
      <c r="BG346">
        <f ca="1"/>
      </c>
      <c r="BH346">
        <f ca="1"/>
      </c>
      <c r="BI346">
        <f ca="1"/>
      </c>
      <c r="BJ346">
        <f ca="1"/>
      </c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F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B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M346" s="7"/>
    </row>
    <row r="347" spans="41:195" x14ac:dyDescent="0.55000000000000004">
      <c r="AO347">
        <f ca="1"/>
      </c>
      <c r="AP347">
        <f ca="1"/>
      </c>
      <c r="AQ347">
        <f ca="1"/>
      </c>
      <c r="AR347">
        <f ca="1"/>
      </c>
      <c r="AS347">
        <f ca="1"/>
      </c>
      <c r="AT34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AZ347">
        <f ca="1"/>
      </c>
      <c r="BA347">
        <f ca="1"/>
      </c>
      <c r="BB347">
        <f ca="1"/>
      </c>
      <c r="BC347">
        <f ca="1"/>
      </c>
      <c r="BD347">
        <f ca="1"/>
      </c>
      <c r="BE347">
        <f ca="1"/>
      </c>
      <c r="BF347">
        <f ca="1"/>
      </c>
      <c r="BG347">
        <f ca="1"/>
      </c>
      <c r="BH347">
        <f ca="1"/>
      </c>
      <c r="BI347">
        <f ca="1"/>
      </c>
      <c r="BJ347">
        <f ca="1"/>
      </c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F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B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M347" s="7"/>
    </row>
    <row r="348" spans="41:195" x14ac:dyDescent="0.55000000000000004">
      <c r="AO348">
        <f ca="1"/>
      </c>
      <c r="AP348">
        <f ca="1"/>
      </c>
      <c r="AQ348">
        <f ca="1"/>
      </c>
      <c r="AR348">
        <f ca="1"/>
      </c>
      <c r="AS348">
        <f ca="1"/>
      </c>
      <c r="AT348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AZ348">
        <f ca="1"/>
      </c>
      <c r="BA348">
        <f ca="1"/>
      </c>
      <c r="BB348">
        <f ca="1"/>
      </c>
      <c r="BC348">
        <f ca="1"/>
      </c>
      <c r="BD348">
        <f ca="1"/>
      </c>
      <c r="BE348">
        <f ca="1"/>
      </c>
      <c r="BF348">
        <f ca="1"/>
      </c>
      <c r="BG348">
        <f ca="1"/>
      </c>
      <c r="BH348">
        <f ca="1"/>
      </c>
      <c r="BI348">
        <f ca="1"/>
      </c>
      <c r="BJ348">
        <f ca="1"/>
      </c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F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B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M348" s="7"/>
    </row>
    <row r="349" spans="41:195" x14ac:dyDescent="0.55000000000000004">
      <c r="AO349">
        <f ca="1"/>
      </c>
      <c r="AP349">
        <f ca="1"/>
      </c>
      <c r="AQ349">
        <f ca="1"/>
      </c>
      <c r="AR349">
        <f ca="1"/>
      </c>
      <c r="AS349">
        <f ca="1"/>
      </c>
      <c r="AT349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AZ349">
        <f ca="1"/>
      </c>
      <c r="BA349">
        <f ca="1"/>
      </c>
      <c r="BB349">
        <f ca="1"/>
      </c>
      <c r="BC349">
        <f ca="1"/>
      </c>
      <c r="BD349">
        <f ca="1"/>
      </c>
      <c r="BE349">
        <f ca="1"/>
      </c>
      <c r="BF349">
        <f ca="1"/>
      </c>
      <c r="BG349">
        <f ca="1"/>
      </c>
      <c r="BH349">
        <f ca="1"/>
      </c>
      <c r="BI349">
        <f ca="1"/>
      </c>
      <c r="BJ349">
        <f ca="1"/>
      </c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F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B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M349" s="7"/>
    </row>
    <row r="350" spans="41:195" x14ac:dyDescent="0.55000000000000004">
      <c r="AO350">
        <f ca="1"/>
      </c>
      <c r="AP350">
        <f ca="1"/>
      </c>
      <c r="AQ350">
        <f ca="1"/>
      </c>
      <c r="AR350">
        <f ca="1"/>
      </c>
      <c r="AS350">
        <f ca="1"/>
      </c>
      <c r="AT350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AZ350">
        <f ca="1"/>
      </c>
      <c r="BA350">
        <f ca="1"/>
      </c>
      <c r="BB350">
        <f ca="1"/>
      </c>
      <c r="BC350">
        <f ca="1"/>
      </c>
      <c r="BD350">
        <f ca="1"/>
      </c>
      <c r="BE350">
        <f ca="1"/>
      </c>
      <c r="BF350">
        <f ca="1"/>
      </c>
      <c r="BG350">
        <f ca="1"/>
      </c>
      <c r="BH350">
        <f ca="1"/>
      </c>
      <c r="BI350">
        <f ca="1"/>
      </c>
      <c r="BJ350">
        <f ca="1"/>
      </c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F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B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M350" s="7"/>
    </row>
    <row r="351" spans="41:195" x14ac:dyDescent="0.55000000000000004">
      <c r="AO351">
        <f ca="1"/>
      </c>
      <c r="AP351">
        <f ca="1"/>
      </c>
      <c r="AQ351">
        <f ca="1"/>
      </c>
      <c r="AR351">
        <f ca="1"/>
      </c>
      <c r="AS351">
        <f ca="1"/>
      </c>
      <c r="AT351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AZ351">
        <f ca="1"/>
      </c>
      <c r="BA351">
        <f ca="1"/>
      </c>
      <c r="BB351">
        <f ca="1"/>
      </c>
      <c r="BC351">
        <f ca="1"/>
      </c>
      <c r="BD351">
        <f ca="1"/>
      </c>
      <c r="BE351">
        <f ca="1"/>
      </c>
      <c r="BF351">
        <f ca="1"/>
      </c>
      <c r="BG351">
        <f ca="1"/>
      </c>
      <c r="BH351">
        <f ca="1"/>
      </c>
      <c r="BI351">
        <f ca="1"/>
      </c>
      <c r="BJ351">
        <f ca="1"/>
      </c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F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B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M351" s="7"/>
    </row>
    <row r="352" spans="41:195" x14ac:dyDescent="0.55000000000000004">
      <c r="AO352">
        <f ca="1"/>
      </c>
      <c r="AP352">
        <f ca="1"/>
      </c>
      <c r="AQ352">
        <f ca="1"/>
      </c>
      <c r="AR352">
        <f ca="1"/>
      </c>
      <c r="AS352">
        <f ca="1"/>
      </c>
      <c r="AT352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AZ352">
        <f ca="1"/>
      </c>
      <c r="BA352">
        <f ca="1"/>
      </c>
      <c r="BB352">
        <f ca="1"/>
      </c>
      <c r="BC352">
        <f ca="1"/>
      </c>
      <c r="BD352">
        <f ca="1"/>
      </c>
      <c r="BE352">
        <f ca="1"/>
      </c>
      <c r="BF352">
        <f ca="1"/>
      </c>
      <c r="BG352">
        <f ca="1"/>
      </c>
      <c r="BH352">
        <f ca="1"/>
      </c>
      <c r="BI352">
        <f ca="1"/>
      </c>
      <c r="BJ352">
        <f ca="1"/>
      </c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F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B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M352" s="7"/>
    </row>
    <row r="353" spans="41:195" x14ac:dyDescent="0.55000000000000004">
      <c r="AO353">
        <f ca="1"/>
      </c>
      <c r="AP353">
        <f ca="1"/>
      </c>
      <c r="AQ353">
        <f ca="1"/>
      </c>
      <c r="AR353">
        <f ca="1"/>
      </c>
      <c r="AS353">
        <f ca="1"/>
      </c>
      <c r="AT353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AZ353">
        <f ca="1"/>
      </c>
      <c r="BA353">
        <f ca="1"/>
      </c>
      <c r="BB353">
        <f ca="1"/>
      </c>
      <c r="BC353">
        <f ca="1"/>
      </c>
      <c r="BD353">
        <f ca="1"/>
      </c>
      <c r="BE353">
        <f ca="1"/>
      </c>
      <c r="BF353">
        <f ca="1"/>
      </c>
      <c r="BG353">
        <f ca="1"/>
      </c>
      <c r="BH353">
        <f ca="1"/>
      </c>
      <c r="BI353">
        <f ca="1"/>
      </c>
      <c r="BJ353">
        <f ca="1"/>
      </c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F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B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M353" s="7"/>
    </row>
    <row r="354" spans="41:195" x14ac:dyDescent="0.55000000000000004">
      <c r="AO354">
        <f ca="1"/>
      </c>
      <c r="AP354">
        <f ca="1"/>
      </c>
      <c r="AQ354">
        <f ca="1"/>
      </c>
      <c r="AR354">
        <f ca="1"/>
      </c>
      <c r="AS354">
        <f ca="1"/>
      </c>
      <c r="AT354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AZ354">
        <f ca="1"/>
      </c>
      <c r="BA354">
        <f ca="1"/>
      </c>
      <c r="BB354">
        <f ca="1"/>
      </c>
      <c r="BC354">
        <f ca="1"/>
      </c>
      <c r="BD354">
        <f ca="1"/>
      </c>
      <c r="BE354">
        <f ca="1"/>
      </c>
      <c r="BF354">
        <f ca="1"/>
      </c>
      <c r="BG354">
        <f ca="1"/>
      </c>
      <c r="BH354">
        <f ca="1"/>
      </c>
      <c r="BI354">
        <f ca="1"/>
      </c>
      <c r="BJ354">
        <f ca="1"/>
      </c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F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M354" s="7"/>
    </row>
    <row r="355" spans="41:195" x14ac:dyDescent="0.55000000000000004">
      <c r="AO355">
        <f ca="1"/>
      </c>
      <c r="AP355">
        <f ca="1"/>
      </c>
      <c r="AQ355">
        <f ca="1"/>
      </c>
      <c r="AR355">
        <f ca="1"/>
      </c>
      <c r="AS355">
        <f ca="1"/>
      </c>
      <c r="AT355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AZ355">
        <f ca="1"/>
      </c>
      <c r="BA355">
        <f ca="1"/>
      </c>
      <c r="BB355">
        <f ca="1"/>
      </c>
      <c r="BC355">
        <f ca="1"/>
      </c>
      <c r="BD355">
        <f ca="1"/>
      </c>
      <c r="BE355">
        <f ca="1"/>
      </c>
      <c r="BF355">
        <f ca="1"/>
      </c>
      <c r="BG355">
        <f ca="1"/>
      </c>
      <c r="BH355">
        <f ca="1"/>
      </c>
      <c r="BI355">
        <f ca="1"/>
      </c>
      <c r="BJ355">
        <f ca="1"/>
      </c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F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M355" s="7"/>
    </row>
    <row r="356" spans="41:195" x14ac:dyDescent="0.55000000000000004">
      <c r="AO356">
        <f ca="1"/>
      </c>
      <c r="AP356">
        <f ca="1"/>
      </c>
      <c r="AQ356">
        <f ca="1"/>
      </c>
      <c r="AR356">
        <f ca="1"/>
      </c>
      <c r="AS356">
        <f ca="1"/>
      </c>
      <c r="AT356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AZ356">
        <f ca="1"/>
      </c>
      <c r="BA356">
        <f ca="1"/>
      </c>
      <c r="BB356">
        <f ca="1"/>
      </c>
      <c r="BC356">
        <f ca="1"/>
      </c>
      <c r="BD356">
        <f ca="1"/>
      </c>
      <c r="BE356">
        <f ca="1"/>
      </c>
      <c r="BF356">
        <f ca="1"/>
      </c>
      <c r="BG356">
        <f ca="1"/>
      </c>
      <c r="BH356">
        <f ca="1"/>
      </c>
      <c r="BI356">
        <f ca="1"/>
      </c>
      <c r="BJ356">
        <f ca="1"/>
      </c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F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M356" s="7"/>
    </row>
    <row r="357" spans="41:195" x14ac:dyDescent="0.55000000000000004">
      <c r="AO357">
        <f ca="1"/>
      </c>
      <c r="AP357">
        <f ca="1"/>
      </c>
      <c r="AQ357">
        <f ca="1"/>
      </c>
      <c r="AR357">
        <f ca="1"/>
      </c>
      <c r="AS357">
        <f ca="1"/>
      </c>
      <c r="AT35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AZ357">
        <f ca="1"/>
      </c>
      <c r="BA357">
        <f ca="1"/>
      </c>
      <c r="BB357">
        <f ca="1"/>
      </c>
      <c r="BC357">
        <f ca="1"/>
      </c>
      <c r="BD357">
        <f ca="1"/>
      </c>
      <c r="BE357">
        <f ca="1"/>
      </c>
      <c r="BF357">
        <f ca="1"/>
      </c>
      <c r="BG357">
        <f ca="1"/>
      </c>
      <c r="BH357">
        <f ca="1"/>
      </c>
      <c r="BI357">
        <f ca="1"/>
      </c>
      <c r="BJ357">
        <f ca="1"/>
      </c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F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M357" s="7"/>
    </row>
    <row r="358" spans="41:195" x14ac:dyDescent="0.55000000000000004">
      <c r="AO358">
        <f ca="1"/>
      </c>
      <c r="AP358">
        <f ca="1"/>
      </c>
      <c r="AQ358">
        <f ca="1"/>
      </c>
      <c r="AR358">
        <f ca="1"/>
      </c>
      <c r="AS358">
        <f ca="1"/>
      </c>
      <c r="AT358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AZ358">
        <f ca="1"/>
      </c>
      <c r="BA358">
        <f ca="1"/>
      </c>
      <c r="BB358">
        <f ca="1"/>
      </c>
      <c r="BC358">
        <f ca="1"/>
      </c>
      <c r="BD358">
        <f ca="1"/>
      </c>
      <c r="BE358">
        <f ca="1"/>
      </c>
      <c r="BF358">
        <f ca="1"/>
      </c>
      <c r="BG358">
        <f ca="1"/>
      </c>
      <c r="BH358">
        <f ca="1"/>
      </c>
      <c r="BI358">
        <f ca="1"/>
      </c>
      <c r="BJ358">
        <f ca="1"/>
      </c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F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M358" s="7"/>
    </row>
    <row r="359" spans="41:195" x14ac:dyDescent="0.55000000000000004">
      <c r="AO359">
        <f ca="1"/>
      </c>
      <c r="AP359">
        <f ca="1"/>
      </c>
      <c r="AQ359">
        <f ca="1"/>
      </c>
      <c r="AR359">
        <f ca="1"/>
      </c>
      <c r="AS359">
        <f ca="1"/>
      </c>
      <c r="AT359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AZ359">
        <f ca="1"/>
      </c>
      <c r="BA359">
        <f ca="1"/>
      </c>
      <c r="BB359">
        <f ca="1"/>
      </c>
      <c r="BC359">
        <f ca="1"/>
      </c>
      <c r="BD359">
        <f ca="1"/>
      </c>
      <c r="BE359">
        <f ca="1"/>
      </c>
      <c r="BF359">
        <f ca="1"/>
      </c>
      <c r="BG359">
        <f ca="1"/>
      </c>
      <c r="BH359">
        <f ca="1"/>
      </c>
      <c r="BI359">
        <f ca="1"/>
      </c>
      <c r="BJ359">
        <f ca="1"/>
      </c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F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M359" s="7"/>
    </row>
    <row r="360" spans="41:195" x14ac:dyDescent="0.55000000000000004">
      <c r="AO360">
        <f ca="1"/>
      </c>
      <c r="AP360">
        <f ca="1"/>
      </c>
      <c r="AQ360">
        <f ca="1"/>
      </c>
      <c r="AR360">
        <f ca="1"/>
      </c>
      <c r="AS360">
        <f ca="1"/>
      </c>
      <c r="AT360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AZ360">
        <f ca="1"/>
      </c>
      <c r="BA360">
        <f ca="1"/>
      </c>
      <c r="BB360">
        <f ca="1"/>
      </c>
      <c r="BC360">
        <f ca="1"/>
      </c>
      <c r="BD360">
        <f ca="1"/>
      </c>
      <c r="BE360">
        <f ca="1"/>
      </c>
      <c r="BF360">
        <f ca="1"/>
      </c>
      <c r="BG360">
        <f ca="1"/>
      </c>
      <c r="BH360">
        <f ca="1"/>
      </c>
      <c r="BI360">
        <f ca="1"/>
      </c>
      <c r="BJ360">
        <f ca="1"/>
      </c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F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M360" s="7"/>
    </row>
    <row r="361" spans="41:195" x14ac:dyDescent="0.55000000000000004">
      <c r="AO361">
        <f ca="1"/>
      </c>
      <c r="AP361">
        <f ca="1"/>
      </c>
      <c r="AQ361">
        <f ca="1"/>
      </c>
      <c r="AR361">
        <f ca="1"/>
      </c>
      <c r="AS361">
        <f ca="1"/>
      </c>
      <c r="AT361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AZ361">
        <f ca="1"/>
      </c>
      <c r="BA361">
        <f ca="1"/>
      </c>
      <c r="BB361">
        <f ca="1"/>
      </c>
      <c r="BC361">
        <f ca="1"/>
      </c>
      <c r="BD361">
        <f ca="1"/>
      </c>
      <c r="BE361">
        <f ca="1"/>
      </c>
      <c r="BF361">
        <f ca="1"/>
      </c>
      <c r="BG361">
        <f ca="1"/>
      </c>
      <c r="BH361">
        <f ca="1"/>
      </c>
      <c r="BI361">
        <f ca="1"/>
      </c>
      <c r="BJ361">
        <f ca="1"/>
      </c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F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M361" s="7"/>
    </row>
    <row r="362" spans="41:195" x14ac:dyDescent="0.55000000000000004">
      <c r="AO362">
        <f ca="1"/>
      </c>
      <c r="AP362">
        <f ca="1"/>
      </c>
      <c r="AQ362">
        <f ca="1"/>
      </c>
      <c r="AR362">
        <f ca="1"/>
      </c>
      <c r="AS362">
        <f ca="1"/>
      </c>
      <c r="AT362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AZ362">
        <f ca="1"/>
      </c>
      <c r="BA362">
        <f ca="1"/>
      </c>
      <c r="BB362">
        <f ca="1"/>
      </c>
      <c r="BC362">
        <f ca="1"/>
      </c>
      <c r="BD362">
        <f ca="1"/>
      </c>
      <c r="BE362">
        <f ca="1"/>
      </c>
      <c r="BF362">
        <f ca="1"/>
      </c>
      <c r="BG362">
        <f ca="1"/>
      </c>
      <c r="BH362">
        <f ca="1"/>
      </c>
      <c r="BI362">
        <f ca="1"/>
      </c>
      <c r="BJ362">
        <f ca="1"/>
      </c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F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M362" s="7"/>
    </row>
    <row r="363" spans="41:195" x14ac:dyDescent="0.55000000000000004">
      <c r="AO363">
        <f ca="1"/>
      </c>
      <c r="AP363">
        <f ca="1"/>
      </c>
      <c r="AQ363">
        <f ca="1"/>
      </c>
      <c r="AR363">
        <f ca="1"/>
      </c>
      <c r="AS363">
        <f ca="1"/>
      </c>
      <c r="AT363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AZ363">
        <f ca="1"/>
      </c>
      <c r="BA363">
        <f ca="1"/>
      </c>
      <c r="BB363">
        <f ca="1"/>
      </c>
      <c r="BC363">
        <f ca="1"/>
      </c>
      <c r="BD363">
        <f ca="1"/>
      </c>
      <c r="BE363">
        <f ca="1"/>
      </c>
      <c r="BF363">
        <f ca="1"/>
      </c>
      <c r="BG363">
        <f ca="1"/>
      </c>
      <c r="BH363">
        <f ca="1"/>
      </c>
      <c r="BI363">
        <f ca="1"/>
      </c>
      <c r="BJ363">
        <f ca="1"/>
      </c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F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M363" s="7"/>
    </row>
    <row r="364" spans="41:195" x14ac:dyDescent="0.55000000000000004">
      <c r="AO364">
        <f ca="1"/>
      </c>
      <c r="AP364">
        <f ca="1"/>
      </c>
      <c r="AQ364">
        <f ca="1"/>
      </c>
      <c r="AR364">
        <f ca="1"/>
      </c>
      <c r="AS364">
        <f ca="1"/>
      </c>
      <c r="AT364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AZ364">
        <f ca="1"/>
      </c>
      <c r="BA364">
        <f ca="1"/>
      </c>
      <c r="BB364">
        <f ca="1"/>
      </c>
      <c r="BC364">
        <f ca="1"/>
      </c>
      <c r="BD364">
        <f ca="1"/>
      </c>
      <c r="BE364">
        <f ca="1"/>
      </c>
      <c r="BF364">
        <f ca="1"/>
      </c>
      <c r="BG364">
        <f ca="1"/>
      </c>
      <c r="BH364">
        <f ca="1"/>
      </c>
      <c r="BI364">
        <f ca="1"/>
      </c>
      <c r="BJ364">
        <f ca="1"/>
      </c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F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M364" s="7"/>
    </row>
    <row r="365" spans="41:195" x14ac:dyDescent="0.55000000000000004">
      <c r="AO365">
        <f ca="1"/>
      </c>
      <c r="AP365">
        <f ca="1"/>
      </c>
      <c r="AQ365">
        <f ca="1"/>
      </c>
      <c r="AR365">
        <f ca="1"/>
      </c>
      <c r="AS365">
        <f ca="1"/>
      </c>
      <c r="AT365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AZ365">
        <f ca="1"/>
      </c>
      <c r="BA365">
        <f ca="1"/>
      </c>
      <c r="BB365">
        <f ca="1"/>
      </c>
      <c r="BC365">
        <f ca="1"/>
      </c>
      <c r="BD365">
        <f ca="1"/>
      </c>
      <c r="BE365">
        <f ca="1"/>
      </c>
      <c r="BF365">
        <f ca="1"/>
      </c>
      <c r="BG365">
        <f ca="1"/>
      </c>
      <c r="BH365">
        <f ca="1"/>
      </c>
      <c r="BI365">
        <f ca="1"/>
      </c>
      <c r="BJ365">
        <f ca="1"/>
      </c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F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M365" s="7"/>
    </row>
    <row r="366" spans="41:195" x14ac:dyDescent="0.55000000000000004">
      <c r="AO366">
        <f ca="1"/>
      </c>
      <c r="AP366">
        <f ca="1"/>
      </c>
      <c r="AQ366">
        <f ca="1"/>
      </c>
      <c r="AR366">
        <f ca="1"/>
      </c>
      <c r="AS366">
        <f ca="1"/>
      </c>
      <c r="AT366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AZ366">
        <f ca="1"/>
      </c>
      <c r="BA366">
        <f ca="1"/>
      </c>
      <c r="BB366">
        <f ca="1"/>
      </c>
      <c r="BC366">
        <f ca="1"/>
      </c>
      <c r="BD366">
        <f ca="1"/>
      </c>
      <c r="BE366">
        <f ca="1"/>
      </c>
      <c r="BF366">
        <f ca="1"/>
      </c>
      <c r="BG366">
        <f ca="1"/>
      </c>
      <c r="BH366">
        <f ca="1"/>
      </c>
      <c r="BI366">
        <f ca="1"/>
      </c>
      <c r="BJ366">
        <f ca="1"/>
      </c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F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M366" s="7"/>
    </row>
    <row r="367" spans="41:195" x14ac:dyDescent="0.55000000000000004">
      <c r="AO367">
        <f ca="1"/>
      </c>
      <c r="AP367">
        <f ca="1"/>
      </c>
      <c r="AQ367">
        <f ca="1"/>
      </c>
      <c r="AR367">
        <f ca="1"/>
      </c>
      <c r="AS367">
        <f ca="1"/>
      </c>
      <c r="AT36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AZ367">
        <f ca="1"/>
      </c>
      <c r="BA367">
        <f ca="1"/>
      </c>
      <c r="BB367">
        <f ca="1"/>
      </c>
      <c r="BC367">
        <f ca="1"/>
      </c>
      <c r="BD367">
        <f ca="1"/>
      </c>
      <c r="BE367">
        <f ca="1"/>
      </c>
      <c r="BF367">
        <f ca="1"/>
      </c>
      <c r="BG367">
        <f ca="1"/>
      </c>
      <c r="BH367">
        <f ca="1"/>
      </c>
      <c r="BI367">
        <f ca="1"/>
      </c>
      <c r="BJ367">
        <f ca="1"/>
      </c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F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M367" s="7"/>
    </row>
    <row r="368" spans="41:195" x14ac:dyDescent="0.55000000000000004">
      <c r="AO368">
        <f ca="1"/>
      </c>
      <c r="AP368">
        <f ca="1"/>
      </c>
      <c r="AQ368">
        <f ca="1"/>
      </c>
      <c r="AR368">
        <f ca="1"/>
      </c>
      <c r="AS368">
        <f ca="1"/>
      </c>
      <c r="AT368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AZ368">
        <f ca="1"/>
      </c>
      <c r="BA368">
        <f ca="1"/>
      </c>
      <c r="BB368">
        <f ca="1"/>
      </c>
      <c r="BC368">
        <f ca="1"/>
      </c>
      <c r="BD368">
        <f ca="1"/>
      </c>
      <c r="BE368">
        <f ca="1"/>
      </c>
      <c r="BF368">
        <f ca="1"/>
      </c>
      <c r="BG368">
        <f ca="1"/>
      </c>
      <c r="BH368">
        <f ca="1"/>
      </c>
      <c r="BI368">
        <f ca="1"/>
      </c>
      <c r="BJ368">
        <f ca="1"/>
      </c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F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M368" s="7"/>
    </row>
    <row r="369" spans="41:195" x14ac:dyDescent="0.55000000000000004">
      <c r="AO369">
        <f ca="1"/>
      </c>
      <c r="AP369">
        <f ca="1"/>
      </c>
      <c r="AQ369">
        <f ca="1"/>
      </c>
      <c r="AR369">
        <f ca="1"/>
      </c>
      <c r="AS369">
        <f ca="1"/>
      </c>
      <c r="AT369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AZ369">
        <f ca="1"/>
      </c>
      <c r="BA369">
        <f ca="1"/>
      </c>
      <c r="BB369">
        <f ca="1"/>
      </c>
      <c r="BC369">
        <f ca="1"/>
      </c>
      <c r="BD369">
        <f ca="1"/>
      </c>
      <c r="BE369">
        <f ca="1"/>
      </c>
      <c r="BF369">
        <f ca="1"/>
      </c>
      <c r="BG369">
        <f ca="1"/>
      </c>
      <c r="BH369">
        <f ca="1"/>
      </c>
      <c r="BI369">
        <f ca="1"/>
      </c>
      <c r="BJ369">
        <f ca="1"/>
      </c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F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M369" s="7"/>
    </row>
    <row r="370" spans="41:195" x14ac:dyDescent="0.55000000000000004">
      <c r="AO370">
        <f ca="1"/>
      </c>
      <c r="AP370">
        <f ca="1"/>
      </c>
      <c r="AQ370">
        <f ca="1"/>
      </c>
      <c r="AR370">
        <f ca="1"/>
      </c>
      <c r="AS370">
        <f ca="1"/>
      </c>
      <c r="AT370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AZ370">
        <f ca="1"/>
      </c>
      <c r="BA370">
        <f ca="1"/>
      </c>
      <c r="BB370">
        <f ca="1"/>
      </c>
      <c r="BC370">
        <f ca="1"/>
      </c>
      <c r="BD370">
        <f ca="1"/>
      </c>
      <c r="BE370">
        <f ca="1"/>
      </c>
      <c r="BF370">
        <f ca="1"/>
      </c>
      <c r="BG370">
        <f ca="1"/>
      </c>
      <c r="BH370">
        <f ca="1"/>
      </c>
      <c r="BI370">
        <f ca="1"/>
      </c>
      <c r="BJ370">
        <f ca="1"/>
      </c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F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M370" s="7"/>
    </row>
    <row r="371" spans="41:195" x14ac:dyDescent="0.55000000000000004">
      <c r="AO371">
        <f ca="1"/>
      </c>
      <c r="AP371">
        <f ca="1"/>
      </c>
      <c r="AQ371">
        <f ca="1"/>
      </c>
      <c r="AR371">
        <f ca="1"/>
      </c>
      <c r="AS371">
        <f ca="1"/>
      </c>
      <c r="AT371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AZ371">
        <f ca="1"/>
      </c>
      <c r="BA371">
        <f ca="1"/>
      </c>
      <c r="BB371">
        <f ca="1"/>
      </c>
      <c r="BC371">
        <f ca="1"/>
      </c>
      <c r="BD371">
        <f ca="1"/>
      </c>
      <c r="BE371">
        <f ca="1"/>
      </c>
      <c r="BF371">
        <f ca="1"/>
      </c>
      <c r="BG371">
        <f ca="1"/>
      </c>
      <c r="BH371">
        <f ca="1"/>
      </c>
      <c r="BI371">
        <f ca="1"/>
      </c>
      <c r="BJ371">
        <f ca="1"/>
      </c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F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M371" s="7"/>
    </row>
    <row r="372" spans="41:195" x14ac:dyDescent="0.55000000000000004">
      <c r="AO372">
        <f ca="1"/>
      </c>
      <c r="AP372">
        <f ca="1"/>
      </c>
      <c r="AQ372">
        <f ca="1"/>
      </c>
      <c r="AR372">
        <f ca="1"/>
      </c>
      <c r="AS372">
        <f ca="1"/>
      </c>
      <c r="AT372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AZ372">
        <f ca="1"/>
      </c>
      <c r="BA372">
        <f ca="1"/>
      </c>
      <c r="BB372">
        <f ca="1"/>
      </c>
      <c r="BC372">
        <f ca="1"/>
      </c>
      <c r="BD372">
        <f ca="1"/>
      </c>
      <c r="BE372">
        <f ca="1"/>
      </c>
      <c r="BF372">
        <f ca="1"/>
      </c>
      <c r="BG372">
        <f ca="1"/>
      </c>
      <c r="BH372">
        <f ca="1"/>
      </c>
      <c r="BI372">
        <f ca="1"/>
      </c>
      <c r="BJ372">
        <f ca="1"/>
      </c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F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B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M372" s="7"/>
    </row>
    <row r="373" spans="41:195" x14ac:dyDescent="0.55000000000000004">
      <c r="AO373">
        <f ca="1"/>
      </c>
      <c r="AP373">
        <f ca="1"/>
      </c>
      <c r="AQ373">
        <f ca="1"/>
      </c>
      <c r="AR373">
        <f ca="1"/>
      </c>
      <c r="AS373">
        <f ca="1"/>
      </c>
      <c r="AT373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AZ373">
        <f ca="1"/>
      </c>
      <c r="BA373">
        <f ca="1"/>
      </c>
      <c r="BB373">
        <f ca="1"/>
      </c>
      <c r="BC373">
        <f ca="1"/>
      </c>
      <c r="BD373">
        <f ca="1"/>
      </c>
      <c r="BE373">
        <f ca="1"/>
      </c>
      <c r="BF373">
        <f ca="1"/>
      </c>
      <c r="BG373">
        <f ca="1"/>
      </c>
      <c r="BH373">
        <f ca="1"/>
      </c>
      <c r="BI373">
        <f ca="1"/>
      </c>
      <c r="BJ373">
        <f ca="1"/>
      </c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F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B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M373" s="7"/>
    </row>
    <row r="374" spans="41:195" x14ac:dyDescent="0.55000000000000004">
      <c r="AO374">
        <f ca="1"/>
      </c>
      <c r="AP374">
        <f ca="1"/>
      </c>
      <c r="AQ374">
        <f ca="1"/>
      </c>
      <c r="AR374">
        <f ca="1"/>
      </c>
      <c r="AS374">
        <f ca="1"/>
      </c>
      <c r="AT374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AZ374">
        <f ca="1"/>
      </c>
      <c r="BA374">
        <f ca="1"/>
      </c>
      <c r="BB374">
        <f ca="1"/>
      </c>
      <c r="BC374">
        <f ca="1"/>
      </c>
      <c r="BD374">
        <f ca="1"/>
      </c>
      <c r="BE374">
        <f ca="1"/>
      </c>
      <c r="BF374">
        <f ca="1"/>
      </c>
      <c r="BG374">
        <f ca="1"/>
      </c>
      <c r="BH374">
        <f ca="1"/>
      </c>
      <c r="BI374">
        <f ca="1"/>
      </c>
      <c r="BJ374">
        <f ca="1"/>
      </c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F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B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M374" s="7"/>
    </row>
    <row r="375" spans="41:195" x14ac:dyDescent="0.55000000000000004">
      <c r="AO375">
        <f ca="1"/>
      </c>
      <c r="AP375">
        <f ca="1"/>
      </c>
      <c r="AQ375">
        <f ca="1"/>
      </c>
      <c r="AR375">
        <f ca="1"/>
      </c>
      <c r="AS375">
        <f ca="1"/>
      </c>
      <c r="AT375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AZ375">
        <f ca="1"/>
      </c>
      <c r="BA375">
        <f ca="1"/>
      </c>
      <c r="BB375">
        <f ca="1"/>
      </c>
      <c r="BC375">
        <f ca="1"/>
      </c>
      <c r="BD375">
        <f ca="1"/>
      </c>
      <c r="BE375">
        <f ca="1"/>
      </c>
      <c r="BF375">
        <f ca="1"/>
      </c>
      <c r="BG375">
        <f ca="1"/>
      </c>
      <c r="BH375">
        <f ca="1"/>
      </c>
      <c r="BI375">
        <f ca="1"/>
      </c>
      <c r="BJ375">
        <f ca="1"/>
      </c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F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B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M375" s="7"/>
    </row>
    <row r="376" spans="41:195" x14ac:dyDescent="0.55000000000000004">
      <c r="AO376">
        <f ca="1"/>
      </c>
      <c r="AP376">
        <f ca="1"/>
      </c>
      <c r="AQ376">
        <f ca="1"/>
      </c>
      <c r="AR376">
        <f ca="1"/>
      </c>
      <c r="AS376">
        <f ca="1"/>
      </c>
      <c r="AT376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AZ376">
        <f ca="1"/>
      </c>
      <c r="BA376">
        <f ca="1"/>
      </c>
      <c r="BB376">
        <f ca="1"/>
      </c>
      <c r="BC376">
        <f ca="1"/>
      </c>
      <c r="BD376">
        <f ca="1"/>
      </c>
      <c r="BE376">
        <f ca="1"/>
      </c>
      <c r="BF376">
        <f ca="1"/>
      </c>
      <c r="BG376">
        <f ca="1"/>
      </c>
      <c r="BH376">
        <f ca="1"/>
      </c>
      <c r="BI376">
        <f ca="1"/>
      </c>
      <c r="BJ376">
        <f ca="1"/>
      </c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F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B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M376" s="7"/>
    </row>
    <row r="377" spans="41:195" x14ac:dyDescent="0.55000000000000004">
      <c r="AO377">
        <f ca="1"/>
      </c>
      <c r="AP377">
        <f ca="1"/>
      </c>
      <c r="AQ377">
        <f ca="1"/>
      </c>
      <c r="AR377">
        <f ca="1"/>
      </c>
      <c r="AS377">
        <f ca="1"/>
      </c>
      <c r="AT37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AZ377">
        <f ca="1"/>
      </c>
      <c r="BA377">
        <f ca="1"/>
      </c>
      <c r="BB377">
        <f ca="1"/>
      </c>
      <c r="BC377">
        <f ca="1"/>
      </c>
      <c r="BD377">
        <f ca="1"/>
      </c>
      <c r="BE377">
        <f ca="1"/>
      </c>
      <c r="BF377">
        <f ca="1"/>
      </c>
      <c r="BG377">
        <f ca="1"/>
      </c>
      <c r="BH377">
        <f ca="1"/>
      </c>
      <c r="BI377">
        <f ca="1"/>
      </c>
      <c r="BJ377">
        <f ca="1"/>
      </c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F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B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M377" s="7"/>
    </row>
    <row r="378" spans="41:195" x14ac:dyDescent="0.55000000000000004">
      <c r="AO378">
        <f ca="1"/>
      </c>
      <c r="AP378">
        <f ca="1"/>
      </c>
      <c r="AQ378">
        <f ca="1"/>
      </c>
      <c r="AR378">
        <f ca="1"/>
      </c>
      <c r="AS378">
        <f ca="1"/>
      </c>
      <c r="AT378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AZ378">
        <f ca="1"/>
      </c>
      <c r="BA378">
        <f ca="1"/>
      </c>
      <c r="BB378">
        <f ca="1"/>
      </c>
      <c r="BC378">
        <f ca="1"/>
      </c>
      <c r="BD378">
        <f ca="1"/>
      </c>
      <c r="BE378">
        <f ca="1"/>
      </c>
      <c r="BF378">
        <f ca="1"/>
      </c>
      <c r="BG378">
        <f ca="1"/>
      </c>
      <c r="BH378">
        <f ca="1"/>
      </c>
      <c r="BI378">
        <f ca="1"/>
      </c>
      <c r="BJ378">
        <f ca="1"/>
      </c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F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B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M378" s="7"/>
    </row>
    <row r="379" spans="41:195" x14ac:dyDescent="0.55000000000000004">
      <c r="AO379">
        <f ca="1"/>
      </c>
      <c r="AP379">
        <f ca="1"/>
      </c>
      <c r="AQ379">
        <f ca="1"/>
      </c>
      <c r="AR379">
        <f ca="1"/>
      </c>
      <c r="AS379">
        <f ca="1"/>
      </c>
      <c r="AT379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AZ379">
        <f ca="1"/>
      </c>
      <c r="BA379">
        <f ca="1"/>
      </c>
      <c r="BB379">
        <f ca="1"/>
      </c>
      <c r="BC379">
        <f ca="1"/>
      </c>
      <c r="BD379">
        <f ca="1"/>
      </c>
      <c r="BE379">
        <f ca="1"/>
      </c>
      <c r="BF379">
        <f ca="1"/>
      </c>
      <c r="BG379">
        <f ca="1"/>
      </c>
      <c r="BH379">
        <f ca="1"/>
      </c>
      <c r="BI379">
        <f ca="1"/>
      </c>
      <c r="BJ379">
        <f ca="1"/>
      </c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F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B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M379" s="7"/>
    </row>
    <row r="380" spans="41:195" x14ac:dyDescent="0.55000000000000004">
      <c r="AO380">
        <f ca="1"/>
      </c>
      <c r="AP380">
        <f ca="1"/>
      </c>
      <c r="AQ380">
        <f ca="1"/>
      </c>
      <c r="AR380">
        <f ca="1"/>
      </c>
      <c r="AS380">
        <f ca="1"/>
      </c>
      <c r="AT380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AZ380">
        <f ca="1"/>
      </c>
      <c r="BA380">
        <f ca="1"/>
      </c>
      <c r="BB380">
        <f ca="1"/>
      </c>
      <c r="BC380">
        <f ca="1"/>
      </c>
      <c r="BD380">
        <f ca="1"/>
      </c>
      <c r="BE380">
        <f ca="1"/>
      </c>
      <c r="BF380">
        <f ca="1"/>
      </c>
      <c r="BG380">
        <f ca="1"/>
      </c>
      <c r="BH380">
        <f ca="1"/>
      </c>
      <c r="BI380">
        <f ca="1"/>
      </c>
      <c r="BJ380">
        <f ca="1"/>
      </c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F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B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M380" s="7"/>
    </row>
    <row r="381" spans="41:195" x14ac:dyDescent="0.55000000000000004">
      <c r="AO381">
        <f ca="1"/>
      </c>
      <c r="AP381">
        <f ca="1"/>
      </c>
      <c r="AQ381">
        <f ca="1"/>
      </c>
      <c r="AR381">
        <f ca="1"/>
      </c>
      <c r="AS381">
        <f ca="1"/>
      </c>
      <c r="AT381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AZ381">
        <f ca="1"/>
      </c>
      <c r="BA381">
        <f ca="1"/>
      </c>
      <c r="BB381">
        <f ca="1"/>
      </c>
      <c r="BC381">
        <f ca="1"/>
      </c>
      <c r="BD381">
        <f ca="1"/>
      </c>
      <c r="BE381">
        <f ca="1"/>
      </c>
      <c r="BF381">
        <f ca="1"/>
      </c>
      <c r="BG381">
        <f ca="1"/>
      </c>
      <c r="BH381">
        <f ca="1"/>
      </c>
      <c r="BI381">
        <f ca="1"/>
      </c>
      <c r="BJ381">
        <f ca="1"/>
      </c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F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B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M381" s="7"/>
    </row>
    <row r="382" spans="41:195" x14ac:dyDescent="0.55000000000000004">
      <c r="AO382">
        <f ca="1"/>
      </c>
      <c r="AP382">
        <f ca="1"/>
      </c>
      <c r="AQ382">
        <f ca="1"/>
      </c>
      <c r="AR382">
        <f ca="1"/>
      </c>
      <c r="AS382">
        <f ca="1"/>
      </c>
      <c r="AT382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AZ382">
        <f ca="1"/>
      </c>
      <c r="BA382">
        <f ca="1"/>
      </c>
      <c r="BB382">
        <f ca="1"/>
      </c>
      <c r="BC382">
        <f ca="1"/>
      </c>
      <c r="BD382">
        <f ca="1"/>
      </c>
      <c r="BE382">
        <f ca="1"/>
      </c>
      <c r="BF382">
        <f ca="1"/>
      </c>
      <c r="BG382">
        <f ca="1"/>
      </c>
      <c r="BH382">
        <f ca="1"/>
      </c>
      <c r="BI382">
        <f ca="1"/>
      </c>
      <c r="BJ382">
        <f ca="1"/>
      </c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F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B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M382" s="7"/>
    </row>
    <row r="383" spans="41:195" x14ac:dyDescent="0.55000000000000004">
      <c r="AO383">
        <f ca="1"/>
      </c>
      <c r="AP383">
        <f ca="1"/>
      </c>
      <c r="AQ383">
        <f ca="1"/>
      </c>
      <c r="AR383">
        <f ca="1"/>
      </c>
      <c r="AS383">
        <f ca="1"/>
      </c>
      <c r="AT383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AZ383">
        <f ca="1"/>
      </c>
      <c r="BA383">
        <f ca="1"/>
      </c>
      <c r="BB383">
        <f ca="1"/>
      </c>
      <c r="BC383">
        <f ca="1"/>
      </c>
      <c r="BD383">
        <f ca="1"/>
      </c>
      <c r="BE383">
        <f ca="1"/>
      </c>
      <c r="BF383">
        <f ca="1"/>
      </c>
      <c r="BG383">
        <f ca="1"/>
      </c>
      <c r="BH383">
        <f ca="1"/>
      </c>
      <c r="BI383">
        <f ca="1"/>
      </c>
      <c r="BJ383">
        <f ca="1"/>
      </c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F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B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M383" s="7"/>
    </row>
    <row r="384" spans="41:195" x14ac:dyDescent="0.55000000000000004">
      <c r="AO384">
        <f ca="1"/>
      </c>
      <c r="AP384">
        <f ca="1"/>
      </c>
      <c r="AQ384">
        <f ca="1"/>
      </c>
      <c r="AR384">
        <f ca="1"/>
      </c>
      <c r="AS384">
        <f ca="1"/>
      </c>
      <c r="AT384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AZ384">
        <f ca="1"/>
      </c>
      <c r="BA384">
        <f ca="1"/>
      </c>
      <c r="BB384">
        <f ca="1"/>
      </c>
      <c r="BC384">
        <f ca="1"/>
      </c>
      <c r="BD384">
        <f ca="1"/>
      </c>
      <c r="BE384">
        <f ca="1"/>
      </c>
      <c r="BF384">
        <f ca="1"/>
      </c>
      <c r="BG384">
        <f ca="1"/>
      </c>
      <c r="BH384">
        <f ca="1"/>
      </c>
      <c r="BI384">
        <f ca="1"/>
      </c>
      <c r="BJ384">
        <f ca="1"/>
      </c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F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B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M384" s="7"/>
    </row>
    <row r="385" spans="41:195" x14ac:dyDescent="0.55000000000000004">
      <c r="AO385">
        <f ca="1"/>
      </c>
      <c r="AP385">
        <f ca="1"/>
      </c>
      <c r="AQ385">
        <f ca="1"/>
      </c>
      <c r="AR385">
        <f ca="1"/>
      </c>
      <c r="AS385">
        <f ca="1"/>
      </c>
      <c r="AT385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AZ385">
        <f ca="1"/>
      </c>
      <c r="BA385">
        <f ca="1"/>
      </c>
      <c r="BB385">
        <f ca="1"/>
      </c>
      <c r="BC385">
        <f ca="1"/>
      </c>
      <c r="BD385">
        <f ca="1"/>
      </c>
      <c r="BE385">
        <f ca="1"/>
      </c>
      <c r="BF385">
        <f ca="1"/>
      </c>
      <c r="BG385">
        <f ca="1"/>
      </c>
      <c r="BH385">
        <f ca="1"/>
      </c>
      <c r="BI385">
        <f ca="1"/>
      </c>
      <c r="BJ385">
        <f ca="1"/>
      </c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F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B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M385" s="7"/>
    </row>
    <row r="386" spans="41:195" x14ac:dyDescent="0.55000000000000004">
      <c r="AO386">
        <f ca="1"/>
      </c>
      <c r="AP386">
        <f ca="1"/>
      </c>
      <c r="AQ386">
        <f ca="1"/>
      </c>
      <c r="AR386">
        <f ca="1"/>
      </c>
      <c r="AS386">
        <f ca="1"/>
      </c>
      <c r="AT386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AZ386">
        <f ca="1"/>
      </c>
      <c r="BA386">
        <f ca="1"/>
      </c>
      <c r="BB386">
        <f ca="1"/>
      </c>
      <c r="BC386">
        <f ca="1"/>
      </c>
      <c r="BD386">
        <f ca="1"/>
      </c>
      <c r="BE386">
        <f ca="1"/>
      </c>
      <c r="BF386">
        <f ca="1"/>
      </c>
      <c r="BG386">
        <f ca="1"/>
      </c>
      <c r="BH386">
        <f ca="1"/>
      </c>
      <c r="BI386">
        <f ca="1"/>
      </c>
      <c r="BJ386">
        <f ca="1"/>
      </c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F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B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M386" s="7"/>
    </row>
    <row r="387" spans="41:195" x14ac:dyDescent="0.55000000000000004">
      <c r="AO387">
        <f ca="1"/>
      </c>
      <c r="AP387">
        <f ca="1"/>
      </c>
      <c r="AQ387">
        <f ca="1"/>
      </c>
      <c r="AR387">
        <f ca="1"/>
      </c>
      <c r="AS387">
        <f ca="1"/>
      </c>
      <c r="AT38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AZ387">
        <f ca="1"/>
      </c>
      <c r="BA387">
        <f ca="1"/>
      </c>
      <c r="BB387">
        <f ca="1"/>
      </c>
      <c r="BC387">
        <f ca="1"/>
      </c>
      <c r="BD387">
        <f ca="1"/>
      </c>
      <c r="BE387">
        <f ca="1"/>
      </c>
      <c r="BF387">
        <f ca="1"/>
      </c>
      <c r="BG387">
        <f ca="1"/>
      </c>
      <c r="BH387">
        <f ca="1"/>
      </c>
      <c r="BI387">
        <f ca="1"/>
      </c>
      <c r="BJ387">
        <f ca="1"/>
      </c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F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B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M387" s="7"/>
    </row>
    <row r="388" spans="41:195" x14ac:dyDescent="0.55000000000000004">
      <c r="AO388">
        <f ca="1"/>
      </c>
      <c r="AP388">
        <f ca="1"/>
      </c>
      <c r="AQ388">
        <f ca="1"/>
      </c>
      <c r="AR388">
        <f ca="1"/>
      </c>
      <c r="AS388">
        <f ca="1"/>
      </c>
      <c r="AT388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AZ388">
        <f ca="1"/>
      </c>
      <c r="BA388">
        <f ca="1"/>
      </c>
      <c r="BB388">
        <f ca="1"/>
      </c>
      <c r="BC388">
        <f ca="1"/>
      </c>
      <c r="BD388">
        <f ca="1"/>
      </c>
      <c r="BE388">
        <f ca="1"/>
      </c>
      <c r="BF388">
        <f ca="1"/>
      </c>
      <c r="BG388">
        <f ca="1"/>
      </c>
      <c r="BH388">
        <f ca="1"/>
      </c>
      <c r="BI388">
        <f ca="1"/>
      </c>
      <c r="BJ388">
        <f ca="1"/>
      </c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F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B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M388" s="7"/>
    </row>
    <row r="389" spans="41:195" x14ac:dyDescent="0.55000000000000004">
      <c r="AO389">
        <f ca="1"/>
      </c>
      <c r="AP389">
        <f ca="1"/>
      </c>
      <c r="AQ389">
        <f ca="1"/>
      </c>
      <c r="AR389">
        <f ca="1"/>
      </c>
      <c r="AS389">
        <f ca="1"/>
      </c>
      <c r="AT389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AZ389">
        <f ca="1"/>
      </c>
      <c r="BA389">
        <f ca="1"/>
      </c>
      <c r="BB389">
        <f ca="1"/>
      </c>
      <c r="BC389">
        <f ca="1"/>
      </c>
      <c r="BD389">
        <f ca="1"/>
      </c>
      <c r="BE389">
        <f ca="1"/>
      </c>
      <c r="BF389">
        <f ca="1"/>
      </c>
      <c r="BG389">
        <f ca="1"/>
      </c>
      <c r="BH389">
        <f ca="1"/>
      </c>
      <c r="BI389">
        <f ca="1"/>
      </c>
      <c r="BJ389">
        <f ca="1"/>
      </c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F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B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M389" s="7"/>
    </row>
    <row r="390" spans="41:195" x14ac:dyDescent="0.55000000000000004">
      <c r="AO390">
        <f ca="1"/>
      </c>
      <c r="AP390">
        <f ca="1"/>
      </c>
      <c r="AQ390">
        <f ca="1"/>
      </c>
      <c r="AR390">
        <f ca="1"/>
      </c>
      <c r="AS390">
        <f ca="1"/>
      </c>
      <c r="AT390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AZ390">
        <f ca="1"/>
      </c>
      <c r="BA390">
        <f ca="1"/>
      </c>
      <c r="BB390">
        <f ca="1"/>
      </c>
      <c r="BC390">
        <f ca="1"/>
      </c>
      <c r="BD390">
        <f ca="1"/>
      </c>
      <c r="BE390">
        <f ca="1"/>
      </c>
      <c r="BF390">
        <f ca="1"/>
      </c>
      <c r="BG390">
        <f ca="1"/>
      </c>
      <c r="BH390">
        <f ca="1"/>
      </c>
      <c r="BI390">
        <f ca="1"/>
      </c>
      <c r="BJ390">
        <f ca="1"/>
      </c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F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B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M390" s="7"/>
    </row>
    <row r="391" spans="41:195" x14ac:dyDescent="0.55000000000000004">
      <c r="AO391">
        <f ca="1"/>
      </c>
      <c r="AP391">
        <f ca="1"/>
      </c>
      <c r="AQ391">
        <f ca="1"/>
      </c>
      <c r="AR391">
        <f ca="1"/>
      </c>
      <c r="AS391">
        <f ca="1"/>
      </c>
      <c r="AT391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AZ391">
        <f ca="1"/>
      </c>
      <c r="BA391">
        <f ca="1"/>
      </c>
      <c r="BB391">
        <f ca="1"/>
      </c>
      <c r="BC391">
        <f ca="1"/>
      </c>
      <c r="BD391">
        <f ca="1"/>
      </c>
      <c r="BE391">
        <f ca="1"/>
      </c>
      <c r="BF391">
        <f ca="1"/>
      </c>
      <c r="BG391">
        <f ca="1"/>
      </c>
      <c r="BH391">
        <f ca="1"/>
      </c>
      <c r="BI391">
        <f ca="1"/>
      </c>
      <c r="BJ391">
        <f ca="1"/>
      </c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F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B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M391" s="7"/>
    </row>
    <row r="392" spans="41:195" x14ac:dyDescent="0.55000000000000004">
      <c r="AO392">
        <f ca="1"/>
      </c>
      <c r="AP392">
        <f ca="1"/>
      </c>
      <c r="AQ392">
        <f ca="1"/>
      </c>
      <c r="AR392">
        <f ca="1"/>
      </c>
      <c r="AS392">
        <f ca="1"/>
      </c>
      <c r="AT392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AZ392">
        <f ca="1"/>
      </c>
      <c r="BA392">
        <f ca="1"/>
      </c>
      <c r="BB392">
        <f ca="1"/>
      </c>
      <c r="BC392">
        <f ca="1"/>
      </c>
      <c r="BD392">
        <f ca="1"/>
      </c>
      <c r="BE392">
        <f ca="1"/>
      </c>
      <c r="BF392">
        <f ca="1"/>
      </c>
      <c r="BG392">
        <f ca="1"/>
      </c>
      <c r="BH392">
        <f ca="1"/>
      </c>
      <c r="BI392">
        <f ca="1"/>
      </c>
      <c r="BJ392">
        <f ca="1"/>
      </c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F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B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M392" s="7"/>
    </row>
    <row r="393" spans="41:195" x14ac:dyDescent="0.55000000000000004">
      <c r="AO393">
        <f ca="1"/>
      </c>
      <c r="AP393">
        <f ca="1"/>
      </c>
      <c r="AQ393">
        <f ca="1"/>
      </c>
      <c r="AR393">
        <f ca="1"/>
      </c>
      <c r="AS393">
        <f ca="1"/>
      </c>
      <c r="AT393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AZ393">
        <f ca="1"/>
      </c>
      <c r="BA393">
        <f ca="1"/>
      </c>
      <c r="BB393">
        <f ca="1"/>
      </c>
      <c r="BC393">
        <f ca="1"/>
      </c>
      <c r="BD393">
        <f ca="1"/>
      </c>
      <c r="BE393">
        <f ca="1"/>
      </c>
      <c r="BF393">
        <f ca="1"/>
      </c>
      <c r="BG393">
        <f ca="1"/>
      </c>
      <c r="BH393">
        <f ca="1"/>
      </c>
      <c r="BI393">
        <f ca="1"/>
      </c>
      <c r="BJ393">
        <f ca="1"/>
      </c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F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B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M393" s="7"/>
    </row>
    <row r="394" spans="41:195" x14ac:dyDescent="0.55000000000000004">
      <c r="AO394">
        <f ca="1"/>
      </c>
      <c r="AP394">
        <f ca="1"/>
      </c>
      <c r="AQ394">
        <f ca="1"/>
      </c>
      <c r="AR394">
        <f ca="1"/>
      </c>
      <c r="AS394">
        <f ca="1"/>
      </c>
      <c r="AT394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AZ394">
        <f ca="1"/>
      </c>
      <c r="BA394">
        <f ca="1"/>
      </c>
      <c r="BB394">
        <f ca="1"/>
      </c>
      <c r="BC394">
        <f ca="1"/>
      </c>
      <c r="BD394">
        <f ca="1"/>
      </c>
      <c r="BE394">
        <f ca="1"/>
      </c>
      <c r="BF394">
        <f ca="1"/>
      </c>
      <c r="BG394">
        <f ca="1"/>
      </c>
      <c r="BH394">
        <f ca="1"/>
      </c>
      <c r="BI394">
        <f ca="1"/>
      </c>
      <c r="BJ394">
        <f ca="1"/>
      </c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F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B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M394" s="7"/>
    </row>
    <row r="395" spans="41:195" x14ac:dyDescent="0.55000000000000004">
      <c r="AO395">
        <f ca="1"/>
      </c>
      <c r="AP395">
        <f ca="1"/>
      </c>
      <c r="AQ395">
        <f ca="1"/>
      </c>
      <c r="AR395">
        <f ca="1"/>
      </c>
      <c r="AS395">
        <f ca="1"/>
      </c>
      <c r="AT395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AZ395">
        <f ca="1"/>
      </c>
      <c r="BA395">
        <f ca="1"/>
      </c>
      <c r="BB395">
        <f ca="1"/>
      </c>
      <c r="BC395">
        <f ca="1"/>
      </c>
      <c r="BD395">
        <f ca="1"/>
      </c>
      <c r="BE395">
        <f ca="1"/>
      </c>
      <c r="BF395">
        <f ca="1"/>
      </c>
      <c r="BG395">
        <f ca="1"/>
      </c>
      <c r="BH395">
        <f ca="1"/>
      </c>
      <c r="BI395">
        <f ca="1"/>
      </c>
      <c r="BJ395">
        <f ca="1"/>
      </c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F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B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M395" s="7"/>
    </row>
    <row r="396" spans="41:195" x14ac:dyDescent="0.55000000000000004">
      <c r="AO396">
        <f ca="1"/>
      </c>
      <c r="AP396">
        <f ca="1"/>
      </c>
      <c r="AQ396">
        <f ca="1"/>
      </c>
      <c r="AR396">
        <f ca="1"/>
      </c>
      <c r="AS396">
        <f ca="1"/>
      </c>
      <c r="AT396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AZ396">
        <f ca="1"/>
      </c>
      <c r="BA396">
        <f ca="1"/>
      </c>
      <c r="BB396">
        <f ca="1"/>
      </c>
      <c r="BC396">
        <f ca="1"/>
      </c>
      <c r="BD396">
        <f ca="1"/>
      </c>
      <c r="BE396">
        <f ca="1"/>
      </c>
      <c r="BF396">
        <f ca="1"/>
      </c>
      <c r="BG396">
        <f ca="1"/>
      </c>
      <c r="BH396">
        <f ca="1"/>
      </c>
      <c r="BI396">
        <f ca="1"/>
      </c>
      <c r="BJ396">
        <f ca="1"/>
      </c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F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B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M396" s="7"/>
    </row>
    <row r="397" spans="41:195" x14ac:dyDescent="0.55000000000000004">
      <c r="AO397">
        <f ca="1"/>
      </c>
      <c r="AP397">
        <f ca="1"/>
      </c>
      <c r="AQ397">
        <f ca="1"/>
      </c>
      <c r="AR397">
        <f ca="1"/>
      </c>
      <c r="AS397">
        <f ca="1"/>
      </c>
      <c r="AT39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AZ397">
        <f ca="1"/>
      </c>
      <c r="BA397">
        <f ca="1"/>
      </c>
      <c r="BB397">
        <f ca="1"/>
      </c>
      <c r="BC397">
        <f ca="1"/>
      </c>
      <c r="BD397">
        <f ca="1"/>
      </c>
      <c r="BE397">
        <f ca="1"/>
      </c>
      <c r="BF397">
        <f ca="1"/>
      </c>
      <c r="BG397">
        <f ca="1"/>
      </c>
      <c r="BH397">
        <f ca="1"/>
      </c>
      <c r="BI397">
        <f ca="1"/>
      </c>
      <c r="BJ397">
        <f ca="1"/>
      </c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F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B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M397" s="7"/>
    </row>
    <row r="398" spans="41:195" x14ac:dyDescent="0.55000000000000004">
      <c r="AO398">
        <f ca="1"/>
      </c>
      <c r="AP398">
        <f ca="1"/>
      </c>
      <c r="AQ398">
        <f ca="1"/>
      </c>
      <c r="AR398">
        <f ca="1"/>
      </c>
      <c r="AS398">
        <f ca="1"/>
      </c>
      <c r="AT398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AZ398">
        <f ca="1"/>
      </c>
      <c r="BA398">
        <f ca="1"/>
      </c>
      <c r="BB398">
        <f ca="1"/>
      </c>
      <c r="BC398">
        <f ca="1"/>
      </c>
      <c r="BD398">
        <f ca="1"/>
      </c>
      <c r="BE398">
        <f ca="1"/>
      </c>
      <c r="BF398">
        <f ca="1"/>
      </c>
      <c r="BG398">
        <f ca="1"/>
      </c>
      <c r="BH398">
        <f ca="1"/>
      </c>
      <c r="BI398">
        <f ca="1"/>
      </c>
      <c r="BJ398">
        <f ca="1"/>
      </c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F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B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M398" s="7"/>
    </row>
    <row r="399" spans="41:195" x14ac:dyDescent="0.55000000000000004">
      <c r="AO399">
        <f ca="1"/>
      </c>
      <c r="AP399">
        <f ca="1"/>
      </c>
      <c r="AQ399">
        <f ca="1"/>
      </c>
      <c r="AR399">
        <f ca="1"/>
      </c>
      <c r="AS399">
        <f ca="1"/>
      </c>
      <c r="AT399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AZ399">
        <f ca="1"/>
      </c>
      <c r="BA399">
        <f ca="1"/>
      </c>
      <c r="BB399">
        <f ca="1"/>
      </c>
      <c r="BC399">
        <f ca="1"/>
      </c>
      <c r="BD399">
        <f ca="1"/>
      </c>
      <c r="BE399">
        <f ca="1"/>
      </c>
      <c r="BF399">
        <f ca="1"/>
      </c>
      <c r="BG399">
        <f ca="1"/>
      </c>
      <c r="BH399">
        <f ca="1"/>
      </c>
      <c r="BI399">
        <f ca="1"/>
      </c>
      <c r="BJ399">
        <f ca="1"/>
      </c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F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B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M399" s="7"/>
    </row>
    <row r="400" spans="41:195" x14ac:dyDescent="0.55000000000000004">
      <c r="AO400">
        <f ca="1"/>
      </c>
      <c r="AP400">
        <f ca="1"/>
      </c>
      <c r="AQ400">
        <f ca="1"/>
      </c>
      <c r="AR400">
        <f ca="1"/>
      </c>
      <c r="AS400">
        <f ca="1"/>
      </c>
      <c r="AT400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AZ400">
        <f ca="1"/>
      </c>
      <c r="BA400">
        <f ca="1"/>
      </c>
      <c r="BB400">
        <f ca="1"/>
      </c>
      <c r="BC400">
        <f ca="1"/>
      </c>
      <c r="BD400">
        <f ca="1"/>
      </c>
      <c r="BE400">
        <f ca="1"/>
      </c>
      <c r="BF400">
        <f ca="1"/>
      </c>
      <c r="BG400">
        <f ca="1"/>
      </c>
      <c r="BH400">
        <f ca="1"/>
      </c>
      <c r="BI400">
        <f ca="1"/>
      </c>
      <c r="BJ400">
        <f ca="1"/>
      </c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F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B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M400" s="7"/>
    </row>
    <row r="401" spans="41:195" x14ac:dyDescent="0.55000000000000004">
      <c r="AO401">
        <f ca="1"/>
      </c>
      <c r="AP401">
        <f ca="1"/>
      </c>
      <c r="AQ401">
        <f ca="1"/>
      </c>
      <c r="AR401">
        <f ca="1"/>
      </c>
      <c r="AS401">
        <f ca="1"/>
      </c>
      <c r="AT401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AZ401">
        <f ca="1"/>
      </c>
      <c r="BA401">
        <f ca="1"/>
      </c>
      <c r="BB401">
        <f ca="1"/>
      </c>
      <c r="BC401">
        <f ca="1"/>
      </c>
      <c r="BD401">
        <f ca="1"/>
      </c>
      <c r="BE401">
        <f ca="1"/>
      </c>
      <c r="BF401">
        <f ca="1"/>
      </c>
      <c r="BG401">
        <f ca="1"/>
      </c>
      <c r="BH401">
        <f ca="1"/>
      </c>
      <c r="BI401">
        <f ca="1"/>
      </c>
      <c r="BJ401">
        <f ca="1"/>
      </c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F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B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M401" s="7"/>
    </row>
    <row r="402" spans="41:195" x14ac:dyDescent="0.55000000000000004">
      <c r="AO402">
        <f ca="1"/>
      </c>
      <c r="AP402">
        <f ca="1"/>
      </c>
      <c r="AQ402">
        <f ca="1"/>
      </c>
      <c r="AR402">
        <f ca="1"/>
      </c>
      <c r="AS402">
        <f ca="1"/>
      </c>
      <c r="AT402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AZ402">
        <f ca="1"/>
      </c>
      <c r="BA402">
        <f ca="1"/>
      </c>
      <c r="BB402">
        <f ca="1"/>
      </c>
      <c r="BC402">
        <f ca="1"/>
      </c>
      <c r="BD402">
        <f ca="1"/>
      </c>
      <c r="BE402">
        <f ca="1"/>
      </c>
      <c r="BF402">
        <f ca="1"/>
      </c>
      <c r="BG402">
        <f ca="1"/>
      </c>
      <c r="BH402">
        <f ca="1"/>
      </c>
      <c r="BI402">
        <f ca="1"/>
      </c>
      <c r="BJ402">
        <f ca="1"/>
      </c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F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B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M402" s="7"/>
    </row>
    <row r="403" spans="41:195" x14ac:dyDescent="0.55000000000000004">
      <c r="AO403">
        <f ca="1"/>
      </c>
      <c r="AP403">
        <f ca="1"/>
      </c>
      <c r="AQ403">
        <f ca="1"/>
      </c>
      <c r="AR403">
        <f ca="1"/>
      </c>
      <c r="AS403">
        <f ca="1"/>
      </c>
      <c r="AT403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AZ403">
        <f ca="1"/>
      </c>
      <c r="BA403">
        <f ca="1"/>
      </c>
      <c r="BB403">
        <f ca="1"/>
      </c>
      <c r="BC403">
        <f ca="1"/>
      </c>
      <c r="BD403">
        <f ca="1"/>
      </c>
      <c r="BE403">
        <f ca="1"/>
      </c>
      <c r="BF403">
        <f ca="1"/>
      </c>
      <c r="BG403">
        <f ca="1"/>
      </c>
      <c r="BH403">
        <f ca="1"/>
      </c>
      <c r="BI403">
        <f ca="1"/>
      </c>
      <c r="BJ403">
        <f ca="1"/>
      </c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F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B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M403" s="7"/>
    </row>
    <row r="404" spans="41:195" x14ac:dyDescent="0.55000000000000004">
      <c r="AO404">
        <f ca="1"/>
      </c>
      <c r="AP404">
        <f ca="1"/>
      </c>
      <c r="AQ404">
        <f ca="1"/>
      </c>
      <c r="AR404">
        <f ca="1"/>
      </c>
      <c r="AS404">
        <f ca="1"/>
      </c>
      <c r="AT404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AZ404">
        <f ca="1"/>
      </c>
      <c r="BA404">
        <f ca="1"/>
      </c>
      <c r="BB404">
        <f ca="1"/>
      </c>
      <c r="BC404">
        <f ca="1"/>
      </c>
      <c r="BD404">
        <f ca="1"/>
      </c>
      <c r="BE404">
        <f ca="1"/>
      </c>
      <c r="BF404">
        <f ca="1"/>
      </c>
      <c r="BG404">
        <f ca="1"/>
      </c>
      <c r="BH404">
        <f ca="1"/>
      </c>
      <c r="BI404">
        <f ca="1"/>
      </c>
      <c r="BJ404">
        <f ca="1"/>
      </c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F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M404" s="7"/>
    </row>
    <row r="405" spans="41:195" x14ac:dyDescent="0.55000000000000004">
      <c r="AO405">
        <f ca="1"/>
      </c>
      <c r="AP405">
        <f ca="1"/>
      </c>
      <c r="AQ405">
        <f ca="1"/>
      </c>
      <c r="AR405">
        <f ca="1"/>
      </c>
      <c r="AS405">
        <f ca="1"/>
      </c>
      <c r="AT405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AZ405">
        <f ca="1"/>
      </c>
      <c r="BA405">
        <f ca="1"/>
      </c>
      <c r="BB405">
        <f ca="1"/>
      </c>
      <c r="BC405">
        <f ca="1"/>
      </c>
      <c r="BD405">
        <f ca="1"/>
      </c>
      <c r="BE405">
        <f ca="1"/>
      </c>
      <c r="BF405">
        <f ca="1"/>
      </c>
      <c r="BG405">
        <f ca="1"/>
      </c>
      <c r="BH405">
        <f ca="1"/>
      </c>
      <c r="BI405">
        <f ca="1"/>
      </c>
      <c r="BJ405">
        <f ca="1"/>
      </c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F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M405" s="7"/>
    </row>
    <row r="406" spans="41:195" x14ac:dyDescent="0.55000000000000004">
      <c r="AO406">
        <f ca="1"/>
      </c>
      <c r="AP406">
        <f ca="1"/>
      </c>
      <c r="AQ406">
        <f ca="1"/>
      </c>
      <c r="AR406">
        <f ca="1"/>
      </c>
      <c r="AS406">
        <f ca="1"/>
      </c>
      <c r="AT406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AZ406">
        <f ca="1"/>
      </c>
      <c r="BA406">
        <f ca="1"/>
      </c>
      <c r="BB406">
        <f ca="1"/>
      </c>
      <c r="BC406">
        <f ca="1"/>
      </c>
      <c r="BD406">
        <f ca="1"/>
      </c>
      <c r="BE406">
        <f ca="1"/>
      </c>
      <c r="BF406">
        <f ca="1"/>
      </c>
      <c r="BG406">
        <f ca="1"/>
      </c>
      <c r="BH406">
        <f ca="1"/>
      </c>
      <c r="BI406">
        <f ca="1"/>
      </c>
      <c r="BJ406">
        <f ca="1"/>
      </c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F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M406" s="7"/>
    </row>
    <row r="407" spans="41:195" x14ac:dyDescent="0.55000000000000004">
      <c r="AO407">
        <f ca="1"/>
      </c>
      <c r="AP407">
        <f ca="1"/>
      </c>
      <c r="AQ407">
        <f ca="1"/>
      </c>
      <c r="AR407">
        <f ca="1"/>
      </c>
      <c r="AS407">
        <f ca="1"/>
      </c>
      <c r="AT40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AZ407">
        <f ca="1"/>
      </c>
      <c r="BA407">
        <f ca="1"/>
      </c>
      <c r="BB407">
        <f ca="1"/>
      </c>
      <c r="BC407">
        <f ca="1"/>
      </c>
      <c r="BD407">
        <f ca="1"/>
      </c>
      <c r="BE407">
        <f ca="1"/>
      </c>
      <c r="BF407">
        <f ca="1"/>
      </c>
      <c r="BG407">
        <f ca="1"/>
      </c>
      <c r="BH407">
        <f ca="1"/>
      </c>
      <c r="BI407">
        <f ca="1"/>
      </c>
      <c r="BJ407">
        <f ca="1"/>
      </c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F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M407" s="7"/>
    </row>
    <row r="408" spans="41:195" x14ac:dyDescent="0.55000000000000004">
      <c r="AO408">
        <f ca="1"/>
      </c>
      <c r="AP408">
        <f ca="1"/>
      </c>
      <c r="AQ408">
        <f ca="1"/>
      </c>
      <c r="AR408">
        <f ca="1"/>
      </c>
      <c r="AS408">
        <f ca="1"/>
      </c>
      <c r="AT408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AZ408">
        <f ca="1"/>
      </c>
      <c r="BA408">
        <f ca="1"/>
      </c>
      <c r="BB408">
        <f ca="1"/>
      </c>
      <c r="BC408">
        <f ca="1"/>
      </c>
      <c r="BD408">
        <f ca="1"/>
      </c>
      <c r="BE408">
        <f ca="1"/>
      </c>
      <c r="BF408">
        <f ca="1"/>
      </c>
      <c r="BG408">
        <f ca="1"/>
      </c>
      <c r="BH408">
        <f ca="1"/>
      </c>
      <c r="BI408">
        <f ca="1"/>
      </c>
      <c r="BJ408">
        <f ca="1"/>
      </c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F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M408" s="7"/>
    </row>
    <row r="409" spans="41:195" x14ac:dyDescent="0.55000000000000004">
      <c r="AO409">
        <f ca="1"/>
      </c>
      <c r="AP409">
        <f ca="1"/>
      </c>
      <c r="AQ409">
        <f ca="1"/>
      </c>
      <c r="AR409">
        <f ca="1"/>
      </c>
      <c r="AS409">
        <f ca="1"/>
      </c>
      <c r="AT409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AZ409">
        <f ca="1"/>
      </c>
      <c r="BA409">
        <f ca="1"/>
      </c>
      <c r="BB409">
        <f ca="1"/>
      </c>
      <c r="BC409">
        <f ca="1"/>
      </c>
      <c r="BD409">
        <f ca="1"/>
      </c>
      <c r="BE409">
        <f ca="1"/>
      </c>
      <c r="BF409">
        <f ca="1"/>
      </c>
      <c r="BG409">
        <f ca="1"/>
      </c>
      <c r="BH409">
        <f ca="1"/>
      </c>
      <c r="BI409">
        <f ca="1"/>
      </c>
      <c r="BJ409">
        <f ca="1"/>
      </c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F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M409" s="7"/>
    </row>
    <row r="410" spans="41:195" x14ac:dyDescent="0.55000000000000004">
      <c r="AO410">
        <f ca="1"/>
      </c>
      <c r="AP410">
        <f ca="1"/>
      </c>
      <c r="AQ410">
        <f ca="1"/>
      </c>
      <c r="AR410">
        <f ca="1"/>
      </c>
      <c r="AS410">
        <f ca="1"/>
      </c>
      <c r="AT410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AZ410">
        <f ca="1"/>
      </c>
      <c r="BA410">
        <f ca="1"/>
      </c>
      <c r="BB410">
        <f ca="1"/>
      </c>
      <c r="BC410">
        <f ca="1"/>
      </c>
      <c r="BD410">
        <f ca="1"/>
      </c>
      <c r="BE410">
        <f ca="1"/>
      </c>
      <c r="BF410">
        <f ca="1"/>
      </c>
      <c r="BG410">
        <f ca="1"/>
      </c>
      <c r="BH410">
        <f ca="1"/>
      </c>
      <c r="BI410">
        <f ca="1"/>
      </c>
      <c r="BJ410">
        <f ca="1"/>
      </c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F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M410" s="7"/>
    </row>
    <row r="411" spans="41:195" x14ac:dyDescent="0.55000000000000004">
      <c r="AO411">
        <f ca="1"/>
      </c>
      <c r="AP411">
        <f ca="1"/>
      </c>
      <c r="AQ411">
        <f ca="1"/>
      </c>
      <c r="AR411">
        <f ca="1"/>
      </c>
      <c r="AS411">
        <f ca="1"/>
      </c>
      <c r="AT411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AZ411">
        <f ca="1"/>
      </c>
      <c r="BA411">
        <f ca="1"/>
      </c>
      <c r="BB411">
        <f ca="1"/>
      </c>
      <c r="BC411">
        <f ca="1"/>
      </c>
      <c r="BD411">
        <f ca="1"/>
      </c>
      <c r="BE411">
        <f ca="1"/>
      </c>
      <c r="BF411">
        <f ca="1"/>
      </c>
      <c r="BG411">
        <f ca="1"/>
      </c>
      <c r="BH411">
        <f ca="1"/>
      </c>
      <c r="BI411">
        <f ca="1"/>
      </c>
      <c r="BJ411">
        <f ca="1"/>
      </c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F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M411" s="7"/>
    </row>
    <row r="412" spans="41:195" x14ac:dyDescent="0.55000000000000004">
      <c r="AO412">
        <f ca="1"/>
      </c>
      <c r="AP412">
        <f ca="1"/>
      </c>
      <c r="AQ412">
        <f ca="1"/>
      </c>
      <c r="AR412">
        <f ca="1"/>
      </c>
      <c r="AS412">
        <f ca="1"/>
      </c>
      <c r="AT412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AZ412">
        <f ca="1"/>
      </c>
      <c r="BA412">
        <f ca="1"/>
      </c>
      <c r="BB412">
        <f ca="1"/>
      </c>
      <c r="BC412">
        <f ca="1"/>
      </c>
      <c r="BD412">
        <f ca="1"/>
      </c>
      <c r="BE412">
        <f ca="1"/>
      </c>
      <c r="BF412">
        <f ca="1"/>
      </c>
      <c r="BG412">
        <f ca="1"/>
      </c>
      <c r="BH412">
        <f ca="1"/>
      </c>
      <c r="BI412">
        <f ca="1"/>
      </c>
      <c r="BJ412">
        <f ca="1"/>
      </c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F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M412" s="7"/>
    </row>
    <row r="413" spans="41:195" x14ac:dyDescent="0.55000000000000004">
      <c r="AO413">
        <f ca="1"/>
      </c>
      <c r="AP413">
        <f ca="1"/>
      </c>
      <c r="AQ413">
        <f ca="1"/>
      </c>
      <c r="AR413">
        <f ca="1"/>
      </c>
      <c r="AS413">
        <f ca="1"/>
      </c>
      <c r="AT413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AZ413">
        <f ca="1"/>
      </c>
      <c r="BA413">
        <f ca="1"/>
      </c>
      <c r="BB413">
        <f ca="1"/>
      </c>
      <c r="BC413">
        <f ca="1"/>
      </c>
      <c r="BD413">
        <f ca="1"/>
      </c>
      <c r="BE413">
        <f ca="1"/>
      </c>
      <c r="BF413">
        <f ca="1"/>
      </c>
      <c r="BG413">
        <f ca="1"/>
      </c>
      <c r="BH413">
        <f ca="1"/>
      </c>
      <c r="BI413">
        <f ca="1"/>
      </c>
      <c r="BJ413">
        <f ca="1"/>
      </c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F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M413" s="7"/>
    </row>
    <row r="414" spans="41:195" x14ac:dyDescent="0.55000000000000004">
      <c r="AO414">
        <f ca="1"/>
      </c>
      <c r="AP414">
        <f ca="1"/>
      </c>
      <c r="AQ414">
        <f ca="1"/>
      </c>
      <c r="AR414">
        <f ca="1"/>
      </c>
      <c r="AS414">
        <f ca="1"/>
      </c>
      <c r="AT414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AZ414">
        <f ca="1"/>
      </c>
      <c r="BA414">
        <f ca="1"/>
      </c>
      <c r="BB414">
        <f ca="1"/>
      </c>
      <c r="BC414">
        <f ca="1"/>
      </c>
      <c r="BD414">
        <f ca="1"/>
      </c>
      <c r="BE414">
        <f ca="1"/>
      </c>
      <c r="BF414">
        <f ca="1"/>
      </c>
      <c r="BG414">
        <f ca="1"/>
      </c>
      <c r="BH414">
        <f ca="1"/>
      </c>
      <c r="BI414">
        <f ca="1"/>
      </c>
      <c r="BJ414">
        <f ca="1"/>
      </c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F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M414" s="7"/>
    </row>
    <row r="415" spans="41:195" x14ac:dyDescent="0.55000000000000004">
      <c r="AO415">
        <f ca="1"/>
      </c>
      <c r="AP415">
        <f ca="1"/>
      </c>
      <c r="AQ415">
        <f ca="1"/>
      </c>
      <c r="AR415">
        <f ca="1"/>
      </c>
      <c r="AS415">
        <f ca="1"/>
      </c>
      <c r="AT415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AZ415">
        <f ca="1"/>
      </c>
      <c r="BA415">
        <f ca="1"/>
      </c>
      <c r="BB415">
        <f ca="1"/>
      </c>
      <c r="BC415">
        <f ca="1"/>
      </c>
      <c r="BD415">
        <f ca="1"/>
      </c>
      <c r="BE415">
        <f ca="1"/>
      </c>
      <c r="BF415">
        <f ca="1"/>
      </c>
      <c r="BG415">
        <f ca="1"/>
      </c>
      <c r="BH415">
        <f ca="1"/>
      </c>
      <c r="BI415">
        <f ca="1"/>
      </c>
      <c r="BJ415">
        <f ca="1"/>
      </c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F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M415" s="7"/>
    </row>
    <row r="416" spans="41:195" x14ac:dyDescent="0.55000000000000004">
      <c r="AO416">
        <f ca="1"/>
      </c>
      <c r="AP416">
        <f ca="1"/>
      </c>
      <c r="AQ416">
        <f ca="1"/>
      </c>
      <c r="AR416">
        <f ca="1"/>
      </c>
      <c r="AS416">
        <f ca="1"/>
      </c>
      <c r="AT416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AZ416">
        <f ca="1"/>
      </c>
      <c r="BA416">
        <f ca="1"/>
      </c>
      <c r="BB416">
        <f ca="1"/>
      </c>
      <c r="BC416">
        <f ca="1"/>
      </c>
      <c r="BD416">
        <f ca="1"/>
      </c>
      <c r="BE416">
        <f ca="1"/>
      </c>
      <c r="BF416">
        <f ca="1"/>
      </c>
      <c r="BG416">
        <f ca="1"/>
      </c>
      <c r="BH416">
        <f ca="1"/>
      </c>
      <c r="BI416">
        <f ca="1"/>
      </c>
      <c r="BJ416">
        <f ca="1"/>
      </c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F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M416" s="7"/>
    </row>
    <row r="417" spans="41:195" x14ac:dyDescent="0.55000000000000004">
      <c r="AO417">
        <f ca="1"/>
      </c>
      <c r="AP417">
        <f ca="1"/>
      </c>
      <c r="AQ417">
        <f ca="1"/>
      </c>
      <c r="AR417">
        <f ca="1"/>
      </c>
      <c r="AS417">
        <f ca="1"/>
      </c>
      <c r="AT41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AZ417">
        <f ca="1"/>
      </c>
      <c r="BA417">
        <f ca="1"/>
      </c>
      <c r="BB417">
        <f ca="1"/>
      </c>
      <c r="BC417">
        <f ca="1"/>
      </c>
      <c r="BD417">
        <f ca="1"/>
      </c>
      <c r="BE417">
        <f ca="1"/>
      </c>
      <c r="BF417">
        <f ca="1"/>
      </c>
      <c r="BG417">
        <f ca="1"/>
      </c>
      <c r="BH417">
        <f ca="1"/>
      </c>
      <c r="BI417">
        <f ca="1"/>
      </c>
      <c r="BJ417">
        <f ca="1"/>
      </c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F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M417" s="7"/>
    </row>
    <row r="418" spans="41:195" x14ac:dyDescent="0.55000000000000004">
      <c r="AO418">
        <f ca="1"/>
      </c>
      <c r="AP418">
        <f ca="1"/>
      </c>
      <c r="AQ418">
        <f ca="1"/>
      </c>
      <c r="AR418">
        <f ca="1"/>
      </c>
      <c r="AS418">
        <f ca="1"/>
      </c>
      <c r="AT418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AZ418">
        <f ca="1"/>
      </c>
      <c r="BA418">
        <f ca="1"/>
      </c>
      <c r="BB418">
        <f ca="1"/>
      </c>
      <c r="BC418">
        <f ca="1"/>
      </c>
      <c r="BD418">
        <f ca="1"/>
      </c>
      <c r="BE418">
        <f ca="1"/>
      </c>
      <c r="BF418">
        <f ca="1"/>
      </c>
      <c r="BG418">
        <f ca="1"/>
      </c>
      <c r="BH418">
        <f ca="1"/>
      </c>
      <c r="BI418">
        <f ca="1"/>
      </c>
      <c r="BJ418">
        <f ca="1"/>
      </c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F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M418" s="7"/>
    </row>
    <row r="419" spans="41:195" x14ac:dyDescent="0.55000000000000004">
      <c r="AO419">
        <f ca="1"/>
      </c>
      <c r="AP419">
        <f ca="1"/>
      </c>
      <c r="AQ419">
        <f ca="1"/>
      </c>
      <c r="AR419">
        <f ca="1"/>
      </c>
      <c r="AS419">
        <f ca="1"/>
      </c>
      <c r="AT419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AZ419">
        <f ca="1"/>
      </c>
      <c r="BA419">
        <f ca="1"/>
      </c>
      <c r="BB419">
        <f ca="1"/>
      </c>
      <c r="BC419">
        <f ca="1"/>
      </c>
      <c r="BD419">
        <f ca="1"/>
      </c>
      <c r="BE419">
        <f ca="1"/>
      </c>
      <c r="BF419">
        <f ca="1"/>
      </c>
      <c r="BG419">
        <f ca="1"/>
      </c>
      <c r="BH419">
        <f ca="1"/>
      </c>
      <c r="BI419">
        <f ca="1"/>
      </c>
      <c r="BJ419">
        <f ca="1"/>
      </c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F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M419" s="7"/>
    </row>
    <row r="420" spans="41:195" x14ac:dyDescent="0.55000000000000004">
      <c r="AO420">
        <f ca="1"/>
      </c>
      <c r="AP420">
        <f ca="1"/>
      </c>
      <c r="AQ420">
        <f ca="1"/>
      </c>
      <c r="AR420">
        <f ca="1"/>
      </c>
      <c r="AS420">
        <f ca="1"/>
      </c>
      <c r="AT420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AZ420">
        <f ca="1"/>
      </c>
      <c r="BA420">
        <f ca="1"/>
      </c>
      <c r="BB420">
        <f ca="1"/>
      </c>
      <c r="BC420">
        <f ca="1"/>
      </c>
      <c r="BD420">
        <f ca="1"/>
      </c>
      <c r="BE420">
        <f ca="1"/>
      </c>
      <c r="BF420">
        <f ca="1"/>
      </c>
      <c r="BG420">
        <f ca="1"/>
      </c>
      <c r="BH420">
        <f ca="1"/>
      </c>
      <c r="BI420">
        <f ca="1"/>
      </c>
      <c r="BJ420">
        <f ca="1"/>
      </c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F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M420" s="7"/>
    </row>
    <row r="421" spans="41:195" x14ac:dyDescent="0.55000000000000004">
      <c r="AO421">
        <f ca="1"/>
      </c>
      <c r="AP421">
        <f ca="1"/>
      </c>
      <c r="AQ421">
        <f ca="1"/>
      </c>
      <c r="AR421">
        <f ca="1"/>
      </c>
      <c r="AS421">
        <f ca="1"/>
      </c>
      <c r="AT421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AZ421">
        <f ca="1"/>
      </c>
      <c r="BA421">
        <f ca="1"/>
      </c>
      <c r="BB421">
        <f ca="1"/>
      </c>
      <c r="BC421">
        <f ca="1"/>
      </c>
      <c r="BD421">
        <f ca="1"/>
      </c>
      <c r="BE421">
        <f ca="1"/>
      </c>
      <c r="BF421">
        <f ca="1"/>
      </c>
      <c r="BG421">
        <f ca="1"/>
      </c>
      <c r="BH421">
        <f ca="1"/>
      </c>
      <c r="BI421">
        <f ca="1"/>
      </c>
      <c r="BJ421">
        <f ca="1"/>
      </c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F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M421" s="7"/>
    </row>
    <row r="422" spans="41:195" x14ac:dyDescent="0.55000000000000004">
      <c r="AO422">
        <f ca="1"/>
      </c>
      <c r="AP422">
        <f ca="1"/>
      </c>
      <c r="AQ422">
        <f ca="1"/>
      </c>
      <c r="AR422">
        <f ca="1"/>
      </c>
      <c r="AS422">
        <f ca="1"/>
      </c>
      <c r="AT422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AZ422">
        <f ca="1"/>
      </c>
      <c r="BA422">
        <f ca="1"/>
      </c>
      <c r="BB422">
        <f ca="1"/>
      </c>
      <c r="BC422">
        <f ca="1"/>
      </c>
      <c r="BD422">
        <f ca="1"/>
      </c>
      <c r="BE422">
        <f ca="1"/>
      </c>
      <c r="BF422">
        <f ca="1"/>
      </c>
      <c r="BG422">
        <f ca="1"/>
      </c>
      <c r="BH422">
        <f ca="1"/>
      </c>
      <c r="BI422">
        <f ca="1"/>
      </c>
      <c r="BJ422">
        <f ca="1"/>
      </c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F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B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M422" s="7"/>
    </row>
    <row r="423" spans="41:195" x14ac:dyDescent="0.55000000000000004">
      <c r="AO423">
        <f ca="1"/>
      </c>
      <c r="AP423">
        <f ca="1"/>
      </c>
      <c r="AQ423">
        <f ca="1"/>
      </c>
      <c r="AR423">
        <f ca="1"/>
      </c>
      <c r="AS423">
        <f ca="1"/>
      </c>
      <c r="AT423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AZ423">
        <f ca="1"/>
      </c>
      <c r="BA423">
        <f ca="1"/>
      </c>
      <c r="BB423">
        <f ca="1"/>
      </c>
      <c r="BC423">
        <f ca="1"/>
      </c>
      <c r="BD423">
        <f ca="1"/>
      </c>
      <c r="BE423">
        <f ca="1"/>
      </c>
      <c r="BF423">
        <f ca="1"/>
      </c>
      <c r="BG423">
        <f ca="1"/>
      </c>
      <c r="BH423">
        <f ca="1"/>
      </c>
      <c r="BI423">
        <f ca="1"/>
      </c>
      <c r="BJ423">
        <f ca="1"/>
      </c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F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B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M423" s="7"/>
    </row>
    <row r="424" spans="41:195" x14ac:dyDescent="0.55000000000000004">
      <c r="AO424">
        <f ca="1"/>
      </c>
      <c r="AP424">
        <f ca="1"/>
      </c>
      <c r="AQ424">
        <f ca="1"/>
      </c>
      <c r="AR424">
        <f ca="1"/>
      </c>
      <c r="AS424">
        <f ca="1"/>
      </c>
      <c r="AT424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AZ424">
        <f ca="1"/>
      </c>
      <c r="BA424">
        <f ca="1"/>
      </c>
      <c r="BB424">
        <f ca="1"/>
      </c>
      <c r="BC424">
        <f ca="1"/>
      </c>
      <c r="BD424">
        <f ca="1"/>
      </c>
      <c r="BE424">
        <f ca="1"/>
      </c>
      <c r="BF424">
        <f ca="1"/>
      </c>
      <c r="BG424">
        <f ca="1"/>
      </c>
      <c r="BH424">
        <f ca="1"/>
      </c>
      <c r="BI424">
        <f ca="1"/>
      </c>
      <c r="BJ424">
        <f ca="1"/>
      </c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F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B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M424" s="7"/>
    </row>
    <row r="425" spans="41:195" x14ac:dyDescent="0.55000000000000004">
      <c r="AO425">
        <f ca="1"/>
      </c>
      <c r="AP425">
        <f ca="1"/>
      </c>
      <c r="AQ425">
        <f ca="1"/>
      </c>
      <c r="AR425">
        <f ca="1"/>
      </c>
      <c r="AS425">
        <f ca="1"/>
      </c>
      <c r="AT425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AZ425">
        <f ca="1"/>
      </c>
      <c r="BA425">
        <f ca="1"/>
      </c>
      <c r="BB425">
        <f ca="1"/>
      </c>
      <c r="BC425">
        <f ca="1"/>
      </c>
      <c r="BD425">
        <f ca="1"/>
      </c>
      <c r="BE425">
        <f ca="1"/>
      </c>
      <c r="BF425">
        <f ca="1"/>
      </c>
      <c r="BG425">
        <f ca="1"/>
      </c>
      <c r="BH425">
        <f ca="1"/>
      </c>
      <c r="BI425">
        <f ca="1"/>
      </c>
      <c r="BJ425">
        <f ca="1"/>
      </c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F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B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M425" s="7"/>
    </row>
    <row r="426" spans="41:195" x14ac:dyDescent="0.55000000000000004">
      <c r="AO426">
        <f ca="1"/>
      </c>
      <c r="AP426">
        <f ca="1"/>
      </c>
      <c r="AQ426">
        <f ca="1"/>
      </c>
      <c r="AR426">
        <f ca="1"/>
      </c>
      <c r="AS426">
        <f ca="1"/>
      </c>
      <c r="AT426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AZ426">
        <f ca="1"/>
      </c>
      <c r="BA426">
        <f ca="1"/>
      </c>
      <c r="BB426">
        <f ca="1"/>
      </c>
      <c r="BC426">
        <f ca="1"/>
      </c>
      <c r="BD426">
        <f ca="1"/>
      </c>
      <c r="BE426">
        <f ca="1"/>
      </c>
      <c r="BF426">
        <f ca="1"/>
      </c>
      <c r="BG426">
        <f ca="1"/>
      </c>
      <c r="BH426">
        <f ca="1"/>
      </c>
      <c r="BI426">
        <f ca="1"/>
      </c>
      <c r="BJ426">
        <f ca="1"/>
      </c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F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B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M426" s="7"/>
    </row>
    <row r="427" spans="41:195" x14ac:dyDescent="0.55000000000000004">
      <c r="AO427">
        <f ca="1"/>
      </c>
      <c r="AP427">
        <f ca="1"/>
      </c>
      <c r="AQ427">
        <f ca="1"/>
      </c>
      <c r="AR427">
        <f ca="1"/>
      </c>
      <c r="AS427">
        <f ca="1"/>
      </c>
      <c r="AT42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AZ427">
        <f ca="1"/>
      </c>
      <c r="BA427">
        <f ca="1"/>
      </c>
      <c r="BB427">
        <f ca="1"/>
      </c>
      <c r="BC427">
        <f ca="1"/>
      </c>
      <c r="BD427">
        <f ca="1"/>
      </c>
      <c r="BE427">
        <f ca="1"/>
      </c>
      <c r="BF427">
        <f ca="1"/>
      </c>
      <c r="BG427">
        <f ca="1"/>
      </c>
      <c r="BH427">
        <f ca="1"/>
      </c>
      <c r="BI427">
        <f ca="1"/>
      </c>
      <c r="BJ427">
        <f ca="1"/>
      </c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F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B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M427" s="7"/>
    </row>
    <row r="428" spans="41:195" x14ac:dyDescent="0.55000000000000004">
      <c r="AO428">
        <f ca="1"/>
      </c>
      <c r="AP428">
        <f ca="1"/>
      </c>
      <c r="AQ428">
        <f ca="1"/>
      </c>
      <c r="AR428">
        <f ca="1"/>
      </c>
      <c r="AS428">
        <f ca="1"/>
      </c>
      <c r="AT428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AZ428">
        <f ca="1"/>
      </c>
      <c r="BA428">
        <f ca="1"/>
      </c>
      <c r="BB428">
        <f ca="1"/>
      </c>
      <c r="BC428">
        <f ca="1"/>
      </c>
      <c r="BD428">
        <f ca="1"/>
      </c>
      <c r="BE428">
        <f ca="1"/>
      </c>
      <c r="BF428">
        <f ca="1"/>
      </c>
      <c r="BG428">
        <f ca="1"/>
      </c>
      <c r="BH428">
        <f ca="1"/>
      </c>
      <c r="BI428">
        <f ca="1"/>
      </c>
      <c r="BJ428">
        <f ca="1"/>
      </c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F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B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M428" s="7"/>
    </row>
    <row r="429" spans="41:195" x14ac:dyDescent="0.55000000000000004">
      <c r="AO429">
        <f ca="1"/>
      </c>
      <c r="AP429">
        <f ca="1"/>
      </c>
      <c r="AQ429">
        <f ca="1"/>
      </c>
      <c r="AR429">
        <f ca="1"/>
      </c>
      <c r="AS429">
        <f ca="1"/>
      </c>
      <c r="AT429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AZ429">
        <f ca="1"/>
      </c>
      <c r="BA429">
        <f ca="1"/>
      </c>
      <c r="BB429">
        <f ca="1"/>
      </c>
      <c r="BC429">
        <f ca="1"/>
      </c>
      <c r="BD429">
        <f ca="1"/>
      </c>
      <c r="BE429">
        <f ca="1"/>
      </c>
      <c r="BF429">
        <f ca="1"/>
      </c>
      <c r="BG429">
        <f ca="1"/>
      </c>
      <c r="BH429">
        <f ca="1"/>
      </c>
      <c r="BI429">
        <f ca="1"/>
      </c>
      <c r="BJ429">
        <f ca="1"/>
      </c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F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B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M429" s="7"/>
    </row>
    <row r="430" spans="41:195" x14ac:dyDescent="0.55000000000000004">
      <c r="AO430">
        <f ca="1"/>
      </c>
      <c r="AP430">
        <f ca="1"/>
      </c>
      <c r="AQ430">
        <f ca="1"/>
      </c>
      <c r="AR430">
        <f ca="1"/>
      </c>
      <c r="AS430">
        <f ca="1"/>
      </c>
      <c r="AT430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AZ430">
        <f ca="1"/>
      </c>
      <c r="BA430">
        <f ca="1"/>
      </c>
      <c r="BB430">
        <f ca="1"/>
      </c>
      <c r="BC430">
        <f ca="1"/>
      </c>
      <c r="BD430">
        <f ca="1"/>
      </c>
      <c r="BE430">
        <f ca="1"/>
      </c>
      <c r="BF430">
        <f ca="1"/>
      </c>
      <c r="BG430">
        <f ca="1"/>
      </c>
      <c r="BH430">
        <f ca="1"/>
      </c>
      <c r="BI430">
        <f ca="1"/>
      </c>
      <c r="BJ430">
        <f ca="1"/>
      </c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F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B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M430" s="7"/>
    </row>
    <row r="431" spans="41:195" x14ac:dyDescent="0.55000000000000004">
      <c r="AO431">
        <f ca="1"/>
      </c>
      <c r="AP431">
        <f ca="1"/>
      </c>
      <c r="AQ431">
        <f ca="1"/>
      </c>
      <c r="AR431">
        <f ca="1"/>
      </c>
      <c r="AS431">
        <f ca="1"/>
      </c>
      <c r="AT431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AZ431">
        <f ca="1"/>
      </c>
      <c r="BA431">
        <f ca="1"/>
      </c>
      <c r="BB431">
        <f ca="1"/>
      </c>
      <c r="BC431">
        <f ca="1"/>
      </c>
      <c r="BD431">
        <f ca="1"/>
      </c>
      <c r="BE431">
        <f ca="1"/>
      </c>
      <c r="BF431">
        <f ca="1"/>
      </c>
      <c r="BG431">
        <f ca="1"/>
      </c>
      <c r="BH431">
        <f ca="1"/>
      </c>
      <c r="BI431">
        <f ca="1"/>
      </c>
      <c r="BJ431">
        <f ca="1"/>
      </c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F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B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M431" s="7"/>
    </row>
    <row r="432" spans="41:195" x14ac:dyDescent="0.55000000000000004">
      <c r="AO432">
        <f ca="1"/>
      </c>
      <c r="AP432">
        <f ca="1"/>
      </c>
      <c r="AQ432">
        <f ca="1"/>
      </c>
      <c r="AR432">
        <f ca="1"/>
      </c>
      <c r="AS432">
        <f ca="1"/>
      </c>
      <c r="AT432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AZ432">
        <f ca="1"/>
      </c>
      <c r="BA432">
        <f ca="1"/>
      </c>
      <c r="BB432">
        <f ca="1"/>
      </c>
      <c r="BC432">
        <f ca="1"/>
      </c>
      <c r="BD432">
        <f ca="1"/>
      </c>
      <c r="BE432">
        <f ca="1"/>
      </c>
      <c r="BF432">
        <f ca="1"/>
      </c>
      <c r="BG432">
        <f ca="1"/>
      </c>
      <c r="BH432">
        <f ca="1"/>
      </c>
      <c r="BI432">
        <f ca="1"/>
      </c>
      <c r="BJ432">
        <f ca="1"/>
      </c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F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B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M432" s="7"/>
    </row>
    <row r="433" spans="41:195" x14ac:dyDescent="0.55000000000000004">
      <c r="AO433">
        <f ca="1"/>
      </c>
      <c r="AP433">
        <f ca="1"/>
      </c>
      <c r="AQ433">
        <f ca="1"/>
      </c>
      <c r="AR433">
        <f ca="1"/>
      </c>
      <c r="AS433">
        <f ca="1"/>
      </c>
      <c r="AT433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AZ433">
        <f ca="1"/>
      </c>
      <c r="BA433">
        <f ca="1"/>
      </c>
      <c r="BB433">
        <f ca="1"/>
      </c>
      <c r="BC433">
        <f ca="1"/>
      </c>
      <c r="BD433">
        <f ca="1"/>
      </c>
      <c r="BE433">
        <f ca="1"/>
      </c>
      <c r="BF433">
        <f ca="1"/>
      </c>
      <c r="BG433">
        <f ca="1"/>
      </c>
      <c r="BH433">
        <f ca="1"/>
      </c>
      <c r="BI433">
        <f ca="1"/>
      </c>
      <c r="BJ433">
        <f ca="1"/>
      </c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F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B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M433" s="7"/>
    </row>
    <row r="434" spans="41:195" x14ac:dyDescent="0.55000000000000004">
      <c r="AO434">
        <f ca="1"/>
      </c>
      <c r="AP434">
        <f ca="1"/>
      </c>
      <c r="AQ434">
        <f ca="1"/>
      </c>
      <c r="AR434">
        <f ca="1"/>
      </c>
      <c r="AS434">
        <f ca="1"/>
      </c>
      <c r="AT434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AZ434">
        <f ca="1"/>
      </c>
      <c r="BA434">
        <f ca="1"/>
      </c>
      <c r="BB434">
        <f ca="1"/>
      </c>
      <c r="BC434">
        <f ca="1"/>
      </c>
      <c r="BD434">
        <f ca="1"/>
      </c>
      <c r="BE434">
        <f ca="1"/>
      </c>
      <c r="BF434">
        <f ca="1"/>
      </c>
      <c r="BG434">
        <f ca="1"/>
      </c>
      <c r="BH434">
        <f ca="1"/>
      </c>
      <c r="BI434">
        <f ca="1"/>
      </c>
      <c r="BJ434">
        <f ca="1"/>
      </c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F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B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M434" s="7"/>
    </row>
    <row r="435" spans="41:195" x14ac:dyDescent="0.55000000000000004">
      <c r="AO435">
        <f ca="1"/>
      </c>
      <c r="AP435">
        <f ca="1"/>
      </c>
      <c r="AQ435">
        <f ca="1"/>
      </c>
      <c r="AR435">
        <f ca="1"/>
      </c>
      <c r="AS435">
        <f ca="1"/>
      </c>
      <c r="AT435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AZ435">
        <f ca="1"/>
      </c>
      <c r="BA435">
        <f ca="1"/>
      </c>
      <c r="BB435">
        <f ca="1"/>
      </c>
      <c r="BC435">
        <f ca="1"/>
      </c>
      <c r="BD435">
        <f ca="1"/>
      </c>
      <c r="BE435">
        <f ca="1"/>
      </c>
      <c r="BF435">
        <f ca="1"/>
      </c>
      <c r="BG435">
        <f ca="1"/>
      </c>
      <c r="BH435">
        <f ca="1"/>
      </c>
      <c r="BI435">
        <f ca="1"/>
      </c>
      <c r="BJ435">
        <f ca="1"/>
      </c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F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B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M435" s="7"/>
    </row>
    <row r="436" spans="41:195" x14ac:dyDescent="0.55000000000000004">
      <c r="AO436">
        <f ca="1"/>
      </c>
      <c r="AP436">
        <f ca="1"/>
      </c>
      <c r="AQ436">
        <f ca="1"/>
      </c>
      <c r="AR436">
        <f ca="1"/>
      </c>
      <c r="AS436">
        <f ca="1"/>
      </c>
      <c r="AT436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AZ436">
        <f ca="1"/>
      </c>
      <c r="BA436">
        <f ca="1"/>
      </c>
      <c r="BB436">
        <f ca="1"/>
      </c>
      <c r="BC436">
        <f ca="1"/>
      </c>
      <c r="BD436">
        <f ca="1"/>
      </c>
      <c r="BE436">
        <f ca="1"/>
      </c>
      <c r="BF436">
        <f ca="1"/>
      </c>
      <c r="BG436">
        <f ca="1"/>
      </c>
      <c r="BH436">
        <f ca="1"/>
      </c>
      <c r="BI436">
        <f ca="1"/>
      </c>
      <c r="BJ436">
        <f ca="1"/>
      </c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F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B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M436" s="7"/>
    </row>
    <row r="437" spans="41:195" x14ac:dyDescent="0.55000000000000004">
      <c r="AO437">
        <f ca="1"/>
      </c>
      <c r="AP437">
        <f ca="1"/>
      </c>
      <c r="AQ437">
        <f ca="1"/>
      </c>
      <c r="AR437">
        <f ca="1"/>
      </c>
      <c r="AS437">
        <f ca="1"/>
      </c>
      <c r="AT43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AZ437">
        <f ca="1"/>
      </c>
      <c r="BA437">
        <f ca="1"/>
      </c>
      <c r="BB437">
        <f ca="1"/>
      </c>
      <c r="BC437">
        <f ca="1"/>
      </c>
      <c r="BD437">
        <f ca="1"/>
      </c>
      <c r="BE437">
        <f ca="1"/>
      </c>
      <c r="BF437">
        <f ca="1"/>
      </c>
      <c r="BG437">
        <f ca="1"/>
      </c>
      <c r="BH437">
        <f ca="1"/>
      </c>
      <c r="BI437">
        <f ca="1"/>
      </c>
      <c r="BJ437">
        <f ca="1"/>
      </c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F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B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M437" s="7"/>
    </row>
    <row r="438" spans="41:195" x14ac:dyDescent="0.55000000000000004">
      <c r="AO438">
        <f ca="1"/>
      </c>
      <c r="AP438">
        <f ca="1"/>
      </c>
      <c r="AQ438">
        <f ca="1"/>
      </c>
      <c r="AR438">
        <f ca="1"/>
      </c>
      <c r="AS438">
        <f ca="1"/>
      </c>
      <c r="AT438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AZ438">
        <f ca="1"/>
      </c>
      <c r="BA438">
        <f ca="1"/>
      </c>
      <c r="BB438">
        <f ca="1"/>
      </c>
      <c r="BC438">
        <f ca="1"/>
      </c>
      <c r="BD438">
        <f ca="1"/>
      </c>
      <c r="BE438">
        <f ca="1"/>
      </c>
      <c r="BF438">
        <f ca="1"/>
      </c>
      <c r="BG438">
        <f ca="1"/>
      </c>
      <c r="BH438">
        <f ca="1"/>
      </c>
      <c r="BI438">
        <f ca="1"/>
      </c>
      <c r="BJ438">
        <f ca="1"/>
      </c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F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B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M438" s="7"/>
    </row>
    <row r="439" spans="41:195" x14ac:dyDescent="0.55000000000000004">
      <c r="AO439">
        <f ca="1"/>
      </c>
      <c r="AP439">
        <f ca="1"/>
      </c>
      <c r="AQ439">
        <f ca="1"/>
      </c>
      <c r="AR439">
        <f ca="1"/>
      </c>
      <c r="AS439">
        <f ca="1"/>
      </c>
      <c r="AT439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AZ439">
        <f ca="1"/>
      </c>
      <c r="BA439">
        <f ca="1"/>
      </c>
      <c r="BB439">
        <f ca="1"/>
      </c>
      <c r="BC439">
        <f ca="1"/>
      </c>
      <c r="BD439">
        <f ca="1"/>
      </c>
      <c r="BE439">
        <f ca="1"/>
      </c>
      <c r="BF439">
        <f ca="1"/>
      </c>
      <c r="BG439">
        <f ca="1"/>
      </c>
      <c r="BH439">
        <f ca="1"/>
      </c>
      <c r="BI439">
        <f ca="1"/>
      </c>
      <c r="BJ439">
        <f ca="1"/>
      </c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F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B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M439" s="7"/>
    </row>
    <row r="440" spans="41:195" x14ac:dyDescent="0.55000000000000004">
      <c r="AO440">
        <f ca="1"/>
      </c>
      <c r="AP440">
        <f ca="1"/>
      </c>
      <c r="AQ440">
        <f ca="1"/>
      </c>
      <c r="AR440">
        <f ca="1"/>
      </c>
      <c r="AS440">
        <f ca="1"/>
      </c>
      <c r="AT440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AZ440">
        <f ca="1"/>
      </c>
      <c r="BA440">
        <f ca="1"/>
      </c>
      <c r="BB440">
        <f ca="1"/>
      </c>
      <c r="BC440">
        <f ca="1"/>
      </c>
      <c r="BD440">
        <f ca="1"/>
      </c>
      <c r="BE440">
        <f ca="1"/>
      </c>
      <c r="BF440">
        <f ca="1"/>
      </c>
      <c r="BG440">
        <f ca="1"/>
      </c>
      <c r="BH440">
        <f ca="1"/>
      </c>
      <c r="BI440">
        <f ca="1"/>
      </c>
      <c r="BJ440">
        <f ca="1"/>
      </c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F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B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M440" s="7"/>
    </row>
    <row r="441" spans="41:195" x14ac:dyDescent="0.55000000000000004">
      <c r="AO441">
        <f ca="1"/>
      </c>
      <c r="AP441">
        <f ca="1"/>
      </c>
      <c r="AQ441">
        <f ca="1"/>
      </c>
      <c r="AR441">
        <f ca="1"/>
      </c>
      <c r="AS441">
        <f ca="1"/>
      </c>
      <c r="AT441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AZ441">
        <f ca="1"/>
      </c>
      <c r="BA441">
        <f ca="1"/>
      </c>
      <c r="BB441">
        <f ca="1"/>
      </c>
      <c r="BC441">
        <f ca="1"/>
      </c>
      <c r="BD441">
        <f ca="1"/>
      </c>
      <c r="BE441">
        <f ca="1"/>
      </c>
      <c r="BF441">
        <f ca="1"/>
      </c>
      <c r="BG441">
        <f ca="1"/>
      </c>
      <c r="BH441">
        <f ca="1"/>
      </c>
      <c r="BI441">
        <f ca="1"/>
      </c>
      <c r="BJ441">
        <f ca="1"/>
      </c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F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B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M441" s="7"/>
    </row>
    <row r="442" spans="41:195" x14ac:dyDescent="0.55000000000000004">
      <c r="AO442">
        <f ca="1"/>
      </c>
      <c r="AP442">
        <f ca="1"/>
      </c>
      <c r="AQ442">
        <f ca="1"/>
      </c>
      <c r="AR442">
        <f ca="1"/>
      </c>
      <c r="AS442">
        <f ca="1"/>
      </c>
      <c r="AT442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AZ442">
        <f ca="1"/>
      </c>
      <c r="BA442">
        <f ca="1"/>
      </c>
      <c r="BB442">
        <f ca="1"/>
      </c>
      <c r="BC442">
        <f ca="1"/>
      </c>
      <c r="BD442">
        <f ca="1"/>
      </c>
      <c r="BE442">
        <f ca="1"/>
      </c>
      <c r="BF442">
        <f ca="1"/>
      </c>
      <c r="BG442">
        <f ca="1"/>
      </c>
      <c r="BH442">
        <f ca="1"/>
      </c>
      <c r="BI442">
        <f ca="1"/>
      </c>
      <c r="BJ442">
        <f ca="1"/>
      </c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F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B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M442" s="7"/>
    </row>
    <row r="443" spans="41:195" x14ac:dyDescent="0.55000000000000004">
      <c r="AO443">
        <f ca="1"/>
      </c>
      <c r="AP443">
        <f ca="1"/>
      </c>
      <c r="AQ443">
        <f ca="1"/>
      </c>
      <c r="AR443">
        <f ca="1"/>
      </c>
      <c r="AS443">
        <f ca="1"/>
      </c>
      <c r="AT443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AZ443">
        <f ca="1"/>
      </c>
      <c r="BA443">
        <f ca="1"/>
      </c>
      <c r="BB443">
        <f ca="1"/>
      </c>
      <c r="BC443">
        <f ca="1"/>
      </c>
      <c r="BD443">
        <f ca="1"/>
      </c>
      <c r="BE443">
        <f ca="1"/>
      </c>
      <c r="BF443">
        <f ca="1"/>
      </c>
      <c r="BG443">
        <f ca="1"/>
      </c>
      <c r="BH443">
        <f ca="1"/>
      </c>
      <c r="BI443">
        <f ca="1"/>
      </c>
      <c r="BJ443">
        <f ca="1"/>
      </c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F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B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M443" s="7"/>
    </row>
    <row r="444" spans="41:195" x14ac:dyDescent="0.55000000000000004">
      <c r="AO444">
        <f ca="1"/>
      </c>
      <c r="AP444">
        <f ca="1"/>
      </c>
      <c r="AQ444">
        <f ca="1"/>
      </c>
      <c r="AR444">
        <f ca="1"/>
      </c>
      <c r="AS444">
        <f ca="1"/>
      </c>
      <c r="AT444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AZ444">
        <f ca="1"/>
      </c>
      <c r="BA444">
        <f ca="1"/>
      </c>
      <c r="BB444">
        <f ca="1"/>
      </c>
      <c r="BC444">
        <f ca="1"/>
      </c>
      <c r="BD444">
        <f ca="1"/>
      </c>
      <c r="BE444">
        <f ca="1"/>
      </c>
      <c r="BF444">
        <f ca="1"/>
      </c>
      <c r="BG444">
        <f ca="1"/>
      </c>
      <c r="BH444">
        <f ca="1"/>
      </c>
      <c r="BI444">
        <f ca="1"/>
      </c>
      <c r="BJ444">
        <f ca="1"/>
      </c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F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B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M444" s="7"/>
    </row>
    <row r="445" spans="41:195" x14ac:dyDescent="0.55000000000000004">
      <c r="AO445">
        <f ca="1"/>
      </c>
      <c r="AP445">
        <f ca="1"/>
      </c>
      <c r="AQ445">
        <f ca="1"/>
      </c>
      <c r="AR445">
        <f ca="1"/>
      </c>
      <c r="AS445">
        <f ca="1"/>
      </c>
      <c r="AT445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AZ445">
        <f ca="1"/>
      </c>
      <c r="BA445">
        <f ca="1"/>
      </c>
      <c r="BB445">
        <f ca="1"/>
      </c>
      <c r="BC445">
        <f ca="1"/>
      </c>
      <c r="BD445">
        <f ca="1"/>
      </c>
      <c r="BE445">
        <f ca="1"/>
      </c>
      <c r="BF445">
        <f ca="1"/>
      </c>
      <c r="BG445">
        <f ca="1"/>
      </c>
      <c r="BH445">
        <f ca="1"/>
      </c>
      <c r="BI445">
        <f ca="1"/>
      </c>
      <c r="BJ445">
        <f ca="1"/>
      </c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F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B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M445" s="7"/>
    </row>
    <row r="446" spans="41:195" x14ac:dyDescent="0.55000000000000004">
      <c r="AO446">
        <f ca="1"/>
      </c>
      <c r="AP446">
        <f ca="1"/>
      </c>
      <c r="AQ446">
        <f ca="1"/>
      </c>
      <c r="AR446">
        <f ca="1"/>
      </c>
      <c r="AS446">
        <f ca="1"/>
      </c>
      <c r="AT446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AZ446">
        <f ca="1"/>
      </c>
      <c r="BA446">
        <f ca="1"/>
      </c>
      <c r="BB446">
        <f ca="1"/>
      </c>
      <c r="BC446">
        <f ca="1"/>
      </c>
      <c r="BD446">
        <f ca="1"/>
      </c>
      <c r="BE446">
        <f ca="1"/>
      </c>
      <c r="BF446">
        <f ca="1"/>
      </c>
      <c r="BG446">
        <f ca="1"/>
      </c>
      <c r="BH446">
        <f ca="1"/>
      </c>
      <c r="BI446">
        <f ca="1"/>
      </c>
      <c r="BJ446">
        <f ca="1"/>
      </c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F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B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M446" s="7"/>
    </row>
    <row r="447" spans="41:195" x14ac:dyDescent="0.55000000000000004">
      <c r="AO447">
        <f ca="1"/>
      </c>
      <c r="AP447">
        <f ca="1"/>
      </c>
      <c r="AQ447">
        <f ca="1"/>
      </c>
      <c r="AR447">
        <f ca="1"/>
      </c>
      <c r="AS447">
        <f ca="1"/>
      </c>
      <c r="AT44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AZ447">
        <f ca="1"/>
      </c>
      <c r="BA447">
        <f ca="1"/>
      </c>
      <c r="BB447">
        <f ca="1"/>
      </c>
      <c r="BC447">
        <f ca="1"/>
      </c>
      <c r="BD447">
        <f ca="1"/>
      </c>
      <c r="BE447">
        <f ca="1"/>
      </c>
      <c r="BF447">
        <f ca="1"/>
      </c>
      <c r="BG447">
        <f ca="1"/>
      </c>
      <c r="BH447">
        <f ca="1"/>
      </c>
      <c r="BI447">
        <f ca="1"/>
      </c>
      <c r="BJ447">
        <f ca="1"/>
      </c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F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B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M447" s="7"/>
    </row>
    <row r="448" spans="41:195" x14ac:dyDescent="0.55000000000000004">
      <c r="AO448">
        <f ca="1"/>
      </c>
      <c r="AP448">
        <f ca="1"/>
      </c>
      <c r="AQ448">
        <f ca="1"/>
      </c>
      <c r="AR448">
        <f ca="1"/>
      </c>
      <c r="AS448">
        <f ca="1"/>
      </c>
      <c r="AT448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AZ448">
        <f ca="1"/>
      </c>
      <c r="BA448">
        <f ca="1"/>
      </c>
      <c r="BB448">
        <f ca="1"/>
      </c>
      <c r="BC448">
        <f ca="1"/>
      </c>
      <c r="BD448">
        <f ca="1"/>
      </c>
      <c r="BE448">
        <f ca="1"/>
      </c>
      <c r="BF448">
        <f ca="1"/>
      </c>
      <c r="BG448">
        <f ca="1"/>
      </c>
      <c r="BH448">
        <f ca="1"/>
      </c>
      <c r="BI448">
        <f ca="1"/>
      </c>
      <c r="BJ448">
        <f ca="1"/>
      </c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F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B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M448" s="7"/>
    </row>
    <row r="449" spans="41:195" x14ac:dyDescent="0.55000000000000004">
      <c r="AO449">
        <f ca="1"/>
      </c>
      <c r="AP449">
        <f ca="1"/>
      </c>
      <c r="AQ449">
        <f ca="1"/>
      </c>
      <c r="AR449">
        <f ca="1"/>
      </c>
      <c r="AS449">
        <f ca="1"/>
      </c>
      <c r="AT449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AZ449">
        <f ca="1"/>
      </c>
      <c r="BA449">
        <f ca="1"/>
      </c>
      <c r="BB449">
        <f ca="1"/>
      </c>
      <c r="BC449">
        <f ca="1"/>
      </c>
      <c r="BD449">
        <f ca="1"/>
      </c>
      <c r="BE449">
        <f ca="1"/>
      </c>
      <c r="BF449">
        <f ca="1"/>
      </c>
      <c r="BG449">
        <f ca="1"/>
      </c>
      <c r="BH449">
        <f ca="1"/>
      </c>
      <c r="BI449">
        <f ca="1"/>
      </c>
      <c r="BJ449">
        <f ca="1"/>
      </c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F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B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M449" s="7"/>
    </row>
    <row r="450" spans="41:195" x14ac:dyDescent="0.55000000000000004">
      <c r="AO450">
        <f ca="1"/>
      </c>
      <c r="AP450">
        <f ca="1"/>
      </c>
      <c r="AQ450">
        <f ca="1"/>
      </c>
      <c r="AR450">
        <f ca="1"/>
      </c>
      <c r="AS450">
        <f ca="1"/>
      </c>
      <c r="AT450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AZ450">
        <f ca="1"/>
      </c>
      <c r="BA450">
        <f ca="1"/>
      </c>
      <c r="BB450">
        <f ca="1"/>
      </c>
      <c r="BC450">
        <f ca="1"/>
      </c>
      <c r="BD450">
        <f ca="1"/>
      </c>
      <c r="BE450">
        <f ca="1"/>
      </c>
      <c r="BF450">
        <f ca="1"/>
      </c>
      <c r="BG450">
        <f ca="1"/>
      </c>
      <c r="BH450">
        <f ca="1"/>
      </c>
      <c r="BI450">
        <f ca="1"/>
      </c>
      <c r="BJ450">
        <f ca="1"/>
      </c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F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B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M450" s="7"/>
    </row>
    <row r="451" spans="41:195" x14ac:dyDescent="0.55000000000000004">
      <c r="AO451">
        <f ca="1"/>
      </c>
      <c r="AP451">
        <f ca="1"/>
      </c>
      <c r="AQ451">
        <f ca="1"/>
      </c>
      <c r="AR451">
        <f ca="1"/>
      </c>
      <c r="AS451">
        <f ca="1"/>
      </c>
      <c r="AT451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AZ451">
        <f ca="1"/>
      </c>
      <c r="BA451">
        <f ca="1"/>
      </c>
      <c r="BB451">
        <f ca="1"/>
      </c>
      <c r="BC451">
        <f ca="1"/>
      </c>
      <c r="BD451">
        <f ca="1"/>
      </c>
      <c r="BE451">
        <f ca="1"/>
      </c>
      <c r="BF451">
        <f ca="1"/>
      </c>
      <c r="BG451">
        <f ca="1"/>
      </c>
      <c r="BH451">
        <f ca="1"/>
      </c>
      <c r="BI451">
        <f ca="1"/>
      </c>
      <c r="BJ451">
        <f ca="1"/>
      </c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F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B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M451" s="7"/>
    </row>
    <row r="452" spans="41:195" x14ac:dyDescent="0.55000000000000004">
      <c r="AO452">
        <f ca="1"/>
      </c>
      <c r="AP452">
        <f ca="1"/>
      </c>
      <c r="AQ452">
        <f ca="1"/>
      </c>
      <c r="AR452">
        <f ca="1"/>
      </c>
      <c r="AS452">
        <f ca="1"/>
      </c>
      <c r="AT452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AZ452">
        <f ca="1"/>
      </c>
      <c r="BA452">
        <f ca="1"/>
      </c>
      <c r="BB452">
        <f ca="1"/>
      </c>
      <c r="BC452">
        <f ca="1"/>
      </c>
      <c r="BD452">
        <f ca="1"/>
      </c>
      <c r="BE452">
        <f ca="1"/>
      </c>
      <c r="BF452">
        <f ca="1"/>
      </c>
      <c r="BG452">
        <f ca="1"/>
      </c>
      <c r="BH452">
        <f ca="1"/>
      </c>
      <c r="BI452">
        <f ca="1"/>
      </c>
      <c r="BJ452">
        <f ca="1"/>
      </c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F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B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M452" s="7"/>
    </row>
    <row r="453" spans="41:195" x14ac:dyDescent="0.55000000000000004">
      <c r="AO453">
        <f ca="1"/>
      </c>
      <c r="AP453">
        <f ca="1"/>
      </c>
      <c r="AQ453">
        <f ca="1"/>
      </c>
      <c r="AR453">
        <f ca="1"/>
      </c>
      <c r="AS453">
        <f ca="1"/>
      </c>
      <c r="AT453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AZ453">
        <f ca="1"/>
      </c>
      <c r="BA453">
        <f ca="1"/>
      </c>
      <c r="BB453">
        <f ca="1"/>
      </c>
      <c r="BC453">
        <f ca="1"/>
      </c>
      <c r="BD453">
        <f ca="1"/>
      </c>
      <c r="BE453">
        <f ca="1"/>
      </c>
      <c r="BF453">
        <f ca="1"/>
      </c>
      <c r="BG453">
        <f ca="1"/>
      </c>
      <c r="BH453">
        <f ca="1"/>
      </c>
      <c r="BI453">
        <f ca="1"/>
      </c>
      <c r="BJ453">
        <f ca="1"/>
      </c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F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B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M453" s="7"/>
    </row>
    <row r="454" spans="41:195" x14ac:dyDescent="0.55000000000000004">
      <c r="AO454">
        <f ca="1"/>
      </c>
      <c r="AP454">
        <f ca="1"/>
      </c>
      <c r="AQ454">
        <f ca="1"/>
      </c>
      <c r="AR454">
        <f ca="1"/>
      </c>
      <c r="AS454">
        <f ca="1"/>
      </c>
      <c r="AT454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AZ454">
        <f ca="1"/>
      </c>
      <c r="BA454">
        <f ca="1"/>
      </c>
      <c r="BB454">
        <f ca="1"/>
      </c>
      <c r="BC454">
        <f ca="1"/>
      </c>
      <c r="BD454">
        <f ca="1"/>
      </c>
      <c r="BE454">
        <f ca="1"/>
      </c>
      <c r="BF454">
        <f ca="1"/>
      </c>
      <c r="BG454">
        <f ca="1"/>
      </c>
      <c r="BH454">
        <f ca="1"/>
      </c>
      <c r="BI454">
        <f ca="1"/>
      </c>
      <c r="BJ454">
        <f ca="1"/>
      </c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F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M454" s="7"/>
    </row>
    <row r="455" spans="41:195" x14ac:dyDescent="0.55000000000000004">
      <c r="AO455">
        <f ca="1"/>
      </c>
      <c r="AP455">
        <f ca="1"/>
      </c>
      <c r="AQ455">
        <f ca="1"/>
      </c>
      <c r="AR455">
        <f ca="1"/>
      </c>
      <c r="AS455">
        <f ca="1"/>
      </c>
      <c r="AT455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AZ455">
        <f ca="1"/>
      </c>
      <c r="BA455">
        <f ca="1"/>
      </c>
      <c r="BB455">
        <f ca="1"/>
      </c>
      <c r="BC455">
        <f ca="1"/>
      </c>
      <c r="BD455">
        <f ca="1"/>
      </c>
      <c r="BE455">
        <f ca="1"/>
      </c>
      <c r="BF455">
        <f ca="1"/>
      </c>
      <c r="BG455">
        <f ca="1"/>
      </c>
      <c r="BH455">
        <f ca="1"/>
      </c>
      <c r="BI455">
        <f ca="1"/>
      </c>
      <c r="BJ455">
        <f ca="1"/>
      </c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F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M455" s="7"/>
    </row>
    <row r="456" spans="41:195" x14ac:dyDescent="0.55000000000000004">
      <c r="AO456">
        <f ca="1"/>
      </c>
      <c r="AP456">
        <f ca="1"/>
      </c>
      <c r="AQ456">
        <f ca="1"/>
      </c>
      <c r="AR456">
        <f ca="1"/>
      </c>
      <c r="AS456">
        <f ca="1"/>
      </c>
      <c r="AT456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AZ456">
        <f ca="1"/>
      </c>
      <c r="BA456">
        <f ca="1"/>
      </c>
      <c r="BB456">
        <f ca="1"/>
      </c>
      <c r="BC456">
        <f ca="1"/>
      </c>
      <c r="BD456">
        <f ca="1"/>
      </c>
      <c r="BE456">
        <f ca="1"/>
      </c>
      <c r="BF456">
        <f ca="1"/>
      </c>
      <c r="BG456">
        <f ca="1"/>
      </c>
      <c r="BH456">
        <f ca="1"/>
      </c>
      <c r="BI456">
        <f ca="1"/>
      </c>
      <c r="BJ456">
        <f ca="1"/>
      </c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F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M456" s="7"/>
    </row>
    <row r="457" spans="41:195" x14ac:dyDescent="0.55000000000000004">
      <c r="AO457">
        <f ca="1"/>
      </c>
      <c r="AP457">
        <f ca="1"/>
      </c>
      <c r="AQ457">
        <f ca="1"/>
      </c>
      <c r="AR457">
        <f ca="1"/>
      </c>
      <c r="AS457">
        <f ca="1"/>
      </c>
      <c r="AT45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AZ457">
        <f ca="1"/>
      </c>
      <c r="BA457">
        <f ca="1"/>
      </c>
      <c r="BB457">
        <f ca="1"/>
      </c>
      <c r="BC457">
        <f ca="1"/>
      </c>
      <c r="BD457">
        <f ca="1"/>
      </c>
      <c r="BE457">
        <f ca="1"/>
      </c>
      <c r="BF457">
        <f ca="1"/>
      </c>
      <c r="BG457">
        <f ca="1"/>
      </c>
      <c r="BH457">
        <f ca="1"/>
      </c>
      <c r="BI457">
        <f ca="1"/>
      </c>
      <c r="BJ457">
        <f ca="1"/>
      </c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F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M457" s="7"/>
    </row>
    <row r="458" spans="41:195" x14ac:dyDescent="0.55000000000000004">
      <c r="AO458">
        <f ca="1"/>
      </c>
      <c r="AP458">
        <f ca="1"/>
      </c>
      <c r="AQ458">
        <f ca="1"/>
      </c>
      <c r="AR458">
        <f ca="1"/>
      </c>
      <c r="AS458">
        <f ca="1"/>
      </c>
      <c r="AT458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AZ458">
        <f ca="1"/>
      </c>
      <c r="BA458">
        <f ca="1"/>
      </c>
      <c r="BB458">
        <f ca="1"/>
      </c>
      <c r="BC458">
        <f ca="1"/>
      </c>
      <c r="BD458">
        <f ca="1"/>
      </c>
      <c r="BE458">
        <f ca="1"/>
      </c>
      <c r="BF458">
        <f ca="1"/>
      </c>
      <c r="BG458">
        <f ca="1"/>
      </c>
      <c r="BH458">
        <f ca="1"/>
      </c>
      <c r="BI458">
        <f ca="1"/>
      </c>
      <c r="BJ458">
        <f ca="1"/>
      </c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F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M458" s="7"/>
    </row>
    <row r="459" spans="41:195" x14ac:dyDescent="0.55000000000000004">
      <c r="AO459">
        <f ca="1"/>
      </c>
      <c r="AP459">
        <f ca="1"/>
      </c>
      <c r="AQ459">
        <f ca="1"/>
      </c>
      <c r="AR459">
        <f ca="1"/>
      </c>
      <c r="AS459">
        <f ca="1"/>
      </c>
      <c r="AT459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AZ459">
        <f ca="1"/>
      </c>
      <c r="BA459">
        <f ca="1"/>
      </c>
      <c r="BB459">
        <f ca="1"/>
      </c>
      <c r="BC459">
        <f ca="1"/>
      </c>
      <c r="BD459">
        <f ca="1"/>
      </c>
      <c r="BE459">
        <f ca="1"/>
      </c>
      <c r="BF459">
        <f ca="1"/>
      </c>
      <c r="BG459">
        <f ca="1"/>
      </c>
      <c r="BH459">
        <f ca="1"/>
      </c>
      <c r="BI459">
        <f ca="1"/>
      </c>
      <c r="BJ459">
        <f ca="1"/>
      </c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F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M459" s="7"/>
    </row>
    <row r="460" spans="41:195" x14ac:dyDescent="0.55000000000000004">
      <c r="AO460">
        <f ca="1"/>
      </c>
      <c r="AP460">
        <f ca="1"/>
      </c>
      <c r="AQ460">
        <f ca="1"/>
      </c>
      <c r="AR460">
        <f ca="1"/>
      </c>
      <c r="AS460">
        <f ca="1"/>
      </c>
      <c r="AT460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AZ460">
        <f ca="1"/>
      </c>
      <c r="BA460">
        <f ca="1"/>
      </c>
      <c r="BB460">
        <f ca="1"/>
      </c>
      <c r="BC460">
        <f ca="1"/>
      </c>
      <c r="BD460">
        <f ca="1"/>
      </c>
      <c r="BE460">
        <f ca="1"/>
      </c>
      <c r="BF460">
        <f ca="1"/>
      </c>
      <c r="BG460">
        <f ca="1"/>
      </c>
      <c r="BH460">
        <f ca="1"/>
      </c>
      <c r="BI460">
        <f ca="1"/>
      </c>
      <c r="BJ460">
        <f ca="1"/>
      </c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F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M460" s="7"/>
    </row>
    <row r="461" spans="41:195" x14ac:dyDescent="0.55000000000000004">
      <c r="AO461">
        <f ca="1"/>
      </c>
      <c r="AP461">
        <f ca="1"/>
      </c>
      <c r="AQ461">
        <f ca="1"/>
      </c>
      <c r="AR461">
        <f ca="1"/>
      </c>
      <c r="AS461">
        <f ca="1"/>
      </c>
      <c r="AT461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AZ461">
        <f ca="1"/>
      </c>
      <c r="BA461">
        <f ca="1"/>
      </c>
      <c r="BB461">
        <f ca="1"/>
      </c>
      <c r="BC461">
        <f ca="1"/>
      </c>
      <c r="BD461">
        <f ca="1"/>
      </c>
      <c r="BE461">
        <f ca="1"/>
      </c>
      <c r="BF461">
        <f ca="1"/>
      </c>
      <c r="BG461">
        <f ca="1"/>
      </c>
      <c r="BH461">
        <f ca="1"/>
      </c>
      <c r="BI461">
        <f ca="1"/>
      </c>
      <c r="BJ461">
        <f ca="1"/>
      </c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F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M461" s="7"/>
    </row>
    <row r="462" spans="41:195" x14ac:dyDescent="0.55000000000000004">
      <c r="AO462">
        <f ca="1"/>
      </c>
      <c r="AP462">
        <f ca="1"/>
      </c>
      <c r="AQ462">
        <f ca="1"/>
      </c>
      <c r="AR462">
        <f ca="1"/>
      </c>
      <c r="AS462">
        <f ca="1"/>
      </c>
      <c r="AT462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AZ462">
        <f ca="1"/>
      </c>
      <c r="BA462">
        <f ca="1"/>
      </c>
      <c r="BB462">
        <f ca="1"/>
      </c>
      <c r="BC462">
        <f ca="1"/>
      </c>
      <c r="BD462">
        <f ca="1"/>
      </c>
      <c r="BE462">
        <f ca="1"/>
      </c>
      <c r="BF462">
        <f ca="1"/>
      </c>
      <c r="BG462">
        <f ca="1"/>
      </c>
      <c r="BH462">
        <f ca="1"/>
      </c>
      <c r="BI462">
        <f ca="1"/>
      </c>
      <c r="BJ462">
        <f ca="1"/>
      </c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F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M462" s="7"/>
    </row>
    <row r="463" spans="41:195" x14ac:dyDescent="0.55000000000000004">
      <c r="AO463">
        <f ca="1"/>
      </c>
      <c r="AP463">
        <f ca="1"/>
      </c>
      <c r="AQ463">
        <f ca="1"/>
      </c>
      <c r="AR463">
        <f ca="1"/>
      </c>
      <c r="AS463">
        <f ca="1"/>
      </c>
      <c r="AT463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AZ463">
        <f ca="1"/>
      </c>
      <c r="BA463">
        <f ca="1"/>
      </c>
      <c r="BB463">
        <f ca="1"/>
      </c>
      <c r="BC463">
        <f ca="1"/>
      </c>
      <c r="BD463">
        <f ca="1"/>
      </c>
      <c r="BE463">
        <f ca="1"/>
      </c>
      <c r="BF463">
        <f ca="1"/>
      </c>
      <c r="BG463">
        <f ca="1"/>
      </c>
      <c r="BH463">
        <f ca="1"/>
      </c>
      <c r="BI463">
        <f ca="1"/>
      </c>
      <c r="BJ463">
        <f ca="1"/>
      </c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F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M463" s="7"/>
    </row>
    <row r="464" spans="41:195" x14ac:dyDescent="0.55000000000000004">
      <c r="AO464">
        <f ca="1"/>
      </c>
      <c r="AP464">
        <f ca="1"/>
      </c>
      <c r="AQ464">
        <f ca="1"/>
      </c>
      <c r="AR464">
        <f ca="1"/>
      </c>
      <c r="AS464">
        <f ca="1"/>
      </c>
      <c r="AT464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AZ464">
        <f ca="1"/>
      </c>
      <c r="BA464">
        <f ca="1"/>
      </c>
      <c r="BB464">
        <f ca="1"/>
      </c>
      <c r="BC464">
        <f ca="1"/>
      </c>
      <c r="BD464">
        <f ca="1"/>
      </c>
      <c r="BE464">
        <f ca="1"/>
      </c>
      <c r="BF464">
        <f ca="1"/>
      </c>
      <c r="BG464">
        <f ca="1"/>
      </c>
      <c r="BH464">
        <f ca="1"/>
      </c>
      <c r="BI464">
        <f ca="1"/>
      </c>
      <c r="BJ464">
        <f ca="1"/>
      </c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F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M464" s="7"/>
    </row>
    <row r="465" spans="41:195" x14ac:dyDescent="0.55000000000000004">
      <c r="AO465">
        <f ca="1"/>
      </c>
      <c r="AP465">
        <f ca="1"/>
      </c>
      <c r="AQ465">
        <f ca="1"/>
      </c>
      <c r="AR465">
        <f ca="1"/>
      </c>
      <c r="AS465">
        <f ca="1"/>
      </c>
      <c r="AT465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AZ465">
        <f ca="1"/>
      </c>
      <c r="BA465">
        <f ca="1"/>
      </c>
      <c r="BB465">
        <f ca="1"/>
      </c>
      <c r="BC465">
        <f ca="1"/>
      </c>
      <c r="BD465">
        <f ca="1"/>
      </c>
      <c r="BE465">
        <f ca="1"/>
      </c>
      <c r="BF465">
        <f ca="1"/>
      </c>
      <c r="BG465">
        <f ca="1"/>
      </c>
      <c r="BH465">
        <f ca="1"/>
      </c>
      <c r="BI465">
        <f ca="1"/>
      </c>
      <c r="BJ465">
        <f ca="1"/>
      </c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F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M465" s="7"/>
    </row>
    <row r="466" spans="41:195" x14ac:dyDescent="0.55000000000000004">
      <c r="AO466">
        <f ca="1"/>
      </c>
      <c r="AP466">
        <f ca="1"/>
      </c>
      <c r="AQ466">
        <f ca="1"/>
      </c>
      <c r="AR466">
        <f ca="1"/>
      </c>
      <c r="AS466">
        <f ca="1"/>
      </c>
      <c r="AT466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AZ466">
        <f ca="1"/>
      </c>
      <c r="BA466">
        <f ca="1"/>
      </c>
      <c r="BB466">
        <f ca="1"/>
      </c>
      <c r="BC466">
        <f ca="1"/>
      </c>
      <c r="BD466">
        <f ca="1"/>
      </c>
      <c r="BE466">
        <f ca="1"/>
      </c>
      <c r="BF466">
        <f ca="1"/>
      </c>
      <c r="BG466">
        <f ca="1"/>
      </c>
      <c r="BH466">
        <f ca="1"/>
      </c>
      <c r="BI466">
        <f ca="1"/>
      </c>
      <c r="BJ466">
        <f ca="1"/>
      </c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F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M466" s="7"/>
    </row>
    <row r="467" spans="41:195" x14ac:dyDescent="0.55000000000000004">
      <c r="AO467">
        <f ca="1"/>
      </c>
      <c r="AP467">
        <f ca="1"/>
      </c>
      <c r="AQ467">
        <f ca="1"/>
      </c>
      <c r="AR467">
        <f ca="1"/>
      </c>
      <c r="AS467">
        <f ca="1"/>
      </c>
      <c r="AT46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AZ467">
        <f ca="1"/>
      </c>
      <c r="BA467">
        <f ca="1"/>
      </c>
      <c r="BB467">
        <f ca="1"/>
      </c>
      <c r="BC467">
        <f ca="1"/>
      </c>
      <c r="BD467">
        <f ca="1"/>
      </c>
      <c r="BE467">
        <f ca="1"/>
      </c>
      <c r="BF467">
        <f ca="1"/>
      </c>
      <c r="BG467">
        <f ca="1"/>
      </c>
      <c r="BH467">
        <f ca="1"/>
      </c>
      <c r="BI467">
        <f ca="1"/>
      </c>
      <c r="BJ467">
        <f ca="1"/>
      </c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F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M467" s="7"/>
    </row>
    <row r="468" spans="41:195" x14ac:dyDescent="0.55000000000000004">
      <c r="AO468">
        <f ca="1"/>
      </c>
      <c r="AP468">
        <f ca="1"/>
      </c>
      <c r="AQ468">
        <f ca="1"/>
      </c>
      <c r="AR468">
        <f ca="1"/>
      </c>
      <c r="AS468">
        <f ca="1"/>
      </c>
      <c r="AT468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AZ468">
        <f ca="1"/>
      </c>
      <c r="BA468">
        <f ca="1"/>
      </c>
      <c r="BB468">
        <f ca="1"/>
      </c>
      <c r="BC468">
        <f ca="1"/>
      </c>
      <c r="BD468">
        <f ca="1"/>
      </c>
      <c r="BE468">
        <f ca="1"/>
      </c>
      <c r="BF468">
        <f ca="1"/>
      </c>
      <c r="BG468">
        <f ca="1"/>
      </c>
      <c r="BH468">
        <f ca="1"/>
      </c>
      <c r="BI468">
        <f ca="1"/>
      </c>
      <c r="BJ468">
        <f ca="1"/>
      </c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F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M468" s="7"/>
    </row>
    <row r="469" spans="41:195" x14ac:dyDescent="0.55000000000000004">
      <c r="AO469">
        <f ca="1"/>
      </c>
      <c r="AP469">
        <f ca="1"/>
      </c>
      <c r="AQ469">
        <f ca="1"/>
      </c>
      <c r="AR469">
        <f ca="1"/>
      </c>
      <c r="AS469">
        <f ca="1"/>
      </c>
      <c r="AT469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AZ469">
        <f ca="1"/>
      </c>
      <c r="BA469">
        <f ca="1"/>
      </c>
      <c r="BB469">
        <f ca="1"/>
      </c>
      <c r="BC469">
        <f ca="1"/>
      </c>
      <c r="BD469">
        <f ca="1"/>
      </c>
      <c r="BE469">
        <f ca="1"/>
      </c>
      <c r="BF469">
        <f ca="1"/>
      </c>
      <c r="BG469">
        <f ca="1"/>
      </c>
      <c r="BH469">
        <f ca="1"/>
      </c>
      <c r="BI469">
        <f ca="1"/>
      </c>
      <c r="BJ469">
        <f ca="1"/>
      </c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F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M469" s="7"/>
    </row>
    <row r="470" spans="41:195" x14ac:dyDescent="0.55000000000000004">
      <c r="AO470">
        <f ca="1"/>
      </c>
      <c r="AP470">
        <f ca="1"/>
      </c>
      <c r="AQ470">
        <f ca="1"/>
      </c>
      <c r="AR470">
        <f ca="1"/>
      </c>
      <c r="AS470">
        <f ca="1"/>
      </c>
      <c r="AT470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AZ470">
        <f ca="1"/>
      </c>
      <c r="BA470">
        <f ca="1"/>
      </c>
      <c r="BB470">
        <f ca="1"/>
      </c>
      <c r="BC470">
        <f ca="1"/>
      </c>
      <c r="BD470">
        <f ca="1"/>
      </c>
      <c r="BE470">
        <f ca="1"/>
      </c>
      <c r="BF470">
        <f ca="1"/>
      </c>
      <c r="BG470">
        <f ca="1"/>
      </c>
      <c r="BH470">
        <f ca="1"/>
      </c>
      <c r="BI470">
        <f ca="1"/>
      </c>
      <c r="BJ470">
        <f ca="1"/>
      </c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F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M470" s="7"/>
    </row>
    <row r="471" spans="41:195" x14ac:dyDescent="0.55000000000000004">
      <c r="AO471">
        <f ca="1"/>
      </c>
      <c r="AP471">
        <f ca="1"/>
      </c>
      <c r="AQ471">
        <f ca="1"/>
      </c>
      <c r="AR471">
        <f ca="1"/>
      </c>
      <c r="AS471">
        <f ca="1"/>
      </c>
      <c r="AT471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AZ471">
        <f ca="1"/>
      </c>
      <c r="BA471">
        <f ca="1"/>
      </c>
      <c r="BB471">
        <f ca="1"/>
      </c>
      <c r="BC471">
        <f ca="1"/>
      </c>
      <c r="BD471">
        <f ca="1"/>
      </c>
      <c r="BE471">
        <f ca="1"/>
      </c>
      <c r="BF471">
        <f ca="1"/>
      </c>
      <c r="BG471">
        <f ca="1"/>
      </c>
      <c r="BH471">
        <f ca="1"/>
      </c>
      <c r="BI471">
        <f ca="1"/>
      </c>
      <c r="BJ471">
        <f ca="1"/>
      </c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F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M471" s="7"/>
    </row>
    <row r="472" spans="41:195" x14ac:dyDescent="0.55000000000000004">
      <c r="AO472">
        <f ca="1"/>
      </c>
      <c r="AP472">
        <f ca="1"/>
      </c>
      <c r="AQ472">
        <f ca="1"/>
      </c>
      <c r="AR472">
        <f ca="1"/>
      </c>
      <c r="AS472">
        <f ca="1"/>
      </c>
      <c r="AT472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AZ472">
        <f ca="1"/>
      </c>
      <c r="BA472">
        <f ca="1"/>
      </c>
      <c r="BB472">
        <f ca="1"/>
      </c>
      <c r="BC472">
        <f ca="1"/>
      </c>
      <c r="BD472">
        <f ca="1"/>
      </c>
      <c r="BE472">
        <f ca="1"/>
      </c>
      <c r="BF472">
        <f ca="1"/>
      </c>
      <c r="BG472">
        <f ca="1"/>
      </c>
      <c r="BH472">
        <f ca="1"/>
      </c>
      <c r="BI472">
        <f ca="1"/>
      </c>
      <c r="BJ472">
        <f ca="1"/>
      </c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F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B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M472" s="7"/>
    </row>
    <row r="473" spans="41:195" x14ac:dyDescent="0.55000000000000004">
      <c r="AO473">
        <f ca="1"/>
      </c>
      <c r="AP473">
        <f ca="1"/>
      </c>
      <c r="AQ473">
        <f ca="1"/>
      </c>
      <c r="AR473">
        <f ca="1"/>
      </c>
      <c r="AS473">
        <f ca="1"/>
      </c>
      <c r="AT473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AZ473">
        <f ca="1"/>
      </c>
      <c r="BA473">
        <f ca="1"/>
      </c>
      <c r="BB473">
        <f ca="1"/>
      </c>
      <c r="BC473">
        <f ca="1"/>
      </c>
      <c r="BD473">
        <f ca="1"/>
      </c>
      <c r="BE473">
        <f ca="1"/>
      </c>
      <c r="BF473">
        <f ca="1"/>
      </c>
      <c r="BG473">
        <f ca="1"/>
      </c>
      <c r="BH473">
        <f ca="1"/>
      </c>
      <c r="BI473">
        <f ca="1"/>
      </c>
      <c r="BJ473">
        <f ca="1"/>
      </c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F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B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M473" s="7"/>
    </row>
    <row r="474" spans="41:195" x14ac:dyDescent="0.55000000000000004">
      <c r="AO474">
        <f ca="1"/>
      </c>
      <c r="AP474">
        <f ca="1"/>
      </c>
      <c r="AQ474">
        <f ca="1"/>
      </c>
      <c r="AR474">
        <f ca="1"/>
      </c>
      <c r="AS474">
        <f ca="1"/>
      </c>
      <c r="AT474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AZ474">
        <f ca="1"/>
      </c>
      <c r="BA474">
        <f ca="1"/>
      </c>
      <c r="BB474">
        <f ca="1"/>
      </c>
      <c r="BC474">
        <f ca="1"/>
      </c>
      <c r="BD474">
        <f ca="1"/>
      </c>
      <c r="BE474">
        <f ca="1"/>
      </c>
      <c r="BF474">
        <f ca="1"/>
      </c>
      <c r="BG474">
        <f ca="1"/>
      </c>
      <c r="BH474">
        <f ca="1"/>
      </c>
      <c r="BI474">
        <f ca="1"/>
      </c>
      <c r="BJ474">
        <f ca="1"/>
      </c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F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B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M474" s="7"/>
    </row>
    <row r="475" spans="41:195" x14ac:dyDescent="0.55000000000000004">
      <c r="AO475">
        <f ca="1"/>
      </c>
      <c r="AP475">
        <f ca="1"/>
      </c>
      <c r="AQ475">
        <f ca="1"/>
      </c>
      <c r="AR475">
        <f ca="1"/>
      </c>
      <c r="AS475">
        <f ca="1"/>
      </c>
      <c r="AT475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AZ475">
        <f ca="1"/>
      </c>
      <c r="BA475">
        <f ca="1"/>
      </c>
      <c r="BB475">
        <f ca="1"/>
      </c>
      <c r="BC475">
        <f ca="1"/>
      </c>
      <c r="BD475">
        <f ca="1"/>
      </c>
      <c r="BE475">
        <f ca="1"/>
      </c>
      <c r="BF475">
        <f ca="1"/>
      </c>
      <c r="BG475">
        <f ca="1"/>
      </c>
      <c r="BH475">
        <f ca="1"/>
      </c>
      <c r="BI475">
        <f ca="1"/>
      </c>
      <c r="BJ475">
        <f ca="1"/>
      </c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F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B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M475" s="7"/>
    </row>
    <row r="476" spans="41:195" x14ac:dyDescent="0.55000000000000004">
      <c r="AO476">
        <f ca="1"/>
      </c>
      <c r="AP476">
        <f ca="1"/>
      </c>
      <c r="AQ476">
        <f ca="1"/>
      </c>
      <c r="AR476">
        <f ca="1"/>
      </c>
      <c r="AS476">
        <f ca="1"/>
      </c>
      <c r="AT476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AZ476">
        <f ca="1"/>
      </c>
      <c r="BA476">
        <f ca="1"/>
      </c>
      <c r="BB476">
        <f ca="1"/>
      </c>
      <c r="BC476">
        <f ca="1"/>
      </c>
      <c r="BD476">
        <f ca="1"/>
      </c>
      <c r="BE476">
        <f ca="1"/>
      </c>
      <c r="BF476">
        <f ca="1"/>
      </c>
      <c r="BG476">
        <f ca="1"/>
      </c>
      <c r="BH476">
        <f ca="1"/>
      </c>
      <c r="BI476">
        <f ca="1"/>
      </c>
      <c r="BJ476">
        <f ca="1"/>
      </c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F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B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M476" s="7"/>
    </row>
    <row r="477" spans="41:195" x14ac:dyDescent="0.55000000000000004">
      <c r="AO477">
        <f ca="1"/>
      </c>
      <c r="AP477">
        <f ca="1"/>
      </c>
      <c r="AQ477">
        <f ca="1"/>
      </c>
      <c r="AR477">
        <f ca="1"/>
      </c>
      <c r="AS477">
        <f ca="1"/>
      </c>
      <c r="AT47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AZ477">
        <f ca="1"/>
      </c>
      <c r="BA477">
        <f ca="1"/>
      </c>
      <c r="BB477">
        <f ca="1"/>
      </c>
      <c r="BC477">
        <f ca="1"/>
      </c>
      <c r="BD477">
        <f ca="1"/>
      </c>
      <c r="BE477">
        <f ca="1"/>
      </c>
      <c r="BF477">
        <f ca="1"/>
      </c>
      <c r="BG477">
        <f ca="1"/>
      </c>
      <c r="BH477">
        <f ca="1"/>
      </c>
      <c r="BI477">
        <f ca="1"/>
      </c>
      <c r="BJ477">
        <f ca="1"/>
      </c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F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B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M477" s="7"/>
    </row>
    <row r="478" spans="41:195" x14ac:dyDescent="0.55000000000000004">
      <c r="AO478">
        <f ca="1"/>
      </c>
      <c r="AP478">
        <f ca="1"/>
      </c>
      <c r="AQ478">
        <f ca="1"/>
      </c>
      <c r="AR478">
        <f ca="1"/>
      </c>
      <c r="AS478">
        <f ca="1"/>
      </c>
      <c r="AT478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AZ478">
        <f ca="1"/>
      </c>
      <c r="BA478">
        <f ca="1"/>
      </c>
      <c r="BB478">
        <f ca="1"/>
      </c>
      <c r="BC478">
        <f ca="1"/>
      </c>
      <c r="BD478">
        <f ca="1"/>
      </c>
      <c r="BE478">
        <f ca="1"/>
      </c>
      <c r="BF478">
        <f ca="1"/>
      </c>
      <c r="BG478">
        <f ca="1"/>
      </c>
      <c r="BH478">
        <f ca="1"/>
      </c>
      <c r="BI478">
        <f ca="1"/>
      </c>
      <c r="BJ478">
        <f ca="1"/>
      </c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F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B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M478" s="7"/>
    </row>
    <row r="479" spans="41:195" x14ac:dyDescent="0.55000000000000004">
      <c r="AO479">
        <f ca="1"/>
      </c>
      <c r="AP479">
        <f ca="1"/>
      </c>
      <c r="AQ479">
        <f ca="1"/>
      </c>
      <c r="AR479">
        <f ca="1"/>
      </c>
      <c r="AS479">
        <f ca="1"/>
      </c>
      <c r="AT479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AZ479">
        <f ca="1"/>
      </c>
      <c r="BA479">
        <f ca="1"/>
      </c>
      <c r="BB479">
        <f ca="1"/>
      </c>
      <c r="BC479">
        <f ca="1"/>
      </c>
      <c r="BD479">
        <f ca="1"/>
      </c>
      <c r="BE479">
        <f ca="1"/>
      </c>
      <c r="BF479">
        <f ca="1"/>
      </c>
      <c r="BG479">
        <f ca="1"/>
      </c>
      <c r="BH479">
        <f ca="1"/>
      </c>
      <c r="BI479">
        <f ca="1"/>
      </c>
      <c r="BJ479">
        <f ca="1"/>
      </c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F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B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M479" s="7"/>
    </row>
    <row r="480" spans="41:195" x14ac:dyDescent="0.55000000000000004">
      <c r="AO480">
        <f ca="1"/>
      </c>
      <c r="AP480">
        <f ca="1"/>
      </c>
      <c r="AQ480">
        <f ca="1"/>
      </c>
      <c r="AR480">
        <f ca="1"/>
      </c>
      <c r="AS480">
        <f ca="1"/>
      </c>
      <c r="AT480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AZ480">
        <f ca="1"/>
      </c>
      <c r="BA480">
        <f ca="1"/>
      </c>
      <c r="BB480">
        <f ca="1"/>
      </c>
      <c r="BC480">
        <f ca="1"/>
      </c>
      <c r="BD480">
        <f ca="1"/>
      </c>
      <c r="BE480">
        <f ca="1"/>
      </c>
      <c r="BF480">
        <f ca="1"/>
      </c>
      <c r="BG480">
        <f ca="1"/>
      </c>
      <c r="BH480">
        <f ca="1"/>
      </c>
      <c r="BI480">
        <f ca="1"/>
      </c>
      <c r="BJ480">
        <f ca="1"/>
      </c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F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B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M480" s="7"/>
    </row>
    <row r="481" spans="41:195" x14ac:dyDescent="0.55000000000000004">
      <c r="AO481">
        <f ca="1"/>
      </c>
      <c r="AP481">
        <f ca="1"/>
      </c>
      <c r="AQ481">
        <f ca="1"/>
      </c>
      <c r="AR481">
        <f ca="1"/>
      </c>
      <c r="AS481">
        <f ca="1"/>
      </c>
      <c r="AT481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AZ481">
        <f ca="1"/>
      </c>
      <c r="BA481">
        <f ca="1"/>
      </c>
      <c r="BB481">
        <f ca="1"/>
      </c>
      <c r="BC481">
        <f ca="1"/>
      </c>
      <c r="BD481">
        <f ca="1"/>
      </c>
      <c r="BE481">
        <f ca="1"/>
      </c>
      <c r="BF481">
        <f ca="1"/>
      </c>
      <c r="BG481">
        <f ca="1"/>
      </c>
      <c r="BH481">
        <f ca="1"/>
      </c>
      <c r="BI481">
        <f ca="1"/>
      </c>
      <c r="BJ481">
        <f ca="1"/>
      </c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F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B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M481" s="7"/>
    </row>
    <row r="482" spans="41:195" x14ac:dyDescent="0.55000000000000004">
      <c r="AO482">
        <f ca="1"/>
      </c>
      <c r="AP482">
        <f ca="1"/>
      </c>
      <c r="AQ482">
        <f ca="1"/>
      </c>
      <c r="AR482">
        <f ca="1"/>
      </c>
      <c r="AS482">
        <f ca="1"/>
      </c>
      <c r="AT482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AZ482">
        <f ca="1"/>
      </c>
      <c r="BA482">
        <f ca="1"/>
      </c>
      <c r="BB482">
        <f ca="1"/>
      </c>
      <c r="BC482">
        <f ca="1"/>
      </c>
      <c r="BD482">
        <f ca="1"/>
      </c>
      <c r="BE482">
        <f ca="1"/>
      </c>
      <c r="BF482">
        <f ca="1"/>
      </c>
      <c r="BG482">
        <f ca="1"/>
      </c>
      <c r="BH482">
        <f ca="1"/>
      </c>
      <c r="BI482">
        <f ca="1"/>
      </c>
      <c r="BJ482">
        <f ca="1"/>
      </c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F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B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M482" s="7"/>
    </row>
    <row r="483" spans="41:195" x14ac:dyDescent="0.55000000000000004">
      <c r="AO483">
        <f ca="1"/>
      </c>
      <c r="AP483">
        <f ca="1"/>
      </c>
      <c r="AQ483">
        <f ca="1"/>
      </c>
      <c r="AR483">
        <f ca="1"/>
      </c>
      <c r="AS483">
        <f ca="1"/>
      </c>
      <c r="AT483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AZ483">
        <f ca="1"/>
      </c>
      <c r="BA483">
        <f ca="1"/>
      </c>
      <c r="BB483">
        <f ca="1"/>
      </c>
      <c r="BC483">
        <f ca="1"/>
      </c>
      <c r="BD483">
        <f ca="1"/>
      </c>
      <c r="BE483">
        <f ca="1"/>
      </c>
      <c r="BF483">
        <f ca="1"/>
      </c>
      <c r="BG483">
        <f ca="1"/>
      </c>
      <c r="BH483">
        <f ca="1"/>
      </c>
      <c r="BI483">
        <f ca="1"/>
      </c>
      <c r="BJ483">
        <f ca="1"/>
      </c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F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B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M483" s="7"/>
    </row>
    <row r="484" spans="41:195" x14ac:dyDescent="0.55000000000000004">
      <c r="AO484">
        <f ca="1"/>
      </c>
      <c r="AP484">
        <f ca="1"/>
      </c>
      <c r="AQ484">
        <f ca="1"/>
      </c>
      <c r="AR484">
        <f ca="1"/>
      </c>
      <c r="AS484">
        <f ca="1"/>
      </c>
      <c r="AT484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AZ484">
        <f ca="1"/>
      </c>
      <c r="BA484">
        <f ca="1"/>
      </c>
      <c r="BB484">
        <f ca="1"/>
      </c>
      <c r="BC484">
        <f ca="1"/>
      </c>
      <c r="BD484">
        <f ca="1"/>
      </c>
      <c r="BE484">
        <f ca="1"/>
      </c>
      <c r="BF484">
        <f ca="1"/>
      </c>
      <c r="BG484">
        <f ca="1"/>
      </c>
      <c r="BH484">
        <f ca="1"/>
      </c>
      <c r="BI484">
        <f ca="1"/>
      </c>
      <c r="BJ484">
        <f ca="1"/>
      </c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F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B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M484" s="7"/>
    </row>
    <row r="485" spans="41:195" x14ac:dyDescent="0.55000000000000004">
      <c r="AO485">
        <f ca="1"/>
      </c>
      <c r="AP485">
        <f ca="1"/>
      </c>
      <c r="AQ485">
        <f ca="1"/>
      </c>
      <c r="AR485">
        <f ca="1"/>
      </c>
      <c r="AS485">
        <f ca="1"/>
      </c>
      <c r="AT485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AZ485">
        <f ca="1"/>
      </c>
      <c r="BA485">
        <f ca="1"/>
      </c>
      <c r="BB485">
        <f ca="1"/>
      </c>
      <c r="BC485">
        <f ca="1"/>
      </c>
      <c r="BD485">
        <f ca="1"/>
      </c>
      <c r="BE485">
        <f ca="1"/>
      </c>
      <c r="BF485">
        <f ca="1"/>
      </c>
      <c r="BG485">
        <f ca="1"/>
      </c>
      <c r="BH485">
        <f ca="1"/>
      </c>
      <c r="BI485">
        <f ca="1"/>
      </c>
      <c r="BJ485">
        <f ca="1"/>
      </c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F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B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M485" s="7"/>
    </row>
    <row r="486" spans="41:195" x14ac:dyDescent="0.55000000000000004">
      <c r="AO486">
        <f ca="1"/>
      </c>
      <c r="AP486">
        <f ca="1"/>
      </c>
      <c r="AQ486">
        <f ca="1"/>
      </c>
      <c r="AR486">
        <f ca="1"/>
      </c>
      <c r="AS486">
        <f ca="1"/>
      </c>
      <c r="AT486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AZ486">
        <f ca="1"/>
      </c>
      <c r="BA486">
        <f ca="1"/>
      </c>
      <c r="BB486">
        <f ca="1"/>
      </c>
      <c r="BC486">
        <f ca="1"/>
      </c>
      <c r="BD486">
        <f ca="1"/>
      </c>
      <c r="BE486">
        <f ca="1"/>
      </c>
      <c r="BF486">
        <f ca="1"/>
      </c>
      <c r="BG486">
        <f ca="1"/>
      </c>
      <c r="BH486">
        <f ca="1"/>
      </c>
      <c r="BI486">
        <f ca="1"/>
      </c>
      <c r="BJ486">
        <f ca="1"/>
      </c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F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B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M486" s="7"/>
    </row>
    <row r="487" spans="41:195" x14ac:dyDescent="0.55000000000000004">
      <c r="GM487" s="7"/>
    </row>
    <row r="488" spans="41:195" x14ac:dyDescent="0.55000000000000004">
      <c r="GM488" s="7"/>
    </row>
    <row r="489" spans="41:195" x14ac:dyDescent="0.55000000000000004">
      <c r="GM489" s="7"/>
    </row>
    <row r="490" spans="41:195" x14ac:dyDescent="0.55000000000000004">
      <c r="GM490" s="7"/>
    </row>
    <row r="491" spans="41:195" x14ac:dyDescent="0.55000000000000004">
      <c r="GM491" s="7"/>
    </row>
    <row r="492" spans="41:195" x14ac:dyDescent="0.55000000000000004">
      <c r="GM492" s="7"/>
    </row>
    <row r="493" spans="41:195" x14ac:dyDescent="0.55000000000000004">
      <c r="GM493" s="7"/>
    </row>
    <row r="494" spans="41:195" x14ac:dyDescent="0.55000000000000004">
      <c r="GM494" s="7"/>
    </row>
    <row r="495" spans="41:195" x14ac:dyDescent="0.55000000000000004">
      <c r="GM495" s="7"/>
    </row>
    <row r="496" spans="41:195" x14ac:dyDescent="0.55000000000000004">
      <c r="GM496" s="7"/>
    </row>
    <row r="497" spans="195:195" x14ac:dyDescent="0.55000000000000004">
      <c r="GM497" s="7"/>
    </row>
    <row r="498" spans="195:195" x14ac:dyDescent="0.55000000000000004">
      <c r="GM498" s="7"/>
    </row>
    <row r="499" spans="195:195" x14ac:dyDescent="0.55000000000000004">
      <c r="GM499" s="7"/>
    </row>
    <row r="500" spans="195:195" x14ac:dyDescent="0.55000000000000004">
      <c r="GM500" s="7"/>
    </row>
    <row r="501" spans="195:195" x14ac:dyDescent="0.55000000000000004">
      <c r="GM501" s="7"/>
    </row>
    <row r="502" spans="195:195" x14ac:dyDescent="0.55000000000000004">
      <c r="GM502" s="7"/>
    </row>
    <row r="503" spans="195:195" x14ac:dyDescent="0.55000000000000004">
      <c r="GM503" s="7"/>
    </row>
    <row r="504" spans="195:195" x14ac:dyDescent="0.55000000000000004">
      <c r="GM504" s="7"/>
    </row>
    <row r="505" spans="195:195" x14ac:dyDescent="0.55000000000000004">
      <c r="GM505" s="7"/>
    </row>
    <row r="506" spans="195:195" x14ac:dyDescent="0.55000000000000004">
      <c r="GM506" s="7"/>
    </row>
    <row r="507" spans="195:195" x14ac:dyDescent="0.55000000000000004">
      <c r="GM507" s="7"/>
    </row>
    <row r="508" spans="195:195" x14ac:dyDescent="0.55000000000000004">
      <c r="GM508" s="7"/>
    </row>
    <row r="509" spans="195:195" x14ac:dyDescent="0.55000000000000004">
      <c r="GM509" s="7"/>
    </row>
    <row r="510" spans="195:195" x14ac:dyDescent="0.55000000000000004">
      <c r="GM510" s="7"/>
    </row>
    <row r="511" spans="195:195" x14ac:dyDescent="0.55000000000000004">
      <c r="GM511" s="7"/>
    </row>
    <row r="512" spans="195:195" x14ac:dyDescent="0.55000000000000004">
      <c r="GM512" s="7"/>
    </row>
    <row r="513" spans="195:195" x14ac:dyDescent="0.55000000000000004">
      <c r="GM513" s="7"/>
    </row>
    <row r="514" spans="195:195" x14ac:dyDescent="0.55000000000000004">
      <c r="GM514" s="7"/>
    </row>
    <row r="515" spans="195:195" x14ac:dyDescent="0.55000000000000004">
      <c r="GM515" s="7"/>
    </row>
    <row r="516" spans="195:195" x14ac:dyDescent="0.55000000000000004">
      <c r="GM516" s="7"/>
    </row>
    <row r="517" spans="195:195" x14ac:dyDescent="0.55000000000000004">
      <c r="GM517" s="7"/>
    </row>
    <row r="518" spans="195:195" x14ac:dyDescent="0.55000000000000004">
      <c r="GM518" s="7"/>
    </row>
    <row r="519" spans="195:195" x14ac:dyDescent="0.55000000000000004">
      <c r="GM519" s="7"/>
    </row>
    <row r="520" spans="195:195" x14ac:dyDescent="0.55000000000000004">
      <c r="GM520" s="7"/>
    </row>
    <row r="521" spans="195:195" x14ac:dyDescent="0.55000000000000004">
      <c r="GM521" s="7"/>
    </row>
    <row r="522" spans="195:195" x14ac:dyDescent="0.55000000000000004">
      <c r="GM522" s="7"/>
    </row>
    <row r="523" spans="195:195" x14ac:dyDescent="0.55000000000000004">
      <c r="GM523" s="7"/>
    </row>
    <row r="524" spans="195:195" x14ac:dyDescent="0.55000000000000004">
      <c r="GM524" s="7"/>
    </row>
    <row r="525" spans="195:195" x14ac:dyDescent="0.55000000000000004">
      <c r="GM525" s="7"/>
    </row>
    <row r="526" spans="195:195" x14ac:dyDescent="0.55000000000000004">
      <c r="GM526" s="7"/>
    </row>
    <row r="527" spans="195:195" x14ac:dyDescent="0.55000000000000004">
      <c r="GM527" s="7"/>
    </row>
    <row r="528" spans="195:195" x14ac:dyDescent="0.55000000000000004">
      <c r="GM528" s="7"/>
    </row>
    <row r="529" spans="195:195" x14ac:dyDescent="0.55000000000000004">
      <c r="GM529" s="7"/>
    </row>
    <row r="530" spans="195:195" x14ac:dyDescent="0.55000000000000004">
      <c r="GM530" s="7"/>
    </row>
    <row r="531" spans="195:195" x14ac:dyDescent="0.55000000000000004">
      <c r="GM531" s="7"/>
    </row>
    <row r="532" spans="195:195" x14ac:dyDescent="0.55000000000000004">
      <c r="GM532" s="7"/>
    </row>
    <row r="533" spans="195:195" x14ac:dyDescent="0.55000000000000004">
      <c r="GM533" s="7"/>
    </row>
    <row r="534" spans="195:195" x14ac:dyDescent="0.55000000000000004">
      <c r="GM534" s="7"/>
    </row>
    <row r="535" spans="195:195" x14ac:dyDescent="0.55000000000000004">
      <c r="GM535" s="7"/>
    </row>
    <row r="536" spans="195:195" x14ac:dyDescent="0.55000000000000004">
      <c r="GM536" s="7"/>
    </row>
    <row r="537" spans="195:195" x14ac:dyDescent="0.55000000000000004">
      <c r="GM537" s="7"/>
    </row>
    <row r="538" spans="195:195" x14ac:dyDescent="0.55000000000000004">
      <c r="GM538" s="7"/>
    </row>
    <row r="539" spans="195:195" x14ac:dyDescent="0.55000000000000004">
      <c r="GM539" s="7"/>
    </row>
    <row r="540" spans="195:195" x14ac:dyDescent="0.55000000000000004">
      <c r="GM540" s="7"/>
    </row>
    <row r="541" spans="195:195" x14ac:dyDescent="0.55000000000000004">
      <c r="GM541" s="7"/>
    </row>
    <row r="542" spans="195:195" x14ac:dyDescent="0.55000000000000004">
      <c r="GM542" s="7"/>
    </row>
    <row r="543" spans="195:195" x14ac:dyDescent="0.55000000000000004">
      <c r="GM543" s="7"/>
    </row>
    <row r="544" spans="195:195" x14ac:dyDescent="0.55000000000000004">
      <c r="GM544" s="7"/>
    </row>
    <row r="545" spans="195:195" x14ac:dyDescent="0.55000000000000004">
      <c r="GM545" s="7"/>
    </row>
    <row r="546" spans="195:195" x14ac:dyDescent="0.55000000000000004">
      <c r="GM546" s="7"/>
    </row>
    <row r="547" spans="195:195" x14ac:dyDescent="0.55000000000000004">
      <c r="GM547" s="7"/>
    </row>
    <row r="548" spans="195:195" x14ac:dyDescent="0.55000000000000004">
      <c r="GM548" s="7"/>
    </row>
    <row r="549" spans="195:195" x14ac:dyDescent="0.55000000000000004">
      <c r="GM549" s="7"/>
    </row>
    <row r="550" spans="195:195" x14ac:dyDescent="0.55000000000000004">
      <c r="GM550" s="7"/>
    </row>
    <row r="551" spans="195:195" x14ac:dyDescent="0.55000000000000004">
      <c r="GM551" s="7"/>
    </row>
    <row r="552" spans="195:195" x14ac:dyDescent="0.55000000000000004">
      <c r="GM552" s="7"/>
    </row>
    <row r="553" spans="195:195" x14ac:dyDescent="0.55000000000000004">
      <c r="GM553" s="7"/>
    </row>
    <row r="554" spans="195:195" x14ac:dyDescent="0.55000000000000004">
      <c r="GM554" s="7"/>
    </row>
    <row r="555" spans="195:195" x14ac:dyDescent="0.55000000000000004">
      <c r="GM555" s="7"/>
    </row>
    <row r="556" spans="195:195" x14ac:dyDescent="0.55000000000000004">
      <c r="GM556" s="7"/>
    </row>
    <row r="557" spans="195:195" x14ac:dyDescent="0.55000000000000004">
      <c r="GM557" s="7"/>
    </row>
    <row r="558" spans="195:195" x14ac:dyDescent="0.55000000000000004">
      <c r="GM558" s="7"/>
    </row>
    <row r="559" spans="195:195" x14ac:dyDescent="0.55000000000000004">
      <c r="GM559" s="7"/>
    </row>
    <row r="560" spans="195:195" x14ac:dyDescent="0.55000000000000004">
      <c r="GM560" s="7"/>
    </row>
    <row r="561" spans="195:195" x14ac:dyDescent="0.55000000000000004">
      <c r="GM561" s="7"/>
    </row>
    <row r="562" spans="195:195" x14ac:dyDescent="0.55000000000000004">
      <c r="GM562" s="7"/>
    </row>
    <row r="563" spans="195:195" x14ac:dyDescent="0.55000000000000004">
      <c r="GM563" s="7"/>
    </row>
    <row r="564" spans="195:195" x14ac:dyDescent="0.55000000000000004">
      <c r="GM564" s="7"/>
    </row>
    <row r="565" spans="195:195" x14ac:dyDescent="0.55000000000000004">
      <c r="GM565" s="7"/>
    </row>
    <row r="566" spans="195:195" x14ac:dyDescent="0.55000000000000004">
      <c r="GM566" s="7"/>
    </row>
    <row r="567" spans="195:195" x14ac:dyDescent="0.55000000000000004">
      <c r="GM567" s="7"/>
    </row>
    <row r="568" spans="195:195" x14ac:dyDescent="0.55000000000000004">
      <c r="GM568" s="7"/>
    </row>
    <row r="569" spans="195:195" x14ac:dyDescent="0.55000000000000004">
      <c r="GM569" s="7"/>
    </row>
    <row r="570" spans="195:195" x14ac:dyDescent="0.55000000000000004">
      <c r="GM570" s="7"/>
    </row>
    <row r="571" spans="195:195" x14ac:dyDescent="0.55000000000000004">
      <c r="GM571" s="7"/>
    </row>
    <row r="572" spans="195:195" x14ac:dyDescent="0.55000000000000004">
      <c r="GM572" s="7"/>
    </row>
    <row r="573" spans="195:195" x14ac:dyDescent="0.55000000000000004">
      <c r="GM573" s="7"/>
    </row>
    <row r="574" spans="195:195" x14ac:dyDescent="0.55000000000000004">
      <c r="GM574" s="7"/>
    </row>
    <row r="575" spans="195:195" x14ac:dyDescent="0.55000000000000004">
      <c r="GM575" s="7"/>
    </row>
    <row r="576" spans="195:195" x14ac:dyDescent="0.55000000000000004">
      <c r="GM576" s="7"/>
    </row>
    <row r="577" spans="195:195" x14ac:dyDescent="0.55000000000000004">
      <c r="GM577" s="7"/>
    </row>
    <row r="578" spans="195:195" x14ac:dyDescent="0.55000000000000004">
      <c r="GM578" s="7"/>
    </row>
    <row r="579" spans="195:195" x14ac:dyDescent="0.55000000000000004">
      <c r="GM579" s="7"/>
    </row>
    <row r="580" spans="195:195" x14ac:dyDescent="0.55000000000000004">
      <c r="GM580" s="7"/>
    </row>
    <row r="581" spans="195:195" x14ac:dyDescent="0.55000000000000004">
      <c r="GM581" s="7"/>
    </row>
    <row r="582" spans="195:195" x14ac:dyDescent="0.55000000000000004">
      <c r="GM582" s="7"/>
    </row>
    <row r="583" spans="195:195" x14ac:dyDescent="0.55000000000000004">
      <c r="GM583" s="7"/>
    </row>
    <row r="584" spans="195:195" x14ac:dyDescent="0.55000000000000004">
      <c r="GM584" s="7"/>
    </row>
    <row r="585" spans="195:195" x14ac:dyDescent="0.55000000000000004">
      <c r="GM585" s="7"/>
    </row>
    <row r="586" spans="195:195" x14ac:dyDescent="0.55000000000000004">
      <c r="GM586" s="7"/>
    </row>
    <row r="587" spans="195:195" x14ac:dyDescent="0.55000000000000004">
      <c r="GM587" s="7"/>
    </row>
    <row r="588" spans="195:195" x14ac:dyDescent="0.55000000000000004">
      <c r="GM588" s="7"/>
    </row>
    <row r="589" spans="195:195" x14ac:dyDescent="0.55000000000000004">
      <c r="GM589" s="7"/>
    </row>
    <row r="590" spans="195:195" x14ac:dyDescent="0.55000000000000004">
      <c r="GM590" s="7"/>
    </row>
    <row r="591" spans="195:195" x14ac:dyDescent="0.55000000000000004">
      <c r="GM591" s="7"/>
    </row>
    <row r="592" spans="195:195" x14ac:dyDescent="0.55000000000000004">
      <c r="GM592" s="7"/>
    </row>
    <row r="593" spans="195:195" x14ac:dyDescent="0.55000000000000004">
      <c r="GM593" s="7"/>
    </row>
    <row r="594" spans="195:195" x14ac:dyDescent="0.55000000000000004">
      <c r="GM594" s="7"/>
    </row>
    <row r="595" spans="195:195" x14ac:dyDescent="0.55000000000000004">
      <c r="GM595" s="7"/>
    </row>
    <row r="596" spans="195:195" x14ac:dyDescent="0.55000000000000004">
      <c r="GM596" s="7"/>
    </row>
    <row r="597" spans="195:195" x14ac:dyDescent="0.55000000000000004">
      <c r="GM597" s="7"/>
    </row>
    <row r="598" spans="195:195" x14ac:dyDescent="0.55000000000000004">
      <c r="GM598" s="7"/>
    </row>
    <row r="599" spans="195:195" x14ac:dyDescent="0.55000000000000004">
      <c r="GM599" s="7"/>
    </row>
    <row r="600" spans="195:195" x14ac:dyDescent="0.55000000000000004">
      <c r="GM600" s="7"/>
    </row>
    <row r="601" spans="195:195" x14ac:dyDescent="0.55000000000000004">
      <c r="GM601" s="7"/>
    </row>
    <row r="602" spans="195:195" x14ac:dyDescent="0.55000000000000004">
      <c r="GM602" s="7"/>
    </row>
    <row r="603" spans="195:195" x14ac:dyDescent="0.55000000000000004">
      <c r="GM603" s="7"/>
    </row>
    <row r="604" spans="195:195" x14ac:dyDescent="0.55000000000000004">
      <c r="GM604" s="7"/>
    </row>
    <row r="605" spans="195:195" x14ac:dyDescent="0.55000000000000004">
      <c r="GM605" s="7"/>
    </row>
    <row r="606" spans="195:195" x14ac:dyDescent="0.55000000000000004">
      <c r="GM606" s="7"/>
    </row>
    <row r="607" spans="195:195" x14ac:dyDescent="0.55000000000000004">
      <c r="GM607" s="7"/>
    </row>
    <row r="608" spans="195:195" x14ac:dyDescent="0.55000000000000004">
      <c r="GM608" s="7"/>
    </row>
    <row r="609" spans="195:195" x14ac:dyDescent="0.55000000000000004">
      <c r="GM609" s="7"/>
    </row>
    <row r="610" spans="195:195" x14ac:dyDescent="0.55000000000000004">
      <c r="GM610" s="7"/>
    </row>
    <row r="611" spans="195:195" x14ac:dyDescent="0.55000000000000004">
      <c r="GM611" s="7"/>
    </row>
    <row r="612" spans="195:195" x14ac:dyDescent="0.55000000000000004">
      <c r="GM612" s="7"/>
    </row>
    <row r="613" spans="195:195" x14ac:dyDescent="0.55000000000000004">
      <c r="GM613" s="7"/>
    </row>
    <row r="614" spans="195:195" x14ac:dyDescent="0.55000000000000004">
      <c r="GM614" s="7"/>
    </row>
    <row r="615" spans="195:195" x14ac:dyDescent="0.55000000000000004">
      <c r="GM615" s="7"/>
    </row>
    <row r="616" spans="195:195" x14ac:dyDescent="0.55000000000000004">
      <c r="GM616" s="7"/>
    </row>
    <row r="617" spans="195:195" x14ac:dyDescent="0.55000000000000004">
      <c r="GM617" s="7"/>
    </row>
    <row r="618" spans="195:195" x14ac:dyDescent="0.55000000000000004">
      <c r="GM618" s="7"/>
    </row>
    <row r="619" spans="195:195" x14ac:dyDescent="0.55000000000000004">
      <c r="GM619" s="7"/>
    </row>
    <row r="620" spans="195:195" x14ac:dyDescent="0.55000000000000004">
      <c r="GM620" s="7"/>
    </row>
    <row r="621" spans="195:195" x14ac:dyDescent="0.55000000000000004">
      <c r="GM621" s="7"/>
    </row>
    <row r="622" spans="195:195" x14ac:dyDescent="0.55000000000000004">
      <c r="GM622" s="7"/>
    </row>
    <row r="623" spans="195:195" x14ac:dyDescent="0.55000000000000004">
      <c r="GM623" s="7"/>
    </row>
    <row r="624" spans="195:195" x14ac:dyDescent="0.55000000000000004">
      <c r="GM624" s="7"/>
    </row>
    <row r="625" spans="195:195" x14ac:dyDescent="0.55000000000000004">
      <c r="GM625" s="7"/>
    </row>
    <row r="626" spans="195:195" x14ac:dyDescent="0.55000000000000004">
      <c r="GM626" s="7"/>
    </row>
    <row r="627" spans="195:195" x14ac:dyDescent="0.55000000000000004">
      <c r="GM627" s="7"/>
    </row>
    <row r="628" spans="195:195" x14ac:dyDescent="0.55000000000000004">
      <c r="GM628" s="7"/>
    </row>
    <row r="629" spans="195:195" x14ac:dyDescent="0.55000000000000004">
      <c r="GM629" s="7"/>
    </row>
    <row r="630" spans="195:195" x14ac:dyDescent="0.55000000000000004">
      <c r="GM630" s="7"/>
    </row>
    <row r="631" spans="195:195" x14ac:dyDescent="0.55000000000000004">
      <c r="GM631" s="7"/>
    </row>
    <row r="632" spans="195:195" x14ac:dyDescent="0.55000000000000004">
      <c r="GM632" s="7"/>
    </row>
    <row r="633" spans="195:195" x14ac:dyDescent="0.55000000000000004">
      <c r="GM633" s="7"/>
    </row>
    <row r="634" spans="195:195" x14ac:dyDescent="0.55000000000000004">
      <c r="GM634" s="7"/>
    </row>
    <row r="635" spans="195:195" x14ac:dyDescent="0.55000000000000004">
      <c r="GM635" s="7"/>
    </row>
    <row r="636" spans="195:195" x14ac:dyDescent="0.55000000000000004">
      <c r="GM636" s="7"/>
    </row>
    <row r="637" spans="195:195" x14ac:dyDescent="0.55000000000000004">
      <c r="GM637" s="7"/>
    </row>
    <row r="638" spans="195:195" x14ac:dyDescent="0.55000000000000004">
      <c r="GM638" s="7"/>
    </row>
    <row r="639" spans="195:195" x14ac:dyDescent="0.55000000000000004">
      <c r="GM639" s="7"/>
    </row>
    <row r="640" spans="195:195" x14ac:dyDescent="0.55000000000000004">
      <c r="GM640" s="7"/>
    </row>
    <row r="641" spans="195:195" x14ac:dyDescent="0.55000000000000004">
      <c r="GM641" s="7"/>
    </row>
    <row r="642" spans="195:195" x14ac:dyDescent="0.55000000000000004">
      <c r="GM642" s="7"/>
    </row>
    <row r="643" spans="195:195" x14ac:dyDescent="0.55000000000000004">
      <c r="GM643" s="7"/>
    </row>
    <row r="644" spans="195:195" x14ac:dyDescent="0.55000000000000004">
      <c r="GM644" s="7"/>
    </row>
    <row r="645" spans="195:195" x14ac:dyDescent="0.55000000000000004">
      <c r="GM645" s="7"/>
    </row>
    <row r="646" spans="195:195" x14ac:dyDescent="0.55000000000000004">
      <c r="GM646" s="7"/>
    </row>
    <row r="647" spans="195:195" x14ac:dyDescent="0.55000000000000004">
      <c r="GM647" s="7"/>
    </row>
    <row r="648" spans="195:195" x14ac:dyDescent="0.55000000000000004">
      <c r="GM648" s="7"/>
    </row>
    <row r="649" spans="195:195" x14ac:dyDescent="0.55000000000000004">
      <c r="GM649" s="7"/>
    </row>
    <row r="650" spans="195:195" x14ac:dyDescent="0.55000000000000004">
      <c r="GM650" s="7"/>
    </row>
    <row r="651" spans="195:195" x14ac:dyDescent="0.55000000000000004">
      <c r="GM651" s="7"/>
    </row>
    <row r="652" spans="195:195" x14ac:dyDescent="0.55000000000000004">
      <c r="GM652" s="7"/>
    </row>
    <row r="653" spans="195:195" x14ac:dyDescent="0.55000000000000004">
      <c r="GM653" s="7"/>
    </row>
    <row r="654" spans="195:195" x14ac:dyDescent="0.55000000000000004">
      <c r="GM654" s="7"/>
    </row>
    <row r="655" spans="195:195" x14ac:dyDescent="0.55000000000000004">
      <c r="GM655" s="7"/>
    </row>
    <row r="656" spans="195:195" x14ac:dyDescent="0.55000000000000004">
      <c r="GM656" s="7"/>
    </row>
    <row r="657" spans="195:195" x14ac:dyDescent="0.55000000000000004">
      <c r="GM657" s="7"/>
    </row>
    <row r="658" spans="195:195" x14ac:dyDescent="0.55000000000000004">
      <c r="GM658" s="7"/>
    </row>
    <row r="659" spans="195:195" x14ac:dyDescent="0.55000000000000004">
      <c r="GM659" s="7"/>
    </row>
    <row r="660" spans="195:195" x14ac:dyDescent="0.55000000000000004">
      <c r="GM660" s="7"/>
    </row>
    <row r="661" spans="195:195" x14ac:dyDescent="0.55000000000000004">
      <c r="GM661" s="7"/>
    </row>
    <row r="662" spans="195:195" x14ac:dyDescent="0.55000000000000004">
      <c r="GM662" s="7"/>
    </row>
    <row r="663" spans="195:195" x14ac:dyDescent="0.55000000000000004">
      <c r="GM663" s="7"/>
    </row>
    <row r="664" spans="195:195" x14ac:dyDescent="0.55000000000000004">
      <c r="GM664" s="7"/>
    </row>
    <row r="665" spans="195:195" x14ac:dyDescent="0.55000000000000004">
      <c r="GM665" s="7"/>
    </row>
    <row r="666" spans="195:195" x14ac:dyDescent="0.55000000000000004">
      <c r="GM666" s="7"/>
    </row>
    <row r="667" spans="195:195" x14ac:dyDescent="0.55000000000000004">
      <c r="GM667" s="7"/>
    </row>
    <row r="668" spans="195:195" x14ac:dyDescent="0.55000000000000004">
      <c r="GM668" s="7"/>
    </row>
    <row r="669" spans="195:195" x14ac:dyDescent="0.55000000000000004">
      <c r="GM669" s="7"/>
    </row>
    <row r="670" spans="195:195" x14ac:dyDescent="0.55000000000000004">
      <c r="GM670" s="7"/>
    </row>
    <row r="671" spans="195:195" x14ac:dyDescent="0.55000000000000004">
      <c r="GM671" s="7"/>
    </row>
    <row r="672" spans="195:195" x14ac:dyDescent="0.55000000000000004">
      <c r="GM672" s="7"/>
    </row>
    <row r="673" spans="195:195" x14ac:dyDescent="0.55000000000000004">
      <c r="GM673" s="7"/>
    </row>
    <row r="674" spans="195:195" x14ac:dyDescent="0.55000000000000004">
      <c r="GM674" s="7"/>
    </row>
    <row r="675" spans="195:195" x14ac:dyDescent="0.55000000000000004">
      <c r="GM675" s="7"/>
    </row>
    <row r="676" spans="195:195" x14ac:dyDescent="0.55000000000000004">
      <c r="GM676" s="7"/>
    </row>
    <row r="677" spans="195:195" x14ac:dyDescent="0.55000000000000004">
      <c r="GM677" s="7"/>
    </row>
    <row r="678" spans="195:195" x14ac:dyDescent="0.55000000000000004">
      <c r="GM678" s="7"/>
    </row>
    <row r="679" spans="195:195" x14ac:dyDescent="0.55000000000000004">
      <c r="GM679" s="7"/>
    </row>
    <row r="680" spans="195:195" x14ac:dyDescent="0.55000000000000004">
      <c r="GM680" s="7"/>
    </row>
    <row r="681" spans="195:195" x14ac:dyDescent="0.55000000000000004">
      <c r="GM681" s="7"/>
    </row>
    <row r="682" spans="195:195" x14ac:dyDescent="0.55000000000000004">
      <c r="GM682" s="7"/>
    </row>
    <row r="683" spans="195:195" x14ac:dyDescent="0.55000000000000004">
      <c r="GM683" s="7"/>
    </row>
    <row r="684" spans="195:195" x14ac:dyDescent="0.55000000000000004">
      <c r="GM684" s="7"/>
    </row>
    <row r="685" spans="195:195" x14ac:dyDescent="0.55000000000000004">
      <c r="GM685" s="7"/>
    </row>
    <row r="686" spans="195:195" x14ac:dyDescent="0.55000000000000004">
      <c r="GM686" s="7"/>
    </row>
    <row r="687" spans="195:195" x14ac:dyDescent="0.55000000000000004">
      <c r="GM687" s="7"/>
    </row>
    <row r="688" spans="195:195" x14ac:dyDescent="0.55000000000000004">
      <c r="GM688" s="7"/>
    </row>
    <row r="689" spans="195:195" x14ac:dyDescent="0.55000000000000004">
      <c r="GM689" s="7"/>
    </row>
    <row r="690" spans="195:195" x14ac:dyDescent="0.55000000000000004">
      <c r="GM690" s="7"/>
    </row>
    <row r="691" spans="195:195" x14ac:dyDescent="0.55000000000000004">
      <c r="GM691" s="7"/>
    </row>
    <row r="692" spans="195:195" x14ac:dyDescent="0.55000000000000004">
      <c r="GM692" s="7"/>
    </row>
    <row r="693" spans="195:195" x14ac:dyDescent="0.55000000000000004">
      <c r="GM693" s="7"/>
    </row>
    <row r="694" spans="195:195" x14ac:dyDescent="0.55000000000000004">
      <c r="GM694" s="7"/>
    </row>
    <row r="695" spans="195:195" x14ac:dyDescent="0.55000000000000004">
      <c r="GM695" s="7"/>
    </row>
    <row r="696" spans="195:195" x14ac:dyDescent="0.55000000000000004">
      <c r="GM696" s="7"/>
    </row>
    <row r="697" spans="195:195" x14ac:dyDescent="0.55000000000000004">
      <c r="GM697" s="7"/>
    </row>
    <row r="698" spans="195:195" x14ac:dyDescent="0.55000000000000004">
      <c r="GM698" s="7"/>
    </row>
    <row r="699" spans="195:195" x14ac:dyDescent="0.55000000000000004">
      <c r="GM699" s="7"/>
    </row>
    <row r="700" spans="195:195" x14ac:dyDescent="0.55000000000000004">
      <c r="GM700" s="7"/>
    </row>
    <row r="701" spans="195:195" x14ac:dyDescent="0.55000000000000004">
      <c r="GM701" s="7"/>
    </row>
    <row r="702" spans="195:195" x14ac:dyDescent="0.55000000000000004">
      <c r="GM702" s="7"/>
    </row>
    <row r="703" spans="195:195" x14ac:dyDescent="0.55000000000000004">
      <c r="GM703" s="7"/>
    </row>
    <row r="704" spans="195:195" x14ac:dyDescent="0.55000000000000004">
      <c r="GM704" s="7"/>
    </row>
    <row r="705" spans="195:195" x14ac:dyDescent="0.55000000000000004">
      <c r="GM705" s="7"/>
    </row>
    <row r="706" spans="195:195" x14ac:dyDescent="0.55000000000000004">
      <c r="GM706" s="7"/>
    </row>
    <row r="707" spans="195:195" x14ac:dyDescent="0.55000000000000004">
      <c r="GM707" s="7"/>
    </row>
    <row r="708" spans="195:195" x14ac:dyDescent="0.55000000000000004">
      <c r="GM708" s="7"/>
    </row>
    <row r="709" spans="195:195" x14ac:dyDescent="0.55000000000000004">
      <c r="GM709" s="7"/>
    </row>
    <row r="710" spans="195:195" x14ac:dyDescent="0.55000000000000004">
      <c r="GM710" s="7"/>
    </row>
    <row r="711" spans="195:195" x14ac:dyDescent="0.55000000000000004">
      <c r="GM711" s="7"/>
    </row>
    <row r="712" spans="195:195" x14ac:dyDescent="0.55000000000000004">
      <c r="GM712" s="7"/>
    </row>
    <row r="713" spans="195:195" x14ac:dyDescent="0.55000000000000004">
      <c r="GM713" s="7"/>
    </row>
    <row r="714" spans="195:195" x14ac:dyDescent="0.55000000000000004">
      <c r="GM714" s="7"/>
    </row>
    <row r="715" spans="195:195" x14ac:dyDescent="0.55000000000000004">
      <c r="GM715" s="7"/>
    </row>
    <row r="716" spans="195:195" x14ac:dyDescent="0.55000000000000004">
      <c r="GM716" s="7"/>
    </row>
    <row r="717" spans="195:195" x14ac:dyDescent="0.55000000000000004">
      <c r="GM717" s="7"/>
    </row>
    <row r="718" spans="195:195" x14ac:dyDescent="0.55000000000000004">
      <c r="GM718" s="7"/>
    </row>
    <row r="719" spans="195:195" x14ac:dyDescent="0.55000000000000004">
      <c r="GM719" s="7"/>
    </row>
    <row r="720" spans="195:195" x14ac:dyDescent="0.55000000000000004">
      <c r="GM720" s="7"/>
    </row>
    <row r="721" spans="195:195" x14ac:dyDescent="0.55000000000000004">
      <c r="GM721" s="7"/>
    </row>
    <row r="722" spans="195:195" x14ac:dyDescent="0.55000000000000004">
      <c r="GM722" s="7"/>
    </row>
    <row r="723" spans="195:195" x14ac:dyDescent="0.55000000000000004">
      <c r="GM723" s="7"/>
    </row>
    <row r="724" spans="195:195" x14ac:dyDescent="0.55000000000000004">
      <c r="GM724" s="7"/>
    </row>
    <row r="725" spans="195:195" x14ac:dyDescent="0.55000000000000004">
      <c r="GM725" s="7"/>
    </row>
    <row r="726" spans="195:195" x14ac:dyDescent="0.55000000000000004">
      <c r="GM726" s="7"/>
    </row>
    <row r="727" spans="195:195" x14ac:dyDescent="0.55000000000000004">
      <c r="GM727" s="7"/>
    </row>
    <row r="728" spans="195:195" x14ac:dyDescent="0.55000000000000004">
      <c r="GM728" s="7"/>
    </row>
    <row r="729" spans="195:195" x14ac:dyDescent="0.55000000000000004">
      <c r="GM729" s="7"/>
    </row>
    <row r="730" spans="195:195" x14ac:dyDescent="0.55000000000000004">
      <c r="GM730" s="7"/>
    </row>
    <row r="731" spans="195:195" x14ac:dyDescent="0.55000000000000004">
      <c r="GM731" s="7"/>
    </row>
    <row r="732" spans="195:195" x14ac:dyDescent="0.55000000000000004">
      <c r="GM732" s="7"/>
    </row>
    <row r="733" spans="195:195" x14ac:dyDescent="0.55000000000000004">
      <c r="GM733" s="7"/>
    </row>
    <row r="734" spans="195:195" x14ac:dyDescent="0.55000000000000004">
      <c r="GM734" s="7"/>
    </row>
    <row r="735" spans="195:195" x14ac:dyDescent="0.55000000000000004">
      <c r="GM735" s="7"/>
    </row>
    <row r="736" spans="195:195" x14ac:dyDescent="0.55000000000000004">
      <c r="GM736" s="7"/>
    </row>
    <row r="737" spans="195:195" x14ac:dyDescent="0.55000000000000004">
      <c r="GM737" s="7"/>
    </row>
    <row r="738" spans="195:195" x14ac:dyDescent="0.55000000000000004">
      <c r="GM738" s="7"/>
    </row>
    <row r="739" spans="195:195" x14ac:dyDescent="0.55000000000000004">
      <c r="GM739" s="7"/>
    </row>
    <row r="740" spans="195:195" x14ac:dyDescent="0.55000000000000004">
      <c r="GM740" s="7"/>
    </row>
    <row r="741" spans="195:195" x14ac:dyDescent="0.55000000000000004">
      <c r="GM741" s="7"/>
    </row>
    <row r="742" spans="195:195" x14ac:dyDescent="0.55000000000000004">
      <c r="GM742" s="7"/>
    </row>
    <row r="743" spans="195:195" x14ac:dyDescent="0.55000000000000004">
      <c r="GM743" s="7"/>
    </row>
    <row r="744" spans="195:195" x14ac:dyDescent="0.55000000000000004">
      <c r="GM744" s="7"/>
    </row>
    <row r="745" spans="195:195" x14ac:dyDescent="0.55000000000000004">
      <c r="GM745" s="7"/>
    </row>
    <row r="746" spans="195:195" x14ac:dyDescent="0.55000000000000004">
      <c r="GM746" s="7"/>
    </row>
    <row r="747" spans="195:195" x14ac:dyDescent="0.55000000000000004">
      <c r="GM747" s="7"/>
    </row>
    <row r="748" spans="195:195" x14ac:dyDescent="0.55000000000000004">
      <c r="GM748" s="7"/>
    </row>
    <row r="749" spans="195:195" x14ac:dyDescent="0.55000000000000004">
      <c r="GM749" s="7"/>
    </row>
    <row r="750" spans="195:195" x14ac:dyDescent="0.55000000000000004">
      <c r="GM750" s="7"/>
    </row>
    <row r="751" spans="195:195" x14ac:dyDescent="0.55000000000000004">
      <c r="GM751" s="7"/>
    </row>
    <row r="752" spans="195:195" x14ac:dyDescent="0.55000000000000004">
      <c r="GM752" s="7"/>
    </row>
    <row r="753" spans="195:195" x14ac:dyDescent="0.55000000000000004">
      <c r="GM753" s="7"/>
    </row>
    <row r="754" spans="195:195" x14ac:dyDescent="0.55000000000000004">
      <c r="GM754" s="7"/>
    </row>
    <row r="755" spans="195:195" x14ac:dyDescent="0.55000000000000004">
      <c r="GM755" s="7"/>
    </row>
    <row r="756" spans="195:195" x14ac:dyDescent="0.55000000000000004">
      <c r="GM756" s="7"/>
    </row>
    <row r="757" spans="195:195" x14ac:dyDescent="0.55000000000000004">
      <c r="GM757" s="7"/>
    </row>
    <row r="758" spans="195:195" x14ac:dyDescent="0.55000000000000004">
      <c r="GM758" s="7"/>
    </row>
    <row r="759" spans="195:195" x14ac:dyDescent="0.55000000000000004">
      <c r="GM759" s="7"/>
    </row>
    <row r="760" spans="195:195" x14ac:dyDescent="0.55000000000000004">
      <c r="GM760" s="7"/>
    </row>
    <row r="761" spans="195:195" x14ac:dyDescent="0.55000000000000004">
      <c r="GM761" s="7"/>
    </row>
    <row r="762" spans="195:195" x14ac:dyDescent="0.55000000000000004">
      <c r="GM762" s="7"/>
    </row>
    <row r="763" spans="195:195" x14ac:dyDescent="0.55000000000000004">
      <c r="GM763" s="7"/>
    </row>
    <row r="764" spans="195:195" x14ac:dyDescent="0.55000000000000004">
      <c r="GM764" s="7"/>
    </row>
    <row r="765" spans="195:195" x14ac:dyDescent="0.55000000000000004">
      <c r="GM765" s="7"/>
    </row>
    <row r="766" spans="195:195" x14ac:dyDescent="0.55000000000000004">
      <c r="GM766" s="7"/>
    </row>
    <row r="767" spans="195:195" x14ac:dyDescent="0.55000000000000004">
      <c r="GM767" s="7"/>
    </row>
    <row r="768" spans="195:195" x14ac:dyDescent="0.55000000000000004">
      <c r="GM768" s="7"/>
    </row>
    <row r="769" spans="195:195" x14ac:dyDescent="0.55000000000000004">
      <c r="GM769" s="7"/>
    </row>
    <row r="770" spans="195:195" x14ac:dyDescent="0.55000000000000004">
      <c r="GM770" s="7"/>
    </row>
    <row r="771" spans="195:195" x14ac:dyDescent="0.55000000000000004">
      <c r="GM771" s="7"/>
    </row>
    <row r="772" spans="195:195" x14ac:dyDescent="0.55000000000000004">
      <c r="GM772" s="7"/>
    </row>
    <row r="773" spans="195:195" x14ac:dyDescent="0.55000000000000004">
      <c r="GM773" s="7"/>
    </row>
    <row r="774" spans="195:195" x14ac:dyDescent="0.55000000000000004">
      <c r="GM774" s="7"/>
    </row>
    <row r="775" spans="195:195" x14ac:dyDescent="0.55000000000000004">
      <c r="GM775" s="7"/>
    </row>
    <row r="776" spans="195:195" x14ac:dyDescent="0.55000000000000004">
      <c r="GM776" s="7"/>
    </row>
    <row r="777" spans="195:195" x14ac:dyDescent="0.55000000000000004">
      <c r="GM777" s="7"/>
    </row>
    <row r="778" spans="195:195" x14ac:dyDescent="0.55000000000000004">
      <c r="GM778" s="7"/>
    </row>
    <row r="779" spans="195:195" x14ac:dyDescent="0.55000000000000004">
      <c r="GM779" s="7"/>
    </row>
    <row r="780" spans="195:195" x14ac:dyDescent="0.55000000000000004">
      <c r="GM780" s="7"/>
    </row>
    <row r="781" spans="195:195" x14ac:dyDescent="0.55000000000000004">
      <c r="GM781" s="7"/>
    </row>
    <row r="782" spans="195:195" x14ac:dyDescent="0.55000000000000004">
      <c r="GM782" s="7"/>
    </row>
    <row r="783" spans="195:195" x14ac:dyDescent="0.55000000000000004">
      <c r="GM783" s="7"/>
    </row>
    <row r="784" spans="195:195" x14ac:dyDescent="0.55000000000000004">
      <c r="GM784" s="7"/>
    </row>
    <row r="785" spans="195:195" x14ac:dyDescent="0.55000000000000004">
      <c r="GM785" s="7"/>
    </row>
    <row r="786" spans="195:195" x14ac:dyDescent="0.55000000000000004">
      <c r="GM786" s="7"/>
    </row>
    <row r="787" spans="195:195" x14ac:dyDescent="0.55000000000000004">
      <c r="GM787" s="7"/>
    </row>
    <row r="788" spans="195:195" x14ac:dyDescent="0.55000000000000004">
      <c r="GM788" s="7"/>
    </row>
    <row r="789" spans="195:195" x14ac:dyDescent="0.55000000000000004">
      <c r="GM789" s="7"/>
    </row>
    <row r="790" spans="195:195" x14ac:dyDescent="0.55000000000000004">
      <c r="GM790" s="7"/>
    </row>
    <row r="791" spans="195:195" x14ac:dyDescent="0.55000000000000004">
      <c r="GM791" s="7"/>
    </row>
    <row r="792" spans="195:195" x14ac:dyDescent="0.55000000000000004">
      <c r="GM792" s="7"/>
    </row>
    <row r="793" spans="195:195" x14ac:dyDescent="0.55000000000000004">
      <c r="GM793" s="7"/>
    </row>
    <row r="794" spans="195:195" x14ac:dyDescent="0.55000000000000004">
      <c r="GM794" s="7"/>
    </row>
    <row r="795" spans="195:195" x14ac:dyDescent="0.55000000000000004">
      <c r="GM795" s="7"/>
    </row>
    <row r="796" spans="195:195" x14ac:dyDescent="0.55000000000000004">
      <c r="GM796" s="7"/>
    </row>
    <row r="797" spans="195:195" x14ac:dyDescent="0.55000000000000004">
      <c r="GM797" s="7"/>
    </row>
    <row r="798" spans="195:195" x14ac:dyDescent="0.55000000000000004">
      <c r="GM798" s="7"/>
    </row>
    <row r="799" spans="195:195" x14ac:dyDescent="0.55000000000000004">
      <c r="GM799" s="7"/>
    </row>
    <row r="800" spans="195:195" x14ac:dyDescent="0.55000000000000004">
      <c r="GM800" s="7"/>
    </row>
  </sheetData>
  <phoneticPr fontId="12"/>
  <conditionalFormatting sqref="I12:J35">
    <cfRule type="colorScale" priority="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N39:O48">
    <cfRule type="colorScale" priority="2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K39:K48">
    <cfRule type="colorScale" priority="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35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35">
    <cfRule type="colorScale" priority="13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G12:G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opLeftCell="A5" zoomScale="76" workbookViewId="0">
      <selection activeCell="K2" sqref="K2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326</v>
      </c>
    </row>
    <row r="2" spans="1:73" x14ac:dyDescent="0.55000000000000004">
      <c r="A2" t="s">
        <v>327</v>
      </c>
      <c r="AE2" s="4" t="s">
        <v>346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347</v>
      </c>
      <c r="AU2" s="4"/>
      <c r="AV2" s="4"/>
      <c r="AW2" s="4"/>
      <c r="AX2" s="4"/>
      <c r="AY2" s="4"/>
      <c r="AZ2" s="4"/>
      <c r="BA2" s="4" t="s">
        <v>353</v>
      </c>
      <c r="BB2" s="4"/>
      <c r="BC2" s="4"/>
      <c r="BD2" s="4"/>
      <c r="BE2" s="4"/>
      <c r="BF2" s="4"/>
      <c r="BG2" s="4" t="s">
        <v>355</v>
      </c>
      <c r="BH2" s="4"/>
      <c r="BI2" s="4"/>
      <c r="BJ2" s="4"/>
      <c r="BK2" s="4"/>
      <c r="BL2" s="4"/>
      <c r="BM2" s="4"/>
      <c r="BN2" s="4"/>
      <c r="BO2" s="4" t="s">
        <v>356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257</v>
      </c>
      <c r="AE3" s="4" cm="1">
        <f t="array" aca="1" ref="AE3:AR1665" ca="1">FutHistory(FUT_Steps)</f>
      </c>
      <c r="AF3" s="4">
        <f ca="1"/>
      </c>
      <c r="AG3" s="4">
        <f ca="1"/>
      </c>
      <c r="AH3" s="4">
        <f ca="1"/>
      </c>
      <c r="AI3" s="4">
        <f ca="1"/>
      </c>
      <c r="AJ3" s="4">
        <f ca="1"/>
      </c>
      <c r="AK3" s="4">
        <f ca="1"/>
      </c>
      <c r="AL3" s="4">
        <f ca="1"/>
      </c>
      <c r="AM3" s="4">
        <f ca="1"/>
      </c>
      <c r="AN3" s="4">
        <f ca="1"/>
      </c>
      <c r="AO3" s="4">
        <f ca="1"/>
      </c>
      <c r="AP3" s="4">
        <f ca="1"/>
      </c>
      <c r="AQ3" s="4">
        <f ca="1"/>
      </c>
      <c r="AR3" s="4">
        <f ca="1"/>
      </c>
      <c r="AS3" s="4"/>
      <c r="AT3" s="4" t="s">
        <v>75</v>
      </c>
      <c r="AU3" s="4" t="s">
        <v>348</v>
      </c>
      <c r="AV3" s="4" t="s">
        <v>349</v>
      </c>
      <c r="AW3" s="4" t="s">
        <v>350</v>
      </c>
      <c r="AX3" s="4" t="s">
        <v>351</v>
      </c>
      <c r="AY3" s="4" t="s">
        <v>352</v>
      </c>
      <c r="AZ3" s="4"/>
      <c r="BA3" s="4" t="s">
        <v>75</v>
      </c>
      <c r="BB3" s="4" t="s">
        <v>354</v>
      </c>
      <c r="BC3" s="4" t="s">
        <v>349</v>
      </c>
      <c r="BD3" s="4" t="s">
        <v>350</v>
      </c>
      <c r="BE3" s="4" t="s">
        <v>352</v>
      </c>
      <c r="BF3" s="4"/>
      <c r="BG3" s="4" cm="1">
        <f t="array" aca="1" ref="BG3:BM189" ca="1">FutOverlay(FUT_Overlay,FUT_Field,FUT_Steps)</f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/>
      <c r="BO3" s="4" t="s">
        <v>357</v>
      </c>
      <c r="BP3" s="4">
        <f ca="1">INDEX(_xlfn.ANCHORARRAY($BG$3),1,2)</f>
      </c>
      <c r="BQ3" s="4">
        <f ca="1">INDEX(_xlfn.ANCHORARRAY($BG$3),1,3)</f>
      </c>
      <c r="BR3" s="4">
        <f ca="1">INDEX(_xlfn.ANCHORARRAY($BG$3),1,4)</f>
      </c>
      <c r="BS3" s="4">
        <f ca="1">INDEX(_xlfn.ANCHORARRAY($BG$3),1,5)</f>
      </c>
      <c r="BT3" s="4">
        <f ca="1">INDEX(_xlfn.ANCHORARRAY($BG$3),1,6)</f>
      </c>
      <c r="BU3" s="4">
        <f ca="1">INDEX(_xlfn.ANCHORARRAY($BG$3),1,7)</f>
      </c>
    </row>
    <row r="4" spans="1:73" x14ac:dyDescent="0.55000000000000004">
      <c r="A4" s="4" t="s">
        <v>328</v>
      </c>
      <c r="B4" s="2" t="s">
        <v>329</v>
      </c>
      <c r="D4" t="s">
        <v>330</v>
      </c>
      <c r="AE4" s="7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T4" s="7" cm="1">
        <f t="array" aca="1" ref="AT4:AT1665" ca="1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aca="1" ref="AW4:AW1665" ca="1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aca="1" ref="BA4:BA488" ca="1">_xlfn._xlws.FILTER(FUT_HD,FUT_HD&gt;=N(FUT_From))</f>
      </c>
      <c r="BB4" cm="1">
        <f t="array" aca="1" ref="BB4:BB488" ca="1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aca="1" ref="BD4:BD488" ca="1">_xlfn._xlws.FILTER(_xlfn.ANCHORARRAY($AW$4),FUT_HD&gt;=N(FUT_From))</f>
      </c>
      <c r="BE4" cm="1">
        <f t="array" aca="1" ref="BE4:BE488" ca="1">_xlfn._xlws.FILTER(_xlfn.ANCHORARRAY($AY$4),FUT_HD&gt;=N(FUT_From))</f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O4" cm="1">
        <f t="array" aca="1" ref="BO4:BO189" ca="1">_xlfn.DROP(INDEX(_xlfn.ANCHORARRAY($BG$3),,1),1)</f>
      </c>
      <c r="BP4" cm="1">
        <f t="array" aca="1" ref="BP4:BP189" ca="1">_xlfn.LET(_xlpm.x,_xlfn.DROP(INDEX(_xlfn.ANCHORARRAY($BG$3),,2),1),IF(_xlpm.x="",NA(),_xlpm.x*IF(FUT_Field="IRR",1,100)))</f>
      </c>
      <c r="BQ4" cm="1">
        <f t="array" aca="1" ref="BQ4:BQ189" ca="1">_xlfn.LET(_xlpm.x,_xlfn.DROP(INDEX(_xlfn.ANCHORARRAY($BG$3),,3),1),IF(_xlpm.x="",NA(),_xlpm.x*IF(FUT_Field="IRR",1,100)))</f>
      </c>
      <c r="BR4" cm="1">
        <f t="array" aca="1" ref="BR4:BR189" ca="1">_xlfn.LET(_xlpm.x,_xlfn.DROP(INDEX(_xlfn.ANCHORARRAY($BG$3),,4),1),IF(_xlpm.x="",NA(),_xlpm.x*IF(FUT_Field="IRR",1,100)))</f>
      </c>
      <c r="BS4" cm="1">
        <f t="array" aca="1" ref="BS4:BS189" ca="1">_xlfn.LET(_xlpm.x,_xlfn.DROP(INDEX(_xlfn.ANCHORARRAY($BG$3),,5),1),IF(_xlpm.x="",NA(),_xlpm.x*IF(FUT_Field="IRR",1,100)))</f>
      </c>
      <c r="BT4" cm="1">
        <f t="array" aca="1" ref="BT4:BT189" ca="1">_xlfn.LET(_xlpm.x,_xlfn.DROP(INDEX(_xlfn.ANCHORARRAY($BG$3),,6),1),IF(_xlpm.x="",NA(),_xlpm.x*IF(FUT_Field="IRR",1,100)))</f>
      </c>
      <c r="BU4" cm="1">
        <f t="array" aca="1" ref="BU4:BU189" ca="1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aca="1" ref="C5" ca="1">"Using "&amp;TEXT(FUT_Date,"yyyy-mm-dd")</f>
      </c>
      <c r="D5" t="s">
        <v>331</v>
      </c>
      <c r="AE5" s="7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T5" s="7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A5" s="7">
        <f ca="1"/>
      </c>
      <c r="BB5">
        <f ca="1"/>
      </c>
      <c r="BC5">
        <f ca="1"/>
      </c>
      <c r="BD5">
        <f ca="1"/>
      </c>
      <c r="BE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</row>
    <row r="6" spans="1:73" x14ac:dyDescent="0.55000000000000004">
      <c r="A6" s="4" t="s">
        <v>332</v>
      </c>
      <c r="B6" s="2"/>
      <c r="D6" t="s">
        <v>333</v>
      </c>
      <c r="AE6" s="7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T6" s="7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A6" s="7">
        <f ca="1"/>
      </c>
      <c r="BB6">
        <f ca="1"/>
      </c>
      <c r="BC6">
        <f ca="1"/>
      </c>
      <c r="BD6">
        <f ca="1"/>
      </c>
      <c r="BE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</row>
    <row r="7" spans="1:73" x14ac:dyDescent="0.55000000000000004">
      <c r="A7" s="4" t="s">
        <v>334</v>
      </c>
      <c r="B7" s="2"/>
      <c r="D7" t="s">
        <v>335</v>
      </c>
      <c r="AE7" s="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T7" s="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A7" s="7">
        <f ca="1"/>
      </c>
      <c r="BB7">
        <f ca="1"/>
      </c>
      <c r="BC7">
        <f ca="1"/>
      </c>
      <c r="BD7">
        <f ca="1"/>
      </c>
      <c r="BE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</row>
    <row r="8" spans="1:73" x14ac:dyDescent="0.55000000000000004">
      <c r="A8" s="4" t="s">
        <v>264</v>
      </c>
      <c r="B8" s="3">
        <v>45590</v>
      </c>
      <c r="D8" t="s">
        <v>336</v>
      </c>
      <c r="AE8" s="7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T8" s="7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A8" s="7">
        <f ca="1"/>
      </c>
      <c r="BB8">
        <f ca="1"/>
      </c>
      <c r="BC8">
        <f ca="1"/>
      </c>
      <c r="BD8">
        <f ca="1"/>
      </c>
      <c r="BE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</row>
    <row r="9" spans="1:73" x14ac:dyDescent="0.55000000000000004">
      <c r="A9" s="4" t="s">
        <v>337</v>
      </c>
      <c r="B9" s="2" t="s">
        <v>338</v>
      </c>
      <c r="D9" t="s">
        <v>339</v>
      </c>
      <c r="AE9" s="7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T9" s="7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A9" s="7">
        <f ca="1"/>
      </c>
      <c r="BB9">
        <f ca="1"/>
      </c>
      <c r="BC9">
        <f ca="1"/>
      </c>
      <c r="BD9">
        <f ca="1"/>
      </c>
      <c r="BE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</row>
    <row r="10" spans="1:73" x14ac:dyDescent="0.55000000000000004">
      <c r="A10" s="4" t="s">
        <v>340</v>
      </c>
      <c r="B10" s="2" t="s">
        <v>341</v>
      </c>
      <c r="C10" s="2" t="s">
        <v>342</v>
      </c>
      <c r="D10" s="2" t="s">
        <v>343</v>
      </c>
      <c r="E10" s="2" t="s">
        <v>344</v>
      </c>
      <c r="F10" s="2" t="s">
        <v>345</v>
      </c>
      <c r="G10" s="2" t="s">
        <v>329</v>
      </c>
      <c r="AE10" s="7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T10" s="7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A10" s="7">
        <f ca="1"/>
      </c>
      <c r="BB10">
        <f ca="1"/>
      </c>
      <c r="BC10">
        <f ca="1"/>
      </c>
      <c r="BD10">
        <f ca="1"/>
      </c>
      <c r="BE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</row>
    <row r="11" spans="1:73" x14ac:dyDescent="0.55000000000000004">
      <c r="AE11" s="7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T11" s="7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A11" s="7">
        <f ca="1"/>
      </c>
      <c r="BB11">
        <f ca="1"/>
      </c>
      <c r="BC11">
        <f ca="1"/>
      </c>
      <c r="BD11">
        <f ca="1"/>
      </c>
      <c r="BE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</row>
    <row r="12" spans="1:73" x14ac:dyDescent="0.55000000000000004">
      <c r="A12" s="4" t="s">
        <v>358</v>
      </c>
      <c r="Q12" s="4" t="s">
        <v>361</v>
      </c>
      <c r="T12" s="4" t="s">
        <v>362</v>
      </c>
      <c r="W12" s="4" t="s">
        <v>365</v>
      </c>
      <c r="Z12" s="4" t="s">
        <v>369</v>
      </c>
      <c r="AE12" s="7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T12" s="7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A12" s="7">
        <f ca="1"/>
      </c>
      <c r="BB12">
        <f ca="1"/>
      </c>
      <c r="BC12">
        <f ca="1"/>
      </c>
      <c r="BD12">
        <f ca="1"/>
      </c>
      <c r="BE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</row>
    <row r="13" spans="1:73" x14ac:dyDescent="0.55000000000000004">
      <c r="A13" cm="1">
        <f t="array" aca="1" ref="A13" ca="1">FUT_Contract&amp;" contract, "&amp;TEXT(FUT_Date,"yyyy-mm-dd")</f>
      </c>
      <c r="T13" t="s">
        <v>363</v>
      </c>
      <c r="W13" t="s">
        <v>366</v>
      </c>
      <c r="Z13" t="s">
        <v>370</v>
      </c>
      <c r="AE13" s="7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T13" s="7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A13" s="7">
        <f ca="1"/>
      </c>
      <c r="BB13">
        <f ca="1"/>
      </c>
      <c r="BC13">
        <f ca="1"/>
      </c>
      <c r="BD13">
        <f ca="1"/>
      </c>
      <c r="BE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</row>
    <row r="14" spans="1:73" x14ac:dyDescent="0.55000000000000004">
      <c r="A14" s="4" cm="1">
        <f t="array" aca="1" ref="A14:L27" ca="1">FutBasis(FUT_Contract,FUT_Date,FUT_Price,FUT_Repo,FUT_Yields)</f>
      </c>
      <c r="B14" s="4">
        <f ca="1"/>
      </c>
      <c r="C14" s="4">
        <f ca="1"/>
      </c>
      <c r="D14" s="4">
        <f ca="1"/>
      </c>
      <c r="E14" s="4">
        <f ca="1"/>
      </c>
      <c r="F14" s="4">
        <f ca="1"/>
      </c>
      <c r="G14" s="4">
        <f ca="1"/>
      </c>
      <c r="H14" s="4">
        <f ca="1"/>
      </c>
      <c r="I14" s="4">
        <f ca="1"/>
      </c>
      <c r="J14" s="4">
        <f ca="1"/>
      </c>
      <c r="K14" s="4">
        <f ca="1"/>
      </c>
      <c r="L14" s="4">
        <f ca="1"/>
      </c>
      <c r="M14" s="4" t="s">
        <v>359</v>
      </c>
      <c r="N14" s="4" t="s">
        <v>360</v>
      </c>
      <c r="O14" s="4" t="s">
        <v>350</v>
      </c>
      <c r="Q14" s="4" cm="1">
        <f t="array" aca="1" ref="Q14:R19" ca="1">FutRepoSteps()</f>
      </c>
      <c r="R14" s="4">
        <f ca="1"/>
      </c>
      <c r="S14" s="4"/>
      <c r="T14" s="4" t="s">
        <v>128</v>
      </c>
      <c r="U14" s="4" t="s">
        <v>364</v>
      </c>
      <c r="V14" s="4"/>
      <c r="W14" s="4" t="s">
        <v>367</v>
      </c>
      <c r="X14" s="4" t="s">
        <v>368</v>
      </c>
      <c r="Y14" s="4"/>
      <c r="Z14" s="4" t="s">
        <v>75</v>
      </c>
      <c r="AA14" s="4" t="s">
        <v>371</v>
      </c>
      <c r="AB14" s="4" t="s">
        <v>372</v>
      </c>
      <c r="AE14" s="7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T14" s="7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A14" s="7">
        <f ca="1"/>
      </c>
      <c r="BB14">
        <f ca="1"/>
      </c>
      <c r="BC14">
        <f ca="1"/>
      </c>
      <c r="BD14">
        <f ca="1"/>
      </c>
      <c r="BE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</row>
    <row r="15" spans="1:73" x14ac:dyDescent="0.55000000000000004">
      <c r="A15">
        <f ca="1"/>
      </c>
      <c r="B15">
        <f ca="1"/>
      </c>
      <c r="C15" s="7">
        <f ca="1"/>
      </c>
      <c r="D15" s="46">
        <f ca="1"/>
      </c>
      <c r="E15" s="13">
        <f ca="1"/>
      </c>
      <c r="F15" s="7">
        <f ca="1"/>
      </c>
      <c r="G15" s="13">
        <f ca="1"/>
      </c>
      <c r="H15" s="10">
        <f ca="1"/>
      </c>
      <c r="I15" s="10">
        <f ca="1"/>
      </c>
      <c r="J15" s="10">
        <f ca="1"/>
      </c>
      <c r="K15" s="13">
        <f ca="1"/>
      </c>
      <c r="L15">
        <f ca="1"/>
      </c>
      <c r="M15" s="14" cm="1">
        <f t="array" aca="1" ref="M15:O26" ca="1">_xlfn.DROP(_xlfn.DROP(_xlfn.CHOOSECOLS(_xlfn.ANCHORARRAY($A$14),8,9,10),1),-1)*100</f>
      </c>
      <c r="N15" s="14">
        <f ca="1"/>
      </c>
      <c r="O15" s="14">
        <f ca="1"/>
      </c>
      <c r="Q15" s="7">
        <f ca="1"/>
      </c>
      <c r="R15" s="13">
        <f ca="1"/>
      </c>
      <c r="T15" s="3"/>
      <c r="U15" s="2"/>
      <c r="W15" s="2"/>
      <c r="X15" s="2"/>
      <c r="Z15" s="3"/>
      <c r="AA15" s="2"/>
      <c r="AB15" s="2"/>
      <c r="AE15" s="7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T15" s="7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A15" s="7">
        <f ca="1"/>
      </c>
      <c r="BB15">
        <f ca="1"/>
      </c>
      <c r="BC15">
        <f ca="1"/>
      </c>
      <c r="BD15">
        <f ca="1"/>
      </c>
      <c r="BE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</row>
    <row r="16" spans="1:73" x14ac:dyDescent="0.55000000000000004">
      <c r="A16">
        <f ca="1"/>
      </c>
      <c r="B16">
        <f ca="1"/>
      </c>
      <c r="C16" s="7">
        <f ca="1"/>
      </c>
      <c r="D16" s="46">
        <f ca="1"/>
      </c>
      <c r="E16" s="13">
        <f ca="1"/>
      </c>
      <c r="F16" s="7">
        <f ca="1"/>
      </c>
      <c r="G16" s="13">
        <f ca="1"/>
      </c>
      <c r="H16" s="10">
        <f ca="1"/>
      </c>
      <c r="I16" s="10">
        <f ca="1"/>
      </c>
      <c r="J16" s="10">
        <f ca="1"/>
      </c>
      <c r="K16" s="13">
        <f ca="1"/>
      </c>
      <c r="L16">
        <f ca="1"/>
      </c>
      <c r="M16" s="14">
        <f ca="1"/>
      </c>
      <c r="N16" s="14">
        <f ca="1"/>
      </c>
      <c r="O16" s="14">
        <f ca="1"/>
      </c>
      <c r="Q16" s="7">
        <f ca="1"/>
      </c>
      <c r="R16" s="13">
        <f ca="1"/>
      </c>
      <c r="T16" s="3"/>
      <c r="U16" s="2"/>
      <c r="W16" s="2"/>
      <c r="X16" s="2"/>
      <c r="Z16" s="3"/>
      <c r="AA16" s="2"/>
      <c r="AB16" s="2"/>
      <c r="AE16" s="7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T16" s="7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A16" s="7">
        <f ca="1"/>
      </c>
      <c r="BB16">
        <f ca="1"/>
      </c>
      <c r="BC16">
        <f ca="1"/>
      </c>
      <c r="BD16">
        <f ca="1"/>
      </c>
      <c r="BE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</row>
    <row r="17" spans="1:73" x14ac:dyDescent="0.55000000000000004">
      <c r="A17">
        <f ca="1"/>
      </c>
      <c r="B17">
        <f ca="1"/>
      </c>
      <c r="C17" s="7">
        <f ca="1"/>
      </c>
      <c r="D17" s="46">
        <f ca="1"/>
      </c>
      <c r="E17" s="13">
        <f ca="1"/>
      </c>
      <c r="F17" s="7">
        <f ca="1"/>
      </c>
      <c r="G17" s="13">
        <f ca="1"/>
      </c>
      <c r="H17" s="10">
        <f ca="1"/>
      </c>
      <c r="I17" s="10">
        <f ca="1"/>
      </c>
      <c r="J17" s="10">
        <f ca="1"/>
      </c>
      <c r="K17" s="13">
        <f ca="1"/>
      </c>
      <c r="L17">
        <f ca="1"/>
      </c>
      <c r="M17" s="14">
        <f ca="1"/>
      </c>
      <c r="N17" s="14">
        <f ca="1"/>
      </c>
      <c r="O17" s="14">
        <f ca="1"/>
      </c>
      <c r="Q17" s="7">
        <f ca="1"/>
      </c>
      <c r="R17" s="13">
        <f ca="1"/>
      </c>
      <c r="T17" s="3"/>
      <c r="U17" s="2"/>
      <c r="W17" s="2"/>
      <c r="X17" s="2"/>
      <c r="Z17" s="3"/>
      <c r="AA17" s="2"/>
      <c r="AB17" s="2"/>
      <c r="AE17" s="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T17" s="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A17" s="7">
        <f ca="1"/>
      </c>
      <c r="BB17">
        <f ca="1"/>
      </c>
      <c r="BC17">
        <f ca="1"/>
      </c>
      <c r="BD17">
        <f ca="1"/>
      </c>
      <c r="BE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</row>
    <row r="18" spans="1:73" x14ac:dyDescent="0.55000000000000004">
      <c r="A18">
        <f ca="1"/>
      </c>
      <c r="B18">
        <f ca="1"/>
      </c>
      <c r="C18" s="7">
        <f ca="1"/>
      </c>
      <c r="D18" s="46">
        <f ca="1"/>
      </c>
      <c r="E18" s="13">
        <f ca="1"/>
      </c>
      <c r="F18" s="7">
        <f ca="1"/>
      </c>
      <c r="G18" s="13">
        <f ca="1"/>
      </c>
      <c r="H18" s="10">
        <f ca="1"/>
      </c>
      <c r="I18" s="10">
        <f ca="1"/>
      </c>
      <c r="J18" s="10">
        <f ca="1"/>
      </c>
      <c r="K18" s="13">
        <f ca="1"/>
      </c>
      <c r="L18">
        <f ca="1"/>
      </c>
      <c r="M18" s="14">
        <f ca="1"/>
      </c>
      <c r="N18" s="14">
        <f ca="1"/>
      </c>
      <c r="O18" s="14">
        <f ca="1"/>
      </c>
      <c r="Q18" s="7">
        <f ca="1"/>
      </c>
      <c r="R18" s="13">
        <f ca="1"/>
      </c>
      <c r="T18" s="3"/>
      <c r="U18" s="2"/>
      <c r="W18" s="2"/>
      <c r="X18" s="2"/>
      <c r="Z18" s="3"/>
      <c r="AA18" s="2"/>
      <c r="AB18" s="2"/>
      <c r="AE18" s="7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T18" s="7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A18" s="7">
        <f ca="1"/>
      </c>
      <c r="BB18">
        <f ca="1"/>
      </c>
      <c r="BC18">
        <f ca="1"/>
      </c>
      <c r="BD18">
        <f ca="1"/>
      </c>
      <c r="BE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</row>
    <row r="19" spans="1:73" x14ac:dyDescent="0.55000000000000004">
      <c r="A19">
        <f ca="1"/>
      </c>
      <c r="B19">
        <f ca="1"/>
      </c>
      <c r="C19" s="7">
        <f ca="1"/>
      </c>
      <c r="D19" s="46">
        <f ca="1"/>
      </c>
      <c r="E19" s="13">
        <f ca="1"/>
      </c>
      <c r="F19" s="7">
        <f ca="1"/>
      </c>
      <c r="G19" s="13">
        <f ca="1"/>
      </c>
      <c r="H19" s="10">
        <f ca="1"/>
      </c>
      <c r="I19" s="10">
        <f ca="1"/>
      </c>
      <c r="J19" s="10">
        <f ca="1"/>
      </c>
      <c r="K19" s="13">
        <f ca="1"/>
      </c>
      <c r="L19">
        <f ca="1"/>
      </c>
      <c r="M19" s="14">
        <f ca="1"/>
      </c>
      <c r="N19" s="14">
        <f ca="1"/>
      </c>
      <c r="O19" s="14">
        <f ca="1"/>
      </c>
      <c r="Q19" s="7">
        <f ca="1"/>
      </c>
      <c r="R19" s="13">
        <f ca="1"/>
      </c>
      <c r="T19" s="3"/>
      <c r="U19" s="2"/>
      <c r="W19" s="2"/>
      <c r="X19" s="2"/>
      <c r="Z19" s="3"/>
      <c r="AA19" s="2"/>
      <c r="AB19" s="2"/>
      <c r="AE19" s="7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T19" s="7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A19" s="7">
        <f ca="1"/>
      </c>
      <c r="BB19">
        <f ca="1"/>
      </c>
      <c r="BC19">
        <f ca="1"/>
      </c>
      <c r="BD19">
        <f ca="1"/>
      </c>
      <c r="BE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</row>
    <row r="20" spans="1:73" x14ac:dyDescent="0.55000000000000004">
      <c r="A20">
        <f ca="1"/>
      </c>
      <c r="B20">
        <f ca="1"/>
      </c>
      <c r="C20" s="7">
        <f ca="1"/>
      </c>
      <c r="D20" s="46">
        <f ca="1"/>
      </c>
      <c r="E20" s="13">
        <f ca="1"/>
      </c>
      <c r="F20" s="7">
        <f ca="1"/>
      </c>
      <c r="G20" s="13">
        <f ca="1"/>
      </c>
      <c r="H20" s="10">
        <f ca="1"/>
      </c>
      <c r="I20" s="10">
        <f ca="1"/>
      </c>
      <c r="J20" s="10">
        <f ca="1"/>
      </c>
      <c r="K20" s="13">
        <f ca="1"/>
      </c>
      <c r="L20">
        <f ca="1"/>
      </c>
      <c r="M20" s="14">
        <f ca="1"/>
      </c>
      <c r="N20" s="14">
        <f ca="1"/>
      </c>
      <c r="O20" s="14">
        <f ca="1"/>
      </c>
      <c r="Q20" s="7"/>
      <c r="R20" s="13"/>
      <c r="T20" s="3"/>
      <c r="U20" s="2"/>
      <c r="W20" s="2"/>
      <c r="X20" s="2"/>
      <c r="Z20" s="3"/>
      <c r="AA20" s="2"/>
      <c r="AB20" s="2"/>
      <c r="AE20" s="7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T20" s="7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A20" s="7">
        <f ca="1"/>
      </c>
      <c r="BB20">
        <f ca="1"/>
      </c>
      <c r="BC20">
        <f ca="1"/>
      </c>
      <c r="BD20">
        <f ca="1"/>
      </c>
      <c r="BE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</row>
    <row r="21" spans="1:73" x14ac:dyDescent="0.55000000000000004">
      <c r="A21">
        <f ca="1"/>
      </c>
      <c r="B21">
        <f ca="1"/>
      </c>
      <c r="C21" s="7">
        <f ca="1"/>
      </c>
      <c r="D21" s="46">
        <f ca="1"/>
      </c>
      <c r="E21" s="13">
        <f ca="1"/>
      </c>
      <c r="F21" s="7">
        <f ca="1"/>
      </c>
      <c r="G21" s="13">
        <f ca="1"/>
      </c>
      <c r="H21" s="10">
        <f ca="1"/>
      </c>
      <c r="I21" s="10">
        <f ca="1"/>
      </c>
      <c r="J21" s="10">
        <f ca="1"/>
      </c>
      <c r="K21" s="13">
        <f ca="1"/>
      </c>
      <c r="L21">
        <f ca="1"/>
      </c>
      <c r="M21" s="14">
        <f ca="1"/>
      </c>
      <c r="N21" s="14">
        <f ca="1"/>
      </c>
      <c r="O21" s="14">
        <f ca="1"/>
      </c>
      <c r="Q21" s="7"/>
      <c r="R21" s="13"/>
      <c r="T21" s="3"/>
      <c r="U21" s="2"/>
      <c r="W21" s="2"/>
      <c r="X21" s="2"/>
      <c r="Z21" s="3"/>
      <c r="AA21" s="2"/>
      <c r="AB21" s="2"/>
      <c r="AE21" s="7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T21" s="7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A21" s="7">
        <f ca="1"/>
      </c>
      <c r="BB21">
        <f ca="1"/>
      </c>
      <c r="BC21">
        <f ca="1"/>
      </c>
      <c r="BD21">
        <f ca="1"/>
      </c>
      <c r="BE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</row>
    <row r="22" spans="1:73" x14ac:dyDescent="0.55000000000000004">
      <c r="A22">
        <f ca="1"/>
      </c>
      <c r="B22">
        <f ca="1"/>
      </c>
      <c r="C22" s="7">
        <f ca="1"/>
      </c>
      <c r="D22" s="46">
        <f ca="1"/>
      </c>
      <c r="E22" s="13">
        <f ca="1"/>
      </c>
      <c r="F22" s="7">
        <f ca="1"/>
      </c>
      <c r="G22" s="13">
        <f ca="1"/>
      </c>
      <c r="H22" s="10">
        <f ca="1"/>
      </c>
      <c r="I22" s="10">
        <f ca="1"/>
      </c>
      <c r="J22" s="10">
        <f ca="1"/>
      </c>
      <c r="K22" s="13">
        <f ca="1"/>
      </c>
      <c r="L22">
        <f ca="1"/>
      </c>
      <c r="M22" s="14">
        <f ca="1"/>
      </c>
      <c r="N22" s="14">
        <f ca="1"/>
      </c>
      <c r="O22" s="14">
        <f ca="1"/>
      </c>
      <c r="Q22" s="7"/>
      <c r="R22" s="13"/>
      <c r="T22" s="3"/>
      <c r="U22" s="2"/>
      <c r="W22" s="2"/>
      <c r="X22" s="2"/>
      <c r="Z22" s="3"/>
      <c r="AA22" s="2"/>
      <c r="AB22" s="2"/>
      <c r="AE22" s="7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T22" s="7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A22" s="7">
        <f ca="1"/>
      </c>
      <c r="BB22">
        <f ca="1"/>
      </c>
      <c r="BC22">
        <f ca="1"/>
      </c>
      <c r="BD22">
        <f ca="1"/>
      </c>
      <c r="BE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</row>
    <row r="23" spans="1:73" x14ac:dyDescent="0.55000000000000004">
      <c r="A23">
        <f ca="1"/>
      </c>
      <c r="B23">
        <f ca="1"/>
      </c>
      <c r="C23" s="7">
        <f ca="1"/>
      </c>
      <c r="D23" s="46">
        <f ca="1"/>
      </c>
      <c r="E23" s="13">
        <f ca="1"/>
      </c>
      <c r="F23" s="7">
        <f ca="1"/>
      </c>
      <c r="G23" s="13">
        <f ca="1"/>
      </c>
      <c r="H23" s="10">
        <f ca="1"/>
      </c>
      <c r="I23" s="10">
        <f ca="1"/>
      </c>
      <c r="J23" s="10">
        <f ca="1"/>
      </c>
      <c r="K23" s="13">
        <f ca="1"/>
      </c>
      <c r="L23">
        <f ca="1"/>
      </c>
      <c r="M23" s="14">
        <f ca="1"/>
      </c>
      <c r="N23" s="14">
        <f ca="1"/>
      </c>
      <c r="O23" s="14">
        <f ca="1"/>
      </c>
      <c r="Q23" s="7"/>
      <c r="R23" s="13"/>
      <c r="T23" s="3"/>
      <c r="U23" s="2"/>
      <c r="W23" s="2"/>
      <c r="X23" s="2"/>
      <c r="Z23" s="3"/>
      <c r="AA23" s="2"/>
      <c r="AB23" s="2"/>
      <c r="AE23" s="7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T23" s="7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BA23" s="7">
        <f ca="1"/>
      </c>
      <c r="BB23">
        <f ca="1"/>
      </c>
      <c r="BC23">
        <f ca="1"/>
      </c>
      <c r="BD23">
        <f ca="1"/>
      </c>
      <c r="BE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</row>
    <row r="24" spans="1:73" x14ac:dyDescent="0.55000000000000004">
      <c r="A24">
        <f ca="1"/>
      </c>
      <c r="B24">
        <f ca="1"/>
      </c>
      <c r="C24" s="7">
        <f ca="1"/>
      </c>
      <c r="D24" s="46">
        <f ca="1"/>
      </c>
      <c r="E24" s="13">
        <f ca="1"/>
      </c>
      <c r="F24" s="7">
        <f ca="1"/>
      </c>
      <c r="G24" s="13">
        <f ca="1"/>
      </c>
      <c r="H24" s="10">
        <f ca="1"/>
      </c>
      <c r="I24" s="10">
        <f ca="1"/>
      </c>
      <c r="J24" s="10">
        <f ca="1"/>
      </c>
      <c r="K24" s="13">
        <f ca="1"/>
      </c>
      <c r="L24">
        <f ca="1"/>
      </c>
      <c r="M24" s="14">
        <f ca="1"/>
      </c>
      <c r="N24" s="14">
        <f ca="1"/>
      </c>
      <c r="O24" s="14">
        <f ca="1"/>
      </c>
      <c r="Q24" s="7"/>
      <c r="R24" s="13"/>
      <c r="T24" s="3"/>
      <c r="U24" s="2"/>
      <c r="W24" s="2"/>
      <c r="X24" s="2"/>
      <c r="Z24" s="3"/>
      <c r="AA24" s="2"/>
      <c r="AB24" s="2"/>
      <c r="AE24" s="7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T24" s="7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BA24" s="7">
        <f ca="1"/>
      </c>
      <c r="BB24">
        <f ca="1"/>
      </c>
      <c r="BC24">
        <f ca="1"/>
      </c>
      <c r="BD24">
        <f ca="1"/>
      </c>
      <c r="BE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</row>
    <row r="25" spans="1:73" x14ac:dyDescent="0.55000000000000004">
      <c r="A25">
        <f ca="1"/>
      </c>
      <c r="B25">
        <f ca="1"/>
      </c>
      <c r="C25" s="7">
        <f ca="1"/>
      </c>
      <c r="D25" s="46">
        <f ca="1"/>
      </c>
      <c r="E25" s="13">
        <f ca="1"/>
      </c>
      <c r="F25" s="7">
        <f ca="1"/>
      </c>
      <c r="G25" s="13">
        <f ca="1"/>
      </c>
      <c r="H25" s="10">
        <f ca="1"/>
      </c>
      <c r="I25" s="10">
        <f ca="1"/>
      </c>
      <c r="J25" s="10">
        <f ca="1"/>
      </c>
      <c r="K25" s="13">
        <f ca="1"/>
      </c>
      <c r="L25">
        <f ca="1"/>
      </c>
      <c r="M25" s="14">
        <f ca="1"/>
      </c>
      <c r="N25" s="14">
        <f ca="1"/>
      </c>
      <c r="O25" s="14">
        <f ca="1"/>
      </c>
      <c r="Q25" s="7"/>
      <c r="R25" s="13"/>
      <c r="T25" s="3"/>
      <c r="U25" s="2"/>
      <c r="W25" s="2"/>
      <c r="X25" s="2"/>
      <c r="Z25" s="3"/>
      <c r="AA25" s="2"/>
      <c r="AB25" s="2"/>
      <c r="AE25" s="7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T25" s="7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BA25" s="7">
        <f ca="1"/>
      </c>
      <c r="BB25">
        <f ca="1"/>
      </c>
      <c r="BC25">
        <f ca="1"/>
      </c>
      <c r="BD25">
        <f ca="1"/>
      </c>
      <c r="BE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</row>
    <row r="26" spans="1:73" x14ac:dyDescent="0.55000000000000004">
      <c r="A26">
        <f ca="1"/>
      </c>
      <c r="B26">
        <f ca="1"/>
      </c>
      <c r="C26" s="7">
        <f ca="1"/>
      </c>
      <c r="D26" s="46">
        <f ca="1"/>
      </c>
      <c r="E26" s="13">
        <f ca="1"/>
      </c>
      <c r="F26" s="7">
        <f ca="1"/>
      </c>
      <c r="G26" s="13">
        <f ca="1"/>
      </c>
      <c r="H26" s="10">
        <f ca="1"/>
      </c>
      <c r="I26" s="10">
        <f ca="1"/>
      </c>
      <c r="J26" s="10">
        <f ca="1"/>
      </c>
      <c r="K26" s="13">
        <f ca="1"/>
      </c>
      <c r="L26">
        <f ca="1"/>
      </c>
      <c r="M26" s="14">
        <f ca="1"/>
      </c>
      <c r="N26" s="14">
        <f ca="1"/>
      </c>
      <c r="O26" s="14">
        <f ca="1"/>
      </c>
      <c r="Q26" s="7"/>
      <c r="R26" s="13"/>
      <c r="T26" s="3"/>
      <c r="U26" s="2"/>
      <c r="W26" s="2"/>
      <c r="X26" s="2"/>
      <c r="Z26" s="3"/>
      <c r="AA26" s="2"/>
      <c r="AB26" s="2"/>
      <c r="AE26" s="7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T26" s="7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BA26" s="7">
        <f ca="1"/>
      </c>
      <c r="BB26">
        <f ca="1"/>
      </c>
      <c r="BC26">
        <f ca="1"/>
      </c>
      <c r="BD26">
        <f ca="1"/>
      </c>
      <c r="BE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</row>
    <row r="27" spans="1:73" x14ac:dyDescent="0.55000000000000004">
      <c r="A27">
        <f ca="1"/>
      </c>
      <c r="B27">
        <f ca="1"/>
      </c>
      <c r="C27" s="7">
        <f ca="1"/>
      </c>
      <c r="D27" s="46">
        <f ca="1"/>
      </c>
      <c r="E27" s="13">
        <f ca="1"/>
      </c>
      <c r="F27" s="7">
        <f ca="1"/>
      </c>
      <c r="G27" s="13">
        <f ca="1"/>
      </c>
      <c r="H27" s="10">
        <f ca="1"/>
      </c>
      <c r="I27" s="10">
        <f ca="1"/>
      </c>
      <c r="J27" s="10">
        <f ca="1"/>
      </c>
      <c r="K27" s="13">
        <f ca="1"/>
      </c>
      <c r="L27">
        <f ca="1"/>
      </c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T27" s="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BA27" s="7">
        <f ca="1"/>
      </c>
      <c r="BB27">
        <f ca="1"/>
      </c>
      <c r="BC27">
        <f ca="1"/>
      </c>
      <c r="BD27">
        <f ca="1"/>
      </c>
      <c r="BE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T28" s="7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BA28" s="7">
        <f ca="1"/>
      </c>
      <c r="BB28">
        <f ca="1"/>
      </c>
      <c r="BC28">
        <f ca="1"/>
      </c>
      <c r="BD28">
        <f ca="1"/>
      </c>
      <c r="BE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T29" s="7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BA29" s="7">
        <f ca="1"/>
      </c>
      <c r="BB29">
        <f ca="1"/>
      </c>
      <c r="BC29">
        <f ca="1"/>
      </c>
      <c r="BD29">
        <f ca="1"/>
      </c>
      <c r="BE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T30" s="7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BA30" s="7">
        <f ca="1"/>
      </c>
      <c r="BB30">
        <f ca="1"/>
      </c>
      <c r="BC30">
        <f ca="1"/>
      </c>
      <c r="BD30">
        <f ca="1"/>
      </c>
      <c r="BE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T31" s="7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BA31" s="7">
        <f ca="1"/>
      </c>
      <c r="BB31">
        <f ca="1"/>
      </c>
      <c r="BC31">
        <f ca="1"/>
      </c>
      <c r="BD31">
        <f ca="1"/>
      </c>
      <c r="BE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T32" s="7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BA32" s="7">
        <f ca="1"/>
      </c>
      <c r="BB32">
        <f ca="1"/>
      </c>
      <c r="BC32">
        <f ca="1"/>
      </c>
      <c r="BD32">
        <f ca="1"/>
      </c>
      <c r="BE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T33" s="7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BA33" s="7">
        <f ca="1"/>
      </c>
      <c r="BB33">
        <f ca="1"/>
      </c>
      <c r="BC33">
        <f ca="1"/>
      </c>
      <c r="BD33">
        <f ca="1"/>
      </c>
      <c r="BE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T34" s="7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BA34" s="7">
        <f ca="1"/>
      </c>
      <c r="BB34">
        <f ca="1"/>
      </c>
      <c r="BC34">
        <f ca="1"/>
      </c>
      <c r="BD34">
        <f ca="1"/>
      </c>
      <c r="BE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T35" s="7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BA35" s="7">
        <f ca="1"/>
      </c>
      <c r="BB35">
        <f ca="1"/>
      </c>
      <c r="BC35">
        <f ca="1"/>
      </c>
      <c r="BD35">
        <f ca="1"/>
      </c>
      <c r="BE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T36" s="7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BA36" s="7">
        <f ca="1"/>
      </c>
      <c r="BB36">
        <f ca="1"/>
      </c>
      <c r="BC36">
        <f ca="1"/>
      </c>
      <c r="BD36">
        <f ca="1"/>
      </c>
      <c r="BE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T37" s="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BA37" s="7">
        <f ca="1"/>
      </c>
      <c r="BB37">
        <f ca="1"/>
      </c>
      <c r="BC37">
        <f ca="1"/>
      </c>
      <c r="BD37">
        <f ca="1"/>
      </c>
      <c r="BE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T38" s="7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BA38" s="7">
        <f ca="1"/>
      </c>
      <c r="BB38">
        <f ca="1"/>
      </c>
      <c r="BC38">
        <f ca="1"/>
      </c>
      <c r="BD38">
        <f ca="1"/>
      </c>
      <c r="BE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P39">
        <f ca="1"/>
      </c>
      <c r="AQ39">
        <f ca="1"/>
      </c>
      <c r="AR39">
        <f ca="1"/>
      </c>
      <c r="AT39" s="7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BA39" s="7">
        <f ca="1"/>
      </c>
      <c r="BB39">
        <f ca="1"/>
      </c>
      <c r="BC39">
        <f ca="1"/>
      </c>
      <c r="BD39">
        <f ca="1"/>
      </c>
      <c r="BE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P40">
        <f ca="1"/>
      </c>
      <c r="AQ40">
        <f ca="1"/>
      </c>
      <c r="AR40">
        <f ca="1"/>
      </c>
      <c r="AT40" s="7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BA40" s="7">
        <f ca="1"/>
      </c>
      <c r="BB40">
        <f ca="1"/>
      </c>
      <c r="BC40">
        <f ca="1"/>
      </c>
      <c r="BD40">
        <f ca="1"/>
      </c>
      <c r="BE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</row>
    <row r="41" spans="3:73" x14ac:dyDescent="0.55000000000000004">
      <c r="Z41" s="3"/>
      <c r="AA41" s="2"/>
      <c r="AB41" s="2"/>
      <c r="AE41" s="7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P41">
        <f ca="1"/>
      </c>
      <c r="AQ41">
        <f ca="1"/>
      </c>
      <c r="AR41">
        <f ca="1"/>
      </c>
      <c r="AT41" s="7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BA41" s="7">
        <f ca="1"/>
      </c>
      <c r="BB41">
        <f ca="1"/>
      </c>
      <c r="BC41">
        <f ca="1"/>
      </c>
      <c r="BD41">
        <f ca="1"/>
      </c>
      <c r="BE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</row>
    <row r="42" spans="3:73" x14ac:dyDescent="0.55000000000000004">
      <c r="Z42" s="3"/>
      <c r="AA42" s="2"/>
      <c r="AB42" s="2"/>
      <c r="AE42" s="7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P42">
        <f ca="1"/>
      </c>
      <c r="AQ42">
        <f ca="1"/>
      </c>
      <c r="AR42">
        <f ca="1"/>
      </c>
      <c r="AT42" s="7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BA42" s="7">
        <f ca="1"/>
      </c>
      <c r="BB42">
        <f ca="1"/>
      </c>
      <c r="BC42">
        <f ca="1"/>
      </c>
      <c r="BD42">
        <f ca="1"/>
      </c>
      <c r="BE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</row>
    <row r="43" spans="3:73" x14ac:dyDescent="0.55000000000000004">
      <c r="Z43" s="3"/>
      <c r="AA43" s="2"/>
      <c r="AB43" s="2"/>
      <c r="AE43" s="7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P43">
        <f ca="1"/>
      </c>
      <c r="AQ43">
        <f ca="1"/>
      </c>
      <c r="AR43">
        <f ca="1"/>
      </c>
      <c r="AT43" s="7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BA43" s="7">
        <f ca="1"/>
      </c>
      <c r="BB43">
        <f ca="1"/>
      </c>
      <c r="BC43">
        <f ca="1"/>
      </c>
      <c r="BD43">
        <f ca="1"/>
      </c>
      <c r="BE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</row>
    <row r="44" spans="3:73" x14ac:dyDescent="0.55000000000000004">
      <c r="Z44" s="3"/>
      <c r="AA44" s="2"/>
      <c r="AB44" s="2"/>
      <c r="AE44" s="7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P44">
        <f ca="1"/>
      </c>
      <c r="AQ44">
        <f ca="1"/>
      </c>
      <c r="AR44">
        <f ca="1"/>
      </c>
      <c r="AT44" s="7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BA44" s="7">
        <f ca="1"/>
      </c>
      <c r="BB44">
        <f ca="1"/>
      </c>
      <c r="BC44">
        <f ca="1"/>
      </c>
      <c r="BD44">
        <f ca="1"/>
      </c>
      <c r="BE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</row>
    <row r="45" spans="3:73" x14ac:dyDescent="0.55000000000000004">
      <c r="Z45" s="3"/>
      <c r="AA45" s="2"/>
      <c r="AB45" s="2"/>
      <c r="AE45" s="7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P45">
        <f ca="1"/>
      </c>
      <c r="AQ45">
        <f ca="1"/>
      </c>
      <c r="AR45">
        <f ca="1"/>
      </c>
      <c r="AT45" s="7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BA45" s="7">
        <f ca="1"/>
      </c>
      <c r="BB45">
        <f ca="1"/>
      </c>
      <c r="BC45">
        <f ca="1"/>
      </c>
      <c r="BD45">
        <f ca="1"/>
      </c>
      <c r="BE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</row>
    <row r="46" spans="3:73" x14ac:dyDescent="0.55000000000000004">
      <c r="Z46" s="3"/>
      <c r="AA46" s="2"/>
      <c r="AB46" s="2"/>
      <c r="AE46" s="7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P46">
        <f ca="1"/>
      </c>
      <c r="AQ46">
        <f ca="1"/>
      </c>
      <c r="AR46">
        <f ca="1"/>
      </c>
      <c r="AT46" s="7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BA46" s="7">
        <f ca="1"/>
      </c>
      <c r="BB46">
        <f ca="1"/>
      </c>
      <c r="BC46">
        <f ca="1"/>
      </c>
      <c r="BD46">
        <f ca="1"/>
      </c>
      <c r="BE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</row>
    <row r="47" spans="3:73" x14ac:dyDescent="0.55000000000000004">
      <c r="Z47" s="3"/>
      <c r="AA47" s="2"/>
      <c r="AB47" s="2"/>
      <c r="AE47" s="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P47">
        <f ca="1"/>
      </c>
      <c r="AQ47">
        <f ca="1"/>
      </c>
      <c r="AR47">
        <f ca="1"/>
      </c>
      <c r="AT47" s="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BA47" s="7">
        <f ca="1"/>
      </c>
      <c r="BB47">
        <f ca="1"/>
      </c>
      <c r="BC47">
        <f ca="1"/>
      </c>
      <c r="BD47">
        <f ca="1"/>
      </c>
      <c r="BE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</row>
    <row r="48" spans="3:73" x14ac:dyDescent="0.55000000000000004">
      <c r="Z48" s="3"/>
      <c r="AA48" s="2"/>
      <c r="AB48" s="2"/>
      <c r="AE48" s="7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  <c r="AN48">
        <f ca="1"/>
      </c>
      <c r="AO48">
        <f ca="1"/>
      </c>
      <c r="AP48">
        <f ca="1"/>
      </c>
      <c r="AQ48">
        <f ca="1"/>
      </c>
      <c r="AR48">
        <f ca="1"/>
      </c>
      <c r="AT48" s="7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BA48" s="7">
        <f ca="1"/>
      </c>
      <c r="BB48">
        <f ca="1"/>
      </c>
      <c r="BC48">
        <f ca="1"/>
      </c>
      <c r="BD48">
        <f ca="1"/>
      </c>
      <c r="BE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</row>
    <row r="49" spans="26:73" x14ac:dyDescent="0.55000000000000004">
      <c r="Z49" s="3"/>
      <c r="AA49" s="2"/>
      <c r="AB49" s="2"/>
      <c r="AE49" s="7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  <c r="AN49">
        <f ca="1"/>
      </c>
      <c r="AO49">
        <f ca="1"/>
      </c>
      <c r="AP49">
        <f ca="1"/>
      </c>
      <c r="AQ49">
        <f ca="1"/>
      </c>
      <c r="AR49">
        <f ca="1"/>
      </c>
      <c r="AT49" s="7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BA49" s="7">
        <f ca="1"/>
      </c>
      <c r="BB49">
        <f ca="1"/>
      </c>
      <c r="BC49">
        <f ca="1"/>
      </c>
      <c r="BD49">
        <f ca="1"/>
      </c>
      <c r="BE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</row>
    <row r="50" spans="26:73" x14ac:dyDescent="0.55000000000000004">
      <c r="Z50" s="3"/>
      <c r="AA50" s="2"/>
      <c r="AB50" s="2"/>
      <c r="AE50" s="7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  <c r="AN50">
        <f ca="1"/>
      </c>
      <c r="AO50">
        <f ca="1"/>
      </c>
      <c r="AP50">
        <f ca="1"/>
      </c>
      <c r="AQ50">
        <f ca="1"/>
      </c>
      <c r="AR50">
        <f ca="1"/>
      </c>
      <c r="AT50" s="7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BA50" s="7">
        <f ca="1"/>
      </c>
      <c r="BB50">
        <f ca="1"/>
      </c>
      <c r="BC50">
        <f ca="1"/>
      </c>
      <c r="BD50">
        <f ca="1"/>
      </c>
      <c r="BE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</row>
    <row r="51" spans="26:73" x14ac:dyDescent="0.55000000000000004">
      <c r="Z51" s="3"/>
      <c r="AA51" s="2"/>
      <c r="AB51" s="2"/>
      <c r="AE51" s="7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  <c r="AN51">
        <f ca="1"/>
      </c>
      <c r="AO51">
        <f ca="1"/>
      </c>
      <c r="AP51">
        <f ca="1"/>
      </c>
      <c r="AQ51">
        <f ca="1"/>
      </c>
      <c r="AR51">
        <f ca="1"/>
      </c>
      <c r="AT51" s="7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BA51" s="7">
        <f ca="1"/>
      </c>
      <c r="BB51">
        <f ca="1"/>
      </c>
      <c r="BC51">
        <f ca="1"/>
      </c>
      <c r="BD51">
        <f ca="1"/>
      </c>
      <c r="BE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</row>
    <row r="52" spans="26:73" x14ac:dyDescent="0.55000000000000004">
      <c r="Z52" s="3"/>
      <c r="AA52" s="2"/>
      <c r="AB52" s="2"/>
      <c r="AE52" s="7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  <c r="AN52">
        <f ca="1"/>
      </c>
      <c r="AO52">
        <f ca="1"/>
      </c>
      <c r="AP52">
        <f ca="1"/>
      </c>
      <c r="AQ52">
        <f ca="1"/>
      </c>
      <c r="AR52">
        <f ca="1"/>
      </c>
      <c r="AT52" s="7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BA52" s="7">
        <f ca="1"/>
      </c>
      <c r="BB52">
        <f ca="1"/>
      </c>
      <c r="BC52">
        <f ca="1"/>
      </c>
      <c r="BD52">
        <f ca="1"/>
      </c>
      <c r="BE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</row>
    <row r="53" spans="26:73" x14ac:dyDescent="0.55000000000000004">
      <c r="Z53" s="3"/>
      <c r="AA53" s="2"/>
      <c r="AB53" s="2"/>
      <c r="AE53" s="7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  <c r="AN53">
        <f ca="1"/>
      </c>
      <c r="AO53">
        <f ca="1"/>
      </c>
      <c r="AP53">
        <f ca="1"/>
      </c>
      <c r="AQ53">
        <f ca="1"/>
      </c>
      <c r="AR53">
        <f ca="1"/>
      </c>
      <c r="AT53" s="7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BA53" s="7">
        <f ca="1"/>
      </c>
      <c r="BB53">
        <f ca="1"/>
      </c>
      <c r="BC53">
        <f ca="1"/>
      </c>
      <c r="BD53">
        <f ca="1"/>
      </c>
      <c r="BE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</row>
    <row r="54" spans="26:73" x14ac:dyDescent="0.55000000000000004">
      <c r="Z54" s="3"/>
      <c r="AA54" s="2"/>
      <c r="AB54" s="2"/>
      <c r="AE54" s="7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  <c r="AN54">
        <f ca="1"/>
      </c>
      <c r="AO54">
        <f ca="1"/>
      </c>
      <c r="AP54">
        <f ca="1"/>
      </c>
      <c r="AQ54">
        <f ca="1"/>
      </c>
      <c r="AR54">
        <f ca="1"/>
      </c>
      <c r="AT54" s="7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BA54" s="7">
        <f ca="1"/>
      </c>
      <c r="BB54">
        <f ca="1"/>
      </c>
      <c r="BC54">
        <f ca="1"/>
      </c>
      <c r="BD54">
        <f ca="1"/>
      </c>
      <c r="BE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</row>
    <row r="55" spans="26:73" x14ac:dyDescent="0.55000000000000004">
      <c r="AE55" s="7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  <c r="AN55">
        <f ca="1"/>
      </c>
      <c r="AO55">
        <f ca="1"/>
      </c>
      <c r="AP55">
        <f ca="1"/>
      </c>
      <c r="AQ55">
        <f ca="1"/>
      </c>
      <c r="AR55">
        <f ca="1"/>
      </c>
      <c r="AT55" s="7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BA55" s="7">
        <f ca="1"/>
      </c>
      <c r="BB55">
        <f ca="1"/>
      </c>
      <c r="BC55">
        <f ca="1"/>
      </c>
      <c r="BD55">
        <f ca="1"/>
      </c>
      <c r="BE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</row>
    <row r="56" spans="26:73" x14ac:dyDescent="0.55000000000000004">
      <c r="AE56" s="7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  <c r="AN56">
        <f ca="1"/>
      </c>
      <c r="AO56">
        <f ca="1"/>
      </c>
      <c r="AP56">
        <f ca="1"/>
      </c>
      <c r="AQ56">
        <f ca="1"/>
      </c>
      <c r="AR56">
        <f ca="1"/>
      </c>
      <c r="AT56" s="7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BA56" s="7">
        <f ca="1"/>
      </c>
      <c r="BB56">
        <f ca="1"/>
      </c>
      <c r="BC56">
        <f ca="1"/>
      </c>
      <c r="BD56">
        <f ca="1"/>
      </c>
      <c r="BE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</row>
    <row r="57" spans="26:73" x14ac:dyDescent="0.55000000000000004">
      <c r="AE57" s="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  <c r="AN57">
        <f ca="1"/>
      </c>
      <c r="AO57">
        <f ca="1"/>
      </c>
      <c r="AP57">
        <f ca="1"/>
      </c>
      <c r="AQ57">
        <f ca="1"/>
      </c>
      <c r="AR57">
        <f ca="1"/>
      </c>
      <c r="AT57" s="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BA57" s="7">
        <f ca="1"/>
      </c>
      <c r="BB57">
        <f ca="1"/>
      </c>
      <c r="BC57">
        <f ca="1"/>
      </c>
      <c r="BD57">
        <f ca="1"/>
      </c>
      <c r="BE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</row>
    <row r="58" spans="26:73" x14ac:dyDescent="0.55000000000000004">
      <c r="AE58" s="7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  <c r="AN58">
        <f ca="1"/>
      </c>
      <c r="AO58">
        <f ca="1"/>
      </c>
      <c r="AP58">
        <f ca="1"/>
      </c>
      <c r="AQ58">
        <f ca="1"/>
      </c>
      <c r="AR58">
        <f ca="1"/>
      </c>
      <c r="AT58" s="7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BA58" s="7">
        <f ca="1"/>
      </c>
      <c r="BB58">
        <f ca="1"/>
      </c>
      <c r="BC58">
        <f ca="1"/>
      </c>
      <c r="BD58">
        <f ca="1"/>
      </c>
      <c r="BE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</row>
    <row r="59" spans="26:73" x14ac:dyDescent="0.55000000000000004">
      <c r="AE59" s="7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T59" s="7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BA59" s="7">
        <f ca="1"/>
      </c>
      <c r="BB59">
        <f ca="1"/>
      </c>
      <c r="BC59">
        <f ca="1"/>
      </c>
      <c r="BD59">
        <f ca="1"/>
      </c>
      <c r="BE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</row>
    <row r="60" spans="26:73" x14ac:dyDescent="0.55000000000000004">
      <c r="AE60" s="7">
        <f ca="1"/>
      </c>
      <c r="AF60">
        <f ca="1"/>
      </c>
      <c r="AG60">
        <f ca="1"/>
      </c>
      <c r="AH60">
        <f ca="1"/>
      </c>
      <c r="AI60">
        <f ca="1"/>
      </c>
      <c r="AJ60">
        <f ca="1"/>
      </c>
      <c r="AK60">
        <f ca="1"/>
      </c>
      <c r="AL60">
        <f ca="1"/>
      </c>
      <c r="AM60">
        <f ca="1"/>
      </c>
      <c r="AN60">
        <f ca="1"/>
      </c>
      <c r="AO60">
        <f ca="1"/>
      </c>
      <c r="AP60">
        <f ca="1"/>
      </c>
      <c r="AQ60">
        <f ca="1"/>
      </c>
      <c r="AR60">
        <f ca="1"/>
      </c>
      <c r="AT60" s="7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BA60" s="7">
        <f ca="1"/>
      </c>
      <c r="BB60">
        <f ca="1"/>
      </c>
      <c r="BC60">
        <f ca="1"/>
      </c>
      <c r="BD60">
        <f ca="1"/>
      </c>
      <c r="BE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</row>
    <row r="61" spans="26:73" x14ac:dyDescent="0.55000000000000004">
      <c r="AE61" s="7">
        <f ca="1"/>
      </c>
      <c r="AF61">
        <f ca="1"/>
      </c>
      <c r="AG61">
        <f ca="1"/>
      </c>
      <c r="AH61">
        <f ca="1"/>
      </c>
      <c r="AI61">
        <f ca="1"/>
      </c>
      <c r="AJ61">
        <f ca="1"/>
      </c>
      <c r="AK61">
        <f ca="1"/>
      </c>
      <c r="AL61">
        <f ca="1"/>
      </c>
      <c r="AM61">
        <f ca="1"/>
      </c>
      <c r="AN61">
        <f ca="1"/>
      </c>
      <c r="AO61">
        <f ca="1"/>
      </c>
      <c r="AP61">
        <f ca="1"/>
      </c>
      <c r="AQ61">
        <f ca="1"/>
      </c>
      <c r="AR61">
        <f ca="1"/>
      </c>
      <c r="AT61" s="7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BA61" s="7">
        <f ca="1"/>
      </c>
      <c r="BB61">
        <f ca="1"/>
      </c>
      <c r="BC61">
        <f ca="1"/>
      </c>
      <c r="BD61">
        <f ca="1"/>
      </c>
      <c r="BE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</row>
    <row r="62" spans="26:73" x14ac:dyDescent="0.55000000000000004">
      <c r="AE62" s="7">
        <f ca="1"/>
      </c>
      <c r="AF62">
        <f ca="1"/>
      </c>
      <c r="AG62">
        <f ca="1"/>
      </c>
      <c r="AH62">
        <f ca="1"/>
      </c>
      <c r="AI62">
        <f ca="1"/>
      </c>
      <c r="AJ62">
        <f ca="1"/>
      </c>
      <c r="AK62">
        <f ca="1"/>
      </c>
      <c r="AL62">
        <f ca="1"/>
      </c>
      <c r="AM62">
        <f ca="1"/>
      </c>
      <c r="AN62">
        <f ca="1"/>
      </c>
      <c r="AO62">
        <f ca="1"/>
      </c>
      <c r="AP62">
        <f ca="1"/>
      </c>
      <c r="AQ62">
        <f ca="1"/>
      </c>
      <c r="AR62">
        <f ca="1"/>
      </c>
      <c r="AT62" s="7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BA62" s="7">
        <f ca="1"/>
      </c>
      <c r="BB62">
        <f ca="1"/>
      </c>
      <c r="BC62">
        <f ca="1"/>
      </c>
      <c r="BD62">
        <f ca="1"/>
      </c>
      <c r="BE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</row>
    <row r="63" spans="26:73" x14ac:dyDescent="0.55000000000000004">
      <c r="AE63" s="7">
        <f ca="1"/>
      </c>
      <c r="AF63">
        <f ca="1"/>
      </c>
      <c r="AG63">
        <f ca="1"/>
      </c>
      <c r="AH63">
        <f ca="1"/>
      </c>
      <c r="AI63">
        <f ca="1"/>
      </c>
      <c r="AJ63">
        <f ca="1"/>
      </c>
      <c r="AK63">
        <f ca="1"/>
      </c>
      <c r="AL63">
        <f ca="1"/>
      </c>
      <c r="AM63">
        <f ca="1"/>
      </c>
      <c r="AN63">
        <f ca="1"/>
      </c>
      <c r="AO63">
        <f ca="1"/>
      </c>
      <c r="AP63">
        <f ca="1"/>
      </c>
      <c r="AQ63">
        <f ca="1"/>
      </c>
      <c r="AR63">
        <f ca="1"/>
      </c>
      <c r="AT63" s="7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BA63" s="7">
        <f ca="1"/>
      </c>
      <c r="BB63">
        <f ca="1"/>
      </c>
      <c r="BC63">
        <f ca="1"/>
      </c>
      <c r="BD63">
        <f ca="1"/>
      </c>
      <c r="BE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</row>
    <row r="64" spans="26:73" x14ac:dyDescent="0.55000000000000004">
      <c r="AE64" s="7">
        <f ca="1"/>
      </c>
      <c r="AF64">
        <f ca="1"/>
      </c>
      <c r="AG64">
        <f ca="1"/>
      </c>
      <c r="AH64">
        <f ca="1"/>
      </c>
      <c r="AI64">
        <f ca="1"/>
      </c>
      <c r="AJ64">
        <f ca="1"/>
      </c>
      <c r="AK64">
        <f ca="1"/>
      </c>
      <c r="AL64">
        <f ca="1"/>
      </c>
      <c r="AM64">
        <f ca="1"/>
      </c>
      <c r="AN64">
        <f ca="1"/>
      </c>
      <c r="AO64">
        <f ca="1"/>
      </c>
      <c r="AP64">
        <f ca="1"/>
      </c>
      <c r="AQ64">
        <f ca="1"/>
      </c>
      <c r="AR64">
        <f ca="1"/>
      </c>
      <c r="AT64" s="7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BA64" s="7">
        <f ca="1"/>
      </c>
      <c r="BB64">
        <f ca="1"/>
      </c>
      <c r="BC64">
        <f ca="1"/>
      </c>
      <c r="BD64">
        <f ca="1"/>
      </c>
      <c r="BE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</row>
    <row r="65" spans="31:73" x14ac:dyDescent="0.55000000000000004">
      <c r="AE65" s="7">
        <f ca="1"/>
      </c>
      <c r="AF65">
        <f ca="1"/>
      </c>
      <c r="AG65">
        <f ca="1"/>
      </c>
      <c r="AH65">
        <f ca="1"/>
      </c>
      <c r="AI65">
        <f ca="1"/>
      </c>
      <c r="AJ65">
        <f ca="1"/>
      </c>
      <c r="AK65">
        <f ca="1"/>
      </c>
      <c r="AL65">
        <f ca="1"/>
      </c>
      <c r="AM65">
        <f ca="1"/>
      </c>
      <c r="AN65">
        <f ca="1"/>
      </c>
      <c r="AO65">
        <f ca="1"/>
      </c>
      <c r="AP65">
        <f ca="1"/>
      </c>
      <c r="AQ65">
        <f ca="1"/>
      </c>
      <c r="AR65">
        <f ca="1"/>
      </c>
      <c r="AT65" s="7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BA65" s="7">
        <f ca="1"/>
      </c>
      <c r="BB65">
        <f ca="1"/>
      </c>
      <c r="BC65">
        <f ca="1"/>
      </c>
      <c r="BD65">
        <f ca="1"/>
      </c>
      <c r="BE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</row>
    <row r="66" spans="31:73" x14ac:dyDescent="0.55000000000000004">
      <c r="AE66" s="7">
        <f ca="1"/>
      </c>
      <c r="AF66">
        <f ca="1"/>
      </c>
      <c r="AG66">
        <f ca="1"/>
      </c>
      <c r="AH66">
        <f ca="1"/>
      </c>
      <c r="AI66">
        <f ca="1"/>
      </c>
      <c r="AJ66">
        <f ca="1"/>
      </c>
      <c r="AK66">
        <f ca="1"/>
      </c>
      <c r="AL66">
        <f ca="1"/>
      </c>
      <c r="AM66">
        <f ca="1"/>
      </c>
      <c r="AN66">
        <f ca="1"/>
      </c>
      <c r="AO66">
        <f ca="1"/>
      </c>
      <c r="AP66">
        <f ca="1"/>
      </c>
      <c r="AQ66">
        <f ca="1"/>
      </c>
      <c r="AR66">
        <f ca="1"/>
      </c>
      <c r="AT66" s="7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BA66" s="7">
        <f ca="1"/>
      </c>
      <c r="BB66">
        <f ca="1"/>
      </c>
      <c r="BC66">
        <f ca="1"/>
      </c>
      <c r="BD66">
        <f ca="1"/>
      </c>
      <c r="BE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</row>
    <row r="67" spans="31:73" x14ac:dyDescent="0.55000000000000004">
      <c r="AE67" s="7">
        <f ca="1"/>
      </c>
      <c r="AF67">
        <f ca="1"/>
      </c>
      <c r="AG67">
        <f ca="1"/>
      </c>
      <c r="AH67">
        <f ca="1"/>
      </c>
      <c r="AI67">
        <f ca="1"/>
      </c>
      <c r="AJ67">
        <f ca="1"/>
      </c>
      <c r="AK67">
        <f ca="1"/>
      </c>
      <c r="AL67">
        <f ca="1"/>
      </c>
      <c r="AM67">
        <f ca="1"/>
      </c>
      <c r="AN67">
        <f ca="1"/>
      </c>
      <c r="AO67">
        <f ca="1"/>
      </c>
      <c r="AP67">
        <f ca="1"/>
      </c>
      <c r="AQ67">
        <f ca="1"/>
      </c>
      <c r="AR67">
        <f ca="1"/>
      </c>
      <c r="AT67" s="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BA67" s="7">
        <f ca="1"/>
      </c>
      <c r="BB67">
        <f ca="1"/>
      </c>
      <c r="BC67">
        <f ca="1"/>
      </c>
      <c r="BD67">
        <f ca="1"/>
      </c>
      <c r="BE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</row>
    <row r="68" spans="31:73" x14ac:dyDescent="0.55000000000000004">
      <c r="AE68" s="7">
        <f ca="1"/>
      </c>
      <c r="AF68">
        <f ca="1"/>
      </c>
      <c r="AG68">
        <f ca="1"/>
      </c>
      <c r="AH68">
        <f ca="1"/>
      </c>
      <c r="AI68">
        <f ca="1"/>
      </c>
      <c r="AJ68">
        <f ca="1"/>
      </c>
      <c r="AK68">
        <f ca="1"/>
      </c>
      <c r="AL68">
        <f ca="1"/>
      </c>
      <c r="AM68">
        <f ca="1"/>
      </c>
      <c r="AN68">
        <f ca="1"/>
      </c>
      <c r="AO68">
        <f ca="1"/>
      </c>
      <c r="AP68">
        <f ca="1"/>
      </c>
      <c r="AQ68">
        <f ca="1"/>
      </c>
      <c r="AR68">
        <f ca="1"/>
      </c>
      <c r="AT68" s="7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BA68" s="7">
        <f ca="1"/>
      </c>
      <c r="BB68">
        <f ca="1"/>
      </c>
      <c r="BC68">
        <f ca="1"/>
      </c>
      <c r="BD68">
        <f ca="1"/>
      </c>
      <c r="BE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</row>
    <row r="69" spans="31:73" x14ac:dyDescent="0.55000000000000004">
      <c r="AE69" s="7">
        <f ca="1"/>
      </c>
      <c r="AF69">
        <f ca="1"/>
      </c>
      <c r="AG69">
        <f ca="1"/>
      </c>
      <c r="AH69">
        <f ca="1"/>
      </c>
      <c r="AI69">
        <f ca="1"/>
      </c>
      <c r="AJ69">
        <f ca="1"/>
      </c>
      <c r="AK69">
        <f ca="1"/>
      </c>
      <c r="AL69">
        <f ca="1"/>
      </c>
      <c r="AM69">
        <f ca="1"/>
      </c>
      <c r="AN69">
        <f ca="1"/>
      </c>
      <c r="AO69">
        <f ca="1"/>
      </c>
      <c r="AP69">
        <f ca="1"/>
      </c>
      <c r="AQ69">
        <f ca="1"/>
      </c>
      <c r="AR69">
        <f ca="1"/>
      </c>
      <c r="AT69" s="7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BA69" s="7">
        <f ca="1"/>
      </c>
      <c r="BB69">
        <f ca="1"/>
      </c>
      <c r="BC69">
        <f ca="1"/>
      </c>
      <c r="BD69">
        <f ca="1"/>
      </c>
      <c r="BE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</row>
    <row r="70" spans="31:73" x14ac:dyDescent="0.55000000000000004">
      <c r="AE70" s="7">
        <f ca="1"/>
      </c>
      <c r="AF70">
        <f ca="1"/>
      </c>
      <c r="AG70">
        <f ca="1"/>
      </c>
      <c r="AH70">
        <f ca="1"/>
      </c>
      <c r="AI70">
        <f ca="1"/>
      </c>
      <c r="AJ70">
        <f ca="1"/>
      </c>
      <c r="AK70">
        <f ca="1"/>
      </c>
      <c r="AL70">
        <f ca="1"/>
      </c>
      <c r="AM70">
        <f ca="1"/>
      </c>
      <c r="AN70">
        <f ca="1"/>
      </c>
      <c r="AO70">
        <f ca="1"/>
      </c>
      <c r="AP70">
        <f ca="1"/>
      </c>
      <c r="AQ70">
        <f ca="1"/>
      </c>
      <c r="AR70">
        <f ca="1"/>
      </c>
      <c r="AT70" s="7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BA70" s="7">
        <f ca="1"/>
      </c>
      <c r="BB70">
        <f ca="1"/>
      </c>
      <c r="BC70">
        <f ca="1"/>
      </c>
      <c r="BD70">
        <f ca="1"/>
      </c>
      <c r="BE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</row>
    <row r="71" spans="31:73" x14ac:dyDescent="0.55000000000000004">
      <c r="AE71" s="7">
        <f ca="1"/>
      </c>
      <c r="AF71">
        <f ca="1"/>
      </c>
      <c r="AG71">
        <f ca="1"/>
      </c>
      <c r="AH71">
        <f ca="1"/>
      </c>
      <c r="AI71">
        <f ca="1"/>
      </c>
      <c r="AJ71">
        <f ca="1"/>
      </c>
      <c r="AK71">
        <f ca="1"/>
      </c>
      <c r="AL71">
        <f ca="1"/>
      </c>
      <c r="AM71">
        <f ca="1"/>
      </c>
      <c r="AN71">
        <f ca="1"/>
      </c>
      <c r="AO71">
        <f ca="1"/>
      </c>
      <c r="AP71">
        <f ca="1"/>
      </c>
      <c r="AQ71">
        <f ca="1"/>
      </c>
      <c r="AR71">
        <f ca="1"/>
      </c>
      <c r="AT71" s="7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BA71" s="7">
        <f ca="1"/>
      </c>
      <c r="BB71">
        <f ca="1"/>
      </c>
      <c r="BC71">
        <f ca="1"/>
      </c>
      <c r="BD71">
        <f ca="1"/>
      </c>
      <c r="BE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</row>
    <row r="72" spans="31:73" x14ac:dyDescent="0.55000000000000004">
      <c r="AE72" s="7">
        <f ca="1"/>
      </c>
      <c r="AF72">
        <f ca="1"/>
      </c>
      <c r="AG72">
        <f ca="1"/>
      </c>
      <c r="AH72">
        <f ca="1"/>
      </c>
      <c r="AI72">
        <f ca="1"/>
      </c>
      <c r="AJ72">
        <f ca="1"/>
      </c>
      <c r="AK72">
        <f ca="1"/>
      </c>
      <c r="AL72">
        <f ca="1"/>
      </c>
      <c r="AM72">
        <f ca="1"/>
      </c>
      <c r="AN72">
        <f ca="1"/>
      </c>
      <c r="AO72">
        <f ca="1"/>
      </c>
      <c r="AP72">
        <f ca="1"/>
      </c>
      <c r="AQ72">
        <f ca="1"/>
      </c>
      <c r="AR72">
        <f ca="1"/>
      </c>
      <c r="AT72" s="7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BA72" s="7">
        <f ca="1"/>
      </c>
      <c r="BB72">
        <f ca="1"/>
      </c>
      <c r="BC72">
        <f ca="1"/>
      </c>
      <c r="BD72">
        <f ca="1"/>
      </c>
      <c r="BE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</row>
    <row r="73" spans="31:73" x14ac:dyDescent="0.55000000000000004">
      <c r="AE73" s="7">
        <f ca="1"/>
      </c>
      <c r="AF73">
        <f ca="1"/>
      </c>
      <c r="AG73">
        <f ca="1"/>
      </c>
      <c r="AH73">
        <f ca="1"/>
      </c>
      <c r="AI73">
        <f ca="1"/>
      </c>
      <c r="AJ73">
        <f ca="1"/>
      </c>
      <c r="AK73">
        <f ca="1"/>
      </c>
      <c r="AL73">
        <f ca="1"/>
      </c>
      <c r="AM73">
        <f ca="1"/>
      </c>
      <c r="AN73">
        <f ca="1"/>
      </c>
      <c r="AO73">
        <f ca="1"/>
      </c>
      <c r="AP73">
        <f ca="1"/>
      </c>
      <c r="AQ73">
        <f ca="1"/>
      </c>
      <c r="AR73">
        <f ca="1"/>
      </c>
      <c r="AT73" s="7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BA73" s="7">
        <f ca="1"/>
      </c>
      <c r="BB73">
        <f ca="1"/>
      </c>
      <c r="BC73">
        <f ca="1"/>
      </c>
      <c r="BD73">
        <f ca="1"/>
      </c>
      <c r="BE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</row>
    <row r="74" spans="31:73" x14ac:dyDescent="0.55000000000000004">
      <c r="AE74" s="7">
        <f ca="1"/>
      </c>
      <c r="AF74">
        <f ca="1"/>
      </c>
      <c r="AG74">
        <f ca="1"/>
      </c>
      <c r="AH74">
        <f ca="1"/>
      </c>
      <c r="AI74">
        <f ca="1"/>
      </c>
      <c r="AJ74">
        <f ca="1"/>
      </c>
      <c r="AK74">
        <f ca="1"/>
      </c>
      <c r="AL74">
        <f ca="1"/>
      </c>
      <c r="AM74">
        <f ca="1"/>
      </c>
      <c r="AN74">
        <f ca="1"/>
      </c>
      <c r="AO74">
        <f ca="1"/>
      </c>
      <c r="AP74">
        <f ca="1"/>
      </c>
      <c r="AQ74">
        <f ca="1"/>
      </c>
      <c r="AR74">
        <f ca="1"/>
      </c>
      <c r="AT74" s="7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BA74" s="7">
        <f ca="1"/>
      </c>
      <c r="BB74">
        <f ca="1"/>
      </c>
      <c r="BC74">
        <f ca="1"/>
      </c>
      <c r="BD74">
        <f ca="1"/>
      </c>
      <c r="BE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</row>
    <row r="75" spans="31:73" x14ac:dyDescent="0.55000000000000004">
      <c r="AE75" s="7">
        <f ca="1"/>
      </c>
      <c r="AF75">
        <f ca="1"/>
      </c>
      <c r="AG75">
        <f ca="1"/>
      </c>
      <c r="AH75">
        <f ca="1"/>
      </c>
      <c r="AI75">
        <f ca="1"/>
      </c>
      <c r="AJ75">
        <f ca="1"/>
      </c>
      <c r="AK75">
        <f ca="1"/>
      </c>
      <c r="AL75">
        <f ca="1"/>
      </c>
      <c r="AM75">
        <f ca="1"/>
      </c>
      <c r="AN75">
        <f ca="1"/>
      </c>
      <c r="AO75">
        <f ca="1"/>
      </c>
      <c r="AP75">
        <f ca="1"/>
      </c>
      <c r="AQ75">
        <f ca="1"/>
      </c>
      <c r="AR75">
        <f ca="1"/>
      </c>
      <c r="AT75" s="7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BA75" s="7">
        <f ca="1"/>
      </c>
      <c r="BB75">
        <f ca="1"/>
      </c>
      <c r="BC75">
        <f ca="1"/>
      </c>
      <c r="BD75">
        <f ca="1"/>
      </c>
      <c r="BE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</row>
    <row r="76" spans="31:73" x14ac:dyDescent="0.55000000000000004">
      <c r="AE76" s="7">
        <f ca="1"/>
      </c>
      <c r="AF76">
        <f ca="1"/>
      </c>
      <c r="AG76">
        <f ca="1"/>
      </c>
      <c r="AH76">
        <f ca="1"/>
      </c>
      <c r="AI76">
        <f ca="1"/>
      </c>
      <c r="AJ76">
        <f ca="1"/>
      </c>
      <c r="AK76">
        <f ca="1"/>
      </c>
      <c r="AL76">
        <f ca="1"/>
      </c>
      <c r="AM76">
        <f ca="1"/>
      </c>
      <c r="AN76">
        <f ca="1"/>
      </c>
      <c r="AO76">
        <f ca="1"/>
      </c>
      <c r="AP76">
        <f ca="1"/>
      </c>
      <c r="AQ76">
        <f ca="1"/>
      </c>
      <c r="AR76">
        <f ca="1"/>
      </c>
      <c r="AT76" s="7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BA76" s="7">
        <f ca="1"/>
      </c>
      <c r="BB76">
        <f ca="1"/>
      </c>
      <c r="BC76">
        <f ca="1"/>
      </c>
      <c r="BD76">
        <f ca="1"/>
      </c>
      <c r="BE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</row>
    <row r="77" spans="31:73" x14ac:dyDescent="0.55000000000000004">
      <c r="AE77" s="7">
        <f ca="1"/>
      </c>
      <c r="AF77">
        <f ca="1"/>
      </c>
      <c r="AG77">
        <f ca="1"/>
      </c>
      <c r="AH77">
        <f ca="1"/>
      </c>
      <c r="AI77">
        <f ca="1"/>
      </c>
      <c r="AJ77">
        <f ca="1"/>
      </c>
      <c r="AK77">
        <f ca="1"/>
      </c>
      <c r="AL77">
        <f ca="1"/>
      </c>
      <c r="AM77">
        <f ca="1"/>
      </c>
      <c r="AN77">
        <f ca="1"/>
      </c>
      <c r="AO77">
        <f ca="1"/>
      </c>
      <c r="AP77">
        <f ca="1"/>
      </c>
      <c r="AQ77">
        <f ca="1"/>
      </c>
      <c r="AR77">
        <f ca="1"/>
      </c>
      <c r="AT77" s="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BA77" s="7">
        <f ca="1"/>
      </c>
      <c r="BB77">
        <f ca="1"/>
      </c>
      <c r="BC77">
        <f ca="1"/>
      </c>
      <c r="BD77">
        <f ca="1"/>
      </c>
      <c r="BE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</row>
    <row r="78" spans="31:73" x14ac:dyDescent="0.55000000000000004">
      <c r="AE78" s="7">
        <f ca="1"/>
      </c>
      <c r="AF78">
        <f ca="1"/>
      </c>
      <c r="AG78">
        <f ca="1"/>
      </c>
      <c r="AH78">
        <f ca="1"/>
      </c>
      <c r="AI78">
        <f ca="1"/>
      </c>
      <c r="AJ78">
        <f ca="1"/>
      </c>
      <c r="AK78">
        <f ca="1"/>
      </c>
      <c r="AL78">
        <f ca="1"/>
      </c>
      <c r="AM78">
        <f ca="1"/>
      </c>
      <c r="AN78">
        <f ca="1"/>
      </c>
      <c r="AO78">
        <f ca="1"/>
      </c>
      <c r="AP78">
        <f ca="1"/>
      </c>
      <c r="AQ78">
        <f ca="1"/>
      </c>
      <c r="AR78">
        <f ca="1"/>
      </c>
      <c r="AT78" s="7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BA78" s="7">
        <f ca="1"/>
      </c>
      <c r="BB78">
        <f ca="1"/>
      </c>
      <c r="BC78">
        <f ca="1"/>
      </c>
      <c r="BD78">
        <f ca="1"/>
      </c>
      <c r="BE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</row>
    <row r="79" spans="31:73" x14ac:dyDescent="0.55000000000000004">
      <c r="AE79" s="7">
        <f ca="1"/>
      </c>
      <c r="AF79">
        <f ca="1"/>
      </c>
      <c r="AG79">
        <f ca="1"/>
      </c>
      <c r="AH79">
        <f ca="1"/>
      </c>
      <c r="AI79">
        <f ca="1"/>
      </c>
      <c r="AJ79">
        <f ca="1"/>
      </c>
      <c r="AK79">
        <f ca="1"/>
      </c>
      <c r="AL79">
        <f ca="1"/>
      </c>
      <c r="AM79">
        <f ca="1"/>
      </c>
      <c r="AN79">
        <f ca="1"/>
      </c>
      <c r="AO79">
        <f ca="1"/>
      </c>
      <c r="AP79">
        <f ca="1"/>
      </c>
      <c r="AQ79">
        <f ca="1"/>
      </c>
      <c r="AR79">
        <f ca="1"/>
      </c>
      <c r="AT79" s="7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BA79" s="7">
        <f ca="1"/>
      </c>
      <c r="BB79">
        <f ca="1"/>
      </c>
      <c r="BC79">
        <f ca="1"/>
      </c>
      <c r="BD79">
        <f ca="1"/>
      </c>
      <c r="BE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</row>
    <row r="80" spans="31:73" x14ac:dyDescent="0.55000000000000004">
      <c r="AE80" s="7">
        <f ca="1"/>
      </c>
      <c r="AF80">
        <f ca="1"/>
      </c>
      <c r="AG80">
        <f ca="1"/>
      </c>
      <c r="AH80">
        <f ca="1"/>
      </c>
      <c r="AI80">
        <f ca="1"/>
      </c>
      <c r="AJ80">
        <f ca="1"/>
      </c>
      <c r="AK80">
        <f ca="1"/>
      </c>
      <c r="AL80">
        <f ca="1"/>
      </c>
      <c r="AM80">
        <f ca="1"/>
      </c>
      <c r="AN80">
        <f ca="1"/>
      </c>
      <c r="AO80">
        <f ca="1"/>
      </c>
      <c r="AP80">
        <f ca="1"/>
      </c>
      <c r="AQ80">
        <f ca="1"/>
      </c>
      <c r="AR80">
        <f ca="1"/>
      </c>
      <c r="AT80" s="7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BA80" s="7">
        <f ca="1"/>
      </c>
      <c r="BB80">
        <f ca="1"/>
      </c>
      <c r="BC80">
        <f ca="1"/>
      </c>
      <c r="BD80">
        <f ca="1"/>
      </c>
      <c r="BE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</row>
    <row r="81" spans="31:73" x14ac:dyDescent="0.55000000000000004">
      <c r="AE81" s="7">
        <f ca="1"/>
      </c>
      <c r="AF81">
        <f ca="1"/>
      </c>
      <c r="AG81">
        <f ca="1"/>
      </c>
      <c r="AH81">
        <f ca="1"/>
      </c>
      <c r="AI81">
        <f ca="1"/>
      </c>
      <c r="AJ81">
        <f ca="1"/>
      </c>
      <c r="AK81">
        <f ca="1"/>
      </c>
      <c r="AL81">
        <f ca="1"/>
      </c>
      <c r="AM81">
        <f ca="1"/>
      </c>
      <c r="AN81">
        <f ca="1"/>
      </c>
      <c r="AO81">
        <f ca="1"/>
      </c>
      <c r="AP81">
        <f ca="1"/>
      </c>
      <c r="AQ81">
        <f ca="1"/>
      </c>
      <c r="AR81">
        <f ca="1"/>
      </c>
      <c r="AT81" s="7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BA81" s="7">
        <f ca="1"/>
      </c>
      <c r="BB81">
        <f ca="1"/>
      </c>
      <c r="BC81">
        <f ca="1"/>
      </c>
      <c r="BD81">
        <f ca="1"/>
      </c>
      <c r="BE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</row>
    <row r="82" spans="31:73" x14ac:dyDescent="0.55000000000000004">
      <c r="AE82" s="7">
        <f ca="1"/>
      </c>
      <c r="AF82">
        <f ca="1"/>
      </c>
      <c r="AG82">
        <f ca="1"/>
      </c>
      <c r="AH82">
        <f ca="1"/>
      </c>
      <c r="AI82">
        <f ca="1"/>
      </c>
      <c r="AJ82">
        <f ca="1"/>
      </c>
      <c r="AK82">
        <f ca="1"/>
      </c>
      <c r="AL82">
        <f ca="1"/>
      </c>
      <c r="AM82">
        <f ca="1"/>
      </c>
      <c r="AN82">
        <f ca="1"/>
      </c>
      <c r="AO82">
        <f ca="1"/>
      </c>
      <c r="AP82">
        <f ca="1"/>
      </c>
      <c r="AQ82">
        <f ca="1"/>
      </c>
      <c r="AR82">
        <f ca="1"/>
      </c>
      <c r="AT82" s="7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BA82" s="7">
        <f ca="1"/>
      </c>
      <c r="BB82">
        <f ca="1"/>
      </c>
      <c r="BC82">
        <f ca="1"/>
      </c>
      <c r="BD82">
        <f ca="1"/>
      </c>
      <c r="BE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</row>
    <row r="83" spans="31:73" x14ac:dyDescent="0.55000000000000004">
      <c r="AE83" s="7">
        <f ca="1"/>
      </c>
      <c r="AF83">
        <f ca="1"/>
      </c>
      <c r="AG83">
        <f ca="1"/>
      </c>
      <c r="AH83">
        <f ca="1"/>
      </c>
      <c r="AI83">
        <f ca="1"/>
      </c>
      <c r="AJ83">
        <f ca="1"/>
      </c>
      <c r="AK83">
        <f ca="1"/>
      </c>
      <c r="AL83">
        <f ca="1"/>
      </c>
      <c r="AM83">
        <f ca="1"/>
      </c>
      <c r="AN83">
        <f ca="1"/>
      </c>
      <c r="AO83">
        <f ca="1"/>
      </c>
      <c r="AP83">
        <f ca="1"/>
      </c>
      <c r="AQ83">
        <f ca="1"/>
      </c>
      <c r="AR83">
        <f ca="1"/>
      </c>
      <c r="AT83" s="7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BA83" s="7">
        <f ca="1"/>
      </c>
      <c r="BB83">
        <f ca="1"/>
      </c>
      <c r="BC83">
        <f ca="1"/>
      </c>
      <c r="BD83">
        <f ca="1"/>
      </c>
      <c r="BE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</row>
    <row r="84" spans="31:73" x14ac:dyDescent="0.55000000000000004">
      <c r="AE84" s="7">
        <f ca="1"/>
      </c>
      <c r="AF84">
        <f ca="1"/>
      </c>
      <c r="AG84">
        <f ca="1"/>
      </c>
      <c r="AH84">
        <f ca="1"/>
      </c>
      <c r="AI84">
        <f ca="1"/>
      </c>
      <c r="AJ84">
        <f ca="1"/>
      </c>
      <c r="AK84">
        <f ca="1"/>
      </c>
      <c r="AL84">
        <f ca="1"/>
      </c>
      <c r="AM84">
        <f ca="1"/>
      </c>
      <c r="AN84">
        <f ca="1"/>
      </c>
      <c r="AO84">
        <f ca="1"/>
      </c>
      <c r="AP84">
        <f ca="1"/>
      </c>
      <c r="AQ84">
        <f ca="1"/>
      </c>
      <c r="AR84">
        <f ca="1"/>
      </c>
      <c r="AT84" s="7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BA84" s="7">
        <f ca="1"/>
      </c>
      <c r="BB84">
        <f ca="1"/>
      </c>
      <c r="BC84">
        <f ca="1"/>
      </c>
      <c r="BD84">
        <f ca="1"/>
      </c>
      <c r="BE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</row>
    <row r="85" spans="31:73" x14ac:dyDescent="0.55000000000000004">
      <c r="AE85" s="7">
        <f ca="1"/>
      </c>
      <c r="AF85">
        <f ca="1"/>
      </c>
      <c r="AG85">
        <f ca="1"/>
      </c>
      <c r="AH85">
        <f ca="1"/>
      </c>
      <c r="AI85">
        <f ca="1"/>
      </c>
      <c r="AJ85">
        <f ca="1"/>
      </c>
      <c r="AK85">
        <f ca="1"/>
      </c>
      <c r="AL85">
        <f ca="1"/>
      </c>
      <c r="AM85">
        <f ca="1"/>
      </c>
      <c r="AN85">
        <f ca="1"/>
      </c>
      <c r="AO85">
        <f ca="1"/>
      </c>
      <c r="AP85">
        <f ca="1"/>
      </c>
      <c r="AQ85">
        <f ca="1"/>
      </c>
      <c r="AR85">
        <f ca="1"/>
      </c>
      <c r="AT85" s="7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BA85" s="7">
        <f ca="1"/>
      </c>
      <c r="BB85">
        <f ca="1"/>
      </c>
      <c r="BC85">
        <f ca="1"/>
      </c>
      <c r="BD85">
        <f ca="1"/>
      </c>
      <c r="BE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</row>
    <row r="86" spans="31:73" x14ac:dyDescent="0.55000000000000004">
      <c r="AE86" s="7">
        <f ca="1"/>
      </c>
      <c r="AF86">
        <f ca="1"/>
      </c>
      <c r="AG86">
        <f ca="1"/>
      </c>
      <c r="AH86">
        <f ca="1"/>
      </c>
      <c r="AI86">
        <f ca="1"/>
      </c>
      <c r="AJ86">
        <f ca="1"/>
      </c>
      <c r="AK86">
        <f ca="1"/>
      </c>
      <c r="AL86">
        <f ca="1"/>
      </c>
      <c r="AM86">
        <f ca="1"/>
      </c>
      <c r="AN86">
        <f ca="1"/>
      </c>
      <c r="AO86">
        <f ca="1"/>
      </c>
      <c r="AP86">
        <f ca="1"/>
      </c>
      <c r="AQ86">
        <f ca="1"/>
      </c>
      <c r="AR86">
        <f ca="1"/>
      </c>
      <c r="AT86" s="7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BA86" s="7">
        <f ca="1"/>
      </c>
      <c r="BB86">
        <f ca="1"/>
      </c>
      <c r="BC86">
        <f ca="1"/>
      </c>
      <c r="BD86">
        <f ca="1"/>
      </c>
      <c r="BE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</row>
    <row r="87" spans="31:73" x14ac:dyDescent="0.55000000000000004">
      <c r="AE87" s="7">
        <f ca="1"/>
      </c>
      <c r="AF87">
        <f ca="1"/>
      </c>
      <c r="AG87">
        <f ca="1"/>
      </c>
      <c r="AH87">
        <f ca="1"/>
      </c>
      <c r="AI87">
        <f ca="1"/>
      </c>
      <c r="AJ87">
        <f ca="1"/>
      </c>
      <c r="AK87">
        <f ca="1"/>
      </c>
      <c r="AL87">
        <f ca="1"/>
      </c>
      <c r="AM87">
        <f ca="1"/>
      </c>
      <c r="AN87">
        <f ca="1"/>
      </c>
      <c r="AO87">
        <f ca="1"/>
      </c>
      <c r="AP87">
        <f ca="1"/>
      </c>
      <c r="AQ87">
        <f ca="1"/>
      </c>
      <c r="AR87">
        <f ca="1"/>
      </c>
      <c r="AT87" s="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BA87" s="7">
        <f ca="1"/>
      </c>
      <c r="BB87">
        <f ca="1"/>
      </c>
      <c r="BC87">
        <f ca="1"/>
      </c>
      <c r="BD87">
        <f ca="1"/>
      </c>
      <c r="BE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</row>
    <row r="88" spans="31:73" x14ac:dyDescent="0.55000000000000004">
      <c r="AE88" s="7">
        <f ca="1"/>
      </c>
      <c r="AF88">
        <f ca="1"/>
      </c>
      <c r="AG88">
        <f ca="1"/>
      </c>
      <c r="AH88">
        <f ca="1"/>
      </c>
      <c r="AI88">
        <f ca="1"/>
      </c>
      <c r="AJ88">
        <f ca="1"/>
      </c>
      <c r="AK88">
        <f ca="1"/>
      </c>
      <c r="AL88">
        <f ca="1"/>
      </c>
      <c r="AM88">
        <f ca="1"/>
      </c>
      <c r="AN88">
        <f ca="1"/>
      </c>
      <c r="AO88">
        <f ca="1"/>
      </c>
      <c r="AP88">
        <f ca="1"/>
      </c>
      <c r="AQ88">
        <f ca="1"/>
      </c>
      <c r="AR88">
        <f ca="1"/>
      </c>
      <c r="AT88" s="7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BA88" s="7">
        <f ca="1"/>
      </c>
      <c r="BB88">
        <f ca="1"/>
      </c>
      <c r="BC88">
        <f ca="1"/>
      </c>
      <c r="BD88">
        <f ca="1"/>
      </c>
      <c r="BE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</row>
    <row r="89" spans="31:73" x14ac:dyDescent="0.55000000000000004">
      <c r="AE89" s="7">
        <f ca="1"/>
      </c>
      <c r="AF89">
        <f ca="1"/>
      </c>
      <c r="AG89">
        <f ca="1"/>
      </c>
      <c r="AH89">
        <f ca="1"/>
      </c>
      <c r="AI89">
        <f ca="1"/>
      </c>
      <c r="AJ89">
        <f ca="1"/>
      </c>
      <c r="AK89">
        <f ca="1"/>
      </c>
      <c r="AL89">
        <f ca="1"/>
      </c>
      <c r="AM89">
        <f ca="1"/>
      </c>
      <c r="AN89">
        <f ca="1"/>
      </c>
      <c r="AO89">
        <f ca="1"/>
      </c>
      <c r="AP89">
        <f ca="1"/>
      </c>
      <c r="AQ89">
        <f ca="1"/>
      </c>
      <c r="AR89">
        <f ca="1"/>
      </c>
      <c r="AT89" s="7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BA89" s="7">
        <f ca="1"/>
      </c>
      <c r="BB89">
        <f ca="1"/>
      </c>
      <c r="BC89">
        <f ca="1"/>
      </c>
      <c r="BD89">
        <f ca="1"/>
      </c>
      <c r="BE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</row>
    <row r="90" spans="31:73" x14ac:dyDescent="0.55000000000000004">
      <c r="AE90" s="7">
        <f ca="1"/>
      </c>
      <c r="AF90">
        <f ca="1"/>
      </c>
      <c r="AG90">
        <f ca="1"/>
      </c>
      <c r="AH90">
        <f ca="1"/>
      </c>
      <c r="AI90">
        <f ca="1"/>
      </c>
      <c r="AJ90">
        <f ca="1"/>
      </c>
      <c r="AK90">
        <f ca="1"/>
      </c>
      <c r="AL90">
        <f ca="1"/>
      </c>
      <c r="AM90">
        <f ca="1"/>
      </c>
      <c r="AN90">
        <f ca="1"/>
      </c>
      <c r="AO90">
        <f ca="1"/>
      </c>
      <c r="AP90">
        <f ca="1"/>
      </c>
      <c r="AQ90">
        <f ca="1"/>
      </c>
      <c r="AR90">
        <f ca="1"/>
      </c>
      <c r="AT90" s="7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BA90" s="7">
        <f ca="1"/>
      </c>
      <c r="BB90">
        <f ca="1"/>
      </c>
      <c r="BC90">
        <f ca="1"/>
      </c>
      <c r="BD90">
        <f ca="1"/>
      </c>
      <c r="BE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</row>
    <row r="91" spans="31:73" x14ac:dyDescent="0.55000000000000004">
      <c r="AE91" s="7">
        <f ca="1"/>
      </c>
      <c r="AF91">
        <f ca="1"/>
      </c>
      <c r="AG91">
        <f ca="1"/>
      </c>
      <c r="AH91">
        <f ca="1"/>
      </c>
      <c r="AI91">
        <f ca="1"/>
      </c>
      <c r="AJ91">
        <f ca="1"/>
      </c>
      <c r="AK91">
        <f ca="1"/>
      </c>
      <c r="AL91">
        <f ca="1"/>
      </c>
      <c r="AM91">
        <f ca="1"/>
      </c>
      <c r="AN91">
        <f ca="1"/>
      </c>
      <c r="AO91">
        <f ca="1"/>
      </c>
      <c r="AP91">
        <f ca="1"/>
      </c>
      <c r="AQ91">
        <f ca="1"/>
      </c>
      <c r="AR91">
        <f ca="1"/>
      </c>
      <c r="AT91" s="7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BA91" s="7">
        <f ca="1"/>
      </c>
      <c r="BB91">
        <f ca="1"/>
      </c>
      <c r="BC91">
        <f ca="1"/>
      </c>
      <c r="BD91">
        <f ca="1"/>
      </c>
      <c r="BE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</row>
    <row r="92" spans="31:73" x14ac:dyDescent="0.55000000000000004">
      <c r="AE92" s="7">
        <f ca="1"/>
      </c>
      <c r="AF92">
        <f ca="1"/>
      </c>
      <c r="AG92">
        <f ca="1"/>
      </c>
      <c r="AH92">
        <f ca="1"/>
      </c>
      <c r="AI92">
        <f ca="1"/>
      </c>
      <c r="AJ92">
        <f ca="1"/>
      </c>
      <c r="AK92">
        <f ca="1"/>
      </c>
      <c r="AL92">
        <f ca="1"/>
      </c>
      <c r="AM92">
        <f ca="1"/>
      </c>
      <c r="AN92">
        <f ca="1"/>
      </c>
      <c r="AO92">
        <f ca="1"/>
      </c>
      <c r="AP92">
        <f ca="1"/>
      </c>
      <c r="AQ92">
        <f ca="1"/>
      </c>
      <c r="AR92">
        <f ca="1"/>
      </c>
      <c r="AT92" s="7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BA92" s="7">
        <f ca="1"/>
      </c>
      <c r="BB92">
        <f ca="1"/>
      </c>
      <c r="BC92">
        <f ca="1"/>
      </c>
      <c r="BD92">
        <f ca="1"/>
      </c>
      <c r="BE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</row>
    <row r="93" spans="31:73" x14ac:dyDescent="0.55000000000000004">
      <c r="AE93" s="7">
        <f ca="1"/>
      </c>
      <c r="AF93">
        <f ca="1"/>
      </c>
      <c r="AG93">
        <f ca="1"/>
      </c>
      <c r="AH93">
        <f ca="1"/>
      </c>
      <c r="AI93">
        <f ca="1"/>
      </c>
      <c r="AJ93">
        <f ca="1"/>
      </c>
      <c r="AK93">
        <f ca="1"/>
      </c>
      <c r="AL93">
        <f ca="1"/>
      </c>
      <c r="AM93">
        <f ca="1"/>
      </c>
      <c r="AN93">
        <f ca="1"/>
      </c>
      <c r="AO93">
        <f ca="1"/>
      </c>
      <c r="AP93">
        <f ca="1"/>
      </c>
      <c r="AQ93">
        <f ca="1"/>
      </c>
      <c r="AR93">
        <f ca="1"/>
      </c>
      <c r="AT93" s="7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BA93" s="7">
        <f ca="1"/>
      </c>
      <c r="BB93">
        <f ca="1"/>
      </c>
      <c r="BC93">
        <f ca="1"/>
      </c>
      <c r="BD93">
        <f ca="1"/>
      </c>
      <c r="BE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</row>
    <row r="94" spans="31:73" x14ac:dyDescent="0.55000000000000004">
      <c r="AE94" s="7">
        <f ca="1"/>
      </c>
      <c r="AF94">
        <f ca="1"/>
      </c>
      <c r="AG94">
        <f ca="1"/>
      </c>
      <c r="AH94">
        <f ca="1"/>
      </c>
      <c r="AI94">
        <f ca="1"/>
      </c>
      <c r="AJ94">
        <f ca="1"/>
      </c>
      <c r="AK94">
        <f ca="1"/>
      </c>
      <c r="AL94">
        <f ca="1"/>
      </c>
      <c r="AM94">
        <f ca="1"/>
      </c>
      <c r="AN94">
        <f ca="1"/>
      </c>
      <c r="AO94">
        <f ca="1"/>
      </c>
      <c r="AP94">
        <f ca="1"/>
      </c>
      <c r="AQ94">
        <f ca="1"/>
      </c>
      <c r="AR94">
        <f ca="1"/>
      </c>
      <c r="AT94" s="7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BA94" s="7">
        <f ca="1"/>
      </c>
      <c r="BB94">
        <f ca="1"/>
      </c>
      <c r="BC94">
        <f ca="1"/>
      </c>
      <c r="BD94">
        <f ca="1"/>
      </c>
      <c r="BE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</row>
    <row r="95" spans="31:73" x14ac:dyDescent="0.55000000000000004">
      <c r="AE95" s="7">
        <f ca="1"/>
      </c>
      <c r="AF95">
        <f ca="1"/>
      </c>
      <c r="AG95">
        <f ca="1"/>
      </c>
      <c r="AH95">
        <f ca="1"/>
      </c>
      <c r="AI95">
        <f ca="1"/>
      </c>
      <c r="AJ95">
        <f ca="1"/>
      </c>
      <c r="AK95">
        <f ca="1"/>
      </c>
      <c r="AL95">
        <f ca="1"/>
      </c>
      <c r="AM95">
        <f ca="1"/>
      </c>
      <c r="AN95">
        <f ca="1"/>
      </c>
      <c r="AO95">
        <f ca="1"/>
      </c>
      <c r="AP95">
        <f ca="1"/>
      </c>
      <c r="AQ95">
        <f ca="1"/>
      </c>
      <c r="AR95">
        <f ca="1"/>
      </c>
      <c r="AT95" s="7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BA95" s="7">
        <f ca="1"/>
      </c>
      <c r="BB95">
        <f ca="1"/>
      </c>
      <c r="BC95">
        <f ca="1"/>
      </c>
      <c r="BD95">
        <f ca="1"/>
      </c>
      <c r="BE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</row>
    <row r="96" spans="31:73" x14ac:dyDescent="0.55000000000000004">
      <c r="AE96" s="7">
        <f ca="1"/>
      </c>
      <c r="AF96">
        <f ca="1"/>
      </c>
      <c r="AG96">
        <f ca="1"/>
      </c>
      <c r="AH96">
        <f ca="1"/>
      </c>
      <c r="AI96">
        <f ca="1"/>
      </c>
      <c r="AJ96">
        <f ca="1"/>
      </c>
      <c r="AK96">
        <f ca="1"/>
      </c>
      <c r="AL96">
        <f ca="1"/>
      </c>
      <c r="AM96">
        <f ca="1"/>
      </c>
      <c r="AN96">
        <f ca="1"/>
      </c>
      <c r="AO96">
        <f ca="1"/>
      </c>
      <c r="AP96">
        <f ca="1"/>
      </c>
      <c r="AQ96">
        <f ca="1"/>
      </c>
      <c r="AR96">
        <f ca="1"/>
      </c>
      <c r="AT96" s="7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BA96" s="7">
        <f ca="1"/>
      </c>
      <c r="BB96">
        <f ca="1"/>
      </c>
      <c r="BC96">
        <f ca="1"/>
      </c>
      <c r="BD96">
        <f ca="1"/>
      </c>
      <c r="BE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</row>
    <row r="97" spans="31:73" x14ac:dyDescent="0.55000000000000004">
      <c r="AE97" s="7">
        <f ca="1"/>
      </c>
      <c r="AF97">
        <f ca="1"/>
      </c>
      <c r="AG97">
        <f ca="1"/>
      </c>
      <c r="AH97">
        <f ca="1"/>
      </c>
      <c r="AI97">
        <f ca="1"/>
      </c>
      <c r="AJ97">
        <f ca="1"/>
      </c>
      <c r="AK97">
        <f ca="1"/>
      </c>
      <c r="AL97">
        <f ca="1"/>
      </c>
      <c r="AM97">
        <f ca="1"/>
      </c>
      <c r="AN97">
        <f ca="1"/>
      </c>
      <c r="AO97">
        <f ca="1"/>
      </c>
      <c r="AP97">
        <f ca="1"/>
      </c>
      <c r="AQ97">
        <f ca="1"/>
      </c>
      <c r="AR97">
        <f ca="1"/>
      </c>
      <c r="AT97" s="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BA97" s="7">
        <f ca="1"/>
      </c>
      <c r="BB97">
        <f ca="1"/>
      </c>
      <c r="BC97">
        <f ca="1"/>
      </c>
      <c r="BD97">
        <f ca="1"/>
      </c>
      <c r="BE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</row>
    <row r="98" spans="31:73" x14ac:dyDescent="0.55000000000000004">
      <c r="AE98" s="7">
        <f ca="1"/>
      </c>
      <c r="AF98">
        <f ca="1"/>
      </c>
      <c r="AG98">
        <f ca="1"/>
      </c>
      <c r="AH98">
        <f ca="1"/>
      </c>
      <c r="AI98">
        <f ca="1"/>
      </c>
      <c r="AJ98">
        <f ca="1"/>
      </c>
      <c r="AK98">
        <f ca="1"/>
      </c>
      <c r="AL98">
        <f ca="1"/>
      </c>
      <c r="AM98">
        <f ca="1"/>
      </c>
      <c r="AN98">
        <f ca="1"/>
      </c>
      <c r="AO98">
        <f ca="1"/>
      </c>
      <c r="AP98">
        <f ca="1"/>
      </c>
      <c r="AQ98">
        <f ca="1"/>
      </c>
      <c r="AR98">
        <f ca="1"/>
      </c>
      <c r="AT98" s="7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BA98" s="7">
        <f ca="1"/>
      </c>
      <c r="BB98">
        <f ca="1"/>
      </c>
      <c r="BC98">
        <f ca="1"/>
      </c>
      <c r="BD98">
        <f ca="1"/>
      </c>
      <c r="BE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</row>
    <row r="99" spans="31:73" x14ac:dyDescent="0.55000000000000004">
      <c r="AE99" s="7">
        <f ca="1"/>
      </c>
      <c r="AF99">
        <f ca="1"/>
      </c>
      <c r="AG99">
        <f ca="1"/>
      </c>
      <c r="AH99">
        <f ca="1"/>
      </c>
      <c r="AI99">
        <f ca="1"/>
      </c>
      <c r="AJ99">
        <f ca="1"/>
      </c>
      <c r="AK99">
        <f ca="1"/>
      </c>
      <c r="AL99">
        <f ca="1"/>
      </c>
      <c r="AM99">
        <f ca="1"/>
      </c>
      <c r="AN99">
        <f ca="1"/>
      </c>
      <c r="AO99">
        <f ca="1"/>
      </c>
      <c r="AP99">
        <f ca="1"/>
      </c>
      <c r="AQ99">
        <f ca="1"/>
      </c>
      <c r="AR99">
        <f ca="1"/>
      </c>
      <c r="AT99" s="7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BA99" s="7">
        <f ca="1"/>
      </c>
      <c r="BB99">
        <f ca="1"/>
      </c>
      <c r="BC99">
        <f ca="1"/>
      </c>
      <c r="BD99">
        <f ca="1"/>
      </c>
      <c r="BE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</row>
    <row r="100" spans="31:73" x14ac:dyDescent="0.55000000000000004">
      <c r="AE100" s="7">
        <f ca="1"/>
      </c>
      <c r="AF100">
        <f ca="1"/>
      </c>
      <c r="AG100">
        <f ca="1"/>
      </c>
      <c r="AH100">
        <f ca="1"/>
      </c>
      <c r="AI100">
        <f ca="1"/>
      </c>
      <c r="AJ100">
        <f ca="1"/>
      </c>
      <c r="AK100">
        <f ca="1"/>
      </c>
      <c r="AL100">
        <f ca="1"/>
      </c>
      <c r="AM100">
        <f ca="1"/>
      </c>
      <c r="AN100">
        <f ca="1"/>
      </c>
      <c r="AO100">
        <f ca="1"/>
      </c>
      <c r="AP100">
        <f ca="1"/>
      </c>
      <c r="AQ100">
        <f ca="1"/>
      </c>
      <c r="AR100">
        <f ca="1"/>
      </c>
      <c r="AT100" s="7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BA100" s="7">
        <f ca="1"/>
      </c>
      <c r="BB100">
        <f ca="1"/>
      </c>
      <c r="BC100">
        <f ca="1"/>
      </c>
      <c r="BD100">
        <f ca="1"/>
      </c>
      <c r="BE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</row>
    <row r="101" spans="31:73" x14ac:dyDescent="0.55000000000000004">
      <c r="AE101" s="7">
        <f ca="1"/>
      </c>
      <c r="AF101">
        <f ca="1"/>
      </c>
      <c r="AG101">
        <f ca="1"/>
      </c>
      <c r="AH101">
        <f ca="1"/>
      </c>
      <c r="AI101">
        <f ca="1"/>
      </c>
      <c r="AJ101">
        <f ca="1"/>
      </c>
      <c r="AK101">
        <f ca="1"/>
      </c>
      <c r="AL101">
        <f ca="1"/>
      </c>
      <c r="AM101">
        <f ca="1"/>
      </c>
      <c r="AN101">
        <f ca="1"/>
      </c>
      <c r="AO101">
        <f ca="1"/>
      </c>
      <c r="AP101">
        <f ca="1"/>
      </c>
      <c r="AQ101">
        <f ca="1"/>
      </c>
      <c r="AR101">
        <f ca="1"/>
      </c>
      <c r="AT101" s="7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BA101" s="7">
        <f ca="1"/>
      </c>
      <c r="BB101">
        <f ca="1"/>
      </c>
      <c r="BC101">
        <f ca="1"/>
      </c>
      <c r="BD101">
        <f ca="1"/>
      </c>
      <c r="BE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</row>
    <row r="102" spans="31:73" x14ac:dyDescent="0.55000000000000004">
      <c r="AE102" s="7">
        <f ca="1"/>
      </c>
      <c r="AF102">
        <f ca="1"/>
      </c>
      <c r="AG102">
        <f ca="1"/>
      </c>
      <c r="AH102">
        <f ca="1"/>
      </c>
      <c r="AI102">
        <f ca="1"/>
      </c>
      <c r="AJ102">
        <f ca="1"/>
      </c>
      <c r="AK102">
        <f ca="1"/>
      </c>
      <c r="AL102">
        <f ca="1"/>
      </c>
      <c r="AM102">
        <f ca="1"/>
      </c>
      <c r="AN102">
        <f ca="1"/>
      </c>
      <c r="AO102">
        <f ca="1"/>
      </c>
      <c r="AP102">
        <f ca="1"/>
      </c>
      <c r="AQ102">
        <f ca="1"/>
      </c>
      <c r="AR102">
        <f ca="1"/>
      </c>
      <c r="AT102" s="7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BA102" s="7">
        <f ca="1"/>
      </c>
      <c r="BB102">
        <f ca="1"/>
      </c>
      <c r="BC102">
        <f ca="1"/>
      </c>
      <c r="BD102">
        <f ca="1"/>
      </c>
      <c r="BE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</row>
    <row r="103" spans="31:73" x14ac:dyDescent="0.55000000000000004">
      <c r="AE103" s="7">
        <f ca="1"/>
      </c>
      <c r="AF103">
        <f ca="1"/>
      </c>
      <c r="AG103">
        <f ca="1"/>
      </c>
      <c r="AH103">
        <f ca="1"/>
      </c>
      <c r="AI103">
        <f ca="1"/>
      </c>
      <c r="AJ103">
        <f ca="1"/>
      </c>
      <c r="AK103">
        <f ca="1"/>
      </c>
      <c r="AL103">
        <f ca="1"/>
      </c>
      <c r="AM103">
        <f ca="1"/>
      </c>
      <c r="AN103">
        <f ca="1"/>
      </c>
      <c r="AO103">
        <f ca="1"/>
      </c>
      <c r="AP103">
        <f ca="1"/>
      </c>
      <c r="AQ103">
        <f ca="1"/>
      </c>
      <c r="AR103">
        <f ca="1"/>
      </c>
      <c r="AT103" s="7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BA103" s="7">
        <f ca="1"/>
      </c>
      <c r="BB103">
        <f ca="1"/>
      </c>
      <c r="BC103">
        <f ca="1"/>
      </c>
      <c r="BD103">
        <f ca="1"/>
      </c>
      <c r="BE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</row>
    <row r="104" spans="31:73" x14ac:dyDescent="0.55000000000000004">
      <c r="AE104" s="7">
        <f ca="1"/>
      </c>
      <c r="AF104">
        <f ca="1"/>
      </c>
      <c r="AG104">
        <f ca="1"/>
      </c>
      <c r="AH104">
        <f ca="1"/>
      </c>
      <c r="AI104">
        <f ca="1"/>
      </c>
      <c r="AJ104">
        <f ca="1"/>
      </c>
      <c r="AK104">
        <f ca="1"/>
      </c>
      <c r="AL104">
        <f ca="1"/>
      </c>
      <c r="AM104">
        <f ca="1"/>
      </c>
      <c r="AN104">
        <f ca="1"/>
      </c>
      <c r="AO104">
        <f ca="1"/>
      </c>
      <c r="AP104">
        <f ca="1"/>
      </c>
      <c r="AQ104">
        <f ca="1"/>
      </c>
      <c r="AR104">
        <f ca="1"/>
      </c>
      <c r="AT104" s="7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BA104" s="7">
        <f ca="1"/>
      </c>
      <c r="BB104">
        <f ca="1"/>
      </c>
      <c r="BC104">
        <f ca="1"/>
      </c>
      <c r="BD104">
        <f ca="1"/>
      </c>
      <c r="BE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</row>
    <row r="105" spans="31:73" x14ac:dyDescent="0.55000000000000004">
      <c r="AE105" s="7">
        <f ca="1"/>
      </c>
      <c r="AF105">
        <f ca="1"/>
      </c>
      <c r="AG105">
        <f ca="1"/>
      </c>
      <c r="AH105">
        <f ca="1"/>
      </c>
      <c r="AI105">
        <f ca="1"/>
      </c>
      <c r="AJ105">
        <f ca="1"/>
      </c>
      <c r="AK105">
        <f ca="1"/>
      </c>
      <c r="AL105">
        <f ca="1"/>
      </c>
      <c r="AM105">
        <f ca="1"/>
      </c>
      <c r="AN105">
        <f ca="1"/>
      </c>
      <c r="AO105">
        <f ca="1"/>
      </c>
      <c r="AP105">
        <f ca="1"/>
      </c>
      <c r="AQ105">
        <f ca="1"/>
      </c>
      <c r="AR105">
        <f ca="1"/>
      </c>
      <c r="AT105" s="7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BA105" s="7">
        <f ca="1"/>
      </c>
      <c r="BB105">
        <f ca="1"/>
      </c>
      <c r="BC105">
        <f ca="1"/>
      </c>
      <c r="BD105">
        <f ca="1"/>
      </c>
      <c r="BE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</row>
    <row r="106" spans="31:73" x14ac:dyDescent="0.55000000000000004">
      <c r="AE106" s="7">
        <f ca="1"/>
      </c>
      <c r="AF106">
        <f ca="1"/>
      </c>
      <c r="AG106">
        <f ca="1"/>
      </c>
      <c r="AH106">
        <f ca="1"/>
      </c>
      <c r="AI106">
        <f ca="1"/>
      </c>
      <c r="AJ106">
        <f ca="1"/>
      </c>
      <c r="AK106">
        <f ca="1"/>
      </c>
      <c r="AL106">
        <f ca="1"/>
      </c>
      <c r="AM106">
        <f ca="1"/>
      </c>
      <c r="AN106">
        <f ca="1"/>
      </c>
      <c r="AO106">
        <f ca="1"/>
      </c>
      <c r="AP106">
        <f ca="1"/>
      </c>
      <c r="AQ106">
        <f ca="1"/>
      </c>
      <c r="AR106">
        <f ca="1"/>
      </c>
      <c r="AT106" s="7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BA106" s="7">
        <f ca="1"/>
      </c>
      <c r="BB106">
        <f ca="1"/>
      </c>
      <c r="BC106">
        <f ca="1"/>
      </c>
      <c r="BD106">
        <f ca="1"/>
      </c>
      <c r="BE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</row>
    <row r="107" spans="31:73" x14ac:dyDescent="0.55000000000000004">
      <c r="AE107" s="7">
        <f ca="1"/>
      </c>
      <c r="AF107">
        <f ca="1"/>
      </c>
      <c r="AG107">
        <f ca="1"/>
      </c>
      <c r="AH107">
        <f ca="1"/>
      </c>
      <c r="AI107">
        <f ca="1"/>
      </c>
      <c r="AJ107">
        <f ca="1"/>
      </c>
      <c r="AK107">
        <f ca="1"/>
      </c>
      <c r="AL107">
        <f ca="1"/>
      </c>
      <c r="AM107">
        <f ca="1"/>
      </c>
      <c r="AN107">
        <f ca="1"/>
      </c>
      <c r="AO107">
        <f ca="1"/>
      </c>
      <c r="AP107">
        <f ca="1"/>
      </c>
      <c r="AQ107">
        <f ca="1"/>
      </c>
      <c r="AR107">
        <f ca="1"/>
      </c>
      <c r="AT107" s="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BA107" s="7">
        <f ca="1"/>
      </c>
      <c r="BB107">
        <f ca="1"/>
      </c>
      <c r="BC107">
        <f ca="1"/>
      </c>
      <c r="BD107">
        <f ca="1"/>
      </c>
      <c r="BE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</row>
    <row r="108" spans="31:73" x14ac:dyDescent="0.55000000000000004">
      <c r="AE108" s="7">
        <f ca="1"/>
      </c>
      <c r="AF108">
        <f ca="1"/>
      </c>
      <c r="AG108">
        <f ca="1"/>
      </c>
      <c r="AH108">
        <f ca="1"/>
      </c>
      <c r="AI108">
        <f ca="1"/>
      </c>
      <c r="AJ108">
        <f ca="1"/>
      </c>
      <c r="AK108">
        <f ca="1"/>
      </c>
      <c r="AL108">
        <f ca="1"/>
      </c>
      <c r="AM108">
        <f ca="1"/>
      </c>
      <c r="AN108">
        <f ca="1"/>
      </c>
      <c r="AO108">
        <f ca="1"/>
      </c>
      <c r="AP108">
        <f ca="1"/>
      </c>
      <c r="AQ108">
        <f ca="1"/>
      </c>
      <c r="AR108">
        <f ca="1"/>
      </c>
      <c r="AT108" s="7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BA108" s="7">
        <f ca="1"/>
      </c>
      <c r="BB108">
        <f ca="1"/>
      </c>
      <c r="BC108">
        <f ca="1"/>
      </c>
      <c r="BD108">
        <f ca="1"/>
      </c>
      <c r="BE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</row>
    <row r="109" spans="31:73" x14ac:dyDescent="0.55000000000000004">
      <c r="AE109" s="7">
        <f ca="1"/>
      </c>
      <c r="AF109">
        <f ca="1"/>
      </c>
      <c r="AG109">
        <f ca="1"/>
      </c>
      <c r="AH109">
        <f ca="1"/>
      </c>
      <c r="AI109">
        <f ca="1"/>
      </c>
      <c r="AJ109">
        <f ca="1"/>
      </c>
      <c r="AK109">
        <f ca="1"/>
      </c>
      <c r="AL109">
        <f ca="1"/>
      </c>
      <c r="AM109">
        <f ca="1"/>
      </c>
      <c r="AN109">
        <f ca="1"/>
      </c>
      <c r="AO109">
        <f ca="1"/>
      </c>
      <c r="AP109">
        <f ca="1"/>
      </c>
      <c r="AQ109">
        <f ca="1"/>
      </c>
      <c r="AR109">
        <f ca="1"/>
      </c>
      <c r="AT109" s="7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BA109" s="7">
        <f ca="1"/>
      </c>
      <c r="BB109">
        <f ca="1"/>
      </c>
      <c r="BC109">
        <f ca="1"/>
      </c>
      <c r="BD109">
        <f ca="1"/>
      </c>
      <c r="BE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</row>
    <row r="110" spans="31:73" x14ac:dyDescent="0.55000000000000004">
      <c r="AE110" s="7">
        <f ca="1"/>
      </c>
      <c r="AF110">
        <f ca="1"/>
      </c>
      <c r="AG110">
        <f ca="1"/>
      </c>
      <c r="AH110">
        <f ca="1"/>
      </c>
      <c r="AI110">
        <f ca="1"/>
      </c>
      <c r="AJ110">
        <f ca="1"/>
      </c>
      <c r="AK110">
        <f ca="1"/>
      </c>
      <c r="AL110">
        <f ca="1"/>
      </c>
      <c r="AM110">
        <f ca="1"/>
      </c>
      <c r="AN110">
        <f ca="1"/>
      </c>
      <c r="AO110">
        <f ca="1"/>
      </c>
      <c r="AP110">
        <f ca="1"/>
      </c>
      <c r="AQ110">
        <f ca="1"/>
      </c>
      <c r="AR110">
        <f ca="1"/>
      </c>
      <c r="AT110" s="7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BA110" s="7">
        <f ca="1"/>
      </c>
      <c r="BB110">
        <f ca="1"/>
      </c>
      <c r="BC110">
        <f ca="1"/>
      </c>
      <c r="BD110">
        <f ca="1"/>
      </c>
      <c r="BE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</row>
    <row r="111" spans="31:73" x14ac:dyDescent="0.55000000000000004">
      <c r="AE111" s="7">
        <f ca="1"/>
      </c>
      <c r="AF111">
        <f ca="1"/>
      </c>
      <c r="AG111">
        <f ca="1"/>
      </c>
      <c r="AH111">
        <f ca="1"/>
      </c>
      <c r="AI111">
        <f ca="1"/>
      </c>
      <c r="AJ111">
        <f ca="1"/>
      </c>
      <c r="AK111">
        <f ca="1"/>
      </c>
      <c r="AL111">
        <f ca="1"/>
      </c>
      <c r="AM111">
        <f ca="1"/>
      </c>
      <c r="AN111">
        <f ca="1"/>
      </c>
      <c r="AO111">
        <f ca="1"/>
      </c>
      <c r="AP111">
        <f ca="1"/>
      </c>
      <c r="AQ111">
        <f ca="1"/>
      </c>
      <c r="AR111">
        <f ca="1"/>
      </c>
      <c r="AT111" s="7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BA111" s="7">
        <f ca="1"/>
      </c>
      <c r="BB111">
        <f ca="1"/>
      </c>
      <c r="BC111">
        <f ca="1"/>
      </c>
      <c r="BD111">
        <f ca="1"/>
      </c>
      <c r="BE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</row>
    <row r="112" spans="31:73" x14ac:dyDescent="0.55000000000000004">
      <c r="AE112" s="7">
        <f ca="1"/>
      </c>
      <c r="AF112">
        <f ca="1"/>
      </c>
      <c r="AG112">
        <f ca="1"/>
      </c>
      <c r="AH112">
        <f ca="1"/>
      </c>
      <c r="AI112">
        <f ca="1"/>
      </c>
      <c r="AJ112">
        <f ca="1"/>
      </c>
      <c r="AK112">
        <f ca="1"/>
      </c>
      <c r="AL112">
        <f ca="1"/>
      </c>
      <c r="AM112">
        <f ca="1"/>
      </c>
      <c r="AN112">
        <f ca="1"/>
      </c>
      <c r="AO112">
        <f ca="1"/>
      </c>
      <c r="AP112">
        <f ca="1"/>
      </c>
      <c r="AQ112">
        <f ca="1"/>
      </c>
      <c r="AR112">
        <f ca="1"/>
      </c>
      <c r="AT112" s="7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BA112" s="7">
        <f ca="1"/>
      </c>
      <c r="BB112">
        <f ca="1"/>
      </c>
      <c r="BC112">
        <f ca="1"/>
      </c>
      <c r="BD112">
        <f ca="1"/>
      </c>
      <c r="BE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</row>
    <row r="113" spans="31:73" x14ac:dyDescent="0.55000000000000004">
      <c r="AE113" s="7">
        <f ca="1"/>
      </c>
      <c r="AF113">
        <f ca="1"/>
      </c>
      <c r="AG113">
        <f ca="1"/>
      </c>
      <c r="AH113">
        <f ca="1"/>
      </c>
      <c r="AI113">
        <f ca="1"/>
      </c>
      <c r="AJ113">
        <f ca="1"/>
      </c>
      <c r="AK113">
        <f ca="1"/>
      </c>
      <c r="AL113">
        <f ca="1"/>
      </c>
      <c r="AM113">
        <f ca="1"/>
      </c>
      <c r="AN113">
        <f ca="1"/>
      </c>
      <c r="AO113">
        <f ca="1"/>
      </c>
      <c r="AP113">
        <f ca="1"/>
      </c>
      <c r="AQ113">
        <f ca="1"/>
      </c>
      <c r="AR113">
        <f ca="1"/>
      </c>
      <c r="AT113" s="7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BA113" s="7">
        <f ca="1"/>
      </c>
      <c r="BB113">
        <f ca="1"/>
      </c>
      <c r="BC113">
        <f ca="1"/>
      </c>
      <c r="BD113">
        <f ca="1"/>
      </c>
      <c r="BE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</row>
    <row r="114" spans="31:73" x14ac:dyDescent="0.55000000000000004">
      <c r="AE114" s="7">
        <f ca="1"/>
      </c>
      <c r="AF114">
        <f ca="1"/>
      </c>
      <c r="AG114">
        <f ca="1"/>
      </c>
      <c r="AH114">
        <f ca="1"/>
      </c>
      <c r="AI114">
        <f ca="1"/>
      </c>
      <c r="AJ114">
        <f ca="1"/>
      </c>
      <c r="AK114">
        <f ca="1"/>
      </c>
      <c r="AL114">
        <f ca="1"/>
      </c>
      <c r="AM114">
        <f ca="1"/>
      </c>
      <c r="AN114">
        <f ca="1"/>
      </c>
      <c r="AO114">
        <f ca="1"/>
      </c>
      <c r="AP114">
        <f ca="1"/>
      </c>
      <c r="AQ114">
        <f ca="1"/>
      </c>
      <c r="AR114">
        <f ca="1"/>
      </c>
      <c r="AT114" s="7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BA114" s="7">
        <f ca="1"/>
      </c>
      <c r="BB114">
        <f ca="1"/>
      </c>
      <c r="BC114">
        <f ca="1"/>
      </c>
      <c r="BD114">
        <f ca="1"/>
      </c>
      <c r="BE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</row>
    <row r="115" spans="31:73" x14ac:dyDescent="0.55000000000000004">
      <c r="AE115" s="7">
        <f ca="1"/>
      </c>
      <c r="AF115">
        <f ca="1"/>
      </c>
      <c r="AG115">
        <f ca="1"/>
      </c>
      <c r="AH115">
        <f ca="1"/>
      </c>
      <c r="AI115">
        <f ca="1"/>
      </c>
      <c r="AJ115">
        <f ca="1"/>
      </c>
      <c r="AK115">
        <f ca="1"/>
      </c>
      <c r="AL115">
        <f ca="1"/>
      </c>
      <c r="AM115">
        <f ca="1"/>
      </c>
      <c r="AN115">
        <f ca="1"/>
      </c>
      <c r="AO115">
        <f ca="1"/>
      </c>
      <c r="AP115">
        <f ca="1"/>
      </c>
      <c r="AQ115">
        <f ca="1"/>
      </c>
      <c r="AR115">
        <f ca="1"/>
      </c>
      <c r="AT115" s="7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BA115" s="7">
        <f ca="1"/>
      </c>
      <c r="BB115">
        <f ca="1"/>
      </c>
      <c r="BC115">
        <f ca="1"/>
      </c>
      <c r="BD115">
        <f ca="1"/>
      </c>
      <c r="BE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</row>
    <row r="116" spans="31:73" x14ac:dyDescent="0.55000000000000004">
      <c r="AE116" s="7">
        <f ca="1"/>
      </c>
      <c r="AF116">
        <f ca="1"/>
      </c>
      <c r="AG116">
        <f ca="1"/>
      </c>
      <c r="AH116">
        <f ca="1"/>
      </c>
      <c r="AI116">
        <f ca="1"/>
      </c>
      <c r="AJ116">
        <f ca="1"/>
      </c>
      <c r="AK116">
        <f ca="1"/>
      </c>
      <c r="AL116">
        <f ca="1"/>
      </c>
      <c r="AM116">
        <f ca="1"/>
      </c>
      <c r="AN116">
        <f ca="1"/>
      </c>
      <c r="AO116">
        <f ca="1"/>
      </c>
      <c r="AP116">
        <f ca="1"/>
      </c>
      <c r="AQ116">
        <f ca="1"/>
      </c>
      <c r="AR116">
        <f ca="1"/>
      </c>
      <c r="AT116" s="7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BA116" s="7">
        <f ca="1"/>
      </c>
      <c r="BB116">
        <f ca="1"/>
      </c>
      <c r="BC116">
        <f ca="1"/>
      </c>
      <c r="BD116">
        <f ca="1"/>
      </c>
      <c r="BE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</row>
    <row r="117" spans="31:73" x14ac:dyDescent="0.55000000000000004">
      <c r="AE117" s="7">
        <f ca="1"/>
      </c>
      <c r="AF117">
        <f ca="1"/>
      </c>
      <c r="AG117">
        <f ca="1"/>
      </c>
      <c r="AH117">
        <f ca="1"/>
      </c>
      <c r="AI117">
        <f ca="1"/>
      </c>
      <c r="AJ117">
        <f ca="1"/>
      </c>
      <c r="AK117">
        <f ca="1"/>
      </c>
      <c r="AL117">
        <f ca="1"/>
      </c>
      <c r="AM117">
        <f ca="1"/>
      </c>
      <c r="AN117">
        <f ca="1"/>
      </c>
      <c r="AO117">
        <f ca="1"/>
      </c>
      <c r="AP117">
        <f ca="1"/>
      </c>
      <c r="AQ117">
        <f ca="1"/>
      </c>
      <c r="AR117">
        <f ca="1"/>
      </c>
      <c r="AT117" s="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BA117" s="7">
        <f ca="1"/>
      </c>
      <c r="BB117">
        <f ca="1"/>
      </c>
      <c r="BC117">
        <f ca="1"/>
      </c>
      <c r="BD117">
        <f ca="1"/>
      </c>
      <c r="BE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</row>
    <row r="118" spans="31:73" x14ac:dyDescent="0.55000000000000004">
      <c r="AE118" s="7">
        <f ca="1"/>
      </c>
      <c r="AF118">
        <f ca="1"/>
      </c>
      <c r="AG118">
        <f ca="1"/>
      </c>
      <c r="AH118">
        <f ca="1"/>
      </c>
      <c r="AI118">
        <f ca="1"/>
      </c>
      <c r="AJ118">
        <f ca="1"/>
      </c>
      <c r="AK118">
        <f ca="1"/>
      </c>
      <c r="AL118">
        <f ca="1"/>
      </c>
      <c r="AM118">
        <f ca="1"/>
      </c>
      <c r="AN118">
        <f ca="1"/>
      </c>
      <c r="AO118">
        <f ca="1"/>
      </c>
      <c r="AP118">
        <f ca="1"/>
      </c>
      <c r="AQ118">
        <f ca="1"/>
      </c>
      <c r="AR118">
        <f ca="1"/>
      </c>
      <c r="AT118" s="7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BA118" s="7">
        <f ca="1"/>
      </c>
      <c r="BB118">
        <f ca="1"/>
      </c>
      <c r="BC118">
        <f ca="1"/>
      </c>
      <c r="BD118">
        <f ca="1"/>
      </c>
      <c r="BE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</row>
    <row r="119" spans="31:73" x14ac:dyDescent="0.55000000000000004">
      <c r="AE119" s="7">
        <f ca="1"/>
      </c>
      <c r="AF119">
        <f ca="1"/>
      </c>
      <c r="AG119">
        <f ca="1"/>
      </c>
      <c r="AH119">
        <f ca="1"/>
      </c>
      <c r="AI119">
        <f ca="1"/>
      </c>
      <c r="AJ119">
        <f ca="1"/>
      </c>
      <c r="AK119">
        <f ca="1"/>
      </c>
      <c r="AL119">
        <f ca="1"/>
      </c>
      <c r="AM119">
        <f ca="1"/>
      </c>
      <c r="AN119">
        <f ca="1"/>
      </c>
      <c r="AO119">
        <f ca="1"/>
      </c>
      <c r="AP119">
        <f ca="1"/>
      </c>
      <c r="AQ119">
        <f ca="1"/>
      </c>
      <c r="AR119">
        <f ca="1"/>
      </c>
      <c r="AT119" s="7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BA119" s="7">
        <f ca="1"/>
      </c>
      <c r="BB119">
        <f ca="1"/>
      </c>
      <c r="BC119">
        <f ca="1"/>
      </c>
      <c r="BD119">
        <f ca="1"/>
      </c>
      <c r="BE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</row>
    <row r="120" spans="31:73" x14ac:dyDescent="0.55000000000000004">
      <c r="AE120" s="7">
        <f ca="1"/>
      </c>
      <c r="AF120">
        <f ca="1"/>
      </c>
      <c r="AG120">
        <f ca="1"/>
      </c>
      <c r="AH120">
        <f ca="1"/>
      </c>
      <c r="AI120">
        <f ca="1"/>
      </c>
      <c r="AJ120">
        <f ca="1"/>
      </c>
      <c r="AK120">
        <f ca="1"/>
      </c>
      <c r="AL120">
        <f ca="1"/>
      </c>
      <c r="AM120">
        <f ca="1"/>
      </c>
      <c r="AN120">
        <f ca="1"/>
      </c>
      <c r="AO120">
        <f ca="1"/>
      </c>
      <c r="AP120">
        <f ca="1"/>
      </c>
      <c r="AQ120">
        <f ca="1"/>
      </c>
      <c r="AR120">
        <f ca="1"/>
      </c>
      <c r="AT120" s="7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BA120" s="7">
        <f ca="1"/>
      </c>
      <c r="BB120">
        <f ca="1"/>
      </c>
      <c r="BC120">
        <f ca="1"/>
      </c>
      <c r="BD120">
        <f ca="1"/>
      </c>
      <c r="BE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</row>
    <row r="121" spans="31:73" x14ac:dyDescent="0.55000000000000004">
      <c r="AE121" s="7">
        <f ca="1"/>
      </c>
      <c r="AF121">
        <f ca="1"/>
      </c>
      <c r="AG121">
        <f ca="1"/>
      </c>
      <c r="AH121">
        <f ca="1"/>
      </c>
      <c r="AI121">
        <f ca="1"/>
      </c>
      <c r="AJ121">
        <f ca="1"/>
      </c>
      <c r="AK121">
        <f ca="1"/>
      </c>
      <c r="AL121">
        <f ca="1"/>
      </c>
      <c r="AM121">
        <f ca="1"/>
      </c>
      <c r="AN121">
        <f ca="1"/>
      </c>
      <c r="AO121">
        <f ca="1"/>
      </c>
      <c r="AP121">
        <f ca="1"/>
      </c>
      <c r="AQ121">
        <f ca="1"/>
      </c>
      <c r="AR121">
        <f ca="1"/>
      </c>
      <c r="AT121" s="7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BA121" s="7">
        <f ca="1"/>
      </c>
      <c r="BB121">
        <f ca="1"/>
      </c>
      <c r="BC121">
        <f ca="1"/>
      </c>
      <c r="BD121">
        <f ca="1"/>
      </c>
      <c r="BE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</row>
    <row r="122" spans="31:73" x14ac:dyDescent="0.55000000000000004">
      <c r="AE122" s="7">
        <f ca="1"/>
      </c>
      <c r="AF122">
        <f ca="1"/>
      </c>
      <c r="AG122">
        <f ca="1"/>
      </c>
      <c r="AH122">
        <f ca="1"/>
      </c>
      <c r="AI122">
        <f ca="1"/>
      </c>
      <c r="AJ122">
        <f ca="1"/>
      </c>
      <c r="AK122">
        <f ca="1"/>
      </c>
      <c r="AL122">
        <f ca="1"/>
      </c>
      <c r="AM122">
        <f ca="1"/>
      </c>
      <c r="AN122">
        <f ca="1"/>
      </c>
      <c r="AO122">
        <f ca="1"/>
      </c>
      <c r="AP122">
        <f ca="1"/>
      </c>
      <c r="AQ122">
        <f ca="1"/>
      </c>
      <c r="AR122">
        <f ca="1"/>
      </c>
      <c r="AT122" s="7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BA122" s="7">
        <f ca="1"/>
      </c>
      <c r="BB122">
        <f ca="1"/>
      </c>
      <c r="BC122">
        <f ca="1"/>
      </c>
      <c r="BD122">
        <f ca="1"/>
      </c>
      <c r="BE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</row>
    <row r="123" spans="31:73" x14ac:dyDescent="0.55000000000000004">
      <c r="AE123" s="7">
        <f ca="1"/>
      </c>
      <c r="AF123">
        <f ca="1"/>
      </c>
      <c r="AG123">
        <f ca="1"/>
      </c>
      <c r="AH123">
        <f ca="1"/>
      </c>
      <c r="AI123">
        <f ca="1"/>
      </c>
      <c r="AJ123">
        <f ca="1"/>
      </c>
      <c r="AK123">
        <f ca="1"/>
      </c>
      <c r="AL123">
        <f ca="1"/>
      </c>
      <c r="AM123">
        <f ca="1"/>
      </c>
      <c r="AN123">
        <f ca="1"/>
      </c>
      <c r="AO123">
        <f ca="1"/>
      </c>
      <c r="AP123">
        <f ca="1"/>
      </c>
      <c r="AQ123">
        <f ca="1"/>
      </c>
      <c r="AR123">
        <f ca="1"/>
      </c>
      <c r="AT123" s="7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BA123" s="7">
        <f ca="1"/>
      </c>
      <c r="BB123">
        <f ca="1"/>
      </c>
      <c r="BC123">
        <f ca="1"/>
      </c>
      <c r="BD123">
        <f ca="1"/>
      </c>
      <c r="BE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</row>
    <row r="124" spans="31:73" x14ac:dyDescent="0.55000000000000004">
      <c r="AE124" s="7">
        <f ca="1"/>
      </c>
      <c r="AF124">
        <f ca="1"/>
      </c>
      <c r="AG124">
        <f ca="1"/>
      </c>
      <c r="AH124">
        <f ca="1"/>
      </c>
      <c r="AI124">
        <f ca="1"/>
      </c>
      <c r="AJ124">
        <f ca="1"/>
      </c>
      <c r="AK124">
        <f ca="1"/>
      </c>
      <c r="AL124">
        <f ca="1"/>
      </c>
      <c r="AM124">
        <f ca="1"/>
      </c>
      <c r="AN124">
        <f ca="1"/>
      </c>
      <c r="AO124">
        <f ca="1"/>
      </c>
      <c r="AP124">
        <f ca="1"/>
      </c>
      <c r="AQ124">
        <f ca="1"/>
      </c>
      <c r="AR124">
        <f ca="1"/>
      </c>
      <c r="AT124" s="7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BA124" s="7">
        <f ca="1"/>
      </c>
      <c r="BB124">
        <f ca="1"/>
      </c>
      <c r="BC124">
        <f ca="1"/>
      </c>
      <c r="BD124">
        <f ca="1"/>
      </c>
      <c r="BE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</row>
    <row r="125" spans="31:73" x14ac:dyDescent="0.55000000000000004">
      <c r="AE125" s="7">
        <f ca="1"/>
      </c>
      <c r="AF125">
        <f ca="1"/>
      </c>
      <c r="AG125">
        <f ca="1"/>
      </c>
      <c r="AH125">
        <f ca="1"/>
      </c>
      <c r="AI125">
        <f ca="1"/>
      </c>
      <c r="AJ125">
        <f ca="1"/>
      </c>
      <c r="AK125">
        <f ca="1"/>
      </c>
      <c r="AL125">
        <f ca="1"/>
      </c>
      <c r="AM125">
        <f ca="1"/>
      </c>
      <c r="AN125">
        <f ca="1"/>
      </c>
      <c r="AO125">
        <f ca="1"/>
      </c>
      <c r="AP125">
        <f ca="1"/>
      </c>
      <c r="AQ125">
        <f ca="1"/>
      </c>
      <c r="AR125">
        <f ca="1"/>
      </c>
      <c r="AT125" s="7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BA125" s="7">
        <f ca="1"/>
      </c>
      <c r="BB125">
        <f ca="1"/>
      </c>
      <c r="BC125">
        <f ca="1"/>
      </c>
      <c r="BD125">
        <f ca="1"/>
      </c>
      <c r="BE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</row>
    <row r="126" spans="31:73" x14ac:dyDescent="0.55000000000000004">
      <c r="AE126" s="7">
        <f ca="1"/>
      </c>
      <c r="AF126">
        <f ca="1"/>
      </c>
      <c r="AG126">
        <f ca="1"/>
      </c>
      <c r="AH126">
        <f ca="1"/>
      </c>
      <c r="AI126">
        <f ca="1"/>
      </c>
      <c r="AJ126">
        <f ca="1"/>
      </c>
      <c r="AK126">
        <f ca="1"/>
      </c>
      <c r="AL126">
        <f ca="1"/>
      </c>
      <c r="AM126">
        <f ca="1"/>
      </c>
      <c r="AN126">
        <f ca="1"/>
      </c>
      <c r="AO126">
        <f ca="1"/>
      </c>
      <c r="AP126">
        <f ca="1"/>
      </c>
      <c r="AQ126">
        <f ca="1"/>
      </c>
      <c r="AR126">
        <f ca="1"/>
      </c>
      <c r="AT126" s="7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BA126" s="7">
        <f ca="1"/>
      </c>
      <c r="BB126">
        <f ca="1"/>
      </c>
      <c r="BC126">
        <f ca="1"/>
      </c>
      <c r="BD126">
        <f ca="1"/>
      </c>
      <c r="BE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</row>
    <row r="127" spans="31:73" x14ac:dyDescent="0.55000000000000004">
      <c r="AE127" s="7">
        <f ca="1"/>
      </c>
      <c r="AF127">
        <f ca="1"/>
      </c>
      <c r="AG127">
        <f ca="1"/>
      </c>
      <c r="AH127">
        <f ca="1"/>
      </c>
      <c r="AI127">
        <f ca="1"/>
      </c>
      <c r="AJ127">
        <f ca="1"/>
      </c>
      <c r="AK127">
        <f ca="1"/>
      </c>
      <c r="AL127">
        <f ca="1"/>
      </c>
      <c r="AM127">
        <f ca="1"/>
      </c>
      <c r="AN127">
        <f ca="1"/>
      </c>
      <c r="AO127">
        <f ca="1"/>
      </c>
      <c r="AP127">
        <f ca="1"/>
      </c>
      <c r="AQ127">
        <f ca="1"/>
      </c>
      <c r="AR127">
        <f ca="1"/>
      </c>
      <c r="AT127" s="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BA127" s="7">
        <f ca="1"/>
      </c>
      <c r="BB127">
        <f ca="1"/>
      </c>
      <c r="BC127">
        <f ca="1"/>
      </c>
      <c r="BD127">
        <f ca="1"/>
      </c>
      <c r="BE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</row>
    <row r="128" spans="31:73" x14ac:dyDescent="0.55000000000000004">
      <c r="AE128" s="7">
        <f ca="1"/>
      </c>
      <c r="AF128">
        <f ca="1"/>
      </c>
      <c r="AG128">
        <f ca="1"/>
      </c>
      <c r="AH128">
        <f ca="1"/>
      </c>
      <c r="AI128">
        <f ca="1"/>
      </c>
      <c r="AJ128">
        <f ca="1"/>
      </c>
      <c r="AK128">
        <f ca="1"/>
      </c>
      <c r="AL128">
        <f ca="1"/>
      </c>
      <c r="AM128">
        <f ca="1"/>
      </c>
      <c r="AN128">
        <f ca="1"/>
      </c>
      <c r="AO128">
        <f ca="1"/>
      </c>
      <c r="AP128">
        <f ca="1"/>
      </c>
      <c r="AQ128">
        <f ca="1"/>
      </c>
      <c r="AR128">
        <f ca="1"/>
      </c>
      <c r="AT128" s="7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BA128" s="7">
        <f ca="1"/>
      </c>
      <c r="BB128">
        <f ca="1"/>
      </c>
      <c r="BC128">
        <f ca="1"/>
      </c>
      <c r="BD128">
        <f ca="1"/>
      </c>
      <c r="BE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</row>
    <row r="129" spans="31:73" x14ac:dyDescent="0.55000000000000004">
      <c r="AE129" s="7">
        <f ca="1"/>
      </c>
      <c r="AF129">
        <f ca="1"/>
      </c>
      <c r="AG129">
        <f ca="1"/>
      </c>
      <c r="AH129">
        <f ca="1"/>
      </c>
      <c r="AI129">
        <f ca="1"/>
      </c>
      <c r="AJ129">
        <f ca="1"/>
      </c>
      <c r="AK129">
        <f ca="1"/>
      </c>
      <c r="AL129">
        <f ca="1"/>
      </c>
      <c r="AM129">
        <f ca="1"/>
      </c>
      <c r="AN129">
        <f ca="1"/>
      </c>
      <c r="AO129">
        <f ca="1"/>
      </c>
      <c r="AP129">
        <f ca="1"/>
      </c>
      <c r="AQ129">
        <f ca="1"/>
      </c>
      <c r="AR129">
        <f ca="1"/>
      </c>
      <c r="AT129" s="7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BA129" s="7">
        <f ca="1"/>
      </c>
      <c r="BB129">
        <f ca="1"/>
      </c>
      <c r="BC129">
        <f ca="1"/>
      </c>
      <c r="BD129">
        <f ca="1"/>
      </c>
      <c r="BE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</row>
    <row r="130" spans="31:73" x14ac:dyDescent="0.55000000000000004">
      <c r="AE130" s="7">
        <f ca="1"/>
      </c>
      <c r="AF130">
        <f ca="1"/>
      </c>
      <c r="AG130">
        <f ca="1"/>
      </c>
      <c r="AH130">
        <f ca="1"/>
      </c>
      <c r="AI130">
        <f ca="1"/>
      </c>
      <c r="AJ130">
        <f ca="1"/>
      </c>
      <c r="AK130">
        <f ca="1"/>
      </c>
      <c r="AL130">
        <f ca="1"/>
      </c>
      <c r="AM130">
        <f ca="1"/>
      </c>
      <c r="AN130">
        <f ca="1"/>
      </c>
      <c r="AO130">
        <f ca="1"/>
      </c>
      <c r="AP130">
        <f ca="1"/>
      </c>
      <c r="AQ130">
        <f ca="1"/>
      </c>
      <c r="AR130">
        <f ca="1"/>
      </c>
      <c r="AT130" s="7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BA130" s="7">
        <f ca="1"/>
      </c>
      <c r="BB130">
        <f ca="1"/>
      </c>
      <c r="BC130">
        <f ca="1"/>
      </c>
      <c r="BD130">
        <f ca="1"/>
      </c>
      <c r="BE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</row>
    <row r="131" spans="31:73" x14ac:dyDescent="0.55000000000000004">
      <c r="AE131" s="7">
        <f ca="1"/>
      </c>
      <c r="AF131">
        <f ca="1"/>
      </c>
      <c r="AG131">
        <f ca="1"/>
      </c>
      <c r="AH131">
        <f ca="1"/>
      </c>
      <c r="AI131">
        <f ca="1"/>
      </c>
      <c r="AJ131">
        <f ca="1"/>
      </c>
      <c r="AK131">
        <f ca="1"/>
      </c>
      <c r="AL131">
        <f ca="1"/>
      </c>
      <c r="AM131">
        <f ca="1"/>
      </c>
      <c r="AN131">
        <f ca="1"/>
      </c>
      <c r="AO131">
        <f ca="1"/>
      </c>
      <c r="AP131">
        <f ca="1"/>
      </c>
      <c r="AQ131">
        <f ca="1"/>
      </c>
      <c r="AR131">
        <f ca="1"/>
      </c>
      <c r="AT131" s="7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BA131" s="7">
        <f ca="1"/>
      </c>
      <c r="BB131">
        <f ca="1"/>
      </c>
      <c r="BC131">
        <f ca="1"/>
      </c>
      <c r="BD131">
        <f ca="1"/>
      </c>
      <c r="BE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</row>
    <row r="132" spans="31:73" x14ac:dyDescent="0.55000000000000004">
      <c r="AE132" s="7">
        <f ca="1"/>
      </c>
      <c r="AF132">
        <f ca="1"/>
      </c>
      <c r="AG132">
        <f ca="1"/>
      </c>
      <c r="AH132">
        <f ca="1"/>
      </c>
      <c r="AI132">
        <f ca="1"/>
      </c>
      <c r="AJ132">
        <f ca="1"/>
      </c>
      <c r="AK132">
        <f ca="1"/>
      </c>
      <c r="AL132">
        <f ca="1"/>
      </c>
      <c r="AM132">
        <f ca="1"/>
      </c>
      <c r="AN132">
        <f ca="1"/>
      </c>
      <c r="AO132">
        <f ca="1"/>
      </c>
      <c r="AP132">
        <f ca="1"/>
      </c>
      <c r="AQ132">
        <f ca="1"/>
      </c>
      <c r="AR132">
        <f ca="1"/>
      </c>
      <c r="AT132" s="7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BA132" s="7">
        <f ca="1"/>
      </c>
      <c r="BB132">
        <f ca="1"/>
      </c>
      <c r="BC132">
        <f ca="1"/>
      </c>
      <c r="BD132">
        <f ca="1"/>
      </c>
      <c r="BE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</row>
    <row r="133" spans="31:73" x14ac:dyDescent="0.55000000000000004">
      <c r="AE133" s="7">
        <f ca="1"/>
      </c>
      <c r="AF133">
        <f ca="1"/>
      </c>
      <c r="AG133">
        <f ca="1"/>
      </c>
      <c r="AH133">
        <f ca="1"/>
      </c>
      <c r="AI133">
        <f ca="1"/>
      </c>
      <c r="AJ133">
        <f ca="1"/>
      </c>
      <c r="AK133">
        <f ca="1"/>
      </c>
      <c r="AL133">
        <f ca="1"/>
      </c>
      <c r="AM133">
        <f ca="1"/>
      </c>
      <c r="AN133">
        <f ca="1"/>
      </c>
      <c r="AO133">
        <f ca="1"/>
      </c>
      <c r="AP133">
        <f ca="1"/>
      </c>
      <c r="AQ133">
        <f ca="1"/>
      </c>
      <c r="AR133">
        <f ca="1"/>
      </c>
      <c r="AT133" s="7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BA133" s="7">
        <f ca="1"/>
      </c>
      <c r="BB133">
        <f ca="1"/>
      </c>
      <c r="BC133">
        <f ca="1"/>
      </c>
      <c r="BD133">
        <f ca="1"/>
      </c>
      <c r="BE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</row>
    <row r="134" spans="31:73" x14ac:dyDescent="0.55000000000000004">
      <c r="AE134" s="7">
        <f ca="1"/>
      </c>
      <c r="AF134">
        <f ca="1"/>
      </c>
      <c r="AG134">
        <f ca="1"/>
      </c>
      <c r="AH134">
        <f ca="1"/>
      </c>
      <c r="AI134">
        <f ca="1"/>
      </c>
      <c r="AJ134">
        <f ca="1"/>
      </c>
      <c r="AK134">
        <f ca="1"/>
      </c>
      <c r="AL134">
        <f ca="1"/>
      </c>
      <c r="AM134">
        <f ca="1"/>
      </c>
      <c r="AN134">
        <f ca="1"/>
      </c>
      <c r="AO134">
        <f ca="1"/>
      </c>
      <c r="AP134">
        <f ca="1"/>
      </c>
      <c r="AQ134">
        <f ca="1"/>
      </c>
      <c r="AR134">
        <f ca="1"/>
      </c>
      <c r="AT134" s="7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BA134" s="7">
        <f ca="1"/>
      </c>
      <c r="BB134">
        <f ca="1"/>
      </c>
      <c r="BC134">
        <f ca="1"/>
      </c>
      <c r="BD134">
        <f ca="1"/>
      </c>
      <c r="BE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</row>
    <row r="135" spans="31:73" x14ac:dyDescent="0.55000000000000004">
      <c r="AE135" s="7">
        <f ca="1"/>
      </c>
      <c r="AF135">
        <f ca="1"/>
      </c>
      <c r="AG135">
        <f ca="1"/>
      </c>
      <c r="AH135">
        <f ca="1"/>
      </c>
      <c r="AI135">
        <f ca="1"/>
      </c>
      <c r="AJ135">
        <f ca="1"/>
      </c>
      <c r="AK135">
        <f ca="1"/>
      </c>
      <c r="AL135">
        <f ca="1"/>
      </c>
      <c r="AM135">
        <f ca="1"/>
      </c>
      <c r="AN135">
        <f ca="1"/>
      </c>
      <c r="AO135">
        <f ca="1"/>
      </c>
      <c r="AP135">
        <f ca="1"/>
      </c>
      <c r="AQ135">
        <f ca="1"/>
      </c>
      <c r="AR135">
        <f ca="1"/>
      </c>
      <c r="AT135" s="7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BA135" s="7">
        <f ca="1"/>
      </c>
      <c r="BB135">
        <f ca="1"/>
      </c>
      <c r="BC135">
        <f ca="1"/>
      </c>
      <c r="BD135">
        <f ca="1"/>
      </c>
      <c r="BE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</row>
    <row r="136" spans="31:73" x14ac:dyDescent="0.55000000000000004">
      <c r="AE136" s="7">
        <f ca="1"/>
      </c>
      <c r="AF136">
        <f ca="1"/>
      </c>
      <c r="AG136">
        <f ca="1"/>
      </c>
      <c r="AH136">
        <f ca="1"/>
      </c>
      <c r="AI136">
        <f ca="1"/>
      </c>
      <c r="AJ136">
        <f ca="1"/>
      </c>
      <c r="AK136">
        <f ca="1"/>
      </c>
      <c r="AL136">
        <f ca="1"/>
      </c>
      <c r="AM136">
        <f ca="1"/>
      </c>
      <c r="AN136">
        <f ca="1"/>
      </c>
      <c r="AO136">
        <f ca="1"/>
      </c>
      <c r="AP136">
        <f ca="1"/>
      </c>
      <c r="AQ136">
        <f ca="1"/>
      </c>
      <c r="AR136">
        <f ca="1"/>
      </c>
      <c r="AT136" s="7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BA136" s="7">
        <f ca="1"/>
      </c>
      <c r="BB136">
        <f ca="1"/>
      </c>
      <c r="BC136">
        <f ca="1"/>
      </c>
      <c r="BD136">
        <f ca="1"/>
      </c>
      <c r="BE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</row>
    <row r="137" spans="31:73" x14ac:dyDescent="0.55000000000000004">
      <c r="AE137" s="7">
        <f ca="1"/>
      </c>
      <c r="AF137">
        <f ca="1"/>
      </c>
      <c r="AG137">
        <f ca="1"/>
      </c>
      <c r="AH137">
        <f ca="1"/>
      </c>
      <c r="AI137">
        <f ca="1"/>
      </c>
      <c r="AJ137">
        <f ca="1"/>
      </c>
      <c r="AK137">
        <f ca="1"/>
      </c>
      <c r="AL137">
        <f ca="1"/>
      </c>
      <c r="AM137">
        <f ca="1"/>
      </c>
      <c r="AN137">
        <f ca="1"/>
      </c>
      <c r="AO137">
        <f ca="1"/>
      </c>
      <c r="AP137">
        <f ca="1"/>
      </c>
      <c r="AQ137">
        <f ca="1"/>
      </c>
      <c r="AR137">
        <f ca="1"/>
      </c>
      <c r="AT137" s="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BA137" s="7">
        <f ca="1"/>
      </c>
      <c r="BB137">
        <f ca="1"/>
      </c>
      <c r="BC137">
        <f ca="1"/>
      </c>
      <c r="BD137">
        <f ca="1"/>
      </c>
      <c r="BE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</row>
    <row r="138" spans="31:73" x14ac:dyDescent="0.55000000000000004">
      <c r="AE138" s="7">
        <f ca="1"/>
      </c>
      <c r="AF138">
        <f ca="1"/>
      </c>
      <c r="AG138">
        <f ca="1"/>
      </c>
      <c r="AH138">
        <f ca="1"/>
      </c>
      <c r="AI138">
        <f ca="1"/>
      </c>
      <c r="AJ138">
        <f ca="1"/>
      </c>
      <c r="AK138">
        <f ca="1"/>
      </c>
      <c r="AL138">
        <f ca="1"/>
      </c>
      <c r="AM138">
        <f ca="1"/>
      </c>
      <c r="AN138">
        <f ca="1"/>
      </c>
      <c r="AO138">
        <f ca="1"/>
      </c>
      <c r="AP138">
        <f ca="1"/>
      </c>
      <c r="AQ138">
        <f ca="1"/>
      </c>
      <c r="AR138">
        <f ca="1"/>
      </c>
      <c r="AT138" s="7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BA138" s="7">
        <f ca="1"/>
      </c>
      <c r="BB138">
        <f ca="1"/>
      </c>
      <c r="BC138">
        <f ca="1"/>
      </c>
      <c r="BD138">
        <f ca="1"/>
      </c>
      <c r="BE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</row>
    <row r="139" spans="31:73" x14ac:dyDescent="0.55000000000000004">
      <c r="AE139" s="7">
        <f ca="1"/>
      </c>
      <c r="AF139">
        <f ca="1"/>
      </c>
      <c r="AG139">
        <f ca="1"/>
      </c>
      <c r="AH139">
        <f ca="1"/>
      </c>
      <c r="AI139">
        <f ca="1"/>
      </c>
      <c r="AJ139">
        <f ca="1"/>
      </c>
      <c r="AK139">
        <f ca="1"/>
      </c>
      <c r="AL139">
        <f ca="1"/>
      </c>
      <c r="AM139">
        <f ca="1"/>
      </c>
      <c r="AN139">
        <f ca="1"/>
      </c>
      <c r="AO139">
        <f ca="1"/>
      </c>
      <c r="AP139">
        <f ca="1"/>
      </c>
      <c r="AQ139">
        <f ca="1"/>
      </c>
      <c r="AR139">
        <f ca="1"/>
      </c>
      <c r="AT139" s="7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BA139" s="7">
        <f ca="1"/>
      </c>
      <c r="BB139">
        <f ca="1"/>
      </c>
      <c r="BC139">
        <f ca="1"/>
      </c>
      <c r="BD139">
        <f ca="1"/>
      </c>
      <c r="BE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</row>
    <row r="140" spans="31:73" x14ac:dyDescent="0.55000000000000004">
      <c r="AE140" s="7">
        <f ca="1"/>
      </c>
      <c r="AF140">
        <f ca="1"/>
      </c>
      <c r="AG140">
        <f ca="1"/>
      </c>
      <c r="AH140">
        <f ca="1"/>
      </c>
      <c r="AI140">
        <f ca="1"/>
      </c>
      <c r="AJ140">
        <f ca="1"/>
      </c>
      <c r="AK140">
        <f ca="1"/>
      </c>
      <c r="AL140">
        <f ca="1"/>
      </c>
      <c r="AM140">
        <f ca="1"/>
      </c>
      <c r="AN140">
        <f ca="1"/>
      </c>
      <c r="AO140">
        <f ca="1"/>
      </c>
      <c r="AP140">
        <f ca="1"/>
      </c>
      <c r="AQ140">
        <f ca="1"/>
      </c>
      <c r="AR140">
        <f ca="1"/>
      </c>
      <c r="AT140" s="7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BA140" s="7">
        <f ca="1"/>
      </c>
      <c r="BB140">
        <f ca="1"/>
      </c>
      <c r="BC140">
        <f ca="1"/>
      </c>
      <c r="BD140">
        <f ca="1"/>
      </c>
      <c r="BE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</row>
    <row r="141" spans="31:73" x14ac:dyDescent="0.55000000000000004">
      <c r="AE141" s="7">
        <f ca="1"/>
      </c>
      <c r="AF141">
        <f ca="1"/>
      </c>
      <c r="AG141">
        <f ca="1"/>
      </c>
      <c r="AH141">
        <f ca="1"/>
      </c>
      <c r="AI141">
        <f ca="1"/>
      </c>
      <c r="AJ141">
        <f ca="1"/>
      </c>
      <c r="AK141">
        <f ca="1"/>
      </c>
      <c r="AL141">
        <f ca="1"/>
      </c>
      <c r="AM141">
        <f ca="1"/>
      </c>
      <c r="AN141">
        <f ca="1"/>
      </c>
      <c r="AO141">
        <f ca="1"/>
      </c>
      <c r="AP141">
        <f ca="1"/>
      </c>
      <c r="AQ141">
        <f ca="1"/>
      </c>
      <c r="AR141">
        <f ca="1"/>
      </c>
      <c r="AT141" s="7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BA141" s="7">
        <f ca="1"/>
      </c>
      <c r="BB141">
        <f ca="1"/>
      </c>
      <c r="BC141">
        <f ca="1"/>
      </c>
      <c r="BD141">
        <f ca="1"/>
      </c>
      <c r="BE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</row>
    <row r="142" spans="31:73" x14ac:dyDescent="0.55000000000000004">
      <c r="AE142" s="7">
        <f ca="1"/>
      </c>
      <c r="AF142">
        <f ca="1"/>
      </c>
      <c r="AG142">
        <f ca="1"/>
      </c>
      <c r="AH142">
        <f ca="1"/>
      </c>
      <c r="AI142">
        <f ca="1"/>
      </c>
      <c r="AJ142">
        <f ca="1"/>
      </c>
      <c r="AK142">
        <f ca="1"/>
      </c>
      <c r="AL142">
        <f ca="1"/>
      </c>
      <c r="AM142">
        <f ca="1"/>
      </c>
      <c r="AN142">
        <f ca="1"/>
      </c>
      <c r="AO142">
        <f ca="1"/>
      </c>
      <c r="AP142">
        <f ca="1"/>
      </c>
      <c r="AQ142">
        <f ca="1"/>
      </c>
      <c r="AR142">
        <f ca="1"/>
      </c>
      <c r="AT142" s="7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BA142" s="7">
        <f ca="1"/>
      </c>
      <c r="BB142">
        <f ca="1"/>
      </c>
      <c r="BC142">
        <f ca="1"/>
      </c>
      <c r="BD142">
        <f ca="1"/>
      </c>
      <c r="BE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</row>
    <row r="143" spans="31:73" x14ac:dyDescent="0.55000000000000004">
      <c r="AE143" s="7">
        <f ca="1"/>
      </c>
      <c r="AF143">
        <f ca="1"/>
      </c>
      <c r="AG143">
        <f ca="1"/>
      </c>
      <c r="AH143">
        <f ca="1"/>
      </c>
      <c r="AI143">
        <f ca="1"/>
      </c>
      <c r="AJ143">
        <f ca="1"/>
      </c>
      <c r="AK143">
        <f ca="1"/>
      </c>
      <c r="AL143">
        <f ca="1"/>
      </c>
      <c r="AM143">
        <f ca="1"/>
      </c>
      <c r="AN143">
        <f ca="1"/>
      </c>
      <c r="AO143">
        <f ca="1"/>
      </c>
      <c r="AP143">
        <f ca="1"/>
      </c>
      <c r="AQ143">
        <f ca="1"/>
      </c>
      <c r="AR143">
        <f ca="1"/>
      </c>
      <c r="AT143" s="7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BA143" s="7">
        <f ca="1"/>
      </c>
      <c r="BB143">
        <f ca="1"/>
      </c>
      <c r="BC143">
        <f ca="1"/>
      </c>
      <c r="BD143">
        <f ca="1"/>
      </c>
      <c r="BE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</row>
    <row r="144" spans="31:73" x14ac:dyDescent="0.55000000000000004">
      <c r="AE144" s="7">
        <f ca="1"/>
      </c>
      <c r="AF144">
        <f ca="1"/>
      </c>
      <c r="AG144">
        <f ca="1"/>
      </c>
      <c r="AH144">
        <f ca="1"/>
      </c>
      <c r="AI144">
        <f ca="1"/>
      </c>
      <c r="AJ144">
        <f ca="1"/>
      </c>
      <c r="AK144">
        <f ca="1"/>
      </c>
      <c r="AL144">
        <f ca="1"/>
      </c>
      <c r="AM144">
        <f ca="1"/>
      </c>
      <c r="AN144">
        <f ca="1"/>
      </c>
      <c r="AO144">
        <f ca="1"/>
      </c>
      <c r="AP144">
        <f ca="1"/>
      </c>
      <c r="AQ144">
        <f ca="1"/>
      </c>
      <c r="AR144">
        <f ca="1"/>
      </c>
      <c r="AT144" s="7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BA144" s="7">
        <f ca="1"/>
      </c>
      <c r="BB144">
        <f ca="1"/>
      </c>
      <c r="BC144">
        <f ca="1"/>
      </c>
      <c r="BD144">
        <f ca="1"/>
      </c>
      <c r="BE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</row>
    <row r="145" spans="31:73" x14ac:dyDescent="0.55000000000000004">
      <c r="AE145" s="7">
        <f ca="1"/>
      </c>
      <c r="AF145">
        <f ca="1"/>
      </c>
      <c r="AG145">
        <f ca="1"/>
      </c>
      <c r="AH145">
        <f ca="1"/>
      </c>
      <c r="AI145">
        <f ca="1"/>
      </c>
      <c r="AJ145">
        <f ca="1"/>
      </c>
      <c r="AK145">
        <f ca="1"/>
      </c>
      <c r="AL145">
        <f ca="1"/>
      </c>
      <c r="AM145">
        <f ca="1"/>
      </c>
      <c r="AN145">
        <f ca="1"/>
      </c>
      <c r="AO145">
        <f ca="1"/>
      </c>
      <c r="AP145">
        <f ca="1"/>
      </c>
      <c r="AQ145">
        <f ca="1"/>
      </c>
      <c r="AR145">
        <f ca="1"/>
      </c>
      <c r="AT145" s="7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BA145" s="7">
        <f ca="1"/>
      </c>
      <c r="BB145">
        <f ca="1"/>
      </c>
      <c r="BC145">
        <f ca="1"/>
      </c>
      <c r="BD145">
        <f ca="1"/>
      </c>
      <c r="BE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</row>
    <row r="146" spans="31:73" x14ac:dyDescent="0.55000000000000004">
      <c r="AE146" s="7">
        <f ca="1"/>
      </c>
      <c r="AF146">
        <f ca="1"/>
      </c>
      <c r="AG146">
        <f ca="1"/>
      </c>
      <c r="AH146">
        <f ca="1"/>
      </c>
      <c r="AI146">
        <f ca="1"/>
      </c>
      <c r="AJ146">
        <f ca="1"/>
      </c>
      <c r="AK146">
        <f ca="1"/>
      </c>
      <c r="AL146">
        <f ca="1"/>
      </c>
      <c r="AM146">
        <f ca="1"/>
      </c>
      <c r="AN146">
        <f ca="1"/>
      </c>
      <c r="AO146">
        <f ca="1"/>
      </c>
      <c r="AP146">
        <f ca="1"/>
      </c>
      <c r="AQ146">
        <f ca="1"/>
      </c>
      <c r="AR146">
        <f ca="1"/>
      </c>
      <c r="AT146" s="7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BA146" s="7">
        <f ca="1"/>
      </c>
      <c r="BB146">
        <f ca="1"/>
      </c>
      <c r="BC146">
        <f ca="1"/>
      </c>
      <c r="BD146">
        <f ca="1"/>
      </c>
      <c r="BE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</row>
    <row r="147" spans="31:73" x14ac:dyDescent="0.55000000000000004">
      <c r="AE147" s="7">
        <f ca="1"/>
      </c>
      <c r="AF147">
        <f ca="1"/>
      </c>
      <c r="AG147">
        <f ca="1"/>
      </c>
      <c r="AH147">
        <f ca="1"/>
      </c>
      <c r="AI147">
        <f ca="1"/>
      </c>
      <c r="AJ147">
        <f ca="1"/>
      </c>
      <c r="AK147">
        <f ca="1"/>
      </c>
      <c r="AL147">
        <f ca="1"/>
      </c>
      <c r="AM147">
        <f ca="1"/>
      </c>
      <c r="AN147">
        <f ca="1"/>
      </c>
      <c r="AO147">
        <f ca="1"/>
      </c>
      <c r="AP147">
        <f ca="1"/>
      </c>
      <c r="AQ147">
        <f ca="1"/>
      </c>
      <c r="AR147">
        <f ca="1"/>
      </c>
      <c r="AT147" s="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BA147" s="7">
        <f ca="1"/>
      </c>
      <c r="BB147">
        <f ca="1"/>
      </c>
      <c r="BC147">
        <f ca="1"/>
      </c>
      <c r="BD147">
        <f ca="1"/>
      </c>
      <c r="BE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</row>
    <row r="148" spans="31:73" x14ac:dyDescent="0.55000000000000004">
      <c r="AE148" s="7">
        <f ca="1"/>
      </c>
      <c r="AF148">
        <f ca="1"/>
      </c>
      <c r="AG148">
        <f ca="1"/>
      </c>
      <c r="AH148">
        <f ca="1"/>
      </c>
      <c r="AI148">
        <f ca="1"/>
      </c>
      <c r="AJ148">
        <f ca="1"/>
      </c>
      <c r="AK148">
        <f ca="1"/>
      </c>
      <c r="AL148">
        <f ca="1"/>
      </c>
      <c r="AM148">
        <f ca="1"/>
      </c>
      <c r="AN148">
        <f ca="1"/>
      </c>
      <c r="AO148">
        <f ca="1"/>
      </c>
      <c r="AP148">
        <f ca="1"/>
      </c>
      <c r="AQ148">
        <f ca="1"/>
      </c>
      <c r="AR148">
        <f ca="1"/>
      </c>
      <c r="AT148" s="7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BA148" s="7">
        <f ca="1"/>
      </c>
      <c r="BB148">
        <f ca="1"/>
      </c>
      <c r="BC148">
        <f ca="1"/>
      </c>
      <c r="BD148">
        <f ca="1"/>
      </c>
      <c r="BE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</row>
    <row r="149" spans="31:73" x14ac:dyDescent="0.55000000000000004">
      <c r="AE149" s="7">
        <f ca="1"/>
      </c>
      <c r="AF149">
        <f ca="1"/>
      </c>
      <c r="AG149">
        <f ca="1"/>
      </c>
      <c r="AH149">
        <f ca="1"/>
      </c>
      <c r="AI149">
        <f ca="1"/>
      </c>
      <c r="AJ149">
        <f ca="1"/>
      </c>
      <c r="AK149">
        <f ca="1"/>
      </c>
      <c r="AL149">
        <f ca="1"/>
      </c>
      <c r="AM149">
        <f ca="1"/>
      </c>
      <c r="AN149">
        <f ca="1"/>
      </c>
      <c r="AO149">
        <f ca="1"/>
      </c>
      <c r="AP149">
        <f ca="1"/>
      </c>
      <c r="AQ149">
        <f ca="1"/>
      </c>
      <c r="AR149">
        <f ca="1"/>
      </c>
      <c r="AT149" s="7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BA149" s="7">
        <f ca="1"/>
      </c>
      <c r="BB149">
        <f ca="1"/>
      </c>
      <c r="BC149">
        <f ca="1"/>
      </c>
      <c r="BD149">
        <f ca="1"/>
      </c>
      <c r="BE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</row>
    <row r="150" spans="31:73" x14ac:dyDescent="0.55000000000000004">
      <c r="AE150" s="7">
        <f ca="1"/>
      </c>
      <c r="AF150">
        <f ca="1"/>
      </c>
      <c r="AG150">
        <f ca="1"/>
      </c>
      <c r="AH150">
        <f ca="1"/>
      </c>
      <c r="AI150">
        <f ca="1"/>
      </c>
      <c r="AJ150">
        <f ca="1"/>
      </c>
      <c r="AK150">
        <f ca="1"/>
      </c>
      <c r="AL150">
        <f ca="1"/>
      </c>
      <c r="AM150">
        <f ca="1"/>
      </c>
      <c r="AN150">
        <f ca="1"/>
      </c>
      <c r="AO150">
        <f ca="1"/>
      </c>
      <c r="AP150">
        <f ca="1"/>
      </c>
      <c r="AQ150">
        <f ca="1"/>
      </c>
      <c r="AR150">
        <f ca="1"/>
      </c>
      <c r="AT150" s="7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BA150" s="7">
        <f ca="1"/>
      </c>
      <c r="BB150">
        <f ca="1"/>
      </c>
      <c r="BC150">
        <f ca="1"/>
      </c>
      <c r="BD150">
        <f ca="1"/>
      </c>
      <c r="BE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</row>
    <row r="151" spans="31:73" x14ac:dyDescent="0.55000000000000004">
      <c r="AE151" s="7">
        <f ca="1"/>
      </c>
      <c r="AF151">
        <f ca="1"/>
      </c>
      <c r="AG151">
        <f ca="1"/>
      </c>
      <c r="AH151">
        <f ca="1"/>
      </c>
      <c r="AI151">
        <f ca="1"/>
      </c>
      <c r="AJ151">
        <f ca="1"/>
      </c>
      <c r="AK151">
        <f ca="1"/>
      </c>
      <c r="AL151">
        <f ca="1"/>
      </c>
      <c r="AM151">
        <f ca="1"/>
      </c>
      <c r="AN151">
        <f ca="1"/>
      </c>
      <c r="AO151">
        <f ca="1"/>
      </c>
      <c r="AP151">
        <f ca="1"/>
      </c>
      <c r="AQ151">
        <f ca="1"/>
      </c>
      <c r="AR151">
        <f ca="1"/>
      </c>
      <c r="AT151" s="7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BA151" s="7">
        <f ca="1"/>
      </c>
      <c r="BB151">
        <f ca="1"/>
      </c>
      <c r="BC151">
        <f ca="1"/>
      </c>
      <c r="BD151">
        <f ca="1"/>
      </c>
      <c r="BE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</row>
    <row r="152" spans="31:73" x14ac:dyDescent="0.55000000000000004">
      <c r="AE152" s="7">
        <f ca="1"/>
      </c>
      <c r="AF152">
        <f ca="1"/>
      </c>
      <c r="AG152">
        <f ca="1"/>
      </c>
      <c r="AH152">
        <f ca="1"/>
      </c>
      <c r="AI152">
        <f ca="1"/>
      </c>
      <c r="AJ152">
        <f ca="1"/>
      </c>
      <c r="AK152">
        <f ca="1"/>
      </c>
      <c r="AL152">
        <f ca="1"/>
      </c>
      <c r="AM152">
        <f ca="1"/>
      </c>
      <c r="AN152">
        <f ca="1"/>
      </c>
      <c r="AO152">
        <f ca="1"/>
      </c>
      <c r="AP152">
        <f ca="1"/>
      </c>
      <c r="AQ152">
        <f ca="1"/>
      </c>
      <c r="AR152">
        <f ca="1"/>
      </c>
      <c r="AT152" s="7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BA152" s="7">
        <f ca="1"/>
      </c>
      <c r="BB152">
        <f ca="1"/>
      </c>
      <c r="BC152">
        <f ca="1"/>
      </c>
      <c r="BD152">
        <f ca="1"/>
      </c>
      <c r="BE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</row>
    <row r="153" spans="31:73" x14ac:dyDescent="0.55000000000000004">
      <c r="AE153" s="7">
        <f ca="1"/>
      </c>
      <c r="AF153">
        <f ca="1"/>
      </c>
      <c r="AG153">
        <f ca="1"/>
      </c>
      <c r="AH153">
        <f ca="1"/>
      </c>
      <c r="AI153">
        <f ca="1"/>
      </c>
      <c r="AJ153">
        <f ca="1"/>
      </c>
      <c r="AK153">
        <f ca="1"/>
      </c>
      <c r="AL153">
        <f ca="1"/>
      </c>
      <c r="AM153">
        <f ca="1"/>
      </c>
      <c r="AN153">
        <f ca="1"/>
      </c>
      <c r="AO153">
        <f ca="1"/>
      </c>
      <c r="AP153">
        <f ca="1"/>
      </c>
      <c r="AQ153">
        <f ca="1"/>
      </c>
      <c r="AR153">
        <f ca="1"/>
      </c>
      <c r="AT153" s="7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BA153" s="7">
        <f ca="1"/>
      </c>
      <c r="BB153">
        <f ca="1"/>
      </c>
      <c r="BC153">
        <f ca="1"/>
      </c>
      <c r="BD153">
        <f ca="1"/>
      </c>
      <c r="BE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</row>
    <row r="154" spans="31:73" x14ac:dyDescent="0.55000000000000004">
      <c r="AE154" s="7">
        <f ca="1"/>
      </c>
      <c r="AF154">
        <f ca="1"/>
      </c>
      <c r="AG154">
        <f ca="1"/>
      </c>
      <c r="AH154">
        <f ca="1"/>
      </c>
      <c r="AI154">
        <f ca="1"/>
      </c>
      <c r="AJ154">
        <f ca="1"/>
      </c>
      <c r="AK154">
        <f ca="1"/>
      </c>
      <c r="AL154">
        <f ca="1"/>
      </c>
      <c r="AM154">
        <f ca="1"/>
      </c>
      <c r="AN154">
        <f ca="1"/>
      </c>
      <c r="AO154">
        <f ca="1"/>
      </c>
      <c r="AP154">
        <f ca="1"/>
      </c>
      <c r="AQ154">
        <f ca="1"/>
      </c>
      <c r="AR154">
        <f ca="1"/>
      </c>
      <c r="AT154" s="7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BA154" s="7">
        <f ca="1"/>
      </c>
      <c r="BB154">
        <f ca="1"/>
      </c>
      <c r="BC154">
        <f ca="1"/>
      </c>
      <c r="BD154">
        <f ca="1"/>
      </c>
      <c r="BE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</row>
    <row r="155" spans="31:73" x14ac:dyDescent="0.55000000000000004">
      <c r="AE155" s="7">
        <f ca="1"/>
      </c>
      <c r="AF155">
        <f ca="1"/>
      </c>
      <c r="AG155">
        <f ca="1"/>
      </c>
      <c r="AH155">
        <f ca="1"/>
      </c>
      <c r="AI155">
        <f ca="1"/>
      </c>
      <c r="AJ155">
        <f ca="1"/>
      </c>
      <c r="AK155">
        <f ca="1"/>
      </c>
      <c r="AL155">
        <f ca="1"/>
      </c>
      <c r="AM155">
        <f ca="1"/>
      </c>
      <c r="AN155">
        <f ca="1"/>
      </c>
      <c r="AO155">
        <f ca="1"/>
      </c>
      <c r="AP155">
        <f ca="1"/>
      </c>
      <c r="AQ155">
        <f ca="1"/>
      </c>
      <c r="AR155">
        <f ca="1"/>
      </c>
      <c r="AT155" s="7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BA155" s="7">
        <f ca="1"/>
      </c>
      <c r="BB155">
        <f ca="1"/>
      </c>
      <c r="BC155">
        <f ca="1"/>
      </c>
      <c r="BD155">
        <f ca="1"/>
      </c>
      <c r="BE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</row>
    <row r="156" spans="31:73" x14ac:dyDescent="0.55000000000000004">
      <c r="AE156" s="7">
        <f ca="1"/>
      </c>
      <c r="AF156">
        <f ca="1"/>
      </c>
      <c r="AG156">
        <f ca="1"/>
      </c>
      <c r="AH156">
        <f ca="1"/>
      </c>
      <c r="AI156">
        <f ca="1"/>
      </c>
      <c r="AJ156">
        <f ca="1"/>
      </c>
      <c r="AK156">
        <f ca="1"/>
      </c>
      <c r="AL156">
        <f ca="1"/>
      </c>
      <c r="AM156">
        <f ca="1"/>
      </c>
      <c r="AN156">
        <f ca="1"/>
      </c>
      <c r="AO156">
        <f ca="1"/>
      </c>
      <c r="AP156">
        <f ca="1"/>
      </c>
      <c r="AQ156">
        <f ca="1"/>
      </c>
      <c r="AR156">
        <f ca="1"/>
      </c>
      <c r="AT156" s="7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BA156" s="7">
        <f ca="1"/>
      </c>
      <c r="BB156">
        <f ca="1"/>
      </c>
      <c r="BC156">
        <f ca="1"/>
      </c>
      <c r="BD156">
        <f ca="1"/>
      </c>
      <c r="BE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</row>
    <row r="157" spans="31:73" x14ac:dyDescent="0.55000000000000004">
      <c r="AE157" s="7">
        <f ca="1"/>
      </c>
      <c r="AF157">
        <f ca="1"/>
      </c>
      <c r="AG157">
        <f ca="1"/>
      </c>
      <c r="AH157">
        <f ca="1"/>
      </c>
      <c r="AI157">
        <f ca="1"/>
      </c>
      <c r="AJ157">
        <f ca="1"/>
      </c>
      <c r="AK157">
        <f ca="1"/>
      </c>
      <c r="AL157">
        <f ca="1"/>
      </c>
      <c r="AM157">
        <f ca="1"/>
      </c>
      <c r="AN157">
        <f ca="1"/>
      </c>
      <c r="AO157">
        <f ca="1"/>
      </c>
      <c r="AP157">
        <f ca="1"/>
      </c>
      <c r="AQ157">
        <f ca="1"/>
      </c>
      <c r="AR157">
        <f ca="1"/>
      </c>
      <c r="AT157" s="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BA157" s="7">
        <f ca="1"/>
      </c>
      <c r="BB157">
        <f ca="1"/>
      </c>
      <c r="BC157">
        <f ca="1"/>
      </c>
      <c r="BD157">
        <f ca="1"/>
      </c>
      <c r="BE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</row>
    <row r="158" spans="31:73" x14ac:dyDescent="0.55000000000000004">
      <c r="AE158" s="7">
        <f ca="1"/>
      </c>
      <c r="AF158">
        <f ca="1"/>
      </c>
      <c r="AG158">
        <f ca="1"/>
      </c>
      <c r="AH158">
        <f ca="1"/>
      </c>
      <c r="AI158">
        <f ca="1"/>
      </c>
      <c r="AJ158">
        <f ca="1"/>
      </c>
      <c r="AK158">
        <f ca="1"/>
      </c>
      <c r="AL158">
        <f ca="1"/>
      </c>
      <c r="AM158">
        <f ca="1"/>
      </c>
      <c r="AN158">
        <f ca="1"/>
      </c>
      <c r="AO158">
        <f ca="1"/>
      </c>
      <c r="AP158">
        <f ca="1"/>
      </c>
      <c r="AQ158">
        <f ca="1"/>
      </c>
      <c r="AR158">
        <f ca="1"/>
      </c>
      <c r="AT158" s="7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BA158" s="7">
        <f ca="1"/>
      </c>
      <c r="BB158">
        <f ca="1"/>
      </c>
      <c r="BC158">
        <f ca="1"/>
      </c>
      <c r="BD158">
        <f ca="1"/>
      </c>
      <c r="BE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</row>
    <row r="159" spans="31:73" x14ac:dyDescent="0.55000000000000004">
      <c r="AE159" s="7">
        <f ca="1"/>
      </c>
      <c r="AF159">
        <f ca="1"/>
      </c>
      <c r="AG159">
        <f ca="1"/>
      </c>
      <c r="AH159">
        <f ca="1"/>
      </c>
      <c r="AI159">
        <f ca="1"/>
      </c>
      <c r="AJ159">
        <f ca="1"/>
      </c>
      <c r="AK159">
        <f ca="1"/>
      </c>
      <c r="AL159">
        <f ca="1"/>
      </c>
      <c r="AM159">
        <f ca="1"/>
      </c>
      <c r="AN159">
        <f ca="1"/>
      </c>
      <c r="AO159">
        <f ca="1"/>
      </c>
      <c r="AP159">
        <f ca="1"/>
      </c>
      <c r="AQ159">
        <f ca="1"/>
      </c>
      <c r="AR159">
        <f ca="1"/>
      </c>
      <c r="AT159" s="7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BA159" s="7">
        <f ca="1"/>
      </c>
      <c r="BB159">
        <f ca="1"/>
      </c>
      <c r="BC159">
        <f ca="1"/>
      </c>
      <c r="BD159">
        <f ca="1"/>
      </c>
      <c r="BE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</row>
    <row r="160" spans="31:73" x14ac:dyDescent="0.55000000000000004">
      <c r="AE160" s="7">
        <f ca="1"/>
      </c>
      <c r="AF160">
        <f ca="1"/>
      </c>
      <c r="AG160">
        <f ca="1"/>
      </c>
      <c r="AH160">
        <f ca="1"/>
      </c>
      <c r="AI160">
        <f ca="1"/>
      </c>
      <c r="AJ160">
        <f ca="1"/>
      </c>
      <c r="AK160">
        <f ca="1"/>
      </c>
      <c r="AL160">
        <f ca="1"/>
      </c>
      <c r="AM160">
        <f ca="1"/>
      </c>
      <c r="AN160">
        <f ca="1"/>
      </c>
      <c r="AO160">
        <f ca="1"/>
      </c>
      <c r="AP160">
        <f ca="1"/>
      </c>
      <c r="AQ160">
        <f ca="1"/>
      </c>
      <c r="AR160">
        <f ca="1"/>
      </c>
      <c r="AT160" s="7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BA160" s="7">
        <f ca="1"/>
      </c>
      <c r="BB160">
        <f ca="1"/>
      </c>
      <c r="BC160">
        <f ca="1"/>
      </c>
      <c r="BD160">
        <f ca="1"/>
      </c>
      <c r="BE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</row>
    <row r="161" spans="31:73" x14ac:dyDescent="0.55000000000000004">
      <c r="AE161" s="7">
        <f ca="1"/>
      </c>
      <c r="AF161">
        <f ca="1"/>
      </c>
      <c r="AG161">
        <f ca="1"/>
      </c>
      <c r="AH161">
        <f ca="1"/>
      </c>
      <c r="AI161">
        <f ca="1"/>
      </c>
      <c r="AJ161">
        <f ca="1"/>
      </c>
      <c r="AK161">
        <f ca="1"/>
      </c>
      <c r="AL161">
        <f ca="1"/>
      </c>
      <c r="AM161">
        <f ca="1"/>
      </c>
      <c r="AN161">
        <f ca="1"/>
      </c>
      <c r="AO161">
        <f ca="1"/>
      </c>
      <c r="AP161">
        <f ca="1"/>
      </c>
      <c r="AQ161">
        <f ca="1"/>
      </c>
      <c r="AR161">
        <f ca="1"/>
      </c>
      <c r="AT161" s="7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BA161" s="7">
        <f ca="1"/>
      </c>
      <c r="BB161">
        <f ca="1"/>
      </c>
      <c r="BC161">
        <f ca="1"/>
      </c>
      <c r="BD161">
        <f ca="1"/>
      </c>
      <c r="BE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</row>
    <row r="162" spans="31:73" x14ac:dyDescent="0.55000000000000004">
      <c r="AE162" s="7">
        <f ca="1"/>
      </c>
      <c r="AF162">
        <f ca="1"/>
      </c>
      <c r="AG162">
        <f ca="1"/>
      </c>
      <c r="AH162">
        <f ca="1"/>
      </c>
      <c r="AI162">
        <f ca="1"/>
      </c>
      <c r="AJ162">
        <f ca="1"/>
      </c>
      <c r="AK162">
        <f ca="1"/>
      </c>
      <c r="AL162">
        <f ca="1"/>
      </c>
      <c r="AM162">
        <f ca="1"/>
      </c>
      <c r="AN162">
        <f ca="1"/>
      </c>
      <c r="AO162">
        <f ca="1"/>
      </c>
      <c r="AP162">
        <f ca="1"/>
      </c>
      <c r="AQ162">
        <f ca="1"/>
      </c>
      <c r="AR162">
        <f ca="1"/>
      </c>
      <c r="AT162" s="7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BA162" s="7">
        <f ca="1"/>
      </c>
      <c r="BB162">
        <f ca="1"/>
      </c>
      <c r="BC162">
        <f ca="1"/>
      </c>
      <c r="BD162">
        <f ca="1"/>
      </c>
      <c r="BE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</row>
    <row r="163" spans="31:73" x14ac:dyDescent="0.55000000000000004">
      <c r="AE163" s="7">
        <f ca="1"/>
      </c>
      <c r="AF163">
        <f ca="1"/>
      </c>
      <c r="AG163">
        <f ca="1"/>
      </c>
      <c r="AH163">
        <f ca="1"/>
      </c>
      <c r="AI163">
        <f ca="1"/>
      </c>
      <c r="AJ163">
        <f ca="1"/>
      </c>
      <c r="AK163">
        <f ca="1"/>
      </c>
      <c r="AL163">
        <f ca="1"/>
      </c>
      <c r="AM163">
        <f ca="1"/>
      </c>
      <c r="AN163">
        <f ca="1"/>
      </c>
      <c r="AO163">
        <f ca="1"/>
      </c>
      <c r="AP163">
        <f ca="1"/>
      </c>
      <c r="AQ163">
        <f ca="1"/>
      </c>
      <c r="AR163">
        <f ca="1"/>
      </c>
      <c r="AT163" s="7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BA163" s="7">
        <f ca="1"/>
      </c>
      <c r="BB163">
        <f ca="1"/>
      </c>
      <c r="BC163">
        <f ca="1"/>
      </c>
      <c r="BD163">
        <f ca="1"/>
      </c>
      <c r="BE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</row>
    <row r="164" spans="31:73" x14ac:dyDescent="0.55000000000000004">
      <c r="AE164" s="7">
        <f ca="1"/>
      </c>
      <c r="AF164">
        <f ca="1"/>
      </c>
      <c r="AG164">
        <f ca="1"/>
      </c>
      <c r="AH164">
        <f ca="1"/>
      </c>
      <c r="AI164">
        <f ca="1"/>
      </c>
      <c r="AJ164">
        <f ca="1"/>
      </c>
      <c r="AK164">
        <f ca="1"/>
      </c>
      <c r="AL164">
        <f ca="1"/>
      </c>
      <c r="AM164">
        <f ca="1"/>
      </c>
      <c r="AN164">
        <f ca="1"/>
      </c>
      <c r="AO164">
        <f ca="1"/>
      </c>
      <c r="AP164">
        <f ca="1"/>
      </c>
      <c r="AQ164">
        <f ca="1"/>
      </c>
      <c r="AR164">
        <f ca="1"/>
      </c>
      <c r="AT164" s="7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BA164" s="7">
        <f ca="1"/>
      </c>
      <c r="BB164">
        <f ca="1"/>
      </c>
      <c r="BC164">
        <f ca="1"/>
      </c>
      <c r="BD164">
        <f ca="1"/>
      </c>
      <c r="BE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</row>
    <row r="165" spans="31:73" x14ac:dyDescent="0.55000000000000004">
      <c r="AE165" s="7">
        <f ca="1"/>
      </c>
      <c r="AF165">
        <f ca="1"/>
      </c>
      <c r="AG165">
        <f ca="1"/>
      </c>
      <c r="AH165">
        <f ca="1"/>
      </c>
      <c r="AI165">
        <f ca="1"/>
      </c>
      <c r="AJ165">
        <f ca="1"/>
      </c>
      <c r="AK165">
        <f ca="1"/>
      </c>
      <c r="AL165">
        <f ca="1"/>
      </c>
      <c r="AM165">
        <f ca="1"/>
      </c>
      <c r="AN165">
        <f ca="1"/>
      </c>
      <c r="AO165">
        <f ca="1"/>
      </c>
      <c r="AP165">
        <f ca="1"/>
      </c>
      <c r="AQ165">
        <f ca="1"/>
      </c>
      <c r="AR165">
        <f ca="1"/>
      </c>
      <c r="AT165" s="7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BA165" s="7">
        <f ca="1"/>
      </c>
      <c r="BB165">
        <f ca="1"/>
      </c>
      <c r="BC165">
        <f ca="1"/>
      </c>
      <c r="BD165">
        <f ca="1"/>
      </c>
      <c r="BE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</row>
    <row r="166" spans="31:73" x14ac:dyDescent="0.55000000000000004">
      <c r="AE166" s="7">
        <f ca="1"/>
      </c>
      <c r="AF166">
        <f ca="1"/>
      </c>
      <c r="AG166">
        <f ca="1"/>
      </c>
      <c r="AH166">
        <f ca="1"/>
      </c>
      <c r="AI166">
        <f ca="1"/>
      </c>
      <c r="AJ166">
        <f ca="1"/>
      </c>
      <c r="AK166">
        <f ca="1"/>
      </c>
      <c r="AL166">
        <f ca="1"/>
      </c>
      <c r="AM166">
        <f ca="1"/>
      </c>
      <c r="AN166">
        <f ca="1"/>
      </c>
      <c r="AO166">
        <f ca="1"/>
      </c>
      <c r="AP166">
        <f ca="1"/>
      </c>
      <c r="AQ166">
        <f ca="1"/>
      </c>
      <c r="AR166">
        <f ca="1"/>
      </c>
      <c r="AT166" s="7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BA166" s="7">
        <f ca="1"/>
      </c>
      <c r="BB166">
        <f ca="1"/>
      </c>
      <c r="BC166">
        <f ca="1"/>
      </c>
      <c r="BD166">
        <f ca="1"/>
      </c>
      <c r="BE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</row>
    <row r="167" spans="31:73" x14ac:dyDescent="0.55000000000000004">
      <c r="AE167" s="7">
        <f ca="1"/>
      </c>
      <c r="AF167">
        <f ca="1"/>
      </c>
      <c r="AG167">
        <f ca="1"/>
      </c>
      <c r="AH167">
        <f ca="1"/>
      </c>
      <c r="AI167">
        <f ca="1"/>
      </c>
      <c r="AJ167">
        <f ca="1"/>
      </c>
      <c r="AK167">
        <f ca="1"/>
      </c>
      <c r="AL167">
        <f ca="1"/>
      </c>
      <c r="AM167">
        <f ca="1"/>
      </c>
      <c r="AN167">
        <f ca="1"/>
      </c>
      <c r="AO167">
        <f ca="1"/>
      </c>
      <c r="AP167">
        <f ca="1"/>
      </c>
      <c r="AQ167">
        <f ca="1"/>
      </c>
      <c r="AR167">
        <f ca="1"/>
      </c>
      <c r="AT167" s="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BA167" s="7">
        <f ca="1"/>
      </c>
      <c r="BB167">
        <f ca="1"/>
      </c>
      <c r="BC167">
        <f ca="1"/>
      </c>
      <c r="BD167">
        <f ca="1"/>
      </c>
      <c r="BE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</row>
    <row r="168" spans="31:73" x14ac:dyDescent="0.55000000000000004">
      <c r="AE168" s="7">
        <f ca="1"/>
      </c>
      <c r="AF168">
        <f ca="1"/>
      </c>
      <c r="AG168">
        <f ca="1"/>
      </c>
      <c r="AH168">
        <f ca="1"/>
      </c>
      <c r="AI168">
        <f ca="1"/>
      </c>
      <c r="AJ168">
        <f ca="1"/>
      </c>
      <c r="AK168">
        <f ca="1"/>
      </c>
      <c r="AL168">
        <f ca="1"/>
      </c>
      <c r="AM168">
        <f ca="1"/>
      </c>
      <c r="AN168">
        <f ca="1"/>
      </c>
      <c r="AO168">
        <f ca="1"/>
      </c>
      <c r="AP168">
        <f ca="1"/>
      </c>
      <c r="AQ168">
        <f ca="1"/>
      </c>
      <c r="AR168">
        <f ca="1"/>
      </c>
      <c r="AT168" s="7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BA168" s="7">
        <f ca="1"/>
      </c>
      <c r="BB168">
        <f ca="1"/>
      </c>
      <c r="BC168">
        <f ca="1"/>
      </c>
      <c r="BD168">
        <f ca="1"/>
      </c>
      <c r="BE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</row>
    <row r="169" spans="31:73" x14ac:dyDescent="0.55000000000000004">
      <c r="AE169" s="7">
        <f ca="1"/>
      </c>
      <c r="AF169">
        <f ca="1"/>
      </c>
      <c r="AG169">
        <f ca="1"/>
      </c>
      <c r="AH169">
        <f ca="1"/>
      </c>
      <c r="AI169">
        <f ca="1"/>
      </c>
      <c r="AJ169">
        <f ca="1"/>
      </c>
      <c r="AK169">
        <f ca="1"/>
      </c>
      <c r="AL169">
        <f ca="1"/>
      </c>
      <c r="AM169">
        <f ca="1"/>
      </c>
      <c r="AN169">
        <f ca="1"/>
      </c>
      <c r="AO169">
        <f ca="1"/>
      </c>
      <c r="AP169">
        <f ca="1"/>
      </c>
      <c r="AQ169">
        <f ca="1"/>
      </c>
      <c r="AR169">
        <f ca="1"/>
      </c>
      <c r="AT169" s="7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BA169" s="7">
        <f ca="1"/>
      </c>
      <c r="BB169">
        <f ca="1"/>
      </c>
      <c r="BC169">
        <f ca="1"/>
      </c>
      <c r="BD169">
        <f ca="1"/>
      </c>
      <c r="BE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</row>
    <row r="170" spans="31:73" x14ac:dyDescent="0.55000000000000004">
      <c r="AE170" s="7">
        <f ca="1"/>
      </c>
      <c r="AF170">
        <f ca="1"/>
      </c>
      <c r="AG170">
        <f ca="1"/>
      </c>
      <c r="AH170">
        <f ca="1"/>
      </c>
      <c r="AI170">
        <f ca="1"/>
      </c>
      <c r="AJ170">
        <f ca="1"/>
      </c>
      <c r="AK170">
        <f ca="1"/>
      </c>
      <c r="AL170">
        <f ca="1"/>
      </c>
      <c r="AM170">
        <f ca="1"/>
      </c>
      <c r="AN170">
        <f ca="1"/>
      </c>
      <c r="AO170">
        <f ca="1"/>
      </c>
      <c r="AP170">
        <f ca="1"/>
      </c>
      <c r="AQ170">
        <f ca="1"/>
      </c>
      <c r="AR170">
        <f ca="1"/>
      </c>
      <c r="AT170" s="7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BA170" s="7">
        <f ca="1"/>
      </c>
      <c r="BB170">
        <f ca="1"/>
      </c>
      <c r="BC170">
        <f ca="1"/>
      </c>
      <c r="BD170">
        <f ca="1"/>
      </c>
      <c r="BE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</row>
    <row r="171" spans="31:73" x14ac:dyDescent="0.55000000000000004">
      <c r="AE171" s="7">
        <f ca="1"/>
      </c>
      <c r="AF171">
        <f ca="1"/>
      </c>
      <c r="AG171">
        <f ca="1"/>
      </c>
      <c r="AH171">
        <f ca="1"/>
      </c>
      <c r="AI171">
        <f ca="1"/>
      </c>
      <c r="AJ171">
        <f ca="1"/>
      </c>
      <c r="AK171">
        <f ca="1"/>
      </c>
      <c r="AL171">
        <f ca="1"/>
      </c>
      <c r="AM171">
        <f ca="1"/>
      </c>
      <c r="AN171">
        <f ca="1"/>
      </c>
      <c r="AO171">
        <f ca="1"/>
      </c>
      <c r="AP171">
        <f ca="1"/>
      </c>
      <c r="AQ171">
        <f ca="1"/>
      </c>
      <c r="AR171">
        <f ca="1"/>
      </c>
      <c r="AT171" s="7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BA171" s="7">
        <f ca="1"/>
      </c>
      <c r="BB171">
        <f ca="1"/>
      </c>
      <c r="BC171">
        <f ca="1"/>
      </c>
      <c r="BD171">
        <f ca="1"/>
      </c>
      <c r="BE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</row>
    <row r="172" spans="31:73" x14ac:dyDescent="0.55000000000000004">
      <c r="AE172" s="7">
        <f ca="1"/>
      </c>
      <c r="AF172">
        <f ca="1"/>
      </c>
      <c r="AG172">
        <f ca="1"/>
      </c>
      <c r="AH172">
        <f ca="1"/>
      </c>
      <c r="AI172">
        <f ca="1"/>
      </c>
      <c r="AJ172">
        <f ca="1"/>
      </c>
      <c r="AK172">
        <f ca="1"/>
      </c>
      <c r="AL172">
        <f ca="1"/>
      </c>
      <c r="AM172">
        <f ca="1"/>
      </c>
      <c r="AN172">
        <f ca="1"/>
      </c>
      <c r="AO172">
        <f ca="1"/>
      </c>
      <c r="AP172">
        <f ca="1"/>
      </c>
      <c r="AQ172">
        <f ca="1"/>
      </c>
      <c r="AR172">
        <f ca="1"/>
      </c>
      <c r="AT172" s="7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BA172" s="7">
        <f ca="1"/>
      </c>
      <c r="BB172">
        <f ca="1"/>
      </c>
      <c r="BC172">
        <f ca="1"/>
      </c>
      <c r="BD172">
        <f ca="1"/>
      </c>
      <c r="BE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</row>
    <row r="173" spans="31:73" x14ac:dyDescent="0.55000000000000004">
      <c r="AE173" s="7">
        <f ca="1"/>
      </c>
      <c r="AF173">
        <f ca="1"/>
      </c>
      <c r="AG173">
        <f ca="1"/>
      </c>
      <c r="AH173">
        <f ca="1"/>
      </c>
      <c r="AI173">
        <f ca="1"/>
      </c>
      <c r="AJ173">
        <f ca="1"/>
      </c>
      <c r="AK173">
        <f ca="1"/>
      </c>
      <c r="AL173">
        <f ca="1"/>
      </c>
      <c r="AM173">
        <f ca="1"/>
      </c>
      <c r="AN173">
        <f ca="1"/>
      </c>
      <c r="AO173">
        <f ca="1"/>
      </c>
      <c r="AP173">
        <f ca="1"/>
      </c>
      <c r="AQ173">
        <f ca="1"/>
      </c>
      <c r="AR173">
        <f ca="1"/>
      </c>
      <c r="AT173" s="7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BA173" s="7">
        <f ca="1"/>
      </c>
      <c r="BB173">
        <f ca="1"/>
      </c>
      <c r="BC173">
        <f ca="1"/>
      </c>
      <c r="BD173">
        <f ca="1"/>
      </c>
      <c r="BE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</row>
    <row r="174" spans="31:73" x14ac:dyDescent="0.55000000000000004">
      <c r="AE174" s="7">
        <f ca="1"/>
      </c>
      <c r="AF174">
        <f ca="1"/>
      </c>
      <c r="AG174">
        <f ca="1"/>
      </c>
      <c r="AH174">
        <f ca="1"/>
      </c>
      <c r="AI174">
        <f ca="1"/>
      </c>
      <c r="AJ174">
        <f ca="1"/>
      </c>
      <c r="AK174">
        <f ca="1"/>
      </c>
      <c r="AL174">
        <f ca="1"/>
      </c>
      <c r="AM174">
        <f ca="1"/>
      </c>
      <c r="AN174">
        <f ca="1"/>
      </c>
      <c r="AO174">
        <f ca="1"/>
      </c>
      <c r="AP174">
        <f ca="1"/>
      </c>
      <c r="AQ174">
        <f ca="1"/>
      </c>
      <c r="AR174">
        <f ca="1"/>
      </c>
      <c r="AT174" s="7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BA174" s="7">
        <f ca="1"/>
      </c>
      <c r="BB174">
        <f ca="1"/>
      </c>
      <c r="BC174">
        <f ca="1"/>
      </c>
      <c r="BD174">
        <f ca="1"/>
      </c>
      <c r="BE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</row>
    <row r="175" spans="31:73" x14ac:dyDescent="0.55000000000000004">
      <c r="AE175" s="7">
        <f ca="1"/>
      </c>
      <c r="AF175">
        <f ca="1"/>
      </c>
      <c r="AG175">
        <f ca="1"/>
      </c>
      <c r="AH175">
        <f ca="1"/>
      </c>
      <c r="AI175">
        <f ca="1"/>
      </c>
      <c r="AJ175">
        <f ca="1"/>
      </c>
      <c r="AK175">
        <f ca="1"/>
      </c>
      <c r="AL175">
        <f ca="1"/>
      </c>
      <c r="AM175">
        <f ca="1"/>
      </c>
      <c r="AN175">
        <f ca="1"/>
      </c>
      <c r="AO175">
        <f ca="1"/>
      </c>
      <c r="AP175">
        <f ca="1"/>
      </c>
      <c r="AQ175">
        <f ca="1"/>
      </c>
      <c r="AR175">
        <f ca="1"/>
      </c>
      <c r="AT175" s="7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BA175" s="7">
        <f ca="1"/>
      </c>
      <c r="BB175">
        <f ca="1"/>
      </c>
      <c r="BC175">
        <f ca="1"/>
      </c>
      <c r="BD175">
        <f ca="1"/>
      </c>
      <c r="BE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</row>
    <row r="176" spans="31:73" x14ac:dyDescent="0.55000000000000004">
      <c r="AE176" s="7">
        <f ca="1"/>
      </c>
      <c r="AF176">
        <f ca="1"/>
      </c>
      <c r="AG176">
        <f ca="1"/>
      </c>
      <c r="AH176">
        <f ca="1"/>
      </c>
      <c r="AI176">
        <f ca="1"/>
      </c>
      <c r="AJ176">
        <f ca="1"/>
      </c>
      <c r="AK176">
        <f ca="1"/>
      </c>
      <c r="AL176">
        <f ca="1"/>
      </c>
      <c r="AM176">
        <f ca="1"/>
      </c>
      <c r="AN176">
        <f ca="1"/>
      </c>
      <c r="AO176">
        <f ca="1"/>
      </c>
      <c r="AP176">
        <f ca="1"/>
      </c>
      <c r="AQ176">
        <f ca="1"/>
      </c>
      <c r="AR176">
        <f ca="1"/>
      </c>
      <c r="AT176" s="7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BA176" s="7">
        <f ca="1"/>
      </c>
      <c r="BB176">
        <f ca="1"/>
      </c>
      <c r="BC176">
        <f ca="1"/>
      </c>
      <c r="BD176">
        <f ca="1"/>
      </c>
      <c r="BE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</row>
    <row r="177" spans="31:73" x14ac:dyDescent="0.55000000000000004">
      <c r="AE177" s="7">
        <f ca="1"/>
      </c>
      <c r="AF177">
        <f ca="1"/>
      </c>
      <c r="AG177">
        <f ca="1"/>
      </c>
      <c r="AH177">
        <f ca="1"/>
      </c>
      <c r="AI177">
        <f ca="1"/>
      </c>
      <c r="AJ177">
        <f ca="1"/>
      </c>
      <c r="AK177">
        <f ca="1"/>
      </c>
      <c r="AL177">
        <f ca="1"/>
      </c>
      <c r="AM177">
        <f ca="1"/>
      </c>
      <c r="AN177">
        <f ca="1"/>
      </c>
      <c r="AO177">
        <f ca="1"/>
      </c>
      <c r="AP177">
        <f ca="1"/>
      </c>
      <c r="AQ177">
        <f ca="1"/>
      </c>
      <c r="AR177">
        <f ca="1"/>
      </c>
      <c r="AT177" s="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BA177" s="7">
        <f ca="1"/>
      </c>
      <c r="BB177">
        <f ca="1"/>
      </c>
      <c r="BC177">
        <f ca="1"/>
      </c>
      <c r="BD177">
        <f ca="1"/>
      </c>
      <c r="BE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</row>
    <row r="178" spans="31:73" x14ac:dyDescent="0.55000000000000004">
      <c r="AE178" s="7">
        <f ca="1"/>
      </c>
      <c r="AF178">
        <f ca="1"/>
      </c>
      <c r="AG178">
        <f ca="1"/>
      </c>
      <c r="AH178">
        <f ca="1"/>
      </c>
      <c r="AI178">
        <f ca="1"/>
      </c>
      <c r="AJ178">
        <f ca="1"/>
      </c>
      <c r="AK178">
        <f ca="1"/>
      </c>
      <c r="AL178">
        <f ca="1"/>
      </c>
      <c r="AM178">
        <f ca="1"/>
      </c>
      <c r="AN178">
        <f ca="1"/>
      </c>
      <c r="AO178">
        <f ca="1"/>
      </c>
      <c r="AP178">
        <f ca="1"/>
      </c>
      <c r="AQ178">
        <f ca="1"/>
      </c>
      <c r="AR178">
        <f ca="1"/>
      </c>
      <c r="AT178" s="7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BA178" s="7">
        <f ca="1"/>
      </c>
      <c r="BB178">
        <f ca="1"/>
      </c>
      <c r="BC178">
        <f ca="1"/>
      </c>
      <c r="BD178">
        <f ca="1"/>
      </c>
      <c r="BE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</row>
    <row r="179" spans="31:73" x14ac:dyDescent="0.55000000000000004">
      <c r="AE179" s="7">
        <f ca="1"/>
      </c>
      <c r="AF179">
        <f ca="1"/>
      </c>
      <c r="AG179">
        <f ca="1"/>
      </c>
      <c r="AH179">
        <f ca="1"/>
      </c>
      <c r="AI179">
        <f ca="1"/>
      </c>
      <c r="AJ179">
        <f ca="1"/>
      </c>
      <c r="AK179">
        <f ca="1"/>
      </c>
      <c r="AL179">
        <f ca="1"/>
      </c>
      <c r="AM179">
        <f ca="1"/>
      </c>
      <c r="AN179">
        <f ca="1"/>
      </c>
      <c r="AO179">
        <f ca="1"/>
      </c>
      <c r="AP179">
        <f ca="1"/>
      </c>
      <c r="AQ179">
        <f ca="1"/>
      </c>
      <c r="AR179">
        <f ca="1"/>
      </c>
      <c r="AT179" s="7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BA179" s="7">
        <f ca="1"/>
      </c>
      <c r="BB179">
        <f ca="1"/>
      </c>
      <c r="BC179">
        <f ca="1"/>
      </c>
      <c r="BD179">
        <f ca="1"/>
      </c>
      <c r="BE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</row>
    <row r="180" spans="31:73" x14ac:dyDescent="0.55000000000000004">
      <c r="AE180" s="7">
        <f ca="1"/>
      </c>
      <c r="AF180">
        <f ca="1"/>
      </c>
      <c r="AG180">
        <f ca="1"/>
      </c>
      <c r="AH180">
        <f ca="1"/>
      </c>
      <c r="AI180">
        <f ca="1"/>
      </c>
      <c r="AJ180">
        <f ca="1"/>
      </c>
      <c r="AK180">
        <f ca="1"/>
      </c>
      <c r="AL180">
        <f ca="1"/>
      </c>
      <c r="AM180">
        <f ca="1"/>
      </c>
      <c r="AN180">
        <f ca="1"/>
      </c>
      <c r="AO180">
        <f ca="1"/>
      </c>
      <c r="AP180">
        <f ca="1"/>
      </c>
      <c r="AQ180">
        <f ca="1"/>
      </c>
      <c r="AR180">
        <f ca="1"/>
      </c>
      <c r="AT180" s="7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BA180" s="7">
        <f ca="1"/>
      </c>
      <c r="BB180">
        <f ca="1"/>
      </c>
      <c r="BC180">
        <f ca="1"/>
      </c>
      <c r="BD180">
        <f ca="1"/>
      </c>
      <c r="BE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</row>
    <row r="181" spans="31:73" x14ac:dyDescent="0.55000000000000004">
      <c r="AE181" s="7">
        <f ca="1"/>
      </c>
      <c r="AF181">
        <f ca="1"/>
      </c>
      <c r="AG181">
        <f ca="1"/>
      </c>
      <c r="AH181">
        <f ca="1"/>
      </c>
      <c r="AI181">
        <f ca="1"/>
      </c>
      <c r="AJ181">
        <f ca="1"/>
      </c>
      <c r="AK181">
        <f ca="1"/>
      </c>
      <c r="AL181">
        <f ca="1"/>
      </c>
      <c r="AM181">
        <f ca="1"/>
      </c>
      <c r="AN181">
        <f ca="1"/>
      </c>
      <c r="AO181">
        <f ca="1"/>
      </c>
      <c r="AP181">
        <f ca="1"/>
      </c>
      <c r="AQ181">
        <f ca="1"/>
      </c>
      <c r="AR181">
        <f ca="1"/>
      </c>
      <c r="AT181" s="7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BA181" s="7">
        <f ca="1"/>
      </c>
      <c r="BB181">
        <f ca="1"/>
      </c>
      <c r="BC181">
        <f ca="1"/>
      </c>
      <c r="BD181">
        <f ca="1"/>
      </c>
      <c r="BE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</row>
    <row r="182" spans="31:73" x14ac:dyDescent="0.55000000000000004">
      <c r="AE182" s="7">
        <f ca="1"/>
      </c>
      <c r="AF182">
        <f ca="1"/>
      </c>
      <c r="AG182">
        <f ca="1"/>
      </c>
      <c r="AH182">
        <f ca="1"/>
      </c>
      <c r="AI182">
        <f ca="1"/>
      </c>
      <c r="AJ182">
        <f ca="1"/>
      </c>
      <c r="AK182">
        <f ca="1"/>
      </c>
      <c r="AL182">
        <f ca="1"/>
      </c>
      <c r="AM182">
        <f ca="1"/>
      </c>
      <c r="AN182">
        <f ca="1"/>
      </c>
      <c r="AO182">
        <f ca="1"/>
      </c>
      <c r="AP182">
        <f ca="1"/>
      </c>
      <c r="AQ182">
        <f ca="1"/>
      </c>
      <c r="AR182">
        <f ca="1"/>
      </c>
      <c r="AT182" s="7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BA182" s="7">
        <f ca="1"/>
      </c>
      <c r="BB182">
        <f ca="1"/>
      </c>
      <c r="BC182">
        <f ca="1"/>
      </c>
      <c r="BD182">
        <f ca="1"/>
      </c>
      <c r="BE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</row>
    <row r="183" spans="31:73" x14ac:dyDescent="0.55000000000000004">
      <c r="AE183" s="7">
        <f ca="1"/>
      </c>
      <c r="AF183">
        <f ca="1"/>
      </c>
      <c r="AG183">
        <f ca="1"/>
      </c>
      <c r="AH183">
        <f ca="1"/>
      </c>
      <c r="AI183">
        <f ca="1"/>
      </c>
      <c r="AJ183">
        <f ca="1"/>
      </c>
      <c r="AK183">
        <f ca="1"/>
      </c>
      <c r="AL183">
        <f ca="1"/>
      </c>
      <c r="AM183">
        <f ca="1"/>
      </c>
      <c r="AN183">
        <f ca="1"/>
      </c>
      <c r="AO183">
        <f ca="1"/>
      </c>
      <c r="AP183">
        <f ca="1"/>
      </c>
      <c r="AQ183">
        <f ca="1"/>
      </c>
      <c r="AR183">
        <f ca="1"/>
      </c>
      <c r="AT183" s="7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BA183" s="7">
        <f ca="1"/>
      </c>
      <c r="BB183">
        <f ca="1"/>
      </c>
      <c r="BC183">
        <f ca="1"/>
      </c>
      <c r="BD183">
        <f ca="1"/>
      </c>
      <c r="BE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</row>
    <row r="184" spans="31:73" x14ac:dyDescent="0.55000000000000004">
      <c r="AE184" s="7">
        <f ca="1"/>
      </c>
      <c r="AF184">
        <f ca="1"/>
      </c>
      <c r="AG184">
        <f ca="1"/>
      </c>
      <c r="AH184">
        <f ca="1"/>
      </c>
      <c r="AI184">
        <f ca="1"/>
      </c>
      <c r="AJ184">
        <f ca="1"/>
      </c>
      <c r="AK184">
        <f ca="1"/>
      </c>
      <c r="AL184">
        <f ca="1"/>
      </c>
      <c r="AM184">
        <f ca="1"/>
      </c>
      <c r="AN184">
        <f ca="1"/>
      </c>
      <c r="AO184">
        <f ca="1"/>
      </c>
      <c r="AP184">
        <f ca="1"/>
      </c>
      <c r="AQ184">
        <f ca="1"/>
      </c>
      <c r="AR184">
        <f ca="1"/>
      </c>
      <c r="AT184" s="7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BA184" s="7">
        <f ca="1"/>
      </c>
      <c r="BB184">
        <f ca="1"/>
      </c>
      <c r="BC184">
        <f ca="1"/>
      </c>
      <c r="BD184">
        <f ca="1"/>
      </c>
      <c r="BE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</row>
    <row r="185" spans="31:73" x14ac:dyDescent="0.55000000000000004">
      <c r="AE185" s="7">
        <f ca="1"/>
      </c>
      <c r="AF185">
        <f ca="1"/>
      </c>
      <c r="AG185">
        <f ca="1"/>
      </c>
      <c r="AH185">
        <f ca="1"/>
      </c>
      <c r="AI185">
        <f ca="1"/>
      </c>
      <c r="AJ185">
        <f ca="1"/>
      </c>
      <c r="AK185">
        <f ca="1"/>
      </c>
      <c r="AL185">
        <f ca="1"/>
      </c>
      <c r="AM185">
        <f ca="1"/>
      </c>
      <c r="AN185">
        <f ca="1"/>
      </c>
      <c r="AO185">
        <f ca="1"/>
      </c>
      <c r="AP185">
        <f ca="1"/>
      </c>
      <c r="AQ185">
        <f ca="1"/>
      </c>
      <c r="AR185">
        <f ca="1"/>
      </c>
      <c r="AT185" s="7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BA185" s="7">
        <f ca="1"/>
      </c>
      <c r="BB185">
        <f ca="1"/>
      </c>
      <c r="BC185">
        <f ca="1"/>
      </c>
      <c r="BD185">
        <f ca="1"/>
      </c>
      <c r="BE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</row>
    <row r="186" spans="31:73" x14ac:dyDescent="0.55000000000000004">
      <c r="AE186" s="7">
        <f ca="1"/>
      </c>
      <c r="AF186">
        <f ca="1"/>
      </c>
      <c r="AG186">
        <f ca="1"/>
      </c>
      <c r="AH186">
        <f ca="1"/>
      </c>
      <c r="AI186">
        <f ca="1"/>
      </c>
      <c r="AJ186">
        <f ca="1"/>
      </c>
      <c r="AK186">
        <f ca="1"/>
      </c>
      <c r="AL186">
        <f ca="1"/>
      </c>
      <c r="AM186">
        <f ca="1"/>
      </c>
      <c r="AN186">
        <f ca="1"/>
      </c>
      <c r="AO186">
        <f ca="1"/>
      </c>
      <c r="AP186">
        <f ca="1"/>
      </c>
      <c r="AQ186">
        <f ca="1"/>
      </c>
      <c r="AR186">
        <f ca="1"/>
      </c>
      <c r="AT186" s="7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BA186" s="7">
        <f ca="1"/>
      </c>
      <c r="BB186">
        <f ca="1"/>
      </c>
      <c r="BC186">
        <f ca="1"/>
      </c>
      <c r="BD186">
        <f ca="1"/>
      </c>
      <c r="BE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</row>
    <row r="187" spans="31:73" x14ac:dyDescent="0.55000000000000004">
      <c r="AE187" s="7">
        <f ca="1"/>
      </c>
      <c r="AF187">
        <f ca="1"/>
      </c>
      <c r="AG187">
        <f ca="1"/>
      </c>
      <c r="AH187">
        <f ca="1"/>
      </c>
      <c r="AI187">
        <f ca="1"/>
      </c>
      <c r="AJ187">
        <f ca="1"/>
      </c>
      <c r="AK187">
        <f ca="1"/>
      </c>
      <c r="AL187">
        <f ca="1"/>
      </c>
      <c r="AM187">
        <f ca="1"/>
      </c>
      <c r="AN187">
        <f ca="1"/>
      </c>
      <c r="AO187">
        <f ca="1"/>
      </c>
      <c r="AP187">
        <f ca="1"/>
      </c>
      <c r="AQ187">
        <f ca="1"/>
      </c>
      <c r="AR187">
        <f ca="1"/>
      </c>
      <c r="AT187" s="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BA187" s="7">
        <f ca="1"/>
      </c>
      <c r="BB187">
        <f ca="1"/>
      </c>
      <c r="BC187">
        <f ca="1"/>
      </c>
      <c r="BD187">
        <f ca="1"/>
      </c>
      <c r="BE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</row>
    <row r="188" spans="31:73" x14ac:dyDescent="0.55000000000000004">
      <c r="AE188" s="7">
        <f ca="1"/>
      </c>
      <c r="AF188">
        <f ca="1"/>
      </c>
      <c r="AG188">
        <f ca="1"/>
      </c>
      <c r="AH188">
        <f ca="1"/>
      </c>
      <c r="AI188">
        <f ca="1"/>
      </c>
      <c r="AJ188">
        <f ca="1"/>
      </c>
      <c r="AK188">
        <f ca="1"/>
      </c>
      <c r="AL188">
        <f ca="1"/>
      </c>
      <c r="AM188">
        <f ca="1"/>
      </c>
      <c r="AN188">
        <f ca="1"/>
      </c>
      <c r="AO188">
        <f ca="1"/>
      </c>
      <c r="AP188">
        <f ca="1"/>
      </c>
      <c r="AQ188">
        <f ca="1"/>
      </c>
      <c r="AR188">
        <f ca="1"/>
      </c>
      <c r="AT188" s="7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BA188" s="7">
        <f ca="1"/>
      </c>
      <c r="BB188">
        <f ca="1"/>
      </c>
      <c r="BC188">
        <f ca="1"/>
      </c>
      <c r="BD188">
        <f ca="1"/>
      </c>
      <c r="BE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</row>
    <row r="189" spans="31:73" x14ac:dyDescent="0.55000000000000004">
      <c r="AE189" s="7">
        <f ca="1"/>
      </c>
      <c r="AF189">
        <f ca="1"/>
      </c>
      <c r="AG189">
        <f ca="1"/>
      </c>
      <c r="AH189">
        <f ca="1"/>
      </c>
      <c r="AI189">
        <f ca="1"/>
      </c>
      <c r="AJ189">
        <f ca="1"/>
      </c>
      <c r="AK189">
        <f ca="1"/>
      </c>
      <c r="AL189">
        <f ca="1"/>
      </c>
      <c r="AM189">
        <f ca="1"/>
      </c>
      <c r="AN189">
        <f ca="1"/>
      </c>
      <c r="AO189">
        <f ca="1"/>
      </c>
      <c r="AP189">
        <f ca="1"/>
      </c>
      <c r="AQ189">
        <f ca="1"/>
      </c>
      <c r="AR189">
        <f ca="1"/>
      </c>
      <c r="AT189" s="7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BA189" s="7">
        <f ca="1"/>
      </c>
      <c r="BB189">
        <f ca="1"/>
      </c>
      <c r="BC189">
        <f ca="1"/>
      </c>
      <c r="BD189">
        <f ca="1"/>
      </c>
      <c r="BE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</row>
    <row r="190" spans="31:73" x14ac:dyDescent="0.55000000000000004">
      <c r="AE190" s="7">
        <f ca="1"/>
      </c>
      <c r="AF190">
        <f ca="1"/>
      </c>
      <c r="AG190">
        <f ca="1"/>
      </c>
      <c r="AH190">
        <f ca="1"/>
      </c>
      <c r="AI190">
        <f ca="1"/>
      </c>
      <c r="AJ190">
        <f ca="1"/>
      </c>
      <c r="AK190">
        <f ca="1"/>
      </c>
      <c r="AL190">
        <f ca="1"/>
      </c>
      <c r="AM190">
        <f ca="1"/>
      </c>
      <c r="AN190">
        <f ca="1"/>
      </c>
      <c r="AO190">
        <f ca="1"/>
      </c>
      <c r="AP190">
        <f ca="1"/>
      </c>
      <c r="AQ190">
        <f ca="1"/>
      </c>
      <c r="AR190">
        <f ca="1"/>
      </c>
      <c r="AT190" s="7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BA190" s="7">
        <f ca="1"/>
      </c>
      <c r="BB190">
        <f ca="1"/>
      </c>
      <c r="BC190">
        <f ca="1"/>
      </c>
      <c r="BD190">
        <f ca="1"/>
      </c>
      <c r="BE190">
        <f ca="1"/>
      </c>
    </row>
    <row r="191" spans="31:73" x14ac:dyDescent="0.55000000000000004">
      <c r="AE191" s="7">
        <f ca="1"/>
      </c>
      <c r="AF191">
        <f ca="1"/>
      </c>
      <c r="AG191">
        <f ca="1"/>
      </c>
      <c r="AH191">
        <f ca="1"/>
      </c>
      <c r="AI191">
        <f ca="1"/>
      </c>
      <c r="AJ191">
        <f ca="1"/>
      </c>
      <c r="AK191">
        <f ca="1"/>
      </c>
      <c r="AL191">
        <f ca="1"/>
      </c>
      <c r="AM191">
        <f ca="1"/>
      </c>
      <c r="AN191">
        <f ca="1"/>
      </c>
      <c r="AO191">
        <f ca="1"/>
      </c>
      <c r="AP191">
        <f ca="1"/>
      </c>
      <c r="AQ191">
        <f ca="1"/>
      </c>
      <c r="AR191">
        <f ca="1"/>
      </c>
      <c r="AT191" s="7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BA191" s="7">
        <f ca="1"/>
      </c>
      <c r="BB191">
        <f ca="1"/>
      </c>
      <c r="BC191">
        <f ca="1"/>
      </c>
      <c r="BD191">
        <f ca="1"/>
      </c>
      <c r="BE191">
        <f ca="1"/>
      </c>
    </row>
    <row r="192" spans="31:73" x14ac:dyDescent="0.55000000000000004">
      <c r="AE192" s="7">
        <f ca="1"/>
      </c>
      <c r="AF192">
        <f ca="1"/>
      </c>
      <c r="AG192">
        <f ca="1"/>
      </c>
      <c r="AH192">
        <f ca="1"/>
      </c>
      <c r="AI192">
        <f ca="1"/>
      </c>
      <c r="AJ192">
        <f ca="1"/>
      </c>
      <c r="AK192">
        <f ca="1"/>
      </c>
      <c r="AL192">
        <f ca="1"/>
      </c>
      <c r="AM192">
        <f ca="1"/>
      </c>
      <c r="AN192">
        <f ca="1"/>
      </c>
      <c r="AO192">
        <f ca="1"/>
      </c>
      <c r="AP192">
        <f ca="1"/>
      </c>
      <c r="AQ192">
        <f ca="1"/>
      </c>
      <c r="AR192">
        <f ca="1"/>
      </c>
      <c r="AT192" s="7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BA192" s="7">
        <f ca="1"/>
      </c>
      <c r="BB192">
        <f ca="1"/>
      </c>
      <c r="BC192">
        <f ca="1"/>
      </c>
      <c r="BD192">
        <f ca="1"/>
      </c>
      <c r="BE192">
        <f ca="1"/>
      </c>
    </row>
    <row r="193" spans="31:57" x14ac:dyDescent="0.55000000000000004">
      <c r="AE193" s="7">
        <f ca="1"/>
      </c>
      <c r="AF193">
        <f ca="1"/>
      </c>
      <c r="AG193">
        <f ca="1"/>
      </c>
      <c r="AH193">
        <f ca="1"/>
      </c>
      <c r="AI193">
        <f ca="1"/>
      </c>
      <c r="AJ193">
        <f ca="1"/>
      </c>
      <c r="AK193">
        <f ca="1"/>
      </c>
      <c r="AL193">
        <f ca="1"/>
      </c>
      <c r="AM193">
        <f ca="1"/>
      </c>
      <c r="AN193">
        <f ca="1"/>
      </c>
      <c r="AO193">
        <f ca="1"/>
      </c>
      <c r="AP193">
        <f ca="1"/>
      </c>
      <c r="AQ193">
        <f ca="1"/>
      </c>
      <c r="AR193">
        <f ca="1"/>
      </c>
      <c r="AT193" s="7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BA193" s="7">
        <f ca="1"/>
      </c>
      <c r="BB193">
        <f ca="1"/>
      </c>
      <c r="BC193">
        <f ca="1"/>
      </c>
      <c r="BD193">
        <f ca="1"/>
      </c>
      <c r="BE193">
        <f ca="1"/>
      </c>
    </row>
    <row r="194" spans="31:57" x14ac:dyDescent="0.55000000000000004">
      <c r="AE194" s="7">
        <f ca="1"/>
      </c>
      <c r="AF194">
        <f ca="1"/>
      </c>
      <c r="AG194">
        <f ca="1"/>
      </c>
      <c r="AH194">
        <f ca="1"/>
      </c>
      <c r="AI194">
        <f ca="1"/>
      </c>
      <c r="AJ194">
        <f ca="1"/>
      </c>
      <c r="AK194">
        <f ca="1"/>
      </c>
      <c r="AL194">
        <f ca="1"/>
      </c>
      <c r="AM194">
        <f ca="1"/>
      </c>
      <c r="AN194">
        <f ca="1"/>
      </c>
      <c r="AO194">
        <f ca="1"/>
      </c>
      <c r="AP194">
        <f ca="1"/>
      </c>
      <c r="AQ194">
        <f ca="1"/>
      </c>
      <c r="AR194">
        <f ca="1"/>
      </c>
      <c r="AT194" s="7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BA194" s="7">
        <f ca="1"/>
      </c>
      <c r="BB194">
        <f ca="1"/>
      </c>
      <c r="BC194">
        <f ca="1"/>
      </c>
      <c r="BD194">
        <f ca="1"/>
      </c>
      <c r="BE194">
        <f ca="1"/>
      </c>
    </row>
    <row r="195" spans="31:57" x14ac:dyDescent="0.55000000000000004">
      <c r="AE195" s="7">
        <f ca="1"/>
      </c>
      <c r="AF195">
        <f ca="1"/>
      </c>
      <c r="AG195">
        <f ca="1"/>
      </c>
      <c r="AH195">
        <f ca="1"/>
      </c>
      <c r="AI195">
        <f ca="1"/>
      </c>
      <c r="AJ195">
        <f ca="1"/>
      </c>
      <c r="AK195">
        <f ca="1"/>
      </c>
      <c r="AL195">
        <f ca="1"/>
      </c>
      <c r="AM195">
        <f ca="1"/>
      </c>
      <c r="AN195">
        <f ca="1"/>
      </c>
      <c r="AO195">
        <f ca="1"/>
      </c>
      <c r="AP195">
        <f ca="1"/>
      </c>
      <c r="AQ195">
        <f ca="1"/>
      </c>
      <c r="AR195">
        <f ca="1"/>
      </c>
      <c r="AT195" s="7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BA195" s="7">
        <f ca="1"/>
      </c>
      <c r="BB195">
        <f ca="1"/>
      </c>
      <c r="BC195">
        <f ca="1"/>
      </c>
      <c r="BD195">
        <f ca="1"/>
      </c>
      <c r="BE195">
        <f ca="1"/>
      </c>
    </row>
    <row r="196" spans="31:57" x14ac:dyDescent="0.55000000000000004">
      <c r="AE196" s="7">
        <f ca="1"/>
      </c>
      <c r="AF196">
        <f ca="1"/>
      </c>
      <c r="AG196">
        <f ca="1"/>
      </c>
      <c r="AH196">
        <f ca="1"/>
      </c>
      <c r="AI196">
        <f ca="1"/>
      </c>
      <c r="AJ196">
        <f ca="1"/>
      </c>
      <c r="AK196">
        <f ca="1"/>
      </c>
      <c r="AL196">
        <f ca="1"/>
      </c>
      <c r="AM196">
        <f ca="1"/>
      </c>
      <c r="AN196">
        <f ca="1"/>
      </c>
      <c r="AO196">
        <f ca="1"/>
      </c>
      <c r="AP196">
        <f ca="1"/>
      </c>
      <c r="AQ196">
        <f ca="1"/>
      </c>
      <c r="AR196">
        <f ca="1"/>
      </c>
      <c r="AT196" s="7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BA196" s="7">
        <f ca="1"/>
      </c>
      <c r="BB196">
        <f ca="1"/>
      </c>
      <c r="BC196">
        <f ca="1"/>
      </c>
      <c r="BD196">
        <f ca="1"/>
      </c>
      <c r="BE196">
        <f ca="1"/>
      </c>
    </row>
    <row r="197" spans="31:57" x14ac:dyDescent="0.55000000000000004">
      <c r="AE197" s="7">
        <f ca="1"/>
      </c>
      <c r="AF197">
        <f ca="1"/>
      </c>
      <c r="AG197">
        <f ca="1"/>
      </c>
      <c r="AH197">
        <f ca="1"/>
      </c>
      <c r="AI197">
        <f ca="1"/>
      </c>
      <c r="AJ197">
        <f ca="1"/>
      </c>
      <c r="AK197">
        <f ca="1"/>
      </c>
      <c r="AL197">
        <f ca="1"/>
      </c>
      <c r="AM197">
        <f ca="1"/>
      </c>
      <c r="AN197">
        <f ca="1"/>
      </c>
      <c r="AO197">
        <f ca="1"/>
      </c>
      <c r="AP197">
        <f ca="1"/>
      </c>
      <c r="AQ197">
        <f ca="1"/>
      </c>
      <c r="AR197">
        <f ca="1"/>
      </c>
      <c r="AT197" s="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BA197" s="7">
        <f ca="1"/>
      </c>
      <c r="BB197">
        <f ca="1"/>
      </c>
      <c r="BC197">
        <f ca="1"/>
      </c>
      <c r="BD197">
        <f ca="1"/>
      </c>
      <c r="BE197">
        <f ca="1"/>
      </c>
    </row>
    <row r="198" spans="31:57" x14ac:dyDescent="0.55000000000000004">
      <c r="AE198" s="7">
        <f ca="1"/>
      </c>
      <c r="AF198">
        <f ca="1"/>
      </c>
      <c r="AG198">
        <f ca="1"/>
      </c>
      <c r="AH198">
        <f ca="1"/>
      </c>
      <c r="AI198">
        <f ca="1"/>
      </c>
      <c r="AJ198">
        <f ca="1"/>
      </c>
      <c r="AK198">
        <f ca="1"/>
      </c>
      <c r="AL198">
        <f ca="1"/>
      </c>
      <c r="AM198">
        <f ca="1"/>
      </c>
      <c r="AN198">
        <f ca="1"/>
      </c>
      <c r="AO198">
        <f ca="1"/>
      </c>
      <c r="AP198">
        <f ca="1"/>
      </c>
      <c r="AQ198">
        <f ca="1"/>
      </c>
      <c r="AR198">
        <f ca="1"/>
      </c>
      <c r="AT198" s="7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BA198" s="7">
        <f ca="1"/>
      </c>
      <c r="BB198">
        <f ca="1"/>
      </c>
      <c r="BC198">
        <f ca="1"/>
      </c>
      <c r="BD198">
        <f ca="1"/>
      </c>
      <c r="BE198">
        <f ca="1"/>
      </c>
    </row>
    <row r="199" spans="31:57" x14ac:dyDescent="0.55000000000000004">
      <c r="AE199" s="7">
        <f ca="1"/>
      </c>
      <c r="AF199">
        <f ca="1"/>
      </c>
      <c r="AG199">
        <f ca="1"/>
      </c>
      <c r="AH199">
        <f ca="1"/>
      </c>
      <c r="AI199">
        <f ca="1"/>
      </c>
      <c r="AJ199">
        <f ca="1"/>
      </c>
      <c r="AK199">
        <f ca="1"/>
      </c>
      <c r="AL199">
        <f ca="1"/>
      </c>
      <c r="AM199">
        <f ca="1"/>
      </c>
      <c r="AN199">
        <f ca="1"/>
      </c>
      <c r="AO199">
        <f ca="1"/>
      </c>
      <c r="AP199">
        <f ca="1"/>
      </c>
      <c r="AQ199">
        <f ca="1"/>
      </c>
      <c r="AR199">
        <f ca="1"/>
      </c>
      <c r="AT199" s="7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BA199" s="7">
        <f ca="1"/>
      </c>
      <c r="BB199">
        <f ca="1"/>
      </c>
      <c r="BC199">
        <f ca="1"/>
      </c>
      <c r="BD199">
        <f ca="1"/>
      </c>
      <c r="BE199">
        <f ca="1"/>
      </c>
    </row>
    <row r="200" spans="31:57" x14ac:dyDescent="0.55000000000000004">
      <c r="AE200" s="7">
        <f ca="1"/>
      </c>
      <c r="AF200">
        <f ca="1"/>
      </c>
      <c r="AG200">
        <f ca="1"/>
      </c>
      <c r="AH200">
        <f ca="1"/>
      </c>
      <c r="AI200">
        <f ca="1"/>
      </c>
      <c r="AJ200">
        <f ca="1"/>
      </c>
      <c r="AK200">
        <f ca="1"/>
      </c>
      <c r="AL200">
        <f ca="1"/>
      </c>
      <c r="AM200">
        <f ca="1"/>
      </c>
      <c r="AN200">
        <f ca="1"/>
      </c>
      <c r="AO200">
        <f ca="1"/>
      </c>
      <c r="AP200">
        <f ca="1"/>
      </c>
      <c r="AQ200">
        <f ca="1"/>
      </c>
      <c r="AR200">
        <f ca="1"/>
      </c>
      <c r="AT200" s="7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BA200" s="7">
        <f ca="1"/>
      </c>
      <c r="BB200">
        <f ca="1"/>
      </c>
      <c r="BC200">
        <f ca="1"/>
      </c>
      <c r="BD200">
        <f ca="1"/>
      </c>
      <c r="BE200">
        <f ca="1"/>
      </c>
    </row>
    <row r="201" spans="31:57" x14ac:dyDescent="0.55000000000000004">
      <c r="AE201" s="7">
        <f ca="1"/>
      </c>
      <c r="AF201">
        <f ca="1"/>
      </c>
      <c r="AG201">
        <f ca="1"/>
      </c>
      <c r="AH201">
        <f ca="1"/>
      </c>
      <c r="AI201">
        <f ca="1"/>
      </c>
      <c r="AJ201">
        <f ca="1"/>
      </c>
      <c r="AK201">
        <f ca="1"/>
      </c>
      <c r="AL201">
        <f ca="1"/>
      </c>
      <c r="AM201">
        <f ca="1"/>
      </c>
      <c r="AN201">
        <f ca="1"/>
      </c>
      <c r="AO201">
        <f ca="1"/>
      </c>
      <c r="AP201">
        <f ca="1"/>
      </c>
      <c r="AQ201">
        <f ca="1"/>
      </c>
      <c r="AR201">
        <f ca="1"/>
      </c>
      <c r="AT201" s="7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BA201" s="7">
        <f ca="1"/>
      </c>
      <c r="BB201">
        <f ca="1"/>
      </c>
      <c r="BC201">
        <f ca="1"/>
      </c>
      <c r="BD201">
        <f ca="1"/>
      </c>
      <c r="BE201">
        <f ca="1"/>
      </c>
    </row>
    <row r="202" spans="31:57" x14ac:dyDescent="0.55000000000000004">
      <c r="AE202" s="7">
        <f ca="1"/>
      </c>
      <c r="AF202">
        <f ca="1"/>
      </c>
      <c r="AG202">
        <f ca="1"/>
      </c>
      <c r="AH202">
        <f ca="1"/>
      </c>
      <c r="AI202">
        <f ca="1"/>
      </c>
      <c r="AJ202">
        <f ca="1"/>
      </c>
      <c r="AK202">
        <f ca="1"/>
      </c>
      <c r="AL202">
        <f ca="1"/>
      </c>
      <c r="AM202">
        <f ca="1"/>
      </c>
      <c r="AN202">
        <f ca="1"/>
      </c>
      <c r="AO202">
        <f ca="1"/>
      </c>
      <c r="AP202">
        <f ca="1"/>
      </c>
      <c r="AQ202">
        <f ca="1"/>
      </c>
      <c r="AR202">
        <f ca="1"/>
      </c>
      <c r="AT202" s="7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BA202" s="7">
        <f ca="1"/>
      </c>
      <c r="BB202">
        <f ca="1"/>
      </c>
      <c r="BC202">
        <f ca="1"/>
      </c>
      <c r="BD202">
        <f ca="1"/>
      </c>
      <c r="BE202">
        <f ca="1"/>
      </c>
    </row>
    <row r="203" spans="31:57" x14ac:dyDescent="0.55000000000000004">
      <c r="AE203" s="7">
        <f ca="1"/>
      </c>
      <c r="AF203">
        <f ca="1"/>
      </c>
      <c r="AG203">
        <f ca="1"/>
      </c>
      <c r="AH203">
        <f ca="1"/>
      </c>
      <c r="AI203">
        <f ca="1"/>
      </c>
      <c r="AJ203">
        <f ca="1"/>
      </c>
      <c r="AK203">
        <f ca="1"/>
      </c>
      <c r="AL203">
        <f ca="1"/>
      </c>
      <c r="AM203">
        <f ca="1"/>
      </c>
      <c r="AN203">
        <f ca="1"/>
      </c>
      <c r="AO203">
        <f ca="1"/>
      </c>
      <c r="AP203">
        <f ca="1"/>
      </c>
      <c r="AQ203">
        <f ca="1"/>
      </c>
      <c r="AR203">
        <f ca="1"/>
      </c>
      <c r="AT203" s="7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BA203" s="7">
        <f ca="1"/>
      </c>
      <c r="BB203">
        <f ca="1"/>
      </c>
      <c r="BC203">
        <f ca="1"/>
      </c>
      <c r="BD203">
        <f ca="1"/>
      </c>
      <c r="BE203">
        <f ca="1"/>
      </c>
    </row>
    <row r="204" spans="31:57" x14ac:dyDescent="0.55000000000000004">
      <c r="AE204" s="7">
        <f ca="1"/>
      </c>
      <c r="AF204">
        <f ca="1"/>
      </c>
      <c r="AG204">
        <f ca="1"/>
      </c>
      <c r="AH204">
        <f ca="1"/>
      </c>
      <c r="AI204">
        <f ca="1"/>
      </c>
      <c r="AJ204">
        <f ca="1"/>
      </c>
      <c r="AK204">
        <f ca="1"/>
      </c>
      <c r="AL204">
        <f ca="1"/>
      </c>
      <c r="AM204">
        <f ca="1"/>
      </c>
      <c r="AN204">
        <f ca="1"/>
      </c>
      <c r="AO204">
        <f ca="1"/>
      </c>
      <c r="AP204">
        <f ca="1"/>
      </c>
      <c r="AQ204">
        <f ca="1"/>
      </c>
      <c r="AR204">
        <f ca="1"/>
      </c>
      <c r="AT204" s="7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BA204" s="7">
        <f ca="1"/>
      </c>
      <c r="BB204">
        <f ca="1"/>
      </c>
      <c r="BC204">
        <f ca="1"/>
      </c>
      <c r="BD204">
        <f ca="1"/>
      </c>
      <c r="BE204">
        <f ca="1"/>
      </c>
    </row>
    <row r="205" spans="31:57" x14ac:dyDescent="0.55000000000000004">
      <c r="AE205" s="7">
        <f ca="1"/>
      </c>
      <c r="AF205">
        <f ca="1"/>
      </c>
      <c r="AG205">
        <f ca="1"/>
      </c>
      <c r="AH205">
        <f ca="1"/>
      </c>
      <c r="AI205">
        <f ca="1"/>
      </c>
      <c r="AJ205">
        <f ca="1"/>
      </c>
      <c r="AK205">
        <f ca="1"/>
      </c>
      <c r="AL205">
        <f ca="1"/>
      </c>
      <c r="AM205">
        <f ca="1"/>
      </c>
      <c r="AN205">
        <f ca="1"/>
      </c>
      <c r="AO205">
        <f ca="1"/>
      </c>
      <c r="AP205">
        <f ca="1"/>
      </c>
      <c r="AQ205">
        <f ca="1"/>
      </c>
      <c r="AR205">
        <f ca="1"/>
      </c>
      <c r="AT205" s="7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BA205" s="7">
        <f ca="1"/>
      </c>
      <c r="BB205">
        <f ca="1"/>
      </c>
      <c r="BC205">
        <f ca="1"/>
      </c>
      <c r="BD205">
        <f ca="1"/>
      </c>
      <c r="BE205">
        <f ca="1"/>
      </c>
    </row>
    <row r="206" spans="31:57" x14ac:dyDescent="0.55000000000000004">
      <c r="AE206" s="7">
        <f ca="1"/>
      </c>
      <c r="AF206">
        <f ca="1"/>
      </c>
      <c r="AG206">
        <f ca="1"/>
      </c>
      <c r="AH206">
        <f ca="1"/>
      </c>
      <c r="AI206">
        <f ca="1"/>
      </c>
      <c r="AJ206">
        <f ca="1"/>
      </c>
      <c r="AK206">
        <f ca="1"/>
      </c>
      <c r="AL206">
        <f ca="1"/>
      </c>
      <c r="AM206">
        <f ca="1"/>
      </c>
      <c r="AN206">
        <f ca="1"/>
      </c>
      <c r="AO206">
        <f ca="1"/>
      </c>
      <c r="AP206">
        <f ca="1"/>
      </c>
      <c r="AQ206">
        <f ca="1"/>
      </c>
      <c r="AR206">
        <f ca="1"/>
      </c>
      <c r="AT206" s="7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BA206" s="7">
        <f ca="1"/>
      </c>
      <c r="BB206">
        <f ca="1"/>
      </c>
      <c r="BC206">
        <f ca="1"/>
      </c>
      <c r="BD206">
        <f ca="1"/>
      </c>
      <c r="BE206">
        <f ca="1"/>
      </c>
    </row>
    <row r="207" spans="31:57" x14ac:dyDescent="0.55000000000000004">
      <c r="AE207" s="7">
        <f ca="1"/>
      </c>
      <c r="AF207">
        <f ca="1"/>
      </c>
      <c r="AG207">
        <f ca="1"/>
      </c>
      <c r="AH207">
        <f ca="1"/>
      </c>
      <c r="AI207">
        <f ca="1"/>
      </c>
      <c r="AJ207">
        <f ca="1"/>
      </c>
      <c r="AK207">
        <f ca="1"/>
      </c>
      <c r="AL207">
        <f ca="1"/>
      </c>
      <c r="AM207">
        <f ca="1"/>
      </c>
      <c r="AN207">
        <f ca="1"/>
      </c>
      <c r="AO207">
        <f ca="1"/>
      </c>
      <c r="AP207">
        <f ca="1"/>
      </c>
      <c r="AQ207">
        <f ca="1"/>
      </c>
      <c r="AR207">
        <f ca="1"/>
      </c>
      <c r="AT207" s="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BA207" s="7">
        <f ca="1"/>
      </c>
      <c r="BB207">
        <f ca="1"/>
      </c>
      <c r="BC207">
        <f ca="1"/>
      </c>
      <c r="BD207">
        <f ca="1"/>
      </c>
      <c r="BE207">
        <f ca="1"/>
      </c>
    </row>
    <row r="208" spans="31:57" x14ac:dyDescent="0.55000000000000004">
      <c r="AE208" s="7">
        <f ca="1"/>
      </c>
      <c r="AF208">
        <f ca="1"/>
      </c>
      <c r="AG208">
        <f ca="1"/>
      </c>
      <c r="AH208">
        <f ca="1"/>
      </c>
      <c r="AI208">
        <f ca="1"/>
      </c>
      <c r="AJ208">
        <f ca="1"/>
      </c>
      <c r="AK208">
        <f ca="1"/>
      </c>
      <c r="AL208">
        <f ca="1"/>
      </c>
      <c r="AM208">
        <f ca="1"/>
      </c>
      <c r="AN208">
        <f ca="1"/>
      </c>
      <c r="AO208">
        <f ca="1"/>
      </c>
      <c r="AP208">
        <f ca="1"/>
      </c>
      <c r="AQ208">
        <f ca="1"/>
      </c>
      <c r="AR208">
        <f ca="1"/>
      </c>
      <c r="AT208" s="7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BA208" s="7">
        <f ca="1"/>
      </c>
      <c r="BB208">
        <f ca="1"/>
      </c>
      <c r="BC208">
        <f ca="1"/>
      </c>
      <c r="BD208">
        <f ca="1"/>
      </c>
      <c r="BE208">
        <f ca="1"/>
      </c>
    </row>
    <row r="209" spans="31:57" x14ac:dyDescent="0.55000000000000004">
      <c r="AE209" s="7">
        <f ca="1"/>
      </c>
      <c r="AF209">
        <f ca="1"/>
      </c>
      <c r="AG209">
        <f ca="1"/>
      </c>
      <c r="AH209">
        <f ca="1"/>
      </c>
      <c r="AI209">
        <f ca="1"/>
      </c>
      <c r="AJ209">
        <f ca="1"/>
      </c>
      <c r="AK209">
        <f ca="1"/>
      </c>
      <c r="AL209">
        <f ca="1"/>
      </c>
      <c r="AM209">
        <f ca="1"/>
      </c>
      <c r="AN209">
        <f ca="1"/>
      </c>
      <c r="AO209">
        <f ca="1"/>
      </c>
      <c r="AP209">
        <f ca="1"/>
      </c>
      <c r="AQ209">
        <f ca="1"/>
      </c>
      <c r="AR209">
        <f ca="1"/>
      </c>
      <c r="AT209" s="7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BA209" s="7">
        <f ca="1"/>
      </c>
      <c r="BB209">
        <f ca="1"/>
      </c>
      <c r="BC209">
        <f ca="1"/>
      </c>
      <c r="BD209">
        <f ca="1"/>
      </c>
      <c r="BE209">
        <f ca="1"/>
      </c>
    </row>
    <row r="210" spans="31:57" x14ac:dyDescent="0.55000000000000004">
      <c r="AE210" s="7">
        <f ca="1"/>
      </c>
      <c r="AF210">
        <f ca="1"/>
      </c>
      <c r="AG210">
        <f ca="1"/>
      </c>
      <c r="AH210">
        <f ca="1"/>
      </c>
      <c r="AI210">
        <f ca="1"/>
      </c>
      <c r="AJ210">
        <f ca="1"/>
      </c>
      <c r="AK210">
        <f ca="1"/>
      </c>
      <c r="AL210">
        <f ca="1"/>
      </c>
      <c r="AM210">
        <f ca="1"/>
      </c>
      <c r="AN210">
        <f ca="1"/>
      </c>
      <c r="AO210">
        <f ca="1"/>
      </c>
      <c r="AP210">
        <f ca="1"/>
      </c>
      <c r="AQ210">
        <f ca="1"/>
      </c>
      <c r="AR210">
        <f ca="1"/>
      </c>
      <c r="AT210" s="7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BA210" s="7">
        <f ca="1"/>
      </c>
      <c r="BB210">
        <f ca="1"/>
      </c>
      <c r="BC210">
        <f ca="1"/>
      </c>
      <c r="BD210">
        <f ca="1"/>
      </c>
      <c r="BE210">
        <f ca="1"/>
      </c>
    </row>
    <row r="211" spans="31:57" x14ac:dyDescent="0.55000000000000004">
      <c r="AE211" s="7">
        <f ca="1"/>
      </c>
      <c r="AF211">
        <f ca="1"/>
      </c>
      <c r="AG211">
        <f ca="1"/>
      </c>
      <c r="AH211">
        <f ca="1"/>
      </c>
      <c r="AI211">
        <f ca="1"/>
      </c>
      <c r="AJ211">
        <f ca="1"/>
      </c>
      <c r="AK211">
        <f ca="1"/>
      </c>
      <c r="AL211">
        <f ca="1"/>
      </c>
      <c r="AM211">
        <f ca="1"/>
      </c>
      <c r="AN211">
        <f ca="1"/>
      </c>
      <c r="AO211">
        <f ca="1"/>
      </c>
      <c r="AP211">
        <f ca="1"/>
      </c>
      <c r="AQ211">
        <f ca="1"/>
      </c>
      <c r="AR211">
        <f ca="1"/>
      </c>
      <c r="AT211" s="7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BA211" s="7">
        <f ca="1"/>
      </c>
      <c r="BB211">
        <f ca="1"/>
      </c>
      <c r="BC211">
        <f ca="1"/>
      </c>
      <c r="BD211">
        <f ca="1"/>
      </c>
      <c r="BE211">
        <f ca="1"/>
      </c>
    </row>
    <row r="212" spans="31:57" x14ac:dyDescent="0.55000000000000004">
      <c r="AE212" s="7">
        <f ca="1"/>
      </c>
      <c r="AF212">
        <f ca="1"/>
      </c>
      <c r="AG212">
        <f ca="1"/>
      </c>
      <c r="AH212">
        <f ca="1"/>
      </c>
      <c r="AI212">
        <f ca="1"/>
      </c>
      <c r="AJ212">
        <f ca="1"/>
      </c>
      <c r="AK212">
        <f ca="1"/>
      </c>
      <c r="AL212">
        <f ca="1"/>
      </c>
      <c r="AM212">
        <f ca="1"/>
      </c>
      <c r="AN212">
        <f ca="1"/>
      </c>
      <c r="AO212">
        <f ca="1"/>
      </c>
      <c r="AP212">
        <f ca="1"/>
      </c>
      <c r="AQ212">
        <f ca="1"/>
      </c>
      <c r="AR212">
        <f ca="1"/>
      </c>
      <c r="AT212" s="7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BA212" s="7">
        <f ca="1"/>
      </c>
      <c r="BB212">
        <f ca="1"/>
      </c>
      <c r="BC212">
        <f ca="1"/>
      </c>
      <c r="BD212">
        <f ca="1"/>
      </c>
      <c r="BE212">
        <f ca="1"/>
      </c>
    </row>
    <row r="213" spans="31:57" x14ac:dyDescent="0.55000000000000004">
      <c r="AE213" s="7">
        <f ca="1"/>
      </c>
      <c r="AF213">
        <f ca="1"/>
      </c>
      <c r="AG213">
        <f ca="1"/>
      </c>
      <c r="AH213">
        <f ca="1"/>
      </c>
      <c r="AI213">
        <f ca="1"/>
      </c>
      <c r="AJ213">
        <f ca="1"/>
      </c>
      <c r="AK213">
        <f ca="1"/>
      </c>
      <c r="AL213">
        <f ca="1"/>
      </c>
      <c r="AM213">
        <f ca="1"/>
      </c>
      <c r="AN213">
        <f ca="1"/>
      </c>
      <c r="AO213">
        <f ca="1"/>
      </c>
      <c r="AP213">
        <f ca="1"/>
      </c>
      <c r="AQ213">
        <f ca="1"/>
      </c>
      <c r="AR213">
        <f ca="1"/>
      </c>
      <c r="AT213" s="7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BA213" s="7">
        <f ca="1"/>
      </c>
      <c r="BB213">
        <f ca="1"/>
      </c>
      <c r="BC213">
        <f ca="1"/>
      </c>
      <c r="BD213">
        <f ca="1"/>
      </c>
      <c r="BE213">
        <f ca="1"/>
      </c>
    </row>
    <row r="214" spans="31:57" x14ac:dyDescent="0.55000000000000004">
      <c r="AE214" s="7">
        <f ca="1"/>
      </c>
      <c r="AF214">
        <f ca="1"/>
      </c>
      <c r="AG214">
        <f ca="1"/>
      </c>
      <c r="AH214">
        <f ca="1"/>
      </c>
      <c r="AI214">
        <f ca="1"/>
      </c>
      <c r="AJ214">
        <f ca="1"/>
      </c>
      <c r="AK214">
        <f ca="1"/>
      </c>
      <c r="AL214">
        <f ca="1"/>
      </c>
      <c r="AM214">
        <f ca="1"/>
      </c>
      <c r="AN214">
        <f ca="1"/>
      </c>
      <c r="AO214">
        <f ca="1"/>
      </c>
      <c r="AP214">
        <f ca="1"/>
      </c>
      <c r="AQ214">
        <f ca="1"/>
      </c>
      <c r="AR214">
        <f ca="1"/>
      </c>
      <c r="AT214" s="7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BA214" s="7">
        <f ca="1"/>
      </c>
      <c r="BB214">
        <f ca="1"/>
      </c>
      <c r="BC214">
        <f ca="1"/>
      </c>
      <c r="BD214">
        <f ca="1"/>
      </c>
      <c r="BE214">
        <f ca="1"/>
      </c>
    </row>
    <row r="215" spans="31:57" x14ac:dyDescent="0.55000000000000004">
      <c r="AE215" s="7">
        <f ca="1"/>
      </c>
      <c r="AF215">
        <f ca="1"/>
      </c>
      <c r="AG215">
        <f ca="1"/>
      </c>
      <c r="AH215">
        <f ca="1"/>
      </c>
      <c r="AI215">
        <f ca="1"/>
      </c>
      <c r="AJ215">
        <f ca="1"/>
      </c>
      <c r="AK215">
        <f ca="1"/>
      </c>
      <c r="AL215">
        <f ca="1"/>
      </c>
      <c r="AM215">
        <f ca="1"/>
      </c>
      <c r="AN215">
        <f ca="1"/>
      </c>
      <c r="AO215">
        <f ca="1"/>
      </c>
      <c r="AP215">
        <f ca="1"/>
      </c>
      <c r="AQ215">
        <f ca="1"/>
      </c>
      <c r="AR215">
        <f ca="1"/>
      </c>
      <c r="AT215" s="7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BA215" s="7">
        <f ca="1"/>
      </c>
      <c r="BB215">
        <f ca="1"/>
      </c>
      <c r="BC215">
        <f ca="1"/>
      </c>
      <c r="BD215">
        <f ca="1"/>
      </c>
      <c r="BE215">
        <f ca="1"/>
      </c>
    </row>
    <row r="216" spans="31:57" x14ac:dyDescent="0.55000000000000004">
      <c r="AE216" s="7">
        <f ca="1"/>
      </c>
      <c r="AF216">
        <f ca="1"/>
      </c>
      <c r="AG216">
        <f ca="1"/>
      </c>
      <c r="AH216">
        <f ca="1"/>
      </c>
      <c r="AI216">
        <f ca="1"/>
      </c>
      <c r="AJ216">
        <f ca="1"/>
      </c>
      <c r="AK216">
        <f ca="1"/>
      </c>
      <c r="AL216">
        <f ca="1"/>
      </c>
      <c r="AM216">
        <f ca="1"/>
      </c>
      <c r="AN216">
        <f ca="1"/>
      </c>
      <c r="AO216">
        <f ca="1"/>
      </c>
      <c r="AP216">
        <f ca="1"/>
      </c>
      <c r="AQ216">
        <f ca="1"/>
      </c>
      <c r="AR216">
        <f ca="1"/>
      </c>
      <c r="AT216" s="7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BA216" s="7">
        <f ca="1"/>
      </c>
      <c r="BB216">
        <f ca="1"/>
      </c>
      <c r="BC216">
        <f ca="1"/>
      </c>
      <c r="BD216">
        <f ca="1"/>
      </c>
      <c r="BE216">
        <f ca="1"/>
      </c>
    </row>
    <row r="217" spans="31:57" x14ac:dyDescent="0.55000000000000004">
      <c r="AE217" s="7">
        <f ca="1"/>
      </c>
      <c r="AF217">
        <f ca="1"/>
      </c>
      <c r="AG217">
        <f ca="1"/>
      </c>
      <c r="AH217">
        <f ca="1"/>
      </c>
      <c r="AI217">
        <f ca="1"/>
      </c>
      <c r="AJ217">
        <f ca="1"/>
      </c>
      <c r="AK217">
        <f ca="1"/>
      </c>
      <c r="AL217">
        <f ca="1"/>
      </c>
      <c r="AM217">
        <f ca="1"/>
      </c>
      <c r="AN217">
        <f ca="1"/>
      </c>
      <c r="AO217">
        <f ca="1"/>
      </c>
      <c r="AP217">
        <f ca="1"/>
      </c>
      <c r="AQ217">
        <f ca="1"/>
      </c>
      <c r="AR217">
        <f ca="1"/>
      </c>
      <c r="AT217" s="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BA217" s="7">
        <f ca="1"/>
      </c>
      <c r="BB217">
        <f ca="1"/>
      </c>
      <c r="BC217">
        <f ca="1"/>
      </c>
      <c r="BD217">
        <f ca="1"/>
      </c>
      <c r="BE217">
        <f ca="1"/>
      </c>
    </row>
    <row r="218" spans="31:57" x14ac:dyDescent="0.55000000000000004">
      <c r="AE218" s="7">
        <f ca="1"/>
      </c>
      <c r="AF218">
        <f ca="1"/>
      </c>
      <c r="AG218">
        <f ca="1"/>
      </c>
      <c r="AH218">
        <f ca="1"/>
      </c>
      <c r="AI218">
        <f ca="1"/>
      </c>
      <c r="AJ218">
        <f ca="1"/>
      </c>
      <c r="AK218">
        <f ca="1"/>
      </c>
      <c r="AL218">
        <f ca="1"/>
      </c>
      <c r="AM218">
        <f ca="1"/>
      </c>
      <c r="AN218">
        <f ca="1"/>
      </c>
      <c r="AO218">
        <f ca="1"/>
      </c>
      <c r="AP218">
        <f ca="1"/>
      </c>
      <c r="AQ218">
        <f ca="1"/>
      </c>
      <c r="AR218">
        <f ca="1"/>
      </c>
      <c r="AT218" s="7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BA218" s="7">
        <f ca="1"/>
      </c>
      <c r="BB218">
        <f ca="1"/>
      </c>
      <c r="BC218">
        <f ca="1"/>
      </c>
      <c r="BD218">
        <f ca="1"/>
      </c>
      <c r="BE218">
        <f ca="1"/>
      </c>
    </row>
    <row r="219" spans="31:57" x14ac:dyDescent="0.55000000000000004">
      <c r="AE219" s="7">
        <f ca="1"/>
      </c>
      <c r="AF219">
        <f ca="1"/>
      </c>
      <c r="AG219">
        <f ca="1"/>
      </c>
      <c r="AH219">
        <f ca="1"/>
      </c>
      <c r="AI219">
        <f ca="1"/>
      </c>
      <c r="AJ219">
        <f ca="1"/>
      </c>
      <c r="AK219">
        <f ca="1"/>
      </c>
      <c r="AL219">
        <f ca="1"/>
      </c>
      <c r="AM219">
        <f ca="1"/>
      </c>
      <c r="AN219">
        <f ca="1"/>
      </c>
      <c r="AO219">
        <f ca="1"/>
      </c>
      <c r="AP219">
        <f ca="1"/>
      </c>
      <c r="AQ219">
        <f ca="1"/>
      </c>
      <c r="AR219">
        <f ca="1"/>
      </c>
      <c r="AT219" s="7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BA219" s="7">
        <f ca="1"/>
      </c>
      <c r="BB219">
        <f ca="1"/>
      </c>
      <c r="BC219">
        <f ca="1"/>
      </c>
      <c r="BD219">
        <f ca="1"/>
      </c>
      <c r="BE219">
        <f ca="1"/>
      </c>
    </row>
    <row r="220" spans="31:57" x14ac:dyDescent="0.55000000000000004">
      <c r="AE220" s="7">
        <f ca="1"/>
      </c>
      <c r="AF220">
        <f ca="1"/>
      </c>
      <c r="AG220">
        <f ca="1"/>
      </c>
      <c r="AH220">
        <f ca="1"/>
      </c>
      <c r="AI220">
        <f ca="1"/>
      </c>
      <c r="AJ220">
        <f ca="1"/>
      </c>
      <c r="AK220">
        <f ca="1"/>
      </c>
      <c r="AL220">
        <f ca="1"/>
      </c>
      <c r="AM220">
        <f ca="1"/>
      </c>
      <c r="AN220">
        <f ca="1"/>
      </c>
      <c r="AO220">
        <f ca="1"/>
      </c>
      <c r="AP220">
        <f ca="1"/>
      </c>
      <c r="AQ220">
        <f ca="1"/>
      </c>
      <c r="AR220">
        <f ca="1"/>
      </c>
      <c r="AT220" s="7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BA220" s="7">
        <f ca="1"/>
      </c>
      <c r="BB220">
        <f ca="1"/>
      </c>
      <c r="BC220">
        <f ca="1"/>
      </c>
      <c r="BD220">
        <f ca="1"/>
      </c>
      <c r="BE220">
        <f ca="1"/>
      </c>
    </row>
    <row r="221" spans="31:57" x14ac:dyDescent="0.55000000000000004">
      <c r="AE221" s="7">
        <f ca="1"/>
      </c>
      <c r="AF221">
        <f ca="1"/>
      </c>
      <c r="AG221">
        <f ca="1"/>
      </c>
      <c r="AH221">
        <f ca="1"/>
      </c>
      <c r="AI221">
        <f ca="1"/>
      </c>
      <c r="AJ221">
        <f ca="1"/>
      </c>
      <c r="AK221">
        <f ca="1"/>
      </c>
      <c r="AL221">
        <f ca="1"/>
      </c>
      <c r="AM221">
        <f ca="1"/>
      </c>
      <c r="AN221">
        <f ca="1"/>
      </c>
      <c r="AO221">
        <f ca="1"/>
      </c>
      <c r="AP221">
        <f ca="1"/>
      </c>
      <c r="AQ221">
        <f ca="1"/>
      </c>
      <c r="AR221">
        <f ca="1"/>
      </c>
      <c r="AT221" s="7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BA221" s="7">
        <f ca="1"/>
      </c>
      <c r="BB221">
        <f ca="1"/>
      </c>
      <c r="BC221">
        <f ca="1"/>
      </c>
      <c r="BD221">
        <f ca="1"/>
      </c>
      <c r="BE221">
        <f ca="1"/>
      </c>
    </row>
    <row r="222" spans="31:57" x14ac:dyDescent="0.55000000000000004">
      <c r="AE222" s="7">
        <f ca="1"/>
      </c>
      <c r="AF222">
        <f ca="1"/>
      </c>
      <c r="AG222">
        <f ca="1"/>
      </c>
      <c r="AH222">
        <f ca="1"/>
      </c>
      <c r="AI222">
        <f ca="1"/>
      </c>
      <c r="AJ222">
        <f ca="1"/>
      </c>
      <c r="AK222">
        <f ca="1"/>
      </c>
      <c r="AL222">
        <f ca="1"/>
      </c>
      <c r="AM222">
        <f ca="1"/>
      </c>
      <c r="AN222">
        <f ca="1"/>
      </c>
      <c r="AO222">
        <f ca="1"/>
      </c>
      <c r="AP222">
        <f ca="1"/>
      </c>
      <c r="AQ222">
        <f ca="1"/>
      </c>
      <c r="AR222">
        <f ca="1"/>
      </c>
      <c r="AT222" s="7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BA222" s="7">
        <f ca="1"/>
      </c>
      <c r="BB222">
        <f ca="1"/>
      </c>
      <c r="BC222">
        <f ca="1"/>
      </c>
      <c r="BD222">
        <f ca="1"/>
      </c>
      <c r="BE222">
        <f ca="1"/>
      </c>
    </row>
    <row r="223" spans="31:57" x14ac:dyDescent="0.55000000000000004">
      <c r="AE223" s="7">
        <f ca="1"/>
      </c>
      <c r="AF223">
        <f ca="1"/>
      </c>
      <c r="AG223">
        <f ca="1"/>
      </c>
      <c r="AH223">
        <f ca="1"/>
      </c>
      <c r="AI223">
        <f ca="1"/>
      </c>
      <c r="AJ223">
        <f ca="1"/>
      </c>
      <c r="AK223">
        <f ca="1"/>
      </c>
      <c r="AL223">
        <f ca="1"/>
      </c>
      <c r="AM223">
        <f ca="1"/>
      </c>
      <c r="AN223">
        <f ca="1"/>
      </c>
      <c r="AO223">
        <f ca="1"/>
      </c>
      <c r="AP223">
        <f ca="1"/>
      </c>
      <c r="AQ223">
        <f ca="1"/>
      </c>
      <c r="AR223">
        <f ca="1"/>
      </c>
      <c r="AT223" s="7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BA223" s="7">
        <f ca="1"/>
      </c>
      <c r="BB223">
        <f ca="1"/>
      </c>
      <c r="BC223">
        <f ca="1"/>
      </c>
      <c r="BD223">
        <f ca="1"/>
      </c>
      <c r="BE223">
        <f ca="1"/>
      </c>
    </row>
    <row r="224" spans="31:57" x14ac:dyDescent="0.55000000000000004">
      <c r="AE224" s="7">
        <f ca="1"/>
      </c>
      <c r="AF224">
        <f ca="1"/>
      </c>
      <c r="AG224">
        <f ca="1"/>
      </c>
      <c r="AH224">
        <f ca="1"/>
      </c>
      <c r="AI224">
        <f ca="1"/>
      </c>
      <c r="AJ224">
        <f ca="1"/>
      </c>
      <c r="AK224">
        <f ca="1"/>
      </c>
      <c r="AL224">
        <f ca="1"/>
      </c>
      <c r="AM224">
        <f ca="1"/>
      </c>
      <c r="AN224">
        <f ca="1"/>
      </c>
      <c r="AO224">
        <f ca="1"/>
      </c>
      <c r="AP224">
        <f ca="1"/>
      </c>
      <c r="AQ224">
        <f ca="1"/>
      </c>
      <c r="AR224">
        <f ca="1"/>
      </c>
      <c r="AT224" s="7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BA224" s="7">
        <f ca="1"/>
      </c>
      <c r="BB224">
        <f ca="1"/>
      </c>
      <c r="BC224">
        <f ca="1"/>
      </c>
      <c r="BD224">
        <f ca="1"/>
      </c>
      <c r="BE224">
        <f ca="1"/>
      </c>
    </row>
    <row r="225" spans="31:57" x14ac:dyDescent="0.55000000000000004">
      <c r="AE225" s="7">
        <f ca="1"/>
      </c>
      <c r="AF225">
        <f ca="1"/>
      </c>
      <c r="AG225">
        <f ca="1"/>
      </c>
      <c r="AH225">
        <f ca="1"/>
      </c>
      <c r="AI225">
        <f ca="1"/>
      </c>
      <c r="AJ225">
        <f ca="1"/>
      </c>
      <c r="AK225">
        <f ca="1"/>
      </c>
      <c r="AL225">
        <f ca="1"/>
      </c>
      <c r="AM225">
        <f ca="1"/>
      </c>
      <c r="AN225">
        <f ca="1"/>
      </c>
      <c r="AO225">
        <f ca="1"/>
      </c>
      <c r="AP225">
        <f ca="1"/>
      </c>
      <c r="AQ225">
        <f ca="1"/>
      </c>
      <c r="AR225">
        <f ca="1"/>
      </c>
      <c r="AT225" s="7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BA225" s="7">
        <f ca="1"/>
      </c>
      <c r="BB225">
        <f ca="1"/>
      </c>
      <c r="BC225">
        <f ca="1"/>
      </c>
      <c r="BD225">
        <f ca="1"/>
      </c>
      <c r="BE225">
        <f ca="1"/>
      </c>
    </row>
    <row r="226" spans="31:57" x14ac:dyDescent="0.55000000000000004">
      <c r="AE226" s="7">
        <f ca="1"/>
      </c>
      <c r="AF226">
        <f ca="1"/>
      </c>
      <c r="AG226">
        <f ca="1"/>
      </c>
      <c r="AH226">
        <f ca="1"/>
      </c>
      <c r="AI226">
        <f ca="1"/>
      </c>
      <c r="AJ226">
        <f ca="1"/>
      </c>
      <c r="AK226">
        <f ca="1"/>
      </c>
      <c r="AL226">
        <f ca="1"/>
      </c>
      <c r="AM226">
        <f ca="1"/>
      </c>
      <c r="AN226">
        <f ca="1"/>
      </c>
      <c r="AO226">
        <f ca="1"/>
      </c>
      <c r="AP226">
        <f ca="1"/>
      </c>
      <c r="AQ226">
        <f ca="1"/>
      </c>
      <c r="AR226">
        <f ca="1"/>
      </c>
      <c r="AT226" s="7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BA226" s="7">
        <f ca="1"/>
      </c>
      <c r="BB226">
        <f ca="1"/>
      </c>
      <c r="BC226">
        <f ca="1"/>
      </c>
      <c r="BD226">
        <f ca="1"/>
      </c>
      <c r="BE226">
        <f ca="1"/>
      </c>
    </row>
    <row r="227" spans="31:57" x14ac:dyDescent="0.55000000000000004">
      <c r="AE227" s="7">
        <f ca="1"/>
      </c>
      <c r="AF227">
        <f ca="1"/>
      </c>
      <c r="AG227">
        <f ca="1"/>
      </c>
      <c r="AH227">
        <f ca="1"/>
      </c>
      <c r="AI227">
        <f ca="1"/>
      </c>
      <c r="AJ227">
        <f ca="1"/>
      </c>
      <c r="AK227">
        <f ca="1"/>
      </c>
      <c r="AL227">
        <f ca="1"/>
      </c>
      <c r="AM227">
        <f ca="1"/>
      </c>
      <c r="AN227">
        <f ca="1"/>
      </c>
      <c r="AO227">
        <f ca="1"/>
      </c>
      <c r="AP227">
        <f ca="1"/>
      </c>
      <c r="AQ227">
        <f ca="1"/>
      </c>
      <c r="AR227">
        <f ca="1"/>
      </c>
      <c r="AT227" s="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BA227" s="7">
        <f ca="1"/>
      </c>
      <c r="BB227">
        <f ca="1"/>
      </c>
      <c r="BC227">
        <f ca="1"/>
      </c>
      <c r="BD227">
        <f ca="1"/>
      </c>
      <c r="BE227">
        <f ca="1"/>
      </c>
    </row>
    <row r="228" spans="31:57" x14ac:dyDescent="0.55000000000000004">
      <c r="AE228" s="7">
        <f ca="1"/>
      </c>
      <c r="AF228">
        <f ca="1"/>
      </c>
      <c r="AG228">
        <f ca="1"/>
      </c>
      <c r="AH228">
        <f ca="1"/>
      </c>
      <c r="AI228">
        <f ca="1"/>
      </c>
      <c r="AJ228">
        <f ca="1"/>
      </c>
      <c r="AK228">
        <f ca="1"/>
      </c>
      <c r="AL228">
        <f ca="1"/>
      </c>
      <c r="AM228">
        <f ca="1"/>
      </c>
      <c r="AN228">
        <f ca="1"/>
      </c>
      <c r="AO228">
        <f ca="1"/>
      </c>
      <c r="AP228">
        <f ca="1"/>
      </c>
      <c r="AQ228">
        <f ca="1"/>
      </c>
      <c r="AR228">
        <f ca="1"/>
      </c>
      <c r="AT228" s="7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BA228" s="7">
        <f ca="1"/>
      </c>
      <c r="BB228">
        <f ca="1"/>
      </c>
      <c r="BC228">
        <f ca="1"/>
      </c>
      <c r="BD228">
        <f ca="1"/>
      </c>
      <c r="BE228">
        <f ca="1"/>
      </c>
    </row>
    <row r="229" spans="31:57" x14ac:dyDescent="0.55000000000000004">
      <c r="AE229" s="7">
        <f ca="1"/>
      </c>
      <c r="AF229">
        <f ca="1"/>
      </c>
      <c r="AG229">
        <f ca="1"/>
      </c>
      <c r="AH229">
        <f ca="1"/>
      </c>
      <c r="AI229">
        <f ca="1"/>
      </c>
      <c r="AJ229">
        <f ca="1"/>
      </c>
      <c r="AK229">
        <f ca="1"/>
      </c>
      <c r="AL229">
        <f ca="1"/>
      </c>
      <c r="AM229">
        <f ca="1"/>
      </c>
      <c r="AN229">
        <f ca="1"/>
      </c>
      <c r="AO229">
        <f ca="1"/>
      </c>
      <c r="AP229">
        <f ca="1"/>
      </c>
      <c r="AQ229">
        <f ca="1"/>
      </c>
      <c r="AR229">
        <f ca="1"/>
      </c>
      <c r="AT229" s="7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BA229" s="7">
        <f ca="1"/>
      </c>
      <c r="BB229">
        <f ca="1"/>
      </c>
      <c r="BC229">
        <f ca="1"/>
      </c>
      <c r="BD229">
        <f ca="1"/>
      </c>
      <c r="BE229">
        <f ca="1"/>
      </c>
    </row>
    <row r="230" spans="31:57" x14ac:dyDescent="0.55000000000000004">
      <c r="AE230" s="7">
        <f ca="1"/>
      </c>
      <c r="AF230">
        <f ca="1"/>
      </c>
      <c r="AG230">
        <f ca="1"/>
      </c>
      <c r="AH230">
        <f ca="1"/>
      </c>
      <c r="AI230">
        <f ca="1"/>
      </c>
      <c r="AJ230">
        <f ca="1"/>
      </c>
      <c r="AK230">
        <f ca="1"/>
      </c>
      <c r="AL230">
        <f ca="1"/>
      </c>
      <c r="AM230">
        <f ca="1"/>
      </c>
      <c r="AN230">
        <f ca="1"/>
      </c>
      <c r="AO230">
        <f ca="1"/>
      </c>
      <c r="AP230">
        <f ca="1"/>
      </c>
      <c r="AQ230">
        <f ca="1"/>
      </c>
      <c r="AR230">
        <f ca="1"/>
      </c>
      <c r="AT230" s="7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BA230" s="7">
        <f ca="1"/>
      </c>
      <c r="BB230">
        <f ca="1"/>
      </c>
      <c r="BC230">
        <f ca="1"/>
      </c>
      <c r="BD230">
        <f ca="1"/>
      </c>
      <c r="BE230">
        <f ca="1"/>
      </c>
    </row>
    <row r="231" spans="31:57" x14ac:dyDescent="0.55000000000000004">
      <c r="AE231" s="7">
        <f ca="1"/>
      </c>
      <c r="AF231">
        <f ca="1"/>
      </c>
      <c r="AG231">
        <f ca="1"/>
      </c>
      <c r="AH231">
        <f ca="1"/>
      </c>
      <c r="AI231">
        <f ca="1"/>
      </c>
      <c r="AJ231">
        <f ca="1"/>
      </c>
      <c r="AK231">
        <f ca="1"/>
      </c>
      <c r="AL231">
        <f ca="1"/>
      </c>
      <c r="AM231">
        <f ca="1"/>
      </c>
      <c r="AN231">
        <f ca="1"/>
      </c>
      <c r="AO231">
        <f ca="1"/>
      </c>
      <c r="AP231">
        <f ca="1"/>
      </c>
      <c r="AQ231">
        <f ca="1"/>
      </c>
      <c r="AR231">
        <f ca="1"/>
      </c>
      <c r="AT231" s="7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BA231" s="7">
        <f ca="1"/>
      </c>
      <c r="BB231">
        <f ca="1"/>
      </c>
      <c r="BC231">
        <f ca="1"/>
      </c>
      <c r="BD231">
        <f ca="1"/>
      </c>
      <c r="BE231">
        <f ca="1"/>
      </c>
    </row>
    <row r="232" spans="31:57" x14ac:dyDescent="0.55000000000000004">
      <c r="AE232" s="7">
        <f ca="1"/>
      </c>
      <c r="AF232">
        <f ca="1"/>
      </c>
      <c r="AG232">
        <f ca="1"/>
      </c>
      <c r="AH232">
        <f ca="1"/>
      </c>
      <c r="AI232">
        <f ca="1"/>
      </c>
      <c r="AJ232">
        <f ca="1"/>
      </c>
      <c r="AK232">
        <f ca="1"/>
      </c>
      <c r="AL232">
        <f ca="1"/>
      </c>
      <c r="AM232">
        <f ca="1"/>
      </c>
      <c r="AN232">
        <f ca="1"/>
      </c>
      <c r="AO232">
        <f ca="1"/>
      </c>
      <c r="AP232">
        <f ca="1"/>
      </c>
      <c r="AQ232">
        <f ca="1"/>
      </c>
      <c r="AR232">
        <f ca="1"/>
      </c>
      <c r="AT232" s="7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BA232" s="7">
        <f ca="1"/>
      </c>
      <c r="BB232">
        <f ca="1"/>
      </c>
      <c r="BC232">
        <f ca="1"/>
      </c>
      <c r="BD232">
        <f ca="1"/>
      </c>
      <c r="BE232">
        <f ca="1"/>
      </c>
    </row>
    <row r="233" spans="31:57" x14ac:dyDescent="0.55000000000000004">
      <c r="AE233" s="7">
        <f ca="1"/>
      </c>
      <c r="AF233">
        <f ca="1"/>
      </c>
      <c r="AG233">
        <f ca="1"/>
      </c>
      <c r="AH233">
        <f ca="1"/>
      </c>
      <c r="AI233">
        <f ca="1"/>
      </c>
      <c r="AJ233">
        <f ca="1"/>
      </c>
      <c r="AK233">
        <f ca="1"/>
      </c>
      <c r="AL233">
        <f ca="1"/>
      </c>
      <c r="AM233">
        <f ca="1"/>
      </c>
      <c r="AN233">
        <f ca="1"/>
      </c>
      <c r="AO233">
        <f ca="1"/>
      </c>
      <c r="AP233">
        <f ca="1"/>
      </c>
      <c r="AQ233">
        <f ca="1"/>
      </c>
      <c r="AR233">
        <f ca="1"/>
      </c>
      <c r="AT233" s="7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BA233" s="7">
        <f ca="1"/>
      </c>
      <c r="BB233">
        <f ca="1"/>
      </c>
      <c r="BC233">
        <f ca="1"/>
      </c>
      <c r="BD233">
        <f ca="1"/>
      </c>
      <c r="BE233">
        <f ca="1"/>
      </c>
    </row>
    <row r="234" spans="31:57" x14ac:dyDescent="0.55000000000000004">
      <c r="AE234" s="7">
        <f ca="1"/>
      </c>
      <c r="AF234">
        <f ca="1"/>
      </c>
      <c r="AG234">
        <f ca="1"/>
      </c>
      <c r="AH234">
        <f ca="1"/>
      </c>
      <c r="AI234">
        <f ca="1"/>
      </c>
      <c r="AJ234">
        <f ca="1"/>
      </c>
      <c r="AK234">
        <f ca="1"/>
      </c>
      <c r="AL234">
        <f ca="1"/>
      </c>
      <c r="AM234">
        <f ca="1"/>
      </c>
      <c r="AN234">
        <f ca="1"/>
      </c>
      <c r="AO234">
        <f ca="1"/>
      </c>
      <c r="AP234">
        <f ca="1"/>
      </c>
      <c r="AQ234">
        <f ca="1"/>
      </c>
      <c r="AR234">
        <f ca="1"/>
      </c>
      <c r="AT234" s="7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BA234" s="7">
        <f ca="1"/>
      </c>
      <c r="BB234">
        <f ca="1"/>
      </c>
      <c r="BC234">
        <f ca="1"/>
      </c>
      <c r="BD234">
        <f ca="1"/>
      </c>
      <c r="BE234">
        <f ca="1"/>
      </c>
    </row>
    <row r="235" spans="31:57" x14ac:dyDescent="0.55000000000000004">
      <c r="AE235" s="7">
        <f ca="1"/>
      </c>
      <c r="AF235">
        <f ca="1"/>
      </c>
      <c r="AG235">
        <f ca="1"/>
      </c>
      <c r="AH235">
        <f ca="1"/>
      </c>
      <c r="AI235">
        <f ca="1"/>
      </c>
      <c r="AJ235">
        <f ca="1"/>
      </c>
      <c r="AK235">
        <f ca="1"/>
      </c>
      <c r="AL235">
        <f ca="1"/>
      </c>
      <c r="AM235">
        <f ca="1"/>
      </c>
      <c r="AN235">
        <f ca="1"/>
      </c>
      <c r="AO235">
        <f ca="1"/>
      </c>
      <c r="AP235">
        <f ca="1"/>
      </c>
      <c r="AQ235">
        <f ca="1"/>
      </c>
      <c r="AR235">
        <f ca="1"/>
      </c>
      <c r="AT235" s="7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BA235" s="7">
        <f ca="1"/>
      </c>
      <c r="BB235">
        <f ca="1"/>
      </c>
      <c r="BC235">
        <f ca="1"/>
      </c>
      <c r="BD235">
        <f ca="1"/>
      </c>
      <c r="BE235">
        <f ca="1"/>
      </c>
    </row>
    <row r="236" spans="31:57" x14ac:dyDescent="0.55000000000000004">
      <c r="AE236" s="7">
        <f ca="1"/>
      </c>
      <c r="AF236">
        <f ca="1"/>
      </c>
      <c r="AG236">
        <f ca="1"/>
      </c>
      <c r="AH236">
        <f ca="1"/>
      </c>
      <c r="AI236">
        <f ca="1"/>
      </c>
      <c r="AJ236">
        <f ca="1"/>
      </c>
      <c r="AK236">
        <f ca="1"/>
      </c>
      <c r="AL236">
        <f ca="1"/>
      </c>
      <c r="AM236">
        <f ca="1"/>
      </c>
      <c r="AN236">
        <f ca="1"/>
      </c>
      <c r="AO236">
        <f ca="1"/>
      </c>
      <c r="AP236">
        <f ca="1"/>
      </c>
      <c r="AQ236">
        <f ca="1"/>
      </c>
      <c r="AR236">
        <f ca="1"/>
      </c>
      <c r="AT236" s="7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BA236" s="7">
        <f ca="1"/>
      </c>
      <c r="BB236">
        <f ca="1"/>
      </c>
      <c r="BC236">
        <f ca="1"/>
      </c>
      <c r="BD236">
        <f ca="1"/>
      </c>
      <c r="BE236">
        <f ca="1"/>
      </c>
    </row>
    <row r="237" spans="31:57" x14ac:dyDescent="0.55000000000000004">
      <c r="AE237" s="7">
        <f ca="1"/>
      </c>
      <c r="AF237">
        <f ca="1"/>
      </c>
      <c r="AG237">
        <f ca="1"/>
      </c>
      <c r="AH237">
        <f ca="1"/>
      </c>
      <c r="AI237">
        <f ca="1"/>
      </c>
      <c r="AJ237">
        <f ca="1"/>
      </c>
      <c r="AK237">
        <f ca="1"/>
      </c>
      <c r="AL237">
        <f ca="1"/>
      </c>
      <c r="AM237">
        <f ca="1"/>
      </c>
      <c r="AN237">
        <f ca="1"/>
      </c>
      <c r="AO237">
        <f ca="1"/>
      </c>
      <c r="AP237">
        <f ca="1"/>
      </c>
      <c r="AQ237">
        <f ca="1"/>
      </c>
      <c r="AR237">
        <f ca="1"/>
      </c>
      <c r="AT237" s="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BA237" s="7">
        <f ca="1"/>
      </c>
      <c r="BB237">
        <f ca="1"/>
      </c>
      <c r="BC237">
        <f ca="1"/>
      </c>
      <c r="BD237">
        <f ca="1"/>
      </c>
      <c r="BE237">
        <f ca="1"/>
      </c>
    </row>
    <row r="238" spans="31:57" x14ac:dyDescent="0.55000000000000004">
      <c r="AE238" s="7">
        <f ca="1"/>
      </c>
      <c r="AF238">
        <f ca="1"/>
      </c>
      <c r="AG238">
        <f ca="1"/>
      </c>
      <c r="AH238">
        <f ca="1"/>
      </c>
      <c r="AI238">
        <f ca="1"/>
      </c>
      <c r="AJ238">
        <f ca="1"/>
      </c>
      <c r="AK238">
        <f ca="1"/>
      </c>
      <c r="AL238">
        <f ca="1"/>
      </c>
      <c r="AM238">
        <f ca="1"/>
      </c>
      <c r="AN238">
        <f ca="1"/>
      </c>
      <c r="AO238">
        <f ca="1"/>
      </c>
      <c r="AP238">
        <f ca="1"/>
      </c>
      <c r="AQ238">
        <f ca="1"/>
      </c>
      <c r="AR238">
        <f ca="1"/>
      </c>
      <c r="AT238" s="7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BA238" s="7">
        <f ca="1"/>
      </c>
      <c r="BB238">
        <f ca="1"/>
      </c>
      <c r="BC238">
        <f ca="1"/>
      </c>
      <c r="BD238">
        <f ca="1"/>
      </c>
      <c r="BE238">
        <f ca="1"/>
      </c>
    </row>
    <row r="239" spans="31:57" x14ac:dyDescent="0.55000000000000004">
      <c r="AE239" s="7">
        <f ca="1"/>
      </c>
      <c r="AF239">
        <f ca="1"/>
      </c>
      <c r="AG239">
        <f ca="1"/>
      </c>
      <c r="AH239">
        <f ca="1"/>
      </c>
      <c r="AI239">
        <f ca="1"/>
      </c>
      <c r="AJ239">
        <f ca="1"/>
      </c>
      <c r="AK239">
        <f ca="1"/>
      </c>
      <c r="AL239">
        <f ca="1"/>
      </c>
      <c r="AM239">
        <f ca="1"/>
      </c>
      <c r="AN239">
        <f ca="1"/>
      </c>
      <c r="AO239">
        <f ca="1"/>
      </c>
      <c r="AP239">
        <f ca="1"/>
      </c>
      <c r="AQ239">
        <f ca="1"/>
      </c>
      <c r="AR239">
        <f ca="1"/>
      </c>
      <c r="AT239" s="7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BA239" s="7">
        <f ca="1"/>
      </c>
      <c r="BB239">
        <f ca="1"/>
      </c>
      <c r="BC239">
        <f ca="1"/>
      </c>
      <c r="BD239">
        <f ca="1"/>
      </c>
      <c r="BE239">
        <f ca="1"/>
      </c>
    </row>
    <row r="240" spans="31:57" x14ac:dyDescent="0.55000000000000004">
      <c r="AE240" s="7">
        <f ca="1"/>
      </c>
      <c r="AF240">
        <f ca="1"/>
      </c>
      <c r="AG240">
        <f ca="1"/>
      </c>
      <c r="AH240">
        <f ca="1"/>
      </c>
      <c r="AI240">
        <f ca="1"/>
      </c>
      <c r="AJ240">
        <f ca="1"/>
      </c>
      <c r="AK240">
        <f ca="1"/>
      </c>
      <c r="AL240">
        <f ca="1"/>
      </c>
      <c r="AM240">
        <f ca="1"/>
      </c>
      <c r="AN240">
        <f ca="1"/>
      </c>
      <c r="AO240">
        <f ca="1"/>
      </c>
      <c r="AP240">
        <f ca="1"/>
      </c>
      <c r="AQ240">
        <f ca="1"/>
      </c>
      <c r="AR240">
        <f ca="1"/>
      </c>
      <c r="AT240" s="7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BA240" s="7">
        <f ca="1"/>
      </c>
      <c r="BB240">
        <f ca="1"/>
      </c>
      <c r="BC240">
        <f ca="1"/>
      </c>
      <c r="BD240">
        <f ca="1"/>
      </c>
      <c r="BE240">
        <f ca="1"/>
      </c>
    </row>
    <row r="241" spans="31:57" x14ac:dyDescent="0.55000000000000004">
      <c r="AE241" s="7">
        <f ca="1"/>
      </c>
      <c r="AF241">
        <f ca="1"/>
      </c>
      <c r="AG241">
        <f ca="1"/>
      </c>
      <c r="AH241">
        <f ca="1"/>
      </c>
      <c r="AI241">
        <f ca="1"/>
      </c>
      <c r="AJ241">
        <f ca="1"/>
      </c>
      <c r="AK241">
        <f ca="1"/>
      </c>
      <c r="AL241">
        <f ca="1"/>
      </c>
      <c r="AM241">
        <f ca="1"/>
      </c>
      <c r="AN241">
        <f ca="1"/>
      </c>
      <c r="AO241">
        <f ca="1"/>
      </c>
      <c r="AP241">
        <f ca="1"/>
      </c>
      <c r="AQ241">
        <f ca="1"/>
      </c>
      <c r="AR241">
        <f ca="1"/>
      </c>
      <c r="AT241" s="7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BA241" s="7">
        <f ca="1"/>
      </c>
      <c r="BB241">
        <f ca="1"/>
      </c>
      <c r="BC241">
        <f ca="1"/>
      </c>
      <c r="BD241">
        <f ca="1"/>
      </c>
      <c r="BE241">
        <f ca="1"/>
      </c>
    </row>
    <row r="242" spans="31:57" x14ac:dyDescent="0.55000000000000004">
      <c r="AE242" s="7">
        <f ca="1"/>
      </c>
      <c r="AF242">
        <f ca="1"/>
      </c>
      <c r="AG242">
        <f ca="1"/>
      </c>
      <c r="AH242">
        <f ca="1"/>
      </c>
      <c r="AI242">
        <f ca="1"/>
      </c>
      <c r="AJ242">
        <f ca="1"/>
      </c>
      <c r="AK242">
        <f ca="1"/>
      </c>
      <c r="AL242">
        <f ca="1"/>
      </c>
      <c r="AM242">
        <f ca="1"/>
      </c>
      <c r="AN242">
        <f ca="1"/>
      </c>
      <c r="AO242">
        <f ca="1"/>
      </c>
      <c r="AP242">
        <f ca="1"/>
      </c>
      <c r="AQ242">
        <f ca="1"/>
      </c>
      <c r="AR242">
        <f ca="1"/>
      </c>
      <c r="AT242" s="7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BA242" s="7">
        <f ca="1"/>
      </c>
      <c r="BB242">
        <f ca="1"/>
      </c>
      <c r="BC242">
        <f ca="1"/>
      </c>
      <c r="BD242">
        <f ca="1"/>
      </c>
      <c r="BE242">
        <f ca="1"/>
      </c>
    </row>
    <row r="243" spans="31:57" x14ac:dyDescent="0.55000000000000004">
      <c r="AE243" s="7">
        <f ca="1"/>
      </c>
      <c r="AF243">
        <f ca="1"/>
      </c>
      <c r="AG243">
        <f ca="1"/>
      </c>
      <c r="AH243">
        <f ca="1"/>
      </c>
      <c r="AI243">
        <f ca="1"/>
      </c>
      <c r="AJ243">
        <f ca="1"/>
      </c>
      <c r="AK243">
        <f ca="1"/>
      </c>
      <c r="AL243">
        <f ca="1"/>
      </c>
      <c r="AM243">
        <f ca="1"/>
      </c>
      <c r="AN243">
        <f ca="1"/>
      </c>
      <c r="AO243">
        <f ca="1"/>
      </c>
      <c r="AP243">
        <f ca="1"/>
      </c>
      <c r="AQ243">
        <f ca="1"/>
      </c>
      <c r="AR243">
        <f ca="1"/>
      </c>
      <c r="AT243" s="7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BA243" s="7">
        <f ca="1"/>
      </c>
      <c r="BB243">
        <f ca="1"/>
      </c>
      <c r="BC243">
        <f ca="1"/>
      </c>
      <c r="BD243">
        <f ca="1"/>
      </c>
      <c r="BE243">
        <f ca="1"/>
      </c>
    </row>
    <row r="244" spans="31:57" x14ac:dyDescent="0.55000000000000004">
      <c r="AE244" s="7">
        <f ca="1"/>
      </c>
      <c r="AF244">
        <f ca="1"/>
      </c>
      <c r="AG244">
        <f ca="1"/>
      </c>
      <c r="AH244">
        <f ca="1"/>
      </c>
      <c r="AI244">
        <f ca="1"/>
      </c>
      <c r="AJ244">
        <f ca="1"/>
      </c>
      <c r="AK244">
        <f ca="1"/>
      </c>
      <c r="AL244">
        <f ca="1"/>
      </c>
      <c r="AM244">
        <f ca="1"/>
      </c>
      <c r="AN244">
        <f ca="1"/>
      </c>
      <c r="AO244">
        <f ca="1"/>
      </c>
      <c r="AP244">
        <f ca="1"/>
      </c>
      <c r="AQ244">
        <f ca="1"/>
      </c>
      <c r="AR244">
        <f ca="1"/>
      </c>
      <c r="AT244" s="7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BA244" s="7">
        <f ca="1"/>
      </c>
      <c r="BB244">
        <f ca="1"/>
      </c>
      <c r="BC244">
        <f ca="1"/>
      </c>
      <c r="BD244">
        <f ca="1"/>
      </c>
      <c r="BE244">
        <f ca="1"/>
      </c>
    </row>
    <row r="245" spans="31:57" x14ac:dyDescent="0.55000000000000004">
      <c r="AE245" s="7">
        <f ca="1"/>
      </c>
      <c r="AF245">
        <f ca="1"/>
      </c>
      <c r="AG245">
        <f ca="1"/>
      </c>
      <c r="AH245">
        <f ca="1"/>
      </c>
      <c r="AI245">
        <f ca="1"/>
      </c>
      <c r="AJ245">
        <f ca="1"/>
      </c>
      <c r="AK245">
        <f ca="1"/>
      </c>
      <c r="AL245">
        <f ca="1"/>
      </c>
      <c r="AM245">
        <f ca="1"/>
      </c>
      <c r="AN245">
        <f ca="1"/>
      </c>
      <c r="AO245">
        <f ca="1"/>
      </c>
      <c r="AP245">
        <f ca="1"/>
      </c>
      <c r="AQ245">
        <f ca="1"/>
      </c>
      <c r="AR245">
        <f ca="1"/>
      </c>
      <c r="AT245" s="7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BA245" s="7">
        <f ca="1"/>
      </c>
      <c r="BB245">
        <f ca="1"/>
      </c>
      <c r="BC245">
        <f ca="1"/>
      </c>
      <c r="BD245">
        <f ca="1"/>
      </c>
      <c r="BE245">
        <f ca="1"/>
      </c>
    </row>
    <row r="246" spans="31:57" x14ac:dyDescent="0.55000000000000004">
      <c r="AE246" s="7">
        <f ca="1"/>
      </c>
      <c r="AF246">
        <f ca="1"/>
      </c>
      <c r="AG246">
        <f ca="1"/>
      </c>
      <c r="AH246">
        <f ca="1"/>
      </c>
      <c r="AI246">
        <f ca="1"/>
      </c>
      <c r="AJ246">
        <f ca="1"/>
      </c>
      <c r="AK246">
        <f ca="1"/>
      </c>
      <c r="AL246">
        <f ca="1"/>
      </c>
      <c r="AM246">
        <f ca="1"/>
      </c>
      <c r="AN246">
        <f ca="1"/>
      </c>
      <c r="AO246">
        <f ca="1"/>
      </c>
      <c r="AP246">
        <f ca="1"/>
      </c>
      <c r="AQ246">
        <f ca="1"/>
      </c>
      <c r="AR246">
        <f ca="1"/>
      </c>
      <c r="AT246" s="7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BA246" s="7">
        <f ca="1"/>
      </c>
      <c r="BB246">
        <f ca="1"/>
      </c>
      <c r="BC246">
        <f ca="1"/>
      </c>
      <c r="BD246">
        <f ca="1"/>
      </c>
      <c r="BE246">
        <f ca="1"/>
      </c>
    </row>
    <row r="247" spans="31:57" x14ac:dyDescent="0.55000000000000004">
      <c r="AE247" s="7">
        <f ca="1"/>
      </c>
      <c r="AF247">
        <f ca="1"/>
      </c>
      <c r="AG247">
        <f ca="1"/>
      </c>
      <c r="AH247">
        <f ca="1"/>
      </c>
      <c r="AI247">
        <f ca="1"/>
      </c>
      <c r="AJ247">
        <f ca="1"/>
      </c>
      <c r="AK247">
        <f ca="1"/>
      </c>
      <c r="AL247">
        <f ca="1"/>
      </c>
      <c r="AM247">
        <f ca="1"/>
      </c>
      <c r="AN247">
        <f ca="1"/>
      </c>
      <c r="AO247">
        <f ca="1"/>
      </c>
      <c r="AP247">
        <f ca="1"/>
      </c>
      <c r="AQ247">
        <f ca="1"/>
      </c>
      <c r="AR247">
        <f ca="1"/>
      </c>
      <c r="AT247" s="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BA247" s="7">
        <f ca="1"/>
      </c>
      <c r="BB247">
        <f ca="1"/>
      </c>
      <c r="BC247">
        <f ca="1"/>
      </c>
      <c r="BD247">
        <f ca="1"/>
      </c>
      <c r="BE247">
        <f ca="1"/>
      </c>
    </row>
    <row r="248" spans="31:57" x14ac:dyDescent="0.55000000000000004">
      <c r="AE248" s="7">
        <f ca="1"/>
      </c>
      <c r="AF248">
        <f ca="1"/>
      </c>
      <c r="AG248">
        <f ca="1"/>
      </c>
      <c r="AH248">
        <f ca="1"/>
      </c>
      <c r="AI248">
        <f ca="1"/>
      </c>
      <c r="AJ248">
        <f ca="1"/>
      </c>
      <c r="AK248">
        <f ca="1"/>
      </c>
      <c r="AL248">
        <f ca="1"/>
      </c>
      <c r="AM248">
        <f ca="1"/>
      </c>
      <c r="AN248">
        <f ca="1"/>
      </c>
      <c r="AO248">
        <f ca="1"/>
      </c>
      <c r="AP248">
        <f ca="1"/>
      </c>
      <c r="AQ248">
        <f ca="1"/>
      </c>
      <c r="AR248">
        <f ca="1"/>
      </c>
      <c r="AT248" s="7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BA248" s="7">
        <f ca="1"/>
      </c>
      <c r="BB248">
        <f ca="1"/>
      </c>
      <c r="BC248">
        <f ca="1"/>
      </c>
      <c r="BD248">
        <f ca="1"/>
      </c>
      <c r="BE248">
        <f ca="1"/>
      </c>
    </row>
    <row r="249" spans="31:57" x14ac:dyDescent="0.55000000000000004">
      <c r="AE249" s="7">
        <f ca="1"/>
      </c>
      <c r="AF249">
        <f ca="1"/>
      </c>
      <c r="AG249">
        <f ca="1"/>
      </c>
      <c r="AH249">
        <f ca="1"/>
      </c>
      <c r="AI249">
        <f ca="1"/>
      </c>
      <c r="AJ249">
        <f ca="1"/>
      </c>
      <c r="AK249">
        <f ca="1"/>
      </c>
      <c r="AL249">
        <f ca="1"/>
      </c>
      <c r="AM249">
        <f ca="1"/>
      </c>
      <c r="AN249">
        <f ca="1"/>
      </c>
      <c r="AO249">
        <f ca="1"/>
      </c>
      <c r="AP249">
        <f ca="1"/>
      </c>
      <c r="AQ249">
        <f ca="1"/>
      </c>
      <c r="AR249">
        <f ca="1"/>
      </c>
      <c r="AT249" s="7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BA249" s="7">
        <f ca="1"/>
      </c>
      <c r="BB249">
        <f ca="1"/>
      </c>
      <c r="BC249">
        <f ca="1"/>
      </c>
      <c r="BD249">
        <f ca="1"/>
      </c>
      <c r="BE249">
        <f ca="1"/>
      </c>
    </row>
    <row r="250" spans="31:57" x14ac:dyDescent="0.55000000000000004">
      <c r="AE250" s="7">
        <f ca="1"/>
      </c>
      <c r="AF250">
        <f ca="1"/>
      </c>
      <c r="AG250">
        <f ca="1"/>
      </c>
      <c r="AH250">
        <f ca="1"/>
      </c>
      <c r="AI250">
        <f ca="1"/>
      </c>
      <c r="AJ250">
        <f ca="1"/>
      </c>
      <c r="AK250">
        <f ca="1"/>
      </c>
      <c r="AL250">
        <f ca="1"/>
      </c>
      <c r="AM250">
        <f ca="1"/>
      </c>
      <c r="AN250">
        <f ca="1"/>
      </c>
      <c r="AO250">
        <f ca="1"/>
      </c>
      <c r="AP250">
        <f ca="1"/>
      </c>
      <c r="AQ250">
        <f ca="1"/>
      </c>
      <c r="AR250">
        <f ca="1"/>
      </c>
      <c r="AT250" s="7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BA250" s="7">
        <f ca="1"/>
      </c>
      <c r="BB250">
        <f ca="1"/>
      </c>
      <c r="BC250">
        <f ca="1"/>
      </c>
      <c r="BD250">
        <f ca="1"/>
      </c>
      <c r="BE250">
        <f ca="1"/>
      </c>
    </row>
    <row r="251" spans="31:57" x14ac:dyDescent="0.55000000000000004">
      <c r="AE251" s="7">
        <f ca="1"/>
      </c>
      <c r="AF251">
        <f ca="1"/>
      </c>
      <c r="AG251">
        <f ca="1"/>
      </c>
      <c r="AH251">
        <f ca="1"/>
      </c>
      <c r="AI251">
        <f ca="1"/>
      </c>
      <c r="AJ251">
        <f ca="1"/>
      </c>
      <c r="AK251">
        <f ca="1"/>
      </c>
      <c r="AL251">
        <f ca="1"/>
      </c>
      <c r="AM251">
        <f ca="1"/>
      </c>
      <c r="AN251">
        <f ca="1"/>
      </c>
      <c r="AO251">
        <f ca="1"/>
      </c>
      <c r="AP251">
        <f ca="1"/>
      </c>
      <c r="AQ251">
        <f ca="1"/>
      </c>
      <c r="AR251">
        <f ca="1"/>
      </c>
      <c r="AT251" s="7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BA251" s="7">
        <f ca="1"/>
      </c>
      <c r="BB251">
        <f ca="1"/>
      </c>
      <c r="BC251">
        <f ca="1"/>
      </c>
      <c r="BD251">
        <f ca="1"/>
      </c>
      <c r="BE251">
        <f ca="1"/>
      </c>
    </row>
    <row r="252" spans="31:57" x14ac:dyDescent="0.55000000000000004">
      <c r="AE252" s="7">
        <f ca="1"/>
      </c>
      <c r="AF252">
        <f ca="1"/>
      </c>
      <c r="AG252">
        <f ca="1"/>
      </c>
      <c r="AH252">
        <f ca="1"/>
      </c>
      <c r="AI252">
        <f ca="1"/>
      </c>
      <c r="AJ252">
        <f ca="1"/>
      </c>
      <c r="AK252">
        <f ca="1"/>
      </c>
      <c r="AL252">
        <f ca="1"/>
      </c>
      <c r="AM252">
        <f ca="1"/>
      </c>
      <c r="AN252">
        <f ca="1"/>
      </c>
      <c r="AO252">
        <f ca="1"/>
      </c>
      <c r="AP252">
        <f ca="1"/>
      </c>
      <c r="AQ252">
        <f ca="1"/>
      </c>
      <c r="AR252">
        <f ca="1"/>
      </c>
      <c r="AT252" s="7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BA252" s="7">
        <f ca="1"/>
      </c>
      <c r="BB252">
        <f ca="1"/>
      </c>
      <c r="BC252">
        <f ca="1"/>
      </c>
      <c r="BD252">
        <f ca="1"/>
      </c>
      <c r="BE252">
        <f ca="1"/>
      </c>
    </row>
    <row r="253" spans="31:57" x14ac:dyDescent="0.55000000000000004">
      <c r="AE253" s="7">
        <f ca="1"/>
      </c>
      <c r="AF253">
        <f ca="1"/>
      </c>
      <c r="AG253">
        <f ca="1"/>
      </c>
      <c r="AH253">
        <f ca="1"/>
      </c>
      <c r="AI253">
        <f ca="1"/>
      </c>
      <c r="AJ253">
        <f ca="1"/>
      </c>
      <c r="AK253">
        <f ca="1"/>
      </c>
      <c r="AL253">
        <f ca="1"/>
      </c>
      <c r="AM253">
        <f ca="1"/>
      </c>
      <c r="AN253">
        <f ca="1"/>
      </c>
      <c r="AO253">
        <f ca="1"/>
      </c>
      <c r="AP253">
        <f ca="1"/>
      </c>
      <c r="AQ253">
        <f ca="1"/>
      </c>
      <c r="AR253">
        <f ca="1"/>
      </c>
      <c r="AT253" s="7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BA253" s="7">
        <f ca="1"/>
      </c>
      <c r="BB253">
        <f ca="1"/>
      </c>
      <c r="BC253">
        <f ca="1"/>
      </c>
      <c r="BD253">
        <f ca="1"/>
      </c>
      <c r="BE253">
        <f ca="1"/>
      </c>
    </row>
    <row r="254" spans="31:57" x14ac:dyDescent="0.55000000000000004">
      <c r="AE254" s="7">
        <f ca="1"/>
      </c>
      <c r="AF254">
        <f ca="1"/>
      </c>
      <c r="AG254">
        <f ca="1"/>
      </c>
      <c r="AH254">
        <f ca="1"/>
      </c>
      <c r="AI254">
        <f ca="1"/>
      </c>
      <c r="AJ254">
        <f ca="1"/>
      </c>
      <c r="AK254">
        <f ca="1"/>
      </c>
      <c r="AL254">
        <f ca="1"/>
      </c>
      <c r="AM254">
        <f ca="1"/>
      </c>
      <c r="AN254">
        <f ca="1"/>
      </c>
      <c r="AO254">
        <f ca="1"/>
      </c>
      <c r="AP254">
        <f ca="1"/>
      </c>
      <c r="AQ254">
        <f ca="1"/>
      </c>
      <c r="AR254">
        <f ca="1"/>
      </c>
      <c r="AT254" s="7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BA254" s="7">
        <f ca="1"/>
      </c>
      <c r="BB254">
        <f ca="1"/>
      </c>
      <c r="BC254">
        <f ca="1"/>
      </c>
      <c r="BD254">
        <f ca="1"/>
      </c>
      <c r="BE254">
        <f ca="1"/>
      </c>
    </row>
    <row r="255" spans="31:57" x14ac:dyDescent="0.55000000000000004">
      <c r="AE255" s="7">
        <f ca="1"/>
      </c>
      <c r="AF255">
        <f ca="1"/>
      </c>
      <c r="AG255">
        <f ca="1"/>
      </c>
      <c r="AH255">
        <f ca="1"/>
      </c>
      <c r="AI255">
        <f ca="1"/>
      </c>
      <c r="AJ255">
        <f ca="1"/>
      </c>
      <c r="AK255">
        <f ca="1"/>
      </c>
      <c r="AL255">
        <f ca="1"/>
      </c>
      <c r="AM255">
        <f ca="1"/>
      </c>
      <c r="AN255">
        <f ca="1"/>
      </c>
      <c r="AO255">
        <f ca="1"/>
      </c>
      <c r="AP255">
        <f ca="1"/>
      </c>
      <c r="AQ255">
        <f ca="1"/>
      </c>
      <c r="AR255">
        <f ca="1"/>
      </c>
      <c r="AT255" s="7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BA255" s="7">
        <f ca="1"/>
      </c>
      <c r="BB255">
        <f ca="1"/>
      </c>
      <c r="BC255">
        <f ca="1"/>
      </c>
      <c r="BD255">
        <f ca="1"/>
      </c>
      <c r="BE255">
        <f ca="1"/>
      </c>
    </row>
    <row r="256" spans="31:57" x14ac:dyDescent="0.55000000000000004">
      <c r="AE256" s="7">
        <f ca="1"/>
      </c>
      <c r="AF256">
        <f ca="1"/>
      </c>
      <c r="AG256">
        <f ca="1"/>
      </c>
      <c r="AH256">
        <f ca="1"/>
      </c>
      <c r="AI256">
        <f ca="1"/>
      </c>
      <c r="AJ256">
        <f ca="1"/>
      </c>
      <c r="AK256">
        <f ca="1"/>
      </c>
      <c r="AL256">
        <f ca="1"/>
      </c>
      <c r="AM256">
        <f ca="1"/>
      </c>
      <c r="AN256">
        <f ca="1"/>
      </c>
      <c r="AO256">
        <f ca="1"/>
      </c>
      <c r="AP256">
        <f ca="1"/>
      </c>
      <c r="AQ256">
        <f ca="1"/>
      </c>
      <c r="AR256">
        <f ca="1"/>
      </c>
      <c r="AT256" s="7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BA256" s="7">
        <f ca="1"/>
      </c>
      <c r="BB256">
        <f ca="1"/>
      </c>
      <c r="BC256">
        <f ca="1"/>
      </c>
      <c r="BD256">
        <f ca="1"/>
      </c>
      <c r="BE256">
        <f ca="1"/>
      </c>
    </row>
    <row r="257" spans="31:57" x14ac:dyDescent="0.55000000000000004">
      <c r="AE257" s="7">
        <f ca="1"/>
      </c>
      <c r="AF257">
        <f ca="1"/>
      </c>
      <c r="AG257">
        <f ca="1"/>
      </c>
      <c r="AH257">
        <f ca="1"/>
      </c>
      <c r="AI257">
        <f ca="1"/>
      </c>
      <c r="AJ257">
        <f ca="1"/>
      </c>
      <c r="AK257">
        <f ca="1"/>
      </c>
      <c r="AL257">
        <f ca="1"/>
      </c>
      <c r="AM257">
        <f ca="1"/>
      </c>
      <c r="AN257">
        <f ca="1"/>
      </c>
      <c r="AO257">
        <f ca="1"/>
      </c>
      <c r="AP257">
        <f ca="1"/>
      </c>
      <c r="AQ257">
        <f ca="1"/>
      </c>
      <c r="AR257">
        <f ca="1"/>
      </c>
      <c r="AT257" s="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BA257" s="7">
        <f ca="1"/>
      </c>
      <c r="BB257">
        <f ca="1"/>
      </c>
      <c r="BC257">
        <f ca="1"/>
      </c>
      <c r="BD257">
        <f ca="1"/>
      </c>
      <c r="BE257">
        <f ca="1"/>
      </c>
    </row>
    <row r="258" spans="31:57" x14ac:dyDescent="0.55000000000000004">
      <c r="AE258" s="7">
        <f ca="1"/>
      </c>
      <c r="AF258">
        <f ca="1"/>
      </c>
      <c r="AG258">
        <f ca="1"/>
      </c>
      <c r="AH258">
        <f ca="1"/>
      </c>
      <c r="AI258">
        <f ca="1"/>
      </c>
      <c r="AJ258">
        <f ca="1"/>
      </c>
      <c r="AK258">
        <f ca="1"/>
      </c>
      <c r="AL258">
        <f ca="1"/>
      </c>
      <c r="AM258">
        <f ca="1"/>
      </c>
      <c r="AN258">
        <f ca="1"/>
      </c>
      <c r="AO258">
        <f ca="1"/>
      </c>
      <c r="AP258">
        <f ca="1"/>
      </c>
      <c r="AQ258">
        <f ca="1"/>
      </c>
      <c r="AR258">
        <f ca="1"/>
      </c>
      <c r="AT258" s="7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BA258" s="7">
        <f ca="1"/>
      </c>
      <c r="BB258">
        <f ca="1"/>
      </c>
      <c r="BC258">
        <f ca="1"/>
      </c>
      <c r="BD258">
        <f ca="1"/>
      </c>
      <c r="BE258">
        <f ca="1"/>
      </c>
    </row>
    <row r="259" spans="31:57" x14ac:dyDescent="0.55000000000000004">
      <c r="AE259" s="7">
        <f ca="1"/>
      </c>
      <c r="AF259">
        <f ca="1"/>
      </c>
      <c r="AG259">
        <f ca="1"/>
      </c>
      <c r="AH259">
        <f ca="1"/>
      </c>
      <c r="AI259">
        <f ca="1"/>
      </c>
      <c r="AJ259">
        <f ca="1"/>
      </c>
      <c r="AK259">
        <f ca="1"/>
      </c>
      <c r="AL259">
        <f ca="1"/>
      </c>
      <c r="AM259">
        <f ca="1"/>
      </c>
      <c r="AN259">
        <f ca="1"/>
      </c>
      <c r="AO259">
        <f ca="1"/>
      </c>
      <c r="AP259">
        <f ca="1"/>
      </c>
      <c r="AQ259">
        <f ca="1"/>
      </c>
      <c r="AR259">
        <f ca="1"/>
      </c>
      <c r="AT259" s="7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BA259" s="7">
        <f ca="1"/>
      </c>
      <c r="BB259">
        <f ca="1"/>
      </c>
      <c r="BC259">
        <f ca="1"/>
      </c>
      <c r="BD259">
        <f ca="1"/>
      </c>
      <c r="BE259">
        <f ca="1"/>
      </c>
    </row>
    <row r="260" spans="31:57" x14ac:dyDescent="0.55000000000000004">
      <c r="AE260" s="7">
        <f ca="1"/>
      </c>
      <c r="AF260">
        <f ca="1"/>
      </c>
      <c r="AG260">
        <f ca="1"/>
      </c>
      <c r="AH260">
        <f ca="1"/>
      </c>
      <c r="AI260">
        <f ca="1"/>
      </c>
      <c r="AJ260">
        <f ca="1"/>
      </c>
      <c r="AK260">
        <f ca="1"/>
      </c>
      <c r="AL260">
        <f ca="1"/>
      </c>
      <c r="AM260">
        <f ca="1"/>
      </c>
      <c r="AN260">
        <f ca="1"/>
      </c>
      <c r="AO260">
        <f ca="1"/>
      </c>
      <c r="AP260">
        <f ca="1"/>
      </c>
      <c r="AQ260">
        <f ca="1"/>
      </c>
      <c r="AR260">
        <f ca="1"/>
      </c>
      <c r="AT260" s="7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BA260" s="7">
        <f ca="1"/>
      </c>
      <c r="BB260">
        <f ca="1"/>
      </c>
      <c r="BC260">
        <f ca="1"/>
      </c>
      <c r="BD260">
        <f ca="1"/>
      </c>
      <c r="BE260">
        <f ca="1"/>
      </c>
    </row>
    <row r="261" spans="31:57" x14ac:dyDescent="0.55000000000000004">
      <c r="AE261" s="7">
        <f ca="1"/>
      </c>
      <c r="AF261">
        <f ca="1"/>
      </c>
      <c r="AG261">
        <f ca="1"/>
      </c>
      <c r="AH261">
        <f ca="1"/>
      </c>
      <c r="AI261">
        <f ca="1"/>
      </c>
      <c r="AJ261">
        <f ca="1"/>
      </c>
      <c r="AK261">
        <f ca="1"/>
      </c>
      <c r="AL261">
        <f ca="1"/>
      </c>
      <c r="AM261">
        <f ca="1"/>
      </c>
      <c r="AN261">
        <f ca="1"/>
      </c>
      <c r="AO261">
        <f ca="1"/>
      </c>
      <c r="AP261">
        <f ca="1"/>
      </c>
      <c r="AQ261">
        <f ca="1"/>
      </c>
      <c r="AR261">
        <f ca="1"/>
      </c>
      <c r="AT261" s="7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BA261" s="7">
        <f ca="1"/>
      </c>
      <c r="BB261">
        <f ca="1"/>
      </c>
      <c r="BC261">
        <f ca="1"/>
      </c>
      <c r="BD261">
        <f ca="1"/>
      </c>
      <c r="BE261">
        <f ca="1"/>
      </c>
    </row>
    <row r="262" spans="31:57" x14ac:dyDescent="0.55000000000000004">
      <c r="AE262" s="7">
        <f ca="1"/>
      </c>
      <c r="AF262">
        <f ca="1"/>
      </c>
      <c r="AG262">
        <f ca="1"/>
      </c>
      <c r="AH262">
        <f ca="1"/>
      </c>
      <c r="AI262">
        <f ca="1"/>
      </c>
      <c r="AJ262">
        <f ca="1"/>
      </c>
      <c r="AK262">
        <f ca="1"/>
      </c>
      <c r="AL262">
        <f ca="1"/>
      </c>
      <c r="AM262">
        <f ca="1"/>
      </c>
      <c r="AN262">
        <f ca="1"/>
      </c>
      <c r="AO262">
        <f ca="1"/>
      </c>
      <c r="AP262">
        <f ca="1"/>
      </c>
      <c r="AQ262">
        <f ca="1"/>
      </c>
      <c r="AR262">
        <f ca="1"/>
      </c>
      <c r="AT262" s="7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BA262" s="7">
        <f ca="1"/>
      </c>
      <c r="BB262">
        <f ca="1"/>
      </c>
      <c r="BC262">
        <f ca="1"/>
      </c>
      <c r="BD262">
        <f ca="1"/>
      </c>
      <c r="BE262">
        <f ca="1"/>
      </c>
    </row>
    <row r="263" spans="31:57" x14ac:dyDescent="0.55000000000000004">
      <c r="AE263" s="7">
        <f ca="1"/>
      </c>
      <c r="AF263">
        <f ca="1"/>
      </c>
      <c r="AG263">
        <f ca="1"/>
      </c>
      <c r="AH263">
        <f ca="1"/>
      </c>
      <c r="AI263">
        <f ca="1"/>
      </c>
      <c r="AJ263">
        <f ca="1"/>
      </c>
      <c r="AK263">
        <f ca="1"/>
      </c>
      <c r="AL263">
        <f ca="1"/>
      </c>
      <c r="AM263">
        <f ca="1"/>
      </c>
      <c r="AN263">
        <f ca="1"/>
      </c>
      <c r="AO263">
        <f ca="1"/>
      </c>
      <c r="AP263">
        <f ca="1"/>
      </c>
      <c r="AQ263">
        <f ca="1"/>
      </c>
      <c r="AR263">
        <f ca="1"/>
      </c>
      <c r="AT263" s="7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BA263" s="7">
        <f ca="1"/>
      </c>
      <c r="BB263">
        <f ca="1"/>
      </c>
      <c r="BC263">
        <f ca="1"/>
      </c>
      <c r="BD263">
        <f ca="1"/>
      </c>
      <c r="BE263">
        <f ca="1"/>
      </c>
    </row>
    <row r="264" spans="31:57" x14ac:dyDescent="0.55000000000000004">
      <c r="AE264" s="7">
        <f ca="1"/>
      </c>
      <c r="AF264">
        <f ca="1"/>
      </c>
      <c r="AG264">
        <f ca="1"/>
      </c>
      <c r="AH264">
        <f ca="1"/>
      </c>
      <c r="AI264">
        <f ca="1"/>
      </c>
      <c r="AJ264">
        <f ca="1"/>
      </c>
      <c r="AK264">
        <f ca="1"/>
      </c>
      <c r="AL264">
        <f ca="1"/>
      </c>
      <c r="AM264">
        <f ca="1"/>
      </c>
      <c r="AN264">
        <f ca="1"/>
      </c>
      <c r="AO264">
        <f ca="1"/>
      </c>
      <c r="AP264">
        <f ca="1"/>
      </c>
      <c r="AQ264">
        <f ca="1"/>
      </c>
      <c r="AR264">
        <f ca="1"/>
      </c>
      <c r="AT264" s="7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BA264" s="7">
        <f ca="1"/>
      </c>
      <c r="BB264">
        <f ca="1"/>
      </c>
      <c r="BC264">
        <f ca="1"/>
      </c>
      <c r="BD264">
        <f ca="1"/>
      </c>
      <c r="BE264">
        <f ca="1"/>
      </c>
    </row>
    <row r="265" spans="31:57" x14ac:dyDescent="0.55000000000000004">
      <c r="AE265" s="7">
        <f ca="1"/>
      </c>
      <c r="AF265">
        <f ca="1"/>
      </c>
      <c r="AG265">
        <f ca="1"/>
      </c>
      <c r="AH265">
        <f ca="1"/>
      </c>
      <c r="AI265">
        <f ca="1"/>
      </c>
      <c r="AJ265">
        <f ca="1"/>
      </c>
      <c r="AK265">
        <f ca="1"/>
      </c>
      <c r="AL265">
        <f ca="1"/>
      </c>
      <c r="AM265">
        <f ca="1"/>
      </c>
      <c r="AN265">
        <f ca="1"/>
      </c>
      <c r="AO265">
        <f ca="1"/>
      </c>
      <c r="AP265">
        <f ca="1"/>
      </c>
      <c r="AQ265">
        <f ca="1"/>
      </c>
      <c r="AR265">
        <f ca="1"/>
      </c>
      <c r="AT265" s="7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BA265" s="7">
        <f ca="1"/>
      </c>
      <c r="BB265">
        <f ca="1"/>
      </c>
      <c r="BC265">
        <f ca="1"/>
      </c>
      <c r="BD265">
        <f ca="1"/>
      </c>
      <c r="BE265">
        <f ca="1"/>
      </c>
    </row>
    <row r="266" spans="31:57" x14ac:dyDescent="0.55000000000000004">
      <c r="AE266" s="7">
        <f ca="1"/>
      </c>
      <c r="AF266">
        <f ca="1"/>
      </c>
      <c r="AG266">
        <f ca="1"/>
      </c>
      <c r="AH266">
        <f ca="1"/>
      </c>
      <c r="AI266">
        <f ca="1"/>
      </c>
      <c r="AJ266">
        <f ca="1"/>
      </c>
      <c r="AK266">
        <f ca="1"/>
      </c>
      <c r="AL266">
        <f ca="1"/>
      </c>
      <c r="AM266">
        <f ca="1"/>
      </c>
      <c r="AN266">
        <f ca="1"/>
      </c>
      <c r="AO266">
        <f ca="1"/>
      </c>
      <c r="AP266">
        <f ca="1"/>
      </c>
      <c r="AQ266">
        <f ca="1"/>
      </c>
      <c r="AR266">
        <f ca="1"/>
      </c>
      <c r="AT266" s="7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BA266" s="7">
        <f ca="1"/>
      </c>
      <c r="BB266">
        <f ca="1"/>
      </c>
      <c r="BC266">
        <f ca="1"/>
      </c>
      <c r="BD266">
        <f ca="1"/>
      </c>
      <c r="BE266">
        <f ca="1"/>
      </c>
    </row>
    <row r="267" spans="31:57" x14ac:dyDescent="0.55000000000000004">
      <c r="AE267" s="7">
        <f ca="1"/>
      </c>
      <c r="AF267">
        <f ca="1"/>
      </c>
      <c r="AG267">
        <f ca="1"/>
      </c>
      <c r="AH267">
        <f ca="1"/>
      </c>
      <c r="AI267">
        <f ca="1"/>
      </c>
      <c r="AJ267">
        <f ca="1"/>
      </c>
      <c r="AK267">
        <f ca="1"/>
      </c>
      <c r="AL267">
        <f ca="1"/>
      </c>
      <c r="AM267">
        <f ca="1"/>
      </c>
      <c r="AN267">
        <f ca="1"/>
      </c>
      <c r="AO267">
        <f ca="1"/>
      </c>
      <c r="AP267">
        <f ca="1"/>
      </c>
      <c r="AQ267">
        <f ca="1"/>
      </c>
      <c r="AR267">
        <f ca="1"/>
      </c>
      <c r="AT267" s="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BA267" s="7">
        <f ca="1"/>
      </c>
      <c r="BB267">
        <f ca="1"/>
      </c>
      <c r="BC267">
        <f ca="1"/>
      </c>
      <c r="BD267">
        <f ca="1"/>
      </c>
      <c r="BE267">
        <f ca="1"/>
      </c>
    </row>
    <row r="268" spans="31:57" x14ac:dyDescent="0.55000000000000004">
      <c r="AE268" s="7">
        <f ca="1"/>
      </c>
      <c r="AF268">
        <f ca="1"/>
      </c>
      <c r="AG268">
        <f ca="1"/>
      </c>
      <c r="AH268">
        <f ca="1"/>
      </c>
      <c r="AI268">
        <f ca="1"/>
      </c>
      <c r="AJ268">
        <f ca="1"/>
      </c>
      <c r="AK268">
        <f ca="1"/>
      </c>
      <c r="AL268">
        <f ca="1"/>
      </c>
      <c r="AM268">
        <f ca="1"/>
      </c>
      <c r="AN268">
        <f ca="1"/>
      </c>
      <c r="AO268">
        <f ca="1"/>
      </c>
      <c r="AP268">
        <f ca="1"/>
      </c>
      <c r="AQ268">
        <f ca="1"/>
      </c>
      <c r="AR268">
        <f ca="1"/>
      </c>
      <c r="AT268" s="7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BA268" s="7">
        <f ca="1"/>
      </c>
      <c r="BB268">
        <f ca="1"/>
      </c>
      <c r="BC268">
        <f ca="1"/>
      </c>
      <c r="BD268">
        <f ca="1"/>
      </c>
      <c r="BE268">
        <f ca="1"/>
      </c>
    </row>
    <row r="269" spans="31:57" x14ac:dyDescent="0.55000000000000004">
      <c r="AE269" s="7">
        <f ca="1"/>
      </c>
      <c r="AF269">
        <f ca="1"/>
      </c>
      <c r="AG269">
        <f ca="1"/>
      </c>
      <c r="AH269">
        <f ca="1"/>
      </c>
      <c r="AI269">
        <f ca="1"/>
      </c>
      <c r="AJ269">
        <f ca="1"/>
      </c>
      <c r="AK269">
        <f ca="1"/>
      </c>
      <c r="AL269">
        <f ca="1"/>
      </c>
      <c r="AM269">
        <f ca="1"/>
      </c>
      <c r="AN269">
        <f ca="1"/>
      </c>
      <c r="AO269">
        <f ca="1"/>
      </c>
      <c r="AP269">
        <f ca="1"/>
      </c>
      <c r="AQ269">
        <f ca="1"/>
      </c>
      <c r="AR269">
        <f ca="1"/>
      </c>
      <c r="AT269" s="7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BA269" s="7">
        <f ca="1"/>
      </c>
      <c r="BB269">
        <f ca="1"/>
      </c>
      <c r="BC269">
        <f ca="1"/>
      </c>
      <c r="BD269">
        <f ca="1"/>
      </c>
      <c r="BE269">
        <f ca="1"/>
      </c>
    </row>
    <row r="270" spans="31:57" x14ac:dyDescent="0.55000000000000004">
      <c r="AE270" s="7">
        <f ca="1"/>
      </c>
      <c r="AF270">
        <f ca="1"/>
      </c>
      <c r="AG270">
        <f ca="1"/>
      </c>
      <c r="AH270">
        <f ca="1"/>
      </c>
      <c r="AI270">
        <f ca="1"/>
      </c>
      <c r="AJ270">
        <f ca="1"/>
      </c>
      <c r="AK270">
        <f ca="1"/>
      </c>
      <c r="AL270">
        <f ca="1"/>
      </c>
      <c r="AM270">
        <f ca="1"/>
      </c>
      <c r="AN270">
        <f ca="1"/>
      </c>
      <c r="AO270">
        <f ca="1"/>
      </c>
      <c r="AP270">
        <f ca="1"/>
      </c>
      <c r="AQ270">
        <f ca="1"/>
      </c>
      <c r="AR270">
        <f ca="1"/>
      </c>
      <c r="AT270" s="7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BA270" s="7">
        <f ca="1"/>
      </c>
      <c r="BB270">
        <f ca="1"/>
      </c>
      <c r="BC270">
        <f ca="1"/>
      </c>
      <c r="BD270">
        <f ca="1"/>
      </c>
      <c r="BE270">
        <f ca="1"/>
      </c>
    </row>
    <row r="271" spans="31:57" x14ac:dyDescent="0.55000000000000004">
      <c r="AE271" s="7">
        <f ca="1"/>
      </c>
      <c r="AF271">
        <f ca="1"/>
      </c>
      <c r="AG271">
        <f ca="1"/>
      </c>
      <c r="AH271">
        <f ca="1"/>
      </c>
      <c r="AI271">
        <f ca="1"/>
      </c>
      <c r="AJ271">
        <f ca="1"/>
      </c>
      <c r="AK271">
        <f ca="1"/>
      </c>
      <c r="AL271">
        <f ca="1"/>
      </c>
      <c r="AM271">
        <f ca="1"/>
      </c>
      <c r="AN271">
        <f ca="1"/>
      </c>
      <c r="AO271">
        <f ca="1"/>
      </c>
      <c r="AP271">
        <f ca="1"/>
      </c>
      <c r="AQ271">
        <f ca="1"/>
      </c>
      <c r="AR271">
        <f ca="1"/>
      </c>
      <c r="AT271" s="7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BA271" s="7">
        <f ca="1"/>
      </c>
      <c r="BB271">
        <f ca="1"/>
      </c>
      <c r="BC271">
        <f ca="1"/>
      </c>
      <c r="BD271">
        <f ca="1"/>
      </c>
      <c r="BE271">
        <f ca="1"/>
      </c>
    </row>
    <row r="272" spans="31:57" x14ac:dyDescent="0.55000000000000004">
      <c r="AE272" s="7">
        <f ca="1"/>
      </c>
      <c r="AF272">
        <f ca="1"/>
      </c>
      <c r="AG272">
        <f ca="1"/>
      </c>
      <c r="AH272">
        <f ca="1"/>
      </c>
      <c r="AI272">
        <f ca="1"/>
      </c>
      <c r="AJ272">
        <f ca="1"/>
      </c>
      <c r="AK272">
        <f ca="1"/>
      </c>
      <c r="AL272">
        <f ca="1"/>
      </c>
      <c r="AM272">
        <f ca="1"/>
      </c>
      <c r="AN272">
        <f ca="1"/>
      </c>
      <c r="AO272">
        <f ca="1"/>
      </c>
      <c r="AP272">
        <f ca="1"/>
      </c>
      <c r="AQ272">
        <f ca="1"/>
      </c>
      <c r="AR272">
        <f ca="1"/>
      </c>
      <c r="AT272" s="7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BA272" s="7">
        <f ca="1"/>
      </c>
      <c r="BB272">
        <f ca="1"/>
      </c>
      <c r="BC272">
        <f ca="1"/>
      </c>
      <c r="BD272">
        <f ca="1"/>
      </c>
      <c r="BE272">
        <f ca="1"/>
      </c>
    </row>
    <row r="273" spans="31:57" x14ac:dyDescent="0.55000000000000004">
      <c r="AE273" s="7">
        <f ca="1"/>
      </c>
      <c r="AF273">
        <f ca="1"/>
      </c>
      <c r="AG273">
        <f ca="1"/>
      </c>
      <c r="AH273">
        <f ca="1"/>
      </c>
      <c r="AI273">
        <f ca="1"/>
      </c>
      <c r="AJ273">
        <f ca="1"/>
      </c>
      <c r="AK273">
        <f ca="1"/>
      </c>
      <c r="AL273">
        <f ca="1"/>
      </c>
      <c r="AM273">
        <f ca="1"/>
      </c>
      <c r="AN273">
        <f ca="1"/>
      </c>
      <c r="AO273">
        <f ca="1"/>
      </c>
      <c r="AP273">
        <f ca="1"/>
      </c>
      <c r="AQ273">
        <f ca="1"/>
      </c>
      <c r="AR273">
        <f ca="1"/>
      </c>
      <c r="AT273" s="7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BA273" s="7">
        <f ca="1"/>
      </c>
      <c r="BB273">
        <f ca="1"/>
      </c>
      <c r="BC273">
        <f ca="1"/>
      </c>
      <c r="BD273">
        <f ca="1"/>
      </c>
      <c r="BE273">
        <f ca="1"/>
      </c>
    </row>
    <row r="274" spans="31:57" x14ac:dyDescent="0.55000000000000004">
      <c r="AE274" s="7">
        <f ca="1"/>
      </c>
      <c r="AF274">
        <f ca="1"/>
      </c>
      <c r="AG274">
        <f ca="1"/>
      </c>
      <c r="AH274">
        <f ca="1"/>
      </c>
      <c r="AI274">
        <f ca="1"/>
      </c>
      <c r="AJ274">
        <f ca="1"/>
      </c>
      <c r="AK274">
        <f ca="1"/>
      </c>
      <c r="AL274">
        <f ca="1"/>
      </c>
      <c r="AM274">
        <f ca="1"/>
      </c>
      <c r="AN274">
        <f ca="1"/>
      </c>
      <c r="AO274">
        <f ca="1"/>
      </c>
      <c r="AP274">
        <f ca="1"/>
      </c>
      <c r="AQ274">
        <f ca="1"/>
      </c>
      <c r="AR274">
        <f ca="1"/>
      </c>
      <c r="AT274" s="7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BA274" s="7">
        <f ca="1"/>
      </c>
      <c r="BB274">
        <f ca="1"/>
      </c>
      <c r="BC274">
        <f ca="1"/>
      </c>
      <c r="BD274">
        <f ca="1"/>
      </c>
      <c r="BE274">
        <f ca="1"/>
      </c>
    </row>
    <row r="275" spans="31:57" x14ac:dyDescent="0.55000000000000004">
      <c r="AE275" s="7">
        <f ca="1"/>
      </c>
      <c r="AF275">
        <f ca="1"/>
      </c>
      <c r="AG275">
        <f ca="1"/>
      </c>
      <c r="AH275">
        <f ca="1"/>
      </c>
      <c r="AI275">
        <f ca="1"/>
      </c>
      <c r="AJ275">
        <f ca="1"/>
      </c>
      <c r="AK275">
        <f ca="1"/>
      </c>
      <c r="AL275">
        <f ca="1"/>
      </c>
      <c r="AM275">
        <f ca="1"/>
      </c>
      <c r="AN275">
        <f ca="1"/>
      </c>
      <c r="AO275">
        <f ca="1"/>
      </c>
      <c r="AP275">
        <f ca="1"/>
      </c>
      <c r="AQ275">
        <f ca="1"/>
      </c>
      <c r="AR275">
        <f ca="1"/>
      </c>
      <c r="AT275" s="7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BA275" s="7">
        <f ca="1"/>
      </c>
      <c r="BB275">
        <f ca="1"/>
      </c>
      <c r="BC275">
        <f ca="1"/>
      </c>
      <c r="BD275">
        <f ca="1"/>
      </c>
      <c r="BE275">
        <f ca="1"/>
      </c>
    </row>
    <row r="276" spans="31:57" x14ac:dyDescent="0.55000000000000004">
      <c r="AE276" s="7">
        <f ca="1"/>
      </c>
      <c r="AF276">
        <f ca="1"/>
      </c>
      <c r="AG276">
        <f ca="1"/>
      </c>
      <c r="AH276">
        <f ca="1"/>
      </c>
      <c r="AI276">
        <f ca="1"/>
      </c>
      <c r="AJ276">
        <f ca="1"/>
      </c>
      <c r="AK276">
        <f ca="1"/>
      </c>
      <c r="AL276">
        <f ca="1"/>
      </c>
      <c r="AM276">
        <f ca="1"/>
      </c>
      <c r="AN276">
        <f ca="1"/>
      </c>
      <c r="AO276">
        <f ca="1"/>
      </c>
      <c r="AP276">
        <f ca="1"/>
      </c>
      <c r="AQ276">
        <f ca="1"/>
      </c>
      <c r="AR276">
        <f ca="1"/>
      </c>
      <c r="AT276" s="7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BA276" s="7">
        <f ca="1"/>
      </c>
      <c r="BB276">
        <f ca="1"/>
      </c>
      <c r="BC276">
        <f ca="1"/>
      </c>
      <c r="BD276">
        <f ca="1"/>
      </c>
      <c r="BE276">
        <f ca="1"/>
      </c>
    </row>
    <row r="277" spans="31:57" x14ac:dyDescent="0.55000000000000004">
      <c r="AE277" s="7">
        <f ca="1"/>
      </c>
      <c r="AF277">
        <f ca="1"/>
      </c>
      <c r="AG277">
        <f ca="1"/>
      </c>
      <c r="AH277">
        <f ca="1"/>
      </c>
      <c r="AI277">
        <f ca="1"/>
      </c>
      <c r="AJ277">
        <f ca="1"/>
      </c>
      <c r="AK277">
        <f ca="1"/>
      </c>
      <c r="AL277">
        <f ca="1"/>
      </c>
      <c r="AM277">
        <f ca="1"/>
      </c>
      <c r="AN277">
        <f ca="1"/>
      </c>
      <c r="AO277">
        <f ca="1"/>
      </c>
      <c r="AP277">
        <f ca="1"/>
      </c>
      <c r="AQ277">
        <f ca="1"/>
      </c>
      <c r="AR277">
        <f ca="1"/>
      </c>
      <c r="AT277" s="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BA277" s="7">
        <f ca="1"/>
      </c>
      <c r="BB277">
        <f ca="1"/>
      </c>
      <c r="BC277">
        <f ca="1"/>
      </c>
      <c r="BD277">
        <f ca="1"/>
      </c>
      <c r="BE277">
        <f ca="1"/>
      </c>
    </row>
    <row r="278" spans="31:57" x14ac:dyDescent="0.55000000000000004">
      <c r="AE278" s="7">
        <f ca="1"/>
      </c>
      <c r="AF278">
        <f ca="1"/>
      </c>
      <c r="AG278">
        <f ca="1"/>
      </c>
      <c r="AH278">
        <f ca="1"/>
      </c>
      <c r="AI278">
        <f ca="1"/>
      </c>
      <c r="AJ278">
        <f ca="1"/>
      </c>
      <c r="AK278">
        <f ca="1"/>
      </c>
      <c r="AL278">
        <f ca="1"/>
      </c>
      <c r="AM278">
        <f ca="1"/>
      </c>
      <c r="AN278">
        <f ca="1"/>
      </c>
      <c r="AO278">
        <f ca="1"/>
      </c>
      <c r="AP278">
        <f ca="1"/>
      </c>
      <c r="AQ278">
        <f ca="1"/>
      </c>
      <c r="AR278">
        <f ca="1"/>
      </c>
      <c r="AT278" s="7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BA278" s="7">
        <f ca="1"/>
      </c>
      <c r="BB278">
        <f ca="1"/>
      </c>
      <c r="BC278">
        <f ca="1"/>
      </c>
      <c r="BD278">
        <f ca="1"/>
      </c>
      <c r="BE278">
        <f ca="1"/>
      </c>
    </row>
    <row r="279" spans="31:57" x14ac:dyDescent="0.55000000000000004">
      <c r="AE279" s="7">
        <f ca="1"/>
      </c>
      <c r="AF279">
        <f ca="1"/>
      </c>
      <c r="AG279">
        <f ca="1"/>
      </c>
      <c r="AH279">
        <f ca="1"/>
      </c>
      <c r="AI279">
        <f ca="1"/>
      </c>
      <c r="AJ279">
        <f ca="1"/>
      </c>
      <c r="AK279">
        <f ca="1"/>
      </c>
      <c r="AL279">
        <f ca="1"/>
      </c>
      <c r="AM279">
        <f ca="1"/>
      </c>
      <c r="AN279">
        <f ca="1"/>
      </c>
      <c r="AO279">
        <f ca="1"/>
      </c>
      <c r="AP279">
        <f ca="1"/>
      </c>
      <c r="AQ279">
        <f ca="1"/>
      </c>
      <c r="AR279">
        <f ca="1"/>
      </c>
      <c r="AT279" s="7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BA279" s="7">
        <f ca="1"/>
      </c>
      <c r="BB279">
        <f ca="1"/>
      </c>
      <c r="BC279">
        <f ca="1"/>
      </c>
      <c r="BD279">
        <f ca="1"/>
      </c>
      <c r="BE279">
        <f ca="1"/>
      </c>
    </row>
    <row r="280" spans="31:57" x14ac:dyDescent="0.55000000000000004">
      <c r="AE280" s="7">
        <f ca="1"/>
      </c>
      <c r="AF280">
        <f ca="1"/>
      </c>
      <c r="AG280">
        <f ca="1"/>
      </c>
      <c r="AH280">
        <f ca="1"/>
      </c>
      <c r="AI280">
        <f ca="1"/>
      </c>
      <c r="AJ280">
        <f ca="1"/>
      </c>
      <c r="AK280">
        <f ca="1"/>
      </c>
      <c r="AL280">
        <f ca="1"/>
      </c>
      <c r="AM280">
        <f ca="1"/>
      </c>
      <c r="AN280">
        <f ca="1"/>
      </c>
      <c r="AO280">
        <f ca="1"/>
      </c>
      <c r="AP280">
        <f ca="1"/>
      </c>
      <c r="AQ280">
        <f ca="1"/>
      </c>
      <c r="AR280">
        <f ca="1"/>
      </c>
      <c r="AT280" s="7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BA280" s="7">
        <f ca="1"/>
      </c>
      <c r="BB280">
        <f ca="1"/>
      </c>
      <c r="BC280">
        <f ca="1"/>
      </c>
      <c r="BD280">
        <f ca="1"/>
      </c>
      <c r="BE280">
        <f ca="1"/>
      </c>
    </row>
    <row r="281" spans="31:57" x14ac:dyDescent="0.55000000000000004">
      <c r="AE281" s="7">
        <f ca="1"/>
      </c>
      <c r="AF281">
        <f ca="1"/>
      </c>
      <c r="AG281">
        <f ca="1"/>
      </c>
      <c r="AH281">
        <f ca="1"/>
      </c>
      <c r="AI281">
        <f ca="1"/>
      </c>
      <c r="AJ281">
        <f ca="1"/>
      </c>
      <c r="AK281">
        <f ca="1"/>
      </c>
      <c r="AL281">
        <f ca="1"/>
      </c>
      <c r="AM281">
        <f ca="1"/>
      </c>
      <c r="AN281">
        <f ca="1"/>
      </c>
      <c r="AO281">
        <f ca="1"/>
      </c>
      <c r="AP281">
        <f ca="1"/>
      </c>
      <c r="AQ281">
        <f ca="1"/>
      </c>
      <c r="AR281">
        <f ca="1"/>
      </c>
      <c r="AT281" s="7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BA281" s="7">
        <f ca="1"/>
      </c>
      <c r="BB281">
        <f ca="1"/>
      </c>
      <c r="BC281">
        <f ca="1"/>
      </c>
      <c r="BD281">
        <f ca="1"/>
      </c>
      <c r="BE281">
        <f ca="1"/>
      </c>
    </row>
    <row r="282" spans="31:57" x14ac:dyDescent="0.55000000000000004">
      <c r="AE282" s="7">
        <f ca="1"/>
      </c>
      <c r="AF282">
        <f ca="1"/>
      </c>
      <c r="AG282">
        <f ca="1"/>
      </c>
      <c r="AH282">
        <f ca="1"/>
      </c>
      <c r="AI282">
        <f ca="1"/>
      </c>
      <c r="AJ282">
        <f ca="1"/>
      </c>
      <c r="AK282">
        <f ca="1"/>
      </c>
      <c r="AL282">
        <f ca="1"/>
      </c>
      <c r="AM282">
        <f ca="1"/>
      </c>
      <c r="AN282">
        <f ca="1"/>
      </c>
      <c r="AO282">
        <f ca="1"/>
      </c>
      <c r="AP282">
        <f ca="1"/>
      </c>
      <c r="AQ282">
        <f ca="1"/>
      </c>
      <c r="AR282">
        <f ca="1"/>
      </c>
      <c r="AT282" s="7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BA282" s="7">
        <f ca="1"/>
      </c>
      <c r="BB282">
        <f ca="1"/>
      </c>
      <c r="BC282">
        <f ca="1"/>
      </c>
      <c r="BD282">
        <f ca="1"/>
      </c>
      <c r="BE282">
        <f ca="1"/>
      </c>
    </row>
    <row r="283" spans="31:57" x14ac:dyDescent="0.55000000000000004">
      <c r="AE283" s="7">
        <f ca="1"/>
      </c>
      <c r="AF283">
        <f ca="1"/>
      </c>
      <c r="AG283">
        <f ca="1"/>
      </c>
      <c r="AH283">
        <f ca="1"/>
      </c>
      <c r="AI283">
        <f ca="1"/>
      </c>
      <c r="AJ283">
        <f ca="1"/>
      </c>
      <c r="AK283">
        <f ca="1"/>
      </c>
      <c r="AL283">
        <f ca="1"/>
      </c>
      <c r="AM283">
        <f ca="1"/>
      </c>
      <c r="AN283">
        <f ca="1"/>
      </c>
      <c r="AO283">
        <f ca="1"/>
      </c>
      <c r="AP283">
        <f ca="1"/>
      </c>
      <c r="AQ283">
        <f ca="1"/>
      </c>
      <c r="AR283">
        <f ca="1"/>
      </c>
      <c r="AT283" s="7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BA283" s="7">
        <f ca="1"/>
      </c>
      <c r="BB283">
        <f ca="1"/>
      </c>
      <c r="BC283">
        <f ca="1"/>
      </c>
      <c r="BD283">
        <f ca="1"/>
      </c>
      <c r="BE283">
        <f ca="1"/>
      </c>
    </row>
    <row r="284" spans="31:57" x14ac:dyDescent="0.55000000000000004">
      <c r="AE284" s="7">
        <f ca="1"/>
      </c>
      <c r="AF284">
        <f ca="1"/>
      </c>
      <c r="AG284">
        <f ca="1"/>
      </c>
      <c r="AH284">
        <f ca="1"/>
      </c>
      <c r="AI284">
        <f ca="1"/>
      </c>
      <c r="AJ284">
        <f ca="1"/>
      </c>
      <c r="AK284">
        <f ca="1"/>
      </c>
      <c r="AL284">
        <f ca="1"/>
      </c>
      <c r="AM284">
        <f ca="1"/>
      </c>
      <c r="AN284">
        <f ca="1"/>
      </c>
      <c r="AO284">
        <f ca="1"/>
      </c>
      <c r="AP284">
        <f ca="1"/>
      </c>
      <c r="AQ284">
        <f ca="1"/>
      </c>
      <c r="AR284">
        <f ca="1"/>
      </c>
      <c r="AT284" s="7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BA284" s="7">
        <f ca="1"/>
      </c>
      <c r="BB284">
        <f ca="1"/>
      </c>
      <c r="BC284">
        <f ca="1"/>
      </c>
      <c r="BD284">
        <f ca="1"/>
      </c>
      <c r="BE284">
        <f ca="1"/>
      </c>
    </row>
    <row r="285" spans="31:57" x14ac:dyDescent="0.55000000000000004">
      <c r="AE285" s="7">
        <f ca="1"/>
      </c>
      <c r="AF285">
        <f ca="1"/>
      </c>
      <c r="AG285">
        <f ca="1"/>
      </c>
      <c r="AH285">
        <f ca="1"/>
      </c>
      <c r="AI285">
        <f ca="1"/>
      </c>
      <c r="AJ285">
        <f ca="1"/>
      </c>
      <c r="AK285">
        <f ca="1"/>
      </c>
      <c r="AL285">
        <f ca="1"/>
      </c>
      <c r="AM285">
        <f ca="1"/>
      </c>
      <c r="AN285">
        <f ca="1"/>
      </c>
      <c r="AO285">
        <f ca="1"/>
      </c>
      <c r="AP285">
        <f ca="1"/>
      </c>
      <c r="AQ285">
        <f ca="1"/>
      </c>
      <c r="AR285">
        <f ca="1"/>
      </c>
      <c r="AT285" s="7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BA285" s="7">
        <f ca="1"/>
      </c>
      <c r="BB285">
        <f ca="1"/>
      </c>
      <c r="BC285">
        <f ca="1"/>
      </c>
      <c r="BD285">
        <f ca="1"/>
      </c>
      <c r="BE285">
        <f ca="1"/>
      </c>
    </row>
    <row r="286" spans="31:57" x14ac:dyDescent="0.55000000000000004">
      <c r="AE286" s="7">
        <f ca="1"/>
      </c>
      <c r="AF286">
        <f ca="1"/>
      </c>
      <c r="AG286">
        <f ca="1"/>
      </c>
      <c r="AH286">
        <f ca="1"/>
      </c>
      <c r="AI286">
        <f ca="1"/>
      </c>
      <c r="AJ286">
        <f ca="1"/>
      </c>
      <c r="AK286">
        <f ca="1"/>
      </c>
      <c r="AL286">
        <f ca="1"/>
      </c>
      <c r="AM286">
        <f ca="1"/>
      </c>
      <c r="AN286">
        <f ca="1"/>
      </c>
      <c r="AO286">
        <f ca="1"/>
      </c>
      <c r="AP286">
        <f ca="1"/>
      </c>
      <c r="AQ286">
        <f ca="1"/>
      </c>
      <c r="AR286">
        <f ca="1"/>
      </c>
      <c r="AT286" s="7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BA286" s="7">
        <f ca="1"/>
      </c>
      <c r="BB286">
        <f ca="1"/>
      </c>
      <c r="BC286">
        <f ca="1"/>
      </c>
      <c r="BD286">
        <f ca="1"/>
      </c>
      <c r="BE286">
        <f ca="1"/>
      </c>
    </row>
    <row r="287" spans="31:57" x14ac:dyDescent="0.55000000000000004">
      <c r="AE287" s="7">
        <f ca="1"/>
      </c>
      <c r="AF287">
        <f ca="1"/>
      </c>
      <c r="AG287">
        <f ca="1"/>
      </c>
      <c r="AH287">
        <f ca="1"/>
      </c>
      <c r="AI287">
        <f ca="1"/>
      </c>
      <c r="AJ287">
        <f ca="1"/>
      </c>
      <c r="AK287">
        <f ca="1"/>
      </c>
      <c r="AL287">
        <f ca="1"/>
      </c>
      <c r="AM287">
        <f ca="1"/>
      </c>
      <c r="AN287">
        <f ca="1"/>
      </c>
      <c r="AO287">
        <f ca="1"/>
      </c>
      <c r="AP287">
        <f ca="1"/>
      </c>
      <c r="AQ287">
        <f ca="1"/>
      </c>
      <c r="AR287">
        <f ca="1"/>
      </c>
      <c r="AT287" s="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BA287" s="7">
        <f ca="1"/>
      </c>
      <c r="BB287">
        <f ca="1"/>
      </c>
      <c r="BC287">
        <f ca="1"/>
      </c>
      <c r="BD287">
        <f ca="1"/>
      </c>
      <c r="BE287">
        <f ca="1"/>
      </c>
    </row>
    <row r="288" spans="31:57" x14ac:dyDescent="0.55000000000000004">
      <c r="AE288" s="7">
        <f ca="1"/>
      </c>
      <c r="AF288">
        <f ca="1"/>
      </c>
      <c r="AG288">
        <f ca="1"/>
      </c>
      <c r="AH288">
        <f ca="1"/>
      </c>
      <c r="AI288">
        <f ca="1"/>
      </c>
      <c r="AJ288">
        <f ca="1"/>
      </c>
      <c r="AK288">
        <f ca="1"/>
      </c>
      <c r="AL288">
        <f ca="1"/>
      </c>
      <c r="AM288">
        <f ca="1"/>
      </c>
      <c r="AN288">
        <f ca="1"/>
      </c>
      <c r="AO288">
        <f ca="1"/>
      </c>
      <c r="AP288">
        <f ca="1"/>
      </c>
      <c r="AQ288">
        <f ca="1"/>
      </c>
      <c r="AR288">
        <f ca="1"/>
      </c>
      <c r="AT288" s="7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BA288" s="7">
        <f ca="1"/>
      </c>
      <c r="BB288">
        <f ca="1"/>
      </c>
      <c r="BC288">
        <f ca="1"/>
      </c>
      <c r="BD288">
        <f ca="1"/>
      </c>
      <c r="BE288">
        <f ca="1"/>
      </c>
    </row>
    <row r="289" spans="31:57" x14ac:dyDescent="0.55000000000000004">
      <c r="AE289" s="7">
        <f ca="1"/>
      </c>
      <c r="AF289">
        <f ca="1"/>
      </c>
      <c r="AG289">
        <f ca="1"/>
      </c>
      <c r="AH289">
        <f ca="1"/>
      </c>
      <c r="AI289">
        <f ca="1"/>
      </c>
      <c r="AJ289">
        <f ca="1"/>
      </c>
      <c r="AK289">
        <f ca="1"/>
      </c>
      <c r="AL289">
        <f ca="1"/>
      </c>
      <c r="AM289">
        <f ca="1"/>
      </c>
      <c r="AN289">
        <f ca="1"/>
      </c>
      <c r="AO289">
        <f ca="1"/>
      </c>
      <c r="AP289">
        <f ca="1"/>
      </c>
      <c r="AQ289">
        <f ca="1"/>
      </c>
      <c r="AR289">
        <f ca="1"/>
      </c>
      <c r="AT289" s="7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BA289" s="7">
        <f ca="1"/>
      </c>
      <c r="BB289">
        <f ca="1"/>
      </c>
      <c r="BC289">
        <f ca="1"/>
      </c>
      <c r="BD289">
        <f ca="1"/>
      </c>
      <c r="BE289">
        <f ca="1"/>
      </c>
    </row>
    <row r="290" spans="31:57" x14ac:dyDescent="0.55000000000000004">
      <c r="AE290" s="7">
        <f ca="1"/>
      </c>
      <c r="AF290">
        <f ca="1"/>
      </c>
      <c r="AG290">
        <f ca="1"/>
      </c>
      <c r="AH290">
        <f ca="1"/>
      </c>
      <c r="AI290">
        <f ca="1"/>
      </c>
      <c r="AJ290">
        <f ca="1"/>
      </c>
      <c r="AK290">
        <f ca="1"/>
      </c>
      <c r="AL290">
        <f ca="1"/>
      </c>
      <c r="AM290">
        <f ca="1"/>
      </c>
      <c r="AN290">
        <f ca="1"/>
      </c>
      <c r="AO290">
        <f ca="1"/>
      </c>
      <c r="AP290">
        <f ca="1"/>
      </c>
      <c r="AQ290">
        <f ca="1"/>
      </c>
      <c r="AR290">
        <f ca="1"/>
      </c>
      <c r="AT290" s="7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BA290" s="7">
        <f ca="1"/>
      </c>
      <c r="BB290">
        <f ca="1"/>
      </c>
      <c r="BC290">
        <f ca="1"/>
      </c>
      <c r="BD290">
        <f ca="1"/>
      </c>
      <c r="BE290">
        <f ca="1"/>
      </c>
    </row>
    <row r="291" spans="31:57" x14ac:dyDescent="0.55000000000000004">
      <c r="AE291" s="7">
        <f ca="1"/>
      </c>
      <c r="AF291">
        <f ca="1"/>
      </c>
      <c r="AG291">
        <f ca="1"/>
      </c>
      <c r="AH291">
        <f ca="1"/>
      </c>
      <c r="AI291">
        <f ca="1"/>
      </c>
      <c r="AJ291">
        <f ca="1"/>
      </c>
      <c r="AK291">
        <f ca="1"/>
      </c>
      <c r="AL291">
        <f ca="1"/>
      </c>
      <c r="AM291">
        <f ca="1"/>
      </c>
      <c r="AN291">
        <f ca="1"/>
      </c>
      <c r="AO291">
        <f ca="1"/>
      </c>
      <c r="AP291">
        <f ca="1"/>
      </c>
      <c r="AQ291">
        <f ca="1"/>
      </c>
      <c r="AR291">
        <f ca="1"/>
      </c>
      <c r="AT291" s="7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BA291" s="7">
        <f ca="1"/>
      </c>
      <c r="BB291">
        <f ca="1"/>
      </c>
      <c r="BC291">
        <f ca="1"/>
      </c>
      <c r="BD291">
        <f ca="1"/>
      </c>
      <c r="BE291">
        <f ca="1"/>
      </c>
    </row>
    <row r="292" spans="31:57" x14ac:dyDescent="0.55000000000000004">
      <c r="AE292" s="7">
        <f ca="1"/>
      </c>
      <c r="AF292">
        <f ca="1"/>
      </c>
      <c r="AG292">
        <f ca="1"/>
      </c>
      <c r="AH292">
        <f ca="1"/>
      </c>
      <c r="AI292">
        <f ca="1"/>
      </c>
      <c r="AJ292">
        <f ca="1"/>
      </c>
      <c r="AK292">
        <f ca="1"/>
      </c>
      <c r="AL292">
        <f ca="1"/>
      </c>
      <c r="AM292">
        <f ca="1"/>
      </c>
      <c r="AN292">
        <f ca="1"/>
      </c>
      <c r="AO292">
        <f ca="1"/>
      </c>
      <c r="AP292">
        <f ca="1"/>
      </c>
      <c r="AQ292">
        <f ca="1"/>
      </c>
      <c r="AR292">
        <f ca="1"/>
      </c>
      <c r="AT292" s="7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BA292" s="7">
        <f ca="1"/>
      </c>
      <c r="BB292">
        <f ca="1"/>
      </c>
      <c r="BC292">
        <f ca="1"/>
      </c>
      <c r="BD292">
        <f ca="1"/>
      </c>
      <c r="BE292">
        <f ca="1"/>
      </c>
    </row>
    <row r="293" spans="31:57" x14ac:dyDescent="0.55000000000000004">
      <c r="AE293" s="7">
        <f ca="1"/>
      </c>
      <c r="AF293">
        <f ca="1"/>
      </c>
      <c r="AG293">
        <f ca="1"/>
      </c>
      <c r="AH293">
        <f ca="1"/>
      </c>
      <c r="AI293">
        <f ca="1"/>
      </c>
      <c r="AJ293">
        <f ca="1"/>
      </c>
      <c r="AK293">
        <f ca="1"/>
      </c>
      <c r="AL293">
        <f ca="1"/>
      </c>
      <c r="AM293">
        <f ca="1"/>
      </c>
      <c r="AN293">
        <f ca="1"/>
      </c>
      <c r="AO293">
        <f ca="1"/>
      </c>
      <c r="AP293">
        <f ca="1"/>
      </c>
      <c r="AQ293">
        <f ca="1"/>
      </c>
      <c r="AR293">
        <f ca="1"/>
      </c>
      <c r="AT293" s="7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BA293" s="7">
        <f ca="1"/>
      </c>
      <c r="BB293">
        <f ca="1"/>
      </c>
      <c r="BC293">
        <f ca="1"/>
      </c>
      <c r="BD293">
        <f ca="1"/>
      </c>
      <c r="BE293">
        <f ca="1"/>
      </c>
    </row>
    <row r="294" spans="31:57" x14ac:dyDescent="0.55000000000000004">
      <c r="AE294" s="7">
        <f ca="1"/>
      </c>
      <c r="AF294">
        <f ca="1"/>
      </c>
      <c r="AG294">
        <f ca="1"/>
      </c>
      <c r="AH294">
        <f ca="1"/>
      </c>
      <c r="AI294">
        <f ca="1"/>
      </c>
      <c r="AJ294">
        <f ca="1"/>
      </c>
      <c r="AK294">
        <f ca="1"/>
      </c>
      <c r="AL294">
        <f ca="1"/>
      </c>
      <c r="AM294">
        <f ca="1"/>
      </c>
      <c r="AN294">
        <f ca="1"/>
      </c>
      <c r="AO294">
        <f ca="1"/>
      </c>
      <c r="AP294">
        <f ca="1"/>
      </c>
      <c r="AQ294">
        <f ca="1"/>
      </c>
      <c r="AR294">
        <f ca="1"/>
      </c>
      <c r="AT294" s="7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BA294" s="7">
        <f ca="1"/>
      </c>
      <c r="BB294">
        <f ca="1"/>
      </c>
      <c r="BC294">
        <f ca="1"/>
      </c>
      <c r="BD294">
        <f ca="1"/>
      </c>
      <c r="BE294">
        <f ca="1"/>
      </c>
    </row>
    <row r="295" spans="31:57" x14ac:dyDescent="0.55000000000000004">
      <c r="AE295" s="7">
        <f ca="1"/>
      </c>
      <c r="AF295">
        <f ca="1"/>
      </c>
      <c r="AG295">
        <f ca="1"/>
      </c>
      <c r="AH295">
        <f ca="1"/>
      </c>
      <c r="AI295">
        <f ca="1"/>
      </c>
      <c r="AJ295">
        <f ca="1"/>
      </c>
      <c r="AK295">
        <f ca="1"/>
      </c>
      <c r="AL295">
        <f ca="1"/>
      </c>
      <c r="AM295">
        <f ca="1"/>
      </c>
      <c r="AN295">
        <f ca="1"/>
      </c>
      <c r="AO295">
        <f ca="1"/>
      </c>
      <c r="AP295">
        <f ca="1"/>
      </c>
      <c r="AQ295">
        <f ca="1"/>
      </c>
      <c r="AR295">
        <f ca="1"/>
      </c>
      <c r="AT295" s="7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BA295" s="7">
        <f ca="1"/>
      </c>
      <c r="BB295">
        <f ca="1"/>
      </c>
      <c r="BC295">
        <f ca="1"/>
      </c>
      <c r="BD295">
        <f ca="1"/>
      </c>
      <c r="BE295">
        <f ca="1"/>
      </c>
    </row>
    <row r="296" spans="31:57" x14ac:dyDescent="0.55000000000000004">
      <c r="AE296" s="7">
        <f ca="1"/>
      </c>
      <c r="AF296">
        <f ca="1"/>
      </c>
      <c r="AG296">
        <f ca="1"/>
      </c>
      <c r="AH296">
        <f ca="1"/>
      </c>
      <c r="AI296">
        <f ca="1"/>
      </c>
      <c r="AJ296">
        <f ca="1"/>
      </c>
      <c r="AK296">
        <f ca="1"/>
      </c>
      <c r="AL296">
        <f ca="1"/>
      </c>
      <c r="AM296">
        <f ca="1"/>
      </c>
      <c r="AN296">
        <f ca="1"/>
      </c>
      <c r="AO296">
        <f ca="1"/>
      </c>
      <c r="AP296">
        <f ca="1"/>
      </c>
      <c r="AQ296">
        <f ca="1"/>
      </c>
      <c r="AR296">
        <f ca="1"/>
      </c>
      <c r="AT296" s="7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BA296" s="7">
        <f ca="1"/>
      </c>
      <c r="BB296">
        <f ca="1"/>
      </c>
      <c r="BC296">
        <f ca="1"/>
      </c>
      <c r="BD296">
        <f ca="1"/>
      </c>
      <c r="BE296">
        <f ca="1"/>
      </c>
    </row>
    <row r="297" spans="31:57" x14ac:dyDescent="0.55000000000000004">
      <c r="AE297" s="7">
        <f ca="1"/>
      </c>
      <c r="AF297">
        <f ca="1"/>
      </c>
      <c r="AG297">
        <f ca="1"/>
      </c>
      <c r="AH297">
        <f ca="1"/>
      </c>
      <c r="AI297">
        <f ca="1"/>
      </c>
      <c r="AJ297">
        <f ca="1"/>
      </c>
      <c r="AK297">
        <f ca="1"/>
      </c>
      <c r="AL297">
        <f ca="1"/>
      </c>
      <c r="AM297">
        <f ca="1"/>
      </c>
      <c r="AN297">
        <f ca="1"/>
      </c>
      <c r="AO297">
        <f ca="1"/>
      </c>
      <c r="AP297">
        <f ca="1"/>
      </c>
      <c r="AQ297">
        <f ca="1"/>
      </c>
      <c r="AR297">
        <f ca="1"/>
      </c>
      <c r="AT297" s="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BA297" s="7">
        <f ca="1"/>
      </c>
      <c r="BB297">
        <f ca="1"/>
      </c>
      <c r="BC297">
        <f ca="1"/>
      </c>
      <c r="BD297">
        <f ca="1"/>
      </c>
      <c r="BE297">
        <f ca="1"/>
      </c>
    </row>
    <row r="298" spans="31:57" x14ac:dyDescent="0.55000000000000004">
      <c r="AE298" s="7">
        <f ca="1"/>
      </c>
      <c r="AF298">
        <f ca="1"/>
      </c>
      <c r="AG298">
        <f ca="1"/>
      </c>
      <c r="AH298">
        <f ca="1"/>
      </c>
      <c r="AI298">
        <f ca="1"/>
      </c>
      <c r="AJ298">
        <f ca="1"/>
      </c>
      <c r="AK298">
        <f ca="1"/>
      </c>
      <c r="AL298">
        <f ca="1"/>
      </c>
      <c r="AM298">
        <f ca="1"/>
      </c>
      <c r="AN298">
        <f ca="1"/>
      </c>
      <c r="AO298">
        <f ca="1"/>
      </c>
      <c r="AP298">
        <f ca="1"/>
      </c>
      <c r="AQ298">
        <f ca="1"/>
      </c>
      <c r="AR298">
        <f ca="1"/>
      </c>
      <c r="AT298" s="7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BA298" s="7">
        <f ca="1"/>
      </c>
      <c r="BB298">
        <f ca="1"/>
      </c>
      <c r="BC298">
        <f ca="1"/>
      </c>
      <c r="BD298">
        <f ca="1"/>
      </c>
      <c r="BE298">
        <f ca="1"/>
      </c>
    </row>
    <row r="299" spans="31:57" x14ac:dyDescent="0.55000000000000004">
      <c r="AE299" s="7">
        <f ca="1"/>
      </c>
      <c r="AF299">
        <f ca="1"/>
      </c>
      <c r="AG299">
        <f ca="1"/>
      </c>
      <c r="AH299">
        <f ca="1"/>
      </c>
      <c r="AI299">
        <f ca="1"/>
      </c>
      <c r="AJ299">
        <f ca="1"/>
      </c>
      <c r="AK299">
        <f ca="1"/>
      </c>
      <c r="AL299">
        <f ca="1"/>
      </c>
      <c r="AM299">
        <f ca="1"/>
      </c>
      <c r="AN299">
        <f ca="1"/>
      </c>
      <c r="AO299">
        <f ca="1"/>
      </c>
      <c r="AP299">
        <f ca="1"/>
      </c>
      <c r="AQ299">
        <f ca="1"/>
      </c>
      <c r="AR299">
        <f ca="1"/>
      </c>
      <c r="AT299" s="7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BA299" s="7">
        <f ca="1"/>
      </c>
      <c r="BB299">
        <f ca="1"/>
      </c>
      <c r="BC299">
        <f ca="1"/>
      </c>
      <c r="BD299">
        <f ca="1"/>
      </c>
      <c r="BE299">
        <f ca="1"/>
      </c>
    </row>
    <row r="300" spans="31:57" x14ac:dyDescent="0.55000000000000004">
      <c r="AE300" s="7">
        <f ca="1"/>
      </c>
      <c r="AF300">
        <f ca="1"/>
      </c>
      <c r="AG300">
        <f ca="1"/>
      </c>
      <c r="AH300">
        <f ca="1"/>
      </c>
      <c r="AI300">
        <f ca="1"/>
      </c>
      <c r="AJ300">
        <f ca="1"/>
      </c>
      <c r="AK300">
        <f ca="1"/>
      </c>
      <c r="AL300">
        <f ca="1"/>
      </c>
      <c r="AM300">
        <f ca="1"/>
      </c>
      <c r="AN300">
        <f ca="1"/>
      </c>
      <c r="AO300">
        <f ca="1"/>
      </c>
      <c r="AP300">
        <f ca="1"/>
      </c>
      <c r="AQ300">
        <f ca="1"/>
      </c>
      <c r="AR300">
        <f ca="1"/>
      </c>
      <c r="AT300" s="7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BA300" s="7">
        <f ca="1"/>
      </c>
      <c r="BB300">
        <f ca="1"/>
      </c>
      <c r="BC300">
        <f ca="1"/>
      </c>
      <c r="BD300">
        <f ca="1"/>
      </c>
      <c r="BE300">
        <f ca="1"/>
      </c>
    </row>
    <row r="301" spans="31:57" x14ac:dyDescent="0.55000000000000004">
      <c r="AE301" s="7">
        <f ca="1"/>
      </c>
      <c r="AF301">
        <f ca="1"/>
      </c>
      <c r="AG301">
        <f ca="1"/>
      </c>
      <c r="AH301">
        <f ca="1"/>
      </c>
      <c r="AI301">
        <f ca="1"/>
      </c>
      <c r="AJ301">
        <f ca="1"/>
      </c>
      <c r="AK301">
        <f ca="1"/>
      </c>
      <c r="AL301">
        <f ca="1"/>
      </c>
      <c r="AM301">
        <f ca="1"/>
      </c>
      <c r="AN301">
        <f ca="1"/>
      </c>
      <c r="AO301">
        <f ca="1"/>
      </c>
      <c r="AP301">
        <f ca="1"/>
      </c>
      <c r="AQ301">
        <f ca="1"/>
      </c>
      <c r="AR301">
        <f ca="1"/>
      </c>
      <c r="AT301" s="7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BA301" s="7">
        <f ca="1"/>
      </c>
      <c r="BB301">
        <f ca="1"/>
      </c>
      <c r="BC301">
        <f ca="1"/>
      </c>
      <c r="BD301">
        <f ca="1"/>
      </c>
      <c r="BE301">
        <f ca="1"/>
      </c>
    </row>
    <row r="302" spans="31:57" x14ac:dyDescent="0.55000000000000004">
      <c r="AE302" s="7">
        <f ca="1"/>
      </c>
      <c r="AF302">
        <f ca="1"/>
      </c>
      <c r="AG302">
        <f ca="1"/>
      </c>
      <c r="AH302">
        <f ca="1"/>
      </c>
      <c r="AI302">
        <f ca="1"/>
      </c>
      <c r="AJ302">
        <f ca="1"/>
      </c>
      <c r="AK302">
        <f ca="1"/>
      </c>
      <c r="AL302">
        <f ca="1"/>
      </c>
      <c r="AM302">
        <f ca="1"/>
      </c>
      <c r="AN302">
        <f ca="1"/>
      </c>
      <c r="AO302">
        <f ca="1"/>
      </c>
      <c r="AP302">
        <f ca="1"/>
      </c>
      <c r="AQ302">
        <f ca="1"/>
      </c>
      <c r="AR302">
        <f ca="1"/>
      </c>
      <c r="AT302" s="7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BA302" s="7">
        <f ca="1"/>
      </c>
      <c r="BB302">
        <f ca="1"/>
      </c>
      <c r="BC302">
        <f ca="1"/>
      </c>
      <c r="BD302">
        <f ca="1"/>
      </c>
      <c r="BE302">
        <f ca="1"/>
      </c>
    </row>
    <row r="303" spans="31:57" x14ac:dyDescent="0.55000000000000004">
      <c r="AE303" s="7">
        <f ca="1"/>
      </c>
      <c r="AF303">
        <f ca="1"/>
      </c>
      <c r="AG303">
        <f ca="1"/>
      </c>
      <c r="AH303">
        <f ca="1"/>
      </c>
      <c r="AI303">
        <f ca="1"/>
      </c>
      <c r="AJ303">
        <f ca="1"/>
      </c>
      <c r="AK303">
        <f ca="1"/>
      </c>
      <c r="AL303">
        <f ca="1"/>
      </c>
      <c r="AM303">
        <f ca="1"/>
      </c>
      <c r="AN303">
        <f ca="1"/>
      </c>
      <c r="AO303">
        <f ca="1"/>
      </c>
      <c r="AP303">
        <f ca="1"/>
      </c>
      <c r="AQ303">
        <f ca="1"/>
      </c>
      <c r="AR303">
        <f ca="1"/>
      </c>
      <c r="AT303" s="7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BA303" s="7">
        <f ca="1"/>
      </c>
      <c r="BB303">
        <f ca="1"/>
      </c>
      <c r="BC303">
        <f ca="1"/>
      </c>
      <c r="BD303">
        <f ca="1"/>
      </c>
      <c r="BE303">
        <f ca="1"/>
      </c>
    </row>
    <row r="304" spans="31:57" x14ac:dyDescent="0.55000000000000004">
      <c r="AE304" s="7">
        <f ca="1"/>
      </c>
      <c r="AF304">
        <f ca="1"/>
      </c>
      <c r="AG304">
        <f ca="1"/>
      </c>
      <c r="AH304">
        <f ca="1"/>
      </c>
      <c r="AI304">
        <f ca="1"/>
      </c>
      <c r="AJ304">
        <f ca="1"/>
      </c>
      <c r="AK304">
        <f ca="1"/>
      </c>
      <c r="AL304">
        <f ca="1"/>
      </c>
      <c r="AM304">
        <f ca="1"/>
      </c>
      <c r="AN304">
        <f ca="1"/>
      </c>
      <c r="AO304">
        <f ca="1"/>
      </c>
      <c r="AP304">
        <f ca="1"/>
      </c>
      <c r="AQ304">
        <f ca="1"/>
      </c>
      <c r="AR304">
        <f ca="1"/>
      </c>
      <c r="AT304" s="7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BA304" s="7">
        <f ca="1"/>
      </c>
      <c r="BB304">
        <f ca="1"/>
      </c>
      <c r="BC304">
        <f ca="1"/>
      </c>
      <c r="BD304">
        <f ca="1"/>
      </c>
      <c r="BE304">
        <f ca="1"/>
      </c>
    </row>
    <row r="305" spans="31:57" x14ac:dyDescent="0.55000000000000004">
      <c r="AE305" s="7">
        <f ca="1"/>
      </c>
      <c r="AF305">
        <f ca="1"/>
      </c>
      <c r="AG305">
        <f ca="1"/>
      </c>
      <c r="AH305">
        <f ca="1"/>
      </c>
      <c r="AI305">
        <f ca="1"/>
      </c>
      <c r="AJ305">
        <f ca="1"/>
      </c>
      <c r="AK305">
        <f ca="1"/>
      </c>
      <c r="AL305">
        <f ca="1"/>
      </c>
      <c r="AM305">
        <f ca="1"/>
      </c>
      <c r="AN305">
        <f ca="1"/>
      </c>
      <c r="AO305">
        <f ca="1"/>
      </c>
      <c r="AP305">
        <f ca="1"/>
      </c>
      <c r="AQ305">
        <f ca="1"/>
      </c>
      <c r="AR305">
        <f ca="1"/>
      </c>
      <c r="AT305" s="7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BA305" s="7">
        <f ca="1"/>
      </c>
      <c r="BB305">
        <f ca="1"/>
      </c>
      <c r="BC305">
        <f ca="1"/>
      </c>
      <c r="BD305">
        <f ca="1"/>
      </c>
      <c r="BE305">
        <f ca="1"/>
      </c>
    </row>
    <row r="306" spans="31:57" x14ac:dyDescent="0.55000000000000004">
      <c r="AE306" s="7">
        <f ca="1"/>
      </c>
      <c r="AF306">
        <f ca="1"/>
      </c>
      <c r="AG306">
        <f ca="1"/>
      </c>
      <c r="AH306">
        <f ca="1"/>
      </c>
      <c r="AI306">
        <f ca="1"/>
      </c>
      <c r="AJ306">
        <f ca="1"/>
      </c>
      <c r="AK306">
        <f ca="1"/>
      </c>
      <c r="AL306">
        <f ca="1"/>
      </c>
      <c r="AM306">
        <f ca="1"/>
      </c>
      <c r="AN306">
        <f ca="1"/>
      </c>
      <c r="AO306">
        <f ca="1"/>
      </c>
      <c r="AP306">
        <f ca="1"/>
      </c>
      <c r="AQ306">
        <f ca="1"/>
      </c>
      <c r="AR306">
        <f ca="1"/>
      </c>
      <c r="AT306" s="7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BA306" s="7">
        <f ca="1"/>
      </c>
      <c r="BB306">
        <f ca="1"/>
      </c>
      <c r="BC306">
        <f ca="1"/>
      </c>
      <c r="BD306">
        <f ca="1"/>
      </c>
      <c r="BE306">
        <f ca="1"/>
      </c>
    </row>
    <row r="307" spans="31:57" x14ac:dyDescent="0.55000000000000004">
      <c r="AE307" s="7">
        <f ca="1"/>
      </c>
      <c r="AF307">
        <f ca="1"/>
      </c>
      <c r="AG307">
        <f ca="1"/>
      </c>
      <c r="AH307">
        <f ca="1"/>
      </c>
      <c r="AI307">
        <f ca="1"/>
      </c>
      <c r="AJ307">
        <f ca="1"/>
      </c>
      <c r="AK307">
        <f ca="1"/>
      </c>
      <c r="AL307">
        <f ca="1"/>
      </c>
      <c r="AM307">
        <f ca="1"/>
      </c>
      <c r="AN307">
        <f ca="1"/>
      </c>
      <c r="AO307">
        <f ca="1"/>
      </c>
      <c r="AP307">
        <f ca="1"/>
      </c>
      <c r="AQ307">
        <f ca="1"/>
      </c>
      <c r="AR307">
        <f ca="1"/>
      </c>
      <c r="AT307" s="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BA307" s="7">
        <f ca="1"/>
      </c>
      <c r="BB307">
        <f ca="1"/>
      </c>
      <c r="BC307">
        <f ca="1"/>
      </c>
      <c r="BD307">
        <f ca="1"/>
      </c>
      <c r="BE307">
        <f ca="1"/>
      </c>
    </row>
    <row r="308" spans="31:57" x14ac:dyDescent="0.55000000000000004">
      <c r="AE308" s="7">
        <f ca="1"/>
      </c>
      <c r="AF308">
        <f ca="1"/>
      </c>
      <c r="AG308">
        <f ca="1"/>
      </c>
      <c r="AH308">
        <f ca="1"/>
      </c>
      <c r="AI308">
        <f ca="1"/>
      </c>
      <c r="AJ308">
        <f ca="1"/>
      </c>
      <c r="AK308">
        <f ca="1"/>
      </c>
      <c r="AL308">
        <f ca="1"/>
      </c>
      <c r="AM308">
        <f ca="1"/>
      </c>
      <c r="AN308">
        <f ca="1"/>
      </c>
      <c r="AO308">
        <f ca="1"/>
      </c>
      <c r="AP308">
        <f ca="1"/>
      </c>
      <c r="AQ308">
        <f ca="1"/>
      </c>
      <c r="AR308">
        <f ca="1"/>
      </c>
      <c r="AT308" s="7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BA308" s="7">
        <f ca="1"/>
      </c>
      <c r="BB308">
        <f ca="1"/>
      </c>
      <c r="BC308">
        <f ca="1"/>
      </c>
      <c r="BD308">
        <f ca="1"/>
      </c>
      <c r="BE308">
        <f ca="1"/>
      </c>
    </row>
    <row r="309" spans="31:57" x14ac:dyDescent="0.55000000000000004">
      <c r="AE309" s="7">
        <f ca="1"/>
      </c>
      <c r="AF309">
        <f ca="1"/>
      </c>
      <c r="AG309">
        <f ca="1"/>
      </c>
      <c r="AH309">
        <f ca="1"/>
      </c>
      <c r="AI309">
        <f ca="1"/>
      </c>
      <c r="AJ309">
        <f ca="1"/>
      </c>
      <c r="AK309">
        <f ca="1"/>
      </c>
      <c r="AL309">
        <f ca="1"/>
      </c>
      <c r="AM309">
        <f ca="1"/>
      </c>
      <c r="AN309">
        <f ca="1"/>
      </c>
      <c r="AO309">
        <f ca="1"/>
      </c>
      <c r="AP309">
        <f ca="1"/>
      </c>
      <c r="AQ309">
        <f ca="1"/>
      </c>
      <c r="AR309">
        <f ca="1"/>
      </c>
      <c r="AT309" s="7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BA309" s="7">
        <f ca="1"/>
      </c>
      <c r="BB309">
        <f ca="1"/>
      </c>
      <c r="BC309">
        <f ca="1"/>
      </c>
      <c r="BD309">
        <f ca="1"/>
      </c>
      <c r="BE309">
        <f ca="1"/>
      </c>
    </row>
    <row r="310" spans="31:57" x14ac:dyDescent="0.55000000000000004">
      <c r="AE310" s="7">
        <f ca="1"/>
      </c>
      <c r="AF310">
        <f ca="1"/>
      </c>
      <c r="AG310">
        <f ca="1"/>
      </c>
      <c r="AH310">
        <f ca="1"/>
      </c>
      <c r="AI310">
        <f ca="1"/>
      </c>
      <c r="AJ310">
        <f ca="1"/>
      </c>
      <c r="AK310">
        <f ca="1"/>
      </c>
      <c r="AL310">
        <f ca="1"/>
      </c>
      <c r="AM310">
        <f ca="1"/>
      </c>
      <c r="AN310">
        <f ca="1"/>
      </c>
      <c r="AO310">
        <f ca="1"/>
      </c>
      <c r="AP310">
        <f ca="1"/>
      </c>
      <c r="AQ310">
        <f ca="1"/>
      </c>
      <c r="AR310">
        <f ca="1"/>
      </c>
      <c r="AT310" s="7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BA310" s="7">
        <f ca="1"/>
      </c>
      <c r="BB310">
        <f ca="1"/>
      </c>
      <c r="BC310">
        <f ca="1"/>
      </c>
      <c r="BD310">
        <f ca="1"/>
      </c>
      <c r="BE310">
        <f ca="1"/>
      </c>
    </row>
    <row r="311" spans="31:57" x14ac:dyDescent="0.55000000000000004">
      <c r="AE311" s="7">
        <f ca="1"/>
      </c>
      <c r="AF311">
        <f ca="1"/>
      </c>
      <c r="AG311">
        <f ca="1"/>
      </c>
      <c r="AH311">
        <f ca="1"/>
      </c>
      <c r="AI311">
        <f ca="1"/>
      </c>
      <c r="AJ311">
        <f ca="1"/>
      </c>
      <c r="AK311">
        <f ca="1"/>
      </c>
      <c r="AL311">
        <f ca="1"/>
      </c>
      <c r="AM311">
        <f ca="1"/>
      </c>
      <c r="AN311">
        <f ca="1"/>
      </c>
      <c r="AO311">
        <f ca="1"/>
      </c>
      <c r="AP311">
        <f ca="1"/>
      </c>
      <c r="AQ311">
        <f ca="1"/>
      </c>
      <c r="AR311">
        <f ca="1"/>
      </c>
      <c r="AT311" s="7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BA311" s="7">
        <f ca="1"/>
      </c>
      <c r="BB311">
        <f ca="1"/>
      </c>
      <c r="BC311">
        <f ca="1"/>
      </c>
      <c r="BD311">
        <f ca="1"/>
      </c>
      <c r="BE311">
        <f ca="1"/>
      </c>
    </row>
    <row r="312" spans="31:57" x14ac:dyDescent="0.55000000000000004">
      <c r="AE312" s="7">
        <f ca="1"/>
      </c>
      <c r="AF312">
        <f ca="1"/>
      </c>
      <c r="AG312">
        <f ca="1"/>
      </c>
      <c r="AH312">
        <f ca="1"/>
      </c>
      <c r="AI312">
        <f ca="1"/>
      </c>
      <c r="AJ312">
        <f ca="1"/>
      </c>
      <c r="AK312">
        <f ca="1"/>
      </c>
      <c r="AL312">
        <f ca="1"/>
      </c>
      <c r="AM312">
        <f ca="1"/>
      </c>
      <c r="AN312">
        <f ca="1"/>
      </c>
      <c r="AO312">
        <f ca="1"/>
      </c>
      <c r="AP312">
        <f ca="1"/>
      </c>
      <c r="AQ312">
        <f ca="1"/>
      </c>
      <c r="AR312">
        <f ca="1"/>
      </c>
      <c r="AT312" s="7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BA312" s="7">
        <f ca="1"/>
      </c>
      <c r="BB312">
        <f ca="1"/>
      </c>
      <c r="BC312">
        <f ca="1"/>
      </c>
      <c r="BD312">
        <f ca="1"/>
      </c>
      <c r="BE312">
        <f ca="1"/>
      </c>
    </row>
    <row r="313" spans="31:57" x14ac:dyDescent="0.55000000000000004">
      <c r="AE313" s="7">
        <f ca="1"/>
      </c>
      <c r="AF313">
        <f ca="1"/>
      </c>
      <c r="AG313">
        <f ca="1"/>
      </c>
      <c r="AH313">
        <f ca="1"/>
      </c>
      <c r="AI313">
        <f ca="1"/>
      </c>
      <c r="AJ313">
        <f ca="1"/>
      </c>
      <c r="AK313">
        <f ca="1"/>
      </c>
      <c r="AL313">
        <f ca="1"/>
      </c>
      <c r="AM313">
        <f ca="1"/>
      </c>
      <c r="AN313">
        <f ca="1"/>
      </c>
      <c r="AO313">
        <f ca="1"/>
      </c>
      <c r="AP313">
        <f ca="1"/>
      </c>
      <c r="AQ313">
        <f ca="1"/>
      </c>
      <c r="AR313">
        <f ca="1"/>
      </c>
      <c r="AT313" s="7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BA313" s="7">
        <f ca="1"/>
      </c>
      <c r="BB313">
        <f ca="1"/>
      </c>
      <c r="BC313">
        <f ca="1"/>
      </c>
      <c r="BD313">
        <f ca="1"/>
      </c>
      <c r="BE313">
        <f ca="1"/>
      </c>
    </row>
    <row r="314" spans="31:57" x14ac:dyDescent="0.55000000000000004">
      <c r="AE314" s="7">
        <f ca="1"/>
      </c>
      <c r="AF314">
        <f ca="1"/>
      </c>
      <c r="AG314">
        <f ca="1"/>
      </c>
      <c r="AH314">
        <f ca="1"/>
      </c>
      <c r="AI314">
        <f ca="1"/>
      </c>
      <c r="AJ314">
        <f ca="1"/>
      </c>
      <c r="AK314">
        <f ca="1"/>
      </c>
      <c r="AL314">
        <f ca="1"/>
      </c>
      <c r="AM314">
        <f ca="1"/>
      </c>
      <c r="AN314">
        <f ca="1"/>
      </c>
      <c r="AO314">
        <f ca="1"/>
      </c>
      <c r="AP314">
        <f ca="1"/>
      </c>
      <c r="AQ314">
        <f ca="1"/>
      </c>
      <c r="AR314">
        <f ca="1"/>
      </c>
      <c r="AT314" s="7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BA314" s="7">
        <f ca="1"/>
      </c>
      <c r="BB314">
        <f ca="1"/>
      </c>
      <c r="BC314">
        <f ca="1"/>
      </c>
      <c r="BD314">
        <f ca="1"/>
      </c>
      <c r="BE314">
        <f ca="1"/>
      </c>
    </row>
    <row r="315" spans="31:57" x14ac:dyDescent="0.55000000000000004">
      <c r="AE315" s="7">
        <f ca="1"/>
      </c>
      <c r="AF315">
        <f ca="1"/>
      </c>
      <c r="AG315">
        <f ca="1"/>
      </c>
      <c r="AH315">
        <f ca="1"/>
      </c>
      <c r="AI315">
        <f ca="1"/>
      </c>
      <c r="AJ315">
        <f ca="1"/>
      </c>
      <c r="AK315">
        <f ca="1"/>
      </c>
      <c r="AL315">
        <f ca="1"/>
      </c>
      <c r="AM315">
        <f ca="1"/>
      </c>
      <c r="AN315">
        <f ca="1"/>
      </c>
      <c r="AO315">
        <f ca="1"/>
      </c>
      <c r="AP315">
        <f ca="1"/>
      </c>
      <c r="AQ315">
        <f ca="1"/>
      </c>
      <c r="AR315">
        <f ca="1"/>
      </c>
      <c r="AT315" s="7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BA315" s="7">
        <f ca="1"/>
      </c>
      <c r="BB315">
        <f ca="1"/>
      </c>
      <c r="BC315">
        <f ca="1"/>
      </c>
      <c r="BD315">
        <f ca="1"/>
      </c>
      <c r="BE315">
        <f ca="1"/>
      </c>
    </row>
    <row r="316" spans="31:57" x14ac:dyDescent="0.55000000000000004">
      <c r="AE316" s="7">
        <f ca="1"/>
      </c>
      <c r="AF316">
        <f ca="1"/>
      </c>
      <c r="AG316">
        <f ca="1"/>
      </c>
      <c r="AH316">
        <f ca="1"/>
      </c>
      <c r="AI316">
        <f ca="1"/>
      </c>
      <c r="AJ316">
        <f ca="1"/>
      </c>
      <c r="AK316">
        <f ca="1"/>
      </c>
      <c r="AL316">
        <f ca="1"/>
      </c>
      <c r="AM316">
        <f ca="1"/>
      </c>
      <c r="AN316">
        <f ca="1"/>
      </c>
      <c r="AO316">
        <f ca="1"/>
      </c>
      <c r="AP316">
        <f ca="1"/>
      </c>
      <c r="AQ316">
        <f ca="1"/>
      </c>
      <c r="AR316">
        <f ca="1"/>
      </c>
      <c r="AT316" s="7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BA316" s="7">
        <f ca="1"/>
      </c>
      <c r="BB316">
        <f ca="1"/>
      </c>
      <c r="BC316">
        <f ca="1"/>
      </c>
      <c r="BD316">
        <f ca="1"/>
      </c>
      <c r="BE316">
        <f ca="1"/>
      </c>
    </row>
    <row r="317" spans="31:57" x14ac:dyDescent="0.55000000000000004">
      <c r="AE317" s="7">
        <f ca="1"/>
      </c>
      <c r="AF317">
        <f ca="1"/>
      </c>
      <c r="AG317">
        <f ca="1"/>
      </c>
      <c r="AH317">
        <f ca="1"/>
      </c>
      <c r="AI317">
        <f ca="1"/>
      </c>
      <c r="AJ317">
        <f ca="1"/>
      </c>
      <c r="AK317">
        <f ca="1"/>
      </c>
      <c r="AL317">
        <f ca="1"/>
      </c>
      <c r="AM317">
        <f ca="1"/>
      </c>
      <c r="AN317">
        <f ca="1"/>
      </c>
      <c r="AO317">
        <f ca="1"/>
      </c>
      <c r="AP317">
        <f ca="1"/>
      </c>
      <c r="AQ317">
        <f ca="1"/>
      </c>
      <c r="AR317">
        <f ca="1"/>
      </c>
      <c r="AT317" s="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BA317" s="7">
        <f ca="1"/>
      </c>
      <c r="BB317">
        <f ca="1"/>
      </c>
      <c r="BC317">
        <f ca="1"/>
      </c>
      <c r="BD317">
        <f ca="1"/>
      </c>
      <c r="BE317">
        <f ca="1"/>
      </c>
    </row>
    <row r="318" spans="31:57" x14ac:dyDescent="0.55000000000000004">
      <c r="AE318" s="7">
        <f ca="1"/>
      </c>
      <c r="AF318">
        <f ca="1"/>
      </c>
      <c r="AG318">
        <f ca="1"/>
      </c>
      <c r="AH318">
        <f ca="1"/>
      </c>
      <c r="AI318">
        <f ca="1"/>
      </c>
      <c r="AJ318">
        <f ca="1"/>
      </c>
      <c r="AK318">
        <f ca="1"/>
      </c>
      <c r="AL318">
        <f ca="1"/>
      </c>
      <c r="AM318">
        <f ca="1"/>
      </c>
      <c r="AN318">
        <f ca="1"/>
      </c>
      <c r="AO318">
        <f ca="1"/>
      </c>
      <c r="AP318">
        <f ca="1"/>
      </c>
      <c r="AQ318">
        <f ca="1"/>
      </c>
      <c r="AR318">
        <f ca="1"/>
      </c>
      <c r="AT318" s="7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BA318" s="7">
        <f ca="1"/>
      </c>
      <c r="BB318">
        <f ca="1"/>
      </c>
      <c r="BC318">
        <f ca="1"/>
      </c>
      <c r="BD318">
        <f ca="1"/>
      </c>
      <c r="BE318">
        <f ca="1"/>
      </c>
    </row>
    <row r="319" spans="31:57" x14ac:dyDescent="0.55000000000000004">
      <c r="AE319" s="7">
        <f ca="1"/>
      </c>
      <c r="AF319">
        <f ca="1"/>
      </c>
      <c r="AG319">
        <f ca="1"/>
      </c>
      <c r="AH319">
        <f ca="1"/>
      </c>
      <c r="AI319">
        <f ca="1"/>
      </c>
      <c r="AJ319">
        <f ca="1"/>
      </c>
      <c r="AK319">
        <f ca="1"/>
      </c>
      <c r="AL319">
        <f ca="1"/>
      </c>
      <c r="AM319">
        <f ca="1"/>
      </c>
      <c r="AN319">
        <f ca="1"/>
      </c>
      <c r="AO319">
        <f ca="1"/>
      </c>
      <c r="AP319">
        <f ca="1"/>
      </c>
      <c r="AQ319">
        <f ca="1"/>
      </c>
      <c r="AR319">
        <f ca="1"/>
      </c>
      <c r="AT319" s="7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BA319" s="7">
        <f ca="1"/>
      </c>
      <c r="BB319">
        <f ca="1"/>
      </c>
      <c r="BC319">
        <f ca="1"/>
      </c>
      <c r="BD319">
        <f ca="1"/>
      </c>
      <c r="BE319">
        <f ca="1"/>
      </c>
    </row>
    <row r="320" spans="31:57" x14ac:dyDescent="0.55000000000000004">
      <c r="AE320" s="7">
        <f ca="1"/>
      </c>
      <c r="AF320">
        <f ca="1"/>
      </c>
      <c r="AG320">
        <f ca="1"/>
      </c>
      <c r="AH320">
        <f ca="1"/>
      </c>
      <c r="AI320">
        <f ca="1"/>
      </c>
      <c r="AJ320">
        <f ca="1"/>
      </c>
      <c r="AK320">
        <f ca="1"/>
      </c>
      <c r="AL320">
        <f ca="1"/>
      </c>
      <c r="AM320">
        <f ca="1"/>
      </c>
      <c r="AN320">
        <f ca="1"/>
      </c>
      <c r="AO320">
        <f ca="1"/>
      </c>
      <c r="AP320">
        <f ca="1"/>
      </c>
      <c r="AQ320">
        <f ca="1"/>
      </c>
      <c r="AR320">
        <f ca="1"/>
      </c>
      <c r="AT320" s="7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BA320" s="7">
        <f ca="1"/>
      </c>
      <c r="BB320">
        <f ca="1"/>
      </c>
      <c r="BC320">
        <f ca="1"/>
      </c>
      <c r="BD320">
        <f ca="1"/>
      </c>
      <c r="BE320">
        <f ca="1"/>
      </c>
    </row>
    <row r="321" spans="31:57" x14ac:dyDescent="0.55000000000000004">
      <c r="AE321" s="7">
        <f ca="1"/>
      </c>
      <c r="AF321">
        <f ca="1"/>
      </c>
      <c r="AG321">
        <f ca="1"/>
      </c>
      <c r="AH321">
        <f ca="1"/>
      </c>
      <c r="AI321">
        <f ca="1"/>
      </c>
      <c r="AJ321">
        <f ca="1"/>
      </c>
      <c r="AK321">
        <f ca="1"/>
      </c>
      <c r="AL321">
        <f ca="1"/>
      </c>
      <c r="AM321">
        <f ca="1"/>
      </c>
      <c r="AN321">
        <f ca="1"/>
      </c>
      <c r="AO321">
        <f ca="1"/>
      </c>
      <c r="AP321">
        <f ca="1"/>
      </c>
      <c r="AQ321">
        <f ca="1"/>
      </c>
      <c r="AR321">
        <f ca="1"/>
      </c>
      <c r="AT321" s="7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BA321" s="7">
        <f ca="1"/>
      </c>
      <c r="BB321">
        <f ca="1"/>
      </c>
      <c r="BC321">
        <f ca="1"/>
      </c>
      <c r="BD321">
        <f ca="1"/>
      </c>
      <c r="BE321">
        <f ca="1"/>
      </c>
    </row>
    <row r="322" spans="31:57" x14ac:dyDescent="0.55000000000000004">
      <c r="AE322" s="7">
        <f ca="1"/>
      </c>
      <c r="AF322">
        <f ca="1"/>
      </c>
      <c r="AG322">
        <f ca="1"/>
      </c>
      <c r="AH322">
        <f ca="1"/>
      </c>
      <c r="AI322">
        <f ca="1"/>
      </c>
      <c r="AJ322">
        <f ca="1"/>
      </c>
      <c r="AK322">
        <f ca="1"/>
      </c>
      <c r="AL322">
        <f ca="1"/>
      </c>
      <c r="AM322">
        <f ca="1"/>
      </c>
      <c r="AN322">
        <f ca="1"/>
      </c>
      <c r="AO322">
        <f ca="1"/>
      </c>
      <c r="AP322">
        <f ca="1"/>
      </c>
      <c r="AQ322">
        <f ca="1"/>
      </c>
      <c r="AR322">
        <f ca="1"/>
      </c>
      <c r="AT322" s="7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BA322" s="7">
        <f ca="1"/>
      </c>
      <c r="BB322">
        <f ca="1"/>
      </c>
      <c r="BC322">
        <f ca="1"/>
      </c>
      <c r="BD322">
        <f ca="1"/>
      </c>
      <c r="BE322">
        <f ca="1"/>
      </c>
    </row>
    <row r="323" spans="31:57" x14ac:dyDescent="0.55000000000000004">
      <c r="AE323" s="7">
        <f ca="1"/>
      </c>
      <c r="AF323">
        <f ca="1"/>
      </c>
      <c r="AG323">
        <f ca="1"/>
      </c>
      <c r="AH323">
        <f ca="1"/>
      </c>
      <c r="AI323">
        <f ca="1"/>
      </c>
      <c r="AJ323">
        <f ca="1"/>
      </c>
      <c r="AK323">
        <f ca="1"/>
      </c>
      <c r="AL323">
        <f ca="1"/>
      </c>
      <c r="AM323">
        <f ca="1"/>
      </c>
      <c r="AN323">
        <f ca="1"/>
      </c>
      <c r="AO323">
        <f ca="1"/>
      </c>
      <c r="AP323">
        <f ca="1"/>
      </c>
      <c r="AQ323">
        <f ca="1"/>
      </c>
      <c r="AR323">
        <f ca="1"/>
      </c>
      <c r="AT323" s="7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BA323" s="7">
        <f ca="1"/>
      </c>
      <c r="BB323">
        <f ca="1"/>
      </c>
      <c r="BC323">
        <f ca="1"/>
      </c>
      <c r="BD323">
        <f ca="1"/>
      </c>
      <c r="BE323">
        <f ca="1"/>
      </c>
    </row>
    <row r="324" spans="31:57" x14ac:dyDescent="0.55000000000000004">
      <c r="AE324" s="7">
        <f ca="1"/>
      </c>
      <c r="AF324">
        <f ca="1"/>
      </c>
      <c r="AG324">
        <f ca="1"/>
      </c>
      <c r="AH324">
        <f ca="1"/>
      </c>
      <c r="AI324">
        <f ca="1"/>
      </c>
      <c r="AJ324">
        <f ca="1"/>
      </c>
      <c r="AK324">
        <f ca="1"/>
      </c>
      <c r="AL324">
        <f ca="1"/>
      </c>
      <c r="AM324">
        <f ca="1"/>
      </c>
      <c r="AN324">
        <f ca="1"/>
      </c>
      <c r="AO324">
        <f ca="1"/>
      </c>
      <c r="AP324">
        <f ca="1"/>
      </c>
      <c r="AQ324">
        <f ca="1"/>
      </c>
      <c r="AR324">
        <f ca="1"/>
      </c>
      <c r="AT324" s="7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BA324" s="7">
        <f ca="1"/>
      </c>
      <c r="BB324">
        <f ca="1"/>
      </c>
      <c r="BC324">
        <f ca="1"/>
      </c>
      <c r="BD324">
        <f ca="1"/>
      </c>
      <c r="BE324">
        <f ca="1"/>
      </c>
    </row>
    <row r="325" spans="31:57" x14ac:dyDescent="0.55000000000000004">
      <c r="AE325" s="7">
        <f ca="1"/>
      </c>
      <c r="AF325">
        <f ca="1"/>
      </c>
      <c r="AG325">
        <f ca="1"/>
      </c>
      <c r="AH325">
        <f ca="1"/>
      </c>
      <c r="AI325">
        <f ca="1"/>
      </c>
      <c r="AJ325">
        <f ca="1"/>
      </c>
      <c r="AK325">
        <f ca="1"/>
      </c>
      <c r="AL325">
        <f ca="1"/>
      </c>
      <c r="AM325">
        <f ca="1"/>
      </c>
      <c r="AN325">
        <f ca="1"/>
      </c>
      <c r="AO325">
        <f ca="1"/>
      </c>
      <c r="AP325">
        <f ca="1"/>
      </c>
      <c r="AQ325">
        <f ca="1"/>
      </c>
      <c r="AR325">
        <f ca="1"/>
      </c>
      <c r="AT325" s="7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BA325" s="7">
        <f ca="1"/>
      </c>
      <c r="BB325">
        <f ca="1"/>
      </c>
      <c r="BC325">
        <f ca="1"/>
      </c>
      <c r="BD325">
        <f ca="1"/>
      </c>
      <c r="BE325">
        <f ca="1"/>
      </c>
    </row>
    <row r="326" spans="31:57" x14ac:dyDescent="0.55000000000000004">
      <c r="AE326" s="7">
        <f ca="1"/>
      </c>
      <c r="AF326">
        <f ca="1"/>
      </c>
      <c r="AG326">
        <f ca="1"/>
      </c>
      <c r="AH326">
        <f ca="1"/>
      </c>
      <c r="AI326">
        <f ca="1"/>
      </c>
      <c r="AJ326">
        <f ca="1"/>
      </c>
      <c r="AK326">
        <f ca="1"/>
      </c>
      <c r="AL326">
        <f ca="1"/>
      </c>
      <c r="AM326">
        <f ca="1"/>
      </c>
      <c r="AN326">
        <f ca="1"/>
      </c>
      <c r="AO326">
        <f ca="1"/>
      </c>
      <c r="AP326">
        <f ca="1"/>
      </c>
      <c r="AQ326">
        <f ca="1"/>
      </c>
      <c r="AR326">
        <f ca="1"/>
      </c>
      <c r="AT326" s="7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BA326" s="7">
        <f ca="1"/>
      </c>
      <c r="BB326">
        <f ca="1"/>
      </c>
      <c r="BC326">
        <f ca="1"/>
      </c>
      <c r="BD326">
        <f ca="1"/>
      </c>
      <c r="BE326">
        <f ca="1"/>
      </c>
    </row>
    <row r="327" spans="31:57" x14ac:dyDescent="0.55000000000000004">
      <c r="AE327" s="7">
        <f ca="1"/>
      </c>
      <c r="AF327">
        <f ca="1"/>
      </c>
      <c r="AG327">
        <f ca="1"/>
      </c>
      <c r="AH327">
        <f ca="1"/>
      </c>
      <c r="AI327">
        <f ca="1"/>
      </c>
      <c r="AJ327">
        <f ca="1"/>
      </c>
      <c r="AK327">
        <f ca="1"/>
      </c>
      <c r="AL327">
        <f ca="1"/>
      </c>
      <c r="AM327">
        <f ca="1"/>
      </c>
      <c r="AN327">
        <f ca="1"/>
      </c>
      <c r="AO327">
        <f ca="1"/>
      </c>
      <c r="AP327">
        <f ca="1"/>
      </c>
      <c r="AQ327">
        <f ca="1"/>
      </c>
      <c r="AR327">
        <f ca="1"/>
      </c>
      <c r="AT327" s="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BA327" s="7">
        <f ca="1"/>
      </c>
      <c r="BB327">
        <f ca="1"/>
      </c>
      <c r="BC327">
        <f ca="1"/>
      </c>
      <c r="BD327">
        <f ca="1"/>
      </c>
      <c r="BE327">
        <f ca="1"/>
      </c>
    </row>
    <row r="328" spans="31:57" x14ac:dyDescent="0.55000000000000004">
      <c r="AE328" s="7">
        <f ca="1"/>
      </c>
      <c r="AF328">
        <f ca="1"/>
      </c>
      <c r="AG328">
        <f ca="1"/>
      </c>
      <c r="AH328">
        <f ca="1"/>
      </c>
      <c r="AI328">
        <f ca="1"/>
      </c>
      <c r="AJ328">
        <f ca="1"/>
      </c>
      <c r="AK328">
        <f ca="1"/>
      </c>
      <c r="AL328">
        <f ca="1"/>
      </c>
      <c r="AM328">
        <f ca="1"/>
      </c>
      <c r="AN328">
        <f ca="1"/>
      </c>
      <c r="AO328">
        <f ca="1"/>
      </c>
      <c r="AP328">
        <f ca="1"/>
      </c>
      <c r="AQ328">
        <f ca="1"/>
      </c>
      <c r="AR328">
        <f ca="1"/>
      </c>
      <c r="AT328" s="7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BA328" s="7">
        <f ca="1"/>
      </c>
      <c r="BB328">
        <f ca="1"/>
      </c>
      <c r="BC328">
        <f ca="1"/>
      </c>
      <c r="BD328">
        <f ca="1"/>
      </c>
      <c r="BE328">
        <f ca="1"/>
      </c>
    </row>
    <row r="329" spans="31:57" x14ac:dyDescent="0.55000000000000004">
      <c r="AE329" s="7">
        <f ca="1"/>
      </c>
      <c r="AF329">
        <f ca="1"/>
      </c>
      <c r="AG329">
        <f ca="1"/>
      </c>
      <c r="AH329">
        <f ca="1"/>
      </c>
      <c r="AI329">
        <f ca="1"/>
      </c>
      <c r="AJ329">
        <f ca="1"/>
      </c>
      <c r="AK329">
        <f ca="1"/>
      </c>
      <c r="AL329">
        <f ca="1"/>
      </c>
      <c r="AM329">
        <f ca="1"/>
      </c>
      <c r="AN329">
        <f ca="1"/>
      </c>
      <c r="AO329">
        <f ca="1"/>
      </c>
      <c r="AP329">
        <f ca="1"/>
      </c>
      <c r="AQ329">
        <f ca="1"/>
      </c>
      <c r="AR329">
        <f ca="1"/>
      </c>
      <c r="AT329" s="7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BA329" s="7">
        <f ca="1"/>
      </c>
      <c r="BB329">
        <f ca="1"/>
      </c>
      <c r="BC329">
        <f ca="1"/>
      </c>
      <c r="BD329">
        <f ca="1"/>
      </c>
      <c r="BE329">
        <f ca="1"/>
      </c>
    </row>
    <row r="330" spans="31:57" x14ac:dyDescent="0.55000000000000004">
      <c r="AE330" s="7">
        <f ca="1"/>
      </c>
      <c r="AF330">
        <f ca="1"/>
      </c>
      <c r="AG330">
        <f ca="1"/>
      </c>
      <c r="AH330">
        <f ca="1"/>
      </c>
      <c r="AI330">
        <f ca="1"/>
      </c>
      <c r="AJ330">
        <f ca="1"/>
      </c>
      <c r="AK330">
        <f ca="1"/>
      </c>
      <c r="AL330">
        <f ca="1"/>
      </c>
      <c r="AM330">
        <f ca="1"/>
      </c>
      <c r="AN330">
        <f ca="1"/>
      </c>
      <c r="AO330">
        <f ca="1"/>
      </c>
      <c r="AP330">
        <f ca="1"/>
      </c>
      <c r="AQ330">
        <f ca="1"/>
      </c>
      <c r="AR330">
        <f ca="1"/>
      </c>
      <c r="AT330" s="7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BA330" s="7">
        <f ca="1"/>
      </c>
      <c r="BB330">
        <f ca="1"/>
      </c>
      <c r="BC330">
        <f ca="1"/>
      </c>
      <c r="BD330">
        <f ca="1"/>
      </c>
      <c r="BE330">
        <f ca="1"/>
      </c>
    </row>
    <row r="331" spans="31:57" x14ac:dyDescent="0.55000000000000004">
      <c r="AE331" s="7">
        <f ca="1"/>
      </c>
      <c r="AF331">
        <f ca="1"/>
      </c>
      <c r="AG331">
        <f ca="1"/>
      </c>
      <c r="AH331">
        <f ca="1"/>
      </c>
      <c r="AI331">
        <f ca="1"/>
      </c>
      <c r="AJ331">
        <f ca="1"/>
      </c>
      <c r="AK331">
        <f ca="1"/>
      </c>
      <c r="AL331">
        <f ca="1"/>
      </c>
      <c r="AM331">
        <f ca="1"/>
      </c>
      <c r="AN331">
        <f ca="1"/>
      </c>
      <c r="AO331">
        <f ca="1"/>
      </c>
      <c r="AP331">
        <f ca="1"/>
      </c>
      <c r="AQ331">
        <f ca="1"/>
      </c>
      <c r="AR331">
        <f ca="1"/>
      </c>
      <c r="AT331" s="7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BA331" s="7">
        <f ca="1"/>
      </c>
      <c r="BB331">
        <f ca="1"/>
      </c>
      <c r="BC331">
        <f ca="1"/>
      </c>
      <c r="BD331">
        <f ca="1"/>
      </c>
      <c r="BE331">
        <f ca="1"/>
      </c>
    </row>
    <row r="332" spans="31:57" x14ac:dyDescent="0.55000000000000004">
      <c r="AE332" s="7">
        <f ca="1"/>
      </c>
      <c r="AF332">
        <f ca="1"/>
      </c>
      <c r="AG332">
        <f ca="1"/>
      </c>
      <c r="AH332">
        <f ca="1"/>
      </c>
      <c r="AI332">
        <f ca="1"/>
      </c>
      <c r="AJ332">
        <f ca="1"/>
      </c>
      <c r="AK332">
        <f ca="1"/>
      </c>
      <c r="AL332">
        <f ca="1"/>
      </c>
      <c r="AM332">
        <f ca="1"/>
      </c>
      <c r="AN332">
        <f ca="1"/>
      </c>
      <c r="AO332">
        <f ca="1"/>
      </c>
      <c r="AP332">
        <f ca="1"/>
      </c>
      <c r="AQ332">
        <f ca="1"/>
      </c>
      <c r="AR332">
        <f ca="1"/>
      </c>
      <c r="AT332" s="7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BA332" s="7">
        <f ca="1"/>
      </c>
      <c r="BB332">
        <f ca="1"/>
      </c>
      <c r="BC332">
        <f ca="1"/>
      </c>
      <c r="BD332">
        <f ca="1"/>
      </c>
      <c r="BE332">
        <f ca="1"/>
      </c>
    </row>
    <row r="333" spans="31:57" x14ac:dyDescent="0.55000000000000004">
      <c r="AE333" s="7">
        <f ca="1"/>
      </c>
      <c r="AF333">
        <f ca="1"/>
      </c>
      <c r="AG333">
        <f ca="1"/>
      </c>
      <c r="AH333">
        <f ca="1"/>
      </c>
      <c r="AI333">
        <f ca="1"/>
      </c>
      <c r="AJ333">
        <f ca="1"/>
      </c>
      <c r="AK333">
        <f ca="1"/>
      </c>
      <c r="AL333">
        <f ca="1"/>
      </c>
      <c r="AM333">
        <f ca="1"/>
      </c>
      <c r="AN333">
        <f ca="1"/>
      </c>
      <c r="AO333">
        <f ca="1"/>
      </c>
      <c r="AP333">
        <f ca="1"/>
      </c>
      <c r="AQ333">
        <f ca="1"/>
      </c>
      <c r="AR333">
        <f ca="1"/>
      </c>
      <c r="AT333" s="7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BA333" s="7">
        <f ca="1"/>
      </c>
      <c r="BB333">
        <f ca="1"/>
      </c>
      <c r="BC333">
        <f ca="1"/>
      </c>
      <c r="BD333">
        <f ca="1"/>
      </c>
      <c r="BE333">
        <f ca="1"/>
      </c>
    </row>
    <row r="334" spans="31:57" x14ac:dyDescent="0.55000000000000004">
      <c r="AE334" s="7">
        <f ca="1"/>
      </c>
      <c r="AF334">
        <f ca="1"/>
      </c>
      <c r="AG334">
        <f ca="1"/>
      </c>
      <c r="AH334">
        <f ca="1"/>
      </c>
      <c r="AI334">
        <f ca="1"/>
      </c>
      <c r="AJ334">
        <f ca="1"/>
      </c>
      <c r="AK334">
        <f ca="1"/>
      </c>
      <c r="AL334">
        <f ca="1"/>
      </c>
      <c r="AM334">
        <f ca="1"/>
      </c>
      <c r="AN334">
        <f ca="1"/>
      </c>
      <c r="AO334">
        <f ca="1"/>
      </c>
      <c r="AP334">
        <f ca="1"/>
      </c>
      <c r="AQ334">
        <f ca="1"/>
      </c>
      <c r="AR334">
        <f ca="1"/>
      </c>
      <c r="AT334" s="7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BA334" s="7">
        <f ca="1"/>
      </c>
      <c r="BB334">
        <f ca="1"/>
      </c>
      <c r="BC334">
        <f ca="1"/>
      </c>
      <c r="BD334">
        <f ca="1"/>
      </c>
      <c r="BE334">
        <f ca="1"/>
      </c>
    </row>
    <row r="335" spans="31:57" x14ac:dyDescent="0.55000000000000004">
      <c r="AE335" s="7">
        <f ca="1"/>
      </c>
      <c r="AF335">
        <f ca="1"/>
      </c>
      <c r="AG335">
        <f ca="1"/>
      </c>
      <c r="AH335">
        <f ca="1"/>
      </c>
      <c r="AI335">
        <f ca="1"/>
      </c>
      <c r="AJ335">
        <f ca="1"/>
      </c>
      <c r="AK335">
        <f ca="1"/>
      </c>
      <c r="AL335">
        <f ca="1"/>
      </c>
      <c r="AM335">
        <f ca="1"/>
      </c>
      <c r="AN335">
        <f ca="1"/>
      </c>
      <c r="AO335">
        <f ca="1"/>
      </c>
      <c r="AP335">
        <f ca="1"/>
      </c>
      <c r="AQ335">
        <f ca="1"/>
      </c>
      <c r="AR335">
        <f ca="1"/>
      </c>
      <c r="AT335" s="7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BA335" s="7">
        <f ca="1"/>
      </c>
      <c r="BB335">
        <f ca="1"/>
      </c>
      <c r="BC335">
        <f ca="1"/>
      </c>
      <c r="BD335">
        <f ca="1"/>
      </c>
      <c r="BE335">
        <f ca="1"/>
      </c>
    </row>
    <row r="336" spans="31:57" x14ac:dyDescent="0.55000000000000004">
      <c r="AE336" s="7">
        <f ca="1"/>
      </c>
      <c r="AF336">
        <f ca="1"/>
      </c>
      <c r="AG336">
        <f ca="1"/>
      </c>
      <c r="AH336">
        <f ca="1"/>
      </c>
      <c r="AI336">
        <f ca="1"/>
      </c>
      <c r="AJ336">
        <f ca="1"/>
      </c>
      <c r="AK336">
        <f ca="1"/>
      </c>
      <c r="AL336">
        <f ca="1"/>
      </c>
      <c r="AM336">
        <f ca="1"/>
      </c>
      <c r="AN336">
        <f ca="1"/>
      </c>
      <c r="AO336">
        <f ca="1"/>
      </c>
      <c r="AP336">
        <f ca="1"/>
      </c>
      <c r="AQ336">
        <f ca="1"/>
      </c>
      <c r="AR336">
        <f ca="1"/>
      </c>
      <c r="AT336" s="7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BA336" s="7">
        <f ca="1"/>
      </c>
      <c r="BB336">
        <f ca="1"/>
      </c>
      <c r="BC336">
        <f ca="1"/>
      </c>
      <c r="BD336">
        <f ca="1"/>
      </c>
      <c r="BE336">
        <f ca="1"/>
      </c>
    </row>
    <row r="337" spans="31:57" x14ac:dyDescent="0.55000000000000004">
      <c r="AE337" s="7">
        <f ca="1"/>
      </c>
      <c r="AF337">
        <f ca="1"/>
      </c>
      <c r="AG337">
        <f ca="1"/>
      </c>
      <c r="AH337">
        <f ca="1"/>
      </c>
      <c r="AI337">
        <f ca="1"/>
      </c>
      <c r="AJ337">
        <f ca="1"/>
      </c>
      <c r="AK337">
        <f ca="1"/>
      </c>
      <c r="AL337">
        <f ca="1"/>
      </c>
      <c r="AM337">
        <f ca="1"/>
      </c>
      <c r="AN337">
        <f ca="1"/>
      </c>
      <c r="AO337">
        <f ca="1"/>
      </c>
      <c r="AP337">
        <f ca="1"/>
      </c>
      <c r="AQ337">
        <f ca="1"/>
      </c>
      <c r="AR337">
        <f ca="1"/>
      </c>
      <c r="AT337" s="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BA337" s="7">
        <f ca="1"/>
      </c>
      <c r="BB337">
        <f ca="1"/>
      </c>
      <c r="BC337">
        <f ca="1"/>
      </c>
      <c r="BD337">
        <f ca="1"/>
      </c>
      <c r="BE337">
        <f ca="1"/>
      </c>
    </row>
    <row r="338" spans="31:57" x14ac:dyDescent="0.55000000000000004">
      <c r="AE338" s="7">
        <f ca="1"/>
      </c>
      <c r="AF338">
        <f ca="1"/>
      </c>
      <c r="AG338">
        <f ca="1"/>
      </c>
      <c r="AH338">
        <f ca="1"/>
      </c>
      <c r="AI338">
        <f ca="1"/>
      </c>
      <c r="AJ338">
        <f ca="1"/>
      </c>
      <c r="AK338">
        <f ca="1"/>
      </c>
      <c r="AL338">
        <f ca="1"/>
      </c>
      <c r="AM338">
        <f ca="1"/>
      </c>
      <c r="AN338">
        <f ca="1"/>
      </c>
      <c r="AO338">
        <f ca="1"/>
      </c>
      <c r="AP338">
        <f ca="1"/>
      </c>
      <c r="AQ338">
        <f ca="1"/>
      </c>
      <c r="AR338">
        <f ca="1"/>
      </c>
      <c r="AT338" s="7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BA338" s="7">
        <f ca="1"/>
      </c>
      <c r="BB338">
        <f ca="1"/>
      </c>
      <c r="BC338">
        <f ca="1"/>
      </c>
      <c r="BD338">
        <f ca="1"/>
      </c>
      <c r="BE338">
        <f ca="1"/>
      </c>
    </row>
    <row r="339" spans="31:57" x14ac:dyDescent="0.55000000000000004">
      <c r="AE339" s="7">
        <f ca="1"/>
      </c>
      <c r="AF339">
        <f ca="1"/>
      </c>
      <c r="AG339">
        <f ca="1"/>
      </c>
      <c r="AH339">
        <f ca="1"/>
      </c>
      <c r="AI339">
        <f ca="1"/>
      </c>
      <c r="AJ339">
        <f ca="1"/>
      </c>
      <c r="AK339">
        <f ca="1"/>
      </c>
      <c r="AL339">
        <f ca="1"/>
      </c>
      <c r="AM339">
        <f ca="1"/>
      </c>
      <c r="AN339">
        <f ca="1"/>
      </c>
      <c r="AO339">
        <f ca="1"/>
      </c>
      <c r="AP339">
        <f ca="1"/>
      </c>
      <c r="AQ339">
        <f ca="1"/>
      </c>
      <c r="AR339">
        <f ca="1"/>
      </c>
      <c r="AT339" s="7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BA339" s="7">
        <f ca="1"/>
      </c>
      <c r="BB339">
        <f ca="1"/>
      </c>
      <c r="BC339">
        <f ca="1"/>
      </c>
      <c r="BD339">
        <f ca="1"/>
      </c>
      <c r="BE339">
        <f ca="1"/>
      </c>
    </row>
    <row r="340" spans="31:57" x14ac:dyDescent="0.55000000000000004">
      <c r="AE340" s="7">
        <f ca="1"/>
      </c>
      <c r="AF340">
        <f ca="1"/>
      </c>
      <c r="AG340">
        <f ca="1"/>
      </c>
      <c r="AH340">
        <f ca="1"/>
      </c>
      <c r="AI340">
        <f ca="1"/>
      </c>
      <c r="AJ340">
        <f ca="1"/>
      </c>
      <c r="AK340">
        <f ca="1"/>
      </c>
      <c r="AL340">
        <f ca="1"/>
      </c>
      <c r="AM340">
        <f ca="1"/>
      </c>
      <c r="AN340">
        <f ca="1"/>
      </c>
      <c r="AO340">
        <f ca="1"/>
      </c>
      <c r="AP340">
        <f ca="1"/>
      </c>
      <c r="AQ340">
        <f ca="1"/>
      </c>
      <c r="AR340">
        <f ca="1"/>
      </c>
      <c r="AT340" s="7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BA340" s="7">
        <f ca="1"/>
      </c>
      <c r="BB340">
        <f ca="1"/>
      </c>
      <c r="BC340">
        <f ca="1"/>
      </c>
      <c r="BD340">
        <f ca="1"/>
      </c>
      <c r="BE340">
        <f ca="1"/>
      </c>
    </row>
    <row r="341" spans="31:57" x14ac:dyDescent="0.55000000000000004">
      <c r="AE341" s="7">
        <f ca="1"/>
      </c>
      <c r="AF341">
        <f ca="1"/>
      </c>
      <c r="AG341">
        <f ca="1"/>
      </c>
      <c r="AH341">
        <f ca="1"/>
      </c>
      <c r="AI341">
        <f ca="1"/>
      </c>
      <c r="AJ341">
        <f ca="1"/>
      </c>
      <c r="AK341">
        <f ca="1"/>
      </c>
      <c r="AL341">
        <f ca="1"/>
      </c>
      <c r="AM341">
        <f ca="1"/>
      </c>
      <c r="AN341">
        <f ca="1"/>
      </c>
      <c r="AO341">
        <f ca="1"/>
      </c>
      <c r="AP341">
        <f ca="1"/>
      </c>
      <c r="AQ341">
        <f ca="1"/>
      </c>
      <c r="AR341">
        <f ca="1"/>
      </c>
      <c r="AT341" s="7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BA341" s="7">
        <f ca="1"/>
      </c>
      <c r="BB341">
        <f ca="1"/>
      </c>
      <c r="BC341">
        <f ca="1"/>
      </c>
      <c r="BD341">
        <f ca="1"/>
      </c>
      <c r="BE341">
        <f ca="1"/>
      </c>
    </row>
    <row r="342" spans="31:57" x14ac:dyDescent="0.55000000000000004">
      <c r="AE342" s="7">
        <f ca="1"/>
      </c>
      <c r="AF342">
        <f ca="1"/>
      </c>
      <c r="AG342">
        <f ca="1"/>
      </c>
      <c r="AH342">
        <f ca="1"/>
      </c>
      <c r="AI342">
        <f ca="1"/>
      </c>
      <c r="AJ342">
        <f ca="1"/>
      </c>
      <c r="AK342">
        <f ca="1"/>
      </c>
      <c r="AL342">
        <f ca="1"/>
      </c>
      <c r="AM342">
        <f ca="1"/>
      </c>
      <c r="AN342">
        <f ca="1"/>
      </c>
      <c r="AO342">
        <f ca="1"/>
      </c>
      <c r="AP342">
        <f ca="1"/>
      </c>
      <c r="AQ342">
        <f ca="1"/>
      </c>
      <c r="AR342">
        <f ca="1"/>
      </c>
      <c r="AT342" s="7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BA342" s="7">
        <f ca="1"/>
      </c>
      <c r="BB342">
        <f ca="1"/>
      </c>
      <c r="BC342">
        <f ca="1"/>
      </c>
      <c r="BD342">
        <f ca="1"/>
      </c>
      <c r="BE342">
        <f ca="1"/>
      </c>
    </row>
    <row r="343" spans="31:57" x14ac:dyDescent="0.55000000000000004">
      <c r="AE343" s="7">
        <f ca="1"/>
      </c>
      <c r="AF343">
        <f ca="1"/>
      </c>
      <c r="AG343">
        <f ca="1"/>
      </c>
      <c r="AH343">
        <f ca="1"/>
      </c>
      <c r="AI343">
        <f ca="1"/>
      </c>
      <c r="AJ343">
        <f ca="1"/>
      </c>
      <c r="AK343">
        <f ca="1"/>
      </c>
      <c r="AL343">
        <f ca="1"/>
      </c>
      <c r="AM343">
        <f ca="1"/>
      </c>
      <c r="AN343">
        <f ca="1"/>
      </c>
      <c r="AO343">
        <f ca="1"/>
      </c>
      <c r="AP343">
        <f ca="1"/>
      </c>
      <c r="AQ343">
        <f ca="1"/>
      </c>
      <c r="AR343">
        <f ca="1"/>
      </c>
      <c r="AT343" s="7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BA343" s="7">
        <f ca="1"/>
      </c>
      <c r="BB343">
        <f ca="1"/>
      </c>
      <c r="BC343">
        <f ca="1"/>
      </c>
      <c r="BD343">
        <f ca="1"/>
      </c>
      <c r="BE343">
        <f ca="1"/>
      </c>
    </row>
    <row r="344" spans="31:57" x14ac:dyDescent="0.55000000000000004">
      <c r="AE344" s="7">
        <f ca="1"/>
      </c>
      <c r="AF344">
        <f ca="1"/>
      </c>
      <c r="AG344">
        <f ca="1"/>
      </c>
      <c r="AH344">
        <f ca="1"/>
      </c>
      <c r="AI344">
        <f ca="1"/>
      </c>
      <c r="AJ344">
        <f ca="1"/>
      </c>
      <c r="AK344">
        <f ca="1"/>
      </c>
      <c r="AL344">
        <f ca="1"/>
      </c>
      <c r="AM344">
        <f ca="1"/>
      </c>
      <c r="AN344">
        <f ca="1"/>
      </c>
      <c r="AO344">
        <f ca="1"/>
      </c>
      <c r="AP344">
        <f ca="1"/>
      </c>
      <c r="AQ344">
        <f ca="1"/>
      </c>
      <c r="AR344">
        <f ca="1"/>
      </c>
      <c r="AT344" s="7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BA344" s="7">
        <f ca="1"/>
      </c>
      <c r="BB344">
        <f ca="1"/>
      </c>
      <c r="BC344">
        <f ca="1"/>
      </c>
      <c r="BD344">
        <f ca="1"/>
      </c>
      <c r="BE344">
        <f ca="1"/>
      </c>
    </row>
    <row r="345" spans="31:57" x14ac:dyDescent="0.55000000000000004">
      <c r="AE345" s="7">
        <f ca="1"/>
      </c>
      <c r="AF345">
        <f ca="1"/>
      </c>
      <c r="AG345">
        <f ca="1"/>
      </c>
      <c r="AH345">
        <f ca="1"/>
      </c>
      <c r="AI345">
        <f ca="1"/>
      </c>
      <c r="AJ345">
        <f ca="1"/>
      </c>
      <c r="AK345">
        <f ca="1"/>
      </c>
      <c r="AL345">
        <f ca="1"/>
      </c>
      <c r="AM345">
        <f ca="1"/>
      </c>
      <c r="AN345">
        <f ca="1"/>
      </c>
      <c r="AO345">
        <f ca="1"/>
      </c>
      <c r="AP345">
        <f ca="1"/>
      </c>
      <c r="AQ345">
        <f ca="1"/>
      </c>
      <c r="AR345">
        <f ca="1"/>
      </c>
      <c r="AT345" s="7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BA345" s="7">
        <f ca="1"/>
      </c>
      <c r="BB345">
        <f ca="1"/>
      </c>
      <c r="BC345">
        <f ca="1"/>
      </c>
      <c r="BD345">
        <f ca="1"/>
      </c>
      <c r="BE345">
        <f ca="1"/>
      </c>
    </row>
    <row r="346" spans="31:57" x14ac:dyDescent="0.55000000000000004">
      <c r="AE346" s="7">
        <f ca="1"/>
      </c>
      <c r="AF346">
        <f ca="1"/>
      </c>
      <c r="AG346">
        <f ca="1"/>
      </c>
      <c r="AH346">
        <f ca="1"/>
      </c>
      <c r="AI346">
        <f ca="1"/>
      </c>
      <c r="AJ346">
        <f ca="1"/>
      </c>
      <c r="AK346">
        <f ca="1"/>
      </c>
      <c r="AL346">
        <f ca="1"/>
      </c>
      <c r="AM346">
        <f ca="1"/>
      </c>
      <c r="AN346">
        <f ca="1"/>
      </c>
      <c r="AO346">
        <f ca="1"/>
      </c>
      <c r="AP346">
        <f ca="1"/>
      </c>
      <c r="AQ346">
        <f ca="1"/>
      </c>
      <c r="AR346">
        <f ca="1"/>
      </c>
      <c r="AT346" s="7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BA346" s="7">
        <f ca="1"/>
      </c>
      <c r="BB346">
        <f ca="1"/>
      </c>
      <c r="BC346">
        <f ca="1"/>
      </c>
      <c r="BD346">
        <f ca="1"/>
      </c>
      <c r="BE346">
        <f ca="1"/>
      </c>
    </row>
    <row r="347" spans="31:57" x14ac:dyDescent="0.55000000000000004">
      <c r="AE347" s="7">
        <f ca="1"/>
      </c>
      <c r="AF347">
        <f ca="1"/>
      </c>
      <c r="AG347">
        <f ca="1"/>
      </c>
      <c r="AH347">
        <f ca="1"/>
      </c>
      <c r="AI347">
        <f ca="1"/>
      </c>
      <c r="AJ347">
        <f ca="1"/>
      </c>
      <c r="AK347">
        <f ca="1"/>
      </c>
      <c r="AL347">
        <f ca="1"/>
      </c>
      <c r="AM347">
        <f ca="1"/>
      </c>
      <c r="AN347">
        <f ca="1"/>
      </c>
      <c r="AO347">
        <f ca="1"/>
      </c>
      <c r="AP347">
        <f ca="1"/>
      </c>
      <c r="AQ347">
        <f ca="1"/>
      </c>
      <c r="AR347">
        <f ca="1"/>
      </c>
      <c r="AT347" s="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BA347" s="7">
        <f ca="1"/>
      </c>
      <c r="BB347">
        <f ca="1"/>
      </c>
      <c r="BC347">
        <f ca="1"/>
      </c>
      <c r="BD347">
        <f ca="1"/>
      </c>
      <c r="BE347">
        <f ca="1"/>
      </c>
    </row>
    <row r="348" spans="31:57" x14ac:dyDescent="0.55000000000000004">
      <c r="AE348" s="7">
        <f ca="1"/>
      </c>
      <c r="AF348">
        <f ca="1"/>
      </c>
      <c r="AG348">
        <f ca="1"/>
      </c>
      <c r="AH348">
        <f ca="1"/>
      </c>
      <c r="AI348">
        <f ca="1"/>
      </c>
      <c r="AJ348">
        <f ca="1"/>
      </c>
      <c r="AK348">
        <f ca="1"/>
      </c>
      <c r="AL348">
        <f ca="1"/>
      </c>
      <c r="AM348">
        <f ca="1"/>
      </c>
      <c r="AN348">
        <f ca="1"/>
      </c>
      <c r="AO348">
        <f ca="1"/>
      </c>
      <c r="AP348">
        <f ca="1"/>
      </c>
      <c r="AQ348">
        <f ca="1"/>
      </c>
      <c r="AR348">
        <f ca="1"/>
      </c>
      <c r="AT348" s="7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BA348" s="7">
        <f ca="1"/>
      </c>
      <c r="BB348">
        <f ca="1"/>
      </c>
      <c r="BC348">
        <f ca="1"/>
      </c>
      <c r="BD348">
        <f ca="1"/>
      </c>
      <c r="BE348">
        <f ca="1"/>
      </c>
    </row>
    <row r="349" spans="31:57" x14ac:dyDescent="0.55000000000000004">
      <c r="AE349" s="7">
        <f ca="1"/>
      </c>
      <c r="AF349">
        <f ca="1"/>
      </c>
      <c r="AG349">
        <f ca="1"/>
      </c>
      <c r="AH349">
        <f ca="1"/>
      </c>
      <c r="AI349">
        <f ca="1"/>
      </c>
      <c r="AJ349">
        <f ca="1"/>
      </c>
      <c r="AK349">
        <f ca="1"/>
      </c>
      <c r="AL349">
        <f ca="1"/>
      </c>
      <c r="AM349">
        <f ca="1"/>
      </c>
      <c r="AN349">
        <f ca="1"/>
      </c>
      <c r="AO349">
        <f ca="1"/>
      </c>
      <c r="AP349">
        <f ca="1"/>
      </c>
      <c r="AQ349">
        <f ca="1"/>
      </c>
      <c r="AR349">
        <f ca="1"/>
      </c>
      <c r="AT349" s="7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BA349" s="7">
        <f ca="1"/>
      </c>
      <c r="BB349">
        <f ca="1"/>
      </c>
      <c r="BC349">
        <f ca="1"/>
      </c>
      <c r="BD349">
        <f ca="1"/>
      </c>
      <c r="BE349">
        <f ca="1"/>
      </c>
    </row>
    <row r="350" spans="31:57" x14ac:dyDescent="0.55000000000000004">
      <c r="AE350" s="7">
        <f ca="1"/>
      </c>
      <c r="AF350">
        <f ca="1"/>
      </c>
      <c r="AG350">
        <f ca="1"/>
      </c>
      <c r="AH350">
        <f ca="1"/>
      </c>
      <c r="AI350">
        <f ca="1"/>
      </c>
      <c r="AJ350">
        <f ca="1"/>
      </c>
      <c r="AK350">
        <f ca="1"/>
      </c>
      <c r="AL350">
        <f ca="1"/>
      </c>
      <c r="AM350">
        <f ca="1"/>
      </c>
      <c r="AN350">
        <f ca="1"/>
      </c>
      <c r="AO350">
        <f ca="1"/>
      </c>
      <c r="AP350">
        <f ca="1"/>
      </c>
      <c r="AQ350">
        <f ca="1"/>
      </c>
      <c r="AR350">
        <f ca="1"/>
      </c>
      <c r="AT350" s="7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BA350" s="7">
        <f ca="1"/>
      </c>
      <c r="BB350">
        <f ca="1"/>
      </c>
      <c r="BC350">
        <f ca="1"/>
      </c>
      <c r="BD350">
        <f ca="1"/>
      </c>
      <c r="BE350">
        <f ca="1"/>
      </c>
    </row>
    <row r="351" spans="31:57" x14ac:dyDescent="0.55000000000000004">
      <c r="AE351" s="7">
        <f ca="1"/>
      </c>
      <c r="AF351">
        <f ca="1"/>
      </c>
      <c r="AG351">
        <f ca="1"/>
      </c>
      <c r="AH351">
        <f ca="1"/>
      </c>
      <c r="AI351">
        <f ca="1"/>
      </c>
      <c r="AJ351">
        <f ca="1"/>
      </c>
      <c r="AK351">
        <f ca="1"/>
      </c>
      <c r="AL351">
        <f ca="1"/>
      </c>
      <c r="AM351">
        <f ca="1"/>
      </c>
      <c r="AN351">
        <f ca="1"/>
      </c>
      <c r="AO351">
        <f ca="1"/>
      </c>
      <c r="AP351">
        <f ca="1"/>
      </c>
      <c r="AQ351">
        <f ca="1"/>
      </c>
      <c r="AR351">
        <f ca="1"/>
      </c>
      <c r="AT351" s="7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BA351" s="7">
        <f ca="1"/>
      </c>
      <c r="BB351">
        <f ca="1"/>
      </c>
      <c r="BC351">
        <f ca="1"/>
      </c>
      <c r="BD351">
        <f ca="1"/>
      </c>
      <c r="BE351">
        <f ca="1"/>
      </c>
    </row>
    <row r="352" spans="31:57" x14ac:dyDescent="0.55000000000000004">
      <c r="AE352" s="7">
        <f ca="1"/>
      </c>
      <c r="AF352">
        <f ca="1"/>
      </c>
      <c r="AG352">
        <f ca="1"/>
      </c>
      <c r="AH352">
        <f ca="1"/>
      </c>
      <c r="AI352">
        <f ca="1"/>
      </c>
      <c r="AJ352">
        <f ca="1"/>
      </c>
      <c r="AK352">
        <f ca="1"/>
      </c>
      <c r="AL352">
        <f ca="1"/>
      </c>
      <c r="AM352">
        <f ca="1"/>
      </c>
      <c r="AN352">
        <f ca="1"/>
      </c>
      <c r="AO352">
        <f ca="1"/>
      </c>
      <c r="AP352">
        <f ca="1"/>
      </c>
      <c r="AQ352">
        <f ca="1"/>
      </c>
      <c r="AR352">
        <f ca="1"/>
      </c>
      <c r="AT352" s="7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BA352" s="7">
        <f ca="1"/>
      </c>
      <c r="BB352">
        <f ca="1"/>
      </c>
      <c r="BC352">
        <f ca="1"/>
      </c>
      <c r="BD352">
        <f ca="1"/>
      </c>
      <c r="BE352">
        <f ca="1"/>
      </c>
    </row>
    <row r="353" spans="31:57" x14ac:dyDescent="0.55000000000000004">
      <c r="AE353" s="7">
        <f ca="1"/>
      </c>
      <c r="AF353">
        <f ca="1"/>
      </c>
      <c r="AG353">
        <f ca="1"/>
      </c>
      <c r="AH353">
        <f ca="1"/>
      </c>
      <c r="AI353">
        <f ca="1"/>
      </c>
      <c r="AJ353">
        <f ca="1"/>
      </c>
      <c r="AK353">
        <f ca="1"/>
      </c>
      <c r="AL353">
        <f ca="1"/>
      </c>
      <c r="AM353">
        <f ca="1"/>
      </c>
      <c r="AN353">
        <f ca="1"/>
      </c>
      <c r="AO353">
        <f ca="1"/>
      </c>
      <c r="AP353">
        <f ca="1"/>
      </c>
      <c r="AQ353">
        <f ca="1"/>
      </c>
      <c r="AR353">
        <f ca="1"/>
      </c>
      <c r="AT353" s="7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BA353" s="7">
        <f ca="1"/>
      </c>
      <c r="BB353">
        <f ca="1"/>
      </c>
      <c r="BC353">
        <f ca="1"/>
      </c>
      <c r="BD353">
        <f ca="1"/>
      </c>
      <c r="BE353">
        <f ca="1"/>
      </c>
    </row>
    <row r="354" spans="31:57" x14ac:dyDescent="0.55000000000000004">
      <c r="AE354" s="7">
        <f ca="1"/>
      </c>
      <c r="AF354">
        <f ca="1"/>
      </c>
      <c r="AG354">
        <f ca="1"/>
      </c>
      <c r="AH354">
        <f ca="1"/>
      </c>
      <c r="AI354">
        <f ca="1"/>
      </c>
      <c r="AJ354">
        <f ca="1"/>
      </c>
      <c r="AK354">
        <f ca="1"/>
      </c>
      <c r="AL354">
        <f ca="1"/>
      </c>
      <c r="AM354">
        <f ca="1"/>
      </c>
      <c r="AN354">
        <f ca="1"/>
      </c>
      <c r="AO354">
        <f ca="1"/>
      </c>
      <c r="AP354">
        <f ca="1"/>
      </c>
      <c r="AQ354">
        <f ca="1"/>
      </c>
      <c r="AR354">
        <f ca="1"/>
      </c>
      <c r="AT354" s="7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BA354" s="7">
        <f ca="1"/>
      </c>
      <c r="BB354">
        <f ca="1"/>
      </c>
      <c r="BC354">
        <f ca="1"/>
      </c>
      <c r="BD354">
        <f ca="1"/>
      </c>
      <c r="BE354">
        <f ca="1"/>
      </c>
    </row>
    <row r="355" spans="31:57" x14ac:dyDescent="0.55000000000000004">
      <c r="AE355" s="7">
        <f ca="1"/>
      </c>
      <c r="AF355">
        <f ca="1"/>
      </c>
      <c r="AG355">
        <f ca="1"/>
      </c>
      <c r="AH355">
        <f ca="1"/>
      </c>
      <c r="AI355">
        <f ca="1"/>
      </c>
      <c r="AJ355">
        <f ca="1"/>
      </c>
      <c r="AK355">
        <f ca="1"/>
      </c>
      <c r="AL355">
        <f ca="1"/>
      </c>
      <c r="AM355">
        <f ca="1"/>
      </c>
      <c r="AN355">
        <f ca="1"/>
      </c>
      <c r="AO355">
        <f ca="1"/>
      </c>
      <c r="AP355">
        <f ca="1"/>
      </c>
      <c r="AQ355">
        <f ca="1"/>
      </c>
      <c r="AR355">
        <f ca="1"/>
      </c>
      <c r="AT355" s="7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BA355" s="7">
        <f ca="1"/>
      </c>
      <c r="BB355">
        <f ca="1"/>
      </c>
      <c r="BC355">
        <f ca="1"/>
      </c>
      <c r="BD355">
        <f ca="1"/>
      </c>
      <c r="BE355">
        <f ca="1"/>
      </c>
    </row>
    <row r="356" spans="31:57" x14ac:dyDescent="0.55000000000000004">
      <c r="AE356" s="7">
        <f ca="1"/>
      </c>
      <c r="AF356">
        <f ca="1"/>
      </c>
      <c r="AG356">
        <f ca="1"/>
      </c>
      <c r="AH356">
        <f ca="1"/>
      </c>
      <c r="AI356">
        <f ca="1"/>
      </c>
      <c r="AJ356">
        <f ca="1"/>
      </c>
      <c r="AK356">
        <f ca="1"/>
      </c>
      <c r="AL356">
        <f ca="1"/>
      </c>
      <c r="AM356">
        <f ca="1"/>
      </c>
      <c r="AN356">
        <f ca="1"/>
      </c>
      <c r="AO356">
        <f ca="1"/>
      </c>
      <c r="AP356">
        <f ca="1"/>
      </c>
      <c r="AQ356">
        <f ca="1"/>
      </c>
      <c r="AR356">
        <f ca="1"/>
      </c>
      <c r="AT356" s="7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BA356" s="7">
        <f ca="1"/>
      </c>
      <c r="BB356">
        <f ca="1"/>
      </c>
      <c r="BC356">
        <f ca="1"/>
      </c>
      <c r="BD356">
        <f ca="1"/>
      </c>
      <c r="BE356">
        <f ca="1"/>
      </c>
    </row>
    <row r="357" spans="31:57" x14ac:dyDescent="0.55000000000000004">
      <c r="AE357" s="7">
        <f ca="1"/>
      </c>
      <c r="AF357">
        <f ca="1"/>
      </c>
      <c r="AG357">
        <f ca="1"/>
      </c>
      <c r="AH357">
        <f ca="1"/>
      </c>
      <c r="AI357">
        <f ca="1"/>
      </c>
      <c r="AJ357">
        <f ca="1"/>
      </c>
      <c r="AK357">
        <f ca="1"/>
      </c>
      <c r="AL357">
        <f ca="1"/>
      </c>
      <c r="AM357">
        <f ca="1"/>
      </c>
      <c r="AN357">
        <f ca="1"/>
      </c>
      <c r="AO357">
        <f ca="1"/>
      </c>
      <c r="AP357">
        <f ca="1"/>
      </c>
      <c r="AQ357">
        <f ca="1"/>
      </c>
      <c r="AR357">
        <f ca="1"/>
      </c>
      <c r="AT357" s="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BA357" s="7">
        <f ca="1"/>
      </c>
      <c r="BB357">
        <f ca="1"/>
      </c>
      <c r="BC357">
        <f ca="1"/>
      </c>
      <c r="BD357">
        <f ca="1"/>
      </c>
      <c r="BE357">
        <f ca="1"/>
      </c>
    </row>
    <row r="358" spans="31:57" x14ac:dyDescent="0.55000000000000004">
      <c r="AE358" s="7">
        <f ca="1"/>
      </c>
      <c r="AF358">
        <f ca="1"/>
      </c>
      <c r="AG358">
        <f ca="1"/>
      </c>
      <c r="AH358">
        <f ca="1"/>
      </c>
      <c r="AI358">
        <f ca="1"/>
      </c>
      <c r="AJ358">
        <f ca="1"/>
      </c>
      <c r="AK358">
        <f ca="1"/>
      </c>
      <c r="AL358">
        <f ca="1"/>
      </c>
      <c r="AM358">
        <f ca="1"/>
      </c>
      <c r="AN358">
        <f ca="1"/>
      </c>
      <c r="AO358">
        <f ca="1"/>
      </c>
      <c r="AP358">
        <f ca="1"/>
      </c>
      <c r="AQ358">
        <f ca="1"/>
      </c>
      <c r="AR358">
        <f ca="1"/>
      </c>
      <c r="AT358" s="7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BA358" s="7">
        <f ca="1"/>
      </c>
      <c r="BB358">
        <f ca="1"/>
      </c>
      <c r="BC358">
        <f ca="1"/>
      </c>
      <c r="BD358">
        <f ca="1"/>
      </c>
      <c r="BE358">
        <f ca="1"/>
      </c>
    </row>
    <row r="359" spans="31:57" x14ac:dyDescent="0.55000000000000004">
      <c r="AE359" s="7">
        <f ca="1"/>
      </c>
      <c r="AF359">
        <f ca="1"/>
      </c>
      <c r="AG359">
        <f ca="1"/>
      </c>
      <c r="AH359">
        <f ca="1"/>
      </c>
      <c r="AI359">
        <f ca="1"/>
      </c>
      <c r="AJ359">
        <f ca="1"/>
      </c>
      <c r="AK359">
        <f ca="1"/>
      </c>
      <c r="AL359">
        <f ca="1"/>
      </c>
      <c r="AM359">
        <f ca="1"/>
      </c>
      <c r="AN359">
        <f ca="1"/>
      </c>
      <c r="AO359">
        <f ca="1"/>
      </c>
      <c r="AP359">
        <f ca="1"/>
      </c>
      <c r="AQ359">
        <f ca="1"/>
      </c>
      <c r="AR359">
        <f ca="1"/>
      </c>
      <c r="AT359" s="7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BA359" s="7">
        <f ca="1"/>
      </c>
      <c r="BB359">
        <f ca="1"/>
      </c>
      <c r="BC359">
        <f ca="1"/>
      </c>
      <c r="BD359">
        <f ca="1"/>
      </c>
      <c r="BE359">
        <f ca="1"/>
      </c>
    </row>
    <row r="360" spans="31:57" x14ac:dyDescent="0.55000000000000004">
      <c r="AE360" s="7">
        <f ca="1"/>
      </c>
      <c r="AF360">
        <f ca="1"/>
      </c>
      <c r="AG360">
        <f ca="1"/>
      </c>
      <c r="AH360">
        <f ca="1"/>
      </c>
      <c r="AI360">
        <f ca="1"/>
      </c>
      <c r="AJ360">
        <f ca="1"/>
      </c>
      <c r="AK360">
        <f ca="1"/>
      </c>
      <c r="AL360">
        <f ca="1"/>
      </c>
      <c r="AM360">
        <f ca="1"/>
      </c>
      <c r="AN360">
        <f ca="1"/>
      </c>
      <c r="AO360">
        <f ca="1"/>
      </c>
      <c r="AP360">
        <f ca="1"/>
      </c>
      <c r="AQ360">
        <f ca="1"/>
      </c>
      <c r="AR360">
        <f ca="1"/>
      </c>
      <c r="AT360" s="7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BA360" s="7">
        <f ca="1"/>
      </c>
      <c r="BB360">
        <f ca="1"/>
      </c>
      <c r="BC360">
        <f ca="1"/>
      </c>
      <c r="BD360">
        <f ca="1"/>
      </c>
      <c r="BE360">
        <f ca="1"/>
      </c>
    </row>
    <row r="361" spans="31:57" x14ac:dyDescent="0.55000000000000004">
      <c r="AE361" s="7">
        <f ca="1"/>
      </c>
      <c r="AF361">
        <f ca="1"/>
      </c>
      <c r="AG361">
        <f ca="1"/>
      </c>
      <c r="AH361">
        <f ca="1"/>
      </c>
      <c r="AI361">
        <f ca="1"/>
      </c>
      <c r="AJ361">
        <f ca="1"/>
      </c>
      <c r="AK361">
        <f ca="1"/>
      </c>
      <c r="AL361">
        <f ca="1"/>
      </c>
      <c r="AM361">
        <f ca="1"/>
      </c>
      <c r="AN361">
        <f ca="1"/>
      </c>
      <c r="AO361">
        <f ca="1"/>
      </c>
      <c r="AP361">
        <f ca="1"/>
      </c>
      <c r="AQ361">
        <f ca="1"/>
      </c>
      <c r="AR361">
        <f ca="1"/>
      </c>
      <c r="AT361" s="7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BA361" s="7">
        <f ca="1"/>
      </c>
      <c r="BB361">
        <f ca="1"/>
      </c>
      <c r="BC361">
        <f ca="1"/>
      </c>
      <c r="BD361">
        <f ca="1"/>
      </c>
      <c r="BE361">
        <f ca="1"/>
      </c>
    </row>
    <row r="362" spans="31:57" x14ac:dyDescent="0.55000000000000004">
      <c r="AE362" s="7">
        <f ca="1"/>
      </c>
      <c r="AF362">
        <f ca="1"/>
      </c>
      <c r="AG362">
        <f ca="1"/>
      </c>
      <c r="AH362">
        <f ca="1"/>
      </c>
      <c r="AI362">
        <f ca="1"/>
      </c>
      <c r="AJ362">
        <f ca="1"/>
      </c>
      <c r="AK362">
        <f ca="1"/>
      </c>
      <c r="AL362">
        <f ca="1"/>
      </c>
      <c r="AM362">
        <f ca="1"/>
      </c>
      <c r="AN362">
        <f ca="1"/>
      </c>
      <c r="AO362">
        <f ca="1"/>
      </c>
      <c r="AP362">
        <f ca="1"/>
      </c>
      <c r="AQ362">
        <f ca="1"/>
      </c>
      <c r="AR362">
        <f ca="1"/>
      </c>
      <c r="AT362" s="7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BA362" s="7">
        <f ca="1"/>
      </c>
      <c r="BB362">
        <f ca="1"/>
      </c>
      <c r="BC362">
        <f ca="1"/>
      </c>
      <c r="BD362">
        <f ca="1"/>
      </c>
      <c r="BE362">
        <f ca="1"/>
      </c>
    </row>
    <row r="363" spans="31:57" x14ac:dyDescent="0.55000000000000004">
      <c r="AE363" s="7">
        <f ca="1"/>
      </c>
      <c r="AF363">
        <f ca="1"/>
      </c>
      <c r="AG363">
        <f ca="1"/>
      </c>
      <c r="AH363">
        <f ca="1"/>
      </c>
      <c r="AI363">
        <f ca="1"/>
      </c>
      <c r="AJ363">
        <f ca="1"/>
      </c>
      <c r="AK363">
        <f ca="1"/>
      </c>
      <c r="AL363">
        <f ca="1"/>
      </c>
      <c r="AM363">
        <f ca="1"/>
      </c>
      <c r="AN363">
        <f ca="1"/>
      </c>
      <c r="AO363">
        <f ca="1"/>
      </c>
      <c r="AP363">
        <f ca="1"/>
      </c>
      <c r="AQ363">
        <f ca="1"/>
      </c>
      <c r="AR363">
        <f ca="1"/>
      </c>
      <c r="AT363" s="7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BA363" s="7">
        <f ca="1"/>
      </c>
      <c r="BB363">
        <f ca="1"/>
      </c>
      <c r="BC363">
        <f ca="1"/>
      </c>
      <c r="BD363">
        <f ca="1"/>
      </c>
      <c r="BE363">
        <f ca="1"/>
      </c>
    </row>
    <row r="364" spans="31:57" x14ac:dyDescent="0.55000000000000004">
      <c r="AE364" s="7">
        <f ca="1"/>
      </c>
      <c r="AF364">
        <f ca="1"/>
      </c>
      <c r="AG364">
        <f ca="1"/>
      </c>
      <c r="AH364">
        <f ca="1"/>
      </c>
      <c r="AI364">
        <f ca="1"/>
      </c>
      <c r="AJ364">
        <f ca="1"/>
      </c>
      <c r="AK364">
        <f ca="1"/>
      </c>
      <c r="AL364">
        <f ca="1"/>
      </c>
      <c r="AM364">
        <f ca="1"/>
      </c>
      <c r="AN364">
        <f ca="1"/>
      </c>
      <c r="AO364">
        <f ca="1"/>
      </c>
      <c r="AP364">
        <f ca="1"/>
      </c>
      <c r="AQ364">
        <f ca="1"/>
      </c>
      <c r="AR364">
        <f ca="1"/>
      </c>
      <c r="AT364" s="7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BA364" s="7">
        <f ca="1"/>
      </c>
      <c r="BB364">
        <f ca="1"/>
      </c>
      <c r="BC364">
        <f ca="1"/>
      </c>
      <c r="BD364">
        <f ca="1"/>
      </c>
      <c r="BE364">
        <f ca="1"/>
      </c>
    </row>
    <row r="365" spans="31:57" x14ac:dyDescent="0.55000000000000004">
      <c r="AE365" s="7">
        <f ca="1"/>
      </c>
      <c r="AF365">
        <f ca="1"/>
      </c>
      <c r="AG365">
        <f ca="1"/>
      </c>
      <c r="AH365">
        <f ca="1"/>
      </c>
      <c r="AI365">
        <f ca="1"/>
      </c>
      <c r="AJ365">
        <f ca="1"/>
      </c>
      <c r="AK365">
        <f ca="1"/>
      </c>
      <c r="AL365">
        <f ca="1"/>
      </c>
      <c r="AM365">
        <f ca="1"/>
      </c>
      <c r="AN365">
        <f ca="1"/>
      </c>
      <c r="AO365">
        <f ca="1"/>
      </c>
      <c r="AP365">
        <f ca="1"/>
      </c>
      <c r="AQ365">
        <f ca="1"/>
      </c>
      <c r="AR365">
        <f ca="1"/>
      </c>
      <c r="AT365" s="7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BA365" s="7">
        <f ca="1"/>
      </c>
      <c r="BB365">
        <f ca="1"/>
      </c>
      <c r="BC365">
        <f ca="1"/>
      </c>
      <c r="BD365">
        <f ca="1"/>
      </c>
      <c r="BE365">
        <f ca="1"/>
      </c>
    </row>
    <row r="366" spans="31:57" x14ac:dyDescent="0.55000000000000004">
      <c r="AE366" s="7">
        <f ca="1"/>
      </c>
      <c r="AF366">
        <f ca="1"/>
      </c>
      <c r="AG366">
        <f ca="1"/>
      </c>
      <c r="AH366">
        <f ca="1"/>
      </c>
      <c r="AI366">
        <f ca="1"/>
      </c>
      <c r="AJ366">
        <f ca="1"/>
      </c>
      <c r="AK366">
        <f ca="1"/>
      </c>
      <c r="AL366">
        <f ca="1"/>
      </c>
      <c r="AM366">
        <f ca="1"/>
      </c>
      <c r="AN366">
        <f ca="1"/>
      </c>
      <c r="AO366">
        <f ca="1"/>
      </c>
      <c r="AP366">
        <f ca="1"/>
      </c>
      <c r="AQ366">
        <f ca="1"/>
      </c>
      <c r="AR366">
        <f ca="1"/>
      </c>
      <c r="AT366" s="7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BA366" s="7">
        <f ca="1"/>
      </c>
      <c r="BB366">
        <f ca="1"/>
      </c>
      <c r="BC366">
        <f ca="1"/>
      </c>
      <c r="BD366">
        <f ca="1"/>
      </c>
      <c r="BE366">
        <f ca="1"/>
      </c>
    </row>
    <row r="367" spans="31:57" x14ac:dyDescent="0.55000000000000004">
      <c r="AE367" s="7">
        <f ca="1"/>
      </c>
      <c r="AF367">
        <f ca="1"/>
      </c>
      <c r="AG367">
        <f ca="1"/>
      </c>
      <c r="AH367">
        <f ca="1"/>
      </c>
      <c r="AI367">
        <f ca="1"/>
      </c>
      <c r="AJ367">
        <f ca="1"/>
      </c>
      <c r="AK367">
        <f ca="1"/>
      </c>
      <c r="AL367">
        <f ca="1"/>
      </c>
      <c r="AM367">
        <f ca="1"/>
      </c>
      <c r="AN367">
        <f ca="1"/>
      </c>
      <c r="AO367">
        <f ca="1"/>
      </c>
      <c r="AP367">
        <f ca="1"/>
      </c>
      <c r="AQ367">
        <f ca="1"/>
      </c>
      <c r="AR367">
        <f ca="1"/>
      </c>
      <c r="AT367" s="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BA367" s="7">
        <f ca="1"/>
      </c>
      <c r="BB367">
        <f ca="1"/>
      </c>
      <c r="BC367">
        <f ca="1"/>
      </c>
      <c r="BD367">
        <f ca="1"/>
      </c>
      <c r="BE367">
        <f ca="1"/>
      </c>
    </row>
    <row r="368" spans="31:57" x14ac:dyDescent="0.55000000000000004">
      <c r="AE368" s="7">
        <f ca="1"/>
      </c>
      <c r="AF368">
        <f ca="1"/>
      </c>
      <c r="AG368">
        <f ca="1"/>
      </c>
      <c r="AH368">
        <f ca="1"/>
      </c>
      <c r="AI368">
        <f ca="1"/>
      </c>
      <c r="AJ368">
        <f ca="1"/>
      </c>
      <c r="AK368">
        <f ca="1"/>
      </c>
      <c r="AL368">
        <f ca="1"/>
      </c>
      <c r="AM368">
        <f ca="1"/>
      </c>
      <c r="AN368">
        <f ca="1"/>
      </c>
      <c r="AO368">
        <f ca="1"/>
      </c>
      <c r="AP368">
        <f ca="1"/>
      </c>
      <c r="AQ368">
        <f ca="1"/>
      </c>
      <c r="AR368">
        <f ca="1"/>
      </c>
      <c r="AT368" s="7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BA368" s="7">
        <f ca="1"/>
      </c>
      <c r="BB368">
        <f ca="1"/>
      </c>
      <c r="BC368">
        <f ca="1"/>
      </c>
      <c r="BD368">
        <f ca="1"/>
      </c>
      <c r="BE368">
        <f ca="1"/>
      </c>
    </row>
    <row r="369" spans="31:57" x14ac:dyDescent="0.55000000000000004">
      <c r="AE369" s="7">
        <f ca="1"/>
      </c>
      <c r="AF369">
        <f ca="1"/>
      </c>
      <c r="AG369">
        <f ca="1"/>
      </c>
      <c r="AH369">
        <f ca="1"/>
      </c>
      <c r="AI369">
        <f ca="1"/>
      </c>
      <c r="AJ369">
        <f ca="1"/>
      </c>
      <c r="AK369">
        <f ca="1"/>
      </c>
      <c r="AL369">
        <f ca="1"/>
      </c>
      <c r="AM369">
        <f ca="1"/>
      </c>
      <c r="AN369">
        <f ca="1"/>
      </c>
      <c r="AO369">
        <f ca="1"/>
      </c>
      <c r="AP369">
        <f ca="1"/>
      </c>
      <c r="AQ369">
        <f ca="1"/>
      </c>
      <c r="AR369">
        <f ca="1"/>
      </c>
      <c r="AT369" s="7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BA369" s="7">
        <f ca="1"/>
      </c>
      <c r="BB369">
        <f ca="1"/>
      </c>
      <c r="BC369">
        <f ca="1"/>
      </c>
      <c r="BD369">
        <f ca="1"/>
      </c>
      <c r="BE369">
        <f ca="1"/>
      </c>
    </row>
    <row r="370" spans="31:57" x14ac:dyDescent="0.55000000000000004">
      <c r="AE370" s="7">
        <f ca="1"/>
      </c>
      <c r="AF370">
        <f ca="1"/>
      </c>
      <c r="AG370">
        <f ca="1"/>
      </c>
      <c r="AH370">
        <f ca="1"/>
      </c>
      <c r="AI370">
        <f ca="1"/>
      </c>
      <c r="AJ370">
        <f ca="1"/>
      </c>
      <c r="AK370">
        <f ca="1"/>
      </c>
      <c r="AL370">
        <f ca="1"/>
      </c>
      <c r="AM370">
        <f ca="1"/>
      </c>
      <c r="AN370">
        <f ca="1"/>
      </c>
      <c r="AO370">
        <f ca="1"/>
      </c>
      <c r="AP370">
        <f ca="1"/>
      </c>
      <c r="AQ370">
        <f ca="1"/>
      </c>
      <c r="AR370">
        <f ca="1"/>
      </c>
      <c r="AT370" s="7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BA370" s="7">
        <f ca="1"/>
      </c>
      <c r="BB370">
        <f ca="1"/>
      </c>
      <c r="BC370">
        <f ca="1"/>
      </c>
      <c r="BD370">
        <f ca="1"/>
      </c>
      <c r="BE370">
        <f ca="1"/>
      </c>
    </row>
    <row r="371" spans="31:57" x14ac:dyDescent="0.55000000000000004">
      <c r="AE371" s="7">
        <f ca="1"/>
      </c>
      <c r="AF371">
        <f ca="1"/>
      </c>
      <c r="AG371">
        <f ca="1"/>
      </c>
      <c r="AH371">
        <f ca="1"/>
      </c>
      <c r="AI371">
        <f ca="1"/>
      </c>
      <c r="AJ371">
        <f ca="1"/>
      </c>
      <c r="AK371">
        <f ca="1"/>
      </c>
      <c r="AL371">
        <f ca="1"/>
      </c>
      <c r="AM371">
        <f ca="1"/>
      </c>
      <c r="AN371">
        <f ca="1"/>
      </c>
      <c r="AO371">
        <f ca="1"/>
      </c>
      <c r="AP371">
        <f ca="1"/>
      </c>
      <c r="AQ371">
        <f ca="1"/>
      </c>
      <c r="AR371">
        <f ca="1"/>
      </c>
      <c r="AT371" s="7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BA371" s="7">
        <f ca="1"/>
      </c>
      <c r="BB371">
        <f ca="1"/>
      </c>
      <c r="BC371">
        <f ca="1"/>
      </c>
      <c r="BD371">
        <f ca="1"/>
      </c>
      <c r="BE371">
        <f ca="1"/>
      </c>
    </row>
    <row r="372" spans="31:57" x14ac:dyDescent="0.55000000000000004">
      <c r="AE372" s="7">
        <f ca="1"/>
      </c>
      <c r="AF372">
        <f ca="1"/>
      </c>
      <c r="AG372">
        <f ca="1"/>
      </c>
      <c r="AH372">
        <f ca="1"/>
      </c>
      <c r="AI372">
        <f ca="1"/>
      </c>
      <c r="AJ372">
        <f ca="1"/>
      </c>
      <c r="AK372">
        <f ca="1"/>
      </c>
      <c r="AL372">
        <f ca="1"/>
      </c>
      <c r="AM372">
        <f ca="1"/>
      </c>
      <c r="AN372">
        <f ca="1"/>
      </c>
      <c r="AO372">
        <f ca="1"/>
      </c>
      <c r="AP372">
        <f ca="1"/>
      </c>
      <c r="AQ372">
        <f ca="1"/>
      </c>
      <c r="AR372">
        <f ca="1"/>
      </c>
      <c r="AT372" s="7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BA372" s="7">
        <f ca="1"/>
      </c>
      <c r="BB372">
        <f ca="1"/>
      </c>
      <c r="BC372">
        <f ca="1"/>
      </c>
      <c r="BD372">
        <f ca="1"/>
      </c>
      <c r="BE372">
        <f ca="1"/>
      </c>
    </row>
    <row r="373" spans="31:57" x14ac:dyDescent="0.55000000000000004">
      <c r="AE373" s="7">
        <f ca="1"/>
      </c>
      <c r="AF373">
        <f ca="1"/>
      </c>
      <c r="AG373">
        <f ca="1"/>
      </c>
      <c r="AH373">
        <f ca="1"/>
      </c>
      <c r="AI373">
        <f ca="1"/>
      </c>
      <c r="AJ373">
        <f ca="1"/>
      </c>
      <c r="AK373">
        <f ca="1"/>
      </c>
      <c r="AL373">
        <f ca="1"/>
      </c>
      <c r="AM373">
        <f ca="1"/>
      </c>
      <c r="AN373">
        <f ca="1"/>
      </c>
      <c r="AO373">
        <f ca="1"/>
      </c>
      <c r="AP373">
        <f ca="1"/>
      </c>
      <c r="AQ373">
        <f ca="1"/>
      </c>
      <c r="AR373">
        <f ca="1"/>
      </c>
      <c r="AT373" s="7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BA373" s="7">
        <f ca="1"/>
      </c>
      <c r="BB373">
        <f ca="1"/>
      </c>
      <c r="BC373">
        <f ca="1"/>
      </c>
      <c r="BD373">
        <f ca="1"/>
      </c>
      <c r="BE373">
        <f ca="1"/>
      </c>
    </row>
    <row r="374" spans="31:57" x14ac:dyDescent="0.55000000000000004">
      <c r="AE374" s="7">
        <f ca="1"/>
      </c>
      <c r="AF374">
        <f ca="1"/>
      </c>
      <c r="AG374">
        <f ca="1"/>
      </c>
      <c r="AH374">
        <f ca="1"/>
      </c>
      <c r="AI374">
        <f ca="1"/>
      </c>
      <c r="AJ374">
        <f ca="1"/>
      </c>
      <c r="AK374">
        <f ca="1"/>
      </c>
      <c r="AL374">
        <f ca="1"/>
      </c>
      <c r="AM374">
        <f ca="1"/>
      </c>
      <c r="AN374">
        <f ca="1"/>
      </c>
      <c r="AO374">
        <f ca="1"/>
      </c>
      <c r="AP374">
        <f ca="1"/>
      </c>
      <c r="AQ374">
        <f ca="1"/>
      </c>
      <c r="AR374">
        <f ca="1"/>
      </c>
      <c r="AT374" s="7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BA374" s="7">
        <f ca="1"/>
      </c>
      <c r="BB374">
        <f ca="1"/>
      </c>
      <c r="BC374">
        <f ca="1"/>
      </c>
      <c r="BD374">
        <f ca="1"/>
      </c>
      <c r="BE374">
        <f ca="1"/>
      </c>
    </row>
    <row r="375" spans="31:57" x14ac:dyDescent="0.55000000000000004">
      <c r="AE375" s="7">
        <f ca="1"/>
      </c>
      <c r="AF375">
        <f ca="1"/>
      </c>
      <c r="AG375">
        <f ca="1"/>
      </c>
      <c r="AH375">
        <f ca="1"/>
      </c>
      <c r="AI375">
        <f ca="1"/>
      </c>
      <c r="AJ375">
        <f ca="1"/>
      </c>
      <c r="AK375">
        <f ca="1"/>
      </c>
      <c r="AL375">
        <f ca="1"/>
      </c>
      <c r="AM375">
        <f ca="1"/>
      </c>
      <c r="AN375">
        <f ca="1"/>
      </c>
      <c r="AO375">
        <f ca="1"/>
      </c>
      <c r="AP375">
        <f ca="1"/>
      </c>
      <c r="AQ375">
        <f ca="1"/>
      </c>
      <c r="AR375">
        <f ca="1"/>
      </c>
      <c r="AT375" s="7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BA375" s="7">
        <f ca="1"/>
      </c>
      <c r="BB375">
        <f ca="1"/>
      </c>
      <c r="BC375">
        <f ca="1"/>
      </c>
      <c r="BD375">
        <f ca="1"/>
      </c>
      <c r="BE375">
        <f ca="1"/>
      </c>
    </row>
    <row r="376" spans="31:57" x14ac:dyDescent="0.55000000000000004">
      <c r="AE376" s="7">
        <f ca="1"/>
      </c>
      <c r="AF376">
        <f ca="1"/>
      </c>
      <c r="AG376">
        <f ca="1"/>
      </c>
      <c r="AH376">
        <f ca="1"/>
      </c>
      <c r="AI376">
        <f ca="1"/>
      </c>
      <c r="AJ376">
        <f ca="1"/>
      </c>
      <c r="AK376">
        <f ca="1"/>
      </c>
      <c r="AL376">
        <f ca="1"/>
      </c>
      <c r="AM376">
        <f ca="1"/>
      </c>
      <c r="AN376">
        <f ca="1"/>
      </c>
      <c r="AO376">
        <f ca="1"/>
      </c>
      <c r="AP376">
        <f ca="1"/>
      </c>
      <c r="AQ376">
        <f ca="1"/>
      </c>
      <c r="AR376">
        <f ca="1"/>
      </c>
      <c r="AT376" s="7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BA376" s="7">
        <f ca="1"/>
      </c>
      <c r="BB376">
        <f ca="1"/>
      </c>
      <c r="BC376">
        <f ca="1"/>
      </c>
      <c r="BD376">
        <f ca="1"/>
      </c>
      <c r="BE376">
        <f ca="1"/>
      </c>
    </row>
    <row r="377" spans="31:57" x14ac:dyDescent="0.55000000000000004">
      <c r="AE377" s="7">
        <f ca="1"/>
      </c>
      <c r="AF377">
        <f ca="1"/>
      </c>
      <c r="AG377">
        <f ca="1"/>
      </c>
      <c r="AH377">
        <f ca="1"/>
      </c>
      <c r="AI377">
        <f ca="1"/>
      </c>
      <c r="AJ377">
        <f ca="1"/>
      </c>
      <c r="AK377">
        <f ca="1"/>
      </c>
      <c r="AL377">
        <f ca="1"/>
      </c>
      <c r="AM377">
        <f ca="1"/>
      </c>
      <c r="AN377">
        <f ca="1"/>
      </c>
      <c r="AO377">
        <f ca="1"/>
      </c>
      <c r="AP377">
        <f ca="1"/>
      </c>
      <c r="AQ377">
        <f ca="1"/>
      </c>
      <c r="AR377">
        <f ca="1"/>
      </c>
      <c r="AT377" s="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BA377" s="7">
        <f ca="1"/>
      </c>
      <c r="BB377">
        <f ca="1"/>
      </c>
      <c r="BC377">
        <f ca="1"/>
      </c>
      <c r="BD377">
        <f ca="1"/>
      </c>
      <c r="BE377">
        <f ca="1"/>
      </c>
    </row>
    <row r="378" spans="31:57" x14ac:dyDescent="0.55000000000000004">
      <c r="AE378" s="7">
        <f ca="1"/>
      </c>
      <c r="AF378">
        <f ca="1"/>
      </c>
      <c r="AG378">
        <f ca="1"/>
      </c>
      <c r="AH378">
        <f ca="1"/>
      </c>
      <c r="AI378">
        <f ca="1"/>
      </c>
      <c r="AJ378">
        <f ca="1"/>
      </c>
      <c r="AK378">
        <f ca="1"/>
      </c>
      <c r="AL378">
        <f ca="1"/>
      </c>
      <c r="AM378">
        <f ca="1"/>
      </c>
      <c r="AN378">
        <f ca="1"/>
      </c>
      <c r="AO378">
        <f ca="1"/>
      </c>
      <c r="AP378">
        <f ca="1"/>
      </c>
      <c r="AQ378">
        <f ca="1"/>
      </c>
      <c r="AR378">
        <f ca="1"/>
      </c>
      <c r="AT378" s="7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BA378" s="7">
        <f ca="1"/>
      </c>
      <c r="BB378">
        <f ca="1"/>
      </c>
      <c r="BC378">
        <f ca="1"/>
      </c>
      <c r="BD378">
        <f ca="1"/>
      </c>
      <c r="BE378">
        <f ca="1"/>
      </c>
    </row>
    <row r="379" spans="31:57" x14ac:dyDescent="0.55000000000000004">
      <c r="AE379" s="7">
        <f ca="1"/>
      </c>
      <c r="AF379">
        <f ca="1"/>
      </c>
      <c r="AG379">
        <f ca="1"/>
      </c>
      <c r="AH379">
        <f ca="1"/>
      </c>
      <c r="AI379">
        <f ca="1"/>
      </c>
      <c r="AJ379">
        <f ca="1"/>
      </c>
      <c r="AK379">
        <f ca="1"/>
      </c>
      <c r="AL379">
        <f ca="1"/>
      </c>
      <c r="AM379">
        <f ca="1"/>
      </c>
      <c r="AN379">
        <f ca="1"/>
      </c>
      <c r="AO379">
        <f ca="1"/>
      </c>
      <c r="AP379">
        <f ca="1"/>
      </c>
      <c r="AQ379">
        <f ca="1"/>
      </c>
      <c r="AR379">
        <f ca="1"/>
      </c>
      <c r="AT379" s="7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BA379" s="7">
        <f ca="1"/>
      </c>
      <c r="BB379">
        <f ca="1"/>
      </c>
      <c r="BC379">
        <f ca="1"/>
      </c>
      <c r="BD379">
        <f ca="1"/>
      </c>
      <c r="BE379">
        <f ca="1"/>
      </c>
    </row>
    <row r="380" spans="31:57" x14ac:dyDescent="0.55000000000000004">
      <c r="AE380" s="7">
        <f ca="1"/>
      </c>
      <c r="AF380">
        <f ca="1"/>
      </c>
      <c r="AG380">
        <f ca="1"/>
      </c>
      <c r="AH380">
        <f ca="1"/>
      </c>
      <c r="AI380">
        <f ca="1"/>
      </c>
      <c r="AJ380">
        <f ca="1"/>
      </c>
      <c r="AK380">
        <f ca="1"/>
      </c>
      <c r="AL380">
        <f ca="1"/>
      </c>
      <c r="AM380">
        <f ca="1"/>
      </c>
      <c r="AN380">
        <f ca="1"/>
      </c>
      <c r="AO380">
        <f ca="1"/>
      </c>
      <c r="AP380">
        <f ca="1"/>
      </c>
      <c r="AQ380">
        <f ca="1"/>
      </c>
      <c r="AR380">
        <f ca="1"/>
      </c>
      <c r="AT380" s="7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BA380" s="7">
        <f ca="1"/>
      </c>
      <c r="BB380">
        <f ca="1"/>
      </c>
      <c r="BC380">
        <f ca="1"/>
      </c>
      <c r="BD380">
        <f ca="1"/>
      </c>
      <c r="BE380">
        <f ca="1"/>
      </c>
    </row>
    <row r="381" spans="31:57" x14ac:dyDescent="0.55000000000000004">
      <c r="AE381" s="7">
        <f ca="1"/>
      </c>
      <c r="AF381">
        <f ca="1"/>
      </c>
      <c r="AG381">
        <f ca="1"/>
      </c>
      <c r="AH381">
        <f ca="1"/>
      </c>
      <c r="AI381">
        <f ca="1"/>
      </c>
      <c r="AJ381">
        <f ca="1"/>
      </c>
      <c r="AK381">
        <f ca="1"/>
      </c>
      <c r="AL381">
        <f ca="1"/>
      </c>
      <c r="AM381">
        <f ca="1"/>
      </c>
      <c r="AN381">
        <f ca="1"/>
      </c>
      <c r="AO381">
        <f ca="1"/>
      </c>
      <c r="AP381">
        <f ca="1"/>
      </c>
      <c r="AQ381">
        <f ca="1"/>
      </c>
      <c r="AR381">
        <f ca="1"/>
      </c>
      <c r="AT381" s="7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BA381" s="7">
        <f ca="1"/>
      </c>
      <c r="BB381">
        <f ca="1"/>
      </c>
      <c r="BC381">
        <f ca="1"/>
      </c>
      <c r="BD381">
        <f ca="1"/>
      </c>
      <c r="BE381">
        <f ca="1"/>
      </c>
    </row>
    <row r="382" spans="31:57" x14ac:dyDescent="0.55000000000000004">
      <c r="AE382" s="7">
        <f ca="1"/>
      </c>
      <c r="AF382">
        <f ca="1"/>
      </c>
      <c r="AG382">
        <f ca="1"/>
      </c>
      <c r="AH382">
        <f ca="1"/>
      </c>
      <c r="AI382">
        <f ca="1"/>
      </c>
      <c r="AJ382">
        <f ca="1"/>
      </c>
      <c r="AK382">
        <f ca="1"/>
      </c>
      <c r="AL382">
        <f ca="1"/>
      </c>
      <c r="AM382">
        <f ca="1"/>
      </c>
      <c r="AN382">
        <f ca="1"/>
      </c>
      <c r="AO382">
        <f ca="1"/>
      </c>
      <c r="AP382">
        <f ca="1"/>
      </c>
      <c r="AQ382">
        <f ca="1"/>
      </c>
      <c r="AR382">
        <f ca="1"/>
      </c>
      <c r="AT382" s="7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BA382" s="7">
        <f ca="1"/>
      </c>
      <c r="BB382">
        <f ca="1"/>
      </c>
      <c r="BC382">
        <f ca="1"/>
      </c>
      <c r="BD382">
        <f ca="1"/>
      </c>
      <c r="BE382">
        <f ca="1"/>
      </c>
    </row>
    <row r="383" spans="31:57" x14ac:dyDescent="0.55000000000000004">
      <c r="AE383" s="7">
        <f ca="1"/>
      </c>
      <c r="AF383">
        <f ca="1"/>
      </c>
      <c r="AG383">
        <f ca="1"/>
      </c>
      <c r="AH383">
        <f ca="1"/>
      </c>
      <c r="AI383">
        <f ca="1"/>
      </c>
      <c r="AJ383">
        <f ca="1"/>
      </c>
      <c r="AK383">
        <f ca="1"/>
      </c>
      <c r="AL383">
        <f ca="1"/>
      </c>
      <c r="AM383">
        <f ca="1"/>
      </c>
      <c r="AN383">
        <f ca="1"/>
      </c>
      <c r="AO383">
        <f ca="1"/>
      </c>
      <c r="AP383">
        <f ca="1"/>
      </c>
      <c r="AQ383">
        <f ca="1"/>
      </c>
      <c r="AR383">
        <f ca="1"/>
      </c>
      <c r="AT383" s="7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BA383" s="7">
        <f ca="1"/>
      </c>
      <c r="BB383">
        <f ca="1"/>
      </c>
      <c r="BC383">
        <f ca="1"/>
      </c>
      <c r="BD383">
        <f ca="1"/>
      </c>
      <c r="BE383">
        <f ca="1"/>
      </c>
    </row>
    <row r="384" spans="31:57" x14ac:dyDescent="0.55000000000000004">
      <c r="AE384" s="7">
        <f ca="1"/>
      </c>
      <c r="AF384">
        <f ca="1"/>
      </c>
      <c r="AG384">
        <f ca="1"/>
      </c>
      <c r="AH384">
        <f ca="1"/>
      </c>
      <c r="AI384">
        <f ca="1"/>
      </c>
      <c r="AJ384">
        <f ca="1"/>
      </c>
      <c r="AK384">
        <f ca="1"/>
      </c>
      <c r="AL384">
        <f ca="1"/>
      </c>
      <c r="AM384">
        <f ca="1"/>
      </c>
      <c r="AN384">
        <f ca="1"/>
      </c>
      <c r="AO384">
        <f ca="1"/>
      </c>
      <c r="AP384">
        <f ca="1"/>
      </c>
      <c r="AQ384">
        <f ca="1"/>
      </c>
      <c r="AR384">
        <f ca="1"/>
      </c>
      <c r="AT384" s="7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BA384" s="7">
        <f ca="1"/>
      </c>
      <c r="BB384">
        <f ca="1"/>
      </c>
      <c r="BC384">
        <f ca="1"/>
      </c>
      <c r="BD384">
        <f ca="1"/>
      </c>
      <c r="BE384">
        <f ca="1"/>
      </c>
    </row>
    <row r="385" spans="31:57" x14ac:dyDescent="0.55000000000000004">
      <c r="AE385" s="7">
        <f ca="1"/>
      </c>
      <c r="AF385">
        <f ca="1"/>
      </c>
      <c r="AG385">
        <f ca="1"/>
      </c>
      <c r="AH385">
        <f ca="1"/>
      </c>
      <c r="AI385">
        <f ca="1"/>
      </c>
      <c r="AJ385">
        <f ca="1"/>
      </c>
      <c r="AK385">
        <f ca="1"/>
      </c>
      <c r="AL385">
        <f ca="1"/>
      </c>
      <c r="AM385">
        <f ca="1"/>
      </c>
      <c r="AN385">
        <f ca="1"/>
      </c>
      <c r="AO385">
        <f ca="1"/>
      </c>
      <c r="AP385">
        <f ca="1"/>
      </c>
      <c r="AQ385">
        <f ca="1"/>
      </c>
      <c r="AR385">
        <f ca="1"/>
      </c>
      <c r="AT385" s="7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BA385" s="7">
        <f ca="1"/>
      </c>
      <c r="BB385">
        <f ca="1"/>
      </c>
      <c r="BC385">
        <f ca="1"/>
      </c>
      <c r="BD385">
        <f ca="1"/>
      </c>
      <c r="BE385">
        <f ca="1"/>
      </c>
    </row>
    <row r="386" spans="31:57" x14ac:dyDescent="0.55000000000000004">
      <c r="AE386" s="7">
        <f ca="1"/>
      </c>
      <c r="AF386">
        <f ca="1"/>
      </c>
      <c r="AG386">
        <f ca="1"/>
      </c>
      <c r="AH386">
        <f ca="1"/>
      </c>
      <c r="AI386">
        <f ca="1"/>
      </c>
      <c r="AJ386">
        <f ca="1"/>
      </c>
      <c r="AK386">
        <f ca="1"/>
      </c>
      <c r="AL386">
        <f ca="1"/>
      </c>
      <c r="AM386">
        <f ca="1"/>
      </c>
      <c r="AN386">
        <f ca="1"/>
      </c>
      <c r="AO386">
        <f ca="1"/>
      </c>
      <c r="AP386">
        <f ca="1"/>
      </c>
      <c r="AQ386">
        <f ca="1"/>
      </c>
      <c r="AR386">
        <f ca="1"/>
      </c>
      <c r="AT386" s="7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BA386" s="7">
        <f ca="1"/>
      </c>
      <c r="BB386">
        <f ca="1"/>
      </c>
      <c r="BC386">
        <f ca="1"/>
      </c>
      <c r="BD386">
        <f ca="1"/>
      </c>
      <c r="BE386">
        <f ca="1"/>
      </c>
    </row>
    <row r="387" spans="31:57" x14ac:dyDescent="0.55000000000000004">
      <c r="AE387" s="7">
        <f ca="1"/>
      </c>
      <c r="AF387">
        <f ca="1"/>
      </c>
      <c r="AG387">
        <f ca="1"/>
      </c>
      <c r="AH387">
        <f ca="1"/>
      </c>
      <c r="AI387">
        <f ca="1"/>
      </c>
      <c r="AJ387">
        <f ca="1"/>
      </c>
      <c r="AK387">
        <f ca="1"/>
      </c>
      <c r="AL387">
        <f ca="1"/>
      </c>
      <c r="AM387">
        <f ca="1"/>
      </c>
      <c r="AN387">
        <f ca="1"/>
      </c>
      <c r="AO387">
        <f ca="1"/>
      </c>
      <c r="AP387">
        <f ca="1"/>
      </c>
      <c r="AQ387">
        <f ca="1"/>
      </c>
      <c r="AR387">
        <f ca="1"/>
      </c>
      <c r="AT387" s="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BA387" s="7">
        <f ca="1"/>
      </c>
      <c r="BB387">
        <f ca="1"/>
      </c>
      <c r="BC387">
        <f ca="1"/>
      </c>
      <c r="BD387">
        <f ca="1"/>
      </c>
      <c r="BE387">
        <f ca="1"/>
      </c>
    </row>
    <row r="388" spans="31:57" x14ac:dyDescent="0.55000000000000004">
      <c r="AE388" s="7">
        <f ca="1"/>
      </c>
      <c r="AF388">
        <f ca="1"/>
      </c>
      <c r="AG388">
        <f ca="1"/>
      </c>
      <c r="AH388">
        <f ca="1"/>
      </c>
      <c r="AI388">
        <f ca="1"/>
      </c>
      <c r="AJ388">
        <f ca="1"/>
      </c>
      <c r="AK388">
        <f ca="1"/>
      </c>
      <c r="AL388">
        <f ca="1"/>
      </c>
      <c r="AM388">
        <f ca="1"/>
      </c>
      <c r="AN388">
        <f ca="1"/>
      </c>
      <c r="AO388">
        <f ca="1"/>
      </c>
      <c r="AP388">
        <f ca="1"/>
      </c>
      <c r="AQ388">
        <f ca="1"/>
      </c>
      <c r="AR388">
        <f ca="1"/>
      </c>
      <c r="AT388" s="7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BA388" s="7">
        <f ca="1"/>
      </c>
      <c r="BB388">
        <f ca="1"/>
      </c>
      <c r="BC388">
        <f ca="1"/>
      </c>
      <c r="BD388">
        <f ca="1"/>
      </c>
      <c r="BE388">
        <f ca="1"/>
      </c>
    </row>
    <row r="389" spans="31:57" x14ac:dyDescent="0.55000000000000004">
      <c r="AE389" s="7">
        <f ca="1"/>
      </c>
      <c r="AF389">
        <f ca="1"/>
      </c>
      <c r="AG389">
        <f ca="1"/>
      </c>
      <c r="AH389">
        <f ca="1"/>
      </c>
      <c r="AI389">
        <f ca="1"/>
      </c>
      <c r="AJ389">
        <f ca="1"/>
      </c>
      <c r="AK389">
        <f ca="1"/>
      </c>
      <c r="AL389">
        <f ca="1"/>
      </c>
      <c r="AM389">
        <f ca="1"/>
      </c>
      <c r="AN389">
        <f ca="1"/>
      </c>
      <c r="AO389">
        <f ca="1"/>
      </c>
      <c r="AP389">
        <f ca="1"/>
      </c>
      <c r="AQ389">
        <f ca="1"/>
      </c>
      <c r="AR389">
        <f ca="1"/>
      </c>
      <c r="AT389" s="7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BA389" s="7">
        <f ca="1"/>
      </c>
      <c r="BB389">
        <f ca="1"/>
      </c>
      <c r="BC389">
        <f ca="1"/>
      </c>
      <c r="BD389">
        <f ca="1"/>
      </c>
      <c r="BE389">
        <f ca="1"/>
      </c>
    </row>
    <row r="390" spans="31:57" x14ac:dyDescent="0.55000000000000004">
      <c r="AE390" s="7">
        <f ca="1"/>
      </c>
      <c r="AF390">
        <f ca="1"/>
      </c>
      <c r="AG390">
        <f ca="1"/>
      </c>
      <c r="AH390">
        <f ca="1"/>
      </c>
      <c r="AI390">
        <f ca="1"/>
      </c>
      <c r="AJ390">
        <f ca="1"/>
      </c>
      <c r="AK390">
        <f ca="1"/>
      </c>
      <c r="AL390">
        <f ca="1"/>
      </c>
      <c r="AM390">
        <f ca="1"/>
      </c>
      <c r="AN390">
        <f ca="1"/>
      </c>
      <c r="AO390">
        <f ca="1"/>
      </c>
      <c r="AP390">
        <f ca="1"/>
      </c>
      <c r="AQ390">
        <f ca="1"/>
      </c>
      <c r="AR390">
        <f ca="1"/>
      </c>
      <c r="AT390" s="7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BA390" s="7">
        <f ca="1"/>
      </c>
      <c r="BB390">
        <f ca="1"/>
      </c>
      <c r="BC390">
        <f ca="1"/>
      </c>
      <c r="BD390">
        <f ca="1"/>
      </c>
      <c r="BE390">
        <f ca="1"/>
      </c>
    </row>
    <row r="391" spans="31:57" x14ac:dyDescent="0.55000000000000004">
      <c r="AE391" s="7">
        <f ca="1"/>
      </c>
      <c r="AF391">
        <f ca="1"/>
      </c>
      <c r="AG391">
        <f ca="1"/>
      </c>
      <c r="AH391">
        <f ca="1"/>
      </c>
      <c r="AI391">
        <f ca="1"/>
      </c>
      <c r="AJ391">
        <f ca="1"/>
      </c>
      <c r="AK391">
        <f ca="1"/>
      </c>
      <c r="AL391">
        <f ca="1"/>
      </c>
      <c r="AM391">
        <f ca="1"/>
      </c>
      <c r="AN391">
        <f ca="1"/>
      </c>
      <c r="AO391">
        <f ca="1"/>
      </c>
      <c r="AP391">
        <f ca="1"/>
      </c>
      <c r="AQ391">
        <f ca="1"/>
      </c>
      <c r="AR391">
        <f ca="1"/>
      </c>
      <c r="AT391" s="7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BA391" s="7">
        <f ca="1"/>
      </c>
      <c r="BB391">
        <f ca="1"/>
      </c>
      <c r="BC391">
        <f ca="1"/>
      </c>
      <c r="BD391">
        <f ca="1"/>
      </c>
      <c r="BE391">
        <f ca="1"/>
      </c>
    </row>
    <row r="392" spans="31:57" x14ac:dyDescent="0.55000000000000004">
      <c r="AE392" s="7">
        <f ca="1"/>
      </c>
      <c r="AF392">
        <f ca="1"/>
      </c>
      <c r="AG392">
        <f ca="1"/>
      </c>
      <c r="AH392">
        <f ca="1"/>
      </c>
      <c r="AI392">
        <f ca="1"/>
      </c>
      <c r="AJ392">
        <f ca="1"/>
      </c>
      <c r="AK392">
        <f ca="1"/>
      </c>
      <c r="AL392">
        <f ca="1"/>
      </c>
      <c r="AM392">
        <f ca="1"/>
      </c>
      <c r="AN392">
        <f ca="1"/>
      </c>
      <c r="AO392">
        <f ca="1"/>
      </c>
      <c r="AP392">
        <f ca="1"/>
      </c>
      <c r="AQ392">
        <f ca="1"/>
      </c>
      <c r="AR392">
        <f ca="1"/>
      </c>
      <c r="AT392" s="7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BA392" s="7">
        <f ca="1"/>
      </c>
      <c r="BB392">
        <f ca="1"/>
      </c>
      <c r="BC392">
        <f ca="1"/>
      </c>
      <c r="BD392">
        <f ca="1"/>
      </c>
      <c r="BE392">
        <f ca="1"/>
      </c>
    </row>
    <row r="393" spans="31:57" x14ac:dyDescent="0.55000000000000004">
      <c r="AE393" s="7">
        <f ca="1"/>
      </c>
      <c r="AF393">
        <f ca="1"/>
      </c>
      <c r="AG393">
        <f ca="1"/>
      </c>
      <c r="AH393">
        <f ca="1"/>
      </c>
      <c r="AI393">
        <f ca="1"/>
      </c>
      <c r="AJ393">
        <f ca="1"/>
      </c>
      <c r="AK393">
        <f ca="1"/>
      </c>
      <c r="AL393">
        <f ca="1"/>
      </c>
      <c r="AM393">
        <f ca="1"/>
      </c>
      <c r="AN393">
        <f ca="1"/>
      </c>
      <c r="AO393">
        <f ca="1"/>
      </c>
      <c r="AP393">
        <f ca="1"/>
      </c>
      <c r="AQ393">
        <f ca="1"/>
      </c>
      <c r="AR393">
        <f ca="1"/>
      </c>
      <c r="AT393" s="7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BA393" s="7">
        <f ca="1"/>
      </c>
      <c r="BB393">
        <f ca="1"/>
      </c>
      <c r="BC393">
        <f ca="1"/>
      </c>
      <c r="BD393">
        <f ca="1"/>
      </c>
      <c r="BE393">
        <f ca="1"/>
      </c>
    </row>
    <row r="394" spans="31:57" x14ac:dyDescent="0.55000000000000004">
      <c r="AE394" s="7">
        <f ca="1"/>
      </c>
      <c r="AF394">
        <f ca="1"/>
      </c>
      <c r="AG394">
        <f ca="1"/>
      </c>
      <c r="AH394">
        <f ca="1"/>
      </c>
      <c r="AI394">
        <f ca="1"/>
      </c>
      <c r="AJ394">
        <f ca="1"/>
      </c>
      <c r="AK394">
        <f ca="1"/>
      </c>
      <c r="AL394">
        <f ca="1"/>
      </c>
      <c r="AM394">
        <f ca="1"/>
      </c>
      <c r="AN394">
        <f ca="1"/>
      </c>
      <c r="AO394">
        <f ca="1"/>
      </c>
      <c r="AP394">
        <f ca="1"/>
      </c>
      <c r="AQ394">
        <f ca="1"/>
      </c>
      <c r="AR394">
        <f ca="1"/>
      </c>
      <c r="AT394" s="7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BA394" s="7">
        <f ca="1"/>
      </c>
      <c r="BB394">
        <f ca="1"/>
      </c>
      <c r="BC394">
        <f ca="1"/>
      </c>
      <c r="BD394">
        <f ca="1"/>
      </c>
      <c r="BE394">
        <f ca="1"/>
      </c>
    </row>
    <row r="395" spans="31:57" x14ac:dyDescent="0.55000000000000004">
      <c r="AE395" s="7">
        <f ca="1"/>
      </c>
      <c r="AF395">
        <f ca="1"/>
      </c>
      <c r="AG395">
        <f ca="1"/>
      </c>
      <c r="AH395">
        <f ca="1"/>
      </c>
      <c r="AI395">
        <f ca="1"/>
      </c>
      <c r="AJ395">
        <f ca="1"/>
      </c>
      <c r="AK395">
        <f ca="1"/>
      </c>
      <c r="AL395">
        <f ca="1"/>
      </c>
      <c r="AM395">
        <f ca="1"/>
      </c>
      <c r="AN395">
        <f ca="1"/>
      </c>
      <c r="AO395">
        <f ca="1"/>
      </c>
      <c r="AP395">
        <f ca="1"/>
      </c>
      <c r="AQ395">
        <f ca="1"/>
      </c>
      <c r="AR395">
        <f ca="1"/>
      </c>
      <c r="AT395" s="7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BA395" s="7">
        <f ca="1"/>
      </c>
      <c r="BB395">
        <f ca="1"/>
      </c>
      <c r="BC395">
        <f ca="1"/>
      </c>
      <c r="BD395">
        <f ca="1"/>
      </c>
      <c r="BE395">
        <f ca="1"/>
      </c>
    </row>
    <row r="396" spans="31:57" x14ac:dyDescent="0.55000000000000004">
      <c r="AE396" s="7">
        <f ca="1"/>
      </c>
      <c r="AF396">
        <f ca="1"/>
      </c>
      <c r="AG396">
        <f ca="1"/>
      </c>
      <c r="AH396">
        <f ca="1"/>
      </c>
      <c r="AI396">
        <f ca="1"/>
      </c>
      <c r="AJ396">
        <f ca="1"/>
      </c>
      <c r="AK396">
        <f ca="1"/>
      </c>
      <c r="AL396">
        <f ca="1"/>
      </c>
      <c r="AM396">
        <f ca="1"/>
      </c>
      <c r="AN396">
        <f ca="1"/>
      </c>
      <c r="AO396">
        <f ca="1"/>
      </c>
      <c r="AP396">
        <f ca="1"/>
      </c>
      <c r="AQ396">
        <f ca="1"/>
      </c>
      <c r="AR396">
        <f ca="1"/>
      </c>
      <c r="AT396" s="7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BA396" s="7">
        <f ca="1"/>
      </c>
      <c r="BB396">
        <f ca="1"/>
      </c>
      <c r="BC396">
        <f ca="1"/>
      </c>
      <c r="BD396">
        <f ca="1"/>
      </c>
      <c r="BE396">
        <f ca="1"/>
      </c>
    </row>
    <row r="397" spans="31:57" x14ac:dyDescent="0.55000000000000004">
      <c r="AE397" s="7">
        <f ca="1"/>
      </c>
      <c r="AF397">
        <f ca="1"/>
      </c>
      <c r="AG397">
        <f ca="1"/>
      </c>
      <c r="AH397">
        <f ca="1"/>
      </c>
      <c r="AI397">
        <f ca="1"/>
      </c>
      <c r="AJ397">
        <f ca="1"/>
      </c>
      <c r="AK397">
        <f ca="1"/>
      </c>
      <c r="AL397">
        <f ca="1"/>
      </c>
      <c r="AM397">
        <f ca="1"/>
      </c>
      <c r="AN397">
        <f ca="1"/>
      </c>
      <c r="AO397">
        <f ca="1"/>
      </c>
      <c r="AP397">
        <f ca="1"/>
      </c>
      <c r="AQ397">
        <f ca="1"/>
      </c>
      <c r="AR397">
        <f ca="1"/>
      </c>
      <c r="AT397" s="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BA397" s="7">
        <f ca="1"/>
      </c>
      <c r="BB397">
        <f ca="1"/>
      </c>
      <c r="BC397">
        <f ca="1"/>
      </c>
      <c r="BD397">
        <f ca="1"/>
      </c>
      <c r="BE397">
        <f ca="1"/>
      </c>
    </row>
    <row r="398" spans="31:57" x14ac:dyDescent="0.55000000000000004">
      <c r="AE398" s="7">
        <f ca="1"/>
      </c>
      <c r="AF398">
        <f ca="1"/>
      </c>
      <c r="AG398">
        <f ca="1"/>
      </c>
      <c r="AH398">
        <f ca="1"/>
      </c>
      <c r="AI398">
        <f ca="1"/>
      </c>
      <c r="AJ398">
        <f ca="1"/>
      </c>
      <c r="AK398">
        <f ca="1"/>
      </c>
      <c r="AL398">
        <f ca="1"/>
      </c>
      <c r="AM398">
        <f ca="1"/>
      </c>
      <c r="AN398">
        <f ca="1"/>
      </c>
      <c r="AO398">
        <f ca="1"/>
      </c>
      <c r="AP398">
        <f ca="1"/>
      </c>
      <c r="AQ398">
        <f ca="1"/>
      </c>
      <c r="AR398">
        <f ca="1"/>
      </c>
      <c r="AT398" s="7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BA398" s="7">
        <f ca="1"/>
      </c>
      <c r="BB398">
        <f ca="1"/>
      </c>
      <c r="BC398">
        <f ca="1"/>
      </c>
      <c r="BD398">
        <f ca="1"/>
      </c>
      <c r="BE398">
        <f ca="1"/>
      </c>
    </row>
    <row r="399" spans="31:57" x14ac:dyDescent="0.55000000000000004">
      <c r="AE399" s="7">
        <f ca="1"/>
      </c>
      <c r="AF399">
        <f ca="1"/>
      </c>
      <c r="AG399">
        <f ca="1"/>
      </c>
      <c r="AH399">
        <f ca="1"/>
      </c>
      <c r="AI399">
        <f ca="1"/>
      </c>
      <c r="AJ399">
        <f ca="1"/>
      </c>
      <c r="AK399">
        <f ca="1"/>
      </c>
      <c r="AL399">
        <f ca="1"/>
      </c>
      <c r="AM399">
        <f ca="1"/>
      </c>
      <c r="AN399">
        <f ca="1"/>
      </c>
      <c r="AO399">
        <f ca="1"/>
      </c>
      <c r="AP399">
        <f ca="1"/>
      </c>
      <c r="AQ399">
        <f ca="1"/>
      </c>
      <c r="AR399">
        <f ca="1"/>
      </c>
      <c r="AT399" s="7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BA399" s="7">
        <f ca="1"/>
      </c>
      <c r="BB399">
        <f ca="1"/>
      </c>
      <c r="BC399">
        <f ca="1"/>
      </c>
      <c r="BD399">
        <f ca="1"/>
      </c>
      <c r="BE399">
        <f ca="1"/>
      </c>
    </row>
    <row r="400" spans="31:57" x14ac:dyDescent="0.55000000000000004">
      <c r="AE400" s="7">
        <f ca="1"/>
      </c>
      <c r="AF400">
        <f ca="1"/>
      </c>
      <c r="AG400">
        <f ca="1"/>
      </c>
      <c r="AH400">
        <f ca="1"/>
      </c>
      <c r="AI400">
        <f ca="1"/>
      </c>
      <c r="AJ400">
        <f ca="1"/>
      </c>
      <c r="AK400">
        <f ca="1"/>
      </c>
      <c r="AL400">
        <f ca="1"/>
      </c>
      <c r="AM400">
        <f ca="1"/>
      </c>
      <c r="AN400">
        <f ca="1"/>
      </c>
      <c r="AO400">
        <f ca="1"/>
      </c>
      <c r="AP400">
        <f ca="1"/>
      </c>
      <c r="AQ400">
        <f ca="1"/>
      </c>
      <c r="AR400">
        <f ca="1"/>
      </c>
      <c r="AT400" s="7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BA400" s="7">
        <f ca="1"/>
      </c>
      <c r="BB400">
        <f ca="1"/>
      </c>
      <c r="BC400">
        <f ca="1"/>
      </c>
      <c r="BD400">
        <f ca="1"/>
      </c>
      <c r="BE400">
        <f ca="1"/>
      </c>
    </row>
    <row r="401" spans="31:57" x14ac:dyDescent="0.55000000000000004">
      <c r="AE401" s="7">
        <f ca="1"/>
      </c>
      <c r="AF401">
        <f ca="1"/>
      </c>
      <c r="AG401">
        <f ca="1"/>
      </c>
      <c r="AH401">
        <f ca="1"/>
      </c>
      <c r="AI401">
        <f ca="1"/>
      </c>
      <c r="AJ401">
        <f ca="1"/>
      </c>
      <c r="AK401">
        <f ca="1"/>
      </c>
      <c r="AL401">
        <f ca="1"/>
      </c>
      <c r="AM401">
        <f ca="1"/>
      </c>
      <c r="AN401">
        <f ca="1"/>
      </c>
      <c r="AO401">
        <f ca="1"/>
      </c>
      <c r="AP401">
        <f ca="1"/>
      </c>
      <c r="AQ401">
        <f ca="1"/>
      </c>
      <c r="AR401">
        <f ca="1"/>
      </c>
      <c r="AT401" s="7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BA401" s="7">
        <f ca="1"/>
      </c>
      <c r="BB401">
        <f ca="1"/>
      </c>
      <c r="BC401">
        <f ca="1"/>
      </c>
      <c r="BD401">
        <f ca="1"/>
      </c>
      <c r="BE401">
        <f ca="1"/>
      </c>
    </row>
    <row r="402" spans="31:57" x14ac:dyDescent="0.55000000000000004">
      <c r="AE402" s="7">
        <f ca="1"/>
      </c>
      <c r="AF402">
        <f ca="1"/>
      </c>
      <c r="AG402">
        <f ca="1"/>
      </c>
      <c r="AH402">
        <f ca="1"/>
      </c>
      <c r="AI402">
        <f ca="1"/>
      </c>
      <c r="AJ402">
        <f ca="1"/>
      </c>
      <c r="AK402">
        <f ca="1"/>
      </c>
      <c r="AL402">
        <f ca="1"/>
      </c>
      <c r="AM402">
        <f ca="1"/>
      </c>
      <c r="AN402">
        <f ca="1"/>
      </c>
      <c r="AO402">
        <f ca="1"/>
      </c>
      <c r="AP402">
        <f ca="1"/>
      </c>
      <c r="AQ402">
        <f ca="1"/>
      </c>
      <c r="AR402">
        <f ca="1"/>
      </c>
      <c r="AT402" s="7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BA402" s="7">
        <f ca="1"/>
      </c>
      <c r="BB402">
        <f ca="1"/>
      </c>
      <c r="BC402">
        <f ca="1"/>
      </c>
      <c r="BD402">
        <f ca="1"/>
      </c>
      <c r="BE402">
        <f ca="1"/>
      </c>
    </row>
    <row r="403" spans="31:57" x14ac:dyDescent="0.55000000000000004">
      <c r="AE403" s="7">
        <f ca="1"/>
      </c>
      <c r="AF403">
        <f ca="1"/>
      </c>
      <c r="AG403">
        <f ca="1"/>
      </c>
      <c r="AH403">
        <f ca="1"/>
      </c>
      <c r="AI403">
        <f ca="1"/>
      </c>
      <c r="AJ403">
        <f ca="1"/>
      </c>
      <c r="AK403">
        <f ca="1"/>
      </c>
      <c r="AL403">
        <f ca="1"/>
      </c>
      <c r="AM403">
        <f ca="1"/>
      </c>
      <c r="AN403">
        <f ca="1"/>
      </c>
      <c r="AO403">
        <f ca="1"/>
      </c>
      <c r="AP403">
        <f ca="1"/>
      </c>
      <c r="AQ403">
        <f ca="1"/>
      </c>
      <c r="AR403">
        <f ca="1"/>
      </c>
      <c r="AT403" s="7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BA403" s="7">
        <f ca="1"/>
      </c>
      <c r="BB403">
        <f ca="1"/>
      </c>
      <c r="BC403">
        <f ca="1"/>
      </c>
      <c r="BD403">
        <f ca="1"/>
      </c>
      <c r="BE403">
        <f ca="1"/>
      </c>
    </row>
    <row r="404" spans="31:57" x14ac:dyDescent="0.55000000000000004">
      <c r="AE404" s="7">
        <f ca="1"/>
      </c>
      <c r="AF404">
        <f ca="1"/>
      </c>
      <c r="AG404">
        <f ca="1"/>
      </c>
      <c r="AH404">
        <f ca="1"/>
      </c>
      <c r="AI404">
        <f ca="1"/>
      </c>
      <c r="AJ404">
        <f ca="1"/>
      </c>
      <c r="AK404">
        <f ca="1"/>
      </c>
      <c r="AL404">
        <f ca="1"/>
      </c>
      <c r="AM404">
        <f ca="1"/>
      </c>
      <c r="AN404">
        <f ca="1"/>
      </c>
      <c r="AO404">
        <f ca="1"/>
      </c>
      <c r="AP404">
        <f ca="1"/>
      </c>
      <c r="AQ404">
        <f ca="1"/>
      </c>
      <c r="AR404">
        <f ca="1"/>
      </c>
      <c r="AT404" s="7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BA404" s="7">
        <f ca="1"/>
      </c>
      <c r="BB404">
        <f ca="1"/>
      </c>
      <c r="BC404">
        <f ca="1"/>
      </c>
      <c r="BD404">
        <f ca="1"/>
      </c>
      <c r="BE404">
        <f ca="1"/>
      </c>
    </row>
    <row r="405" spans="31:57" x14ac:dyDescent="0.55000000000000004">
      <c r="AE405" s="7">
        <f ca="1"/>
      </c>
      <c r="AF405">
        <f ca="1"/>
      </c>
      <c r="AG405">
        <f ca="1"/>
      </c>
      <c r="AH405">
        <f ca="1"/>
      </c>
      <c r="AI405">
        <f ca="1"/>
      </c>
      <c r="AJ405">
        <f ca="1"/>
      </c>
      <c r="AK405">
        <f ca="1"/>
      </c>
      <c r="AL405">
        <f ca="1"/>
      </c>
      <c r="AM405">
        <f ca="1"/>
      </c>
      <c r="AN405">
        <f ca="1"/>
      </c>
      <c r="AO405">
        <f ca="1"/>
      </c>
      <c r="AP405">
        <f ca="1"/>
      </c>
      <c r="AQ405">
        <f ca="1"/>
      </c>
      <c r="AR405">
        <f ca="1"/>
      </c>
      <c r="AT405" s="7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BA405" s="7">
        <f ca="1"/>
      </c>
      <c r="BB405">
        <f ca="1"/>
      </c>
      <c r="BC405">
        <f ca="1"/>
      </c>
      <c r="BD405">
        <f ca="1"/>
      </c>
      <c r="BE405">
        <f ca="1"/>
      </c>
    </row>
    <row r="406" spans="31:57" x14ac:dyDescent="0.55000000000000004">
      <c r="AE406" s="7">
        <f ca="1"/>
      </c>
      <c r="AF406">
        <f ca="1"/>
      </c>
      <c r="AG406">
        <f ca="1"/>
      </c>
      <c r="AH406">
        <f ca="1"/>
      </c>
      <c r="AI406">
        <f ca="1"/>
      </c>
      <c r="AJ406">
        <f ca="1"/>
      </c>
      <c r="AK406">
        <f ca="1"/>
      </c>
      <c r="AL406">
        <f ca="1"/>
      </c>
      <c r="AM406">
        <f ca="1"/>
      </c>
      <c r="AN406">
        <f ca="1"/>
      </c>
      <c r="AO406">
        <f ca="1"/>
      </c>
      <c r="AP406">
        <f ca="1"/>
      </c>
      <c r="AQ406">
        <f ca="1"/>
      </c>
      <c r="AR406">
        <f ca="1"/>
      </c>
      <c r="AT406" s="7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BA406" s="7">
        <f ca="1"/>
      </c>
      <c r="BB406">
        <f ca="1"/>
      </c>
      <c r="BC406">
        <f ca="1"/>
      </c>
      <c r="BD406">
        <f ca="1"/>
      </c>
      <c r="BE406">
        <f ca="1"/>
      </c>
    </row>
    <row r="407" spans="31:57" x14ac:dyDescent="0.55000000000000004">
      <c r="AE407" s="7">
        <f ca="1"/>
      </c>
      <c r="AF407">
        <f ca="1"/>
      </c>
      <c r="AG407">
        <f ca="1"/>
      </c>
      <c r="AH407">
        <f ca="1"/>
      </c>
      <c r="AI407">
        <f ca="1"/>
      </c>
      <c r="AJ407">
        <f ca="1"/>
      </c>
      <c r="AK407">
        <f ca="1"/>
      </c>
      <c r="AL407">
        <f ca="1"/>
      </c>
      <c r="AM407">
        <f ca="1"/>
      </c>
      <c r="AN407">
        <f ca="1"/>
      </c>
      <c r="AO407">
        <f ca="1"/>
      </c>
      <c r="AP407">
        <f ca="1"/>
      </c>
      <c r="AQ407">
        <f ca="1"/>
      </c>
      <c r="AR407">
        <f ca="1"/>
      </c>
      <c r="AT407" s="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BA407" s="7">
        <f ca="1"/>
      </c>
      <c r="BB407">
        <f ca="1"/>
      </c>
      <c r="BC407">
        <f ca="1"/>
      </c>
      <c r="BD407">
        <f ca="1"/>
      </c>
      <c r="BE407">
        <f ca="1"/>
      </c>
    </row>
    <row r="408" spans="31:57" x14ac:dyDescent="0.55000000000000004">
      <c r="AE408" s="7">
        <f ca="1"/>
      </c>
      <c r="AF408">
        <f ca="1"/>
      </c>
      <c r="AG408">
        <f ca="1"/>
      </c>
      <c r="AH408">
        <f ca="1"/>
      </c>
      <c r="AI408">
        <f ca="1"/>
      </c>
      <c r="AJ408">
        <f ca="1"/>
      </c>
      <c r="AK408">
        <f ca="1"/>
      </c>
      <c r="AL408">
        <f ca="1"/>
      </c>
      <c r="AM408">
        <f ca="1"/>
      </c>
      <c r="AN408">
        <f ca="1"/>
      </c>
      <c r="AO408">
        <f ca="1"/>
      </c>
      <c r="AP408">
        <f ca="1"/>
      </c>
      <c r="AQ408">
        <f ca="1"/>
      </c>
      <c r="AR408">
        <f ca="1"/>
      </c>
      <c r="AT408" s="7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BA408" s="7">
        <f ca="1"/>
      </c>
      <c r="BB408">
        <f ca="1"/>
      </c>
      <c r="BC408">
        <f ca="1"/>
      </c>
      <c r="BD408">
        <f ca="1"/>
      </c>
      <c r="BE408">
        <f ca="1"/>
      </c>
    </row>
    <row r="409" spans="31:57" x14ac:dyDescent="0.55000000000000004">
      <c r="AE409" s="7">
        <f ca="1"/>
      </c>
      <c r="AF409">
        <f ca="1"/>
      </c>
      <c r="AG409">
        <f ca="1"/>
      </c>
      <c r="AH409">
        <f ca="1"/>
      </c>
      <c r="AI409">
        <f ca="1"/>
      </c>
      <c r="AJ409">
        <f ca="1"/>
      </c>
      <c r="AK409">
        <f ca="1"/>
      </c>
      <c r="AL409">
        <f ca="1"/>
      </c>
      <c r="AM409">
        <f ca="1"/>
      </c>
      <c r="AN409">
        <f ca="1"/>
      </c>
      <c r="AO409">
        <f ca="1"/>
      </c>
      <c r="AP409">
        <f ca="1"/>
      </c>
      <c r="AQ409">
        <f ca="1"/>
      </c>
      <c r="AR409">
        <f ca="1"/>
      </c>
      <c r="AT409" s="7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BA409" s="7">
        <f ca="1"/>
      </c>
      <c r="BB409">
        <f ca="1"/>
      </c>
      <c r="BC409">
        <f ca="1"/>
      </c>
      <c r="BD409">
        <f ca="1"/>
      </c>
      <c r="BE409">
        <f ca="1"/>
      </c>
    </row>
    <row r="410" spans="31:57" x14ac:dyDescent="0.55000000000000004">
      <c r="AE410" s="7">
        <f ca="1"/>
      </c>
      <c r="AF410">
        <f ca="1"/>
      </c>
      <c r="AG410">
        <f ca="1"/>
      </c>
      <c r="AH410">
        <f ca="1"/>
      </c>
      <c r="AI410">
        <f ca="1"/>
      </c>
      <c r="AJ410">
        <f ca="1"/>
      </c>
      <c r="AK410">
        <f ca="1"/>
      </c>
      <c r="AL410">
        <f ca="1"/>
      </c>
      <c r="AM410">
        <f ca="1"/>
      </c>
      <c r="AN410">
        <f ca="1"/>
      </c>
      <c r="AO410">
        <f ca="1"/>
      </c>
      <c r="AP410">
        <f ca="1"/>
      </c>
      <c r="AQ410">
        <f ca="1"/>
      </c>
      <c r="AR410">
        <f ca="1"/>
      </c>
      <c r="AT410" s="7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BA410" s="7">
        <f ca="1"/>
      </c>
      <c r="BB410">
        <f ca="1"/>
      </c>
      <c r="BC410">
        <f ca="1"/>
      </c>
      <c r="BD410">
        <f ca="1"/>
      </c>
      <c r="BE410">
        <f ca="1"/>
      </c>
    </row>
    <row r="411" spans="31:57" x14ac:dyDescent="0.55000000000000004">
      <c r="AE411" s="7">
        <f ca="1"/>
      </c>
      <c r="AF411">
        <f ca="1"/>
      </c>
      <c r="AG411">
        <f ca="1"/>
      </c>
      <c r="AH411">
        <f ca="1"/>
      </c>
      <c r="AI411">
        <f ca="1"/>
      </c>
      <c r="AJ411">
        <f ca="1"/>
      </c>
      <c r="AK411">
        <f ca="1"/>
      </c>
      <c r="AL411">
        <f ca="1"/>
      </c>
      <c r="AM411">
        <f ca="1"/>
      </c>
      <c r="AN411">
        <f ca="1"/>
      </c>
      <c r="AO411">
        <f ca="1"/>
      </c>
      <c r="AP411">
        <f ca="1"/>
      </c>
      <c r="AQ411">
        <f ca="1"/>
      </c>
      <c r="AR411">
        <f ca="1"/>
      </c>
      <c r="AT411" s="7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BA411" s="7">
        <f ca="1"/>
      </c>
      <c r="BB411">
        <f ca="1"/>
      </c>
      <c r="BC411">
        <f ca="1"/>
      </c>
      <c r="BD411">
        <f ca="1"/>
      </c>
      <c r="BE411">
        <f ca="1"/>
      </c>
    </row>
    <row r="412" spans="31:57" x14ac:dyDescent="0.55000000000000004">
      <c r="AE412" s="7">
        <f ca="1"/>
      </c>
      <c r="AF412">
        <f ca="1"/>
      </c>
      <c r="AG412">
        <f ca="1"/>
      </c>
      <c r="AH412">
        <f ca="1"/>
      </c>
      <c r="AI412">
        <f ca="1"/>
      </c>
      <c r="AJ412">
        <f ca="1"/>
      </c>
      <c r="AK412">
        <f ca="1"/>
      </c>
      <c r="AL412">
        <f ca="1"/>
      </c>
      <c r="AM412">
        <f ca="1"/>
      </c>
      <c r="AN412">
        <f ca="1"/>
      </c>
      <c r="AO412">
        <f ca="1"/>
      </c>
      <c r="AP412">
        <f ca="1"/>
      </c>
      <c r="AQ412">
        <f ca="1"/>
      </c>
      <c r="AR412">
        <f ca="1"/>
      </c>
      <c r="AT412" s="7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BA412" s="7">
        <f ca="1"/>
      </c>
      <c r="BB412">
        <f ca="1"/>
      </c>
      <c r="BC412">
        <f ca="1"/>
      </c>
      <c r="BD412">
        <f ca="1"/>
      </c>
      <c r="BE412">
        <f ca="1"/>
      </c>
    </row>
    <row r="413" spans="31:57" x14ac:dyDescent="0.55000000000000004">
      <c r="AE413" s="7">
        <f ca="1"/>
      </c>
      <c r="AF413">
        <f ca="1"/>
      </c>
      <c r="AG413">
        <f ca="1"/>
      </c>
      <c r="AH413">
        <f ca="1"/>
      </c>
      <c r="AI413">
        <f ca="1"/>
      </c>
      <c r="AJ413">
        <f ca="1"/>
      </c>
      <c r="AK413">
        <f ca="1"/>
      </c>
      <c r="AL413">
        <f ca="1"/>
      </c>
      <c r="AM413">
        <f ca="1"/>
      </c>
      <c r="AN413">
        <f ca="1"/>
      </c>
      <c r="AO413">
        <f ca="1"/>
      </c>
      <c r="AP413">
        <f ca="1"/>
      </c>
      <c r="AQ413">
        <f ca="1"/>
      </c>
      <c r="AR413">
        <f ca="1"/>
      </c>
      <c r="AT413" s="7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BA413" s="7">
        <f ca="1"/>
      </c>
      <c r="BB413">
        <f ca="1"/>
      </c>
      <c r="BC413">
        <f ca="1"/>
      </c>
      <c r="BD413">
        <f ca="1"/>
      </c>
      <c r="BE413">
        <f ca="1"/>
      </c>
    </row>
    <row r="414" spans="31:57" x14ac:dyDescent="0.55000000000000004">
      <c r="AE414" s="7">
        <f ca="1"/>
      </c>
      <c r="AF414">
        <f ca="1"/>
      </c>
      <c r="AG414">
        <f ca="1"/>
      </c>
      <c r="AH414">
        <f ca="1"/>
      </c>
      <c r="AI414">
        <f ca="1"/>
      </c>
      <c r="AJ414">
        <f ca="1"/>
      </c>
      <c r="AK414">
        <f ca="1"/>
      </c>
      <c r="AL414">
        <f ca="1"/>
      </c>
      <c r="AM414">
        <f ca="1"/>
      </c>
      <c r="AN414">
        <f ca="1"/>
      </c>
      <c r="AO414">
        <f ca="1"/>
      </c>
      <c r="AP414">
        <f ca="1"/>
      </c>
      <c r="AQ414">
        <f ca="1"/>
      </c>
      <c r="AR414">
        <f ca="1"/>
      </c>
      <c r="AT414" s="7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BA414" s="7">
        <f ca="1"/>
      </c>
      <c r="BB414">
        <f ca="1"/>
      </c>
      <c r="BC414">
        <f ca="1"/>
      </c>
      <c r="BD414">
        <f ca="1"/>
      </c>
      <c r="BE414">
        <f ca="1"/>
      </c>
    </row>
    <row r="415" spans="31:57" x14ac:dyDescent="0.55000000000000004">
      <c r="AE415" s="7">
        <f ca="1"/>
      </c>
      <c r="AF415">
        <f ca="1"/>
      </c>
      <c r="AG415">
        <f ca="1"/>
      </c>
      <c r="AH415">
        <f ca="1"/>
      </c>
      <c r="AI415">
        <f ca="1"/>
      </c>
      <c r="AJ415">
        <f ca="1"/>
      </c>
      <c r="AK415">
        <f ca="1"/>
      </c>
      <c r="AL415">
        <f ca="1"/>
      </c>
      <c r="AM415">
        <f ca="1"/>
      </c>
      <c r="AN415">
        <f ca="1"/>
      </c>
      <c r="AO415">
        <f ca="1"/>
      </c>
      <c r="AP415">
        <f ca="1"/>
      </c>
      <c r="AQ415">
        <f ca="1"/>
      </c>
      <c r="AR415">
        <f ca="1"/>
      </c>
      <c r="AT415" s="7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BA415" s="7">
        <f ca="1"/>
      </c>
      <c r="BB415">
        <f ca="1"/>
      </c>
      <c r="BC415">
        <f ca="1"/>
      </c>
      <c r="BD415">
        <f ca="1"/>
      </c>
      <c r="BE415">
        <f ca="1"/>
      </c>
    </row>
    <row r="416" spans="31:57" x14ac:dyDescent="0.55000000000000004">
      <c r="AE416" s="7">
        <f ca="1"/>
      </c>
      <c r="AF416">
        <f ca="1"/>
      </c>
      <c r="AG416">
        <f ca="1"/>
      </c>
      <c r="AH416">
        <f ca="1"/>
      </c>
      <c r="AI416">
        <f ca="1"/>
      </c>
      <c r="AJ416">
        <f ca="1"/>
      </c>
      <c r="AK416">
        <f ca="1"/>
      </c>
      <c r="AL416">
        <f ca="1"/>
      </c>
      <c r="AM416">
        <f ca="1"/>
      </c>
      <c r="AN416">
        <f ca="1"/>
      </c>
      <c r="AO416">
        <f ca="1"/>
      </c>
      <c r="AP416">
        <f ca="1"/>
      </c>
      <c r="AQ416">
        <f ca="1"/>
      </c>
      <c r="AR416">
        <f ca="1"/>
      </c>
      <c r="AT416" s="7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BA416" s="7">
        <f ca="1"/>
      </c>
      <c r="BB416">
        <f ca="1"/>
      </c>
      <c r="BC416">
        <f ca="1"/>
      </c>
      <c r="BD416">
        <f ca="1"/>
      </c>
      <c r="BE416">
        <f ca="1"/>
      </c>
    </row>
    <row r="417" spans="31:57" x14ac:dyDescent="0.55000000000000004">
      <c r="AE417" s="7">
        <f ca="1"/>
      </c>
      <c r="AF417">
        <f ca="1"/>
      </c>
      <c r="AG417">
        <f ca="1"/>
      </c>
      <c r="AH417">
        <f ca="1"/>
      </c>
      <c r="AI417">
        <f ca="1"/>
      </c>
      <c r="AJ417">
        <f ca="1"/>
      </c>
      <c r="AK417">
        <f ca="1"/>
      </c>
      <c r="AL417">
        <f ca="1"/>
      </c>
      <c r="AM417">
        <f ca="1"/>
      </c>
      <c r="AN417">
        <f ca="1"/>
      </c>
      <c r="AO417">
        <f ca="1"/>
      </c>
      <c r="AP417">
        <f ca="1"/>
      </c>
      <c r="AQ417">
        <f ca="1"/>
      </c>
      <c r="AR417">
        <f ca="1"/>
      </c>
      <c r="AT417" s="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BA417" s="7">
        <f ca="1"/>
      </c>
      <c r="BB417">
        <f ca="1"/>
      </c>
      <c r="BC417">
        <f ca="1"/>
      </c>
      <c r="BD417">
        <f ca="1"/>
      </c>
      <c r="BE417">
        <f ca="1"/>
      </c>
    </row>
    <row r="418" spans="31:57" x14ac:dyDescent="0.55000000000000004">
      <c r="AE418" s="7">
        <f ca="1"/>
      </c>
      <c r="AF418">
        <f ca="1"/>
      </c>
      <c r="AG418">
        <f ca="1"/>
      </c>
      <c r="AH418">
        <f ca="1"/>
      </c>
      <c r="AI418">
        <f ca="1"/>
      </c>
      <c r="AJ418">
        <f ca="1"/>
      </c>
      <c r="AK418">
        <f ca="1"/>
      </c>
      <c r="AL418">
        <f ca="1"/>
      </c>
      <c r="AM418">
        <f ca="1"/>
      </c>
      <c r="AN418">
        <f ca="1"/>
      </c>
      <c r="AO418">
        <f ca="1"/>
      </c>
      <c r="AP418">
        <f ca="1"/>
      </c>
      <c r="AQ418">
        <f ca="1"/>
      </c>
      <c r="AR418">
        <f ca="1"/>
      </c>
      <c r="AT418" s="7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BA418" s="7">
        <f ca="1"/>
      </c>
      <c r="BB418">
        <f ca="1"/>
      </c>
      <c r="BC418">
        <f ca="1"/>
      </c>
      <c r="BD418">
        <f ca="1"/>
      </c>
      <c r="BE418">
        <f ca="1"/>
      </c>
    </row>
    <row r="419" spans="31:57" x14ac:dyDescent="0.55000000000000004">
      <c r="AE419" s="7">
        <f ca="1"/>
      </c>
      <c r="AF419">
        <f ca="1"/>
      </c>
      <c r="AG419">
        <f ca="1"/>
      </c>
      <c r="AH419">
        <f ca="1"/>
      </c>
      <c r="AI419">
        <f ca="1"/>
      </c>
      <c r="AJ419">
        <f ca="1"/>
      </c>
      <c r="AK419">
        <f ca="1"/>
      </c>
      <c r="AL419">
        <f ca="1"/>
      </c>
      <c r="AM419">
        <f ca="1"/>
      </c>
      <c r="AN419">
        <f ca="1"/>
      </c>
      <c r="AO419">
        <f ca="1"/>
      </c>
      <c r="AP419">
        <f ca="1"/>
      </c>
      <c r="AQ419">
        <f ca="1"/>
      </c>
      <c r="AR419">
        <f ca="1"/>
      </c>
      <c r="AT419" s="7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BA419" s="7">
        <f ca="1"/>
      </c>
      <c r="BB419">
        <f ca="1"/>
      </c>
      <c r="BC419">
        <f ca="1"/>
      </c>
      <c r="BD419">
        <f ca="1"/>
      </c>
      <c r="BE419">
        <f ca="1"/>
      </c>
    </row>
    <row r="420" spans="31:57" x14ac:dyDescent="0.55000000000000004">
      <c r="AE420" s="7">
        <f ca="1"/>
      </c>
      <c r="AF420">
        <f ca="1"/>
      </c>
      <c r="AG420">
        <f ca="1"/>
      </c>
      <c r="AH420">
        <f ca="1"/>
      </c>
      <c r="AI420">
        <f ca="1"/>
      </c>
      <c r="AJ420">
        <f ca="1"/>
      </c>
      <c r="AK420">
        <f ca="1"/>
      </c>
      <c r="AL420">
        <f ca="1"/>
      </c>
      <c r="AM420">
        <f ca="1"/>
      </c>
      <c r="AN420">
        <f ca="1"/>
      </c>
      <c r="AO420">
        <f ca="1"/>
      </c>
      <c r="AP420">
        <f ca="1"/>
      </c>
      <c r="AQ420">
        <f ca="1"/>
      </c>
      <c r="AR420">
        <f ca="1"/>
      </c>
      <c r="AT420" s="7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BA420" s="7">
        <f ca="1"/>
      </c>
      <c r="BB420">
        <f ca="1"/>
      </c>
      <c r="BC420">
        <f ca="1"/>
      </c>
      <c r="BD420">
        <f ca="1"/>
      </c>
      <c r="BE420">
        <f ca="1"/>
      </c>
    </row>
    <row r="421" spans="31:57" x14ac:dyDescent="0.55000000000000004">
      <c r="AE421" s="7">
        <f ca="1"/>
      </c>
      <c r="AF421">
        <f ca="1"/>
      </c>
      <c r="AG421">
        <f ca="1"/>
      </c>
      <c r="AH421">
        <f ca="1"/>
      </c>
      <c r="AI421">
        <f ca="1"/>
      </c>
      <c r="AJ421">
        <f ca="1"/>
      </c>
      <c r="AK421">
        <f ca="1"/>
      </c>
      <c r="AL421">
        <f ca="1"/>
      </c>
      <c r="AM421">
        <f ca="1"/>
      </c>
      <c r="AN421">
        <f ca="1"/>
      </c>
      <c r="AO421">
        <f ca="1"/>
      </c>
      <c r="AP421">
        <f ca="1"/>
      </c>
      <c r="AQ421">
        <f ca="1"/>
      </c>
      <c r="AR421">
        <f ca="1"/>
      </c>
      <c r="AT421" s="7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BA421" s="7">
        <f ca="1"/>
      </c>
      <c r="BB421">
        <f ca="1"/>
      </c>
      <c r="BC421">
        <f ca="1"/>
      </c>
      <c r="BD421">
        <f ca="1"/>
      </c>
      <c r="BE421">
        <f ca="1"/>
      </c>
    </row>
    <row r="422" spans="31:57" x14ac:dyDescent="0.55000000000000004">
      <c r="AE422" s="7">
        <f ca="1"/>
      </c>
      <c r="AF422">
        <f ca="1"/>
      </c>
      <c r="AG422">
        <f ca="1"/>
      </c>
      <c r="AH422">
        <f ca="1"/>
      </c>
      <c r="AI422">
        <f ca="1"/>
      </c>
      <c r="AJ422">
        <f ca="1"/>
      </c>
      <c r="AK422">
        <f ca="1"/>
      </c>
      <c r="AL422">
        <f ca="1"/>
      </c>
      <c r="AM422">
        <f ca="1"/>
      </c>
      <c r="AN422">
        <f ca="1"/>
      </c>
      <c r="AO422">
        <f ca="1"/>
      </c>
      <c r="AP422">
        <f ca="1"/>
      </c>
      <c r="AQ422">
        <f ca="1"/>
      </c>
      <c r="AR422">
        <f ca="1"/>
      </c>
      <c r="AT422" s="7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BA422" s="7">
        <f ca="1"/>
      </c>
      <c r="BB422">
        <f ca="1"/>
      </c>
      <c r="BC422">
        <f ca="1"/>
      </c>
      <c r="BD422">
        <f ca="1"/>
      </c>
      <c r="BE422">
        <f ca="1"/>
      </c>
    </row>
    <row r="423" spans="31:57" x14ac:dyDescent="0.55000000000000004">
      <c r="AE423" s="7">
        <f ca="1"/>
      </c>
      <c r="AF423">
        <f ca="1"/>
      </c>
      <c r="AG423">
        <f ca="1"/>
      </c>
      <c r="AH423">
        <f ca="1"/>
      </c>
      <c r="AI423">
        <f ca="1"/>
      </c>
      <c r="AJ423">
        <f ca="1"/>
      </c>
      <c r="AK423">
        <f ca="1"/>
      </c>
      <c r="AL423">
        <f ca="1"/>
      </c>
      <c r="AM423">
        <f ca="1"/>
      </c>
      <c r="AN423">
        <f ca="1"/>
      </c>
      <c r="AO423">
        <f ca="1"/>
      </c>
      <c r="AP423">
        <f ca="1"/>
      </c>
      <c r="AQ423">
        <f ca="1"/>
      </c>
      <c r="AR423">
        <f ca="1"/>
      </c>
      <c r="AT423" s="7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BA423" s="7">
        <f ca="1"/>
      </c>
      <c r="BB423">
        <f ca="1"/>
      </c>
      <c r="BC423">
        <f ca="1"/>
      </c>
      <c r="BD423">
        <f ca="1"/>
      </c>
      <c r="BE423">
        <f ca="1"/>
      </c>
    </row>
    <row r="424" spans="31:57" x14ac:dyDescent="0.55000000000000004">
      <c r="AE424" s="7">
        <f ca="1"/>
      </c>
      <c r="AF424">
        <f ca="1"/>
      </c>
      <c r="AG424">
        <f ca="1"/>
      </c>
      <c r="AH424">
        <f ca="1"/>
      </c>
      <c r="AI424">
        <f ca="1"/>
      </c>
      <c r="AJ424">
        <f ca="1"/>
      </c>
      <c r="AK424">
        <f ca="1"/>
      </c>
      <c r="AL424">
        <f ca="1"/>
      </c>
      <c r="AM424">
        <f ca="1"/>
      </c>
      <c r="AN424">
        <f ca="1"/>
      </c>
      <c r="AO424">
        <f ca="1"/>
      </c>
      <c r="AP424">
        <f ca="1"/>
      </c>
      <c r="AQ424">
        <f ca="1"/>
      </c>
      <c r="AR424">
        <f ca="1"/>
      </c>
      <c r="AT424" s="7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BA424" s="7">
        <f ca="1"/>
      </c>
      <c r="BB424">
        <f ca="1"/>
      </c>
      <c r="BC424">
        <f ca="1"/>
      </c>
      <c r="BD424">
        <f ca="1"/>
      </c>
      <c r="BE424">
        <f ca="1"/>
      </c>
    </row>
    <row r="425" spans="31:57" x14ac:dyDescent="0.55000000000000004">
      <c r="AE425" s="7">
        <f ca="1"/>
      </c>
      <c r="AF425">
        <f ca="1"/>
      </c>
      <c r="AG425">
        <f ca="1"/>
      </c>
      <c r="AH425">
        <f ca="1"/>
      </c>
      <c r="AI425">
        <f ca="1"/>
      </c>
      <c r="AJ425">
        <f ca="1"/>
      </c>
      <c r="AK425">
        <f ca="1"/>
      </c>
      <c r="AL425">
        <f ca="1"/>
      </c>
      <c r="AM425">
        <f ca="1"/>
      </c>
      <c r="AN425">
        <f ca="1"/>
      </c>
      <c r="AO425">
        <f ca="1"/>
      </c>
      <c r="AP425">
        <f ca="1"/>
      </c>
      <c r="AQ425">
        <f ca="1"/>
      </c>
      <c r="AR425">
        <f ca="1"/>
      </c>
      <c r="AT425" s="7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BA425" s="7">
        <f ca="1"/>
      </c>
      <c r="BB425">
        <f ca="1"/>
      </c>
      <c r="BC425">
        <f ca="1"/>
      </c>
      <c r="BD425">
        <f ca="1"/>
      </c>
      <c r="BE425">
        <f ca="1"/>
      </c>
    </row>
    <row r="426" spans="31:57" x14ac:dyDescent="0.55000000000000004">
      <c r="AE426" s="7">
        <f ca="1"/>
      </c>
      <c r="AF426">
        <f ca="1"/>
      </c>
      <c r="AG426">
        <f ca="1"/>
      </c>
      <c r="AH426">
        <f ca="1"/>
      </c>
      <c r="AI426">
        <f ca="1"/>
      </c>
      <c r="AJ426">
        <f ca="1"/>
      </c>
      <c r="AK426">
        <f ca="1"/>
      </c>
      <c r="AL426">
        <f ca="1"/>
      </c>
      <c r="AM426">
        <f ca="1"/>
      </c>
      <c r="AN426">
        <f ca="1"/>
      </c>
      <c r="AO426">
        <f ca="1"/>
      </c>
      <c r="AP426">
        <f ca="1"/>
      </c>
      <c r="AQ426">
        <f ca="1"/>
      </c>
      <c r="AR426">
        <f ca="1"/>
      </c>
      <c r="AT426" s="7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BA426" s="7">
        <f ca="1"/>
      </c>
      <c r="BB426">
        <f ca="1"/>
      </c>
      <c r="BC426">
        <f ca="1"/>
      </c>
      <c r="BD426">
        <f ca="1"/>
      </c>
      <c r="BE426">
        <f ca="1"/>
      </c>
    </row>
    <row r="427" spans="31:57" x14ac:dyDescent="0.55000000000000004">
      <c r="AE427" s="7">
        <f ca="1"/>
      </c>
      <c r="AF427">
        <f ca="1"/>
      </c>
      <c r="AG427">
        <f ca="1"/>
      </c>
      <c r="AH427">
        <f ca="1"/>
      </c>
      <c r="AI427">
        <f ca="1"/>
      </c>
      <c r="AJ427">
        <f ca="1"/>
      </c>
      <c r="AK427">
        <f ca="1"/>
      </c>
      <c r="AL427">
        <f ca="1"/>
      </c>
      <c r="AM427">
        <f ca="1"/>
      </c>
      <c r="AN427">
        <f ca="1"/>
      </c>
      <c r="AO427">
        <f ca="1"/>
      </c>
      <c r="AP427">
        <f ca="1"/>
      </c>
      <c r="AQ427">
        <f ca="1"/>
      </c>
      <c r="AR427">
        <f ca="1"/>
      </c>
      <c r="AT427" s="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BA427" s="7">
        <f ca="1"/>
      </c>
      <c r="BB427">
        <f ca="1"/>
      </c>
      <c r="BC427">
        <f ca="1"/>
      </c>
      <c r="BD427">
        <f ca="1"/>
      </c>
      <c r="BE427">
        <f ca="1"/>
      </c>
    </row>
    <row r="428" spans="31:57" x14ac:dyDescent="0.55000000000000004">
      <c r="AE428" s="7">
        <f ca="1"/>
      </c>
      <c r="AF428">
        <f ca="1"/>
      </c>
      <c r="AG428">
        <f ca="1"/>
      </c>
      <c r="AH428">
        <f ca="1"/>
      </c>
      <c r="AI428">
        <f ca="1"/>
      </c>
      <c r="AJ428">
        <f ca="1"/>
      </c>
      <c r="AK428">
        <f ca="1"/>
      </c>
      <c r="AL428">
        <f ca="1"/>
      </c>
      <c r="AM428">
        <f ca="1"/>
      </c>
      <c r="AN428">
        <f ca="1"/>
      </c>
      <c r="AO428">
        <f ca="1"/>
      </c>
      <c r="AP428">
        <f ca="1"/>
      </c>
      <c r="AQ428">
        <f ca="1"/>
      </c>
      <c r="AR428">
        <f ca="1"/>
      </c>
      <c r="AT428" s="7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BA428" s="7">
        <f ca="1"/>
      </c>
      <c r="BB428">
        <f ca="1"/>
      </c>
      <c r="BC428">
        <f ca="1"/>
      </c>
      <c r="BD428">
        <f ca="1"/>
      </c>
      <c r="BE428">
        <f ca="1"/>
      </c>
    </row>
    <row r="429" spans="31:57" x14ac:dyDescent="0.55000000000000004">
      <c r="AE429" s="7">
        <f ca="1"/>
      </c>
      <c r="AF429">
        <f ca="1"/>
      </c>
      <c r="AG429">
        <f ca="1"/>
      </c>
      <c r="AH429">
        <f ca="1"/>
      </c>
      <c r="AI429">
        <f ca="1"/>
      </c>
      <c r="AJ429">
        <f ca="1"/>
      </c>
      <c r="AK429">
        <f ca="1"/>
      </c>
      <c r="AL429">
        <f ca="1"/>
      </c>
      <c r="AM429">
        <f ca="1"/>
      </c>
      <c r="AN429">
        <f ca="1"/>
      </c>
      <c r="AO429">
        <f ca="1"/>
      </c>
      <c r="AP429">
        <f ca="1"/>
      </c>
      <c r="AQ429">
        <f ca="1"/>
      </c>
      <c r="AR429">
        <f ca="1"/>
      </c>
      <c r="AT429" s="7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BA429" s="7">
        <f ca="1"/>
      </c>
      <c r="BB429">
        <f ca="1"/>
      </c>
      <c r="BC429">
        <f ca="1"/>
      </c>
      <c r="BD429">
        <f ca="1"/>
      </c>
      <c r="BE429">
        <f ca="1"/>
      </c>
    </row>
    <row r="430" spans="31:57" x14ac:dyDescent="0.55000000000000004">
      <c r="AE430" s="7">
        <f ca="1"/>
      </c>
      <c r="AF430">
        <f ca="1"/>
      </c>
      <c r="AG430">
        <f ca="1"/>
      </c>
      <c r="AH430">
        <f ca="1"/>
      </c>
      <c r="AI430">
        <f ca="1"/>
      </c>
      <c r="AJ430">
        <f ca="1"/>
      </c>
      <c r="AK430">
        <f ca="1"/>
      </c>
      <c r="AL430">
        <f ca="1"/>
      </c>
      <c r="AM430">
        <f ca="1"/>
      </c>
      <c r="AN430">
        <f ca="1"/>
      </c>
      <c r="AO430">
        <f ca="1"/>
      </c>
      <c r="AP430">
        <f ca="1"/>
      </c>
      <c r="AQ430">
        <f ca="1"/>
      </c>
      <c r="AR430">
        <f ca="1"/>
      </c>
      <c r="AT430" s="7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BA430" s="7">
        <f ca="1"/>
      </c>
      <c r="BB430">
        <f ca="1"/>
      </c>
      <c r="BC430">
        <f ca="1"/>
      </c>
      <c r="BD430">
        <f ca="1"/>
      </c>
      <c r="BE430">
        <f ca="1"/>
      </c>
    </row>
    <row r="431" spans="31:57" x14ac:dyDescent="0.55000000000000004">
      <c r="AE431" s="7">
        <f ca="1"/>
      </c>
      <c r="AF431">
        <f ca="1"/>
      </c>
      <c r="AG431">
        <f ca="1"/>
      </c>
      <c r="AH431">
        <f ca="1"/>
      </c>
      <c r="AI431">
        <f ca="1"/>
      </c>
      <c r="AJ431">
        <f ca="1"/>
      </c>
      <c r="AK431">
        <f ca="1"/>
      </c>
      <c r="AL431">
        <f ca="1"/>
      </c>
      <c r="AM431">
        <f ca="1"/>
      </c>
      <c r="AN431">
        <f ca="1"/>
      </c>
      <c r="AO431">
        <f ca="1"/>
      </c>
      <c r="AP431">
        <f ca="1"/>
      </c>
      <c r="AQ431">
        <f ca="1"/>
      </c>
      <c r="AR431">
        <f ca="1"/>
      </c>
      <c r="AT431" s="7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BA431" s="7">
        <f ca="1"/>
      </c>
      <c r="BB431">
        <f ca="1"/>
      </c>
      <c r="BC431">
        <f ca="1"/>
      </c>
      <c r="BD431">
        <f ca="1"/>
      </c>
      <c r="BE431">
        <f ca="1"/>
      </c>
    </row>
    <row r="432" spans="31:57" x14ac:dyDescent="0.55000000000000004">
      <c r="AE432" s="7">
        <f ca="1"/>
      </c>
      <c r="AF432">
        <f ca="1"/>
      </c>
      <c r="AG432">
        <f ca="1"/>
      </c>
      <c r="AH432">
        <f ca="1"/>
      </c>
      <c r="AI432">
        <f ca="1"/>
      </c>
      <c r="AJ432">
        <f ca="1"/>
      </c>
      <c r="AK432">
        <f ca="1"/>
      </c>
      <c r="AL432">
        <f ca="1"/>
      </c>
      <c r="AM432">
        <f ca="1"/>
      </c>
      <c r="AN432">
        <f ca="1"/>
      </c>
      <c r="AO432">
        <f ca="1"/>
      </c>
      <c r="AP432">
        <f ca="1"/>
      </c>
      <c r="AQ432">
        <f ca="1"/>
      </c>
      <c r="AR432">
        <f ca="1"/>
      </c>
      <c r="AT432" s="7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BA432" s="7">
        <f ca="1"/>
      </c>
      <c r="BB432">
        <f ca="1"/>
      </c>
      <c r="BC432">
        <f ca="1"/>
      </c>
      <c r="BD432">
        <f ca="1"/>
      </c>
      <c r="BE432">
        <f ca="1"/>
      </c>
    </row>
    <row r="433" spans="31:57" x14ac:dyDescent="0.55000000000000004">
      <c r="AE433" s="7">
        <f ca="1"/>
      </c>
      <c r="AF433">
        <f ca="1"/>
      </c>
      <c r="AG433">
        <f ca="1"/>
      </c>
      <c r="AH433">
        <f ca="1"/>
      </c>
      <c r="AI433">
        <f ca="1"/>
      </c>
      <c r="AJ433">
        <f ca="1"/>
      </c>
      <c r="AK433">
        <f ca="1"/>
      </c>
      <c r="AL433">
        <f ca="1"/>
      </c>
      <c r="AM433">
        <f ca="1"/>
      </c>
      <c r="AN433">
        <f ca="1"/>
      </c>
      <c r="AO433">
        <f ca="1"/>
      </c>
      <c r="AP433">
        <f ca="1"/>
      </c>
      <c r="AQ433">
        <f ca="1"/>
      </c>
      <c r="AR433">
        <f ca="1"/>
      </c>
      <c r="AT433" s="7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BA433" s="7">
        <f ca="1"/>
      </c>
      <c r="BB433">
        <f ca="1"/>
      </c>
      <c r="BC433">
        <f ca="1"/>
      </c>
      <c r="BD433">
        <f ca="1"/>
      </c>
      <c r="BE433">
        <f ca="1"/>
      </c>
    </row>
    <row r="434" spans="31:57" x14ac:dyDescent="0.55000000000000004">
      <c r="AE434" s="7">
        <f ca="1"/>
      </c>
      <c r="AF434">
        <f ca="1"/>
      </c>
      <c r="AG434">
        <f ca="1"/>
      </c>
      <c r="AH434">
        <f ca="1"/>
      </c>
      <c r="AI434">
        <f ca="1"/>
      </c>
      <c r="AJ434">
        <f ca="1"/>
      </c>
      <c r="AK434">
        <f ca="1"/>
      </c>
      <c r="AL434">
        <f ca="1"/>
      </c>
      <c r="AM434">
        <f ca="1"/>
      </c>
      <c r="AN434">
        <f ca="1"/>
      </c>
      <c r="AO434">
        <f ca="1"/>
      </c>
      <c r="AP434">
        <f ca="1"/>
      </c>
      <c r="AQ434">
        <f ca="1"/>
      </c>
      <c r="AR434">
        <f ca="1"/>
      </c>
      <c r="AT434" s="7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BA434" s="7">
        <f ca="1"/>
      </c>
      <c r="BB434">
        <f ca="1"/>
      </c>
      <c r="BC434">
        <f ca="1"/>
      </c>
      <c r="BD434">
        <f ca="1"/>
      </c>
      <c r="BE434">
        <f ca="1"/>
      </c>
    </row>
    <row r="435" spans="31:57" x14ac:dyDescent="0.55000000000000004">
      <c r="AE435" s="7">
        <f ca="1"/>
      </c>
      <c r="AF435">
        <f ca="1"/>
      </c>
      <c r="AG435">
        <f ca="1"/>
      </c>
      <c r="AH435">
        <f ca="1"/>
      </c>
      <c r="AI435">
        <f ca="1"/>
      </c>
      <c r="AJ435">
        <f ca="1"/>
      </c>
      <c r="AK435">
        <f ca="1"/>
      </c>
      <c r="AL435">
        <f ca="1"/>
      </c>
      <c r="AM435">
        <f ca="1"/>
      </c>
      <c r="AN435">
        <f ca="1"/>
      </c>
      <c r="AO435">
        <f ca="1"/>
      </c>
      <c r="AP435">
        <f ca="1"/>
      </c>
      <c r="AQ435">
        <f ca="1"/>
      </c>
      <c r="AR435">
        <f ca="1"/>
      </c>
      <c r="AT435" s="7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BA435" s="7">
        <f ca="1"/>
      </c>
      <c r="BB435">
        <f ca="1"/>
      </c>
      <c r="BC435">
        <f ca="1"/>
      </c>
      <c r="BD435">
        <f ca="1"/>
      </c>
      <c r="BE435">
        <f ca="1"/>
      </c>
    </row>
    <row r="436" spans="31:57" x14ac:dyDescent="0.55000000000000004">
      <c r="AE436" s="7">
        <f ca="1"/>
      </c>
      <c r="AF436">
        <f ca="1"/>
      </c>
      <c r="AG436">
        <f ca="1"/>
      </c>
      <c r="AH436">
        <f ca="1"/>
      </c>
      <c r="AI436">
        <f ca="1"/>
      </c>
      <c r="AJ436">
        <f ca="1"/>
      </c>
      <c r="AK436">
        <f ca="1"/>
      </c>
      <c r="AL436">
        <f ca="1"/>
      </c>
      <c r="AM436">
        <f ca="1"/>
      </c>
      <c r="AN436">
        <f ca="1"/>
      </c>
      <c r="AO436">
        <f ca="1"/>
      </c>
      <c r="AP436">
        <f ca="1"/>
      </c>
      <c r="AQ436">
        <f ca="1"/>
      </c>
      <c r="AR436">
        <f ca="1"/>
      </c>
      <c r="AT436" s="7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BA436" s="7">
        <f ca="1"/>
      </c>
      <c r="BB436">
        <f ca="1"/>
      </c>
      <c r="BC436">
        <f ca="1"/>
      </c>
      <c r="BD436">
        <f ca="1"/>
      </c>
      <c r="BE436">
        <f ca="1"/>
      </c>
    </row>
    <row r="437" spans="31:57" x14ac:dyDescent="0.55000000000000004">
      <c r="AE437" s="7">
        <f ca="1"/>
      </c>
      <c r="AF437">
        <f ca="1"/>
      </c>
      <c r="AG437">
        <f ca="1"/>
      </c>
      <c r="AH437">
        <f ca="1"/>
      </c>
      <c r="AI437">
        <f ca="1"/>
      </c>
      <c r="AJ437">
        <f ca="1"/>
      </c>
      <c r="AK437">
        <f ca="1"/>
      </c>
      <c r="AL437">
        <f ca="1"/>
      </c>
      <c r="AM437">
        <f ca="1"/>
      </c>
      <c r="AN437">
        <f ca="1"/>
      </c>
      <c r="AO437">
        <f ca="1"/>
      </c>
      <c r="AP437">
        <f ca="1"/>
      </c>
      <c r="AQ437">
        <f ca="1"/>
      </c>
      <c r="AR437">
        <f ca="1"/>
      </c>
      <c r="AT437" s="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BA437" s="7">
        <f ca="1"/>
      </c>
      <c r="BB437">
        <f ca="1"/>
      </c>
      <c r="BC437">
        <f ca="1"/>
      </c>
      <c r="BD437">
        <f ca="1"/>
      </c>
      <c r="BE437">
        <f ca="1"/>
      </c>
    </row>
    <row r="438" spans="31:57" x14ac:dyDescent="0.55000000000000004">
      <c r="AE438" s="7">
        <f ca="1"/>
      </c>
      <c r="AF438">
        <f ca="1"/>
      </c>
      <c r="AG438">
        <f ca="1"/>
      </c>
      <c r="AH438">
        <f ca="1"/>
      </c>
      <c r="AI438">
        <f ca="1"/>
      </c>
      <c r="AJ438">
        <f ca="1"/>
      </c>
      <c r="AK438">
        <f ca="1"/>
      </c>
      <c r="AL438">
        <f ca="1"/>
      </c>
      <c r="AM438">
        <f ca="1"/>
      </c>
      <c r="AN438">
        <f ca="1"/>
      </c>
      <c r="AO438">
        <f ca="1"/>
      </c>
      <c r="AP438">
        <f ca="1"/>
      </c>
      <c r="AQ438">
        <f ca="1"/>
      </c>
      <c r="AR438">
        <f ca="1"/>
      </c>
      <c r="AT438" s="7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BA438" s="7">
        <f ca="1"/>
      </c>
      <c r="BB438">
        <f ca="1"/>
      </c>
      <c r="BC438">
        <f ca="1"/>
      </c>
      <c r="BD438">
        <f ca="1"/>
      </c>
      <c r="BE438">
        <f ca="1"/>
      </c>
    </row>
    <row r="439" spans="31:57" x14ac:dyDescent="0.55000000000000004">
      <c r="AE439" s="7">
        <f ca="1"/>
      </c>
      <c r="AF439">
        <f ca="1"/>
      </c>
      <c r="AG439">
        <f ca="1"/>
      </c>
      <c r="AH439">
        <f ca="1"/>
      </c>
      <c r="AI439">
        <f ca="1"/>
      </c>
      <c r="AJ439">
        <f ca="1"/>
      </c>
      <c r="AK439">
        <f ca="1"/>
      </c>
      <c r="AL439">
        <f ca="1"/>
      </c>
      <c r="AM439">
        <f ca="1"/>
      </c>
      <c r="AN439">
        <f ca="1"/>
      </c>
      <c r="AO439">
        <f ca="1"/>
      </c>
      <c r="AP439">
        <f ca="1"/>
      </c>
      <c r="AQ439">
        <f ca="1"/>
      </c>
      <c r="AR439">
        <f ca="1"/>
      </c>
      <c r="AT439" s="7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BA439" s="7">
        <f ca="1"/>
      </c>
      <c r="BB439">
        <f ca="1"/>
      </c>
      <c r="BC439">
        <f ca="1"/>
      </c>
      <c r="BD439">
        <f ca="1"/>
      </c>
      <c r="BE439">
        <f ca="1"/>
      </c>
    </row>
    <row r="440" spans="31:57" x14ac:dyDescent="0.55000000000000004">
      <c r="AE440" s="7">
        <f ca="1"/>
      </c>
      <c r="AF440">
        <f ca="1"/>
      </c>
      <c r="AG440">
        <f ca="1"/>
      </c>
      <c r="AH440">
        <f ca="1"/>
      </c>
      <c r="AI440">
        <f ca="1"/>
      </c>
      <c r="AJ440">
        <f ca="1"/>
      </c>
      <c r="AK440">
        <f ca="1"/>
      </c>
      <c r="AL440">
        <f ca="1"/>
      </c>
      <c r="AM440">
        <f ca="1"/>
      </c>
      <c r="AN440">
        <f ca="1"/>
      </c>
      <c r="AO440">
        <f ca="1"/>
      </c>
      <c r="AP440">
        <f ca="1"/>
      </c>
      <c r="AQ440">
        <f ca="1"/>
      </c>
      <c r="AR440">
        <f ca="1"/>
      </c>
      <c r="AT440" s="7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BA440" s="7">
        <f ca="1"/>
      </c>
      <c r="BB440">
        <f ca="1"/>
      </c>
      <c r="BC440">
        <f ca="1"/>
      </c>
      <c r="BD440">
        <f ca="1"/>
      </c>
      <c r="BE440">
        <f ca="1"/>
      </c>
    </row>
    <row r="441" spans="31:57" x14ac:dyDescent="0.55000000000000004">
      <c r="AE441" s="7">
        <f ca="1"/>
      </c>
      <c r="AF441">
        <f ca="1"/>
      </c>
      <c r="AG441">
        <f ca="1"/>
      </c>
      <c r="AH441">
        <f ca="1"/>
      </c>
      <c r="AI441">
        <f ca="1"/>
      </c>
      <c r="AJ441">
        <f ca="1"/>
      </c>
      <c r="AK441">
        <f ca="1"/>
      </c>
      <c r="AL441">
        <f ca="1"/>
      </c>
      <c r="AM441">
        <f ca="1"/>
      </c>
      <c r="AN441">
        <f ca="1"/>
      </c>
      <c r="AO441">
        <f ca="1"/>
      </c>
      <c r="AP441">
        <f ca="1"/>
      </c>
      <c r="AQ441">
        <f ca="1"/>
      </c>
      <c r="AR441">
        <f ca="1"/>
      </c>
      <c r="AT441" s="7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BA441" s="7">
        <f ca="1"/>
      </c>
      <c r="BB441">
        <f ca="1"/>
      </c>
      <c r="BC441">
        <f ca="1"/>
      </c>
      <c r="BD441">
        <f ca="1"/>
      </c>
      <c r="BE441">
        <f ca="1"/>
      </c>
    </row>
    <row r="442" spans="31:57" x14ac:dyDescent="0.55000000000000004">
      <c r="AE442" s="7">
        <f ca="1"/>
      </c>
      <c r="AF442">
        <f ca="1"/>
      </c>
      <c r="AG442">
        <f ca="1"/>
      </c>
      <c r="AH442">
        <f ca="1"/>
      </c>
      <c r="AI442">
        <f ca="1"/>
      </c>
      <c r="AJ442">
        <f ca="1"/>
      </c>
      <c r="AK442">
        <f ca="1"/>
      </c>
      <c r="AL442">
        <f ca="1"/>
      </c>
      <c r="AM442">
        <f ca="1"/>
      </c>
      <c r="AN442">
        <f ca="1"/>
      </c>
      <c r="AO442">
        <f ca="1"/>
      </c>
      <c r="AP442">
        <f ca="1"/>
      </c>
      <c r="AQ442">
        <f ca="1"/>
      </c>
      <c r="AR442">
        <f ca="1"/>
      </c>
      <c r="AT442" s="7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BA442" s="7">
        <f ca="1"/>
      </c>
      <c r="BB442">
        <f ca="1"/>
      </c>
      <c r="BC442">
        <f ca="1"/>
      </c>
      <c r="BD442">
        <f ca="1"/>
      </c>
      <c r="BE442">
        <f ca="1"/>
      </c>
    </row>
    <row r="443" spans="31:57" x14ac:dyDescent="0.55000000000000004">
      <c r="AE443" s="7">
        <f ca="1"/>
      </c>
      <c r="AF443">
        <f ca="1"/>
      </c>
      <c r="AG443">
        <f ca="1"/>
      </c>
      <c r="AH443">
        <f ca="1"/>
      </c>
      <c r="AI443">
        <f ca="1"/>
      </c>
      <c r="AJ443">
        <f ca="1"/>
      </c>
      <c r="AK443">
        <f ca="1"/>
      </c>
      <c r="AL443">
        <f ca="1"/>
      </c>
      <c r="AM443">
        <f ca="1"/>
      </c>
      <c r="AN443">
        <f ca="1"/>
      </c>
      <c r="AO443">
        <f ca="1"/>
      </c>
      <c r="AP443">
        <f ca="1"/>
      </c>
      <c r="AQ443">
        <f ca="1"/>
      </c>
      <c r="AR443">
        <f ca="1"/>
      </c>
      <c r="AT443" s="7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BA443" s="7">
        <f ca="1"/>
      </c>
      <c r="BB443">
        <f ca="1"/>
      </c>
      <c r="BC443">
        <f ca="1"/>
      </c>
      <c r="BD443">
        <f ca="1"/>
      </c>
      <c r="BE443">
        <f ca="1"/>
      </c>
    </row>
    <row r="444" spans="31:57" x14ac:dyDescent="0.55000000000000004">
      <c r="AE444" s="7">
        <f ca="1"/>
      </c>
      <c r="AF444">
        <f ca="1"/>
      </c>
      <c r="AG444">
        <f ca="1"/>
      </c>
      <c r="AH444">
        <f ca="1"/>
      </c>
      <c r="AI444">
        <f ca="1"/>
      </c>
      <c r="AJ444">
        <f ca="1"/>
      </c>
      <c r="AK444">
        <f ca="1"/>
      </c>
      <c r="AL444">
        <f ca="1"/>
      </c>
      <c r="AM444">
        <f ca="1"/>
      </c>
      <c r="AN444">
        <f ca="1"/>
      </c>
      <c r="AO444">
        <f ca="1"/>
      </c>
      <c r="AP444">
        <f ca="1"/>
      </c>
      <c r="AQ444">
        <f ca="1"/>
      </c>
      <c r="AR444">
        <f ca="1"/>
      </c>
      <c r="AT444" s="7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BA444" s="7">
        <f ca="1"/>
      </c>
      <c r="BB444">
        <f ca="1"/>
      </c>
      <c r="BC444">
        <f ca="1"/>
      </c>
      <c r="BD444">
        <f ca="1"/>
      </c>
      <c r="BE444">
        <f ca="1"/>
      </c>
    </row>
    <row r="445" spans="31:57" x14ac:dyDescent="0.55000000000000004">
      <c r="AE445" s="7">
        <f ca="1"/>
      </c>
      <c r="AF445">
        <f ca="1"/>
      </c>
      <c r="AG445">
        <f ca="1"/>
      </c>
      <c r="AH445">
        <f ca="1"/>
      </c>
      <c r="AI445">
        <f ca="1"/>
      </c>
      <c r="AJ445">
        <f ca="1"/>
      </c>
      <c r="AK445">
        <f ca="1"/>
      </c>
      <c r="AL445">
        <f ca="1"/>
      </c>
      <c r="AM445">
        <f ca="1"/>
      </c>
      <c r="AN445">
        <f ca="1"/>
      </c>
      <c r="AO445">
        <f ca="1"/>
      </c>
      <c r="AP445">
        <f ca="1"/>
      </c>
      <c r="AQ445">
        <f ca="1"/>
      </c>
      <c r="AR445">
        <f ca="1"/>
      </c>
      <c r="AT445" s="7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BA445" s="7">
        <f ca="1"/>
      </c>
      <c r="BB445">
        <f ca="1"/>
      </c>
      <c r="BC445">
        <f ca="1"/>
      </c>
      <c r="BD445">
        <f ca="1"/>
      </c>
      <c r="BE445">
        <f ca="1"/>
      </c>
    </row>
    <row r="446" spans="31:57" x14ac:dyDescent="0.55000000000000004">
      <c r="AE446" s="7">
        <f ca="1"/>
      </c>
      <c r="AF446">
        <f ca="1"/>
      </c>
      <c r="AG446">
        <f ca="1"/>
      </c>
      <c r="AH446">
        <f ca="1"/>
      </c>
      <c r="AI446">
        <f ca="1"/>
      </c>
      <c r="AJ446">
        <f ca="1"/>
      </c>
      <c r="AK446">
        <f ca="1"/>
      </c>
      <c r="AL446">
        <f ca="1"/>
      </c>
      <c r="AM446">
        <f ca="1"/>
      </c>
      <c r="AN446">
        <f ca="1"/>
      </c>
      <c r="AO446">
        <f ca="1"/>
      </c>
      <c r="AP446">
        <f ca="1"/>
      </c>
      <c r="AQ446">
        <f ca="1"/>
      </c>
      <c r="AR446">
        <f ca="1"/>
      </c>
      <c r="AT446" s="7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BA446" s="7">
        <f ca="1"/>
      </c>
      <c r="BB446">
        <f ca="1"/>
      </c>
      <c r="BC446">
        <f ca="1"/>
      </c>
      <c r="BD446">
        <f ca="1"/>
      </c>
      <c r="BE446">
        <f ca="1"/>
      </c>
    </row>
    <row r="447" spans="31:57" x14ac:dyDescent="0.55000000000000004">
      <c r="AE447" s="7">
        <f ca="1"/>
      </c>
      <c r="AF447">
        <f ca="1"/>
      </c>
      <c r="AG447">
        <f ca="1"/>
      </c>
      <c r="AH447">
        <f ca="1"/>
      </c>
      <c r="AI447">
        <f ca="1"/>
      </c>
      <c r="AJ447">
        <f ca="1"/>
      </c>
      <c r="AK447">
        <f ca="1"/>
      </c>
      <c r="AL447">
        <f ca="1"/>
      </c>
      <c r="AM447">
        <f ca="1"/>
      </c>
      <c r="AN447">
        <f ca="1"/>
      </c>
      <c r="AO447">
        <f ca="1"/>
      </c>
      <c r="AP447">
        <f ca="1"/>
      </c>
      <c r="AQ447">
        <f ca="1"/>
      </c>
      <c r="AR447">
        <f ca="1"/>
      </c>
      <c r="AT447" s="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BA447" s="7">
        <f ca="1"/>
      </c>
      <c r="BB447">
        <f ca="1"/>
      </c>
      <c r="BC447">
        <f ca="1"/>
      </c>
      <c r="BD447">
        <f ca="1"/>
      </c>
      <c r="BE447">
        <f ca="1"/>
      </c>
    </row>
    <row r="448" spans="31:57" x14ac:dyDescent="0.55000000000000004">
      <c r="AE448" s="7">
        <f ca="1"/>
      </c>
      <c r="AF448">
        <f ca="1"/>
      </c>
      <c r="AG448">
        <f ca="1"/>
      </c>
      <c r="AH448">
        <f ca="1"/>
      </c>
      <c r="AI448">
        <f ca="1"/>
      </c>
      <c r="AJ448">
        <f ca="1"/>
      </c>
      <c r="AK448">
        <f ca="1"/>
      </c>
      <c r="AL448">
        <f ca="1"/>
      </c>
      <c r="AM448">
        <f ca="1"/>
      </c>
      <c r="AN448">
        <f ca="1"/>
      </c>
      <c r="AO448">
        <f ca="1"/>
      </c>
      <c r="AP448">
        <f ca="1"/>
      </c>
      <c r="AQ448">
        <f ca="1"/>
      </c>
      <c r="AR448">
        <f ca="1"/>
      </c>
      <c r="AT448" s="7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BA448" s="7">
        <f ca="1"/>
      </c>
      <c r="BB448">
        <f ca="1"/>
      </c>
      <c r="BC448">
        <f ca="1"/>
      </c>
      <c r="BD448">
        <f ca="1"/>
      </c>
      <c r="BE448">
        <f ca="1"/>
      </c>
    </row>
    <row r="449" spans="31:57" x14ac:dyDescent="0.55000000000000004">
      <c r="AE449" s="7">
        <f ca="1"/>
      </c>
      <c r="AF449">
        <f ca="1"/>
      </c>
      <c r="AG449">
        <f ca="1"/>
      </c>
      <c r="AH449">
        <f ca="1"/>
      </c>
      <c r="AI449">
        <f ca="1"/>
      </c>
      <c r="AJ449">
        <f ca="1"/>
      </c>
      <c r="AK449">
        <f ca="1"/>
      </c>
      <c r="AL449">
        <f ca="1"/>
      </c>
      <c r="AM449">
        <f ca="1"/>
      </c>
      <c r="AN449">
        <f ca="1"/>
      </c>
      <c r="AO449">
        <f ca="1"/>
      </c>
      <c r="AP449">
        <f ca="1"/>
      </c>
      <c r="AQ449">
        <f ca="1"/>
      </c>
      <c r="AR449">
        <f ca="1"/>
      </c>
      <c r="AT449" s="7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BA449" s="7">
        <f ca="1"/>
      </c>
      <c r="BB449">
        <f ca="1"/>
      </c>
      <c r="BC449">
        <f ca="1"/>
      </c>
      <c r="BD449">
        <f ca="1"/>
      </c>
      <c r="BE449">
        <f ca="1"/>
      </c>
    </row>
    <row r="450" spans="31:57" x14ac:dyDescent="0.55000000000000004">
      <c r="AE450" s="7">
        <f ca="1"/>
      </c>
      <c r="AF450">
        <f ca="1"/>
      </c>
      <c r="AG450">
        <f ca="1"/>
      </c>
      <c r="AH450">
        <f ca="1"/>
      </c>
      <c r="AI450">
        <f ca="1"/>
      </c>
      <c r="AJ450">
        <f ca="1"/>
      </c>
      <c r="AK450">
        <f ca="1"/>
      </c>
      <c r="AL450">
        <f ca="1"/>
      </c>
      <c r="AM450">
        <f ca="1"/>
      </c>
      <c r="AN450">
        <f ca="1"/>
      </c>
      <c r="AO450">
        <f ca="1"/>
      </c>
      <c r="AP450">
        <f ca="1"/>
      </c>
      <c r="AQ450">
        <f ca="1"/>
      </c>
      <c r="AR450">
        <f ca="1"/>
      </c>
      <c r="AT450" s="7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BA450" s="7">
        <f ca="1"/>
      </c>
      <c r="BB450">
        <f ca="1"/>
      </c>
      <c r="BC450">
        <f ca="1"/>
      </c>
      <c r="BD450">
        <f ca="1"/>
      </c>
      <c r="BE450">
        <f ca="1"/>
      </c>
    </row>
    <row r="451" spans="31:57" x14ac:dyDescent="0.55000000000000004">
      <c r="AE451" s="7">
        <f ca="1"/>
      </c>
      <c r="AF451">
        <f ca="1"/>
      </c>
      <c r="AG451">
        <f ca="1"/>
      </c>
      <c r="AH451">
        <f ca="1"/>
      </c>
      <c r="AI451">
        <f ca="1"/>
      </c>
      <c r="AJ451">
        <f ca="1"/>
      </c>
      <c r="AK451">
        <f ca="1"/>
      </c>
      <c r="AL451">
        <f ca="1"/>
      </c>
      <c r="AM451">
        <f ca="1"/>
      </c>
      <c r="AN451">
        <f ca="1"/>
      </c>
      <c r="AO451">
        <f ca="1"/>
      </c>
      <c r="AP451">
        <f ca="1"/>
      </c>
      <c r="AQ451">
        <f ca="1"/>
      </c>
      <c r="AR451">
        <f ca="1"/>
      </c>
      <c r="AT451" s="7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BA451" s="7">
        <f ca="1"/>
      </c>
      <c r="BB451">
        <f ca="1"/>
      </c>
      <c r="BC451">
        <f ca="1"/>
      </c>
      <c r="BD451">
        <f ca="1"/>
      </c>
      <c r="BE451">
        <f ca="1"/>
      </c>
    </row>
    <row r="452" spans="31:57" x14ac:dyDescent="0.55000000000000004">
      <c r="AE452" s="7">
        <f ca="1"/>
      </c>
      <c r="AF452">
        <f ca="1"/>
      </c>
      <c r="AG452">
        <f ca="1"/>
      </c>
      <c r="AH452">
        <f ca="1"/>
      </c>
      <c r="AI452">
        <f ca="1"/>
      </c>
      <c r="AJ452">
        <f ca="1"/>
      </c>
      <c r="AK452">
        <f ca="1"/>
      </c>
      <c r="AL452">
        <f ca="1"/>
      </c>
      <c r="AM452">
        <f ca="1"/>
      </c>
      <c r="AN452">
        <f ca="1"/>
      </c>
      <c r="AO452">
        <f ca="1"/>
      </c>
      <c r="AP452">
        <f ca="1"/>
      </c>
      <c r="AQ452">
        <f ca="1"/>
      </c>
      <c r="AR452">
        <f ca="1"/>
      </c>
      <c r="AT452" s="7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BA452" s="7">
        <f ca="1"/>
      </c>
      <c r="BB452">
        <f ca="1"/>
      </c>
      <c r="BC452">
        <f ca="1"/>
      </c>
      <c r="BD452">
        <f ca="1"/>
      </c>
      <c r="BE452">
        <f ca="1"/>
      </c>
    </row>
    <row r="453" spans="31:57" x14ac:dyDescent="0.55000000000000004">
      <c r="AE453" s="7">
        <f ca="1"/>
      </c>
      <c r="AF453">
        <f ca="1"/>
      </c>
      <c r="AG453">
        <f ca="1"/>
      </c>
      <c r="AH453">
        <f ca="1"/>
      </c>
      <c r="AI453">
        <f ca="1"/>
      </c>
      <c r="AJ453">
        <f ca="1"/>
      </c>
      <c r="AK453">
        <f ca="1"/>
      </c>
      <c r="AL453">
        <f ca="1"/>
      </c>
      <c r="AM453">
        <f ca="1"/>
      </c>
      <c r="AN453">
        <f ca="1"/>
      </c>
      <c r="AO453">
        <f ca="1"/>
      </c>
      <c r="AP453">
        <f ca="1"/>
      </c>
      <c r="AQ453">
        <f ca="1"/>
      </c>
      <c r="AR453">
        <f ca="1"/>
      </c>
      <c r="AT453" s="7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BA453" s="7">
        <f ca="1"/>
      </c>
      <c r="BB453">
        <f ca="1"/>
      </c>
      <c r="BC453">
        <f ca="1"/>
      </c>
      <c r="BD453">
        <f ca="1"/>
      </c>
      <c r="BE453">
        <f ca="1"/>
      </c>
    </row>
    <row r="454" spans="31:57" x14ac:dyDescent="0.55000000000000004">
      <c r="AE454" s="7">
        <f ca="1"/>
      </c>
      <c r="AF454">
        <f ca="1"/>
      </c>
      <c r="AG454">
        <f ca="1"/>
      </c>
      <c r="AH454">
        <f ca="1"/>
      </c>
      <c r="AI454">
        <f ca="1"/>
      </c>
      <c r="AJ454">
        <f ca="1"/>
      </c>
      <c r="AK454">
        <f ca="1"/>
      </c>
      <c r="AL454">
        <f ca="1"/>
      </c>
      <c r="AM454">
        <f ca="1"/>
      </c>
      <c r="AN454">
        <f ca="1"/>
      </c>
      <c r="AO454">
        <f ca="1"/>
      </c>
      <c r="AP454">
        <f ca="1"/>
      </c>
      <c r="AQ454">
        <f ca="1"/>
      </c>
      <c r="AR454">
        <f ca="1"/>
      </c>
      <c r="AT454" s="7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BA454" s="7">
        <f ca="1"/>
      </c>
      <c r="BB454">
        <f ca="1"/>
      </c>
      <c r="BC454">
        <f ca="1"/>
      </c>
      <c r="BD454">
        <f ca="1"/>
      </c>
      <c r="BE454">
        <f ca="1"/>
      </c>
    </row>
    <row r="455" spans="31:57" x14ac:dyDescent="0.55000000000000004">
      <c r="AE455" s="7">
        <f ca="1"/>
      </c>
      <c r="AF455">
        <f ca="1"/>
      </c>
      <c r="AG455">
        <f ca="1"/>
      </c>
      <c r="AH455">
        <f ca="1"/>
      </c>
      <c r="AI455">
        <f ca="1"/>
      </c>
      <c r="AJ455">
        <f ca="1"/>
      </c>
      <c r="AK455">
        <f ca="1"/>
      </c>
      <c r="AL455">
        <f ca="1"/>
      </c>
      <c r="AM455">
        <f ca="1"/>
      </c>
      <c r="AN455">
        <f ca="1"/>
      </c>
      <c r="AO455">
        <f ca="1"/>
      </c>
      <c r="AP455">
        <f ca="1"/>
      </c>
      <c r="AQ455">
        <f ca="1"/>
      </c>
      <c r="AR455">
        <f ca="1"/>
      </c>
      <c r="AT455" s="7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BA455" s="7">
        <f ca="1"/>
      </c>
      <c r="BB455">
        <f ca="1"/>
      </c>
      <c r="BC455">
        <f ca="1"/>
      </c>
      <c r="BD455">
        <f ca="1"/>
      </c>
      <c r="BE455">
        <f ca="1"/>
      </c>
    </row>
    <row r="456" spans="31:57" x14ac:dyDescent="0.55000000000000004">
      <c r="AE456" s="7">
        <f ca="1"/>
      </c>
      <c r="AF456">
        <f ca="1"/>
      </c>
      <c r="AG456">
        <f ca="1"/>
      </c>
      <c r="AH456">
        <f ca="1"/>
      </c>
      <c r="AI456">
        <f ca="1"/>
      </c>
      <c r="AJ456">
        <f ca="1"/>
      </c>
      <c r="AK456">
        <f ca="1"/>
      </c>
      <c r="AL456">
        <f ca="1"/>
      </c>
      <c r="AM456">
        <f ca="1"/>
      </c>
      <c r="AN456">
        <f ca="1"/>
      </c>
      <c r="AO456">
        <f ca="1"/>
      </c>
      <c r="AP456">
        <f ca="1"/>
      </c>
      <c r="AQ456">
        <f ca="1"/>
      </c>
      <c r="AR456">
        <f ca="1"/>
      </c>
      <c r="AT456" s="7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BA456" s="7">
        <f ca="1"/>
      </c>
      <c r="BB456">
        <f ca="1"/>
      </c>
      <c r="BC456">
        <f ca="1"/>
      </c>
      <c r="BD456">
        <f ca="1"/>
      </c>
      <c r="BE456">
        <f ca="1"/>
      </c>
    </row>
    <row r="457" spans="31:57" x14ac:dyDescent="0.55000000000000004">
      <c r="AE457" s="7">
        <f ca="1"/>
      </c>
      <c r="AF457">
        <f ca="1"/>
      </c>
      <c r="AG457">
        <f ca="1"/>
      </c>
      <c r="AH457">
        <f ca="1"/>
      </c>
      <c r="AI457">
        <f ca="1"/>
      </c>
      <c r="AJ457">
        <f ca="1"/>
      </c>
      <c r="AK457">
        <f ca="1"/>
      </c>
      <c r="AL457">
        <f ca="1"/>
      </c>
      <c r="AM457">
        <f ca="1"/>
      </c>
      <c r="AN457">
        <f ca="1"/>
      </c>
      <c r="AO457">
        <f ca="1"/>
      </c>
      <c r="AP457">
        <f ca="1"/>
      </c>
      <c r="AQ457">
        <f ca="1"/>
      </c>
      <c r="AR457">
        <f ca="1"/>
      </c>
      <c r="AT457" s="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BA457" s="7">
        <f ca="1"/>
      </c>
      <c r="BB457">
        <f ca="1"/>
      </c>
      <c r="BC457">
        <f ca="1"/>
      </c>
      <c r="BD457">
        <f ca="1"/>
      </c>
      <c r="BE457">
        <f ca="1"/>
      </c>
    </row>
    <row r="458" spans="31:57" x14ac:dyDescent="0.55000000000000004">
      <c r="AE458" s="7">
        <f ca="1"/>
      </c>
      <c r="AF458">
        <f ca="1"/>
      </c>
      <c r="AG458">
        <f ca="1"/>
      </c>
      <c r="AH458">
        <f ca="1"/>
      </c>
      <c r="AI458">
        <f ca="1"/>
      </c>
      <c r="AJ458">
        <f ca="1"/>
      </c>
      <c r="AK458">
        <f ca="1"/>
      </c>
      <c r="AL458">
        <f ca="1"/>
      </c>
      <c r="AM458">
        <f ca="1"/>
      </c>
      <c r="AN458">
        <f ca="1"/>
      </c>
      <c r="AO458">
        <f ca="1"/>
      </c>
      <c r="AP458">
        <f ca="1"/>
      </c>
      <c r="AQ458">
        <f ca="1"/>
      </c>
      <c r="AR458">
        <f ca="1"/>
      </c>
      <c r="AT458" s="7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BA458" s="7">
        <f ca="1"/>
      </c>
      <c r="BB458">
        <f ca="1"/>
      </c>
      <c r="BC458">
        <f ca="1"/>
      </c>
      <c r="BD458">
        <f ca="1"/>
      </c>
      <c r="BE458">
        <f ca="1"/>
      </c>
    </row>
    <row r="459" spans="31:57" x14ac:dyDescent="0.55000000000000004">
      <c r="AE459" s="7">
        <f ca="1"/>
      </c>
      <c r="AF459">
        <f ca="1"/>
      </c>
      <c r="AG459">
        <f ca="1"/>
      </c>
      <c r="AH459">
        <f ca="1"/>
      </c>
      <c r="AI459">
        <f ca="1"/>
      </c>
      <c r="AJ459">
        <f ca="1"/>
      </c>
      <c r="AK459">
        <f ca="1"/>
      </c>
      <c r="AL459">
        <f ca="1"/>
      </c>
      <c r="AM459">
        <f ca="1"/>
      </c>
      <c r="AN459">
        <f ca="1"/>
      </c>
      <c r="AO459">
        <f ca="1"/>
      </c>
      <c r="AP459">
        <f ca="1"/>
      </c>
      <c r="AQ459">
        <f ca="1"/>
      </c>
      <c r="AR459">
        <f ca="1"/>
      </c>
      <c r="AT459" s="7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BA459" s="7">
        <f ca="1"/>
      </c>
      <c r="BB459">
        <f ca="1"/>
      </c>
      <c r="BC459">
        <f ca="1"/>
      </c>
      <c r="BD459">
        <f ca="1"/>
      </c>
      <c r="BE459">
        <f ca="1"/>
      </c>
    </row>
    <row r="460" spans="31:57" x14ac:dyDescent="0.55000000000000004">
      <c r="AE460" s="7">
        <f ca="1"/>
      </c>
      <c r="AF460">
        <f ca="1"/>
      </c>
      <c r="AG460">
        <f ca="1"/>
      </c>
      <c r="AH460">
        <f ca="1"/>
      </c>
      <c r="AI460">
        <f ca="1"/>
      </c>
      <c r="AJ460">
        <f ca="1"/>
      </c>
      <c r="AK460">
        <f ca="1"/>
      </c>
      <c r="AL460">
        <f ca="1"/>
      </c>
      <c r="AM460">
        <f ca="1"/>
      </c>
      <c r="AN460">
        <f ca="1"/>
      </c>
      <c r="AO460">
        <f ca="1"/>
      </c>
      <c r="AP460">
        <f ca="1"/>
      </c>
      <c r="AQ460">
        <f ca="1"/>
      </c>
      <c r="AR460">
        <f ca="1"/>
      </c>
      <c r="AT460" s="7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BA460" s="7">
        <f ca="1"/>
      </c>
      <c r="BB460">
        <f ca="1"/>
      </c>
      <c r="BC460">
        <f ca="1"/>
      </c>
      <c r="BD460">
        <f ca="1"/>
      </c>
      <c r="BE460">
        <f ca="1"/>
      </c>
    </row>
    <row r="461" spans="31:57" x14ac:dyDescent="0.55000000000000004">
      <c r="AE461" s="7">
        <f ca="1"/>
      </c>
      <c r="AF461">
        <f ca="1"/>
      </c>
      <c r="AG461">
        <f ca="1"/>
      </c>
      <c r="AH461">
        <f ca="1"/>
      </c>
      <c r="AI461">
        <f ca="1"/>
      </c>
      <c r="AJ461">
        <f ca="1"/>
      </c>
      <c r="AK461">
        <f ca="1"/>
      </c>
      <c r="AL461">
        <f ca="1"/>
      </c>
      <c r="AM461">
        <f ca="1"/>
      </c>
      <c r="AN461">
        <f ca="1"/>
      </c>
      <c r="AO461">
        <f ca="1"/>
      </c>
      <c r="AP461">
        <f ca="1"/>
      </c>
      <c r="AQ461">
        <f ca="1"/>
      </c>
      <c r="AR461">
        <f ca="1"/>
      </c>
      <c r="AT461" s="7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BA461" s="7">
        <f ca="1"/>
      </c>
      <c r="BB461">
        <f ca="1"/>
      </c>
      <c r="BC461">
        <f ca="1"/>
      </c>
      <c r="BD461">
        <f ca="1"/>
      </c>
      <c r="BE461">
        <f ca="1"/>
      </c>
    </row>
    <row r="462" spans="31:57" x14ac:dyDescent="0.55000000000000004">
      <c r="AE462" s="7">
        <f ca="1"/>
      </c>
      <c r="AF462">
        <f ca="1"/>
      </c>
      <c r="AG462">
        <f ca="1"/>
      </c>
      <c r="AH462">
        <f ca="1"/>
      </c>
      <c r="AI462">
        <f ca="1"/>
      </c>
      <c r="AJ462">
        <f ca="1"/>
      </c>
      <c r="AK462">
        <f ca="1"/>
      </c>
      <c r="AL462">
        <f ca="1"/>
      </c>
      <c r="AM462">
        <f ca="1"/>
      </c>
      <c r="AN462">
        <f ca="1"/>
      </c>
      <c r="AO462">
        <f ca="1"/>
      </c>
      <c r="AP462">
        <f ca="1"/>
      </c>
      <c r="AQ462">
        <f ca="1"/>
      </c>
      <c r="AR462">
        <f ca="1"/>
      </c>
      <c r="AT462" s="7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BA462" s="7">
        <f ca="1"/>
      </c>
      <c r="BB462">
        <f ca="1"/>
      </c>
      <c r="BC462">
        <f ca="1"/>
      </c>
      <c r="BD462">
        <f ca="1"/>
      </c>
      <c r="BE462">
        <f ca="1"/>
      </c>
    </row>
    <row r="463" spans="31:57" x14ac:dyDescent="0.55000000000000004">
      <c r="AE463" s="7">
        <f ca="1"/>
      </c>
      <c r="AF463">
        <f ca="1"/>
      </c>
      <c r="AG463">
        <f ca="1"/>
      </c>
      <c r="AH463">
        <f ca="1"/>
      </c>
      <c r="AI463">
        <f ca="1"/>
      </c>
      <c r="AJ463">
        <f ca="1"/>
      </c>
      <c r="AK463">
        <f ca="1"/>
      </c>
      <c r="AL463">
        <f ca="1"/>
      </c>
      <c r="AM463">
        <f ca="1"/>
      </c>
      <c r="AN463">
        <f ca="1"/>
      </c>
      <c r="AO463">
        <f ca="1"/>
      </c>
      <c r="AP463">
        <f ca="1"/>
      </c>
      <c r="AQ463">
        <f ca="1"/>
      </c>
      <c r="AR463">
        <f ca="1"/>
      </c>
      <c r="AT463" s="7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BA463" s="7">
        <f ca="1"/>
      </c>
      <c r="BB463">
        <f ca="1"/>
      </c>
      <c r="BC463">
        <f ca="1"/>
      </c>
      <c r="BD463">
        <f ca="1"/>
      </c>
      <c r="BE463">
        <f ca="1"/>
      </c>
    </row>
    <row r="464" spans="31:57" x14ac:dyDescent="0.55000000000000004">
      <c r="AE464" s="7">
        <f ca="1"/>
      </c>
      <c r="AF464">
        <f ca="1"/>
      </c>
      <c r="AG464">
        <f ca="1"/>
      </c>
      <c r="AH464">
        <f ca="1"/>
      </c>
      <c r="AI464">
        <f ca="1"/>
      </c>
      <c r="AJ464">
        <f ca="1"/>
      </c>
      <c r="AK464">
        <f ca="1"/>
      </c>
      <c r="AL464">
        <f ca="1"/>
      </c>
      <c r="AM464">
        <f ca="1"/>
      </c>
      <c r="AN464">
        <f ca="1"/>
      </c>
      <c r="AO464">
        <f ca="1"/>
      </c>
      <c r="AP464">
        <f ca="1"/>
      </c>
      <c r="AQ464">
        <f ca="1"/>
      </c>
      <c r="AR464">
        <f ca="1"/>
      </c>
      <c r="AT464" s="7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BA464" s="7">
        <f ca="1"/>
      </c>
      <c r="BB464">
        <f ca="1"/>
      </c>
      <c r="BC464">
        <f ca="1"/>
      </c>
      <c r="BD464">
        <f ca="1"/>
      </c>
      <c r="BE464">
        <f ca="1"/>
      </c>
    </row>
    <row r="465" spans="31:57" x14ac:dyDescent="0.55000000000000004">
      <c r="AE465" s="7">
        <f ca="1"/>
      </c>
      <c r="AF465">
        <f ca="1"/>
      </c>
      <c r="AG465">
        <f ca="1"/>
      </c>
      <c r="AH465">
        <f ca="1"/>
      </c>
      <c r="AI465">
        <f ca="1"/>
      </c>
      <c r="AJ465">
        <f ca="1"/>
      </c>
      <c r="AK465">
        <f ca="1"/>
      </c>
      <c r="AL465">
        <f ca="1"/>
      </c>
      <c r="AM465">
        <f ca="1"/>
      </c>
      <c r="AN465">
        <f ca="1"/>
      </c>
      <c r="AO465">
        <f ca="1"/>
      </c>
      <c r="AP465">
        <f ca="1"/>
      </c>
      <c r="AQ465">
        <f ca="1"/>
      </c>
      <c r="AR465">
        <f ca="1"/>
      </c>
      <c r="AT465" s="7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BA465" s="7">
        <f ca="1"/>
      </c>
      <c r="BB465">
        <f ca="1"/>
      </c>
      <c r="BC465">
        <f ca="1"/>
      </c>
      <c r="BD465">
        <f ca="1"/>
      </c>
      <c r="BE465">
        <f ca="1"/>
      </c>
    </row>
    <row r="466" spans="31:57" x14ac:dyDescent="0.55000000000000004">
      <c r="AE466" s="7">
        <f ca="1"/>
      </c>
      <c r="AF466">
        <f ca="1"/>
      </c>
      <c r="AG466">
        <f ca="1"/>
      </c>
      <c r="AH466">
        <f ca="1"/>
      </c>
      <c r="AI466">
        <f ca="1"/>
      </c>
      <c r="AJ466">
        <f ca="1"/>
      </c>
      <c r="AK466">
        <f ca="1"/>
      </c>
      <c r="AL466">
        <f ca="1"/>
      </c>
      <c r="AM466">
        <f ca="1"/>
      </c>
      <c r="AN466">
        <f ca="1"/>
      </c>
      <c r="AO466">
        <f ca="1"/>
      </c>
      <c r="AP466">
        <f ca="1"/>
      </c>
      <c r="AQ466">
        <f ca="1"/>
      </c>
      <c r="AR466">
        <f ca="1"/>
      </c>
      <c r="AT466" s="7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BA466" s="7">
        <f ca="1"/>
      </c>
      <c r="BB466">
        <f ca="1"/>
      </c>
      <c r="BC466">
        <f ca="1"/>
      </c>
      <c r="BD466">
        <f ca="1"/>
      </c>
      <c r="BE466">
        <f ca="1"/>
      </c>
    </row>
    <row r="467" spans="31:57" x14ac:dyDescent="0.55000000000000004">
      <c r="AE467" s="7">
        <f ca="1"/>
      </c>
      <c r="AF467">
        <f ca="1"/>
      </c>
      <c r="AG467">
        <f ca="1"/>
      </c>
      <c r="AH467">
        <f ca="1"/>
      </c>
      <c r="AI467">
        <f ca="1"/>
      </c>
      <c r="AJ467">
        <f ca="1"/>
      </c>
      <c r="AK467">
        <f ca="1"/>
      </c>
      <c r="AL467">
        <f ca="1"/>
      </c>
      <c r="AM467">
        <f ca="1"/>
      </c>
      <c r="AN467">
        <f ca="1"/>
      </c>
      <c r="AO467">
        <f ca="1"/>
      </c>
      <c r="AP467">
        <f ca="1"/>
      </c>
      <c r="AQ467">
        <f ca="1"/>
      </c>
      <c r="AR467">
        <f ca="1"/>
      </c>
      <c r="AT467" s="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BA467" s="7">
        <f ca="1"/>
      </c>
      <c r="BB467">
        <f ca="1"/>
      </c>
      <c r="BC467">
        <f ca="1"/>
      </c>
      <c r="BD467">
        <f ca="1"/>
      </c>
      <c r="BE467">
        <f ca="1"/>
      </c>
    </row>
    <row r="468" spans="31:57" x14ac:dyDescent="0.55000000000000004">
      <c r="AE468" s="7">
        <f ca="1"/>
      </c>
      <c r="AF468">
        <f ca="1"/>
      </c>
      <c r="AG468">
        <f ca="1"/>
      </c>
      <c r="AH468">
        <f ca="1"/>
      </c>
      <c r="AI468">
        <f ca="1"/>
      </c>
      <c r="AJ468">
        <f ca="1"/>
      </c>
      <c r="AK468">
        <f ca="1"/>
      </c>
      <c r="AL468">
        <f ca="1"/>
      </c>
      <c r="AM468">
        <f ca="1"/>
      </c>
      <c r="AN468">
        <f ca="1"/>
      </c>
      <c r="AO468">
        <f ca="1"/>
      </c>
      <c r="AP468">
        <f ca="1"/>
      </c>
      <c r="AQ468">
        <f ca="1"/>
      </c>
      <c r="AR468">
        <f ca="1"/>
      </c>
      <c r="AT468" s="7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BA468" s="7">
        <f ca="1"/>
      </c>
      <c r="BB468">
        <f ca="1"/>
      </c>
      <c r="BC468">
        <f ca="1"/>
      </c>
      <c r="BD468">
        <f ca="1"/>
      </c>
      <c r="BE468">
        <f ca="1"/>
      </c>
    </row>
    <row r="469" spans="31:57" x14ac:dyDescent="0.55000000000000004">
      <c r="AE469" s="7">
        <f ca="1"/>
      </c>
      <c r="AF469">
        <f ca="1"/>
      </c>
      <c r="AG469">
        <f ca="1"/>
      </c>
      <c r="AH469">
        <f ca="1"/>
      </c>
      <c r="AI469">
        <f ca="1"/>
      </c>
      <c r="AJ469">
        <f ca="1"/>
      </c>
      <c r="AK469">
        <f ca="1"/>
      </c>
      <c r="AL469">
        <f ca="1"/>
      </c>
      <c r="AM469">
        <f ca="1"/>
      </c>
      <c r="AN469">
        <f ca="1"/>
      </c>
      <c r="AO469">
        <f ca="1"/>
      </c>
      <c r="AP469">
        <f ca="1"/>
      </c>
      <c r="AQ469">
        <f ca="1"/>
      </c>
      <c r="AR469">
        <f ca="1"/>
      </c>
      <c r="AT469" s="7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BA469" s="7">
        <f ca="1"/>
      </c>
      <c r="BB469">
        <f ca="1"/>
      </c>
      <c r="BC469">
        <f ca="1"/>
      </c>
      <c r="BD469">
        <f ca="1"/>
      </c>
      <c r="BE469">
        <f ca="1"/>
      </c>
    </row>
    <row r="470" spans="31:57" x14ac:dyDescent="0.55000000000000004">
      <c r="AE470" s="7">
        <f ca="1"/>
      </c>
      <c r="AF470">
        <f ca="1"/>
      </c>
      <c r="AG470">
        <f ca="1"/>
      </c>
      <c r="AH470">
        <f ca="1"/>
      </c>
      <c r="AI470">
        <f ca="1"/>
      </c>
      <c r="AJ470">
        <f ca="1"/>
      </c>
      <c r="AK470">
        <f ca="1"/>
      </c>
      <c r="AL470">
        <f ca="1"/>
      </c>
      <c r="AM470">
        <f ca="1"/>
      </c>
      <c r="AN470">
        <f ca="1"/>
      </c>
      <c r="AO470">
        <f ca="1"/>
      </c>
      <c r="AP470">
        <f ca="1"/>
      </c>
      <c r="AQ470">
        <f ca="1"/>
      </c>
      <c r="AR470">
        <f ca="1"/>
      </c>
      <c r="AT470" s="7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BA470" s="7">
        <f ca="1"/>
      </c>
      <c r="BB470">
        <f ca="1"/>
      </c>
      <c r="BC470">
        <f ca="1"/>
      </c>
      <c r="BD470">
        <f ca="1"/>
      </c>
      <c r="BE470">
        <f ca="1"/>
      </c>
    </row>
    <row r="471" spans="31:57" x14ac:dyDescent="0.55000000000000004">
      <c r="AE471" s="7">
        <f ca="1"/>
      </c>
      <c r="AF471">
        <f ca="1"/>
      </c>
      <c r="AG471">
        <f ca="1"/>
      </c>
      <c r="AH471">
        <f ca="1"/>
      </c>
      <c r="AI471">
        <f ca="1"/>
      </c>
      <c r="AJ471">
        <f ca="1"/>
      </c>
      <c r="AK471">
        <f ca="1"/>
      </c>
      <c r="AL471">
        <f ca="1"/>
      </c>
      <c r="AM471">
        <f ca="1"/>
      </c>
      <c r="AN471">
        <f ca="1"/>
      </c>
      <c r="AO471">
        <f ca="1"/>
      </c>
      <c r="AP471">
        <f ca="1"/>
      </c>
      <c r="AQ471">
        <f ca="1"/>
      </c>
      <c r="AR471">
        <f ca="1"/>
      </c>
      <c r="AT471" s="7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BA471" s="7">
        <f ca="1"/>
      </c>
      <c r="BB471">
        <f ca="1"/>
      </c>
      <c r="BC471">
        <f ca="1"/>
      </c>
      <c r="BD471">
        <f ca="1"/>
      </c>
      <c r="BE471">
        <f ca="1"/>
      </c>
    </row>
    <row r="472" spans="31:57" x14ac:dyDescent="0.55000000000000004">
      <c r="AE472" s="7">
        <f ca="1"/>
      </c>
      <c r="AF472">
        <f ca="1"/>
      </c>
      <c r="AG472">
        <f ca="1"/>
      </c>
      <c r="AH472">
        <f ca="1"/>
      </c>
      <c r="AI472">
        <f ca="1"/>
      </c>
      <c r="AJ472">
        <f ca="1"/>
      </c>
      <c r="AK472">
        <f ca="1"/>
      </c>
      <c r="AL472">
        <f ca="1"/>
      </c>
      <c r="AM472">
        <f ca="1"/>
      </c>
      <c r="AN472">
        <f ca="1"/>
      </c>
      <c r="AO472">
        <f ca="1"/>
      </c>
      <c r="AP472">
        <f ca="1"/>
      </c>
      <c r="AQ472">
        <f ca="1"/>
      </c>
      <c r="AR472">
        <f ca="1"/>
      </c>
      <c r="AT472" s="7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BA472" s="7">
        <f ca="1"/>
      </c>
      <c r="BB472">
        <f ca="1"/>
      </c>
      <c r="BC472">
        <f ca="1"/>
      </c>
      <c r="BD472">
        <f ca="1"/>
      </c>
      <c r="BE472">
        <f ca="1"/>
      </c>
    </row>
    <row r="473" spans="31:57" x14ac:dyDescent="0.55000000000000004">
      <c r="AE473" s="7">
        <f ca="1"/>
      </c>
      <c r="AF473">
        <f ca="1"/>
      </c>
      <c r="AG473">
        <f ca="1"/>
      </c>
      <c r="AH473">
        <f ca="1"/>
      </c>
      <c r="AI473">
        <f ca="1"/>
      </c>
      <c r="AJ473">
        <f ca="1"/>
      </c>
      <c r="AK473">
        <f ca="1"/>
      </c>
      <c r="AL473">
        <f ca="1"/>
      </c>
      <c r="AM473">
        <f ca="1"/>
      </c>
      <c r="AN473">
        <f ca="1"/>
      </c>
      <c r="AO473">
        <f ca="1"/>
      </c>
      <c r="AP473">
        <f ca="1"/>
      </c>
      <c r="AQ473">
        <f ca="1"/>
      </c>
      <c r="AR473">
        <f ca="1"/>
      </c>
      <c r="AT473" s="7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BA473" s="7">
        <f ca="1"/>
      </c>
      <c r="BB473">
        <f ca="1"/>
      </c>
      <c r="BC473">
        <f ca="1"/>
      </c>
      <c r="BD473">
        <f ca="1"/>
      </c>
      <c r="BE473">
        <f ca="1"/>
      </c>
    </row>
    <row r="474" spans="31:57" x14ac:dyDescent="0.55000000000000004">
      <c r="AE474" s="7">
        <f ca="1"/>
      </c>
      <c r="AF474">
        <f ca="1"/>
      </c>
      <c r="AG474">
        <f ca="1"/>
      </c>
      <c r="AH474">
        <f ca="1"/>
      </c>
      <c r="AI474">
        <f ca="1"/>
      </c>
      <c r="AJ474">
        <f ca="1"/>
      </c>
      <c r="AK474">
        <f ca="1"/>
      </c>
      <c r="AL474">
        <f ca="1"/>
      </c>
      <c r="AM474">
        <f ca="1"/>
      </c>
      <c r="AN474">
        <f ca="1"/>
      </c>
      <c r="AO474">
        <f ca="1"/>
      </c>
      <c r="AP474">
        <f ca="1"/>
      </c>
      <c r="AQ474">
        <f ca="1"/>
      </c>
      <c r="AR474">
        <f ca="1"/>
      </c>
      <c r="AT474" s="7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BA474" s="7">
        <f ca="1"/>
      </c>
      <c r="BB474">
        <f ca="1"/>
      </c>
      <c r="BC474">
        <f ca="1"/>
      </c>
      <c r="BD474">
        <f ca="1"/>
      </c>
      <c r="BE474">
        <f ca="1"/>
      </c>
    </row>
    <row r="475" spans="31:57" x14ac:dyDescent="0.55000000000000004">
      <c r="AE475" s="7">
        <f ca="1"/>
      </c>
      <c r="AF475">
        <f ca="1"/>
      </c>
      <c r="AG475">
        <f ca="1"/>
      </c>
      <c r="AH475">
        <f ca="1"/>
      </c>
      <c r="AI475">
        <f ca="1"/>
      </c>
      <c r="AJ475">
        <f ca="1"/>
      </c>
      <c r="AK475">
        <f ca="1"/>
      </c>
      <c r="AL475">
        <f ca="1"/>
      </c>
      <c r="AM475">
        <f ca="1"/>
      </c>
      <c r="AN475">
        <f ca="1"/>
      </c>
      <c r="AO475">
        <f ca="1"/>
      </c>
      <c r="AP475">
        <f ca="1"/>
      </c>
      <c r="AQ475">
        <f ca="1"/>
      </c>
      <c r="AR475">
        <f ca="1"/>
      </c>
      <c r="AT475" s="7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BA475" s="7">
        <f ca="1"/>
      </c>
      <c r="BB475">
        <f ca="1"/>
      </c>
      <c r="BC475">
        <f ca="1"/>
      </c>
      <c r="BD475">
        <f ca="1"/>
      </c>
      <c r="BE475">
        <f ca="1"/>
      </c>
    </row>
    <row r="476" spans="31:57" x14ac:dyDescent="0.55000000000000004">
      <c r="AE476" s="7">
        <f ca="1"/>
      </c>
      <c r="AF476">
        <f ca="1"/>
      </c>
      <c r="AG476">
        <f ca="1"/>
      </c>
      <c r="AH476">
        <f ca="1"/>
      </c>
      <c r="AI476">
        <f ca="1"/>
      </c>
      <c r="AJ476">
        <f ca="1"/>
      </c>
      <c r="AK476">
        <f ca="1"/>
      </c>
      <c r="AL476">
        <f ca="1"/>
      </c>
      <c r="AM476">
        <f ca="1"/>
      </c>
      <c r="AN476">
        <f ca="1"/>
      </c>
      <c r="AO476">
        <f ca="1"/>
      </c>
      <c r="AP476">
        <f ca="1"/>
      </c>
      <c r="AQ476">
        <f ca="1"/>
      </c>
      <c r="AR476">
        <f ca="1"/>
      </c>
      <c r="AT476" s="7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BA476" s="7">
        <f ca="1"/>
      </c>
      <c r="BB476">
        <f ca="1"/>
      </c>
      <c r="BC476">
        <f ca="1"/>
      </c>
      <c r="BD476">
        <f ca="1"/>
      </c>
      <c r="BE476">
        <f ca="1"/>
      </c>
    </row>
    <row r="477" spans="31:57" x14ac:dyDescent="0.55000000000000004">
      <c r="AE477" s="7">
        <f ca="1"/>
      </c>
      <c r="AF477">
        <f ca="1"/>
      </c>
      <c r="AG477">
        <f ca="1"/>
      </c>
      <c r="AH477">
        <f ca="1"/>
      </c>
      <c r="AI477">
        <f ca="1"/>
      </c>
      <c r="AJ477">
        <f ca="1"/>
      </c>
      <c r="AK477">
        <f ca="1"/>
      </c>
      <c r="AL477">
        <f ca="1"/>
      </c>
      <c r="AM477">
        <f ca="1"/>
      </c>
      <c r="AN477">
        <f ca="1"/>
      </c>
      <c r="AO477">
        <f ca="1"/>
      </c>
      <c r="AP477">
        <f ca="1"/>
      </c>
      <c r="AQ477">
        <f ca="1"/>
      </c>
      <c r="AR477">
        <f ca="1"/>
      </c>
      <c r="AT477" s="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BA477" s="7">
        <f ca="1"/>
      </c>
      <c r="BB477">
        <f ca="1"/>
      </c>
      <c r="BC477">
        <f ca="1"/>
      </c>
      <c r="BD477">
        <f ca="1"/>
      </c>
      <c r="BE477">
        <f ca="1"/>
      </c>
    </row>
    <row r="478" spans="31:57" x14ac:dyDescent="0.55000000000000004">
      <c r="AE478" s="7">
        <f ca="1"/>
      </c>
      <c r="AF478">
        <f ca="1"/>
      </c>
      <c r="AG478">
        <f ca="1"/>
      </c>
      <c r="AH478">
        <f ca="1"/>
      </c>
      <c r="AI478">
        <f ca="1"/>
      </c>
      <c r="AJ478">
        <f ca="1"/>
      </c>
      <c r="AK478">
        <f ca="1"/>
      </c>
      <c r="AL478">
        <f ca="1"/>
      </c>
      <c r="AM478">
        <f ca="1"/>
      </c>
      <c r="AN478">
        <f ca="1"/>
      </c>
      <c r="AO478">
        <f ca="1"/>
      </c>
      <c r="AP478">
        <f ca="1"/>
      </c>
      <c r="AQ478">
        <f ca="1"/>
      </c>
      <c r="AR478">
        <f ca="1"/>
      </c>
      <c r="AT478" s="7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BA478" s="7">
        <f ca="1"/>
      </c>
      <c r="BB478">
        <f ca="1"/>
      </c>
      <c r="BC478">
        <f ca="1"/>
      </c>
      <c r="BD478">
        <f ca="1"/>
      </c>
      <c r="BE478">
        <f ca="1"/>
      </c>
    </row>
    <row r="479" spans="31:57" x14ac:dyDescent="0.55000000000000004">
      <c r="AE479" s="7">
        <f ca="1"/>
      </c>
      <c r="AF479">
        <f ca="1"/>
      </c>
      <c r="AG479">
        <f ca="1"/>
      </c>
      <c r="AH479">
        <f ca="1"/>
      </c>
      <c r="AI479">
        <f ca="1"/>
      </c>
      <c r="AJ479">
        <f ca="1"/>
      </c>
      <c r="AK479">
        <f ca="1"/>
      </c>
      <c r="AL479">
        <f ca="1"/>
      </c>
      <c r="AM479">
        <f ca="1"/>
      </c>
      <c r="AN479">
        <f ca="1"/>
      </c>
      <c r="AO479">
        <f ca="1"/>
      </c>
      <c r="AP479">
        <f ca="1"/>
      </c>
      <c r="AQ479">
        <f ca="1"/>
      </c>
      <c r="AR479">
        <f ca="1"/>
      </c>
      <c r="AT479" s="7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BA479" s="7">
        <f ca="1"/>
      </c>
      <c r="BB479">
        <f ca="1"/>
      </c>
      <c r="BC479">
        <f ca="1"/>
      </c>
      <c r="BD479">
        <f ca="1"/>
      </c>
      <c r="BE479">
        <f ca="1"/>
      </c>
    </row>
    <row r="480" spans="31:57" x14ac:dyDescent="0.55000000000000004">
      <c r="AE480" s="7">
        <f ca="1"/>
      </c>
      <c r="AF480">
        <f ca="1"/>
      </c>
      <c r="AG480">
        <f ca="1"/>
      </c>
      <c r="AH480">
        <f ca="1"/>
      </c>
      <c r="AI480">
        <f ca="1"/>
      </c>
      <c r="AJ480">
        <f ca="1"/>
      </c>
      <c r="AK480">
        <f ca="1"/>
      </c>
      <c r="AL480">
        <f ca="1"/>
      </c>
      <c r="AM480">
        <f ca="1"/>
      </c>
      <c r="AN480">
        <f ca="1"/>
      </c>
      <c r="AO480">
        <f ca="1"/>
      </c>
      <c r="AP480">
        <f ca="1"/>
      </c>
      <c r="AQ480">
        <f ca="1"/>
      </c>
      <c r="AR480">
        <f ca="1"/>
      </c>
      <c r="AT480" s="7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BA480" s="7">
        <f ca="1"/>
      </c>
      <c r="BB480">
        <f ca="1"/>
      </c>
      <c r="BC480">
        <f ca="1"/>
      </c>
      <c r="BD480">
        <f ca="1"/>
      </c>
      <c r="BE480">
        <f ca="1"/>
      </c>
    </row>
    <row r="481" spans="31:57" x14ac:dyDescent="0.55000000000000004">
      <c r="AE481" s="7">
        <f ca="1"/>
      </c>
      <c r="AF481">
        <f ca="1"/>
      </c>
      <c r="AG481">
        <f ca="1"/>
      </c>
      <c r="AH481">
        <f ca="1"/>
      </c>
      <c r="AI481">
        <f ca="1"/>
      </c>
      <c r="AJ481">
        <f ca="1"/>
      </c>
      <c r="AK481">
        <f ca="1"/>
      </c>
      <c r="AL481">
        <f ca="1"/>
      </c>
      <c r="AM481">
        <f ca="1"/>
      </c>
      <c r="AN481">
        <f ca="1"/>
      </c>
      <c r="AO481">
        <f ca="1"/>
      </c>
      <c r="AP481">
        <f ca="1"/>
      </c>
      <c r="AQ481">
        <f ca="1"/>
      </c>
      <c r="AR481">
        <f ca="1"/>
      </c>
      <c r="AT481" s="7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BA481" s="7">
        <f ca="1"/>
      </c>
      <c r="BB481">
        <f ca="1"/>
      </c>
      <c r="BC481">
        <f ca="1"/>
      </c>
      <c r="BD481">
        <f ca="1"/>
      </c>
      <c r="BE481">
        <f ca="1"/>
      </c>
    </row>
    <row r="482" spans="31:57" x14ac:dyDescent="0.55000000000000004">
      <c r="AE482" s="7">
        <f ca="1"/>
      </c>
      <c r="AF482">
        <f ca="1"/>
      </c>
      <c r="AG482">
        <f ca="1"/>
      </c>
      <c r="AH482">
        <f ca="1"/>
      </c>
      <c r="AI482">
        <f ca="1"/>
      </c>
      <c r="AJ482">
        <f ca="1"/>
      </c>
      <c r="AK482">
        <f ca="1"/>
      </c>
      <c r="AL482">
        <f ca="1"/>
      </c>
      <c r="AM482">
        <f ca="1"/>
      </c>
      <c r="AN482">
        <f ca="1"/>
      </c>
      <c r="AO482">
        <f ca="1"/>
      </c>
      <c r="AP482">
        <f ca="1"/>
      </c>
      <c r="AQ482">
        <f ca="1"/>
      </c>
      <c r="AR482">
        <f ca="1"/>
      </c>
      <c r="AT482" s="7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BA482" s="7">
        <f ca="1"/>
      </c>
      <c r="BB482">
        <f ca="1"/>
      </c>
      <c r="BC482">
        <f ca="1"/>
      </c>
      <c r="BD482">
        <f ca="1"/>
      </c>
      <c r="BE482">
        <f ca="1"/>
      </c>
    </row>
    <row r="483" spans="31:57" x14ac:dyDescent="0.55000000000000004">
      <c r="AE483" s="7">
        <f ca="1"/>
      </c>
      <c r="AF483">
        <f ca="1"/>
      </c>
      <c r="AG483">
        <f ca="1"/>
      </c>
      <c r="AH483">
        <f ca="1"/>
      </c>
      <c r="AI483">
        <f ca="1"/>
      </c>
      <c r="AJ483">
        <f ca="1"/>
      </c>
      <c r="AK483">
        <f ca="1"/>
      </c>
      <c r="AL483">
        <f ca="1"/>
      </c>
      <c r="AM483">
        <f ca="1"/>
      </c>
      <c r="AN483">
        <f ca="1"/>
      </c>
      <c r="AO483">
        <f ca="1"/>
      </c>
      <c r="AP483">
        <f ca="1"/>
      </c>
      <c r="AQ483">
        <f ca="1"/>
      </c>
      <c r="AR483">
        <f ca="1"/>
      </c>
      <c r="AT483" s="7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BA483" s="7">
        <f ca="1"/>
      </c>
      <c r="BB483">
        <f ca="1"/>
      </c>
      <c r="BC483">
        <f ca="1"/>
      </c>
      <c r="BD483">
        <f ca="1"/>
      </c>
      <c r="BE483">
        <f ca="1"/>
      </c>
    </row>
    <row r="484" spans="31:57" x14ac:dyDescent="0.55000000000000004">
      <c r="AE484" s="7">
        <f ca="1"/>
      </c>
      <c r="AF484">
        <f ca="1"/>
      </c>
      <c r="AG484">
        <f ca="1"/>
      </c>
      <c r="AH484">
        <f ca="1"/>
      </c>
      <c r="AI484">
        <f ca="1"/>
      </c>
      <c r="AJ484">
        <f ca="1"/>
      </c>
      <c r="AK484">
        <f ca="1"/>
      </c>
      <c r="AL484">
        <f ca="1"/>
      </c>
      <c r="AM484">
        <f ca="1"/>
      </c>
      <c r="AN484">
        <f ca="1"/>
      </c>
      <c r="AO484">
        <f ca="1"/>
      </c>
      <c r="AP484">
        <f ca="1"/>
      </c>
      <c r="AQ484">
        <f ca="1"/>
      </c>
      <c r="AR484">
        <f ca="1"/>
      </c>
      <c r="AT484" s="7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BA484" s="7">
        <f ca="1"/>
      </c>
      <c r="BB484">
        <f ca="1"/>
      </c>
      <c r="BC484">
        <f ca="1"/>
      </c>
      <c r="BD484">
        <f ca="1"/>
      </c>
      <c r="BE484">
        <f ca="1"/>
      </c>
    </row>
    <row r="485" spans="31:57" x14ac:dyDescent="0.55000000000000004">
      <c r="AE485" s="7">
        <f ca="1"/>
      </c>
      <c r="AF485">
        <f ca="1"/>
      </c>
      <c r="AG485">
        <f ca="1"/>
      </c>
      <c r="AH485">
        <f ca="1"/>
      </c>
      <c r="AI485">
        <f ca="1"/>
      </c>
      <c r="AJ485">
        <f ca="1"/>
      </c>
      <c r="AK485">
        <f ca="1"/>
      </c>
      <c r="AL485">
        <f ca="1"/>
      </c>
      <c r="AM485">
        <f ca="1"/>
      </c>
      <c r="AN485">
        <f ca="1"/>
      </c>
      <c r="AO485">
        <f ca="1"/>
      </c>
      <c r="AP485">
        <f ca="1"/>
      </c>
      <c r="AQ485">
        <f ca="1"/>
      </c>
      <c r="AR485">
        <f ca="1"/>
      </c>
      <c r="AT485" s="7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BA485" s="7">
        <f ca="1"/>
      </c>
      <c r="BB485">
        <f ca="1"/>
      </c>
      <c r="BC485">
        <f ca="1"/>
      </c>
      <c r="BD485">
        <f ca="1"/>
      </c>
      <c r="BE485">
        <f ca="1"/>
      </c>
    </row>
    <row r="486" spans="31:57" x14ac:dyDescent="0.55000000000000004">
      <c r="AE486" s="7">
        <f ca="1"/>
      </c>
      <c r="AF486">
        <f ca="1"/>
      </c>
      <c r="AG486">
        <f ca="1"/>
      </c>
      <c r="AH486">
        <f ca="1"/>
      </c>
      <c r="AI486">
        <f ca="1"/>
      </c>
      <c r="AJ486">
        <f ca="1"/>
      </c>
      <c r="AK486">
        <f ca="1"/>
      </c>
      <c r="AL486">
        <f ca="1"/>
      </c>
      <c r="AM486">
        <f ca="1"/>
      </c>
      <c r="AN486">
        <f ca="1"/>
      </c>
      <c r="AO486">
        <f ca="1"/>
      </c>
      <c r="AP486">
        <f ca="1"/>
      </c>
      <c r="AQ486">
        <f ca="1"/>
      </c>
      <c r="AR486">
        <f ca="1"/>
      </c>
      <c r="AT486" s="7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BA486" s="7">
        <f ca="1"/>
      </c>
      <c r="BB486">
        <f ca="1"/>
      </c>
      <c r="BC486">
        <f ca="1"/>
      </c>
      <c r="BD486">
        <f ca="1"/>
      </c>
      <c r="BE486">
        <f ca="1"/>
      </c>
    </row>
    <row r="487" spans="31:57" x14ac:dyDescent="0.55000000000000004">
      <c r="AE487" s="7">
        <f ca="1"/>
      </c>
      <c r="AF487">
        <f ca="1"/>
      </c>
      <c r="AG487">
        <f ca="1"/>
      </c>
      <c r="AH487">
        <f ca="1"/>
      </c>
      <c r="AI487">
        <f ca="1"/>
      </c>
      <c r="AJ487">
        <f ca="1"/>
      </c>
      <c r="AK487">
        <f ca="1"/>
      </c>
      <c r="AL487">
        <f ca="1"/>
      </c>
      <c r="AM487">
        <f ca="1"/>
      </c>
      <c r="AN487">
        <f ca="1"/>
      </c>
      <c r="AO487">
        <f ca="1"/>
      </c>
      <c r="AP487">
        <f ca="1"/>
      </c>
      <c r="AQ487">
        <f ca="1"/>
      </c>
      <c r="AR487">
        <f ca="1"/>
      </c>
      <c r="AT487" s="7">
        <f ca="1"/>
      </c>
      <c r="AU487">
        <f ca="1"/>
      </c>
      <c r="AV487">
        <f ca="1"/>
      </c>
      <c r="AW487">
        <f ca="1"/>
      </c>
      <c r="AX487">
        <f ca="1"/>
      </c>
      <c r="AY487">
        <f ca="1"/>
      </c>
      <c r="BA487" s="7">
        <f ca="1"/>
      </c>
      <c r="BB487">
        <f ca="1"/>
      </c>
      <c r="BC487">
        <f ca="1"/>
      </c>
      <c r="BD487">
        <f ca="1"/>
      </c>
      <c r="BE487">
        <f ca="1"/>
      </c>
    </row>
    <row r="488" spans="31:57" x14ac:dyDescent="0.55000000000000004">
      <c r="AE488" s="7">
        <f ca="1"/>
      </c>
      <c r="AF488">
        <f ca="1"/>
      </c>
      <c r="AG488">
        <f ca="1"/>
      </c>
      <c r="AH488">
        <f ca="1"/>
      </c>
      <c r="AI488">
        <f ca="1"/>
      </c>
      <c r="AJ488">
        <f ca="1"/>
      </c>
      <c r="AK488">
        <f ca="1"/>
      </c>
      <c r="AL488">
        <f ca="1"/>
      </c>
      <c r="AM488">
        <f ca="1"/>
      </c>
      <c r="AN488">
        <f ca="1"/>
      </c>
      <c r="AO488">
        <f ca="1"/>
      </c>
      <c r="AP488">
        <f ca="1"/>
      </c>
      <c r="AQ488">
        <f ca="1"/>
      </c>
      <c r="AR488">
        <f ca="1"/>
      </c>
      <c r="AT488" s="7">
        <f ca="1"/>
      </c>
      <c r="AU488">
        <f ca="1"/>
      </c>
      <c r="AV488">
        <f ca="1"/>
      </c>
      <c r="AW488">
        <f ca="1"/>
      </c>
      <c r="AX488">
        <f ca="1"/>
      </c>
      <c r="AY488">
        <f ca="1"/>
      </c>
      <c r="BA488" s="7">
        <f ca="1"/>
      </c>
      <c r="BB488">
        <f ca="1"/>
      </c>
      <c r="BC488">
        <f ca="1"/>
      </c>
      <c r="BD488">
        <f ca="1"/>
      </c>
      <c r="BE488">
        <f ca="1"/>
      </c>
    </row>
    <row r="489" spans="31:57" x14ac:dyDescent="0.55000000000000004">
      <c r="AE489" s="7">
        <f ca="1"/>
      </c>
      <c r="AF489">
        <f ca="1"/>
      </c>
      <c r="AG489">
        <f ca="1"/>
      </c>
      <c r="AH489">
        <f ca="1"/>
      </c>
      <c r="AI489">
        <f ca="1"/>
      </c>
      <c r="AJ489">
        <f ca="1"/>
      </c>
      <c r="AK489">
        <f ca="1"/>
      </c>
      <c r="AL489">
        <f ca="1"/>
      </c>
      <c r="AM489">
        <f ca="1"/>
      </c>
      <c r="AN489">
        <f ca="1"/>
      </c>
      <c r="AO489">
        <f ca="1"/>
      </c>
      <c r="AP489">
        <f ca="1"/>
      </c>
      <c r="AQ489">
        <f ca="1"/>
      </c>
      <c r="AR489">
        <f ca="1"/>
      </c>
      <c r="AT489" s="7">
        <f ca="1"/>
      </c>
      <c r="AU489">
        <f ca="1"/>
      </c>
      <c r="AV489">
        <f ca="1"/>
      </c>
      <c r="AW489">
        <f ca="1"/>
      </c>
      <c r="AX489">
        <f ca="1"/>
      </c>
      <c r="AY489">
        <f ca="1"/>
      </c>
      <c r="BA489" s="7"/>
    </row>
    <row r="490" spans="31:57" x14ac:dyDescent="0.55000000000000004">
      <c r="AE490" s="7">
        <f ca="1"/>
      </c>
      <c r="AF490">
        <f ca="1"/>
      </c>
      <c r="AG490">
        <f ca="1"/>
      </c>
      <c r="AH490">
        <f ca="1"/>
      </c>
      <c r="AI490">
        <f ca="1"/>
      </c>
      <c r="AJ490">
        <f ca="1"/>
      </c>
      <c r="AK490">
        <f ca="1"/>
      </c>
      <c r="AL490">
        <f ca="1"/>
      </c>
      <c r="AM490">
        <f ca="1"/>
      </c>
      <c r="AN490">
        <f ca="1"/>
      </c>
      <c r="AO490">
        <f ca="1"/>
      </c>
      <c r="AP490">
        <f ca="1"/>
      </c>
      <c r="AQ490">
        <f ca="1"/>
      </c>
      <c r="AR490">
        <f ca="1"/>
      </c>
      <c r="AT490" s="7">
        <f ca="1"/>
      </c>
      <c r="AU490">
        <f ca="1"/>
      </c>
      <c r="AV490">
        <f ca="1"/>
      </c>
      <c r="AW490">
        <f ca="1"/>
      </c>
      <c r="AX490">
        <f ca="1"/>
      </c>
      <c r="AY490">
        <f ca="1"/>
      </c>
      <c r="BA490" s="7"/>
    </row>
    <row r="491" spans="31:57" x14ac:dyDescent="0.55000000000000004">
      <c r="AE491" s="7">
        <f ca="1"/>
      </c>
      <c r="AF491">
        <f ca="1"/>
      </c>
      <c r="AG491">
        <f ca="1"/>
      </c>
      <c r="AH491">
        <f ca="1"/>
      </c>
      <c r="AI491">
        <f ca="1"/>
      </c>
      <c r="AJ491">
        <f ca="1"/>
      </c>
      <c r="AK491">
        <f ca="1"/>
      </c>
      <c r="AL491">
        <f ca="1"/>
      </c>
      <c r="AM491">
        <f ca="1"/>
      </c>
      <c r="AN491">
        <f ca="1"/>
      </c>
      <c r="AO491">
        <f ca="1"/>
      </c>
      <c r="AP491">
        <f ca="1"/>
      </c>
      <c r="AQ491">
        <f ca="1"/>
      </c>
      <c r="AR491">
        <f ca="1"/>
      </c>
      <c r="AT491" s="7">
        <f ca="1"/>
      </c>
      <c r="AU491">
        <f ca="1"/>
      </c>
      <c r="AV491">
        <f ca="1"/>
      </c>
      <c r="AW491">
        <f ca="1"/>
      </c>
      <c r="AX491">
        <f ca="1"/>
      </c>
      <c r="AY491">
        <f ca="1"/>
      </c>
      <c r="BA491" s="7"/>
    </row>
    <row r="492" spans="31:57" x14ac:dyDescent="0.55000000000000004">
      <c r="AE492" s="7">
        <f ca="1"/>
      </c>
      <c r="AF492">
        <f ca="1"/>
      </c>
      <c r="AG492">
        <f ca="1"/>
      </c>
      <c r="AH492">
        <f ca="1"/>
      </c>
      <c r="AI492">
        <f ca="1"/>
      </c>
      <c r="AJ492">
        <f ca="1"/>
      </c>
      <c r="AK492">
        <f ca="1"/>
      </c>
      <c r="AL492">
        <f ca="1"/>
      </c>
      <c r="AM492">
        <f ca="1"/>
      </c>
      <c r="AN492">
        <f ca="1"/>
      </c>
      <c r="AO492">
        <f ca="1"/>
      </c>
      <c r="AP492">
        <f ca="1"/>
      </c>
      <c r="AQ492">
        <f ca="1"/>
      </c>
      <c r="AR492">
        <f ca="1"/>
      </c>
      <c r="AT492" s="7">
        <f ca="1"/>
      </c>
      <c r="AU492">
        <f ca="1"/>
      </c>
      <c r="AV492">
        <f ca="1"/>
      </c>
      <c r="AW492">
        <f ca="1"/>
      </c>
      <c r="AX492">
        <f ca="1"/>
      </c>
      <c r="AY492">
        <f ca="1"/>
      </c>
      <c r="BA492" s="7"/>
    </row>
    <row r="493" spans="31:57" x14ac:dyDescent="0.55000000000000004">
      <c r="AE493" s="7">
        <f ca="1"/>
      </c>
      <c r="AF493">
        <f ca="1"/>
      </c>
      <c r="AG493">
        <f ca="1"/>
      </c>
      <c r="AH493">
        <f ca="1"/>
      </c>
      <c r="AI493">
        <f ca="1"/>
      </c>
      <c r="AJ493">
        <f ca="1"/>
      </c>
      <c r="AK493">
        <f ca="1"/>
      </c>
      <c r="AL493">
        <f ca="1"/>
      </c>
      <c r="AM493">
        <f ca="1"/>
      </c>
      <c r="AN493">
        <f ca="1"/>
      </c>
      <c r="AO493">
        <f ca="1"/>
      </c>
      <c r="AP493">
        <f ca="1"/>
      </c>
      <c r="AQ493">
        <f ca="1"/>
      </c>
      <c r="AR493">
        <f ca="1"/>
      </c>
      <c r="AT493" s="7">
        <f ca="1"/>
      </c>
      <c r="AU493">
        <f ca="1"/>
      </c>
      <c r="AV493">
        <f ca="1"/>
      </c>
      <c r="AW493">
        <f ca="1"/>
      </c>
      <c r="AX493">
        <f ca="1"/>
      </c>
      <c r="AY493">
        <f ca="1"/>
      </c>
      <c r="BA493" s="7"/>
    </row>
    <row r="494" spans="31:57" x14ac:dyDescent="0.55000000000000004">
      <c r="AE494" s="7">
        <f ca="1"/>
      </c>
      <c r="AF494">
        <f ca="1"/>
      </c>
      <c r="AG494">
        <f ca="1"/>
      </c>
      <c r="AH494">
        <f ca="1"/>
      </c>
      <c r="AI494">
        <f ca="1"/>
      </c>
      <c r="AJ494">
        <f ca="1"/>
      </c>
      <c r="AK494">
        <f ca="1"/>
      </c>
      <c r="AL494">
        <f ca="1"/>
      </c>
      <c r="AM494">
        <f ca="1"/>
      </c>
      <c r="AN494">
        <f ca="1"/>
      </c>
      <c r="AO494">
        <f ca="1"/>
      </c>
      <c r="AP494">
        <f ca="1"/>
      </c>
      <c r="AQ494">
        <f ca="1"/>
      </c>
      <c r="AR494">
        <f ca="1"/>
      </c>
      <c r="AT494" s="7">
        <f ca="1"/>
      </c>
      <c r="AU494">
        <f ca="1"/>
      </c>
      <c r="AV494">
        <f ca="1"/>
      </c>
      <c r="AW494">
        <f ca="1"/>
      </c>
      <c r="AX494">
        <f ca="1"/>
      </c>
      <c r="AY494">
        <f ca="1"/>
      </c>
      <c r="BA494" s="7"/>
    </row>
    <row r="495" spans="31:57" x14ac:dyDescent="0.55000000000000004">
      <c r="AE495" s="7">
        <f ca="1"/>
      </c>
      <c r="AF495">
        <f ca="1"/>
      </c>
      <c r="AG495">
        <f ca="1"/>
      </c>
      <c r="AH495">
        <f ca="1"/>
      </c>
      <c r="AI495">
        <f ca="1"/>
      </c>
      <c r="AJ495">
        <f ca="1"/>
      </c>
      <c r="AK495">
        <f ca="1"/>
      </c>
      <c r="AL495">
        <f ca="1"/>
      </c>
      <c r="AM495">
        <f ca="1"/>
      </c>
      <c r="AN495">
        <f ca="1"/>
      </c>
      <c r="AO495">
        <f ca="1"/>
      </c>
      <c r="AP495">
        <f ca="1"/>
      </c>
      <c r="AQ495">
        <f ca="1"/>
      </c>
      <c r="AR495">
        <f ca="1"/>
      </c>
      <c r="AT495" s="7">
        <f ca="1"/>
      </c>
      <c r="AU495">
        <f ca="1"/>
      </c>
      <c r="AV495">
        <f ca="1"/>
      </c>
      <c r="AW495">
        <f ca="1"/>
      </c>
      <c r="AX495">
        <f ca="1"/>
      </c>
      <c r="AY495">
        <f ca="1"/>
      </c>
      <c r="BA495" s="7"/>
    </row>
    <row r="496" spans="31:57" x14ac:dyDescent="0.55000000000000004">
      <c r="AE496" s="7">
        <f ca="1"/>
      </c>
      <c r="AF496">
        <f ca="1"/>
      </c>
      <c r="AG496">
        <f ca="1"/>
      </c>
      <c r="AH496">
        <f ca="1"/>
      </c>
      <c r="AI496">
        <f ca="1"/>
      </c>
      <c r="AJ496">
        <f ca="1"/>
      </c>
      <c r="AK496">
        <f ca="1"/>
      </c>
      <c r="AL496">
        <f ca="1"/>
      </c>
      <c r="AM496">
        <f ca="1"/>
      </c>
      <c r="AN496">
        <f ca="1"/>
      </c>
      <c r="AO496">
        <f ca="1"/>
      </c>
      <c r="AP496">
        <f ca="1"/>
      </c>
      <c r="AQ496">
        <f ca="1"/>
      </c>
      <c r="AR496">
        <f ca="1"/>
      </c>
      <c r="AT496" s="7">
        <f ca="1"/>
      </c>
      <c r="AU496">
        <f ca="1"/>
      </c>
      <c r="AV496">
        <f ca="1"/>
      </c>
      <c r="AW496">
        <f ca="1"/>
      </c>
      <c r="AX496">
        <f ca="1"/>
      </c>
      <c r="AY496">
        <f ca="1"/>
      </c>
      <c r="BA496" s="7"/>
    </row>
    <row r="497" spans="31:53" x14ac:dyDescent="0.55000000000000004">
      <c r="AE497" s="7">
        <f ca="1"/>
      </c>
      <c r="AF497">
        <f ca="1"/>
      </c>
      <c r="AG497">
        <f ca="1"/>
      </c>
      <c r="AH497">
        <f ca="1"/>
      </c>
      <c r="AI497">
        <f ca="1"/>
      </c>
      <c r="AJ497">
        <f ca="1"/>
      </c>
      <c r="AK497">
        <f ca="1"/>
      </c>
      <c r="AL497">
        <f ca="1"/>
      </c>
      <c r="AM497">
        <f ca="1"/>
      </c>
      <c r="AN497">
        <f ca="1"/>
      </c>
      <c r="AO497">
        <f ca="1"/>
      </c>
      <c r="AP497">
        <f ca="1"/>
      </c>
      <c r="AQ497">
        <f ca="1"/>
      </c>
      <c r="AR497">
        <f ca="1"/>
      </c>
      <c r="AT497" s="7">
        <f ca="1"/>
      </c>
      <c r="AU497">
        <f ca="1"/>
      </c>
      <c r="AV497">
        <f ca="1"/>
      </c>
      <c r="AW497">
        <f ca="1"/>
      </c>
      <c r="AX497">
        <f ca="1"/>
      </c>
      <c r="AY497">
        <f ca="1"/>
      </c>
      <c r="BA497" s="7"/>
    </row>
    <row r="498" spans="31:53" x14ac:dyDescent="0.55000000000000004">
      <c r="AE498" s="7">
        <f ca="1"/>
      </c>
      <c r="AF498">
        <f ca="1"/>
      </c>
      <c r="AG498">
        <f ca="1"/>
      </c>
      <c r="AH498">
        <f ca="1"/>
      </c>
      <c r="AI498">
        <f ca="1"/>
      </c>
      <c r="AJ498">
        <f ca="1"/>
      </c>
      <c r="AK498">
        <f ca="1"/>
      </c>
      <c r="AL498">
        <f ca="1"/>
      </c>
      <c r="AM498">
        <f ca="1"/>
      </c>
      <c r="AN498">
        <f ca="1"/>
      </c>
      <c r="AO498">
        <f ca="1"/>
      </c>
      <c r="AP498">
        <f ca="1"/>
      </c>
      <c r="AQ498">
        <f ca="1"/>
      </c>
      <c r="AR498">
        <f ca="1"/>
      </c>
      <c r="AT498" s="7">
        <f ca="1"/>
      </c>
      <c r="AU498">
        <f ca="1"/>
      </c>
      <c r="AV498">
        <f ca="1"/>
      </c>
      <c r="AW498">
        <f ca="1"/>
      </c>
      <c r="AX498">
        <f ca="1"/>
      </c>
      <c r="AY498">
        <f ca="1"/>
      </c>
      <c r="BA498" s="7"/>
    </row>
    <row r="499" spans="31:53" x14ac:dyDescent="0.55000000000000004">
      <c r="AE499" s="7">
        <f ca="1"/>
      </c>
      <c r="AF499">
        <f ca="1"/>
      </c>
      <c r="AG499">
        <f ca="1"/>
      </c>
      <c r="AH499">
        <f ca="1"/>
      </c>
      <c r="AI499">
        <f ca="1"/>
      </c>
      <c r="AJ499">
        <f ca="1"/>
      </c>
      <c r="AK499">
        <f ca="1"/>
      </c>
      <c r="AL499">
        <f ca="1"/>
      </c>
      <c r="AM499">
        <f ca="1"/>
      </c>
      <c r="AN499">
        <f ca="1"/>
      </c>
      <c r="AO499">
        <f ca="1"/>
      </c>
      <c r="AP499">
        <f ca="1"/>
      </c>
      <c r="AQ499">
        <f ca="1"/>
      </c>
      <c r="AR499">
        <f ca="1"/>
      </c>
      <c r="AT499" s="7">
        <f ca="1"/>
      </c>
      <c r="AU499">
        <f ca="1"/>
      </c>
      <c r="AV499">
        <f ca="1"/>
      </c>
      <c r="AW499">
        <f ca="1"/>
      </c>
      <c r="AX499">
        <f ca="1"/>
      </c>
      <c r="AY499">
        <f ca="1"/>
      </c>
      <c r="BA499" s="7"/>
    </row>
    <row r="500" spans="31:53" x14ac:dyDescent="0.55000000000000004">
      <c r="AE500" s="7">
        <f ca="1"/>
      </c>
      <c r="AF500">
        <f ca="1"/>
      </c>
      <c r="AG500">
        <f ca="1"/>
      </c>
      <c r="AH500">
        <f ca="1"/>
      </c>
      <c r="AI500">
        <f ca="1"/>
      </c>
      <c r="AJ500">
        <f ca="1"/>
      </c>
      <c r="AK500">
        <f ca="1"/>
      </c>
      <c r="AL500">
        <f ca="1"/>
      </c>
      <c r="AM500">
        <f ca="1"/>
      </c>
      <c r="AN500">
        <f ca="1"/>
      </c>
      <c r="AO500">
        <f ca="1"/>
      </c>
      <c r="AP500">
        <f ca="1"/>
      </c>
      <c r="AQ500">
        <f ca="1"/>
      </c>
      <c r="AR500">
        <f ca="1"/>
      </c>
      <c r="AT500" s="7">
        <f ca="1"/>
      </c>
      <c r="AU500">
        <f ca="1"/>
      </c>
      <c r="AV500">
        <f ca="1"/>
      </c>
      <c r="AW500">
        <f ca="1"/>
      </c>
      <c r="AX500">
        <f ca="1"/>
      </c>
      <c r="AY500">
        <f ca="1"/>
      </c>
      <c r="BA500" s="7"/>
    </row>
    <row r="501" spans="31:53" x14ac:dyDescent="0.55000000000000004">
      <c r="AE501" s="7">
        <f ca="1"/>
      </c>
      <c r="AF501">
        <f ca="1"/>
      </c>
      <c r="AG501">
        <f ca="1"/>
      </c>
      <c r="AH501">
        <f ca="1"/>
      </c>
      <c r="AI501">
        <f ca="1"/>
      </c>
      <c r="AJ501">
        <f ca="1"/>
      </c>
      <c r="AK501">
        <f ca="1"/>
      </c>
      <c r="AL501">
        <f ca="1"/>
      </c>
      <c r="AM501">
        <f ca="1"/>
      </c>
      <c r="AN501">
        <f ca="1"/>
      </c>
      <c r="AO501">
        <f ca="1"/>
      </c>
      <c r="AP501">
        <f ca="1"/>
      </c>
      <c r="AQ501">
        <f ca="1"/>
      </c>
      <c r="AR501">
        <f ca="1"/>
      </c>
      <c r="AT501" s="7">
        <f ca="1"/>
      </c>
      <c r="AU501">
        <f ca="1"/>
      </c>
      <c r="AV501">
        <f ca="1"/>
      </c>
      <c r="AW501">
        <f ca="1"/>
      </c>
      <c r="AX501">
        <f ca="1"/>
      </c>
      <c r="AY501">
        <f ca="1"/>
      </c>
      <c r="BA501" s="7"/>
    </row>
    <row r="502" spans="31:53" x14ac:dyDescent="0.55000000000000004">
      <c r="AE502" s="7">
        <f ca="1"/>
      </c>
      <c r="AF502">
        <f ca="1"/>
      </c>
      <c r="AG502">
        <f ca="1"/>
      </c>
      <c r="AH502">
        <f ca="1"/>
      </c>
      <c r="AI502">
        <f ca="1"/>
      </c>
      <c r="AJ502">
        <f ca="1"/>
      </c>
      <c r="AK502">
        <f ca="1"/>
      </c>
      <c r="AL502">
        <f ca="1"/>
      </c>
      <c r="AM502">
        <f ca="1"/>
      </c>
      <c r="AN502">
        <f ca="1"/>
      </c>
      <c r="AO502">
        <f ca="1"/>
      </c>
      <c r="AP502">
        <f ca="1"/>
      </c>
      <c r="AQ502">
        <f ca="1"/>
      </c>
      <c r="AR502">
        <f ca="1"/>
      </c>
      <c r="AT502" s="7">
        <f ca="1"/>
      </c>
      <c r="AU502">
        <f ca="1"/>
      </c>
      <c r="AV502">
        <f ca="1"/>
      </c>
      <c r="AW502">
        <f ca="1"/>
      </c>
      <c r="AX502">
        <f ca="1"/>
      </c>
      <c r="AY502">
        <f ca="1"/>
      </c>
      <c r="BA502" s="7"/>
    </row>
    <row r="503" spans="31:53" x14ac:dyDescent="0.55000000000000004">
      <c r="AE503" s="7">
        <f ca="1"/>
      </c>
      <c r="AF503">
        <f ca="1"/>
      </c>
      <c r="AG503">
        <f ca="1"/>
      </c>
      <c r="AH503">
        <f ca="1"/>
      </c>
      <c r="AI503">
        <f ca="1"/>
      </c>
      <c r="AJ503">
        <f ca="1"/>
      </c>
      <c r="AK503">
        <f ca="1"/>
      </c>
      <c r="AL503">
        <f ca="1"/>
      </c>
      <c r="AM503">
        <f ca="1"/>
      </c>
      <c r="AN503">
        <f ca="1"/>
      </c>
      <c r="AO503">
        <f ca="1"/>
      </c>
      <c r="AP503">
        <f ca="1"/>
      </c>
      <c r="AQ503">
        <f ca="1"/>
      </c>
      <c r="AR503">
        <f ca="1"/>
      </c>
      <c r="AT503" s="7">
        <f ca="1"/>
      </c>
      <c r="AU503">
        <f ca="1"/>
      </c>
      <c r="AV503">
        <f ca="1"/>
      </c>
      <c r="AW503">
        <f ca="1"/>
      </c>
      <c r="AX503">
        <f ca="1"/>
      </c>
      <c r="AY503">
        <f ca="1"/>
      </c>
      <c r="BA503" s="7"/>
    </row>
    <row r="504" spans="31:53" x14ac:dyDescent="0.55000000000000004">
      <c r="AE504" s="7">
        <f ca="1"/>
      </c>
      <c r="AF504">
        <f ca="1"/>
      </c>
      <c r="AG504">
        <f ca="1"/>
      </c>
      <c r="AH504">
        <f ca="1"/>
      </c>
      <c r="AI504">
        <f ca="1"/>
      </c>
      <c r="AJ504">
        <f ca="1"/>
      </c>
      <c r="AK504">
        <f ca="1"/>
      </c>
      <c r="AL504">
        <f ca="1"/>
      </c>
      <c r="AM504">
        <f ca="1"/>
      </c>
      <c r="AN504">
        <f ca="1"/>
      </c>
      <c r="AO504">
        <f ca="1"/>
      </c>
      <c r="AP504">
        <f ca="1"/>
      </c>
      <c r="AQ504">
        <f ca="1"/>
      </c>
      <c r="AR504">
        <f ca="1"/>
      </c>
      <c r="AT504" s="7">
        <f ca="1"/>
      </c>
      <c r="AU504">
        <f ca="1"/>
      </c>
      <c r="AV504">
        <f ca="1"/>
      </c>
      <c r="AW504">
        <f ca="1"/>
      </c>
      <c r="AX504">
        <f ca="1"/>
      </c>
      <c r="AY504">
        <f ca="1"/>
      </c>
      <c r="BA504" s="7"/>
    </row>
    <row r="505" spans="31:53" x14ac:dyDescent="0.55000000000000004">
      <c r="AE505" s="7">
        <f ca="1"/>
      </c>
      <c r="AF505">
        <f ca="1"/>
      </c>
      <c r="AG505">
        <f ca="1"/>
      </c>
      <c r="AH505">
        <f ca="1"/>
      </c>
      <c r="AI505">
        <f ca="1"/>
      </c>
      <c r="AJ505">
        <f ca="1"/>
      </c>
      <c r="AK505">
        <f ca="1"/>
      </c>
      <c r="AL505">
        <f ca="1"/>
      </c>
      <c r="AM505">
        <f ca="1"/>
      </c>
      <c r="AN505">
        <f ca="1"/>
      </c>
      <c r="AO505">
        <f ca="1"/>
      </c>
      <c r="AP505">
        <f ca="1"/>
      </c>
      <c r="AQ505">
        <f ca="1"/>
      </c>
      <c r="AR505">
        <f ca="1"/>
      </c>
      <c r="AT505" s="7">
        <f ca="1"/>
      </c>
      <c r="AU505">
        <f ca="1"/>
      </c>
      <c r="AV505">
        <f ca="1"/>
      </c>
      <c r="AW505">
        <f ca="1"/>
      </c>
      <c r="AX505">
        <f ca="1"/>
      </c>
      <c r="AY505">
        <f ca="1"/>
      </c>
      <c r="BA505" s="7"/>
    </row>
    <row r="506" spans="31:53" x14ac:dyDescent="0.55000000000000004">
      <c r="AE506" s="7">
        <f ca="1"/>
      </c>
      <c r="AF506">
        <f ca="1"/>
      </c>
      <c r="AG506">
        <f ca="1"/>
      </c>
      <c r="AH506">
        <f ca="1"/>
      </c>
      <c r="AI506">
        <f ca="1"/>
      </c>
      <c r="AJ506">
        <f ca="1"/>
      </c>
      <c r="AK506">
        <f ca="1"/>
      </c>
      <c r="AL506">
        <f ca="1"/>
      </c>
      <c r="AM506">
        <f ca="1"/>
      </c>
      <c r="AN506">
        <f ca="1"/>
      </c>
      <c r="AO506">
        <f ca="1"/>
      </c>
      <c r="AP506">
        <f ca="1"/>
      </c>
      <c r="AQ506">
        <f ca="1"/>
      </c>
      <c r="AR506">
        <f ca="1"/>
      </c>
      <c r="AT506" s="7">
        <f ca="1"/>
      </c>
      <c r="AU506">
        <f ca="1"/>
      </c>
      <c r="AV506">
        <f ca="1"/>
      </c>
      <c r="AW506">
        <f ca="1"/>
      </c>
      <c r="AX506">
        <f ca="1"/>
      </c>
      <c r="AY506">
        <f ca="1"/>
      </c>
      <c r="BA506" s="7"/>
    </row>
    <row r="507" spans="31:53" x14ac:dyDescent="0.55000000000000004">
      <c r="AE507" s="7">
        <f ca="1"/>
      </c>
      <c r="AF507">
        <f ca="1"/>
      </c>
      <c r="AG507">
        <f ca="1"/>
      </c>
      <c r="AH507">
        <f ca="1"/>
      </c>
      <c r="AI507">
        <f ca="1"/>
      </c>
      <c r="AJ507">
        <f ca="1"/>
      </c>
      <c r="AK507">
        <f ca="1"/>
      </c>
      <c r="AL507">
        <f ca="1"/>
      </c>
      <c r="AM507">
        <f ca="1"/>
      </c>
      <c r="AN507">
        <f ca="1"/>
      </c>
      <c r="AO507">
        <f ca="1"/>
      </c>
      <c r="AP507">
        <f ca="1"/>
      </c>
      <c r="AQ507">
        <f ca="1"/>
      </c>
      <c r="AR507">
        <f ca="1"/>
      </c>
      <c r="AT507" s="7">
        <f ca="1"/>
      </c>
      <c r="AU507">
        <f ca="1"/>
      </c>
      <c r="AV507">
        <f ca="1"/>
      </c>
      <c r="AW507">
        <f ca="1"/>
      </c>
      <c r="AX507">
        <f ca="1"/>
      </c>
      <c r="AY507">
        <f ca="1"/>
      </c>
      <c r="BA507" s="7"/>
    </row>
    <row r="508" spans="31:53" x14ac:dyDescent="0.55000000000000004">
      <c r="AE508" s="7">
        <f ca="1"/>
      </c>
      <c r="AF508">
        <f ca="1"/>
      </c>
      <c r="AG508">
        <f ca="1"/>
      </c>
      <c r="AH508">
        <f ca="1"/>
      </c>
      <c r="AI508">
        <f ca="1"/>
      </c>
      <c r="AJ508">
        <f ca="1"/>
      </c>
      <c r="AK508">
        <f ca="1"/>
      </c>
      <c r="AL508">
        <f ca="1"/>
      </c>
      <c r="AM508">
        <f ca="1"/>
      </c>
      <c r="AN508">
        <f ca="1"/>
      </c>
      <c r="AO508">
        <f ca="1"/>
      </c>
      <c r="AP508">
        <f ca="1"/>
      </c>
      <c r="AQ508">
        <f ca="1"/>
      </c>
      <c r="AR508">
        <f ca="1"/>
      </c>
      <c r="AT508" s="7">
        <f ca="1"/>
      </c>
      <c r="AU508">
        <f ca="1"/>
      </c>
      <c r="AV508">
        <f ca="1"/>
      </c>
      <c r="AW508">
        <f ca="1"/>
      </c>
      <c r="AX508">
        <f ca="1"/>
      </c>
      <c r="AY508">
        <f ca="1"/>
      </c>
      <c r="BA508" s="7"/>
    </row>
    <row r="509" spans="31:53" x14ac:dyDescent="0.55000000000000004">
      <c r="AE509" s="7">
        <f ca="1"/>
      </c>
      <c r="AF509">
        <f ca="1"/>
      </c>
      <c r="AG509">
        <f ca="1"/>
      </c>
      <c r="AH509">
        <f ca="1"/>
      </c>
      <c r="AI509">
        <f ca="1"/>
      </c>
      <c r="AJ509">
        <f ca="1"/>
      </c>
      <c r="AK509">
        <f ca="1"/>
      </c>
      <c r="AL509">
        <f ca="1"/>
      </c>
      <c r="AM509">
        <f ca="1"/>
      </c>
      <c r="AN509">
        <f ca="1"/>
      </c>
      <c r="AO509">
        <f ca="1"/>
      </c>
      <c r="AP509">
        <f ca="1"/>
      </c>
      <c r="AQ509">
        <f ca="1"/>
      </c>
      <c r="AR509">
        <f ca="1"/>
      </c>
      <c r="AT509" s="7">
        <f ca="1"/>
      </c>
      <c r="AU509">
        <f ca="1"/>
      </c>
      <c r="AV509">
        <f ca="1"/>
      </c>
      <c r="AW509">
        <f ca="1"/>
      </c>
      <c r="AX509">
        <f ca="1"/>
      </c>
      <c r="AY509">
        <f ca="1"/>
      </c>
      <c r="BA509" s="7"/>
    </row>
    <row r="510" spans="31:53" x14ac:dyDescent="0.55000000000000004">
      <c r="AE510" s="7">
        <f ca="1"/>
      </c>
      <c r="AF510">
        <f ca="1"/>
      </c>
      <c r="AG510">
        <f ca="1"/>
      </c>
      <c r="AH510">
        <f ca="1"/>
      </c>
      <c r="AI510">
        <f ca="1"/>
      </c>
      <c r="AJ510">
        <f ca="1"/>
      </c>
      <c r="AK510">
        <f ca="1"/>
      </c>
      <c r="AL510">
        <f ca="1"/>
      </c>
      <c r="AM510">
        <f ca="1"/>
      </c>
      <c r="AN510">
        <f ca="1"/>
      </c>
      <c r="AO510">
        <f ca="1"/>
      </c>
      <c r="AP510">
        <f ca="1"/>
      </c>
      <c r="AQ510">
        <f ca="1"/>
      </c>
      <c r="AR510">
        <f ca="1"/>
      </c>
      <c r="AT510" s="7">
        <f ca="1"/>
      </c>
      <c r="AU510">
        <f ca="1"/>
      </c>
      <c r="AV510">
        <f ca="1"/>
      </c>
      <c r="AW510">
        <f ca="1"/>
      </c>
      <c r="AX510">
        <f ca="1"/>
      </c>
      <c r="AY510">
        <f ca="1"/>
      </c>
      <c r="BA510" s="7"/>
    </row>
    <row r="511" spans="31:53" x14ac:dyDescent="0.55000000000000004">
      <c r="AE511" s="7">
        <f ca="1"/>
      </c>
      <c r="AF511">
        <f ca="1"/>
      </c>
      <c r="AG511">
        <f ca="1"/>
      </c>
      <c r="AH511">
        <f ca="1"/>
      </c>
      <c r="AI511">
        <f ca="1"/>
      </c>
      <c r="AJ511">
        <f ca="1"/>
      </c>
      <c r="AK511">
        <f ca="1"/>
      </c>
      <c r="AL511">
        <f ca="1"/>
      </c>
      <c r="AM511">
        <f ca="1"/>
      </c>
      <c r="AN511">
        <f ca="1"/>
      </c>
      <c r="AO511">
        <f ca="1"/>
      </c>
      <c r="AP511">
        <f ca="1"/>
      </c>
      <c r="AQ511">
        <f ca="1"/>
      </c>
      <c r="AR511">
        <f ca="1"/>
      </c>
      <c r="AT511" s="7">
        <f ca="1"/>
      </c>
      <c r="AU511">
        <f ca="1"/>
      </c>
      <c r="AV511">
        <f ca="1"/>
      </c>
      <c r="AW511">
        <f ca="1"/>
      </c>
      <c r="AX511">
        <f ca="1"/>
      </c>
      <c r="AY511">
        <f ca="1"/>
      </c>
      <c r="BA511" s="7"/>
    </row>
    <row r="512" spans="31:53" x14ac:dyDescent="0.55000000000000004">
      <c r="AE512" s="7">
        <f ca="1"/>
      </c>
      <c r="AF512">
        <f ca="1"/>
      </c>
      <c r="AG512">
        <f ca="1"/>
      </c>
      <c r="AH512">
        <f ca="1"/>
      </c>
      <c r="AI512">
        <f ca="1"/>
      </c>
      <c r="AJ512">
        <f ca="1"/>
      </c>
      <c r="AK512">
        <f ca="1"/>
      </c>
      <c r="AL512">
        <f ca="1"/>
      </c>
      <c r="AM512">
        <f ca="1"/>
      </c>
      <c r="AN512">
        <f ca="1"/>
      </c>
      <c r="AO512">
        <f ca="1"/>
      </c>
      <c r="AP512">
        <f ca="1"/>
      </c>
      <c r="AQ512">
        <f ca="1"/>
      </c>
      <c r="AR512">
        <f ca="1"/>
      </c>
      <c r="AT512" s="7">
        <f ca="1"/>
      </c>
      <c r="AU512">
        <f ca="1"/>
      </c>
      <c r="AV512">
        <f ca="1"/>
      </c>
      <c r="AW512">
        <f ca="1"/>
      </c>
      <c r="AX512">
        <f ca="1"/>
      </c>
      <c r="AY512">
        <f ca="1"/>
      </c>
      <c r="BA512" s="7"/>
    </row>
    <row r="513" spans="31:53" x14ac:dyDescent="0.55000000000000004">
      <c r="AE513" s="7">
        <f ca="1"/>
      </c>
      <c r="AF513">
        <f ca="1"/>
      </c>
      <c r="AG513">
        <f ca="1"/>
      </c>
      <c r="AH513">
        <f ca="1"/>
      </c>
      <c r="AI513">
        <f ca="1"/>
      </c>
      <c r="AJ513">
        <f ca="1"/>
      </c>
      <c r="AK513">
        <f ca="1"/>
      </c>
      <c r="AL513">
        <f ca="1"/>
      </c>
      <c r="AM513">
        <f ca="1"/>
      </c>
      <c r="AN513">
        <f ca="1"/>
      </c>
      <c r="AO513">
        <f ca="1"/>
      </c>
      <c r="AP513">
        <f ca="1"/>
      </c>
      <c r="AQ513">
        <f ca="1"/>
      </c>
      <c r="AR513">
        <f ca="1"/>
      </c>
      <c r="AT513" s="7">
        <f ca="1"/>
      </c>
      <c r="AU513">
        <f ca="1"/>
      </c>
      <c r="AV513">
        <f ca="1"/>
      </c>
      <c r="AW513">
        <f ca="1"/>
      </c>
      <c r="AX513">
        <f ca="1"/>
      </c>
      <c r="AY513">
        <f ca="1"/>
      </c>
      <c r="BA513" s="7"/>
    </row>
    <row r="514" spans="31:53" x14ac:dyDescent="0.55000000000000004">
      <c r="AE514" s="7">
        <f ca="1"/>
      </c>
      <c r="AF514">
        <f ca="1"/>
      </c>
      <c r="AG514">
        <f ca="1"/>
      </c>
      <c r="AH514">
        <f ca="1"/>
      </c>
      <c r="AI514">
        <f ca="1"/>
      </c>
      <c r="AJ514">
        <f ca="1"/>
      </c>
      <c r="AK514">
        <f ca="1"/>
      </c>
      <c r="AL514">
        <f ca="1"/>
      </c>
      <c r="AM514">
        <f ca="1"/>
      </c>
      <c r="AN514">
        <f ca="1"/>
      </c>
      <c r="AO514">
        <f ca="1"/>
      </c>
      <c r="AP514">
        <f ca="1"/>
      </c>
      <c r="AQ514">
        <f ca="1"/>
      </c>
      <c r="AR514">
        <f ca="1"/>
      </c>
      <c r="AT514" s="7">
        <f ca="1"/>
      </c>
      <c r="AU514">
        <f ca="1"/>
      </c>
      <c r="AV514">
        <f ca="1"/>
      </c>
      <c r="AW514">
        <f ca="1"/>
      </c>
      <c r="AX514">
        <f ca="1"/>
      </c>
      <c r="AY514">
        <f ca="1"/>
      </c>
      <c r="BA514" s="7"/>
    </row>
    <row r="515" spans="31:53" x14ac:dyDescent="0.55000000000000004">
      <c r="AE515" s="7">
        <f ca="1"/>
      </c>
      <c r="AF515">
        <f ca="1"/>
      </c>
      <c r="AG515">
        <f ca="1"/>
      </c>
      <c r="AH515">
        <f ca="1"/>
      </c>
      <c r="AI515">
        <f ca="1"/>
      </c>
      <c r="AJ515">
        <f ca="1"/>
      </c>
      <c r="AK515">
        <f ca="1"/>
      </c>
      <c r="AL515">
        <f ca="1"/>
      </c>
      <c r="AM515">
        <f ca="1"/>
      </c>
      <c r="AN515">
        <f ca="1"/>
      </c>
      <c r="AO515">
        <f ca="1"/>
      </c>
      <c r="AP515">
        <f ca="1"/>
      </c>
      <c r="AQ515">
        <f ca="1"/>
      </c>
      <c r="AR515">
        <f ca="1"/>
      </c>
      <c r="AT515" s="7">
        <f ca="1"/>
      </c>
      <c r="AU515">
        <f ca="1"/>
      </c>
      <c r="AV515">
        <f ca="1"/>
      </c>
      <c r="AW515">
        <f ca="1"/>
      </c>
      <c r="AX515">
        <f ca="1"/>
      </c>
      <c r="AY515">
        <f ca="1"/>
      </c>
      <c r="BA515" s="7"/>
    </row>
    <row r="516" spans="31:53" x14ac:dyDescent="0.55000000000000004">
      <c r="AE516" s="7">
        <f ca="1"/>
      </c>
      <c r="AF516">
        <f ca="1"/>
      </c>
      <c r="AG516">
        <f ca="1"/>
      </c>
      <c r="AH516">
        <f ca="1"/>
      </c>
      <c r="AI516">
        <f ca="1"/>
      </c>
      <c r="AJ516">
        <f ca="1"/>
      </c>
      <c r="AK516">
        <f ca="1"/>
      </c>
      <c r="AL516">
        <f ca="1"/>
      </c>
      <c r="AM516">
        <f ca="1"/>
      </c>
      <c r="AN516">
        <f ca="1"/>
      </c>
      <c r="AO516">
        <f ca="1"/>
      </c>
      <c r="AP516">
        <f ca="1"/>
      </c>
      <c r="AQ516">
        <f ca="1"/>
      </c>
      <c r="AR516">
        <f ca="1"/>
      </c>
      <c r="AT516" s="7">
        <f ca="1"/>
      </c>
      <c r="AU516">
        <f ca="1"/>
      </c>
      <c r="AV516">
        <f ca="1"/>
      </c>
      <c r="AW516">
        <f ca="1"/>
      </c>
      <c r="AX516">
        <f ca="1"/>
      </c>
      <c r="AY516">
        <f ca="1"/>
      </c>
      <c r="BA516" s="7"/>
    </row>
    <row r="517" spans="31:53" x14ac:dyDescent="0.55000000000000004">
      <c r="AE517" s="7">
        <f ca="1"/>
      </c>
      <c r="AF517">
        <f ca="1"/>
      </c>
      <c r="AG517">
        <f ca="1"/>
      </c>
      <c r="AH517">
        <f ca="1"/>
      </c>
      <c r="AI517">
        <f ca="1"/>
      </c>
      <c r="AJ517">
        <f ca="1"/>
      </c>
      <c r="AK517">
        <f ca="1"/>
      </c>
      <c r="AL517">
        <f ca="1"/>
      </c>
      <c r="AM517">
        <f ca="1"/>
      </c>
      <c r="AN517">
        <f ca="1"/>
      </c>
      <c r="AO517">
        <f ca="1"/>
      </c>
      <c r="AP517">
        <f ca="1"/>
      </c>
      <c r="AQ517">
        <f ca="1"/>
      </c>
      <c r="AR517">
        <f ca="1"/>
      </c>
      <c r="AT517" s="7">
        <f ca="1"/>
      </c>
      <c r="AU517">
        <f ca="1"/>
      </c>
      <c r="AV517">
        <f ca="1"/>
      </c>
      <c r="AW517">
        <f ca="1"/>
      </c>
      <c r="AX517">
        <f ca="1"/>
      </c>
      <c r="AY517">
        <f ca="1"/>
      </c>
      <c r="BA517" s="7"/>
    </row>
    <row r="518" spans="31:53" x14ac:dyDescent="0.55000000000000004">
      <c r="AE518" s="7">
        <f ca="1"/>
      </c>
      <c r="AF518">
        <f ca="1"/>
      </c>
      <c r="AG518">
        <f ca="1"/>
      </c>
      <c r="AH518">
        <f ca="1"/>
      </c>
      <c r="AI518">
        <f ca="1"/>
      </c>
      <c r="AJ518">
        <f ca="1"/>
      </c>
      <c r="AK518">
        <f ca="1"/>
      </c>
      <c r="AL518">
        <f ca="1"/>
      </c>
      <c r="AM518">
        <f ca="1"/>
      </c>
      <c r="AN518">
        <f ca="1"/>
      </c>
      <c r="AO518">
        <f ca="1"/>
      </c>
      <c r="AP518">
        <f ca="1"/>
      </c>
      <c r="AQ518">
        <f ca="1"/>
      </c>
      <c r="AR518">
        <f ca="1"/>
      </c>
      <c r="AT518" s="7">
        <f ca="1"/>
      </c>
      <c r="AU518">
        <f ca="1"/>
      </c>
      <c r="AV518">
        <f ca="1"/>
      </c>
      <c r="AW518">
        <f ca="1"/>
      </c>
      <c r="AX518">
        <f ca="1"/>
      </c>
      <c r="AY518">
        <f ca="1"/>
      </c>
      <c r="BA518" s="7"/>
    </row>
    <row r="519" spans="31:53" x14ac:dyDescent="0.55000000000000004">
      <c r="AE519" s="7">
        <f ca="1"/>
      </c>
      <c r="AF519">
        <f ca="1"/>
      </c>
      <c r="AG519">
        <f ca="1"/>
      </c>
      <c r="AH519">
        <f ca="1"/>
      </c>
      <c r="AI519">
        <f ca="1"/>
      </c>
      <c r="AJ519">
        <f ca="1"/>
      </c>
      <c r="AK519">
        <f ca="1"/>
      </c>
      <c r="AL519">
        <f ca="1"/>
      </c>
      <c r="AM519">
        <f ca="1"/>
      </c>
      <c r="AN519">
        <f ca="1"/>
      </c>
      <c r="AO519">
        <f ca="1"/>
      </c>
      <c r="AP519">
        <f ca="1"/>
      </c>
      <c r="AQ519">
        <f ca="1"/>
      </c>
      <c r="AR519">
        <f ca="1"/>
      </c>
      <c r="AT519" s="7">
        <f ca="1"/>
      </c>
      <c r="AU519">
        <f ca="1"/>
      </c>
      <c r="AV519">
        <f ca="1"/>
      </c>
      <c r="AW519">
        <f ca="1"/>
      </c>
      <c r="AX519">
        <f ca="1"/>
      </c>
      <c r="AY519">
        <f ca="1"/>
      </c>
      <c r="BA519" s="7"/>
    </row>
    <row r="520" spans="31:53" x14ac:dyDescent="0.55000000000000004">
      <c r="AE520" s="7">
        <f ca="1"/>
      </c>
      <c r="AF520">
        <f ca="1"/>
      </c>
      <c r="AG520">
        <f ca="1"/>
      </c>
      <c r="AH520">
        <f ca="1"/>
      </c>
      <c r="AI520">
        <f ca="1"/>
      </c>
      <c r="AJ520">
        <f ca="1"/>
      </c>
      <c r="AK520">
        <f ca="1"/>
      </c>
      <c r="AL520">
        <f ca="1"/>
      </c>
      <c r="AM520">
        <f ca="1"/>
      </c>
      <c r="AN520">
        <f ca="1"/>
      </c>
      <c r="AO520">
        <f ca="1"/>
      </c>
      <c r="AP520">
        <f ca="1"/>
      </c>
      <c r="AQ520">
        <f ca="1"/>
      </c>
      <c r="AR520">
        <f ca="1"/>
      </c>
      <c r="AT520" s="7">
        <f ca="1"/>
      </c>
      <c r="AU520">
        <f ca="1"/>
      </c>
      <c r="AV520">
        <f ca="1"/>
      </c>
      <c r="AW520">
        <f ca="1"/>
      </c>
      <c r="AX520">
        <f ca="1"/>
      </c>
      <c r="AY520">
        <f ca="1"/>
      </c>
      <c r="BA520" s="7"/>
    </row>
    <row r="521" spans="31:53" x14ac:dyDescent="0.55000000000000004">
      <c r="AE521" s="7">
        <f ca="1"/>
      </c>
      <c r="AF521">
        <f ca="1"/>
      </c>
      <c r="AG521">
        <f ca="1"/>
      </c>
      <c r="AH521">
        <f ca="1"/>
      </c>
      <c r="AI521">
        <f ca="1"/>
      </c>
      <c r="AJ521">
        <f ca="1"/>
      </c>
      <c r="AK521">
        <f ca="1"/>
      </c>
      <c r="AL521">
        <f ca="1"/>
      </c>
      <c r="AM521">
        <f ca="1"/>
      </c>
      <c r="AN521">
        <f ca="1"/>
      </c>
      <c r="AO521">
        <f ca="1"/>
      </c>
      <c r="AP521">
        <f ca="1"/>
      </c>
      <c r="AQ521">
        <f ca="1"/>
      </c>
      <c r="AR521">
        <f ca="1"/>
      </c>
      <c r="AT521" s="7">
        <f ca="1"/>
      </c>
      <c r="AU521">
        <f ca="1"/>
      </c>
      <c r="AV521">
        <f ca="1"/>
      </c>
      <c r="AW521">
        <f ca="1"/>
      </c>
      <c r="AX521">
        <f ca="1"/>
      </c>
      <c r="AY521">
        <f ca="1"/>
      </c>
      <c r="BA521" s="7"/>
    </row>
    <row r="522" spans="31:53" x14ac:dyDescent="0.55000000000000004">
      <c r="AE522" s="7">
        <f ca="1"/>
      </c>
      <c r="AF522">
        <f ca="1"/>
      </c>
      <c r="AG522">
        <f ca="1"/>
      </c>
      <c r="AH522">
        <f ca="1"/>
      </c>
      <c r="AI522">
        <f ca="1"/>
      </c>
      <c r="AJ522">
        <f ca="1"/>
      </c>
      <c r="AK522">
        <f ca="1"/>
      </c>
      <c r="AL522">
        <f ca="1"/>
      </c>
      <c r="AM522">
        <f ca="1"/>
      </c>
      <c r="AN522">
        <f ca="1"/>
      </c>
      <c r="AO522">
        <f ca="1"/>
      </c>
      <c r="AP522">
        <f ca="1"/>
      </c>
      <c r="AQ522">
        <f ca="1"/>
      </c>
      <c r="AR522">
        <f ca="1"/>
      </c>
      <c r="AT522" s="7">
        <f ca="1"/>
      </c>
      <c r="AU522">
        <f ca="1"/>
      </c>
      <c r="AV522">
        <f ca="1"/>
      </c>
      <c r="AW522">
        <f ca="1"/>
      </c>
      <c r="AX522">
        <f ca="1"/>
      </c>
      <c r="AY522">
        <f ca="1"/>
      </c>
      <c r="BA522" s="7"/>
    </row>
    <row r="523" spans="31:53" x14ac:dyDescent="0.55000000000000004">
      <c r="AE523" s="7">
        <f ca="1"/>
      </c>
      <c r="AF523">
        <f ca="1"/>
      </c>
      <c r="AG523">
        <f ca="1"/>
      </c>
      <c r="AH523">
        <f ca="1"/>
      </c>
      <c r="AI523">
        <f ca="1"/>
      </c>
      <c r="AJ523">
        <f ca="1"/>
      </c>
      <c r="AK523">
        <f ca="1"/>
      </c>
      <c r="AL523">
        <f ca="1"/>
      </c>
      <c r="AM523">
        <f ca="1"/>
      </c>
      <c r="AN523">
        <f ca="1"/>
      </c>
      <c r="AO523">
        <f ca="1"/>
      </c>
      <c r="AP523">
        <f ca="1"/>
      </c>
      <c r="AQ523">
        <f ca="1"/>
      </c>
      <c r="AR523">
        <f ca="1"/>
      </c>
      <c r="AT523" s="7">
        <f ca="1"/>
      </c>
      <c r="AU523">
        <f ca="1"/>
      </c>
      <c r="AV523">
        <f ca="1"/>
      </c>
      <c r="AW523">
        <f ca="1"/>
      </c>
      <c r="AX523">
        <f ca="1"/>
      </c>
      <c r="AY523">
        <f ca="1"/>
      </c>
      <c r="BA523" s="7"/>
    </row>
    <row r="524" spans="31:53" x14ac:dyDescent="0.55000000000000004">
      <c r="AE524" s="7">
        <f ca="1"/>
      </c>
      <c r="AF524">
        <f ca="1"/>
      </c>
      <c r="AG524">
        <f ca="1"/>
      </c>
      <c r="AH524">
        <f ca="1"/>
      </c>
      <c r="AI524">
        <f ca="1"/>
      </c>
      <c r="AJ524">
        <f ca="1"/>
      </c>
      <c r="AK524">
        <f ca="1"/>
      </c>
      <c r="AL524">
        <f ca="1"/>
      </c>
      <c r="AM524">
        <f ca="1"/>
      </c>
      <c r="AN524">
        <f ca="1"/>
      </c>
      <c r="AO524">
        <f ca="1"/>
      </c>
      <c r="AP524">
        <f ca="1"/>
      </c>
      <c r="AQ524">
        <f ca="1"/>
      </c>
      <c r="AR524">
        <f ca="1"/>
      </c>
      <c r="AT524" s="7">
        <f ca="1"/>
      </c>
      <c r="AU524">
        <f ca="1"/>
      </c>
      <c r="AV524">
        <f ca="1"/>
      </c>
      <c r="AW524">
        <f ca="1"/>
      </c>
      <c r="AX524">
        <f ca="1"/>
      </c>
      <c r="AY524">
        <f ca="1"/>
      </c>
      <c r="BA524" s="7"/>
    </row>
    <row r="525" spans="31:53" x14ac:dyDescent="0.55000000000000004">
      <c r="AE525" s="7">
        <f ca="1"/>
      </c>
      <c r="AF525">
        <f ca="1"/>
      </c>
      <c r="AG525">
        <f ca="1"/>
      </c>
      <c r="AH525">
        <f ca="1"/>
      </c>
      <c r="AI525">
        <f ca="1"/>
      </c>
      <c r="AJ525">
        <f ca="1"/>
      </c>
      <c r="AK525">
        <f ca="1"/>
      </c>
      <c r="AL525">
        <f ca="1"/>
      </c>
      <c r="AM525">
        <f ca="1"/>
      </c>
      <c r="AN525">
        <f ca="1"/>
      </c>
      <c r="AO525">
        <f ca="1"/>
      </c>
      <c r="AP525">
        <f ca="1"/>
      </c>
      <c r="AQ525">
        <f ca="1"/>
      </c>
      <c r="AR525">
        <f ca="1"/>
      </c>
      <c r="AT525" s="7">
        <f ca="1"/>
      </c>
      <c r="AU525">
        <f ca="1"/>
      </c>
      <c r="AV525">
        <f ca="1"/>
      </c>
      <c r="AW525">
        <f ca="1"/>
      </c>
      <c r="AX525">
        <f ca="1"/>
      </c>
      <c r="AY525">
        <f ca="1"/>
      </c>
      <c r="BA525" s="7"/>
    </row>
    <row r="526" spans="31:53" x14ac:dyDescent="0.55000000000000004">
      <c r="AE526" s="7">
        <f ca="1"/>
      </c>
      <c r="AF526">
        <f ca="1"/>
      </c>
      <c r="AG526">
        <f ca="1"/>
      </c>
      <c r="AH526">
        <f ca="1"/>
      </c>
      <c r="AI526">
        <f ca="1"/>
      </c>
      <c r="AJ526">
        <f ca="1"/>
      </c>
      <c r="AK526">
        <f ca="1"/>
      </c>
      <c r="AL526">
        <f ca="1"/>
      </c>
      <c r="AM526">
        <f ca="1"/>
      </c>
      <c r="AN526">
        <f ca="1"/>
      </c>
      <c r="AO526">
        <f ca="1"/>
      </c>
      <c r="AP526">
        <f ca="1"/>
      </c>
      <c r="AQ526">
        <f ca="1"/>
      </c>
      <c r="AR526">
        <f ca="1"/>
      </c>
      <c r="AT526" s="7">
        <f ca="1"/>
      </c>
      <c r="AU526">
        <f ca="1"/>
      </c>
      <c r="AV526">
        <f ca="1"/>
      </c>
      <c r="AW526">
        <f ca="1"/>
      </c>
      <c r="AX526">
        <f ca="1"/>
      </c>
      <c r="AY526">
        <f ca="1"/>
      </c>
      <c r="BA526" s="7"/>
    </row>
    <row r="527" spans="31:53" x14ac:dyDescent="0.55000000000000004">
      <c r="AE527" s="7">
        <f ca="1"/>
      </c>
      <c r="AF527">
        <f ca="1"/>
      </c>
      <c r="AG527">
        <f ca="1"/>
      </c>
      <c r="AH527">
        <f ca="1"/>
      </c>
      <c r="AI527">
        <f ca="1"/>
      </c>
      <c r="AJ527">
        <f ca="1"/>
      </c>
      <c r="AK527">
        <f ca="1"/>
      </c>
      <c r="AL527">
        <f ca="1"/>
      </c>
      <c r="AM527">
        <f ca="1"/>
      </c>
      <c r="AN527">
        <f ca="1"/>
      </c>
      <c r="AO527">
        <f ca="1"/>
      </c>
      <c r="AP527">
        <f ca="1"/>
      </c>
      <c r="AQ527">
        <f ca="1"/>
      </c>
      <c r="AR527">
        <f ca="1"/>
      </c>
      <c r="AT527" s="7">
        <f ca="1"/>
      </c>
      <c r="AU527">
        <f ca="1"/>
      </c>
      <c r="AV527">
        <f ca="1"/>
      </c>
      <c r="AW527">
        <f ca="1"/>
      </c>
      <c r="AX527">
        <f ca="1"/>
      </c>
      <c r="AY527">
        <f ca="1"/>
      </c>
      <c r="BA527" s="7"/>
    </row>
    <row r="528" spans="31:53" x14ac:dyDescent="0.55000000000000004">
      <c r="AE528" s="7">
        <f ca="1"/>
      </c>
      <c r="AF528">
        <f ca="1"/>
      </c>
      <c r="AG528">
        <f ca="1"/>
      </c>
      <c r="AH528">
        <f ca="1"/>
      </c>
      <c r="AI528">
        <f ca="1"/>
      </c>
      <c r="AJ528">
        <f ca="1"/>
      </c>
      <c r="AK528">
        <f ca="1"/>
      </c>
      <c r="AL528">
        <f ca="1"/>
      </c>
      <c r="AM528">
        <f ca="1"/>
      </c>
      <c r="AN528">
        <f ca="1"/>
      </c>
      <c r="AO528">
        <f ca="1"/>
      </c>
      <c r="AP528">
        <f ca="1"/>
      </c>
      <c r="AQ528">
        <f ca="1"/>
      </c>
      <c r="AR528">
        <f ca="1"/>
      </c>
      <c r="AT528" s="7">
        <f ca="1"/>
      </c>
      <c r="AU528">
        <f ca="1"/>
      </c>
      <c r="AV528">
        <f ca="1"/>
      </c>
      <c r="AW528">
        <f ca="1"/>
      </c>
      <c r="AX528">
        <f ca="1"/>
      </c>
      <c r="AY528">
        <f ca="1"/>
      </c>
      <c r="BA528" s="7"/>
    </row>
    <row r="529" spans="31:53" x14ac:dyDescent="0.55000000000000004">
      <c r="AE529" s="7">
        <f ca="1"/>
      </c>
      <c r="AF529">
        <f ca="1"/>
      </c>
      <c r="AG529">
        <f ca="1"/>
      </c>
      <c r="AH529">
        <f ca="1"/>
      </c>
      <c r="AI529">
        <f ca="1"/>
      </c>
      <c r="AJ529">
        <f ca="1"/>
      </c>
      <c r="AK529">
        <f ca="1"/>
      </c>
      <c r="AL529">
        <f ca="1"/>
      </c>
      <c r="AM529">
        <f ca="1"/>
      </c>
      <c r="AN529">
        <f ca="1"/>
      </c>
      <c r="AO529">
        <f ca="1"/>
      </c>
      <c r="AP529">
        <f ca="1"/>
      </c>
      <c r="AQ529">
        <f ca="1"/>
      </c>
      <c r="AR529">
        <f ca="1"/>
      </c>
      <c r="AT529" s="7">
        <f ca="1"/>
      </c>
      <c r="AU529">
        <f ca="1"/>
      </c>
      <c r="AV529">
        <f ca="1"/>
      </c>
      <c r="AW529">
        <f ca="1"/>
      </c>
      <c r="AX529">
        <f ca="1"/>
      </c>
      <c r="AY529">
        <f ca="1"/>
      </c>
      <c r="BA529" s="7"/>
    </row>
    <row r="530" spans="31:53" x14ac:dyDescent="0.55000000000000004">
      <c r="AE530" s="7">
        <f ca="1"/>
      </c>
      <c r="AF530">
        <f ca="1"/>
      </c>
      <c r="AG530">
        <f ca="1"/>
      </c>
      <c r="AH530">
        <f ca="1"/>
      </c>
      <c r="AI530">
        <f ca="1"/>
      </c>
      <c r="AJ530">
        <f ca="1"/>
      </c>
      <c r="AK530">
        <f ca="1"/>
      </c>
      <c r="AL530">
        <f ca="1"/>
      </c>
      <c r="AM530">
        <f ca="1"/>
      </c>
      <c r="AN530">
        <f ca="1"/>
      </c>
      <c r="AO530">
        <f ca="1"/>
      </c>
      <c r="AP530">
        <f ca="1"/>
      </c>
      <c r="AQ530">
        <f ca="1"/>
      </c>
      <c r="AR530">
        <f ca="1"/>
      </c>
      <c r="AT530" s="7">
        <f ca="1"/>
      </c>
      <c r="AU530">
        <f ca="1"/>
      </c>
      <c r="AV530">
        <f ca="1"/>
      </c>
      <c r="AW530">
        <f ca="1"/>
      </c>
      <c r="AX530">
        <f ca="1"/>
      </c>
      <c r="AY530">
        <f ca="1"/>
      </c>
      <c r="BA530" s="7"/>
    </row>
    <row r="531" spans="31:53" x14ac:dyDescent="0.55000000000000004">
      <c r="AE531" s="7">
        <f ca="1"/>
      </c>
      <c r="AF531">
        <f ca="1"/>
      </c>
      <c r="AG531">
        <f ca="1"/>
      </c>
      <c r="AH531">
        <f ca="1"/>
      </c>
      <c r="AI531">
        <f ca="1"/>
      </c>
      <c r="AJ531">
        <f ca="1"/>
      </c>
      <c r="AK531">
        <f ca="1"/>
      </c>
      <c r="AL531">
        <f ca="1"/>
      </c>
      <c r="AM531">
        <f ca="1"/>
      </c>
      <c r="AN531">
        <f ca="1"/>
      </c>
      <c r="AO531">
        <f ca="1"/>
      </c>
      <c r="AP531">
        <f ca="1"/>
      </c>
      <c r="AQ531">
        <f ca="1"/>
      </c>
      <c r="AR531">
        <f ca="1"/>
      </c>
      <c r="AT531" s="7">
        <f ca="1"/>
      </c>
      <c r="AU531">
        <f ca="1"/>
      </c>
      <c r="AV531">
        <f ca="1"/>
      </c>
      <c r="AW531">
        <f ca="1"/>
      </c>
      <c r="AX531">
        <f ca="1"/>
      </c>
      <c r="AY531">
        <f ca="1"/>
      </c>
      <c r="BA531" s="7"/>
    </row>
    <row r="532" spans="31:53" x14ac:dyDescent="0.55000000000000004">
      <c r="AE532" s="7">
        <f ca="1"/>
      </c>
      <c r="AF532">
        <f ca="1"/>
      </c>
      <c r="AG532">
        <f ca="1"/>
      </c>
      <c r="AH532">
        <f ca="1"/>
      </c>
      <c r="AI532">
        <f ca="1"/>
      </c>
      <c r="AJ532">
        <f ca="1"/>
      </c>
      <c r="AK532">
        <f ca="1"/>
      </c>
      <c r="AL532">
        <f ca="1"/>
      </c>
      <c r="AM532">
        <f ca="1"/>
      </c>
      <c r="AN532">
        <f ca="1"/>
      </c>
      <c r="AO532">
        <f ca="1"/>
      </c>
      <c r="AP532">
        <f ca="1"/>
      </c>
      <c r="AQ532">
        <f ca="1"/>
      </c>
      <c r="AR532">
        <f ca="1"/>
      </c>
      <c r="AT532" s="7">
        <f ca="1"/>
      </c>
      <c r="AU532">
        <f ca="1"/>
      </c>
      <c r="AV532">
        <f ca="1"/>
      </c>
      <c r="AW532">
        <f ca="1"/>
      </c>
      <c r="AX532">
        <f ca="1"/>
      </c>
      <c r="AY532">
        <f ca="1"/>
      </c>
      <c r="BA532" s="7"/>
    </row>
    <row r="533" spans="31:53" x14ac:dyDescent="0.55000000000000004">
      <c r="AE533" s="7">
        <f ca="1"/>
      </c>
      <c r="AF533">
        <f ca="1"/>
      </c>
      <c r="AG533">
        <f ca="1"/>
      </c>
      <c r="AH533">
        <f ca="1"/>
      </c>
      <c r="AI533">
        <f ca="1"/>
      </c>
      <c r="AJ533">
        <f ca="1"/>
      </c>
      <c r="AK533">
        <f ca="1"/>
      </c>
      <c r="AL533">
        <f ca="1"/>
      </c>
      <c r="AM533">
        <f ca="1"/>
      </c>
      <c r="AN533">
        <f ca="1"/>
      </c>
      <c r="AO533">
        <f ca="1"/>
      </c>
      <c r="AP533">
        <f ca="1"/>
      </c>
      <c r="AQ533">
        <f ca="1"/>
      </c>
      <c r="AR533">
        <f ca="1"/>
      </c>
      <c r="AT533" s="7">
        <f ca="1"/>
      </c>
      <c r="AU533">
        <f ca="1"/>
      </c>
      <c r="AV533">
        <f ca="1"/>
      </c>
      <c r="AW533">
        <f ca="1"/>
      </c>
      <c r="AX533">
        <f ca="1"/>
      </c>
      <c r="AY533">
        <f ca="1"/>
      </c>
      <c r="BA533" s="7"/>
    </row>
    <row r="534" spans="31:53" x14ac:dyDescent="0.55000000000000004">
      <c r="AE534" s="7">
        <f ca="1"/>
      </c>
      <c r="AF534">
        <f ca="1"/>
      </c>
      <c r="AG534">
        <f ca="1"/>
      </c>
      <c r="AH534">
        <f ca="1"/>
      </c>
      <c r="AI534">
        <f ca="1"/>
      </c>
      <c r="AJ534">
        <f ca="1"/>
      </c>
      <c r="AK534">
        <f ca="1"/>
      </c>
      <c r="AL534">
        <f ca="1"/>
      </c>
      <c r="AM534">
        <f ca="1"/>
      </c>
      <c r="AN534">
        <f ca="1"/>
      </c>
      <c r="AO534">
        <f ca="1"/>
      </c>
      <c r="AP534">
        <f ca="1"/>
      </c>
      <c r="AQ534">
        <f ca="1"/>
      </c>
      <c r="AR534">
        <f ca="1"/>
      </c>
      <c r="AT534" s="7">
        <f ca="1"/>
      </c>
      <c r="AU534">
        <f ca="1"/>
      </c>
      <c r="AV534">
        <f ca="1"/>
      </c>
      <c r="AW534">
        <f ca="1"/>
      </c>
      <c r="AX534">
        <f ca="1"/>
      </c>
      <c r="AY534">
        <f ca="1"/>
      </c>
      <c r="BA534" s="7"/>
    </row>
    <row r="535" spans="31:53" x14ac:dyDescent="0.55000000000000004">
      <c r="AE535" s="7">
        <f ca="1"/>
      </c>
      <c r="AF535">
        <f ca="1"/>
      </c>
      <c r="AG535">
        <f ca="1"/>
      </c>
      <c r="AH535">
        <f ca="1"/>
      </c>
      <c r="AI535">
        <f ca="1"/>
      </c>
      <c r="AJ535">
        <f ca="1"/>
      </c>
      <c r="AK535">
        <f ca="1"/>
      </c>
      <c r="AL535">
        <f ca="1"/>
      </c>
      <c r="AM535">
        <f ca="1"/>
      </c>
      <c r="AN535">
        <f ca="1"/>
      </c>
      <c r="AO535">
        <f ca="1"/>
      </c>
      <c r="AP535">
        <f ca="1"/>
      </c>
      <c r="AQ535">
        <f ca="1"/>
      </c>
      <c r="AR535">
        <f ca="1"/>
      </c>
      <c r="AT535" s="7">
        <f ca="1"/>
      </c>
      <c r="AU535">
        <f ca="1"/>
      </c>
      <c r="AV535">
        <f ca="1"/>
      </c>
      <c r="AW535">
        <f ca="1"/>
      </c>
      <c r="AX535">
        <f ca="1"/>
      </c>
      <c r="AY535">
        <f ca="1"/>
      </c>
      <c r="BA535" s="7"/>
    </row>
    <row r="536" spans="31:53" x14ac:dyDescent="0.55000000000000004">
      <c r="AE536" s="7">
        <f ca="1"/>
      </c>
      <c r="AF536">
        <f ca="1"/>
      </c>
      <c r="AG536">
        <f ca="1"/>
      </c>
      <c r="AH536">
        <f ca="1"/>
      </c>
      <c r="AI536">
        <f ca="1"/>
      </c>
      <c r="AJ536">
        <f ca="1"/>
      </c>
      <c r="AK536">
        <f ca="1"/>
      </c>
      <c r="AL536">
        <f ca="1"/>
      </c>
      <c r="AM536">
        <f ca="1"/>
      </c>
      <c r="AN536">
        <f ca="1"/>
      </c>
      <c r="AO536">
        <f ca="1"/>
      </c>
      <c r="AP536">
        <f ca="1"/>
      </c>
      <c r="AQ536">
        <f ca="1"/>
      </c>
      <c r="AR536">
        <f ca="1"/>
      </c>
      <c r="AT536" s="7">
        <f ca="1"/>
      </c>
      <c r="AU536">
        <f ca="1"/>
      </c>
      <c r="AV536">
        <f ca="1"/>
      </c>
      <c r="AW536">
        <f ca="1"/>
      </c>
      <c r="AX536">
        <f ca="1"/>
      </c>
      <c r="AY536">
        <f ca="1"/>
      </c>
      <c r="BA536" s="7"/>
    </row>
    <row r="537" spans="31:53" x14ac:dyDescent="0.55000000000000004">
      <c r="AE537" s="7">
        <f ca="1"/>
      </c>
      <c r="AF537">
        <f ca="1"/>
      </c>
      <c r="AG537">
        <f ca="1"/>
      </c>
      <c r="AH537">
        <f ca="1"/>
      </c>
      <c r="AI537">
        <f ca="1"/>
      </c>
      <c r="AJ537">
        <f ca="1"/>
      </c>
      <c r="AK537">
        <f ca="1"/>
      </c>
      <c r="AL537">
        <f ca="1"/>
      </c>
      <c r="AM537">
        <f ca="1"/>
      </c>
      <c r="AN537">
        <f ca="1"/>
      </c>
      <c r="AO537">
        <f ca="1"/>
      </c>
      <c r="AP537">
        <f ca="1"/>
      </c>
      <c r="AQ537">
        <f ca="1"/>
      </c>
      <c r="AR537">
        <f ca="1"/>
      </c>
      <c r="AT537" s="7">
        <f ca="1"/>
      </c>
      <c r="AU537">
        <f ca="1"/>
      </c>
      <c r="AV537">
        <f ca="1"/>
      </c>
      <c r="AW537">
        <f ca="1"/>
      </c>
      <c r="AX537">
        <f ca="1"/>
      </c>
      <c r="AY537">
        <f ca="1"/>
      </c>
      <c r="BA537" s="7"/>
    </row>
    <row r="538" spans="31:53" x14ac:dyDescent="0.55000000000000004">
      <c r="AE538" s="7">
        <f ca="1"/>
      </c>
      <c r="AF538">
        <f ca="1"/>
      </c>
      <c r="AG538">
        <f ca="1"/>
      </c>
      <c r="AH538">
        <f ca="1"/>
      </c>
      <c r="AI538">
        <f ca="1"/>
      </c>
      <c r="AJ538">
        <f ca="1"/>
      </c>
      <c r="AK538">
        <f ca="1"/>
      </c>
      <c r="AL538">
        <f ca="1"/>
      </c>
      <c r="AM538">
        <f ca="1"/>
      </c>
      <c r="AN538">
        <f ca="1"/>
      </c>
      <c r="AO538">
        <f ca="1"/>
      </c>
      <c r="AP538">
        <f ca="1"/>
      </c>
      <c r="AQ538">
        <f ca="1"/>
      </c>
      <c r="AR538">
        <f ca="1"/>
      </c>
      <c r="AT538" s="7">
        <f ca="1"/>
      </c>
      <c r="AU538">
        <f ca="1"/>
      </c>
      <c r="AV538">
        <f ca="1"/>
      </c>
      <c r="AW538">
        <f ca="1"/>
      </c>
      <c r="AX538">
        <f ca="1"/>
      </c>
      <c r="AY538">
        <f ca="1"/>
      </c>
      <c r="BA538" s="7"/>
    </row>
    <row r="539" spans="31:53" x14ac:dyDescent="0.55000000000000004">
      <c r="AE539" s="7">
        <f ca="1"/>
      </c>
      <c r="AF539">
        <f ca="1"/>
      </c>
      <c r="AG539">
        <f ca="1"/>
      </c>
      <c r="AH539">
        <f ca="1"/>
      </c>
      <c r="AI539">
        <f ca="1"/>
      </c>
      <c r="AJ539">
        <f ca="1"/>
      </c>
      <c r="AK539">
        <f ca="1"/>
      </c>
      <c r="AL539">
        <f ca="1"/>
      </c>
      <c r="AM539">
        <f ca="1"/>
      </c>
      <c r="AN539">
        <f ca="1"/>
      </c>
      <c r="AO539">
        <f ca="1"/>
      </c>
      <c r="AP539">
        <f ca="1"/>
      </c>
      <c r="AQ539">
        <f ca="1"/>
      </c>
      <c r="AR539">
        <f ca="1"/>
      </c>
      <c r="AT539" s="7">
        <f ca="1"/>
      </c>
      <c r="AU539">
        <f ca="1"/>
      </c>
      <c r="AV539">
        <f ca="1"/>
      </c>
      <c r="AW539">
        <f ca="1"/>
      </c>
      <c r="AX539">
        <f ca="1"/>
      </c>
      <c r="AY539">
        <f ca="1"/>
      </c>
      <c r="BA539" s="7"/>
    </row>
    <row r="540" spans="31:53" x14ac:dyDescent="0.55000000000000004">
      <c r="AE540" s="7">
        <f ca="1"/>
      </c>
      <c r="AF540">
        <f ca="1"/>
      </c>
      <c r="AG540">
        <f ca="1"/>
      </c>
      <c r="AH540">
        <f ca="1"/>
      </c>
      <c r="AI540">
        <f ca="1"/>
      </c>
      <c r="AJ540">
        <f ca="1"/>
      </c>
      <c r="AK540">
        <f ca="1"/>
      </c>
      <c r="AL540">
        <f ca="1"/>
      </c>
      <c r="AM540">
        <f ca="1"/>
      </c>
      <c r="AN540">
        <f ca="1"/>
      </c>
      <c r="AO540">
        <f ca="1"/>
      </c>
      <c r="AP540">
        <f ca="1"/>
      </c>
      <c r="AQ540">
        <f ca="1"/>
      </c>
      <c r="AR540">
        <f ca="1"/>
      </c>
      <c r="AT540" s="7">
        <f ca="1"/>
      </c>
      <c r="AU540">
        <f ca="1"/>
      </c>
      <c r="AV540">
        <f ca="1"/>
      </c>
      <c r="AW540">
        <f ca="1"/>
      </c>
      <c r="AX540">
        <f ca="1"/>
      </c>
      <c r="AY540">
        <f ca="1"/>
      </c>
      <c r="BA540" s="7"/>
    </row>
    <row r="541" spans="31:53" x14ac:dyDescent="0.55000000000000004">
      <c r="AE541" s="7">
        <f ca="1"/>
      </c>
      <c r="AF541">
        <f ca="1"/>
      </c>
      <c r="AG541">
        <f ca="1"/>
      </c>
      <c r="AH541">
        <f ca="1"/>
      </c>
      <c r="AI541">
        <f ca="1"/>
      </c>
      <c r="AJ541">
        <f ca="1"/>
      </c>
      <c r="AK541">
        <f ca="1"/>
      </c>
      <c r="AL541">
        <f ca="1"/>
      </c>
      <c r="AM541">
        <f ca="1"/>
      </c>
      <c r="AN541">
        <f ca="1"/>
      </c>
      <c r="AO541">
        <f ca="1"/>
      </c>
      <c r="AP541">
        <f ca="1"/>
      </c>
      <c r="AQ541">
        <f ca="1"/>
      </c>
      <c r="AR541">
        <f ca="1"/>
      </c>
      <c r="AT541" s="7">
        <f ca="1"/>
      </c>
      <c r="AU541">
        <f ca="1"/>
      </c>
      <c r="AV541">
        <f ca="1"/>
      </c>
      <c r="AW541">
        <f ca="1"/>
      </c>
      <c r="AX541">
        <f ca="1"/>
      </c>
      <c r="AY541">
        <f ca="1"/>
      </c>
      <c r="BA541" s="7"/>
    </row>
    <row r="542" spans="31:53" x14ac:dyDescent="0.55000000000000004">
      <c r="AE542" s="7">
        <f ca="1"/>
      </c>
      <c r="AF542">
        <f ca="1"/>
      </c>
      <c r="AG542">
        <f ca="1"/>
      </c>
      <c r="AH542">
        <f ca="1"/>
      </c>
      <c r="AI542">
        <f ca="1"/>
      </c>
      <c r="AJ542">
        <f ca="1"/>
      </c>
      <c r="AK542">
        <f ca="1"/>
      </c>
      <c r="AL542">
        <f ca="1"/>
      </c>
      <c r="AM542">
        <f ca="1"/>
      </c>
      <c r="AN542">
        <f ca="1"/>
      </c>
      <c r="AO542">
        <f ca="1"/>
      </c>
      <c r="AP542">
        <f ca="1"/>
      </c>
      <c r="AQ542">
        <f ca="1"/>
      </c>
      <c r="AR542">
        <f ca="1"/>
      </c>
      <c r="AT542" s="7">
        <f ca="1"/>
      </c>
      <c r="AU542">
        <f ca="1"/>
      </c>
      <c r="AV542">
        <f ca="1"/>
      </c>
      <c r="AW542">
        <f ca="1"/>
      </c>
      <c r="AX542">
        <f ca="1"/>
      </c>
      <c r="AY542">
        <f ca="1"/>
      </c>
      <c r="BA542" s="7"/>
    </row>
    <row r="543" spans="31:53" x14ac:dyDescent="0.55000000000000004">
      <c r="AE543" s="7">
        <f ca="1"/>
      </c>
      <c r="AF543">
        <f ca="1"/>
      </c>
      <c r="AG543">
        <f ca="1"/>
      </c>
      <c r="AH543">
        <f ca="1"/>
      </c>
      <c r="AI543">
        <f ca="1"/>
      </c>
      <c r="AJ543">
        <f ca="1"/>
      </c>
      <c r="AK543">
        <f ca="1"/>
      </c>
      <c r="AL543">
        <f ca="1"/>
      </c>
      <c r="AM543">
        <f ca="1"/>
      </c>
      <c r="AN543">
        <f ca="1"/>
      </c>
      <c r="AO543">
        <f ca="1"/>
      </c>
      <c r="AP543">
        <f ca="1"/>
      </c>
      <c r="AQ543">
        <f ca="1"/>
      </c>
      <c r="AR543">
        <f ca="1"/>
      </c>
      <c r="AT543" s="7">
        <f ca="1"/>
      </c>
      <c r="AU543">
        <f ca="1"/>
      </c>
      <c r="AV543">
        <f ca="1"/>
      </c>
      <c r="AW543">
        <f ca="1"/>
      </c>
      <c r="AX543">
        <f ca="1"/>
      </c>
      <c r="AY543">
        <f ca="1"/>
      </c>
      <c r="BA543" s="7"/>
    </row>
    <row r="544" spans="31:53" x14ac:dyDescent="0.55000000000000004">
      <c r="AE544" s="7">
        <f ca="1"/>
      </c>
      <c r="AF544">
        <f ca="1"/>
      </c>
      <c r="AG544">
        <f ca="1"/>
      </c>
      <c r="AH544">
        <f ca="1"/>
      </c>
      <c r="AI544">
        <f ca="1"/>
      </c>
      <c r="AJ544">
        <f ca="1"/>
      </c>
      <c r="AK544">
        <f ca="1"/>
      </c>
      <c r="AL544">
        <f ca="1"/>
      </c>
      <c r="AM544">
        <f ca="1"/>
      </c>
      <c r="AN544">
        <f ca="1"/>
      </c>
      <c r="AO544">
        <f ca="1"/>
      </c>
      <c r="AP544">
        <f ca="1"/>
      </c>
      <c r="AQ544">
        <f ca="1"/>
      </c>
      <c r="AR544">
        <f ca="1"/>
      </c>
      <c r="AT544" s="7">
        <f ca="1"/>
      </c>
      <c r="AU544">
        <f ca="1"/>
      </c>
      <c r="AV544">
        <f ca="1"/>
      </c>
      <c r="AW544">
        <f ca="1"/>
      </c>
      <c r="AX544">
        <f ca="1"/>
      </c>
      <c r="AY544">
        <f ca="1"/>
      </c>
      <c r="BA544" s="7"/>
    </row>
    <row r="545" spans="31:53" x14ac:dyDescent="0.55000000000000004">
      <c r="AE545" s="7">
        <f ca="1"/>
      </c>
      <c r="AF545">
        <f ca="1"/>
      </c>
      <c r="AG545">
        <f ca="1"/>
      </c>
      <c r="AH545">
        <f ca="1"/>
      </c>
      <c r="AI545">
        <f ca="1"/>
      </c>
      <c r="AJ545">
        <f ca="1"/>
      </c>
      <c r="AK545">
        <f ca="1"/>
      </c>
      <c r="AL545">
        <f ca="1"/>
      </c>
      <c r="AM545">
        <f ca="1"/>
      </c>
      <c r="AN545">
        <f ca="1"/>
      </c>
      <c r="AO545">
        <f ca="1"/>
      </c>
      <c r="AP545">
        <f ca="1"/>
      </c>
      <c r="AQ545">
        <f ca="1"/>
      </c>
      <c r="AR545">
        <f ca="1"/>
      </c>
      <c r="AT545" s="7">
        <f ca="1"/>
      </c>
      <c r="AU545">
        <f ca="1"/>
      </c>
      <c r="AV545">
        <f ca="1"/>
      </c>
      <c r="AW545">
        <f ca="1"/>
      </c>
      <c r="AX545">
        <f ca="1"/>
      </c>
      <c r="AY545">
        <f ca="1"/>
      </c>
      <c r="BA545" s="7"/>
    </row>
    <row r="546" spans="31:53" x14ac:dyDescent="0.55000000000000004">
      <c r="AE546" s="7">
        <f ca="1"/>
      </c>
      <c r="AF546">
        <f ca="1"/>
      </c>
      <c r="AG546">
        <f ca="1"/>
      </c>
      <c r="AH546">
        <f ca="1"/>
      </c>
      <c r="AI546">
        <f ca="1"/>
      </c>
      <c r="AJ546">
        <f ca="1"/>
      </c>
      <c r="AK546">
        <f ca="1"/>
      </c>
      <c r="AL546">
        <f ca="1"/>
      </c>
      <c r="AM546">
        <f ca="1"/>
      </c>
      <c r="AN546">
        <f ca="1"/>
      </c>
      <c r="AO546">
        <f ca="1"/>
      </c>
      <c r="AP546">
        <f ca="1"/>
      </c>
      <c r="AQ546">
        <f ca="1"/>
      </c>
      <c r="AR546">
        <f ca="1"/>
      </c>
      <c r="AT546" s="7">
        <f ca="1"/>
      </c>
      <c r="AU546">
        <f ca="1"/>
      </c>
      <c r="AV546">
        <f ca="1"/>
      </c>
      <c r="AW546">
        <f ca="1"/>
      </c>
      <c r="AX546">
        <f ca="1"/>
      </c>
      <c r="AY546">
        <f ca="1"/>
      </c>
      <c r="BA546" s="7"/>
    </row>
    <row r="547" spans="31:53" x14ac:dyDescent="0.55000000000000004">
      <c r="AE547" s="7">
        <f ca="1"/>
      </c>
      <c r="AF547">
        <f ca="1"/>
      </c>
      <c r="AG547">
        <f ca="1"/>
      </c>
      <c r="AH547">
        <f ca="1"/>
      </c>
      <c r="AI547">
        <f ca="1"/>
      </c>
      <c r="AJ547">
        <f ca="1"/>
      </c>
      <c r="AK547">
        <f ca="1"/>
      </c>
      <c r="AL547">
        <f ca="1"/>
      </c>
      <c r="AM547">
        <f ca="1"/>
      </c>
      <c r="AN547">
        <f ca="1"/>
      </c>
      <c r="AO547">
        <f ca="1"/>
      </c>
      <c r="AP547">
        <f ca="1"/>
      </c>
      <c r="AQ547">
        <f ca="1"/>
      </c>
      <c r="AR547">
        <f ca="1"/>
      </c>
      <c r="AT547" s="7">
        <f ca="1"/>
      </c>
      <c r="AU547">
        <f ca="1"/>
      </c>
      <c r="AV547">
        <f ca="1"/>
      </c>
      <c r="AW547">
        <f ca="1"/>
      </c>
      <c r="AX547">
        <f ca="1"/>
      </c>
      <c r="AY547">
        <f ca="1"/>
      </c>
      <c r="BA547" s="7"/>
    </row>
    <row r="548" spans="31:53" x14ac:dyDescent="0.55000000000000004">
      <c r="AE548" s="7">
        <f ca="1"/>
      </c>
      <c r="AF548">
        <f ca="1"/>
      </c>
      <c r="AG548">
        <f ca="1"/>
      </c>
      <c r="AH548">
        <f ca="1"/>
      </c>
      <c r="AI548">
        <f ca="1"/>
      </c>
      <c r="AJ548">
        <f ca="1"/>
      </c>
      <c r="AK548">
        <f ca="1"/>
      </c>
      <c r="AL548">
        <f ca="1"/>
      </c>
      <c r="AM548">
        <f ca="1"/>
      </c>
      <c r="AN548">
        <f ca="1"/>
      </c>
      <c r="AO548">
        <f ca="1"/>
      </c>
      <c r="AP548">
        <f ca="1"/>
      </c>
      <c r="AQ548">
        <f ca="1"/>
      </c>
      <c r="AR548">
        <f ca="1"/>
      </c>
      <c r="AT548" s="7">
        <f ca="1"/>
      </c>
      <c r="AU548">
        <f ca="1"/>
      </c>
      <c r="AV548">
        <f ca="1"/>
      </c>
      <c r="AW548">
        <f ca="1"/>
      </c>
      <c r="AX548">
        <f ca="1"/>
      </c>
      <c r="AY548">
        <f ca="1"/>
      </c>
      <c r="BA548" s="7"/>
    </row>
    <row r="549" spans="31:53" x14ac:dyDescent="0.55000000000000004">
      <c r="AE549" s="7">
        <f ca="1"/>
      </c>
      <c r="AF549">
        <f ca="1"/>
      </c>
      <c r="AG549">
        <f ca="1"/>
      </c>
      <c r="AH549">
        <f ca="1"/>
      </c>
      <c r="AI549">
        <f ca="1"/>
      </c>
      <c r="AJ549">
        <f ca="1"/>
      </c>
      <c r="AK549">
        <f ca="1"/>
      </c>
      <c r="AL549">
        <f ca="1"/>
      </c>
      <c r="AM549">
        <f ca="1"/>
      </c>
      <c r="AN549">
        <f ca="1"/>
      </c>
      <c r="AO549">
        <f ca="1"/>
      </c>
      <c r="AP549">
        <f ca="1"/>
      </c>
      <c r="AQ549">
        <f ca="1"/>
      </c>
      <c r="AR549">
        <f ca="1"/>
      </c>
      <c r="AT549" s="7">
        <f ca="1"/>
      </c>
      <c r="AU549">
        <f ca="1"/>
      </c>
      <c r="AV549">
        <f ca="1"/>
      </c>
      <c r="AW549">
        <f ca="1"/>
      </c>
      <c r="AX549">
        <f ca="1"/>
      </c>
      <c r="AY549">
        <f ca="1"/>
      </c>
      <c r="BA549" s="7"/>
    </row>
    <row r="550" spans="31:53" x14ac:dyDescent="0.55000000000000004">
      <c r="AE550" s="7">
        <f ca="1"/>
      </c>
      <c r="AF550">
        <f ca="1"/>
      </c>
      <c r="AG550">
        <f ca="1"/>
      </c>
      <c r="AH550">
        <f ca="1"/>
      </c>
      <c r="AI550">
        <f ca="1"/>
      </c>
      <c r="AJ550">
        <f ca="1"/>
      </c>
      <c r="AK550">
        <f ca="1"/>
      </c>
      <c r="AL550">
        <f ca="1"/>
      </c>
      <c r="AM550">
        <f ca="1"/>
      </c>
      <c r="AN550">
        <f ca="1"/>
      </c>
      <c r="AO550">
        <f ca="1"/>
      </c>
      <c r="AP550">
        <f ca="1"/>
      </c>
      <c r="AQ550">
        <f ca="1"/>
      </c>
      <c r="AR550">
        <f ca="1"/>
      </c>
      <c r="AT550" s="7">
        <f ca="1"/>
      </c>
      <c r="AU550">
        <f ca="1"/>
      </c>
      <c r="AV550">
        <f ca="1"/>
      </c>
      <c r="AW550">
        <f ca="1"/>
      </c>
      <c r="AX550">
        <f ca="1"/>
      </c>
      <c r="AY550">
        <f ca="1"/>
      </c>
      <c r="BA550" s="7"/>
    </row>
    <row r="551" spans="31:53" x14ac:dyDescent="0.55000000000000004">
      <c r="AE551" s="7">
        <f ca="1"/>
      </c>
      <c r="AF551">
        <f ca="1"/>
      </c>
      <c r="AG551">
        <f ca="1"/>
      </c>
      <c r="AH551">
        <f ca="1"/>
      </c>
      <c r="AI551">
        <f ca="1"/>
      </c>
      <c r="AJ551">
        <f ca="1"/>
      </c>
      <c r="AK551">
        <f ca="1"/>
      </c>
      <c r="AL551">
        <f ca="1"/>
      </c>
      <c r="AM551">
        <f ca="1"/>
      </c>
      <c r="AN551">
        <f ca="1"/>
      </c>
      <c r="AO551">
        <f ca="1"/>
      </c>
      <c r="AP551">
        <f ca="1"/>
      </c>
      <c r="AQ551">
        <f ca="1"/>
      </c>
      <c r="AR551">
        <f ca="1"/>
      </c>
      <c r="AT551" s="7">
        <f ca="1"/>
      </c>
      <c r="AU551">
        <f ca="1"/>
      </c>
      <c r="AV551">
        <f ca="1"/>
      </c>
      <c r="AW551">
        <f ca="1"/>
      </c>
      <c r="AX551">
        <f ca="1"/>
      </c>
      <c r="AY551">
        <f ca="1"/>
      </c>
      <c r="BA551" s="7"/>
    </row>
    <row r="552" spans="31:53" x14ac:dyDescent="0.55000000000000004">
      <c r="AE552" s="7">
        <f ca="1"/>
      </c>
      <c r="AF552">
        <f ca="1"/>
      </c>
      <c r="AG552">
        <f ca="1"/>
      </c>
      <c r="AH552">
        <f ca="1"/>
      </c>
      <c r="AI552">
        <f ca="1"/>
      </c>
      <c r="AJ552">
        <f ca="1"/>
      </c>
      <c r="AK552">
        <f ca="1"/>
      </c>
      <c r="AL552">
        <f ca="1"/>
      </c>
      <c r="AM552">
        <f ca="1"/>
      </c>
      <c r="AN552">
        <f ca="1"/>
      </c>
      <c r="AO552">
        <f ca="1"/>
      </c>
      <c r="AP552">
        <f ca="1"/>
      </c>
      <c r="AQ552">
        <f ca="1"/>
      </c>
      <c r="AR552">
        <f ca="1"/>
      </c>
      <c r="AT552" s="7">
        <f ca="1"/>
      </c>
      <c r="AU552">
        <f ca="1"/>
      </c>
      <c r="AV552">
        <f ca="1"/>
      </c>
      <c r="AW552">
        <f ca="1"/>
      </c>
      <c r="AX552">
        <f ca="1"/>
      </c>
      <c r="AY552">
        <f ca="1"/>
      </c>
      <c r="BA552" s="7"/>
    </row>
    <row r="553" spans="31:53" x14ac:dyDescent="0.55000000000000004">
      <c r="AE553" s="7">
        <f ca="1"/>
      </c>
      <c r="AF553">
        <f ca="1"/>
      </c>
      <c r="AG553">
        <f ca="1"/>
      </c>
      <c r="AH553">
        <f ca="1"/>
      </c>
      <c r="AI553">
        <f ca="1"/>
      </c>
      <c r="AJ553">
        <f ca="1"/>
      </c>
      <c r="AK553">
        <f ca="1"/>
      </c>
      <c r="AL553">
        <f ca="1"/>
      </c>
      <c r="AM553">
        <f ca="1"/>
      </c>
      <c r="AN553">
        <f ca="1"/>
      </c>
      <c r="AO553">
        <f ca="1"/>
      </c>
      <c r="AP553">
        <f ca="1"/>
      </c>
      <c r="AQ553">
        <f ca="1"/>
      </c>
      <c r="AR553">
        <f ca="1"/>
      </c>
      <c r="AT553" s="7">
        <f ca="1"/>
      </c>
      <c r="AU553">
        <f ca="1"/>
      </c>
      <c r="AV553">
        <f ca="1"/>
      </c>
      <c r="AW553">
        <f ca="1"/>
      </c>
      <c r="AX553">
        <f ca="1"/>
      </c>
      <c r="AY553">
        <f ca="1"/>
      </c>
      <c r="BA553" s="7"/>
    </row>
    <row r="554" spans="31:53" x14ac:dyDescent="0.55000000000000004">
      <c r="AE554" s="7">
        <f ca="1"/>
      </c>
      <c r="AF554">
        <f ca="1"/>
      </c>
      <c r="AG554">
        <f ca="1"/>
      </c>
      <c r="AH554">
        <f ca="1"/>
      </c>
      <c r="AI554">
        <f ca="1"/>
      </c>
      <c r="AJ554">
        <f ca="1"/>
      </c>
      <c r="AK554">
        <f ca="1"/>
      </c>
      <c r="AL554">
        <f ca="1"/>
      </c>
      <c r="AM554">
        <f ca="1"/>
      </c>
      <c r="AN554">
        <f ca="1"/>
      </c>
      <c r="AO554">
        <f ca="1"/>
      </c>
      <c r="AP554">
        <f ca="1"/>
      </c>
      <c r="AQ554">
        <f ca="1"/>
      </c>
      <c r="AR554">
        <f ca="1"/>
      </c>
      <c r="AT554" s="7">
        <f ca="1"/>
      </c>
      <c r="AU554">
        <f ca="1"/>
      </c>
      <c r="AV554">
        <f ca="1"/>
      </c>
      <c r="AW554">
        <f ca="1"/>
      </c>
      <c r="AX554">
        <f ca="1"/>
      </c>
      <c r="AY554">
        <f ca="1"/>
      </c>
      <c r="BA554" s="7"/>
    </row>
    <row r="555" spans="31:53" x14ac:dyDescent="0.55000000000000004">
      <c r="AE555" s="7">
        <f ca="1"/>
      </c>
      <c r="AF555">
        <f ca="1"/>
      </c>
      <c r="AG555">
        <f ca="1"/>
      </c>
      <c r="AH555">
        <f ca="1"/>
      </c>
      <c r="AI555">
        <f ca="1"/>
      </c>
      <c r="AJ555">
        <f ca="1"/>
      </c>
      <c r="AK555">
        <f ca="1"/>
      </c>
      <c r="AL555">
        <f ca="1"/>
      </c>
      <c r="AM555">
        <f ca="1"/>
      </c>
      <c r="AN555">
        <f ca="1"/>
      </c>
      <c r="AO555">
        <f ca="1"/>
      </c>
      <c r="AP555">
        <f ca="1"/>
      </c>
      <c r="AQ555">
        <f ca="1"/>
      </c>
      <c r="AR555">
        <f ca="1"/>
      </c>
      <c r="AT555" s="7">
        <f ca="1"/>
      </c>
      <c r="AU555">
        <f ca="1"/>
      </c>
      <c r="AV555">
        <f ca="1"/>
      </c>
      <c r="AW555">
        <f ca="1"/>
      </c>
      <c r="AX555">
        <f ca="1"/>
      </c>
      <c r="AY555">
        <f ca="1"/>
      </c>
      <c r="BA555" s="7"/>
    </row>
    <row r="556" spans="31:53" x14ac:dyDescent="0.55000000000000004">
      <c r="AE556" s="7">
        <f ca="1"/>
      </c>
      <c r="AF556">
        <f ca="1"/>
      </c>
      <c r="AG556">
        <f ca="1"/>
      </c>
      <c r="AH556">
        <f ca="1"/>
      </c>
      <c r="AI556">
        <f ca="1"/>
      </c>
      <c r="AJ556">
        <f ca="1"/>
      </c>
      <c r="AK556">
        <f ca="1"/>
      </c>
      <c r="AL556">
        <f ca="1"/>
      </c>
      <c r="AM556">
        <f ca="1"/>
      </c>
      <c r="AN556">
        <f ca="1"/>
      </c>
      <c r="AO556">
        <f ca="1"/>
      </c>
      <c r="AP556">
        <f ca="1"/>
      </c>
      <c r="AQ556">
        <f ca="1"/>
      </c>
      <c r="AR556">
        <f ca="1"/>
      </c>
      <c r="AT556" s="7">
        <f ca="1"/>
      </c>
      <c r="AU556">
        <f ca="1"/>
      </c>
      <c r="AV556">
        <f ca="1"/>
      </c>
      <c r="AW556">
        <f ca="1"/>
      </c>
      <c r="AX556">
        <f ca="1"/>
      </c>
      <c r="AY556">
        <f ca="1"/>
      </c>
      <c r="BA556" s="7"/>
    </row>
    <row r="557" spans="31:53" x14ac:dyDescent="0.55000000000000004">
      <c r="AE557" s="7">
        <f ca="1"/>
      </c>
      <c r="AF557">
        <f ca="1"/>
      </c>
      <c r="AG557">
        <f ca="1"/>
      </c>
      <c r="AH557">
        <f ca="1"/>
      </c>
      <c r="AI557">
        <f ca="1"/>
      </c>
      <c r="AJ557">
        <f ca="1"/>
      </c>
      <c r="AK557">
        <f ca="1"/>
      </c>
      <c r="AL557">
        <f ca="1"/>
      </c>
      <c r="AM557">
        <f ca="1"/>
      </c>
      <c r="AN557">
        <f ca="1"/>
      </c>
      <c r="AO557">
        <f ca="1"/>
      </c>
      <c r="AP557">
        <f ca="1"/>
      </c>
      <c r="AQ557">
        <f ca="1"/>
      </c>
      <c r="AR557">
        <f ca="1"/>
      </c>
      <c r="AT557" s="7">
        <f ca="1"/>
      </c>
      <c r="AU557">
        <f ca="1"/>
      </c>
      <c r="AV557">
        <f ca="1"/>
      </c>
      <c r="AW557">
        <f ca="1"/>
      </c>
      <c r="AX557">
        <f ca="1"/>
      </c>
      <c r="AY557">
        <f ca="1"/>
      </c>
      <c r="BA557" s="7"/>
    </row>
    <row r="558" spans="31:53" x14ac:dyDescent="0.55000000000000004">
      <c r="AE558" s="7">
        <f ca="1"/>
      </c>
      <c r="AF558">
        <f ca="1"/>
      </c>
      <c r="AG558">
        <f ca="1"/>
      </c>
      <c r="AH558">
        <f ca="1"/>
      </c>
      <c r="AI558">
        <f ca="1"/>
      </c>
      <c r="AJ558">
        <f ca="1"/>
      </c>
      <c r="AK558">
        <f ca="1"/>
      </c>
      <c r="AL558">
        <f ca="1"/>
      </c>
      <c r="AM558">
        <f ca="1"/>
      </c>
      <c r="AN558">
        <f ca="1"/>
      </c>
      <c r="AO558">
        <f ca="1"/>
      </c>
      <c r="AP558">
        <f ca="1"/>
      </c>
      <c r="AQ558">
        <f ca="1"/>
      </c>
      <c r="AR558">
        <f ca="1"/>
      </c>
      <c r="AT558" s="7">
        <f ca="1"/>
      </c>
      <c r="AU558">
        <f ca="1"/>
      </c>
      <c r="AV558">
        <f ca="1"/>
      </c>
      <c r="AW558">
        <f ca="1"/>
      </c>
      <c r="AX558">
        <f ca="1"/>
      </c>
      <c r="AY558">
        <f ca="1"/>
      </c>
      <c r="BA558" s="7"/>
    </row>
    <row r="559" spans="31:53" x14ac:dyDescent="0.55000000000000004">
      <c r="AE559" s="7">
        <f ca="1"/>
      </c>
      <c r="AF559">
        <f ca="1"/>
      </c>
      <c r="AG559">
        <f ca="1"/>
      </c>
      <c r="AH559">
        <f ca="1"/>
      </c>
      <c r="AI559">
        <f ca="1"/>
      </c>
      <c r="AJ559">
        <f ca="1"/>
      </c>
      <c r="AK559">
        <f ca="1"/>
      </c>
      <c r="AL559">
        <f ca="1"/>
      </c>
      <c r="AM559">
        <f ca="1"/>
      </c>
      <c r="AN559">
        <f ca="1"/>
      </c>
      <c r="AO559">
        <f ca="1"/>
      </c>
      <c r="AP559">
        <f ca="1"/>
      </c>
      <c r="AQ559">
        <f ca="1"/>
      </c>
      <c r="AR559">
        <f ca="1"/>
      </c>
      <c r="AT559" s="7">
        <f ca="1"/>
      </c>
      <c r="AU559">
        <f ca="1"/>
      </c>
      <c r="AV559">
        <f ca="1"/>
      </c>
      <c r="AW559">
        <f ca="1"/>
      </c>
      <c r="AX559">
        <f ca="1"/>
      </c>
      <c r="AY559">
        <f ca="1"/>
      </c>
      <c r="BA559" s="7"/>
    </row>
    <row r="560" spans="31:53" x14ac:dyDescent="0.55000000000000004">
      <c r="AE560" s="7">
        <f ca="1"/>
      </c>
      <c r="AF560">
        <f ca="1"/>
      </c>
      <c r="AG560">
        <f ca="1"/>
      </c>
      <c r="AH560">
        <f ca="1"/>
      </c>
      <c r="AI560">
        <f ca="1"/>
      </c>
      <c r="AJ560">
        <f ca="1"/>
      </c>
      <c r="AK560">
        <f ca="1"/>
      </c>
      <c r="AL560">
        <f ca="1"/>
      </c>
      <c r="AM560">
        <f ca="1"/>
      </c>
      <c r="AN560">
        <f ca="1"/>
      </c>
      <c r="AO560">
        <f ca="1"/>
      </c>
      <c r="AP560">
        <f ca="1"/>
      </c>
      <c r="AQ560">
        <f ca="1"/>
      </c>
      <c r="AR560">
        <f ca="1"/>
      </c>
      <c r="AT560" s="7">
        <f ca="1"/>
      </c>
      <c r="AU560">
        <f ca="1"/>
      </c>
      <c r="AV560">
        <f ca="1"/>
      </c>
      <c r="AW560">
        <f ca="1"/>
      </c>
      <c r="AX560">
        <f ca="1"/>
      </c>
      <c r="AY560">
        <f ca="1"/>
      </c>
      <c r="BA560" s="7"/>
    </row>
    <row r="561" spans="31:53" x14ac:dyDescent="0.55000000000000004">
      <c r="AE561" s="7">
        <f ca="1"/>
      </c>
      <c r="AF561">
        <f ca="1"/>
      </c>
      <c r="AG561">
        <f ca="1"/>
      </c>
      <c r="AH561">
        <f ca="1"/>
      </c>
      <c r="AI561">
        <f ca="1"/>
      </c>
      <c r="AJ561">
        <f ca="1"/>
      </c>
      <c r="AK561">
        <f ca="1"/>
      </c>
      <c r="AL561">
        <f ca="1"/>
      </c>
      <c r="AM561">
        <f ca="1"/>
      </c>
      <c r="AN561">
        <f ca="1"/>
      </c>
      <c r="AO561">
        <f ca="1"/>
      </c>
      <c r="AP561">
        <f ca="1"/>
      </c>
      <c r="AQ561">
        <f ca="1"/>
      </c>
      <c r="AR561">
        <f ca="1"/>
      </c>
      <c r="AT561" s="7">
        <f ca="1"/>
      </c>
      <c r="AU561">
        <f ca="1"/>
      </c>
      <c r="AV561">
        <f ca="1"/>
      </c>
      <c r="AW561">
        <f ca="1"/>
      </c>
      <c r="AX561">
        <f ca="1"/>
      </c>
      <c r="AY561">
        <f ca="1"/>
      </c>
      <c r="BA561" s="7"/>
    </row>
    <row r="562" spans="31:53" x14ac:dyDescent="0.55000000000000004">
      <c r="AE562" s="7">
        <f ca="1"/>
      </c>
      <c r="AF562">
        <f ca="1"/>
      </c>
      <c r="AG562">
        <f ca="1"/>
      </c>
      <c r="AH562">
        <f ca="1"/>
      </c>
      <c r="AI562">
        <f ca="1"/>
      </c>
      <c r="AJ562">
        <f ca="1"/>
      </c>
      <c r="AK562">
        <f ca="1"/>
      </c>
      <c r="AL562">
        <f ca="1"/>
      </c>
      <c r="AM562">
        <f ca="1"/>
      </c>
      <c r="AN562">
        <f ca="1"/>
      </c>
      <c r="AO562">
        <f ca="1"/>
      </c>
      <c r="AP562">
        <f ca="1"/>
      </c>
      <c r="AQ562">
        <f ca="1"/>
      </c>
      <c r="AR562">
        <f ca="1"/>
      </c>
      <c r="AT562" s="7">
        <f ca="1"/>
      </c>
      <c r="AU562">
        <f ca="1"/>
      </c>
      <c r="AV562">
        <f ca="1"/>
      </c>
      <c r="AW562">
        <f ca="1"/>
      </c>
      <c r="AX562">
        <f ca="1"/>
      </c>
      <c r="AY562">
        <f ca="1"/>
      </c>
      <c r="BA562" s="7"/>
    </row>
    <row r="563" spans="31:53" x14ac:dyDescent="0.55000000000000004">
      <c r="AE563" s="7">
        <f ca="1"/>
      </c>
      <c r="AF563">
        <f ca="1"/>
      </c>
      <c r="AG563">
        <f ca="1"/>
      </c>
      <c r="AH563">
        <f ca="1"/>
      </c>
      <c r="AI563">
        <f ca="1"/>
      </c>
      <c r="AJ563">
        <f ca="1"/>
      </c>
      <c r="AK563">
        <f ca="1"/>
      </c>
      <c r="AL563">
        <f ca="1"/>
      </c>
      <c r="AM563">
        <f ca="1"/>
      </c>
      <c r="AN563">
        <f ca="1"/>
      </c>
      <c r="AO563">
        <f ca="1"/>
      </c>
      <c r="AP563">
        <f ca="1"/>
      </c>
      <c r="AQ563">
        <f ca="1"/>
      </c>
      <c r="AR563">
        <f ca="1"/>
      </c>
      <c r="AT563" s="7">
        <f ca="1"/>
      </c>
      <c r="AU563">
        <f ca="1"/>
      </c>
      <c r="AV563">
        <f ca="1"/>
      </c>
      <c r="AW563">
        <f ca="1"/>
      </c>
      <c r="AX563">
        <f ca="1"/>
      </c>
      <c r="AY563">
        <f ca="1"/>
      </c>
      <c r="BA563" s="7"/>
    </row>
    <row r="564" spans="31:53" x14ac:dyDescent="0.55000000000000004">
      <c r="AE564" s="7">
        <f ca="1"/>
      </c>
      <c r="AF564">
        <f ca="1"/>
      </c>
      <c r="AG564">
        <f ca="1"/>
      </c>
      <c r="AH564">
        <f ca="1"/>
      </c>
      <c r="AI564">
        <f ca="1"/>
      </c>
      <c r="AJ564">
        <f ca="1"/>
      </c>
      <c r="AK564">
        <f ca="1"/>
      </c>
      <c r="AL564">
        <f ca="1"/>
      </c>
      <c r="AM564">
        <f ca="1"/>
      </c>
      <c r="AN564">
        <f ca="1"/>
      </c>
      <c r="AO564">
        <f ca="1"/>
      </c>
      <c r="AP564">
        <f ca="1"/>
      </c>
      <c r="AQ564">
        <f ca="1"/>
      </c>
      <c r="AR564">
        <f ca="1"/>
      </c>
      <c r="AT564" s="7">
        <f ca="1"/>
      </c>
      <c r="AU564">
        <f ca="1"/>
      </c>
      <c r="AV564">
        <f ca="1"/>
      </c>
      <c r="AW564">
        <f ca="1"/>
      </c>
      <c r="AX564">
        <f ca="1"/>
      </c>
      <c r="AY564">
        <f ca="1"/>
      </c>
      <c r="BA564" s="7"/>
    </row>
    <row r="565" spans="31:53" x14ac:dyDescent="0.55000000000000004">
      <c r="AE565" s="7">
        <f ca="1"/>
      </c>
      <c r="AF565">
        <f ca="1"/>
      </c>
      <c r="AG565">
        <f ca="1"/>
      </c>
      <c r="AH565">
        <f ca="1"/>
      </c>
      <c r="AI565">
        <f ca="1"/>
      </c>
      <c r="AJ565">
        <f ca="1"/>
      </c>
      <c r="AK565">
        <f ca="1"/>
      </c>
      <c r="AL565">
        <f ca="1"/>
      </c>
      <c r="AM565">
        <f ca="1"/>
      </c>
      <c r="AN565">
        <f ca="1"/>
      </c>
      <c r="AO565">
        <f ca="1"/>
      </c>
      <c r="AP565">
        <f ca="1"/>
      </c>
      <c r="AQ565">
        <f ca="1"/>
      </c>
      <c r="AR565">
        <f ca="1"/>
      </c>
      <c r="AT565" s="7">
        <f ca="1"/>
      </c>
      <c r="AU565">
        <f ca="1"/>
      </c>
      <c r="AV565">
        <f ca="1"/>
      </c>
      <c r="AW565">
        <f ca="1"/>
      </c>
      <c r="AX565">
        <f ca="1"/>
      </c>
      <c r="AY565">
        <f ca="1"/>
      </c>
      <c r="BA565" s="7"/>
    </row>
    <row r="566" spans="31:53" x14ac:dyDescent="0.55000000000000004">
      <c r="AE566" s="7">
        <f ca="1"/>
      </c>
      <c r="AF566">
        <f ca="1"/>
      </c>
      <c r="AG566">
        <f ca="1"/>
      </c>
      <c r="AH566">
        <f ca="1"/>
      </c>
      <c r="AI566">
        <f ca="1"/>
      </c>
      <c r="AJ566">
        <f ca="1"/>
      </c>
      <c r="AK566">
        <f ca="1"/>
      </c>
      <c r="AL566">
        <f ca="1"/>
      </c>
      <c r="AM566">
        <f ca="1"/>
      </c>
      <c r="AN566">
        <f ca="1"/>
      </c>
      <c r="AO566">
        <f ca="1"/>
      </c>
      <c r="AP566">
        <f ca="1"/>
      </c>
      <c r="AQ566">
        <f ca="1"/>
      </c>
      <c r="AR566">
        <f ca="1"/>
      </c>
      <c r="AT566" s="7">
        <f ca="1"/>
      </c>
      <c r="AU566">
        <f ca="1"/>
      </c>
      <c r="AV566">
        <f ca="1"/>
      </c>
      <c r="AW566">
        <f ca="1"/>
      </c>
      <c r="AX566">
        <f ca="1"/>
      </c>
      <c r="AY566">
        <f ca="1"/>
      </c>
      <c r="BA566" s="7"/>
    </row>
    <row r="567" spans="31:53" x14ac:dyDescent="0.55000000000000004">
      <c r="AE567" s="7">
        <f ca="1"/>
      </c>
      <c r="AF567">
        <f ca="1"/>
      </c>
      <c r="AG567">
        <f ca="1"/>
      </c>
      <c r="AH567">
        <f ca="1"/>
      </c>
      <c r="AI567">
        <f ca="1"/>
      </c>
      <c r="AJ567">
        <f ca="1"/>
      </c>
      <c r="AK567">
        <f ca="1"/>
      </c>
      <c r="AL567">
        <f ca="1"/>
      </c>
      <c r="AM567">
        <f ca="1"/>
      </c>
      <c r="AN567">
        <f ca="1"/>
      </c>
      <c r="AO567">
        <f ca="1"/>
      </c>
      <c r="AP567">
        <f ca="1"/>
      </c>
      <c r="AQ567">
        <f ca="1"/>
      </c>
      <c r="AR567">
        <f ca="1"/>
      </c>
      <c r="AT567" s="7">
        <f ca="1"/>
      </c>
      <c r="AU567">
        <f ca="1"/>
      </c>
      <c r="AV567">
        <f ca="1"/>
      </c>
      <c r="AW567">
        <f ca="1"/>
      </c>
      <c r="AX567">
        <f ca="1"/>
      </c>
      <c r="AY567">
        <f ca="1"/>
      </c>
      <c r="BA567" s="7"/>
    </row>
    <row r="568" spans="31:53" x14ac:dyDescent="0.55000000000000004">
      <c r="AE568" s="7">
        <f ca="1"/>
      </c>
      <c r="AF568">
        <f ca="1"/>
      </c>
      <c r="AG568">
        <f ca="1"/>
      </c>
      <c r="AH568">
        <f ca="1"/>
      </c>
      <c r="AI568">
        <f ca="1"/>
      </c>
      <c r="AJ568">
        <f ca="1"/>
      </c>
      <c r="AK568">
        <f ca="1"/>
      </c>
      <c r="AL568">
        <f ca="1"/>
      </c>
      <c r="AM568">
        <f ca="1"/>
      </c>
      <c r="AN568">
        <f ca="1"/>
      </c>
      <c r="AO568">
        <f ca="1"/>
      </c>
      <c r="AP568">
        <f ca="1"/>
      </c>
      <c r="AQ568">
        <f ca="1"/>
      </c>
      <c r="AR568">
        <f ca="1"/>
      </c>
      <c r="AT568" s="7">
        <f ca="1"/>
      </c>
      <c r="AU568">
        <f ca="1"/>
      </c>
      <c r="AV568">
        <f ca="1"/>
      </c>
      <c r="AW568">
        <f ca="1"/>
      </c>
      <c r="AX568">
        <f ca="1"/>
      </c>
      <c r="AY568">
        <f ca="1"/>
      </c>
      <c r="BA568" s="7"/>
    </row>
    <row r="569" spans="31:53" x14ac:dyDescent="0.55000000000000004">
      <c r="AE569" s="7">
        <f ca="1"/>
      </c>
      <c r="AF569">
        <f ca="1"/>
      </c>
      <c r="AG569">
        <f ca="1"/>
      </c>
      <c r="AH569">
        <f ca="1"/>
      </c>
      <c r="AI569">
        <f ca="1"/>
      </c>
      <c r="AJ569">
        <f ca="1"/>
      </c>
      <c r="AK569">
        <f ca="1"/>
      </c>
      <c r="AL569">
        <f ca="1"/>
      </c>
      <c r="AM569">
        <f ca="1"/>
      </c>
      <c r="AN569">
        <f ca="1"/>
      </c>
      <c r="AO569">
        <f ca="1"/>
      </c>
      <c r="AP569">
        <f ca="1"/>
      </c>
      <c r="AQ569">
        <f ca="1"/>
      </c>
      <c r="AR569">
        <f ca="1"/>
      </c>
      <c r="AT569" s="7">
        <f ca="1"/>
      </c>
      <c r="AU569">
        <f ca="1"/>
      </c>
      <c r="AV569">
        <f ca="1"/>
      </c>
      <c r="AW569">
        <f ca="1"/>
      </c>
      <c r="AX569">
        <f ca="1"/>
      </c>
      <c r="AY569">
        <f ca="1"/>
      </c>
      <c r="BA569" s="7"/>
    </row>
    <row r="570" spans="31:53" x14ac:dyDescent="0.55000000000000004">
      <c r="AE570" s="7">
        <f ca="1"/>
      </c>
      <c r="AF570">
        <f ca="1"/>
      </c>
      <c r="AG570">
        <f ca="1"/>
      </c>
      <c r="AH570">
        <f ca="1"/>
      </c>
      <c r="AI570">
        <f ca="1"/>
      </c>
      <c r="AJ570">
        <f ca="1"/>
      </c>
      <c r="AK570">
        <f ca="1"/>
      </c>
      <c r="AL570">
        <f ca="1"/>
      </c>
      <c r="AM570">
        <f ca="1"/>
      </c>
      <c r="AN570">
        <f ca="1"/>
      </c>
      <c r="AO570">
        <f ca="1"/>
      </c>
      <c r="AP570">
        <f ca="1"/>
      </c>
      <c r="AQ570">
        <f ca="1"/>
      </c>
      <c r="AR570">
        <f ca="1"/>
      </c>
      <c r="AT570" s="7">
        <f ca="1"/>
      </c>
      <c r="AU570">
        <f ca="1"/>
      </c>
      <c r="AV570">
        <f ca="1"/>
      </c>
      <c r="AW570">
        <f ca="1"/>
      </c>
      <c r="AX570">
        <f ca="1"/>
      </c>
      <c r="AY570">
        <f ca="1"/>
      </c>
      <c r="BA570" s="7"/>
    </row>
    <row r="571" spans="31:53" x14ac:dyDescent="0.55000000000000004">
      <c r="AE571" s="7">
        <f ca="1"/>
      </c>
      <c r="AF571">
        <f ca="1"/>
      </c>
      <c r="AG571">
        <f ca="1"/>
      </c>
      <c r="AH571">
        <f ca="1"/>
      </c>
      <c r="AI571">
        <f ca="1"/>
      </c>
      <c r="AJ571">
        <f ca="1"/>
      </c>
      <c r="AK571">
        <f ca="1"/>
      </c>
      <c r="AL571">
        <f ca="1"/>
      </c>
      <c r="AM571">
        <f ca="1"/>
      </c>
      <c r="AN571">
        <f ca="1"/>
      </c>
      <c r="AO571">
        <f ca="1"/>
      </c>
      <c r="AP571">
        <f ca="1"/>
      </c>
      <c r="AQ571">
        <f ca="1"/>
      </c>
      <c r="AR571">
        <f ca="1"/>
      </c>
      <c r="AT571" s="7">
        <f ca="1"/>
      </c>
      <c r="AU571">
        <f ca="1"/>
      </c>
      <c r="AV571">
        <f ca="1"/>
      </c>
      <c r="AW571">
        <f ca="1"/>
      </c>
      <c r="AX571">
        <f ca="1"/>
      </c>
      <c r="AY571">
        <f ca="1"/>
      </c>
      <c r="BA571" s="7"/>
    </row>
    <row r="572" spans="31:53" x14ac:dyDescent="0.55000000000000004">
      <c r="AE572" s="7">
        <f ca="1"/>
      </c>
      <c r="AF572">
        <f ca="1"/>
      </c>
      <c r="AG572">
        <f ca="1"/>
      </c>
      <c r="AH572">
        <f ca="1"/>
      </c>
      <c r="AI572">
        <f ca="1"/>
      </c>
      <c r="AJ572">
        <f ca="1"/>
      </c>
      <c r="AK572">
        <f ca="1"/>
      </c>
      <c r="AL572">
        <f ca="1"/>
      </c>
      <c r="AM572">
        <f ca="1"/>
      </c>
      <c r="AN572">
        <f ca="1"/>
      </c>
      <c r="AO572">
        <f ca="1"/>
      </c>
      <c r="AP572">
        <f ca="1"/>
      </c>
      <c r="AQ572">
        <f ca="1"/>
      </c>
      <c r="AR572">
        <f ca="1"/>
      </c>
      <c r="AT572" s="7">
        <f ca="1"/>
      </c>
      <c r="AU572">
        <f ca="1"/>
      </c>
      <c r="AV572">
        <f ca="1"/>
      </c>
      <c r="AW572">
        <f ca="1"/>
      </c>
      <c r="AX572">
        <f ca="1"/>
      </c>
      <c r="AY572">
        <f ca="1"/>
      </c>
      <c r="BA572" s="7"/>
    </row>
    <row r="573" spans="31:53" x14ac:dyDescent="0.55000000000000004">
      <c r="AE573" s="7">
        <f ca="1"/>
      </c>
      <c r="AF573">
        <f ca="1"/>
      </c>
      <c r="AG573">
        <f ca="1"/>
      </c>
      <c r="AH573">
        <f ca="1"/>
      </c>
      <c r="AI573">
        <f ca="1"/>
      </c>
      <c r="AJ573">
        <f ca="1"/>
      </c>
      <c r="AK573">
        <f ca="1"/>
      </c>
      <c r="AL573">
        <f ca="1"/>
      </c>
      <c r="AM573">
        <f ca="1"/>
      </c>
      <c r="AN573">
        <f ca="1"/>
      </c>
      <c r="AO573">
        <f ca="1"/>
      </c>
      <c r="AP573">
        <f ca="1"/>
      </c>
      <c r="AQ573">
        <f ca="1"/>
      </c>
      <c r="AR573">
        <f ca="1"/>
      </c>
      <c r="AT573" s="7">
        <f ca="1"/>
      </c>
      <c r="AU573">
        <f ca="1"/>
      </c>
      <c r="AV573">
        <f ca="1"/>
      </c>
      <c r="AW573">
        <f ca="1"/>
      </c>
      <c r="AX573">
        <f ca="1"/>
      </c>
      <c r="AY573">
        <f ca="1"/>
      </c>
      <c r="BA573" s="7"/>
    </row>
    <row r="574" spans="31:53" x14ac:dyDescent="0.55000000000000004">
      <c r="AE574" s="7">
        <f ca="1"/>
      </c>
      <c r="AF574">
        <f ca="1"/>
      </c>
      <c r="AG574">
        <f ca="1"/>
      </c>
      <c r="AH574">
        <f ca="1"/>
      </c>
      <c r="AI574">
        <f ca="1"/>
      </c>
      <c r="AJ574">
        <f ca="1"/>
      </c>
      <c r="AK574">
        <f ca="1"/>
      </c>
      <c r="AL574">
        <f ca="1"/>
      </c>
      <c r="AM574">
        <f ca="1"/>
      </c>
      <c r="AN574">
        <f ca="1"/>
      </c>
      <c r="AO574">
        <f ca="1"/>
      </c>
      <c r="AP574">
        <f ca="1"/>
      </c>
      <c r="AQ574">
        <f ca="1"/>
      </c>
      <c r="AR574">
        <f ca="1"/>
      </c>
      <c r="AT574" s="7">
        <f ca="1"/>
      </c>
      <c r="AU574">
        <f ca="1"/>
      </c>
      <c r="AV574">
        <f ca="1"/>
      </c>
      <c r="AW574">
        <f ca="1"/>
      </c>
      <c r="AX574">
        <f ca="1"/>
      </c>
      <c r="AY574">
        <f ca="1"/>
      </c>
      <c r="BA574" s="7"/>
    </row>
    <row r="575" spans="31:53" x14ac:dyDescent="0.55000000000000004">
      <c r="AE575" s="7">
        <f ca="1"/>
      </c>
      <c r="AF575">
        <f ca="1"/>
      </c>
      <c r="AG575">
        <f ca="1"/>
      </c>
      <c r="AH575">
        <f ca="1"/>
      </c>
      <c r="AI575">
        <f ca="1"/>
      </c>
      <c r="AJ575">
        <f ca="1"/>
      </c>
      <c r="AK575">
        <f ca="1"/>
      </c>
      <c r="AL575">
        <f ca="1"/>
      </c>
      <c r="AM575">
        <f ca="1"/>
      </c>
      <c r="AN575">
        <f ca="1"/>
      </c>
      <c r="AO575">
        <f ca="1"/>
      </c>
      <c r="AP575">
        <f ca="1"/>
      </c>
      <c r="AQ575">
        <f ca="1"/>
      </c>
      <c r="AR575">
        <f ca="1"/>
      </c>
      <c r="AT575" s="7">
        <f ca="1"/>
      </c>
      <c r="AU575">
        <f ca="1"/>
      </c>
      <c r="AV575">
        <f ca="1"/>
      </c>
      <c r="AW575">
        <f ca="1"/>
      </c>
      <c r="AX575">
        <f ca="1"/>
      </c>
      <c r="AY575">
        <f ca="1"/>
      </c>
      <c r="BA575" s="7"/>
    </row>
    <row r="576" spans="31:53" x14ac:dyDescent="0.55000000000000004">
      <c r="AE576" s="7">
        <f ca="1"/>
      </c>
      <c r="AF576">
        <f ca="1"/>
      </c>
      <c r="AG576">
        <f ca="1"/>
      </c>
      <c r="AH576">
        <f ca="1"/>
      </c>
      <c r="AI576">
        <f ca="1"/>
      </c>
      <c r="AJ576">
        <f ca="1"/>
      </c>
      <c r="AK576">
        <f ca="1"/>
      </c>
      <c r="AL576">
        <f ca="1"/>
      </c>
      <c r="AM576">
        <f ca="1"/>
      </c>
      <c r="AN576">
        <f ca="1"/>
      </c>
      <c r="AO576">
        <f ca="1"/>
      </c>
      <c r="AP576">
        <f ca="1"/>
      </c>
      <c r="AQ576">
        <f ca="1"/>
      </c>
      <c r="AR576">
        <f ca="1"/>
      </c>
      <c r="AT576" s="7">
        <f ca="1"/>
      </c>
      <c r="AU576">
        <f ca="1"/>
      </c>
      <c r="AV576">
        <f ca="1"/>
      </c>
      <c r="AW576">
        <f ca="1"/>
      </c>
      <c r="AX576">
        <f ca="1"/>
      </c>
      <c r="AY576">
        <f ca="1"/>
      </c>
      <c r="BA576" s="7"/>
    </row>
    <row r="577" spans="31:53" x14ac:dyDescent="0.55000000000000004">
      <c r="AE577" s="7">
        <f ca="1"/>
      </c>
      <c r="AF577">
        <f ca="1"/>
      </c>
      <c r="AG577">
        <f ca="1"/>
      </c>
      <c r="AH577">
        <f ca="1"/>
      </c>
      <c r="AI577">
        <f ca="1"/>
      </c>
      <c r="AJ577">
        <f ca="1"/>
      </c>
      <c r="AK577">
        <f ca="1"/>
      </c>
      <c r="AL577">
        <f ca="1"/>
      </c>
      <c r="AM577">
        <f ca="1"/>
      </c>
      <c r="AN577">
        <f ca="1"/>
      </c>
      <c r="AO577">
        <f ca="1"/>
      </c>
      <c r="AP577">
        <f ca="1"/>
      </c>
      <c r="AQ577">
        <f ca="1"/>
      </c>
      <c r="AR577">
        <f ca="1"/>
      </c>
      <c r="AT577" s="7">
        <f ca="1"/>
      </c>
      <c r="AU577">
        <f ca="1"/>
      </c>
      <c r="AV577">
        <f ca="1"/>
      </c>
      <c r="AW577">
        <f ca="1"/>
      </c>
      <c r="AX577">
        <f ca="1"/>
      </c>
      <c r="AY577">
        <f ca="1"/>
      </c>
      <c r="BA577" s="7"/>
    </row>
    <row r="578" spans="31:53" x14ac:dyDescent="0.55000000000000004">
      <c r="AE578" s="7">
        <f ca="1"/>
      </c>
      <c r="AF578">
        <f ca="1"/>
      </c>
      <c r="AG578">
        <f ca="1"/>
      </c>
      <c r="AH578">
        <f ca="1"/>
      </c>
      <c r="AI578">
        <f ca="1"/>
      </c>
      <c r="AJ578">
        <f ca="1"/>
      </c>
      <c r="AK578">
        <f ca="1"/>
      </c>
      <c r="AL578">
        <f ca="1"/>
      </c>
      <c r="AM578">
        <f ca="1"/>
      </c>
      <c r="AN578">
        <f ca="1"/>
      </c>
      <c r="AO578">
        <f ca="1"/>
      </c>
      <c r="AP578">
        <f ca="1"/>
      </c>
      <c r="AQ578">
        <f ca="1"/>
      </c>
      <c r="AR578">
        <f ca="1"/>
      </c>
      <c r="AT578" s="7">
        <f ca="1"/>
      </c>
      <c r="AU578">
        <f ca="1"/>
      </c>
      <c r="AV578">
        <f ca="1"/>
      </c>
      <c r="AW578">
        <f ca="1"/>
      </c>
      <c r="AX578">
        <f ca="1"/>
      </c>
      <c r="AY578">
        <f ca="1"/>
      </c>
      <c r="BA578" s="7"/>
    </row>
    <row r="579" spans="31:53" x14ac:dyDescent="0.55000000000000004">
      <c r="AE579" s="7">
        <f ca="1"/>
      </c>
      <c r="AF579">
        <f ca="1"/>
      </c>
      <c r="AG579">
        <f ca="1"/>
      </c>
      <c r="AH579">
        <f ca="1"/>
      </c>
      <c r="AI579">
        <f ca="1"/>
      </c>
      <c r="AJ579">
        <f ca="1"/>
      </c>
      <c r="AK579">
        <f ca="1"/>
      </c>
      <c r="AL579">
        <f ca="1"/>
      </c>
      <c r="AM579">
        <f ca="1"/>
      </c>
      <c r="AN579">
        <f ca="1"/>
      </c>
      <c r="AO579">
        <f ca="1"/>
      </c>
      <c r="AP579">
        <f ca="1"/>
      </c>
      <c r="AQ579">
        <f ca="1"/>
      </c>
      <c r="AR579">
        <f ca="1"/>
      </c>
      <c r="AT579" s="7">
        <f ca="1"/>
      </c>
      <c r="AU579">
        <f ca="1"/>
      </c>
      <c r="AV579">
        <f ca="1"/>
      </c>
      <c r="AW579">
        <f ca="1"/>
      </c>
      <c r="AX579">
        <f ca="1"/>
      </c>
      <c r="AY579">
        <f ca="1"/>
      </c>
      <c r="BA579" s="7"/>
    </row>
    <row r="580" spans="31:53" x14ac:dyDescent="0.55000000000000004">
      <c r="AE580" s="7">
        <f ca="1"/>
      </c>
      <c r="AF580">
        <f ca="1"/>
      </c>
      <c r="AG580">
        <f ca="1"/>
      </c>
      <c r="AH580">
        <f ca="1"/>
      </c>
      <c r="AI580">
        <f ca="1"/>
      </c>
      <c r="AJ580">
        <f ca="1"/>
      </c>
      <c r="AK580">
        <f ca="1"/>
      </c>
      <c r="AL580">
        <f ca="1"/>
      </c>
      <c r="AM580">
        <f ca="1"/>
      </c>
      <c r="AN580">
        <f ca="1"/>
      </c>
      <c r="AO580">
        <f ca="1"/>
      </c>
      <c r="AP580">
        <f ca="1"/>
      </c>
      <c r="AQ580">
        <f ca="1"/>
      </c>
      <c r="AR580">
        <f ca="1"/>
      </c>
      <c r="AT580" s="7">
        <f ca="1"/>
      </c>
      <c r="AU580">
        <f ca="1"/>
      </c>
      <c r="AV580">
        <f ca="1"/>
      </c>
      <c r="AW580">
        <f ca="1"/>
      </c>
      <c r="AX580">
        <f ca="1"/>
      </c>
      <c r="AY580">
        <f ca="1"/>
      </c>
      <c r="BA580" s="7"/>
    </row>
    <row r="581" spans="31:53" x14ac:dyDescent="0.55000000000000004">
      <c r="AE581" s="7">
        <f ca="1"/>
      </c>
      <c r="AF581">
        <f ca="1"/>
      </c>
      <c r="AG581">
        <f ca="1"/>
      </c>
      <c r="AH581">
        <f ca="1"/>
      </c>
      <c r="AI581">
        <f ca="1"/>
      </c>
      <c r="AJ581">
        <f ca="1"/>
      </c>
      <c r="AK581">
        <f ca="1"/>
      </c>
      <c r="AL581">
        <f ca="1"/>
      </c>
      <c r="AM581">
        <f ca="1"/>
      </c>
      <c r="AN581">
        <f ca="1"/>
      </c>
      <c r="AO581">
        <f ca="1"/>
      </c>
      <c r="AP581">
        <f ca="1"/>
      </c>
      <c r="AQ581">
        <f ca="1"/>
      </c>
      <c r="AR581">
        <f ca="1"/>
      </c>
      <c r="AT581" s="7">
        <f ca="1"/>
      </c>
      <c r="AU581">
        <f ca="1"/>
      </c>
      <c r="AV581">
        <f ca="1"/>
      </c>
      <c r="AW581">
        <f ca="1"/>
      </c>
      <c r="AX581">
        <f ca="1"/>
      </c>
      <c r="AY581">
        <f ca="1"/>
      </c>
      <c r="BA581" s="7"/>
    </row>
    <row r="582" spans="31:53" x14ac:dyDescent="0.55000000000000004">
      <c r="AE582" s="7">
        <f ca="1"/>
      </c>
      <c r="AF582">
        <f ca="1"/>
      </c>
      <c r="AG582">
        <f ca="1"/>
      </c>
      <c r="AH582">
        <f ca="1"/>
      </c>
      <c r="AI582">
        <f ca="1"/>
      </c>
      <c r="AJ582">
        <f ca="1"/>
      </c>
      <c r="AK582">
        <f ca="1"/>
      </c>
      <c r="AL582">
        <f ca="1"/>
      </c>
      <c r="AM582">
        <f ca="1"/>
      </c>
      <c r="AN582">
        <f ca="1"/>
      </c>
      <c r="AO582">
        <f ca="1"/>
      </c>
      <c r="AP582">
        <f ca="1"/>
      </c>
      <c r="AQ582">
        <f ca="1"/>
      </c>
      <c r="AR582">
        <f ca="1"/>
      </c>
      <c r="AT582" s="7">
        <f ca="1"/>
      </c>
      <c r="AU582">
        <f ca="1"/>
      </c>
      <c r="AV582">
        <f ca="1"/>
      </c>
      <c r="AW582">
        <f ca="1"/>
      </c>
      <c r="AX582">
        <f ca="1"/>
      </c>
      <c r="AY582">
        <f ca="1"/>
      </c>
      <c r="BA582" s="7"/>
    </row>
    <row r="583" spans="31:53" x14ac:dyDescent="0.55000000000000004">
      <c r="AE583" s="7">
        <f ca="1"/>
      </c>
      <c r="AF583">
        <f ca="1"/>
      </c>
      <c r="AG583">
        <f ca="1"/>
      </c>
      <c r="AH583">
        <f ca="1"/>
      </c>
      <c r="AI583">
        <f ca="1"/>
      </c>
      <c r="AJ583">
        <f ca="1"/>
      </c>
      <c r="AK583">
        <f ca="1"/>
      </c>
      <c r="AL583">
        <f ca="1"/>
      </c>
      <c r="AM583">
        <f ca="1"/>
      </c>
      <c r="AN583">
        <f ca="1"/>
      </c>
      <c r="AO583">
        <f ca="1"/>
      </c>
      <c r="AP583">
        <f ca="1"/>
      </c>
      <c r="AQ583">
        <f ca="1"/>
      </c>
      <c r="AR583">
        <f ca="1"/>
      </c>
      <c r="AT583" s="7">
        <f ca="1"/>
      </c>
      <c r="AU583">
        <f ca="1"/>
      </c>
      <c r="AV583">
        <f ca="1"/>
      </c>
      <c r="AW583">
        <f ca="1"/>
      </c>
      <c r="AX583">
        <f ca="1"/>
      </c>
      <c r="AY583">
        <f ca="1"/>
      </c>
      <c r="BA583" s="7"/>
    </row>
    <row r="584" spans="31:53" x14ac:dyDescent="0.55000000000000004">
      <c r="AE584" s="7">
        <f ca="1"/>
      </c>
      <c r="AF584">
        <f ca="1"/>
      </c>
      <c r="AG584">
        <f ca="1"/>
      </c>
      <c r="AH584">
        <f ca="1"/>
      </c>
      <c r="AI584">
        <f ca="1"/>
      </c>
      <c r="AJ584">
        <f ca="1"/>
      </c>
      <c r="AK584">
        <f ca="1"/>
      </c>
      <c r="AL584">
        <f ca="1"/>
      </c>
      <c r="AM584">
        <f ca="1"/>
      </c>
      <c r="AN584">
        <f ca="1"/>
      </c>
      <c r="AO584">
        <f ca="1"/>
      </c>
      <c r="AP584">
        <f ca="1"/>
      </c>
      <c r="AQ584">
        <f ca="1"/>
      </c>
      <c r="AR584">
        <f ca="1"/>
      </c>
      <c r="AT584" s="7">
        <f ca="1"/>
      </c>
      <c r="AU584">
        <f ca="1"/>
      </c>
      <c r="AV584">
        <f ca="1"/>
      </c>
      <c r="AW584">
        <f ca="1"/>
      </c>
      <c r="AX584">
        <f ca="1"/>
      </c>
      <c r="AY584">
        <f ca="1"/>
      </c>
      <c r="BA584" s="7"/>
    </row>
    <row r="585" spans="31:53" x14ac:dyDescent="0.55000000000000004">
      <c r="AE585" s="7">
        <f ca="1"/>
      </c>
      <c r="AF585">
        <f ca="1"/>
      </c>
      <c r="AG585">
        <f ca="1"/>
      </c>
      <c r="AH585">
        <f ca="1"/>
      </c>
      <c r="AI585">
        <f ca="1"/>
      </c>
      <c r="AJ585">
        <f ca="1"/>
      </c>
      <c r="AK585">
        <f ca="1"/>
      </c>
      <c r="AL585">
        <f ca="1"/>
      </c>
      <c r="AM585">
        <f ca="1"/>
      </c>
      <c r="AN585">
        <f ca="1"/>
      </c>
      <c r="AO585">
        <f ca="1"/>
      </c>
      <c r="AP585">
        <f ca="1"/>
      </c>
      <c r="AQ585">
        <f ca="1"/>
      </c>
      <c r="AR585">
        <f ca="1"/>
      </c>
      <c r="AT585" s="7">
        <f ca="1"/>
      </c>
      <c r="AU585">
        <f ca="1"/>
      </c>
      <c r="AV585">
        <f ca="1"/>
      </c>
      <c r="AW585">
        <f ca="1"/>
      </c>
      <c r="AX585">
        <f ca="1"/>
      </c>
      <c r="AY585">
        <f ca="1"/>
      </c>
      <c r="BA585" s="7"/>
    </row>
    <row r="586" spans="31:53" x14ac:dyDescent="0.55000000000000004">
      <c r="AE586" s="7">
        <f ca="1"/>
      </c>
      <c r="AF586">
        <f ca="1"/>
      </c>
      <c r="AG586">
        <f ca="1"/>
      </c>
      <c r="AH586">
        <f ca="1"/>
      </c>
      <c r="AI586">
        <f ca="1"/>
      </c>
      <c r="AJ586">
        <f ca="1"/>
      </c>
      <c r="AK586">
        <f ca="1"/>
      </c>
      <c r="AL586">
        <f ca="1"/>
      </c>
      <c r="AM586">
        <f ca="1"/>
      </c>
      <c r="AN586">
        <f ca="1"/>
      </c>
      <c r="AO586">
        <f ca="1"/>
      </c>
      <c r="AP586">
        <f ca="1"/>
      </c>
      <c r="AQ586">
        <f ca="1"/>
      </c>
      <c r="AR586">
        <f ca="1"/>
      </c>
      <c r="AT586" s="7">
        <f ca="1"/>
      </c>
      <c r="AU586">
        <f ca="1"/>
      </c>
      <c r="AV586">
        <f ca="1"/>
      </c>
      <c r="AW586">
        <f ca="1"/>
      </c>
      <c r="AX586">
        <f ca="1"/>
      </c>
      <c r="AY586">
        <f ca="1"/>
      </c>
      <c r="BA586" s="7"/>
    </row>
    <row r="587" spans="31:53" x14ac:dyDescent="0.55000000000000004">
      <c r="AE587" s="7">
        <f ca="1"/>
      </c>
      <c r="AF587">
        <f ca="1"/>
      </c>
      <c r="AG587">
        <f ca="1"/>
      </c>
      <c r="AH587">
        <f ca="1"/>
      </c>
      <c r="AI587">
        <f ca="1"/>
      </c>
      <c r="AJ587">
        <f ca="1"/>
      </c>
      <c r="AK587">
        <f ca="1"/>
      </c>
      <c r="AL587">
        <f ca="1"/>
      </c>
      <c r="AM587">
        <f ca="1"/>
      </c>
      <c r="AN587">
        <f ca="1"/>
      </c>
      <c r="AO587">
        <f ca="1"/>
      </c>
      <c r="AP587">
        <f ca="1"/>
      </c>
      <c r="AQ587">
        <f ca="1"/>
      </c>
      <c r="AR587">
        <f ca="1"/>
      </c>
      <c r="AT587" s="7">
        <f ca="1"/>
      </c>
      <c r="AU587">
        <f ca="1"/>
      </c>
      <c r="AV587">
        <f ca="1"/>
      </c>
      <c r="AW587">
        <f ca="1"/>
      </c>
      <c r="AX587">
        <f ca="1"/>
      </c>
      <c r="AY587">
        <f ca="1"/>
      </c>
      <c r="BA587" s="7"/>
    </row>
    <row r="588" spans="31:53" x14ac:dyDescent="0.55000000000000004">
      <c r="AE588" s="7">
        <f ca="1"/>
      </c>
      <c r="AF588">
        <f ca="1"/>
      </c>
      <c r="AG588">
        <f ca="1"/>
      </c>
      <c r="AH588">
        <f ca="1"/>
      </c>
      <c r="AI588">
        <f ca="1"/>
      </c>
      <c r="AJ588">
        <f ca="1"/>
      </c>
      <c r="AK588">
        <f ca="1"/>
      </c>
      <c r="AL588">
        <f ca="1"/>
      </c>
      <c r="AM588">
        <f ca="1"/>
      </c>
      <c r="AN588">
        <f ca="1"/>
      </c>
      <c r="AO588">
        <f ca="1"/>
      </c>
      <c r="AP588">
        <f ca="1"/>
      </c>
      <c r="AQ588">
        <f ca="1"/>
      </c>
      <c r="AR588">
        <f ca="1"/>
      </c>
      <c r="AT588" s="7">
        <f ca="1"/>
      </c>
      <c r="AU588">
        <f ca="1"/>
      </c>
      <c r="AV588">
        <f ca="1"/>
      </c>
      <c r="AW588">
        <f ca="1"/>
      </c>
      <c r="AX588">
        <f ca="1"/>
      </c>
      <c r="AY588">
        <f ca="1"/>
      </c>
      <c r="BA588" s="7"/>
    </row>
    <row r="589" spans="31:53" x14ac:dyDescent="0.55000000000000004">
      <c r="AE589" s="7">
        <f ca="1"/>
      </c>
      <c r="AF589">
        <f ca="1"/>
      </c>
      <c r="AG589">
        <f ca="1"/>
      </c>
      <c r="AH589">
        <f ca="1"/>
      </c>
      <c r="AI589">
        <f ca="1"/>
      </c>
      <c r="AJ589">
        <f ca="1"/>
      </c>
      <c r="AK589">
        <f ca="1"/>
      </c>
      <c r="AL589">
        <f ca="1"/>
      </c>
      <c r="AM589">
        <f ca="1"/>
      </c>
      <c r="AN589">
        <f ca="1"/>
      </c>
      <c r="AO589">
        <f ca="1"/>
      </c>
      <c r="AP589">
        <f ca="1"/>
      </c>
      <c r="AQ589">
        <f ca="1"/>
      </c>
      <c r="AR589">
        <f ca="1"/>
      </c>
      <c r="AT589" s="7">
        <f ca="1"/>
      </c>
      <c r="AU589">
        <f ca="1"/>
      </c>
      <c r="AV589">
        <f ca="1"/>
      </c>
      <c r="AW589">
        <f ca="1"/>
      </c>
      <c r="AX589">
        <f ca="1"/>
      </c>
      <c r="AY589">
        <f ca="1"/>
      </c>
      <c r="BA589" s="7"/>
    </row>
    <row r="590" spans="31:53" x14ac:dyDescent="0.55000000000000004">
      <c r="AE590" s="7">
        <f ca="1"/>
      </c>
      <c r="AF590">
        <f ca="1"/>
      </c>
      <c r="AG590">
        <f ca="1"/>
      </c>
      <c r="AH590">
        <f ca="1"/>
      </c>
      <c r="AI590">
        <f ca="1"/>
      </c>
      <c r="AJ590">
        <f ca="1"/>
      </c>
      <c r="AK590">
        <f ca="1"/>
      </c>
      <c r="AL590">
        <f ca="1"/>
      </c>
      <c r="AM590">
        <f ca="1"/>
      </c>
      <c r="AN590">
        <f ca="1"/>
      </c>
      <c r="AO590">
        <f ca="1"/>
      </c>
      <c r="AP590">
        <f ca="1"/>
      </c>
      <c r="AQ590">
        <f ca="1"/>
      </c>
      <c r="AR590">
        <f ca="1"/>
      </c>
      <c r="AT590" s="7">
        <f ca="1"/>
      </c>
      <c r="AU590">
        <f ca="1"/>
      </c>
      <c r="AV590">
        <f ca="1"/>
      </c>
      <c r="AW590">
        <f ca="1"/>
      </c>
      <c r="AX590">
        <f ca="1"/>
      </c>
      <c r="AY590">
        <f ca="1"/>
      </c>
      <c r="BA590" s="7"/>
    </row>
    <row r="591" spans="31:53" x14ac:dyDescent="0.55000000000000004">
      <c r="AE591" s="7">
        <f ca="1"/>
      </c>
      <c r="AF591">
        <f ca="1"/>
      </c>
      <c r="AG591">
        <f ca="1"/>
      </c>
      <c r="AH591">
        <f ca="1"/>
      </c>
      <c r="AI591">
        <f ca="1"/>
      </c>
      <c r="AJ591">
        <f ca="1"/>
      </c>
      <c r="AK591">
        <f ca="1"/>
      </c>
      <c r="AL591">
        <f ca="1"/>
      </c>
      <c r="AM591">
        <f ca="1"/>
      </c>
      <c r="AN591">
        <f ca="1"/>
      </c>
      <c r="AO591">
        <f ca="1"/>
      </c>
      <c r="AP591">
        <f ca="1"/>
      </c>
      <c r="AQ591">
        <f ca="1"/>
      </c>
      <c r="AR591">
        <f ca="1"/>
      </c>
      <c r="AT591" s="7">
        <f ca="1"/>
      </c>
      <c r="AU591">
        <f ca="1"/>
      </c>
      <c r="AV591">
        <f ca="1"/>
      </c>
      <c r="AW591">
        <f ca="1"/>
      </c>
      <c r="AX591">
        <f ca="1"/>
      </c>
      <c r="AY591">
        <f ca="1"/>
      </c>
      <c r="BA591" s="7"/>
    </row>
    <row r="592" spans="31:53" x14ac:dyDescent="0.55000000000000004">
      <c r="AE592" s="7">
        <f ca="1"/>
      </c>
      <c r="AF592">
        <f ca="1"/>
      </c>
      <c r="AG592">
        <f ca="1"/>
      </c>
      <c r="AH592">
        <f ca="1"/>
      </c>
      <c r="AI592">
        <f ca="1"/>
      </c>
      <c r="AJ592">
        <f ca="1"/>
      </c>
      <c r="AK592">
        <f ca="1"/>
      </c>
      <c r="AL592">
        <f ca="1"/>
      </c>
      <c r="AM592">
        <f ca="1"/>
      </c>
      <c r="AN592">
        <f ca="1"/>
      </c>
      <c r="AO592">
        <f ca="1"/>
      </c>
      <c r="AP592">
        <f ca="1"/>
      </c>
      <c r="AQ592">
        <f ca="1"/>
      </c>
      <c r="AR592">
        <f ca="1"/>
      </c>
      <c r="AT592" s="7">
        <f ca="1"/>
      </c>
      <c r="AU592">
        <f ca="1"/>
      </c>
      <c r="AV592">
        <f ca="1"/>
      </c>
      <c r="AW592">
        <f ca="1"/>
      </c>
      <c r="AX592">
        <f ca="1"/>
      </c>
      <c r="AY592">
        <f ca="1"/>
      </c>
      <c r="BA592" s="7"/>
    </row>
    <row r="593" spans="31:53" x14ac:dyDescent="0.55000000000000004">
      <c r="AE593" s="7">
        <f ca="1"/>
      </c>
      <c r="AF593">
        <f ca="1"/>
      </c>
      <c r="AG593">
        <f ca="1"/>
      </c>
      <c r="AH593">
        <f ca="1"/>
      </c>
      <c r="AI593">
        <f ca="1"/>
      </c>
      <c r="AJ593">
        <f ca="1"/>
      </c>
      <c r="AK593">
        <f ca="1"/>
      </c>
      <c r="AL593">
        <f ca="1"/>
      </c>
      <c r="AM593">
        <f ca="1"/>
      </c>
      <c r="AN593">
        <f ca="1"/>
      </c>
      <c r="AO593">
        <f ca="1"/>
      </c>
      <c r="AP593">
        <f ca="1"/>
      </c>
      <c r="AQ593">
        <f ca="1"/>
      </c>
      <c r="AR593">
        <f ca="1"/>
      </c>
      <c r="AT593" s="7">
        <f ca="1"/>
      </c>
      <c r="AU593">
        <f ca="1"/>
      </c>
      <c r="AV593">
        <f ca="1"/>
      </c>
      <c r="AW593">
        <f ca="1"/>
      </c>
      <c r="AX593">
        <f ca="1"/>
      </c>
      <c r="AY593">
        <f ca="1"/>
      </c>
      <c r="BA593" s="7"/>
    </row>
    <row r="594" spans="31:53" x14ac:dyDescent="0.55000000000000004">
      <c r="AE594" s="7">
        <f ca="1"/>
      </c>
      <c r="AF594">
        <f ca="1"/>
      </c>
      <c r="AG594">
        <f ca="1"/>
      </c>
      <c r="AH594">
        <f ca="1"/>
      </c>
      <c r="AI594">
        <f ca="1"/>
      </c>
      <c r="AJ594">
        <f ca="1"/>
      </c>
      <c r="AK594">
        <f ca="1"/>
      </c>
      <c r="AL594">
        <f ca="1"/>
      </c>
      <c r="AM594">
        <f ca="1"/>
      </c>
      <c r="AN594">
        <f ca="1"/>
      </c>
      <c r="AO594">
        <f ca="1"/>
      </c>
      <c r="AP594">
        <f ca="1"/>
      </c>
      <c r="AQ594">
        <f ca="1"/>
      </c>
      <c r="AR594">
        <f ca="1"/>
      </c>
      <c r="AT594" s="7">
        <f ca="1"/>
      </c>
      <c r="AU594">
        <f ca="1"/>
      </c>
      <c r="AV594">
        <f ca="1"/>
      </c>
      <c r="AW594">
        <f ca="1"/>
      </c>
      <c r="AX594">
        <f ca="1"/>
      </c>
      <c r="AY594">
        <f ca="1"/>
      </c>
      <c r="BA594" s="7"/>
    </row>
    <row r="595" spans="31:53" x14ac:dyDescent="0.55000000000000004">
      <c r="AE595" s="7">
        <f ca="1"/>
      </c>
      <c r="AF595">
        <f ca="1"/>
      </c>
      <c r="AG595">
        <f ca="1"/>
      </c>
      <c r="AH595">
        <f ca="1"/>
      </c>
      <c r="AI595">
        <f ca="1"/>
      </c>
      <c r="AJ595">
        <f ca="1"/>
      </c>
      <c r="AK595">
        <f ca="1"/>
      </c>
      <c r="AL595">
        <f ca="1"/>
      </c>
      <c r="AM595">
        <f ca="1"/>
      </c>
      <c r="AN595">
        <f ca="1"/>
      </c>
      <c r="AO595">
        <f ca="1"/>
      </c>
      <c r="AP595">
        <f ca="1"/>
      </c>
      <c r="AQ595">
        <f ca="1"/>
      </c>
      <c r="AR595">
        <f ca="1"/>
      </c>
      <c r="AT595" s="7">
        <f ca="1"/>
      </c>
      <c r="AU595">
        <f ca="1"/>
      </c>
      <c r="AV595">
        <f ca="1"/>
      </c>
      <c r="AW595">
        <f ca="1"/>
      </c>
      <c r="AX595">
        <f ca="1"/>
      </c>
      <c r="AY595">
        <f ca="1"/>
      </c>
      <c r="BA595" s="7"/>
    </row>
    <row r="596" spans="31:53" x14ac:dyDescent="0.55000000000000004">
      <c r="AE596" s="7">
        <f ca="1"/>
      </c>
      <c r="AF596">
        <f ca="1"/>
      </c>
      <c r="AG596">
        <f ca="1"/>
      </c>
      <c r="AH596">
        <f ca="1"/>
      </c>
      <c r="AI596">
        <f ca="1"/>
      </c>
      <c r="AJ596">
        <f ca="1"/>
      </c>
      <c r="AK596">
        <f ca="1"/>
      </c>
      <c r="AL596">
        <f ca="1"/>
      </c>
      <c r="AM596">
        <f ca="1"/>
      </c>
      <c r="AN596">
        <f ca="1"/>
      </c>
      <c r="AO596">
        <f ca="1"/>
      </c>
      <c r="AP596">
        <f ca="1"/>
      </c>
      <c r="AQ596">
        <f ca="1"/>
      </c>
      <c r="AR596">
        <f ca="1"/>
      </c>
      <c r="AT596" s="7">
        <f ca="1"/>
      </c>
      <c r="AU596">
        <f ca="1"/>
      </c>
      <c r="AV596">
        <f ca="1"/>
      </c>
      <c r="AW596">
        <f ca="1"/>
      </c>
      <c r="AX596">
        <f ca="1"/>
      </c>
      <c r="AY596">
        <f ca="1"/>
      </c>
      <c r="BA596" s="7"/>
    </row>
    <row r="597" spans="31:53" x14ac:dyDescent="0.55000000000000004">
      <c r="AE597" s="7">
        <f ca="1"/>
      </c>
      <c r="AF597">
        <f ca="1"/>
      </c>
      <c r="AG597">
        <f ca="1"/>
      </c>
      <c r="AH597">
        <f ca="1"/>
      </c>
      <c r="AI597">
        <f ca="1"/>
      </c>
      <c r="AJ597">
        <f ca="1"/>
      </c>
      <c r="AK597">
        <f ca="1"/>
      </c>
      <c r="AL597">
        <f ca="1"/>
      </c>
      <c r="AM597">
        <f ca="1"/>
      </c>
      <c r="AN597">
        <f ca="1"/>
      </c>
      <c r="AO597">
        <f ca="1"/>
      </c>
      <c r="AP597">
        <f ca="1"/>
      </c>
      <c r="AQ597">
        <f ca="1"/>
      </c>
      <c r="AR597">
        <f ca="1"/>
      </c>
      <c r="AT597" s="7">
        <f ca="1"/>
      </c>
      <c r="AU597">
        <f ca="1"/>
      </c>
      <c r="AV597">
        <f ca="1"/>
      </c>
      <c r="AW597">
        <f ca="1"/>
      </c>
      <c r="AX597">
        <f ca="1"/>
      </c>
      <c r="AY597">
        <f ca="1"/>
      </c>
      <c r="BA597" s="7"/>
    </row>
    <row r="598" spans="31:53" x14ac:dyDescent="0.55000000000000004">
      <c r="AE598" s="7">
        <f ca="1"/>
      </c>
      <c r="AF598">
        <f ca="1"/>
      </c>
      <c r="AG598">
        <f ca="1"/>
      </c>
      <c r="AH598">
        <f ca="1"/>
      </c>
      <c r="AI598">
        <f ca="1"/>
      </c>
      <c r="AJ598">
        <f ca="1"/>
      </c>
      <c r="AK598">
        <f ca="1"/>
      </c>
      <c r="AL598">
        <f ca="1"/>
      </c>
      <c r="AM598">
        <f ca="1"/>
      </c>
      <c r="AN598">
        <f ca="1"/>
      </c>
      <c r="AO598">
        <f ca="1"/>
      </c>
      <c r="AP598">
        <f ca="1"/>
      </c>
      <c r="AQ598">
        <f ca="1"/>
      </c>
      <c r="AR598">
        <f ca="1"/>
      </c>
      <c r="AT598" s="7">
        <f ca="1"/>
      </c>
      <c r="AU598">
        <f ca="1"/>
      </c>
      <c r="AV598">
        <f ca="1"/>
      </c>
      <c r="AW598">
        <f ca="1"/>
      </c>
      <c r="AX598">
        <f ca="1"/>
      </c>
      <c r="AY598">
        <f ca="1"/>
      </c>
      <c r="BA598" s="7"/>
    </row>
    <row r="599" spans="31:53" x14ac:dyDescent="0.55000000000000004">
      <c r="AE599" s="7">
        <f ca="1"/>
      </c>
      <c r="AF599">
        <f ca="1"/>
      </c>
      <c r="AG599">
        <f ca="1"/>
      </c>
      <c r="AH599">
        <f ca="1"/>
      </c>
      <c r="AI599">
        <f ca="1"/>
      </c>
      <c r="AJ599">
        <f ca="1"/>
      </c>
      <c r="AK599">
        <f ca="1"/>
      </c>
      <c r="AL599">
        <f ca="1"/>
      </c>
      <c r="AM599">
        <f ca="1"/>
      </c>
      <c r="AN599">
        <f ca="1"/>
      </c>
      <c r="AO599">
        <f ca="1"/>
      </c>
      <c r="AP599">
        <f ca="1"/>
      </c>
      <c r="AQ599">
        <f ca="1"/>
      </c>
      <c r="AR599">
        <f ca="1"/>
      </c>
      <c r="AT599" s="7">
        <f ca="1"/>
      </c>
      <c r="AU599">
        <f ca="1"/>
      </c>
      <c r="AV599">
        <f ca="1"/>
      </c>
      <c r="AW599">
        <f ca="1"/>
      </c>
      <c r="AX599">
        <f ca="1"/>
      </c>
      <c r="AY599">
        <f ca="1"/>
      </c>
      <c r="BA599" s="7"/>
    </row>
    <row r="600" spans="31:53" x14ac:dyDescent="0.55000000000000004">
      <c r="AE600" s="7">
        <f ca="1"/>
      </c>
      <c r="AF600">
        <f ca="1"/>
      </c>
      <c r="AG600">
        <f ca="1"/>
      </c>
      <c r="AH600">
        <f ca="1"/>
      </c>
      <c r="AI600">
        <f ca="1"/>
      </c>
      <c r="AJ600">
        <f ca="1"/>
      </c>
      <c r="AK600">
        <f ca="1"/>
      </c>
      <c r="AL600">
        <f ca="1"/>
      </c>
      <c r="AM600">
        <f ca="1"/>
      </c>
      <c r="AN600">
        <f ca="1"/>
      </c>
      <c r="AO600">
        <f ca="1"/>
      </c>
      <c r="AP600">
        <f ca="1"/>
      </c>
      <c r="AQ600">
        <f ca="1"/>
      </c>
      <c r="AR600">
        <f ca="1"/>
      </c>
      <c r="AT600" s="7">
        <f ca="1"/>
      </c>
      <c r="AU600">
        <f ca="1"/>
      </c>
      <c r="AV600">
        <f ca="1"/>
      </c>
      <c r="AW600">
        <f ca="1"/>
      </c>
      <c r="AX600">
        <f ca="1"/>
      </c>
      <c r="AY600">
        <f ca="1"/>
      </c>
      <c r="BA600" s="7"/>
    </row>
    <row r="601" spans="31:53" x14ac:dyDescent="0.55000000000000004">
      <c r="AE601" s="7">
        <f ca="1"/>
      </c>
      <c r="AF601">
        <f ca="1"/>
      </c>
      <c r="AG601">
        <f ca="1"/>
      </c>
      <c r="AH601">
        <f ca="1"/>
      </c>
      <c r="AI601">
        <f ca="1"/>
      </c>
      <c r="AJ601">
        <f ca="1"/>
      </c>
      <c r="AK601">
        <f ca="1"/>
      </c>
      <c r="AL601">
        <f ca="1"/>
      </c>
      <c r="AM601">
        <f ca="1"/>
      </c>
      <c r="AN601">
        <f ca="1"/>
      </c>
      <c r="AO601">
        <f ca="1"/>
      </c>
      <c r="AP601">
        <f ca="1"/>
      </c>
      <c r="AQ601">
        <f ca="1"/>
      </c>
      <c r="AR601">
        <f ca="1"/>
      </c>
      <c r="AT601" s="7">
        <f ca="1"/>
      </c>
      <c r="AU601">
        <f ca="1"/>
      </c>
      <c r="AV601">
        <f ca="1"/>
      </c>
      <c r="AW601">
        <f ca="1"/>
      </c>
      <c r="AX601">
        <f ca="1"/>
      </c>
      <c r="AY601">
        <f ca="1"/>
      </c>
      <c r="BA601" s="7"/>
    </row>
    <row r="602" spans="31:53" x14ac:dyDescent="0.55000000000000004">
      <c r="AE602" s="7">
        <f ca="1"/>
      </c>
      <c r="AF602">
        <f ca="1"/>
      </c>
      <c r="AG602">
        <f ca="1"/>
      </c>
      <c r="AH602">
        <f ca="1"/>
      </c>
      <c r="AI602">
        <f ca="1"/>
      </c>
      <c r="AJ602">
        <f ca="1"/>
      </c>
      <c r="AK602">
        <f ca="1"/>
      </c>
      <c r="AL602">
        <f ca="1"/>
      </c>
      <c r="AM602">
        <f ca="1"/>
      </c>
      <c r="AN602">
        <f ca="1"/>
      </c>
      <c r="AO602">
        <f ca="1"/>
      </c>
      <c r="AP602">
        <f ca="1"/>
      </c>
      <c r="AQ602">
        <f ca="1"/>
      </c>
      <c r="AR602">
        <f ca="1"/>
      </c>
      <c r="AT602" s="7">
        <f ca="1"/>
      </c>
      <c r="AU602">
        <f ca="1"/>
      </c>
      <c r="AV602">
        <f ca="1"/>
      </c>
      <c r="AW602">
        <f ca="1"/>
      </c>
      <c r="AX602">
        <f ca="1"/>
      </c>
      <c r="AY602">
        <f ca="1"/>
      </c>
      <c r="BA602" s="7"/>
    </row>
    <row r="603" spans="31:53" x14ac:dyDescent="0.55000000000000004">
      <c r="AE603" s="7">
        <f ca="1"/>
      </c>
      <c r="AF603">
        <f ca="1"/>
      </c>
      <c r="AG603">
        <f ca="1"/>
      </c>
      <c r="AH603">
        <f ca="1"/>
      </c>
      <c r="AI603">
        <f ca="1"/>
      </c>
      <c r="AJ603">
        <f ca="1"/>
      </c>
      <c r="AK603">
        <f ca="1"/>
      </c>
      <c r="AL603">
        <f ca="1"/>
      </c>
      <c r="AM603">
        <f ca="1"/>
      </c>
      <c r="AN603">
        <f ca="1"/>
      </c>
      <c r="AO603">
        <f ca="1"/>
      </c>
      <c r="AP603">
        <f ca="1"/>
      </c>
      <c r="AQ603">
        <f ca="1"/>
      </c>
      <c r="AR603">
        <f ca="1"/>
      </c>
      <c r="AT603" s="7">
        <f ca="1"/>
      </c>
      <c r="AU603">
        <f ca="1"/>
      </c>
      <c r="AV603">
        <f ca="1"/>
      </c>
      <c r="AW603">
        <f ca="1"/>
      </c>
      <c r="AX603">
        <f ca="1"/>
      </c>
      <c r="AY603">
        <f ca="1"/>
      </c>
      <c r="BA603" s="7"/>
    </row>
    <row r="604" spans="31:53" x14ac:dyDescent="0.55000000000000004">
      <c r="AE604" s="7">
        <f ca="1"/>
      </c>
      <c r="AF604">
        <f ca="1"/>
      </c>
      <c r="AG604">
        <f ca="1"/>
      </c>
      <c r="AH604">
        <f ca="1"/>
      </c>
      <c r="AI604">
        <f ca="1"/>
      </c>
      <c r="AJ604">
        <f ca="1"/>
      </c>
      <c r="AK604">
        <f ca="1"/>
      </c>
      <c r="AL604">
        <f ca="1"/>
      </c>
      <c r="AM604">
        <f ca="1"/>
      </c>
      <c r="AN604">
        <f ca="1"/>
      </c>
      <c r="AO604">
        <f ca="1"/>
      </c>
      <c r="AP604">
        <f ca="1"/>
      </c>
      <c r="AQ604">
        <f ca="1"/>
      </c>
      <c r="AR604">
        <f ca="1"/>
      </c>
      <c r="AT604" s="7">
        <f ca="1"/>
      </c>
      <c r="AU604">
        <f ca="1"/>
      </c>
      <c r="AV604">
        <f ca="1"/>
      </c>
      <c r="AW604">
        <f ca="1"/>
      </c>
      <c r="AX604">
        <f ca="1"/>
      </c>
      <c r="AY604">
        <f ca="1"/>
      </c>
      <c r="BA604" s="7"/>
    </row>
    <row r="605" spans="31:53" x14ac:dyDescent="0.55000000000000004">
      <c r="AE605" s="7">
        <f ca="1"/>
      </c>
      <c r="AF605">
        <f ca="1"/>
      </c>
      <c r="AG605">
        <f ca="1"/>
      </c>
      <c r="AH605">
        <f ca="1"/>
      </c>
      <c r="AI605">
        <f ca="1"/>
      </c>
      <c r="AJ605">
        <f ca="1"/>
      </c>
      <c r="AK605">
        <f ca="1"/>
      </c>
      <c r="AL605">
        <f ca="1"/>
      </c>
      <c r="AM605">
        <f ca="1"/>
      </c>
      <c r="AN605">
        <f ca="1"/>
      </c>
      <c r="AO605">
        <f ca="1"/>
      </c>
      <c r="AP605">
        <f ca="1"/>
      </c>
      <c r="AQ605">
        <f ca="1"/>
      </c>
      <c r="AR605">
        <f ca="1"/>
      </c>
      <c r="AT605" s="7">
        <f ca="1"/>
      </c>
      <c r="AU605">
        <f ca="1"/>
      </c>
      <c r="AV605">
        <f ca="1"/>
      </c>
      <c r="AW605">
        <f ca="1"/>
      </c>
      <c r="AX605">
        <f ca="1"/>
      </c>
      <c r="AY605">
        <f ca="1"/>
      </c>
      <c r="BA605" s="7"/>
    </row>
    <row r="606" spans="31:53" x14ac:dyDescent="0.55000000000000004">
      <c r="AE606" s="7">
        <f ca="1"/>
      </c>
      <c r="AF606">
        <f ca="1"/>
      </c>
      <c r="AG606">
        <f ca="1"/>
      </c>
      <c r="AH606">
        <f ca="1"/>
      </c>
      <c r="AI606">
        <f ca="1"/>
      </c>
      <c r="AJ606">
        <f ca="1"/>
      </c>
      <c r="AK606">
        <f ca="1"/>
      </c>
      <c r="AL606">
        <f ca="1"/>
      </c>
      <c r="AM606">
        <f ca="1"/>
      </c>
      <c r="AN606">
        <f ca="1"/>
      </c>
      <c r="AO606">
        <f ca="1"/>
      </c>
      <c r="AP606">
        <f ca="1"/>
      </c>
      <c r="AQ606">
        <f ca="1"/>
      </c>
      <c r="AR606">
        <f ca="1"/>
      </c>
      <c r="AT606" s="7">
        <f ca="1"/>
      </c>
      <c r="AU606">
        <f ca="1"/>
      </c>
      <c r="AV606">
        <f ca="1"/>
      </c>
      <c r="AW606">
        <f ca="1"/>
      </c>
      <c r="AX606">
        <f ca="1"/>
      </c>
      <c r="AY606">
        <f ca="1"/>
      </c>
      <c r="BA606" s="7"/>
    </row>
    <row r="607" spans="31:53" x14ac:dyDescent="0.55000000000000004">
      <c r="AE607" s="7">
        <f ca="1"/>
      </c>
      <c r="AF607">
        <f ca="1"/>
      </c>
      <c r="AG607">
        <f ca="1"/>
      </c>
      <c r="AH607">
        <f ca="1"/>
      </c>
      <c r="AI607">
        <f ca="1"/>
      </c>
      <c r="AJ607">
        <f ca="1"/>
      </c>
      <c r="AK607">
        <f ca="1"/>
      </c>
      <c r="AL607">
        <f ca="1"/>
      </c>
      <c r="AM607">
        <f ca="1"/>
      </c>
      <c r="AN607">
        <f ca="1"/>
      </c>
      <c r="AO607">
        <f ca="1"/>
      </c>
      <c r="AP607">
        <f ca="1"/>
      </c>
      <c r="AQ607">
        <f ca="1"/>
      </c>
      <c r="AR607">
        <f ca="1"/>
      </c>
      <c r="AT607" s="7">
        <f ca="1"/>
      </c>
      <c r="AU607">
        <f ca="1"/>
      </c>
      <c r="AV607">
        <f ca="1"/>
      </c>
      <c r="AW607">
        <f ca="1"/>
      </c>
      <c r="AX607">
        <f ca="1"/>
      </c>
      <c r="AY607">
        <f ca="1"/>
      </c>
      <c r="BA607" s="7"/>
    </row>
    <row r="608" spans="31:53" x14ac:dyDescent="0.55000000000000004">
      <c r="AE608" s="7">
        <f ca="1"/>
      </c>
      <c r="AF608">
        <f ca="1"/>
      </c>
      <c r="AG608">
        <f ca="1"/>
      </c>
      <c r="AH608">
        <f ca="1"/>
      </c>
      <c r="AI608">
        <f ca="1"/>
      </c>
      <c r="AJ608">
        <f ca="1"/>
      </c>
      <c r="AK608">
        <f ca="1"/>
      </c>
      <c r="AL608">
        <f ca="1"/>
      </c>
      <c r="AM608">
        <f ca="1"/>
      </c>
      <c r="AN608">
        <f ca="1"/>
      </c>
      <c r="AO608">
        <f ca="1"/>
      </c>
      <c r="AP608">
        <f ca="1"/>
      </c>
      <c r="AQ608">
        <f ca="1"/>
      </c>
      <c r="AR608">
        <f ca="1"/>
      </c>
      <c r="AT608" s="7">
        <f ca="1"/>
      </c>
      <c r="AU608">
        <f ca="1"/>
      </c>
      <c r="AV608">
        <f ca="1"/>
      </c>
      <c r="AW608">
        <f ca="1"/>
      </c>
      <c r="AX608">
        <f ca="1"/>
      </c>
      <c r="AY608">
        <f ca="1"/>
      </c>
      <c r="BA608" s="7"/>
    </row>
    <row r="609" spans="31:53" x14ac:dyDescent="0.55000000000000004">
      <c r="AE609" s="7">
        <f ca="1"/>
      </c>
      <c r="AF609">
        <f ca="1"/>
      </c>
      <c r="AG609">
        <f ca="1"/>
      </c>
      <c r="AH609">
        <f ca="1"/>
      </c>
      <c r="AI609">
        <f ca="1"/>
      </c>
      <c r="AJ609">
        <f ca="1"/>
      </c>
      <c r="AK609">
        <f ca="1"/>
      </c>
      <c r="AL609">
        <f ca="1"/>
      </c>
      <c r="AM609">
        <f ca="1"/>
      </c>
      <c r="AN609">
        <f ca="1"/>
      </c>
      <c r="AO609">
        <f ca="1"/>
      </c>
      <c r="AP609">
        <f ca="1"/>
      </c>
      <c r="AQ609">
        <f ca="1"/>
      </c>
      <c r="AR609">
        <f ca="1"/>
      </c>
      <c r="AT609" s="7">
        <f ca="1"/>
      </c>
      <c r="AU609">
        <f ca="1"/>
      </c>
      <c r="AV609">
        <f ca="1"/>
      </c>
      <c r="AW609">
        <f ca="1"/>
      </c>
      <c r="AX609">
        <f ca="1"/>
      </c>
      <c r="AY609">
        <f ca="1"/>
      </c>
      <c r="BA609" s="7"/>
    </row>
    <row r="610" spans="31:53" x14ac:dyDescent="0.55000000000000004">
      <c r="AE610" s="7">
        <f ca="1"/>
      </c>
      <c r="AF610">
        <f ca="1"/>
      </c>
      <c r="AG610">
        <f ca="1"/>
      </c>
      <c r="AH610">
        <f ca="1"/>
      </c>
      <c r="AI610">
        <f ca="1"/>
      </c>
      <c r="AJ610">
        <f ca="1"/>
      </c>
      <c r="AK610">
        <f ca="1"/>
      </c>
      <c r="AL610">
        <f ca="1"/>
      </c>
      <c r="AM610">
        <f ca="1"/>
      </c>
      <c r="AN610">
        <f ca="1"/>
      </c>
      <c r="AO610">
        <f ca="1"/>
      </c>
      <c r="AP610">
        <f ca="1"/>
      </c>
      <c r="AQ610">
        <f ca="1"/>
      </c>
      <c r="AR610">
        <f ca="1"/>
      </c>
      <c r="AT610" s="7">
        <f ca="1"/>
      </c>
      <c r="AU610">
        <f ca="1"/>
      </c>
      <c r="AV610">
        <f ca="1"/>
      </c>
      <c r="AW610">
        <f ca="1"/>
      </c>
      <c r="AX610">
        <f ca="1"/>
      </c>
      <c r="AY610">
        <f ca="1"/>
      </c>
      <c r="BA610" s="7"/>
    </row>
    <row r="611" spans="31:53" x14ac:dyDescent="0.55000000000000004">
      <c r="AE611" s="7">
        <f ca="1"/>
      </c>
      <c r="AF611">
        <f ca="1"/>
      </c>
      <c r="AG611">
        <f ca="1"/>
      </c>
      <c r="AH611">
        <f ca="1"/>
      </c>
      <c r="AI611">
        <f ca="1"/>
      </c>
      <c r="AJ611">
        <f ca="1"/>
      </c>
      <c r="AK611">
        <f ca="1"/>
      </c>
      <c r="AL611">
        <f ca="1"/>
      </c>
      <c r="AM611">
        <f ca="1"/>
      </c>
      <c r="AN611">
        <f ca="1"/>
      </c>
      <c r="AO611">
        <f ca="1"/>
      </c>
      <c r="AP611">
        <f ca="1"/>
      </c>
      <c r="AQ611">
        <f ca="1"/>
      </c>
      <c r="AR611">
        <f ca="1"/>
      </c>
      <c r="AT611" s="7">
        <f ca="1"/>
      </c>
      <c r="AU611">
        <f ca="1"/>
      </c>
      <c r="AV611">
        <f ca="1"/>
      </c>
      <c r="AW611">
        <f ca="1"/>
      </c>
      <c r="AX611">
        <f ca="1"/>
      </c>
      <c r="AY611">
        <f ca="1"/>
      </c>
      <c r="BA611" s="7"/>
    </row>
    <row r="612" spans="31:53" x14ac:dyDescent="0.55000000000000004">
      <c r="AE612" s="7">
        <f ca="1"/>
      </c>
      <c r="AF612">
        <f ca="1"/>
      </c>
      <c r="AG612">
        <f ca="1"/>
      </c>
      <c r="AH612">
        <f ca="1"/>
      </c>
      <c r="AI612">
        <f ca="1"/>
      </c>
      <c r="AJ612">
        <f ca="1"/>
      </c>
      <c r="AK612">
        <f ca="1"/>
      </c>
      <c r="AL612">
        <f ca="1"/>
      </c>
      <c r="AM612">
        <f ca="1"/>
      </c>
      <c r="AN612">
        <f ca="1"/>
      </c>
      <c r="AO612">
        <f ca="1"/>
      </c>
      <c r="AP612">
        <f ca="1"/>
      </c>
      <c r="AQ612">
        <f ca="1"/>
      </c>
      <c r="AR612">
        <f ca="1"/>
      </c>
      <c r="AT612" s="7">
        <f ca="1"/>
      </c>
      <c r="AU612">
        <f ca="1"/>
      </c>
      <c r="AV612">
        <f ca="1"/>
      </c>
      <c r="AW612">
        <f ca="1"/>
      </c>
      <c r="AX612">
        <f ca="1"/>
      </c>
      <c r="AY612">
        <f ca="1"/>
      </c>
      <c r="BA612" s="7"/>
    </row>
    <row r="613" spans="31:53" x14ac:dyDescent="0.55000000000000004">
      <c r="AE613" s="7">
        <f ca="1"/>
      </c>
      <c r="AF613">
        <f ca="1"/>
      </c>
      <c r="AG613">
        <f ca="1"/>
      </c>
      <c r="AH613">
        <f ca="1"/>
      </c>
      <c r="AI613">
        <f ca="1"/>
      </c>
      <c r="AJ613">
        <f ca="1"/>
      </c>
      <c r="AK613">
        <f ca="1"/>
      </c>
      <c r="AL613">
        <f ca="1"/>
      </c>
      <c r="AM613">
        <f ca="1"/>
      </c>
      <c r="AN613">
        <f ca="1"/>
      </c>
      <c r="AO613">
        <f ca="1"/>
      </c>
      <c r="AP613">
        <f ca="1"/>
      </c>
      <c r="AQ613">
        <f ca="1"/>
      </c>
      <c r="AR613">
        <f ca="1"/>
      </c>
      <c r="AT613" s="7">
        <f ca="1"/>
      </c>
      <c r="AU613">
        <f ca="1"/>
      </c>
      <c r="AV613">
        <f ca="1"/>
      </c>
      <c r="AW613">
        <f ca="1"/>
      </c>
      <c r="AX613">
        <f ca="1"/>
      </c>
      <c r="AY613">
        <f ca="1"/>
      </c>
      <c r="BA613" s="7"/>
    </row>
    <row r="614" spans="31:53" x14ac:dyDescent="0.55000000000000004">
      <c r="AE614" s="7">
        <f ca="1"/>
      </c>
      <c r="AF614">
        <f ca="1"/>
      </c>
      <c r="AG614">
        <f ca="1"/>
      </c>
      <c r="AH614">
        <f ca="1"/>
      </c>
      <c r="AI614">
        <f ca="1"/>
      </c>
      <c r="AJ614">
        <f ca="1"/>
      </c>
      <c r="AK614">
        <f ca="1"/>
      </c>
      <c r="AL614">
        <f ca="1"/>
      </c>
      <c r="AM614">
        <f ca="1"/>
      </c>
      <c r="AN614">
        <f ca="1"/>
      </c>
      <c r="AO614">
        <f ca="1"/>
      </c>
      <c r="AP614">
        <f ca="1"/>
      </c>
      <c r="AQ614">
        <f ca="1"/>
      </c>
      <c r="AR614">
        <f ca="1"/>
      </c>
      <c r="AT614" s="7">
        <f ca="1"/>
      </c>
      <c r="AU614">
        <f ca="1"/>
      </c>
      <c r="AV614">
        <f ca="1"/>
      </c>
      <c r="AW614">
        <f ca="1"/>
      </c>
      <c r="AX614">
        <f ca="1"/>
      </c>
      <c r="AY614">
        <f ca="1"/>
      </c>
      <c r="BA614" s="7"/>
    </row>
    <row r="615" spans="31:53" x14ac:dyDescent="0.55000000000000004">
      <c r="AE615" s="7">
        <f ca="1"/>
      </c>
      <c r="AF615">
        <f ca="1"/>
      </c>
      <c r="AG615">
        <f ca="1"/>
      </c>
      <c r="AH615">
        <f ca="1"/>
      </c>
      <c r="AI615">
        <f ca="1"/>
      </c>
      <c r="AJ615">
        <f ca="1"/>
      </c>
      <c r="AK615">
        <f ca="1"/>
      </c>
      <c r="AL615">
        <f ca="1"/>
      </c>
      <c r="AM615">
        <f ca="1"/>
      </c>
      <c r="AN615">
        <f ca="1"/>
      </c>
      <c r="AO615">
        <f ca="1"/>
      </c>
      <c r="AP615">
        <f ca="1"/>
      </c>
      <c r="AQ615">
        <f ca="1"/>
      </c>
      <c r="AR615">
        <f ca="1"/>
      </c>
      <c r="AT615" s="7">
        <f ca="1"/>
      </c>
      <c r="AU615">
        <f ca="1"/>
      </c>
      <c r="AV615">
        <f ca="1"/>
      </c>
      <c r="AW615">
        <f ca="1"/>
      </c>
      <c r="AX615">
        <f ca="1"/>
      </c>
      <c r="AY615">
        <f ca="1"/>
      </c>
      <c r="BA615" s="7"/>
    </row>
    <row r="616" spans="31:53" x14ac:dyDescent="0.55000000000000004">
      <c r="AE616" s="7">
        <f ca="1"/>
      </c>
      <c r="AF616">
        <f ca="1"/>
      </c>
      <c r="AG616">
        <f ca="1"/>
      </c>
      <c r="AH616">
        <f ca="1"/>
      </c>
      <c r="AI616">
        <f ca="1"/>
      </c>
      <c r="AJ616">
        <f ca="1"/>
      </c>
      <c r="AK616">
        <f ca="1"/>
      </c>
      <c r="AL616">
        <f ca="1"/>
      </c>
      <c r="AM616">
        <f ca="1"/>
      </c>
      <c r="AN616">
        <f ca="1"/>
      </c>
      <c r="AO616">
        <f ca="1"/>
      </c>
      <c r="AP616">
        <f ca="1"/>
      </c>
      <c r="AQ616">
        <f ca="1"/>
      </c>
      <c r="AR616">
        <f ca="1"/>
      </c>
      <c r="AT616" s="7">
        <f ca="1"/>
      </c>
      <c r="AU616">
        <f ca="1"/>
      </c>
      <c r="AV616">
        <f ca="1"/>
      </c>
      <c r="AW616">
        <f ca="1"/>
      </c>
      <c r="AX616">
        <f ca="1"/>
      </c>
      <c r="AY616">
        <f ca="1"/>
      </c>
      <c r="BA616" s="7"/>
    </row>
    <row r="617" spans="31:53" x14ac:dyDescent="0.55000000000000004">
      <c r="AE617" s="7">
        <f ca="1"/>
      </c>
      <c r="AF617">
        <f ca="1"/>
      </c>
      <c r="AG617">
        <f ca="1"/>
      </c>
      <c r="AH617">
        <f ca="1"/>
      </c>
      <c r="AI617">
        <f ca="1"/>
      </c>
      <c r="AJ617">
        <f ca="1"/>
      </c>
      <c r="AK617">
        <f ca="1"/>
      </c>
      <c r="AL617">
        <f ca="1"/>
      </c>
      <c r="AM617">
        <f ca="1"/>
      </c>
      <c r="AN617">
        <f ca="1"/>
      </c>
      <c r="AO617">
        <f ca="1"/>
      </c>
      <c r="AP617">
        <f ca="1"/>
      </c>
      <c r="AQ617">
        <f ca="1"/>
      </c>
      <c r="AR617">
        <f ca="1"/>
      </c>
      <c r="AT617" s="7">
        <f ca="1"/>
      </c>
      <c r="AU617">
        <f ca="1"/>
      </c>
      <c r="AV617">
        <f ca="1"/>
      </c>
      <c r="AW617">
        <f ca="1"/>
      </c>
      <c r="AX617">
        <f ca="1"/>
      </c>
      <c r="AY617">
        <f ca="1"/>
      </c>
      <c r="BA617" s="7"/>
    </row>
    <row r="618" spans="31:53" x14ac:dyDescent="0.55000000000000004">
      <c r="AE618" s="7">
        <f ca="1"/>
      </c>
      <c r="AF618">
        <f ca="1"/>
      </c>
      <c r="AG618">
        <f ca="1"/>
      </c>
      <c r="AH618">
        <f ca="1"/>
      </c>
      <c r="AI618">
        <f ca="1"/>
      </c>
      <c r="AJ618">
        <f ca="1"/>
      </c>
      <c r="AK618">
        <f ca="1"/>
      </c>
      <c r="AL618">
        <f ca="1"/>
      </c>
      <c r="AM618">
        <f ca="1"/>
      </c>
      <c r="AN618">
        <f ca="1"/>
      </c>
      <c r="AO618">
        <f ca="1"/>
      </c>
      <c r="AP618">
        <f ca="1"/>
      </c>
      <c r="AQ618">
        <f ca="1"/>
      </c>
      <c r="AR618">
        <f ca="1"/>
      </c>
      <c r="AT618" s="7">
        <f ca="1"/>
      </c>
      <c r="AU618">
        <f ca="1"/>
      </c>
      <c r="AV618">
        <f ca="1"/>
      </c>
      <c r="AW618">
        <f ca="1"/>
      </c>
      <c r="AX618">
        <f ca="1"/>
      </c>
      <c r="AY618">
        <f ca="1"/>
      </c>
      <c r="BA618" s="7"/>
    </row>
    <row r="619" spans="31:53" x14ac:dyDescent="0.55000000000000004">
      <c r="AE619" s="7">
        <f ca="1"/>
      </c>
      <c r="AF619">
        <f ca="1"/>
      </c>
      <c r="AG619">
        <f ca="1"/>
      </c>
      <c r="AH619">
        <f ca="1"/>
      </c>
      <c r="AI619">
        <f ca="1"/>
      </c>
      <c r="AJ619">
        <f ca="1"/>
      </c>
      <c r="AK619">
        <f ca="1"/>
      </c>
      <c r="AL619">
        <f ca="1"/>
      </c>
      <c r="AM619">
        <f ca="1"/>
      </c>
      <c r="AN619">
        <f ca="1"/>
      </c>
      <c r="AO619">
        <f ca="1"/>
      </c>
      <c r="AP619">
        <f ca="1"/>
      </c>
      <c r="AQ619">
        <f ca="1"/>
      </c>
      <c r="AR619">
        <f ca="1"/>
      </c>
      <c r="AT619" s="7">
        <f ca="1"/>
      </c>
      <c r="AU619">
        <f ca="1"/>
      </c>
      <c r="AV619">
        <f ca="1"/>
      </c>
      <c r="AW619">
        <f ca="1"/>
      </c>
      <c r="AX619">
        <f ca="1"/>
      </c>
      <c r="AY619">
        <f ca="1"/>
      </c>
      <c r="BA619" s="7"/>
    </row>
    <row r="620" spans="31:53" x14ac:dyDescent="0.55000000000000004">
      <c r="AE620" s="7">
        <f ca="1"/>
      </c>
      <c r="AF620">
        <f ca="1"/>
      </c>
      <c r="AG620">
        <f ca="1"/>
      </c>
      <c r="AH620">
        <f ca="1"/>
      </c>
      <c r="AI620">
        <f ca="1"/>
      </c>
      <c r="AJ620">
        <f ca="1"/>
      </c>
      <c r="AK620">
        <f ca="1"/>
      </c>
      <c r="AL620">
        <f ca="1"/>
      </c>
      <c r="AM620">
        <f ca="1"/>
      </c>
      <c r="AN620">
        <f ca="1"/>
      </c>
      <c r="AO620">
        <f ca="1"/>
      </c>
      <c r="AP620">
        <f ca="1"/>
      </c>
      <c r="AQ620">
        <f ca="1"/>
      </c>
      <c r="AR620">
        <f ca="1"/>
      </c>
      <c r="AT620" s="7">
        <f ca="1"/>
      </c>
      <c r="AU620">
        <f ca="1"/>
      </c>
      <c r="AV620">
        <f ca="1"/>
      </c>
      <c r="AW620">
        <f ca="1"/>
      </c>
      <c r="AX620">
        <f ca="1"/>
      </c>
      <c r="AY620">
        <f ca="1"/>
      </c>
      <c r="BA620" s="7"/>
    </row>
    <row r="621" spans="31:53" x14ac:dyDescent="0.55000000000000004">
      <c r="AE621" s="7">
        <f ca="1"/>
      </c>
      <c r="AF621">
        <f ca="1"/>
      </c>
      <c r="AG621">
        <f ca="1"/>
      </c>
      <c r="AH621">
        <f ca="1"/>
      </c>
      <c r="AI621">
        <f ca="1"/>
      </c>
      <c r="AJ621">
        <f ca="1"/>
      </c>
      <c r="AK621">
        <f ca="1"/>
      </c>
      <c r="AL621">
        <f ca="1"/>
      </c>
      <c r="AM621">
        <f ca="1"/>
      </c>
      <c r="AN621">
        <f ca="1"/>
      </c>
      <c r="AO621">
        <f ca="1"/>
      </c>
      <c r="AP621">
        <f ca="1"/>
      </c>
      <c r="AQ621">
        <f ca="1"/>
      </c>
      <c r="AR621">
        <f ca="1"/>
      </c>
      <c r="AT621" s="7">
        <f ca="1"/>
      </c>
      <c r="AU621">
        <f ca="1"/>
      </c>
      <c r="AV621">
        <f ca="1"/>
      </c>
      <c r="AW621">
        <f ca="1"/>
      </c>
      <c r="AX621">
        <f ca="1"/>
      </c>
      <c r="AY621">
        <f ca="1"/>
      </c>
      <c r="BA621" s="7"/>
    </row>
    <row r="622" spans="31:53" x14ac:dyDescent="0.55000000000000004">
      <c r="AE622" s="7">
        <f ca="1"/>
      </c>
      <c r="AF622">
        <f ca="1"/>
      </c>
      <c r="AG622">
        <f ca="1"/>
      </c>
      <c r="AH622">
        <f ca="1"/>
      </c>
      <c r="AI622">
        <f ca="1"/>
      </c>
      <c r="AJ622">
        <f ca="1"/>
      </c>
      <c r="AK622">
        <f ca="1"/>
      </c>
      <c r="AL622">
        <f ca="1"/>
      </c>
      <c r="AM622">
        <f ca="1"/>
      </c>
      <c r="AN622">
        <f ca="1"/>
      </c>
      <c r="AO622">
        <f ca="1"/>
      </c>
      <c r="AP622">
        <f ca="1"/>
      </c>
      <c r="AQ622">
        <f ca="1"/>
      </c>
      <c r="AR622">
        <f ca="1"/>
      </c>
      <c r="AT622" s="7">
        <f ca="1"/>
      </c>
      <c r="AU622">
        <f ca="1"/>
      </c>
      <c r="AV622">
        <f ca="1"/>
      </c>
      <c r="AW622">
        <f ca="1"/>
      </c>
      <c r="AX622">
        <f ca="1"/>
      </c>
      <c r="AY622">
        <f ca="1"/>
      </c>
      <c r="BA622" s="7"/>
    </row>
    <row r="623" spans="31:53" x14ac:dyDescent="0.55000000000000004">
      <c r="AE623" s="7">
        <f ca="1"/>
      </c>
      <c r="AF623">
        <f ca="1"/>
      </c>
      <c r="AG623">
        <f ca="1"/>
      </c>
      <c r="AH623">
        <f ca="1"/>
      </c>
      <c r="AI623">
        <f ca="1"/>
      </c>
      <c r="AJ623">
        <f ca="1"/>
      </c>
      <c r="AK623">
        <f ca="1"/>
      </c>
      <c r="AL623">
        <f ca="1"/>
      </c>
      <c r="AM623">
        <f ca="1"/>
      </c>
      <c r="AN623">
        <f ca="1"/>
      </c>
      <c r="AO623">
        <f ca="1"/>
      </c>
      <c r="AP623">
        <f ca="1"/>
      </c>
      <c r="AQ623">
        <f ca="1"/>
      </c>
      <c r="AR623">
        <f ca="1"/>
      </c>
      <c r="AT623" s="7">
        <f ca="1"/>
      </c>
      <c r="AU623">
        <f ca="1"/>
      </c>
      <c r="AV623">
        <f ca="1"/>
      </c>
      <c r="AW623">
        <f ca="1"/>
      </c>
      <c r="AX623">
        <f ca="1"/>
      </c>
      <c r="AY623">
        <f ca="1"/>
      </c>
      <c r="BA623" s="7"/>
    </row>
    <row r="624" spans="31:53" x14ac:dyDescent="0.55000000000000004">
      <c r="AE624" s="7">
        <f ca="1"/>
      </c>
      <c r="AF624">
        <f ca="1"/>
      </c>
      <c r="AG624">
        <f ca="1"/>
      </c>
      <c r="AH624">
        <f ca="1"/>
      </c>
      <c r="AI624">
        <f ca="1"/>
      </c>
      <c r="AJ624">
        <f ca="1"/>
      </c>
      <c r="AK624">
        <f ca="1"/>
      </c>
      <c r="AL624">
        <f ca="1"/>
      </c>
      <c r="AM624">
        <f ca="1"/>
      </c>
      <c r="AN624">
        <f ca="1"/>
      </c>
      <c r="AO624">
        <f ca="1"/>
      </c>
      <c r="AP624">
        <f ca="1"/>
      </c>
      <c r="AQ624">
        <f ca="1"/>
      </c>
      <c r="AR624">
        <f ca="1"/>
      </c>
      <c r="AT624" s="7">
        <f ca="1"/>
      </c>
      <c r="AU624">
        <f ca="1"/>
      </c>
      <c r="AV624">
        <f ca="1"/>
      </c>
      <c r="AW624">
        <f ca="1"/>
      </c>
      <c r="AX624">
        <f ca="1"/>
      </c>
      <c r="AY624">
        <f ca="1"/>
      </c>
      <c r="BA624" s="7"/>
    </row>
    <row r="625" spans="31:53" x14ac:dyDescent="0.55000000000000004">
      <c r="AE625" s="7">
        <f ca="1"/>
      </c>
      <c r="AF625">
        <f ca="1"/>
      </c>
      <c r="AG625">
        <f ca="1"/>
      </c>
      <c r="AH625">
        <f ca="1"/>
      </c>
      <c r="AI625">
        <f ca="1"/>
      </c>
      <c r="AJ625">
        <f ca="1"/>
      </c>
      <c r="AK625">
        <f ca="1"/>
      </c>
      <c r="AL625">
        <f ca="1"/>
      </c>
      <c r="AM625">
        <f ca="1"/>
      </c>
      <c r="AN625">
        <f ca="1"/>
      </c>
      <c r="AO625">
        <f ca="1"/>
      </c>
      <c r="AP625">
        <f ca="1"/>
      </c>
      <c r="AQ625">
        <f ca="1"/>
      </c>
      <c r="AR625">
        <f ca="1"/>
      </c>
      <c r="AT625" s="7">
        <f ca="1"/>
      </c>
      <c r="AU625">
        <f ca="1"/>
      </c>
      <c r="AV625">
        <f ca="1"/>
      </c>
      <c r="AW625">
        <f ca="1"/>
      </c>
      <c r="AX625">
        <f ca="1"/>
      </c>
      <c r="AY625">
        <f ca="1"/>
      </c>
      <c r="BA625" s="7"/>
    </row>
    <row r="626" spans="31:53" x14ac:dyDescent="0.55000000000000004">
      <c r="AE626" s="7">
        <f ca="1"/>
      </c>
      <c r="AF626">
        <f ca="1"/>
      </c>
      <c r="AG626">
        <f ca="1"/>
      </c>
      <c r="AH626">
        <f ca="1"/>
      </c>
      <c r="AI626">
        <f ca="1"/>
      </c>
      <c r="AJ626">
        <f ca="1"/>
      </c>
      <c r="AK626">
        <f ca="1"/>
      </c>
      <c r="AL626">
        <f ca="1"/>
      </c>
      <c r="AM626">
        <f ca="1"/>
      </c>
      <c r="AN626">
        <f ca="1"/>
      </c>
      <c r="AO626">
        <f ca="1"/>
      </c>
      <c r="AP626">
        <f ca="1"/>
      </c>
      <c r="AQ626">
        <f ca="1"/>
      </c>
      <c r="AR626">
        <f ca="1"/>
      </c>
      <c r="AT626" s="7">
        <f ca="1"/>
      </c>
      <c r="AU626">
        <f ca="1"/>
      </c>
      <c r="AV626">
        <f ca="1"/>
      </c>
      <c r="AW626">
        <f ca="1"/>
      </c>
      <c r="AX626">
        <f ca="1"/>
      </c>
      <c r="AY626">
        <f ca="1"/>
      </c>
      <c r="BA626" s="7"/>
    </row>
    <row r="627" spans="31:53" x14ac:dyDescent="0.55000000000000004">
      <c r="AE627" s="7">
        <f ca="1"/>
      </c>
      <c r="AF627">
        <f ca="1"/>
      </c>
      <c r="AG627">
        <f ca="1"/>
      </c>
      <c r="AH627">
        <f ca="1"/>
      </c>
      <c r="AI627">
        <f ca="1"/>
      </c>
      <c r="AJ627">
        <f ca="1"/>
      </c>
      <c r="AK627">
        <f ca="1"/>
      </c>
      <c r="AL627">
        <f ca="1"/>
      </c>
      <c r="AM627">
        <f ca="1"/>
      </c>
      <c r="AN627">
        <f ca="1"/>
      </c>
      <c r="AO627">
        <f ca="1"/>
      </c>
      <c r="AP627">
        <f ca="1"/>
      </c>
      <c r="AQ627">
        <f ca="1"/>
      </c>
      <c r="AR627">
        <f ca="1"/>
      </c>
      <c r="AT627" s="7">
        <f ca="1"/>
      </c>
      <c r="AU627">
        <f ca="1"/>
      </c>
      <c r="AV627">
        <f ca="1"/>
      </c>
      <c r="AW627">
        <f ca="1"/>
      </c>
      <c r="AX627">
        <f ca="1"/>
      </c>
      <c r="AY627">
        <f ca="1"/>
      </c>
      <c r="BA627" s="7"/>
    </row>
    <row r="628" spans="31:53" x14ac:dyDescent="0.55000000000000004">
      <c r="AE628" s="7">
        <f ca="1"/>
      </c>
      <c r="AF628">
        <f ca="1"/>
      </c>
      <c r="AG628">
        <f ca="1"/>
      </c>
      <c r="AH628">
        <f ca="1"/>
      </c>
      <c r="AI628">
        <f ca="1"/>
      </c>
      <c r="AJ628">
        <f ca="1"/>
      </c>
      <c r="AK628">
        <f ca="1"/>
      </c>
      <c r="AL628">
        <f ca="1"/>
      </c>
      <c r="AM628">
        <f ca="1"/>
      </c>
      <c r="AN628">
        <f ca="1"/>
      </c>
      <c r="AO628">
        <f ca="1"/>
      </c>
      <c r="AP628">
        <f ca="1"/>
      </c>
      <c r="AQ628">
        <f ca="1"/>
      </c>
      <c r="AR628">
        <f ca="1"/>
      </c>
      <c r="AT628" s="7">
        <f ca="1"/>
      </c>
      <c r="AU628">
        <f ca="1"/>
      </c>
      <c r="AV628">
        <f ca="1"/>
      </c>
      <c r="AW628">
        <f ca="1"/>
      </c>
      <c r="AX628">
        <f ca="1"/>
      </c>
      <c r="AY628">
        <f ca="1"/>
      </c>
      <c r="BA628" s="7"/>
    </row>
    <row r="629" spans="31:53" x14ac:dyDescent="0.55000000000000004">
      <c r="AE629" s="7">
        <f ca="1"/>
      </c>
      <c r="AF629">
        <f ca="1"/>
      </c>
      <c r="AG629">
        <f ca="1"/>
      </c>
      <c r="AH629">
        <f ca="1"/>
      </c>
      <c r="AI629">
        <f ca="1"/>
      </c>
      <c r="AJ629">
        <f ca="1"/>
      </c>
      <c r="AK629">
        <f ca="1"/>
      </c>
      <c r="AL629">
        <f ca="1"/>
      </c>
      <c r="AM629">
        <f ca="1"/>
      </c>
      <c r="AN629">
        <f ca="1"/>
      </c>
      <c r="AO629">
        <f ca="1"/>
      </c>
      <c r="AP629">
        <f ca="1"/>
      </c>
      <c r="AQ629">
        <f ca="1"/>
      </c>
      <c r="AR629">
        <f ca="1"/>
      </c>
      <c r="AT629" s="7">
        <f ca="1"/>
      </c>
      <c r="AU629">
        <f ca="1"/>
      </c>
      <c r="AV629">
        <f ca="1"/>
      </c>
      <c r="AW629">
        <f ca="1"/>
      </c>
      <c r="AX629">
        <f ca="1"/>
      </c>
      <c r="AY629">
        <f ca="1"/>
      </c>
      <c r="BA629" s="7"/>
    </row>
    <row r="630" spans="31:53" x14ac:dyDescent="0.55000000000000004">
      <c r="AE630" s="7">
        <f ca="1"/>
      </c>
      <c r="AF630">
        <f ca="1"/>
      </c>
      <c r="AG630">
        <f ca="1"/>
      </c>
      <c r="AH630">
        <f ca="1"/>
      </c>
      <c r="AI630">
        <f ca="1"/>
      </c>
      <c r="AJ630">
        <f ca="1"/>
      </c>
      <c r="AK630">
        <f ca="1"/>
      </c>
      <c r="AL630">
        <f ca="1"/>
      </c>
      <c r="AM630">
        <f ca="1"/>
      </c>
      <c r="AN630">
        <f ca="1"/>
      </c>
      <c r="AO630">
        <f ca="1"/>
      </c>
      <c r="AP630">
        <f ca="1"/>
      </c>
      <c r="AQ630">
        <f ca="1"/>
      </c>
      <c r="AR630">
        <f ca="1"/>
      </c>
      <c r="AT630" s="7">
        <f ca="1"/>
      </c>
      <c r="AU630">
        <f ca="1"/>
      </c>
      <c r="AV630">
        <f ca="1"/>
      </c>
      <c r="AW630">
        <f ca="1"/>
      </c>
      <c r="AX630">
        <f ca="1"/>
      </c>
      <c r="AY630">
        <f ca="1"/>
      </c>
      <c r="BA630" s="7"/>
    </row>
    <row r="631" spans="31:53" x14ac:dyDescent="0.55000000000000004">
      <c r="AE631" s="7">
        <f ca="1"/>
      </c>
      <c r="AF631">
        <f ca="1"/>
      </c>
      <c r="AG631">
        <f ca="1"/>
      </c>
      <c r="AH631">
        <f ca="1"/>
      </c>
      <c r="AI631">
        <f ca="1"/>
      </c>
      <c r="AJ631">
        <f ca="1"/>
      </c>
      <c r="AK631">
        <f ca="1"/>
      </c>
      <c r="AL631">
        <f ca="1"/>
      </c>
      <c r="AM631">
        <f ca="1"/>
      </c>
      <c r="AN631">
        <f ca="1"/>
      </c>
      <c r="AO631">
        <f ca="1"/>
      </c>
      <c r="AP631">
        <f ca="1"/>
      </c>
      <c r="AQ631">
        <f ca="1"/>
      </c>
      <c r="AR631">
        <f ca="1"/>
      </c>
      <c r="AT631" s="7">
        <f ca="1"/>
      </c>
      <c r="AU631">
        <f ca="1"/>
      </c>
      <c r="AV631">
        <f ca="1"/>
      </c>
      <c r="AW631">
        <f ca="1"/>
      </c>
      <c r="AX631">
        <f ca="1"/>
      </c>
      <c r="AY631">
        <f ca="1"/>
      </c>
      <c r="BA631" s="7"/>
    </row>
    <row r="632" spans="31:53" x14ac:dyDescent="0.55000000000000004">
      <c r="AE632" s="7">
        <f ca="1"/>
      </c>
      <c r="AF632">
        <f ca="1"/>
      </c>
      <c r="AG632">
        <f ca="1"/>
      </c>
      <c r="AH632">
        <f ca="1"/>
      </c>
      <c r="AI632">
        <f ca="1"/>
      </c>
      <c r="AJ632">
        <f ca="1"/>
      </c>
      <c r="AK632">
        <f ca="1"/>
      </c>
      <c r="AL632">
        <f ca="1"/>
      </c>
      <c r="AM632">
        <f ca="1"/>
      </c>
      <c r="AN632">
        <f ca="1"/>
      </c>
      <c r="AO632">
        <f ca="1"/>
      </c>
      <c r="AP632">
        <f ca="1"/>
      </c>
      <c r="AQ632">
        <f ca="1"/>
      </c>
      <c r="AR632">
        <f ca="1"/>
      </c>
      <c r="AT632" s="7">
        <f ca="1"/>
      </c>
      <c r="AU632">
        <f ca="1"/>
      </c>
      <c r="AV632">
        <f ca="1"/>
      </c>
      <c r="AW632">
        <f ca="1"/>
      </c>
      <c r="AX632">
        <f ca="1"/>
      </c>
      <c r="AY632">
        <f ca="1"/>
      </c>
      <c r="BA632" s="7"/>
    </row>
    <row r="633" spans="31:53" x14ac:dyDescent="0.55000000000000004">
      <c r="AE633" s="7">
        <f ca="1"/>
      </c>
      <c r="AF633">
        <f ca="1"/>
      </c>
      <c r="AG633">
        <f ca="1"/>
      </c>
      <c r="AH633">
        <f ca="1"/>
      </c>
      <c r="AI633">
        <f ca="1"/>
      </c>
      <c r="AJ633">
        <f ca="1"/>
      </c>
      <c r="AK633">
        <f ca="1"/>
      </c>
      <c r="AL633">
        <f ca="1"/>
      </c>
      <c r="AM633">
        <f ca="1"/>
      </c>
      <c r="AN633">
        <f ca="1"/>
      </c>
      <c r="AO633">
        <f ca="1"/>
      </c>
      <c r="AP633">
        <f ca="1"/>
      </c>
      <c r="AQ633">
        <f ca="1"/>
      </c>
      <c r="AR633">
        <f ca="1"/>
      </c>
      <c r="AT633" s="7">
        <f ca="1"/>
      </c>
      <c r="AU633">
        <f ca="1"/>
      </c>
      <c r="AV633">
        <f ca="1"/>
      </c>
      <c r="AW633">
        <f ca="1"/>
      </c>
      <c r="AX633">
        <f ca="1"/>
      </c>
      <c r="AY633">
        <f ca="1"/>
      </c>
      <c r="BA633" s="7"/>
    </row>
    <row r="634" spans="31:53" x14ac:dyDescent="0.55000000000000004">
      <c r="AE634" s="7">
        <f ca="1"/>
      </c>
      <c r="AF634">
        <f ca="1"/>
      </c>
      <c r="AG634">
        <f ca="1"/>
      </c>
      <c r="AH634">
        <f ca="1"/>
      </c>
      <c r="AI634">
        <f ca="1"/>
      </c>
      <c r="AJ634">
        <f ca="1"/>
      </c>
      <c r="AK634">
        <f ca="1"/>
      </c>
      <c r="AL634">
        <f ca="1"/>
      </c>
      <c r="AM634">
        <f ca="1"/>
      </c>
      <c r="AN634">
        <f ca="1"/>
      </c>
      <c r="AO634">
        <f ca="1"/>
      </c>
      <c r="AP634">
        <f ca="1"/>
      </c>
      <c r="AQ634">
        <f ca="1"/>
      </c>
      <c r="AR634">
        <f ca="1"/>
      </c>
      <c r="AT634" s="7">
        <f ca="1"/>
      </c>
      <c r="AU634">
        <f ca="1"/>
      </c>
      <c r="AV634">
        <f ca="1"/>
      </c>
      <c r="AW634">
        <f ca="1"/>
      </c>
      <c r="AX634">
        <f ca="1"/>
      </c>
      <c r="AY634">
        <f ca="1"/>
      </c>
      <c r="BA634" s="7"/>
    </row>
    <row r="635" spans="31:53" x14ac:dyDescent="0.55000000000000004">
      <c r="AE635" s="7">
        <f ca="1"/>
      </c>
      <c r="AF635">
        <f ca="1"/>
      </c>
      <c r="AG635">
        <f ca="1"/>
      </c>
      <c r="AH635">
        <f ca="1"/>
      </c>
      <c r="AI635">
        <f ca="1"/>
      </c>
      <c r="AJ635">
        <f ca="1"/>
      </c>
      <c r="AK635">
        <f ca="1"/>
      </c>
      <c r="AL635">
        <f ca="1"/>
      </c>
      <c r="AM635">
        <f ca="1"/>
      </c>
      <c r="AN635">
        <f ca="1"/>
      </c>
      <c r="AO635">
        <f ca="1"/>
      </c>
      <c r="AP635">
        <f ca="1"/>
      </c>
      <c r="AQ635">
        <f ca="1"/>
      </c>
      <c r="AR635">
        <f ca="1"/>
      </c>
      <c r="AT635" s="7">
        <f ca="1"/>
      </c>
      <c r="AU635">
        <f ca="1"/>
      </c>
      <c r="AV635">
        <f ca="1"/>
      </c>
      <c r="AW635">
        <f ca="1"/>
      </c>
      <c r="AX635">
        <f ca="1"/>
      </c>
      <c r="AY635">
        <f ca="1"/>
      </c>
      <c r="BA635" s="7"/>
    </row>
    <row r="636" spans="31:53" x14ac:dyDescent="0.55000000000000004">
      <c r="AE636" s="7">
        <f ca="1"/>
      </c>
      <c r="AF636">
        <f ca="1"/>
      </c>
      <c r="AG636">
        <f ca="1"/>
      </c>
      <c r="AH636">
        <f ca="1"/>
      </c>
      <c r="AI636">
        <f ca="1"/>
      </c>
      <c r="AJ636">
        <f ca="1"/>
      </c>
      <c r="AK636">
        <f ca="1"/>
      </c>
      <c r="AL636">
        <f ca="1"/>
      </c>
      <c r="AM636">
        <f ca="1"/>
      </c>
      <c r="AN636">
        <f ca="1"/>
      </c>
      <c r="AO636">
        <f ca="1"/>
      </c>
      <c r="AP636">
        <f ca="1"/>
      </c>
      <c r="AQ636">
        <f ca="1"/>
      </c>
      <c r="AR636">
        <f ca="1"/>
      </c>
      <c r="AT636" s="7">
        <f ca="1"/>
      </c>
      <c r="AU636">
        <f ca="1"/>
      </c>
      <c r="AV636">
        <f ca="1"/>
      </c>
      <c r="AW636">
        <f ca="1"/>
      </c>
      <c r="AX636">
        <f ca="1"/>
      </c>
      <c r="AY636">
        <f ca="1"/>
      </c>
      <c r="BA636" s="7"/>
    </row>
    <row r="637" spans="31:53" x14ac:dyDescent="0.55000000000000004">
      <c r="AE637" s="7">
        <f ca="1"/>
      </c>
      <c r="AF637">
        <f ca="1"/>
      </c>
      <c r="AG637">
        <f ca="1"/>
      </c>
      <c r="AH637">
        <f ca="1"/>
      </c>
      <c r="AI637">
        <f ca="1"/>
      </c>
      <c r="AJ637">
        <f ca="1"/>
      </c>
      <c r="AK637">
        <f ca="1"/>
      </c>
      <c r="AL637">
        <f ca="1"/>
      </c>
      <c r="AM637">
        <f ca="1"/>
      </c>
      <c r="AN637">
        <f ca="1"/>
      </c>
      <c r="AO637">
        <f ca="1"/>
      </c>
      <c r="AP637">
        <f ca="1"/>
      </c>
      <c r="AQ637">
        <f ca="1"/>
      </c>
      <c r="AR637">
        <f ca="1"/>
      </c>
      <c r="AT637" s="7">
        <f ca="1"/>
      </c>
      <c r="AU637">
        <f ca="1"/>
      </c>
      <c r="AV637">
        <f ca="1"/>
      </c>
      <c r="AW637">
        <f ca="1"/>
      </c>
      <c r="AX637">
        <f ca="1"/>
      </c>
      <c r="AY637">
        <f ca="1"/>
      </c>
      <c r="BA637" s="7"/>
    </row>
    <row r="638" spans="31:53" x14ac:dyDescent="0.55000000000000004">
      <c r="AE638" s="7">
        <f ca="1"/>
      </c>
      <c r="AF638">
        <f ca="1"/>
      </c>
      <c r="AG638">
        <f ca="1"/>
      </c>
      <c r="AH638">
        <f ca="1"/>
      </c>
      <c r="AI638">
        <f ca="1"/>
      </c>
      <c r="AJ638">
        <f ca="1"/>
      </c>
      <c r="AK638">
        <f ca="1"/>
      </c>
      <c r="AL638">
        <f ca="1"/>
      </c>
      <c r="AM638">
        <f ca="1"/>
      </c>
      <c r="AN638">
        <f ca="1"/>
      </c>
      <c r="AO638">
        <f ca="1"/>
      </c>
      <c r="AP638">
        <f ca="1"/>
      </c>
      <c r="AQ638">
        <f ca="1"/>
      </c>
      <c r="AR638">
        <f ca="1"/>
      </c>
      <c r="AT638" s="7">
        <f ca="1"/>
      </c>
      <c r="AU638">
        <f ca="1"/>
      </c>
      <c r="AV638">
        <f ca="1"/>
      </c>
      <c r="AW638">
        <f ca="1"/>
      </c>
      <c r="AX638">
        <f ca="1"/>
      </c>
      <c r="AY638">
        <f ca="1"/>
      </c>
      <c r="BA638" s="7"/>
    </row>
    <row r="639" spans="31:53" x14ac:dyDescent="0.55000000000000004">
      <c r="AE639" s="7">
        <f ca="1"/>
      </c>
      <c r="AF639">
        <f ca="1"/>
      </c>
      <c r="AG639">
        <f ca="1"/>
      </c>
      <c r="AH639">
        <f ca="1"/>
      </c>
      <c r="AI639">
        <f ca="1"/>
      </c>
      <c r="AJ639">
        <f ca="1"/>
      </c>
      <c r="AK639">
        <f ca="1"/>
      </c>
      <c r="AL639">
        <f ca="1"/>
      </c>
      <c r="AM639">
        <f ca="1"/>
      </c>
      <c r="AN639">
        <f ca="1"/>
      </c>
      <c r="AO639">
        <f ca="1"/>
      </c>
      <c r="AP639">
        <f ca="1"/>
      </c>
      <c r="AQ639">
        <f ca="1"/>
      </c>
      <c r="AR639">
        <f ca="1"/>
      </c>
      <c r="AT639" s="7">
        <f ca="1"/>
      </c>
      <c r="AU639">
        <f ca="1"/>
      </c>
      <c r="AV639">
        <f ca="1"/>
      </c>
      <c r="AW639">
        <f ca="1"/>
      </c>
      <c r="AX639">
        <f ca="1"/>
      </c>
      <c r="AY639">
        <f ca="1"/>
      </c>
      <c r="BA639" s="7"/>
    </row>
    <row r="640" spans="31:53" x14ac:dyDescent="0.55000000000000004">
      <c r="AE640" s="7">
        <f ca="1"/>
      </c>
      <c r="AF640">
        <f ca="1"/>
      </c>
      <c r="AG640">
        <f ca="1"/>
      </c>
      <c r="AH640">
        <f ca="1"/>
      </c>
      <c r="AI640">
        <f ca="1"/>
      </c>
      <c r="AJ640">
        <f ca="1"/>
      </c>
      <c r="AK640">
        <f ca="1"/>
      </c>
      <c r="AL640">
        <f ca="1"/>
      </c>
      <c r="AM640">
        <f ca="1"/>
      </c>
      <c r="AN640">
        <f ca="1"/>
      </c>
      <c r="AO640">
        <f ca="1"/>
      </c>
      <c r="AP640">
        <f ca="1"/>
      </c>
      <c r="AQ640">
        <f ca="1"/>
      </c>
      <c r="AR640">
        <f ca="1"/>
      </c>
      <c r="AT640" s="7">
        <f ca="1"/>
      </c>
      <c r="AU640">
        <f ca="1"/>
      </c>
      <c r="AV640">
        <f ca="1"/>
      </c>
      <c r="AW640">
        <f ca="1"/>
      </c>
      <c r="AX640">
        <f ca="1"/>
      </c>
      <c r="AY640">
        <f ca="1"/>
      </c>
      <c r="BA640" s="7"/>
    </row>
    <row r="641" spans="31:53" x14ac:dyDescent="0.55000000000000004">
      <c r="AE641" s="7">
        <f ca="1"/>
      </c>
      <c r="AF641">
        <f ca="1"/>
      </c>
      <c r="AG641">
        <f ca="1"/>
      </c>
      <c r="AH641">
        <f ca="1"/>
      </c>
      <c r="AI641">
        <f ca="1"/>
      </c>
      <c r="AJ641">
        <f ca="1"/>
      </c>
      <c r="AK641">
        <f ca="1"/>
      </c>
      <c r="AL641">
        <f ca="1"/>
      </c>
      <c r="AM641">
        <f ca="1"/>
      </c>
      <c r="AN641">
        <f ca="1"/>
      </c>
      <c r="AO641">
        <f ca="1"/>
      </c>
      <c r="AP641">
        <f ca="1"/>
      </c>
      <c r="AQ641">
        <f ca="1"/>
      </c>
      <c r="AR641">
        <f ca="1"/>
      </c>
      <c r="AT641" s="7">
        <f ca="1"/>
      </c>
      <c r="AU641">
        <f ca="1"/>
      </c>
      <c r="AV641">
        <f ca="1"/>
      </c>
      <c r="AW641">
        <f ca="1"/>
      </c>
      <c r="AX641">
        <f ca="1"/>
      </c>
      <c r="AY641">
        <f ca="1"/>
      </c>
      <c r="BA641" s="7"/>
    </row>
    <row r="642" spans="31:53" x14ac:dyDescent="0.55000000000000004">
      <c r="AE642" s="7">
        <f ca="1"/>
      </c>
      <c r="AF642">
        <f ca="1"/>
      </c>
      <c r="AG642">
        <f ca="1"/>
      </c>
      <c r="AH642">
        <f ca="1"/>
      </c>
      <c r="AI642">
        <f ca="1"/>
      </c>
      <c r="AJ642">
        <f ca="1"/>
      </c>
      <c r="AK642">
        <f ca="1"/>
      </c>
      <c r="AL642">
        <f ca="1"/>
      </c>
      <c r="AM642">
        <f ca="1"/>
      </c>
      <c r="AN642">
        <f ca="1"/>
      </c>
      <c r="AO642">
        <f ca="1"/>
      </c>
      <c r="AP642">
        <f ca="1"/>
      </c>
      <c r="AQ642">
        <f ca="1"/>
      </c>
      <c r="AR642">
        <f ca="1"/>
      </c>
      <c r="AT642" s="7">
        <f ca="1"/>
      </c>
      <c r="AU642">
        <f ca="1"/>
      </c>
      <c r="AV642">
        <f ca="1"/>
      </c>
      <c r="AW642">
        <f ca="1"/>
      </c>
      <c r="AX642">
        <f ca="1"/>
      </c>
      <c r="AY642">
        <f ca="1"/>
      </c>
      <c r="BA642" s="7"/>
    </row>
    <row r="643" spans="31:53" x14ac:dyDescent="0.55000000000000004">
      <c r="AE643" s="7">
        <f ca="1"/>
      </c>
      <c r="AF643">
        <f ca="1"/>
      </c>
      <c r="AG643">
        <f ca="1"/>
      </c>
      <c r="AH643">
        <f ca="1"/>
      </c>
      <c r="AI643">
        <f ca="1"/>
      </c>
      <c r="AJ643">
        <f ca="1"/>
      </c>
      <c r="AK643">
        <f ca="1"/>
      </c>
      <c r="AL643">
        <f ca="1"/>
      </c>
      <c r="AM643">
        <f ca="1"/>
      </c>
      <c r="AN643">
        <f ca="1"/>
      </c>
      <c r="AO643">
        <f ca="1"/>
      </c>
      <c r="AP643">
        <f ca="1"/>
      </c>
      <c r="AQ643">
        <f ca="1"/>
      </c>
      <c r="AR643">
        <f ca="1"/>
      </c>
      <c r="AT643" s="7">
        <f ca="1"/>
      </c>
      <c r="AU643">
        <f ca="1"/>
      </c>
      <c r="AV643">
        <f ca="1"/>
      </c>
      <c r="AW643">
        <f ca="1"/>
      </c>
      <c r="AX643">
        <f ca="1"/>
      </c>
      <c r="AY643">
        <f ca="1"/>
      </c>
      <c r="BA643" s="7"/>
    </row>
    <row r="644" spans="31:53" x14ac:dyDescent="0.55000000000000004">
      <c r="AE644" s="7">
        <f ca="1"/>
      </c>
      <c r="AF644">
        <f ca="1"/>
      </c>
      <c r="AG644">
        <f ca="1"/>
      </c>
      <c r="AH644">
        <f ca="1"/>
      </c>
      <c r="AI644">
        <f ca="1"/>
      </c>
      <c r="AJ644">
        <f ca="1"/>
      </c>
      <c r="AK644">
        <f ca="1"/>
      </c>
      <c r="AL644">
        <f ca="1"/>
      </c>
      <c r="AM644">
        <f ca="1"/>
      </c>
      <c r="AN644">
        <f ca="1"/>
      </c>
      <c r="AO644">
        <f ca="1"/>
      </c>
      <c r="AP644">
        <f ca="1"/>
      </c>
      <c r="AQ644">
        <f ca="1"/>
      </c>
      <c r="AR644">
        <f ca="1"/>
      </c>
      <c r="AT644" s="7">
        <f ca="1"/>
      </c>
      <c r="AU644">
        <f ca="1"/>
      </c>
      <c r="AV644">
        <f ca="1"/>
      </c>
      <c r="AW644">
        <f ca="1"/>
      </c>
      <c r="AX644">
        <f ca="1"/>
      </c>
      <c r="AY644">
        <f ca="1"/>
      </c>
      <c r="BA644" s="7"/>
    </row>
    <row r="645" spans="31:53" x14ac:dyDescent="0.55000000000000004">
      <c r="AE645" s="7">
        <f ca="1"/>
      </c>
      <c r="AF645">
        <f ca="1"/>
      </c>
      <c r="AG645">
        <f ca="1"/>
      </c>
      <c r="AH645">
        <f ca="1"/>
      </c>
      <c r="AI645">
        <f ca="1"/>
      </c>
      <c r="AJ645">
        <f ca="1"/>
      </c>
      <c r="AK645">
        <f ca="1"/>
      </c>
      <c r="AL645">
        <f ca="1"/>
      </c>
      <c r="AM645">
        <f ca="1"/>
      </c>
      <c r="AN645">
        <f ca="1"/>
      </c>
      <c r="AO645">
        <f ca="1"/>
      </c>
      <c r="AP645">
        <f ca="1"/>
      </c>
      <c r="AQ645">
        <f ca="1"/>
      </c>
      <c r="AR645">
        <f ca="1"/>
      </c>
      <c r="AT645" s="7">
        <f ca="1"/>
      </c>
      <c r="AU645">
        <f ca="1"/>
      </c>
      <c r="AV645">
        <f ca="1"/>
      </c>
      <c r="AW645">
        <f ca="1"/>
      </c>
      <c r="AX645">
        <f ca="1"/>
      </c>
      <c r="AY645">
        <f ca="1"/>
      </c>
      <c r="BA645" s="7"/>
    </row>
    <row r="646" spans="31:53" x14ac:dyDescent="0.55000000000000004">
      <c r="AE646" s="7">
        <f ca="1"/>
      </c>
      <c r="AF646">
        <f ca="1"/>
      </c>
      <c r="AG646">
        <f ca="1"/>
      </c>
      <c r="AH646">
        <f ca="1"/>
      </c>
      <c r="AI646">
        <f ca="1"/>
      </c>
      <c r="AJ646">
        <f ca="1"/>
      </c>
      <c r="AK646">
        <f ca="1"/>
      </c>
      <c r="AL646">
        <f ca="1"/>
      </c>
      <c r="AM646">
        <f ca="1"/>
      </c>
      <c r="AN646">
        <f ca="1"/>
      </c>
      <c r="AO646">
        <f ca="1"/>
      </c>
      <c r="AP646">
        <f ca="1"/>
      </c>
      <c r="AQ646">
        <f ca="1"/>
      </c>
      <c r="AR646">
        <f ca="1"/>
      </c>
      <c r="AT646" s="7">
        <f ca="1"/>
      </c>
      <c r="AU646">
        <f ca="1"/>
      </c>
      <c r="AV646">
        <f ca="1"/>
      </c>
      <c r="AW646">
        <f ca="1"/>
      </c>
      <c r="AX646">
        <f ca="1"/>
      </c>
      <c r="AY646">
        <f ca="1"/>
      </c>
      <c r="BA646" s="7"/>
    </row>
    <row r="647" spans="31:53" x14ac:dyDescent="0.55000000000000004">
      <c r="AE647" s="7">
        <f ca="1"/>
      </c>
      <c r="AF647">
        <f ca="1"/>
      </c>
      <c r="AG647">
        <f ca="1"/>
      </c>
      <c r="AH647">
        <f ca="1"/>
      </c>
      <c r="AI647">
        <f ca="1"/>
      </c>
      <c r="AJ647">
        <f ca="1"/>
      </c>
      <c r="AK647">
        <f ca="1"/>
      </c>
      <c r="AL647">
        <f ca="1"/>
      </c>
      <c r="AM647">
        <f ca="1"/>
      </c>
      <c r="AN647">
        <f ca="1"/>
      </c>
      <c r="AO647">
        <f ca="1"/>
      </c>
      <c r="AP647">
        <f ca="1"/>
      </c>
      <c r="AQ647">
        <f ca="1"/>
      </c>
      <c r="AR647">
        <f ca="1"/>
      </c>
      <c r="AT647" s="7">
        <f ca="1"/>
      </c>
      <c r="AU647">
        <f ca="1"/>
      </c>
      <c r="AV647">
        <f ca="1"/>
      </c>
      <c r="AW647">
        <f ca="1"/>
      </c>
      <c r="AX647">
        <f ca="1"/>
      </c>
      <c r="AY647">
        <f ca="1"/>
      </c>
      <c r="BA647" s="7"/>
    </row>
    <row r="648" spans="31:53" x14ac:dyDescent="0.55000000000000004">
      <c r="AE648" s="7">
        <f ca="1"/>
      </c>
      <c r="AF648">
        <f ca="1"/>
      </c>
      <c r="AG648">
        <f ca="1"/>
      </c>
      <c r="AH648">
        <f ca="1"/>
      </c>
      <c r="AI648">
        <f ca="1"/>
      </c>
      <c r="AJ648">
        <f ca="1"/>
      </c>
      <c r="AK648">
        <f ca="1"/>
      </c>
      <c r="AL648">
        <f ca="1"/>
      </c>
      <c r="AM648">
        <f ca="1"/>
      </c>
      <c r="AN648">
        <f ca="1"/>
      </c>
      <c r="AO648">
        <f ca="1"/>
      </c>
      <c r="AP648">
        <f ca="1"/>
      </c>
      <c r="AQ648">
        <f ca="1"/>
      </c>
      <c r="AR648">
        <f ca="1"/>
      </c>
      <c r="AT648" s="7">
        <f ca="1"/>
      </c>
      <c r="AU648">
        <f ca="1"/>
      </c>
      <c r="AV648">
        <f ca="1"/>
      </c>
      <c r="AW648">
        <f ca="1"/>
      </c>
      <c r="AX648">
        <f ca="1"/>
      </c>
      <c r="AY648">
        <f ca="1"/>
      </c>
      <c r="BA648" s="7"/>
    </row>
    <row r="649" spans="31:53" x14ac:dyDescent="0.55000000000000004">
      <c r="AE649" s="7">
        <f ca="1"/>
      </c>
      <c r="AF649">
        <f ca="1"/>
      </c>
      <c r="AG649">
        <f ca="1"/>
      </c>
      <c r="AH649">
        <f ca="1"/>
      </c>
      <c r="AI649">
        <f ca="1"/>
      </c>
      <c r="AJ649">
        <f ca="1"/>
      </c>
      <c r="AK649">
        <f ca="1"/>
      </c>
      <c r="AL649">
        <f ca="1"/>
      </c>
      <c r="AM649">
        <f ca="1"/>
      </c>
      <c r="AN649">
        <f ca="1"/>
      </c>
      <c r="AO649">
        <f ca="1"/>
      </c>
      <c r="AP649">
        <f ca="1"/>
      </c>
      <c r="AQ649">
        <f ca="1"/>
      </c>
      <c r="AR649">
        <f ca="1"/>
      </c>
      <c r="AT649" s="7">
        <f ca="1"/>
      </c>
      <c r="AU649">
        <f ca="1"/>
      </c>
      <c r="AV649">
        <f ca="1"/>
      </c>
      <c r="AW649">
        <f ca="1"/>
      </c>
      <c r="AX649">
        <f ca="1"/>
      </c>
      <c r="AY649">
        <f ca="1"/>
      </c>
      <c r="BA649" s="7"/>
    </row>
    <row r="650" spans="31:53" x14ac:dyDescent="0.55000000000000004">
      <c r="AE650" s="7">
        <f ca="1"/>
      </c>
      <c r="AF650">
        <f ca="1"/>
      </c>
      <c r="AG650">
        <f ca="1"/>
      </c>
      <c r="AH650">
        <f ca="1"/>
      </c>
      <c r="AI650">
        <f ca="1"/>
      </c>
      <c r="AJ650">
        <f ca="1"/>
      </c>
      <c r="AK650">
        <f ca="1"/>
      </c>
      <c r="AL650">
        <f ca="1"/>
      </c>
      <c r="AM650">
        <f ca="1"/>
      </c>
      <c r="AN650">
        <f ca="1"/>
      </c>
      <c r="AO650">
        <f ca="1"/>
      </c>
      <c r="AP650">
        <f ca="1"/>
      </c>
      <c r="AQ650">
        <f ca="1"/>
      </c>
      <c r="AR650">
        <f ca="1"/>
      </c>
      <c r="AT650" s="7">
        <f ca="1"/>
      </c>
      <c r="AU650">
        <f ca="1"/>
      </c>
      <c r="AV650">
        <f ca="1"/>
      </c>
      <c r="AW650">
        <f ca="1"/>
      </c>
      <c r="AX650">
        <f ca="1"/>
      </c>
      <c r="AY650">
        <f ca="1"/>
      </c>
      <c r="BA650" s="7"/>
    </row>
    <row r="651" spans="31:53" x14ac:dyDescent="0.55000000000000004">
      <c r="AE651" s="7">
        <f ca="1"/>
      </c>
      <c r="AF651">
        <f ca="1"/>
      </c>
      <c r="AG651">
        <f ca="1"/>
      </c>
      <c r="AH651">
        <f ca="1"/>
      </c>
      <c r="AI651">
        <f ca="1"/>
      </c>
      <c r="AJ651">
        <f ca="1"/>
      </c>
      <c r="AK651">
        <f ca="1"/>
      </c>
      <c r="AL651">
        <f ca="1"/>
      </c>
      <c r="AM651">
        <f ca="1"/>
      </c>
      <c r="AN651">
        <f ca="1"/>
      </c>
      <c r="AO651">
        <f ca="1"/>
      </c>
      <c r="AP651">
        <f ca="1"/>
      </c>
      <c r="AQ651">
        <f ca="1"/>
      </c>
      <c r="AR651">
        <f ca="1"/>
      </c>
      <c r="AT651" s="7">
        <f ca="1"/>
      </c>
      <c r="AU651">
        <f ca="1"/>
      </c>
      <c r="AV651">
        <f ca="1"/>
      </c>
      <c r="AW651">
        <f ca="1"/>
      </c>
      <c r="AX651">
        <f ca="1"/>
      </c>
      <c r="AY651">
        <f ca="1"/>
      </c>
      <c r="BA651" s="7"/>
    </row>
    <row r="652" spans="31:53" x14ac:dyDescent="0.55000000000000004">
      <c r="AE652" s="7">
        <f ca="1"/>
      </c>
      <c r="AF652">
        <f ca="1"/>
      </c>
      <c r="AG652">
        <f ca="1"/>
      </c>
      <c r="AH652">
        <f ca="1"/>
      </c>
      <c r="AI652">
        <f ca="1"/>
      </c>
      <c r="AJ652">
        <f ca="1"/>
      </c>
      <c r="AK652">
        <f ca="1"/>
      </c>
      <c r="AL652">
        <f ca="1"/>
      </c>
      <c r="AM652">
        <f ca="1"/>
      </c>
      <c r="AN652">
        <f ca="1"/>
      </c>
      <c r="AO652">
        <f ca="1"/>
      </c>
      <c r="AP652">
        <f ca="1"/>
      </c>
      <c r="AQ652">
        <f ca="1"/>
      </c>
      <c r="AR652">
        <f ca="1"/>
      </c>
      <c r="AT652" s="7">
        <f ca="1"/>
      </c>
      <c r="AU652">
        <f ca="1"/>
      </c>
      <c r="AV652">
        <f ca="1"/>
      </c>
      <c r="AW652">
        <f ca="1"/>
      </c>
      <c r="AX652">
        <f ca="1"/>
      </c>
      <c r="AY652">
        <f ca="1"/>
      </c>
      <c r="BA652" s="7"/>
    </row>
    <row r="653" spans="31:53" x14ac:dyDescent="0.55000000000000004">
      <c r="AE653" s="7">
        <f ca="1"/>
      </c>
      <c r="AF653">
        <f ca="1"/>
      </c>
      <c r="AG653">
        <f ca="1"/>
      </c>
      <c r="AH653">
        <f ca="1"/>
      </c>
      <c r="AI653">
        <f ca="1"/>
      </c>
      <c r="AJ653">
        <f ca="1"/>
      </c>
      <c r="AK653">
        <f ca="1"/>
      </c>
      <c r="AL653">
        <f ca="1"/>
      </c>
      <c r="AM653">
        <f ca="1"/>
      </c>
      <c r="AN653">
        <f ca="1"/>
      </c>
      <c r="AO653">
        <f ca="1"/>
      </c>
      <c r="AP653">
        <f ca="1"/>
      </c>
      <c r="AQ653">
        <f ca="1"/>
      </c>
      <c r="AR653">
        <f ca="1"/>
      </c>
      <c r="AT653" s="7">
        <f ca="1"/>
      </c>
      <c r="AU653">
        <f ca="1"/>
      </c>
      <c r="AV653">
        <f ca="1"/>
      </c>
      <c r="AW653">
        <f ca="1"/>
      </c>
      <c r="AX653">
        <f ca="1"/>
      </c>
      <c r="AY653">
        <f ca="1"/>
      </c>
      <c r="BA653" s="7"/>
    </row>
    <row r="654" spans="31:53" x14ac:dyDescent="0.55000000000000004">
      <c r="AE654" s="7">
        <f ca="1"/>
      </c>
      <c r="AF654">
        <f ca="1"/>
      </c>
      <c r="AG654">
        <f ca="1"/>
      </c>
      <c r="AH654">
        <f ca="1"/>
      </c>
      <c r="AI654">
        <f ca="1"/>
      </c>
      <c r="AJ654">
        <f ca="1"/>
      </c>
      <c r="AK654">
        <f ca="1"/>
      </c>
      <c r="AL654">
        <f ca="1"/>
      </c>
      <c r="AM654">
        <f ca="1"/>
      </c>
      <c r="AN654">
        <f ca="1"/>
      </c>
      <c r="AO654">
        <f ca="1"/>
      </c>
      <c r="AP654">
        <f ca="1"/>
      </c>
      <c r="AQ654">
        <f ca="1"/>
      </c>
      <c r="AR654">
        <f ca="1"/>
      </c>
      <c r="AT654" s="7">
        <f ca="1"/>
      </c>
      <c r="AU654">
        <f ca="1"/>
      </c>
      <c r="AV654">
        <f ca="1"/>
      </c>
      <c r="AW654">
        <f ca="1"/>
      </c>
      <c r="AX654">
        <f ca="1"/>
      </c>
      <c r="AY654">
        <f ca="1"/>
      </c>
      <c r="BA654" s="7"/>
    </row>
    <row r="655" spans="31:53" x14ac:dyDescent="0.55000000000000004">
      <c r="AE655" s="7">
        <f ca="1"/>
      </c>
      <c r="AF655">
        <f ca="1"/>
      </c>
      <c r="AG655">
        <f ca="1"/>
      </c>
      <c r="AH655">
        <f ca="1"/>
      </c>
      <c r="AI655">
        <f ca="1"/>
      </c>
      <c r="AJ655">
        <f ca="1"/>
      </c>
      <c r="AK655">
        <f ca="1"/>
      </c>
      <c r="AL655">
        <f ca="1"/>
      </c>
      <c r="AM655">
        <f ca="1"/>
      </c>
      <c r="AN655">
        <f ca="1"/>
      </c>
      <c r="AO655">
        <f ca="1"/>
      </c>
      <c r="AP655">
        <f ca="1"/>
      </c>
      <c r="AQ655">
        <f ca="1"/>
      </c>
      <c r="AR655">
        <f ca="1"/>
      </c>
      <c r="AT655" s="7">
        <f ca="1"/>
      </c>
      <c r="AU655">
        <f ca="1"/>
      </c>
      <c r="AV655">
        <f ca="1"/>
      </c>
      <c r="AW655">
        <f ca="1"/>
      </c>
      <c r="AX655">
        <f ca="1"/>
      </c>
      <c r="AY655">
        <f ca="1"/>
      </c>
      <c r="BA655" s="7"/>
    </row>
    <row r="656" spans="31:53" x14ac:dyDescent="0.55000000000000004">
      <c r="AE656" s="7">
        <f ca="1"/>
      </c>
      <c r="AF656">
        <f ca="1"/>
      </c>
      <c r="AG656">
        <f ca="1"/>
      </c>
      <c r="AH656">
        <f ca="1"/>
      </c>
      <c r="AI656">
        <f ca="1"/>
      </c>
      <c r="AJ656">
        <f ca="1"/>
      </c>
      <c r="AK656">
        <f ca="1"/>
      </c>
      <c r="AL656">
        <f ca="1"/>
      </c>
      <c r="AM656">
        <f ca="1"/>
      </c>
      <c r="AN656">
        <f ca="1"/>
      </c>
      <c r="AO656">
        <f ca="1"/>
      </c>
      <c r="AP656">
        <f ca="1"/>
      </c>
      <c r="AQ656">
        <f ca="1"/>
      </c>
      <c r="AR656">
        <f ca="1"/>
      </c>
      <c r="AT656" s="7">
        <f ca="1"/>
      </c>
      <c r="AU656">
        <f ca="1"/>
      </c>
      <c r="AV656">
        <f ca="1"/>
      </c>
      <c r="AW656">
        <f ca="1"/>
      </c>
      <c r="AX656">
        <f ca="1"/>
      </c>
      <c r="AY656">
        <f ca="1"/>
      </c>
      <c r="BA656" s="7"/>
    </row>
    <row r="657" spans="31:53" x14ac:dyDescent="0.55000000000000004">
      <c r="AE657" s="7">
        <f ca="1"/>
      </c>
      <c r="AF657">
        <f ca="1"/>
      </c>
      <c r="AG657">
        <f ca="1"/>
      </c>
      <c r="AH657">
        <f ca="1"/>
      </c>
      <c r="AI657">
        <f ca="1"/>
      </c>
      <c r="AJ657">
        <f ca="1"/>
      </c>
      <c r="AK657">
        <f ca="1"/>
      </c>
      <c r="AL657">
        <f ca="1"/>
      </c>
      <c r="AM657">
        <f ca="1"/>
      </c>
      <c r="AN657">
        <f ca="1"/>
      </c>
      <c r="AO657">
        <f ca="1"/>
      </c>
      <c r="AP657">
        <f ca="1"/>
      </c>
      <c r="AQ657">
        <f ca="1"/>
      </c>
      <c r="AR657">
        <f ca="1"/>
      </c>
      <c r="AT657" s="7">
        <f ca="1"/>
      </c>
      <c r="AU657">
        <f ca="1"/>
      </c>
      <c r="AV657">
        <f ca="1"/>
      </c>
      <c r="AW657">
        <f ca="1"/>
      </c>
      <c r="AX657">
        <f ca="1"/>
      </c>
      <c r="AY657">
        <f ca="1"/>
      </c>
      <c r="BA657" s="7"/>
    </row>
    <row r="658" spans="31:53" x14ac:dyDescent="0.55000000000000004">
      <c r="AE658" s="7">
        <f ca="1"/>
      </c>
      <c r="AF658">
        <f ca="1"/>
      </c>
      <c r="AG658">
        <f ca="1"/>
      </c>
      <c r="AH658">
        <f ca="1"/>
      </c>
      <c r="AI658">
        <f ca="1"/>
      </c>
      <c r="AJ658">
        <f ca="1"/>
      </c>
      <c r="AK658">
        <f ca="1"/>
      </c>
      <c r="AL658">
        <f ca="1"/>
      </c>
      <c r="AM658">
        <f ca="1"/>
      </c>
      <c r="AN658">
        <f ca="1"/>
      </c>
      <c r="AO658">
        <f ca="1"/>
      </c>
      <c r="AP658">
        <f ca="1"/>
      </c>
      <c r="AQ658">
        <f ca="1"/>
      </c>
      <c r="AR658">
        <f ca="1"/>
      </c>
      <c r="AT658" s="7">
        <f ca="1"/>
      </c>
      <c r="AU658">
        <f ca="1"/>
      </c>
      <c r="AV658">
        <f ca="1"/>
      </c>
      <c r="AW658">
        <f ca="1"/>
      </c>
      <c r="AX658">
        <f ca="1"/>
      </c>
      <c r="AY658">
        <f ca="1"/>
      </c>
      <c r="BA658" s="7"/>
    </row>
    <row r="659" spans="31:53" x14ac:dyDescent="0.55000000000000004">
      <c r="AE659" s="7">
        <f ca="1"/>
      </c>
      <c r="AF659">
        <f ca="1"/>
      </c>
      <c r="AG659">
        <f ca="1"/>
      </c>
      <c r="AH659">
        <f ca="1"/>
      </c>
      <c r="AI659">
        <f ca="1"/>
      </c>
      <c r="AJ659">
        <f ca="1"/>
      </c>
      <c r="AK659">
        <f ca="1"/>
      </c>
      <c r="AL659">
        <f ca="1"/>
      </c>
      <c r="AM659">
        <f ca="1"/>
      </c>
      <c r="AN659">
        <f ca="1"/>
      </c>
      <c r="AO659">
        <f ca="1"/>
      </c>
      <c r="AP659">
        <f ca="1"/>
      </c>
      <c r="AQ659">
        <f ca="1"/>
      </c>
      <c r="AR659">
        <f ca="1"/>
      </c>
      <c r="AT659" s="7">
        <f ca="1"/>
      </c>
      <c r="AU659">
        <f ca="1"/>
      </c>
      <c r="AV659">
        <f ca="1"/>
      </c>
      <c r="AW659">
        <f ca="1"/>
      </c>
      <c r="AX659">
        <f ca="1"/>
      </c>
      <c r="AY659">
        <f ca="1"/>
      </c>
      <c r="BA659" s="7"/>
    </row>
    <row r="660" spans="31:53" x14ac:dyDescent="0.55000000000000004">
      <c r="AE660" s="7">
        <f ca="1"/>
      </c>
      <c r="AF660">
        <f ca="1"/>
      </c>
      <c r="AG660">
        <f ca="1"/>
      </c>
      <c r="AH660">
        <f ca="1"/>
      </c>
      <c r="AI660">
        <f ca="1"/>
      </c>
      <c r="AJ660">
        <f ca="1"/>
      </c>
      <c r="AK660">
        <f ca="1"/>
      </c>
      <c r="AL660">
        <f ca="1"/>
      </c>
      <c r="AM660">
        <f ca="1"/>
      </c>
      <c r="AN660">
        <f ca="1"/>
      </c>
      <c r="AO660">
        <f ca="1"/>
      </c>
      <c r="AP660">
        <f ca="1"/>
      </c>
      <c r="AQ660">
        <f ca="1"/>
      </c>
      <c r="AR660">
        <f ca="1"/>
      </c>
      <c r="AT660" s="7">
        <f ca="1"/>
      </c>
      <c r="AU660">
        <f ca="1"/>
      </c>
      <c r="AV660">
        <f ca="1"/>
      </c>
      <c r="AW660">
        <f ca="1"/>
      </c>
      <c r="AX660">
        <f ca="1"/>
      </c>
      <c r="AY660">
        <f ca="1"/>
      </c>
      <c r="BA660" s="7"/>
    </row>
    <row r="661" spans="31:53" x14ac:dyDescent="0.55000000000000004">
      <c r="AE661" s="7">
        <f ca="1"/>
      </c>
      <c r="AF661">
        <f ca="1"/>
      </c>
      <c r="AG661">
        <f ca="1"/>
      </c>
      <c r="AH661">
        <f ca="1"/>
      </c>
      <c r="AI661">
        <f ca="1"/>
      </c>
      <c r="AJ661">
        <f ca="1"/>
      </c>
      <c r="AK661">
        <f ca="1"/>
      </c>
      <c r="AL661">
        <f ca="1"/>
      </c>
      <c r="AM661">
        <f ca="1"/>
      </c>
      <c r="AN661">
        <f ca="1"/>
      </c>
      <c r="AO661">
        <f ca="1"/>
      </c>
      <c r="AP661">
        <f ca="1"/>
      </c>
      <c r="AQ661">
        <f ca="1"/>
      </c>
      <c r="AR661">
        <f ca="1"/>
      </c>
      <c r="AT661" s="7">
        <f ca="1"/>
      </c>
      <c r="AU661">
        <f ca="1"/>
      </c>
      <c r="AV661">
        <f ca="1"/>
      </c>
      <c r="AW661">
        <f ca="1"/>
      </c>
      <c r="AX661">
        <f ca="1"/>
      </c>
      <c r="AY661">
        <f ca="1"/>
      </c>
      <c r="BA661" s="7"/>
    </row>
    <row r="662" spans="31:53" x14ac:dyDescent="0.55000000000000004">
      <c r="AE662" s="7">
        <f ca="1"/>
      </c>
      <c r="AF662">
        <f ca="1"/>
      </c>
      <c r="AG662">
        <f ca="1"/>
      </c>
      <c r="AH662">
        <f ca="1"/>
      </c>
      <c r="AI662">
        <f ca="1"/>
      </c>
      <c r="AJ662">
        <f ca="1"/>
      </c>
      <c r="AK662">
        <f ca="1"/>
      </c>
      <c r="AL662">
        <f ca="1"/>
      </c>
      <c r="AM662">
        <f ca="1"/>
      </c>
      <c r="AN662">
        <f ca="1"/>
      </c>
      <c r="AO662">
        <f ca="1"/>
      </c>
      <c r="AP662">
        <f ca="1"/>
      </c>
      <c r="AQ662">
        <f ca="1"/>
      </c>
      <c r="AR662">
        <f ca="1"/>
      </c>
      <c r="AT662" s="7">
        <f ca="1"/>
      </c>
      <c r="AU662">
        <f ca="1"/>
      </c>
      <c r="AV662">
        <f ca="1"/>
      </c>
      <c r="AW662">
        <f ca="1"/>
      </c>
      <c r="AX662">
        <f ca="1"/>
      </c>
      <c r="AY662">
        <f ca="1"/>
      </c>
      <c r="BA662" s="7"/>
    </row>
    <row r="663" spans="31:53" x14ac:dyDescent="0.55000000000000004">
      <c r="AE663" s="7">
        <f ca="1"/>
      </c>
      <c r="AF663">
        <f ca="1"/>
      </c>
      <c r="AG663">
        <f ca="1"/>
      </c>
      <c r="AH663">
        <f ca="1"/>
      </c>
      <c r="AI663">
        <f ca="1"/>
      </c>
      <c r="AJ663">
        <f ca="1"/>
      </c>
      <c r="AK663">
        <f ca="1"/>
      </c>
      <c r="AL663">
        <f ca="1"/>
      </c>
      <c r="AM663">
        <f ca="1"/>
      </c>
      <c r="AN663">
        <f ca="1"/>
      </c>
      <c r="AO663">
        <f ca="1"/>
      </c>
      <c r="AP663">
        <f ca="1"/>
      </c>
      <c r="AQ663">
        <f ca="1"/>
      </c>
      <c r="AR663">
        <f ca="1"/>
      </c>
      <c r="AT663" s="7">
        <f ca="1"/>
      </c>
      <c r="AU663">
        <f ca="1"/>
      </c>
      <c r="AV663">
        <f ca="1"/>
      </c>
      <c r="AW663">
        <f ca="1"/>
      </c>
      <c r="AX663">
        <f ca="1"/>
      </c>
      <c r="AY663">
        <f ca="1"/>
      </c>
      <c r="BA663" s="7"/>
    </row>
    <row r="664" spans="31:53" x14ac:dyDescent="0.55000000000000004">
      <c r="AE664" s="7">
        <f ca="1"/>
      </c>
      <c r="AF664">
        <f ca="1"/>
      </c>
      <c r="AG664">
        <f ca="1"/>
      </c>
      <c r="AH664">
        <f ca="1"/>
      </c>
      <c r="AI664">
        <f ca="1"/>
      </c>
      <c r="AJ664">
        <f ca="1"/>
      </c>
      <c r="AK664">
        <f ca="1"/>
      </c>
      <c r="AL664">
        <f ca="1"/>
      </c>
      <c r="AM664">
        <f ca="1"/>
      </c>
      <c r="AN664">
        <f ca="1"/>
      </c>
      <c r="AO664">
        <f ca="1"/>
      </c>
      <c r="AP664">
        <f ca="1"/>
      </c>
      <c r="AQ664">
        <f ca="1"/>
      </c>
      <c r="AR664">
        <f ca="1"/>
      </c>
      <c r="AT664" s="7">
        <f ca="1"/>
      </c>
      <c r="AU664">
        <f ca="1"/>
      </c>
      <c r="AV664">
        <f ca="1"/>
      </c>
      <c r="AW664">
        <f ca="1"/>
      </c>
      <c r="AX664">
        <f ca="1"/>
      </c>
      <c r="AY664">
        <f ca="1"/>
      </c>
      <c r="BA664" s="7"/>
    </row>
    <row r="665" spans="31:53" x14ac:dyDescent="0.55000000000000004">
      <c r="AE665" s="7">
        <f ca="1"/>
      </c>
      <c r="AF665">
        <f ca="1"/>
      </c>
      <c r="AG665">
        <f ca="1"/>
      </c>
      <c r="AH665">
        <f ca="1"/>
      </c>
      <c r="AI665">
        <f ca="1"/>
      </c>
      <c r="AJ665">
        <f ca="1"/>
      </c>
      <c r="AK665">
        <f ca="1"/>
      </c>
      <c r="AL665">
        <f ca="1"/>
      </c>
      <c r="AM665">
        <f ca="1"/>
      </c>
      <c r="AN665">
        <f ca="1"/>
      </c>
      <c r="AO665">
        <f ca="1"/>
      </c>
      <c r="AP665">
        <f ca="1"/>
      </c>
      <c r="AQ665">
        <f ca="1"/>
      </c>
      <c r="AR665">
        <f ca="1"/>
      </c>
      <c r="AT665" s="7">
        <f ca="1"/>
      </c>
      <c r="AU665">
        <f ca="1"/>
      </c>
      <c r="AV665">
        <f ca="1"/>
      </c>
      <c r="AW665">
        <f ca="1"/>
      </c>
      <c r="AX665">
        <f ca="1"/>
      </c>
      <c r="AY665">
        <f ca="1"/>
      </c>
      <c r="BA665" s="7"/>
    </row>
    <row r="666" spans="31:53" x14ac:dyDescent="0.55000000000000004">
      <c r="AE666" s="7">
        <f ca="1"/>
      </c>
      <c r="AF666">
        <f ca="1"/>
      </c>
      <c r="AG666">
        <f ca="1"/>
      </c>
      <c r="AH666">
        <f ca="1"/>
      </c>
      <c r="AI666">
        <f ca="1"/>
      </c>
      <c r="AJ666">
        <f ca="1"/>
      </c>
      <c r="AK666">
        <f ca="1"/>
      </c>
      <c r="AL666">
        <f ca="1"/>
      </c>
      <c r="AM666">
        <f ca="1"/>
      </c>
      <c r="AN666">
        <f ca="1"/>
      </c>
      <c r="AO666">
        <f ca="1"/>
      </c>
      <c r="AP666">
        <f ca="1"/>
      </c>
      <c r="AQ666">
        <f ca="1"/>
      </c>
      <c r="AR666">
        <f ca="1"/>
      </c>
      <c r="AT666" s="7">
        <f ca="1"/>
      </c>
      <c r="AU666">
        <f ca="1"/>
      </c>
      <c r="AV666">
        <f ca="1"/>
      </c>
      <c r="AW666">
        <f ca="1"/>
      </c>
      <c r="AX666">
        <f ca="1"/>
      </c>
      <c r="AY666">
        <f ca="1"/>
      </c>
      <c r="BA666" s="7"/>
    </row>
    <row r="667" spans="31:53" x14ac:dyDescent="0.55000000000000004">
      <c r="AE667" s="7">
        <f ca="1"/>
      </c>
      <c r="AF667">
        <f ca="1"/>
      </c>
      <c r="AG667">
        <f ca="1"/>
      </c>
      <c r="AH667">
        <f ca="1"/>
      </c>
      <c r="AI667">
        <f ca="1"/>
      </c>
      <c r="AJ667">
        <f ca="1"/>
      </c>
      <c r="AK667">
        <f ca="1"/>
      </c>
      <c r="AL667">
        <f ca="1"/>
      </c>
      <c r="AM667">
        <f ca="1"/>
      </c>
      <c r="AN667">
        <f ca="1"/>
      </c>
      <c r="AO667">
        <f ca="1"/>
      </c>
      <c r="AP667">
        <f ca="1"/>
      </c>
      <c r="AQ667">
        <f ca="1"/>
      </c>
      <c r="AR667">
        <f ca="1"/>
      </c>
      <c r="AT667" s="7">
        <f ca="1"/>
      </c>
      <c r="AU667">
        <f ca="1"/>
      </c>
      <c r="AV667">
        <f ca="1"/>
      </c>
      <c r="AW667">
        <f ca="1"/>
      </c>
      <c r="AX667">
        <f ca="1"/>
      </c>
      <c r="AY667">
        <f ca="1"/>
      </c>
      <c r="BA667" s="7"/>
    </row>
    <row r="668" spans="31:53" x14ac:dyDescent="0.55000000000000004">
      <c r="AE668" s="7">
        <f ca="1"/>
      </c>
      <c r="AF668">
        <f ca="1"/>
      </c>
      <c r="AG668">
        <f ca="1"/>
      </c>
      <c r="AH668">
        <f ca="1"/>
      </c>
      <c r="AI668">
        <f ca="1"/>
      </c>
      <c r="AJ668">
        <f ca="1"/>
      </c>
      <c r="AK668">
        <f ca="1"/>
      </c>
      <c r="AL668">
        <f ca="1"/>
      </c>
      <c r="AM668">
        <f ca="1"/>
      </c>
      <c r="AN668">
        <f ca="1"/>
      </c>
      <c r="AO668">
        <f ca="1"/>
      </c>
      <c r="AP668">
        <f ca="1"/>
      </c>
      <c r="AQ668">
        <f ca="1"/>
      </c>
      <c r="AR668">
        <f ca="1"/>
      </c>
      <c r="AT668" s="7">
        <f ca="1"/>
      </c>
      <c r="AU668">
        <f ca="1"/>
      </c>
      <c r="AV668">
        <f ca="1"/>
      </c>
      <c r="AW668">
        <f ca="1"/>
      </c>
      <c r="AX668">
        <f ca="1"/>
      </c>
      <c r="AY668">
        <f ca="1"/>
      </c>
      <c r="BA668" s="7"/>
    </row>
    <row r="669" spans="31:53" x14ac:dyDescent="0.55000000000000004">
      <c r="AE669" s="7">
        <f ca="1"/>
      </c>
      <c r="AF669">
        <f ca="1"/>
      </c>
      <c r="AG669">
        <f ca="1"/>
      </c>
      <c r="AH669">
        <f ca="1"/>
      </c>
      <c r="AI669">
        <f ca="1"/>
      </c>
      <c r="AJ669">
        <f ca="1"/>
      </c>
      <c r="AK669">
        <f ca="1"/>
      </c>
      <c r="AL669">
        <f ca="1"/>
      </c>
      <c r="AM669">
        <f ca="1"/>
      </c>
      <c r="AN669">
        <f ca="1"/>
      </c>
      <c r="AO669">
        <f ca="1"/>
      </c>
      <c r="AP669">
        <f ca="1"/>
      </c>
      <c r="AQ669">
        <f ca="1"/>
      </c>
      <c r="AR669">
        <f ca="1"/>
      </c>
      <c r="AT669" s="7">
        <f ca="1"/>
      </c>
      <c r="AU669">
        <f ca="1"/>
      </c>
      <c r="AV669">
        <f ca="1"/>
      </c>
      <c r="AW669">
        <f ca="1"/>
      </c>
      <c r="AX669">
        <f ca="1"/>
      </c>
      <c r="AY669">
        <f ca="1"/>
      </c>
      <c r="BA669" s="7"/>
    </row>
    <row r="670" spans="31:53" x14ac:dyDescent="0.55000000000000004">
      <c r="AE670" s="7">
        <f ca="1"/>
      </c>
      <c r="AF670">
        <f ca="1"/>
      </c>
      <c r="AG670">
        <f ca="1"/>
      </c>
      <c r="AH670">
        <f ca="1"/>
      </c>
      <c r="AI670">
        <f ca="1"/>
      </c>
      <c r="AJ670">
        <f ca="1"/>
      </c>
      <c r="AK670">
        <f ca="1"/>
      </c>
      <c r="AL670">
        <f ca="1"/>
      </c>
      <c r="AM670">
        <f ca="1"/>
      </c>
      <c r="AN670">
        <f ca="1"/>
      </c>
      <c r="AO670">
        <f ca="1"/>
      </c>
      <c r="AP670">
        <f ca="1"/>
      </c>
      <c r="AQ670">
        <f ca="1"/>
      </c>
      <c r="AR670">
        <f ca="1"/>
      </c>
      <c r="AT670" s="7">
        <f ca="1"/>
      </c>
      <c r="AU670">
        <f ca="1"/>
      </c>
      <c r="AV670">
        <f ca="1"/>
      </c>
      <c r="AW670">
        <f ca="1"/>
      </c>
      <c r="AX670">
        <f ca="1"/>
      </c>
      <c r="AY670">
        <f ca="1"/>
      </c>
      <c r="BA670" s="7"/>
    </row>
    <row r="671" spans="31:53" x14ac:dyDescent="0.55000000000000004">
      <c r="AE671" s="7">
        <f ca="1"/>
      </c>
      <c r="AF671">
        <f ca="1"/>
      </c>
      <c r="AG671">
        <f ca="1"/>
      </c>
      <c r="AH671">
        <f ca="1"/>
      </c>
      <c r="AI671">
        <f ca="1"/>
      </c>
      <c r="AJ671">
        <f ca="1"/>
      </c>
      <c r="AK671">
        <f ca="1"/>
      </c>
      <c r="AL671">
        <f ca="1"/>
      </c>
      <c r="AM671">
        <f ca="1"/>
      </c>
      <c r="AN671">
        <f ca="1"/>
      </c>
      <c r="AO671">
        <f ca="1"/>
      </c>
      <c r="AP671">
        <f ca="1"/>
      </c>
      <c r="AQ671">
        <f ca="1"/>
      </c>
      <c r="AR671">
        <f ca="1"/>
      </c>
      <c r="AT671" s="7">
        <f ca="1"/>
      </c>
      <c r="AU671">
        <f ca="1"/>
      </c>
      <c r="AV671">
        <f ca="1"/>
      </c>
      <c r="AW671">
        <f ca="1"/>
      </c>
      <c r="AX671">
        <f ca="1"/>
      </c>
      <c r="AY671">
        <f ca="1"/>
      </c>
      <c r="BA671" s="7"/>
    </row>
    <row r="672" spans="31:53" x14ac:dyDescent="0.55000000000000004">
      <c r="AE672" s="7">
        <f ca="1"/>
      </c>
      <c r="AF672">
        <f ca="1"/>
      </c>
      <c r="AG672">
        <f ca="1"/>
      </c>
      <c r="AH672">
        <f ca="1"/>
      </c>
      <c r="AI672">
        <f ca="1"/>
      </c>
      <c r="AJ672">
        <f ca="1"/>
      </c>
      <c r="AK672">
        <f ca="1"/>
      </c>
      <c r="AL672">
        <f ca="1"/>
      </c>
      <c r="AM672">
        <f ca="1"/>
      </c>
      <c r="AN672">
        <f ca="1"/>
      </c>
      <c r="AO672">
        <f ca="1"/>
      </c>
      <c r="AP672">
        <f ca="1"/>
      </c>
      <c r="AQ672">
        <f ca="1"/>
      </c>
      <c r="AR672">
        <f ca="1"/>
      </c>
      <c r="AT672" s="7">
        <f ca="1"/>
      </c>
      <c r="AU672">
        <f ca="1"/>
      </c>
      <c r="AV672">
        <f ca="1"/>
      </c>
      <c r="AW672">
        <f ca="1"/>
      </c>
      <c r="AX672">
        <f ca="1"/>
      </c>
      <c r="AY672">
        <f ca="1"/>
      </c>
      <c r="BA672" s="7"/>
    </row>
    <row r="673" spans="31:53" x14ac:dyDescent="0.55000000000000004">
      <c r="AE673" s="7">
        <f ca="1"/>
      </c>
      <c r="AF673">
        <f ca="1"/>
      </c>
      <c r="AG673">
        <f ca="1"/>
      </c>
      <c r="AH673">
        <f ca="1"/>
      </c>
      <c r="AI673">
        <f ca="1"/>
      </c>
      <c r="AJ673">
        <f ca="1"/>
      </c>
      <c r="AK673">
        <f ca="1"/>
      </c>
      <c r="AL673">
        <f ca="1"/>
      </c>
      <c r="AM673">
        <f ca="1"/>
      </c>
      <c r="AN673">
        <f ca="1"/>
      </c>
      <c r="AO673">
        <f ca="1"/>
      </c>
      <c r="AP673">
        <f ca="1"/>
      </c>
      <c r="AQ673">
        <f ca="1"/>
      </c>
      <c r="AR673">
        <f ca="1"/>
      </c>
      <c r="AT673" s="7">
        <f ca="1"/>
      </c>
      <c r="AU673">
        <f ca="1"/>
      </c>
      <c r="AV673">
        <f ca="1"/>
      </c>
      <c r="AW673">
        <f ca="1"/>
      </c>
      <c r="AX673">
        <f ca="1"/>
      </c>
      <c r="AY673">
        <f ca="1"/>
      </c>
      <c r="BA673" s="7"/>
    </row>
    <row r="674" spans="31:53" x14ac:dyDescent="0.55000000000000004">
      <c r="AE674" s="7">
        <f ca="1"/>
      </c>
      <c r="AF674">
        <f ca="1"/>
      </c>
      <c r="AG674">
        <f ca="1"/>
      </c>
      <c r="AH674">
        <f ca="1"/>
      </c>
      <c r="AI674">
        <f ca="1"/>
      </c>
      <c r="AJ674">
        <f ca="1"/>
      </c>
      <c r="AK674">
        <f ca="1"/>
      </c>
      <c r="AL674">
        <f ca="1"/>
      </c>
      <c r="AM674">
        <f ca="1"/>
      </c>
      <c r="AN674">
        <f ca="1"/>
      </c>
      <c r="AO674">
        <f ca="1"/>
      </c>
      <c r="AP674">
        <f ca="1"/>
      </c>
      <c r="AQ674">
        <f ca="1"/>
      </c>
      <c r="AR674">
        <f ca="1"/>
      </c>
      <c r="AT674" s="7">
        <f ca="1"/>
      </c>
      <c r="AU674">
        <f ca="1"/>
      </c>
      <c r="AV674">
        <f ca="1"/>
      </c>
      <c r="AW674">
        <f ca="1"/>
      </c>
      <c r="AX674">
        <f ca="1"/>
      </c>
      <c r="AY674">
        <f ca="1"/>
      </c>
      <c r="BA674" s="7"/>
    </row>
    <row r="675" spans="31:53" x14ac:dyDescent="0.55000000000000004">
      <c r="AE675" s="7">
        <f ca="1"/>
      </c>
      <c r="AF675">
        <f ca="1"/>
      </c>
      <c r="AG675">
        <f ca="1"/>
      </c>
      <c r="AH675">
        <f ca="1"/>
      </c>
      <c r="AI675">
        <f ca="1"/>
      </c>
      <c r="AJ675">
        <f ca="1"/>
      </c>
      <c r="AK675">
        <f ca="1"/>
      </c>
      <c r="AL675">
        <f ca="1"/>
      </c>
      <c r="AM675">
        <f ca="1"/>
      </c>
      <c r="AN675">
        <f ca="1"/>
      </c>
      <c r="AO675">
        <f ca="1"/>
      </c>
      <c r="AP675">
        <f ca="1"/>
      </c>
      <c r="AQ675">
        <f ca="1"/>
      </c>
      <c r="AR675">
        <f ca="1"/>
      </c>
      <c r="AT675" s="7">
        <f ca="1"/>
      </c>
      <c r="AU675">
        <f ca="1"/>
      </c>
      <c r="AV675">
        <f ca="1"/>
      </c>
      <c r="AW675">
        <f ca="1"/>
      </c>
      <c r="AX675">
        <f ca="1"/>
      </c>
      <c r="AY675">
        <f ca="1"/>
      </c>
      <c r="BA675" s="7"/>
    </row>
    <row r="676" spans="31:53" x14ac:dyDescent="0.55000000000000004">
      <c r="AE676" s="7">
        <f ca="1"/>
      </c>
      <c r="AF676">
        <f ca="1"/>
      </c>
      <c r="AG676">
        <f ca="1"/>
      </c>
      <c r="AH676">
        <f ca="1"/>
      </c>
      <c r="AI676">
        <f ca="1"/>
      </c>
      <c r="AJ676">
        <f ca="1"/>
      </c>
      <c r="AK676">
        <f ca="1"/>
      </c>
      <c r="AL676">
        <f ca="1"/>
      </c>
      <c r="AM676">
        <f ca="1"/>
      </c>
      <c r="AN676">
        <f ca="1"/>
      </c>
      <c r="AO676">
        <f ca="1"/>
      </c>
      <c r="AP676">
        <f ca="1"/>
      </c>
      <c r="AQ676">
        <f ca="1"/>
      </c>
      <c r="AR676">
        <f ca="1"/>
      </c>
      <c r="AT676" s="7">
        <f ca="1"/>
      </c>
      <c r="AU676">
        <f ca="1"/>
      </c>
      <c r="AV676">
        <f ca="1"/>
      </c>
      <c r="AW676">
        <f ca="1"/>
      </c>
      <c r="AX676">
        <f ca="1"/>
      </c>
      <c r="AY676">
        <f ca="1"/>
      </c>
      <c r="BA676" s="7"/>
    </row>
    <row r="677" spans="31:53" x14ac:dyDescent="0.55000000000000004">
      <c r="AE677" s="7">
        <f ca="1"/>
      </c>
      <c r="AF677">
        <f ca="1"/>
      </c>
      <c r="AG677">
        <f ca="1"/>
      </c>
      <c r="AH677">
        <f ca="1"/>
      </c>
      <c r="AI677">
        <f ca="1"/>
      </c>
      <c r="AJ677">
        <f ca="1"/>
      </c>
      <c r="AK677">
        <f ca="1"/>
      </c>
      <c r="AL677">
        <f ca="1"/>
      </c>
      <c r="AM677">
        <f ca="1"/>
      </c>
      <c r="AN677">
        <f ca="1"/>
      </c>
      <c r="AO677">
        <f ca="1"/>
      </c>
      <c r="AP677">
        <f ca="1"/>
      </c>
      <c r="AQ677">
        <f ca="1"/>
      </c>
      <c r="AR677">
        <f ca="1"/>
      </c>
      <c r="AT677" s="7">
        <f ca="1"/>
      </c>
      <c r="AU677">
        <f ca="1"/>
      </c>
      <c r="AV677">
        <f ca="1"/>
      </c>
      <c r="AW677">
        <f ca="1"/>
      </c>
      <c r="AX677">
        <f ca="1"/>
      </c>
      <c r="AY677">
        <f ca="1"/>
      </c>
      <c r="BA677" s="7"/>
    </row>
    <row r="678" spans="31:53" x14ac:dyDescent="0.55000000000000004">
      <c r="AE678" s="7">
        <f ca="1"/>
      </c>
      <c r="AF678">
        <f ca="1"/>
      </c>
      <c r="AG678">
        <f ca="1"/>
      </c>
      <c r="AH678">
        <f ca="1"/>
      </c>
      <c r="AI678">
        <f ca="1"/>
      </c>
      <c r="AJ678">
        <f ca="1"/>
      </c>
      <c r="AK678">
        <f ca="1"/>
      </c>
      <c r="AL678">
        <f ca="1"/>
      </c>
      <c r="AM678">
        <f ca="1"/>
      </c>
      <c r="AN678">
        <f ca="1"/>
      </c>
      <c r="AO678">
        <f ca="1"/>
      </c>
      <c r="AP678">
        <f ca="1"/>
      </c>
      <c r="AQ678">
        <f ca="1"/>
      </c>
      <c r="AR678">
        <f ca="1"/>
      </c>
      <c r="AT678" s="7">
        <f ca="1"/>
      </c>
      <c r="AU678">
        <f ca="1"/>
      </c>
      <c r="AV678">
        <f ca="1"/>
      </c>
      <c r="AW678">
        <f ca="1"/>
      </c>
      <c r="AX678">
        <f ca="1"/>
      </c>
      <c r="AY678">
        <f ca="1"/>
      </c>
      <c r="BA678" s="7"/>
    </row>
    <row r="679" spans="31:53" x14ac:dyDescent="0.55000000000000004">
      <c r="AE679" s="7">
        <f ca="1"/>
      </c>
      <c r="AF679">
        <f ca="1"/>
      </c>
      <c r="AG679">
        <f ca="1"/>
      </c>
      <c r="AH679">
        <f ca="1"/>
      </c>
      <c r="AI679">
        <f ca="1"/>
      </c>
      <c r="AJ679">
        <f ca="1"/>
      </c>
      <c r="AK679">
        <f ca="1"/>
      </c>
      <c r="AL679">
        <f ca="1"/>
      </c>
      <c r="AM679">
        <f ca="1"/>
      </c>
      <c r="AN679">
        <f ca="1"/>
      </c>
      <c r="AO679">
        <f ca="1"/>
      </c>
      <c r="AP679">
        <f ca="1"/>
      </c>
      <c r="AQ679">
        <f ca="1"/>
      </c>
      <c r="AR679">
        <f ca="1"/>
      </c>
      <c r="AT679" s="7">
        <f ca="1"/>
      </c>
      <c r="AU679">
        <f ca="1"/>
      </c>
      <c r="AV679">
        <f ca="1"/>
      </c>
      <c r="AW679">
        <f ca="1"/>
      </c>
      <c r="AX679">
        <f ca="1"/>
      </c>
      <c r="AY679">
        <f ca="1"/>
      </c>
      <c r="BA679" s="7"/>
    </row>
    <row r="680" spans="31:53" x14ac:dyDescent="0.55000000000000004">
      <c r="AE680" s="7">
        <f ca="1"/>
      </c>
      <c r="AF680">
        <f ca="1"/>
      </c>
      <c r="AG680">
        <f ca="1"/>
      </c>
      <c r="AH680">
        <f ca="1"/>
      </c>
      <c r="AI680">
        <f ca="1"/>
      </c>
      <c r="AJ680">
        <f ca="1"/>
      </c>
      <c r="AK680">
        <f ca="1"/>
      </c>
      <c r="AL680">
        <f ca="1"/>
      </c>
      <c r="AM680">
        <f ca="1"/>
      </c>
      <c r="AN680">
        <f ca="1"/>
      </c>
      <c r="AO680">
        <f ca="1"/>
      </c>
      <c r="AP680">
        <f ca="1"/>
      </c>
      <c r="AQ680">
        <f ca="1"/>
      </c>
      <c r="AR680">
        <f ca="1"/>
      </c>
      <c r="AT680" s="7">
        <f ca="1"/>
      </c>
      <c r="AU680">
        <f ca="1"/>
      </c>
      <c r="AV680">
        <f ca="1"/>
      </c>
      <c r="AW680">
        <f ca="1"/>
      </c>
      <c r="AX680">
        <f ca="1"/>
      </c>
      <c r="AY680">
        <f ca="1"/>
      </c>
      <c r="BA680" s="7"/>
    </row>
    <row r="681" spans="31:53" x14ac:dyDescent="0.55000000000000004">
      <c r="AE681" s="7">
        <f ca="1"/>
      </c>
      <c r="AF681">
        <f ca="1"/>
      </c>
      <c r="AG681">
        <f ca="1"/>
      </c>
      <c r="AH681">
        <f ca="1"/>
      </c>
      <c r="AI681">
        <f ca="1"/>
      </c>
      <c r="AJ681">
        <f ca="1"/>
      </c>
      <c r="AK681">
        <f ca="1"/>
      </c>
      <c r="AL681">
        <f ca="1"/>
      </c>
      <c r="AM681">
        <f ca="1"/>
      </c>
      <c r="AN681">
        <f ca="1"/>
      </c>
      <c r="AO681">
        <f ca="1"/>
      </c>
      <c r="AP681">
        <f ca="1"/>
      </c>
      <c r="AQ681">
        <f ca="1"/>
      </c>
      <c r="AR681">
        <f ca="1"/>
      </c>
      <c r="AT681" s="7">
        <f ca="1"/>
      </c>
      <c r="AU681">
        <f ca="1"/>
      </c>
      <c r="AV681">
        <f ca="1"/>
      </c>
      <c r="AW681">
        <f ca="1"/>
      </c>
      <c r="AX681">
        <f ca="1"/>
      </c>
      <c r="AY681">
        <f ca="1"/>
      </c>
      <c r="BA681" s="7"/>
    </row>
    <row r="682" spans="31:53" x14ac:dyDescent="0.55000000000000004">
      <c r="AE682" s="7">
        <f ca="1"/>
      </c>
      <c r="AF682">
        <f ca="1"/>
      </c>
      <c r="AG682">
        <f ca="1"/>
      </c>
      <c r="AH682">
        <f ca="1"/>
      </c>
      <c r="AI682">
        <f ca="1"/>
      </c>
      <c r="AJ682">
        <f ca="1"/>
      </c>
      <c r="AK682">
        <f ca="1"/>
      </c>
      <c r="AL682">
        <f ca="1"/>
      </c>
      <c r="AM682">
        <f ca="1"/>
      </c>
      <c r="AN682">
        <f ca="1"/>
      </c>
      <c r="AO682">
        <f ca="1"/>
      </c>
      <c r="AP682">
        <f ca="1"/>
      </c>
      <c r="AQ682">
        <f ca="1"/>
      </c>
      <c r="AR682">
        <f ca="1"/>
      </c>
      <c r="AT682" s="7">
        <f ca="1"/>
      </c>
      <c r="AU682">
        <f ca="1"/>
      </c>
      <c r="AV682">
        <f ca="1"/>
      </c>
      <c r="AW682">
        <f ca="1"/>
      </c>
      <c r="AX682">
        <f ca="1"/>
      </c>
      <c r="AY682">
        <f ca="1"/>
      </c>
      <c r="BA682" s="7"/>
    </row>
    <row r="683" spans="31:53" x14ac:dyDescent="0.55000000000000004">
      <c r="AE683" s="7">
        <f ca="1"/>
      </c>
      <c r="AF683">
        <f ca="1"/>
      </c>
      <c r="AG683">
        <f ca="1"/>
      </c>
      <c r="AH683">
        <f ca="1"/>
      </c>
      <c r="AI683">
        <f ca="1"/>
      </c>
      <c r="AJ683">
        <f ca="1"/>
      </c>
      <c r="AK683">
        <f ca="1"/>
      </c>
      <c r="AL683">
        <f ca="1"/>
      </c>
      <c r="AM683">
        <f ca="1"/>
      </c>
      <c r="AN683">
        <f ca="1"/>
      </c>
      <c r="AO683">
        <f ca="1"/>
      </c>
      <c r="AP683">
        <f ca="1"/>
      </c>
      <c r="AQ683">
        <f ca="1"/>
      </c>
      <c r="AR683">
        <f ca="1"/>
      </c>
      <c r="AT683" s="7">
        <f ca="1"/>
      </c>
      <c r="AU683">
        <f ca="1"/>
      </c>
      <c r="AV683">
        <f ca="1"/>
      </c>
      <c r="AW683">
        <f ca="1"/>
      </c>
      <c r="AX683">
        <f ca="1"/>
      </c>
      <c r="AY683">
        <f ca="1"/>
      </c>
      <c r="BA683" s="7"/>
    </row>
    <row r="684" spans="31:53" x14ac:dyDescent="0.55000000000000004">
      <c r="AE684" s="7">
        <f ca="1"/>
      </c>
      <c r="AF684">
        <f ca="1"/>
      </c>
      <c r="AG684">
        <f ca="1"/>
      </c>
      <c r="AH684">
        <f ca="1"/>
      </c>
      <c r="AI684">
        <f ca="1"/>
      </c>
      <c r="AJ684">
        <f ca="1"/>
      </c>
      <c r="AK684">
        <f ca="1"/>
      </c>
      <c r="AL684">
        <f ca="1"/>
      </c>
      <c r="AM684">
        <f ca="1"/>
      </c>
      <c r="AN684">
        <f ca="1"/>
      </c>
      <c r="AO684">
        <f ca="1"/>
      </c>
      <c r="AP684">
        <f ca="1"/>
      </c>
      <c r="AQ684">
        <f ca="1"/>
      </c>
      <c r="AR684">
        <f ca="1"/>
      </c>
      <c r="AT684" s="7">
        <f ca="1"/>
      </c>
      <c r="AU684">
        <f ca="1"/>
      </c>
      <c r="AV684">
        <f ca="1"/>
      </c>
      <c r="AW684">
        <f ca="1"/>
      </c>
      <c r="AX684">
        <f ca="1"/>
      </c>
      <c r="AY684">
        <f ca="1"/>
      </c>
      <c r="BA684" s="7"/>
    </row>
    <row r="685" spans="31:53" x14ac:dyDescent="0.55000000000000004">
      <c r="AE685" s="7">
        <f ca="1"/>
      </c>
      <c r="AF685">
        <f ca="1"/>
      </c>
      <c r="AG685">
        <f ca="1"/>
      </c>
      <c r="AH685">
        <f ca="1"/>
      </c>
      <c r="AI685">
        <f ca="1"/>
      </c>
      <c r="AJ685">
        <f ca="1"/>
      </c>
      <c r="AK685">
        <f ca="1"/>
      </c>
      <c r="AL685">
        <f ca="1"/>
      </c>
      <c r="AM685">
        <f ca="1"/>
      </c>
      <c r="AN685">
        <f ca="1"/>
      </c>
      <c r="AO685">
        <f ca="1"/>
      </c>
      <c r="AP685">
        <f ca="1"/>
      </c>
      <c r="AQ685">
        <f ca="1"/>
      </c>
      <c r="AR685">
        <f ca="1"/>
      </c>
      <c r="AT685" s="7">
        <f ca="1"/>
      </c>
      <c r="AU685">
        <f ca="1"/>
      </c>
      <c r="AV685">
        <f ca="1"/>
      </c>
      <c r="AW685">
        <f ca="1"/>
      </c>
      <c r="AX685">
        <f ca="1"/>
      </c>
      <c r="AY685">
        <f ca="1"/>
      </c>
      <c r="BA685" s="7"/>
    </row>
    <row r="686" spans="31:53" x14ac:dyDescent="0.55000000000000004">
      <c r="AE686" s="7">
        <f ca="1"/>
      </c>
      <c r="AF686">
        <f ca="1"/>
      </c>
      <c r="AG686">
        <f ca="1"/>
      </c>
      <c r="AH686">
        <f ca="1"/>
      </c>
      <c r="AI686">
        <f ca="1"/>
      </c>
      <c r="AJ686">
        <f ca="1"/>
      </c>
      <c r="AK686">
        <f ca="1"/>
      </c>
      <c r="AL686">
        <f ca="1"/>
      </c>
      <c r="AM686">
        <f ca="1"/>
      </c>
      <c r="AN686">
        <f ca="1"/>
      </c>
      <c r="AO686">
        <f ca="1"/>
      </c>
      <c r="AP686">
        <f ca="1"/>
      </c>
      <c r="AQ686">
        <f ca="1"/>
      </c>
      <c r="AR686">
        <f ca="1"/>
      </c>
      <c r="AT686" s="7">
        <f ca="1"/>
      </c>
      <c r="AU686">
        <f ca="1"/>
      </c>
      <c r="AV686">
        <f ca="1"/>
      </c>
      <c r="AW686">
        <f ca="1"/>
      </c>
      <c r="AX686">
        <f ca="1"/>
      </c>
      <c r="AY686">
        <f ca="1"/>
      </c>
      <c r="BA686" s="7"/>
    </row>
    <row r="687" spans="31:53" x14ac:dyDescent="0.55000000000000004">
      <c r="AE687" s="7">
        <f ca="1"/>
      </c>
      <c r="AF687">
        <f ca="1"/>
      </c>
      <c r="AG687">
        <f ca="1"/>
      </c>
      <c r="AH687">
        <f ca="1"/>
      </c>
      <c r="AI687">
        <f ca="1"/>
      </c>
      <c r="AJ687">
        <f ca="1"/>
      </c>
      <c r="AK687">
        <f ca="1"/>
      </c>
      <c r="AL687">
        <f ca="1"/>
      </c>
      <c r="AM687">
        <f ca="1"/>
      </c>
      <c r="AN687">
        <f ca="1"/>
      </c>
      <c r="AO687">
        <f ca="1"/>
      </c>
      <c r="AP687">
        <f ca="1"/>
      </c>
      <c r="AQ687">
        <f ca="1"/>
      </c>
      <c r="AR687">
        <f ca="1"/>
      </c>
      <c r="AT687" s="7">
        <f ca="1"/>
      </c>
      <c r="AU687">
        <f ca="1"/>
      </c>
      <c r="AV687">
        <f ca="1"/>
      </c>
      <c r="AW687">
        <f ca="1"/>
      </c>
      <c r="AX687">
        <f ca="1"/>
      </c>
      <c r="AY687">
        <f ca="1"/>
      </c>
      <c r="BA687" s="7"/>
    </row>
    <row r="688" spans="31:53" x14ac:dyDescent="0.55000000000000004">
      <c r="AE688" s="7">
        <f ca="1"/>
      </c>
      <c r="AF688">
        <f ca="1"/>
      </c>
      <c r="AG688">
        <f ca="1"/>
      </c>
      <c r="AH688">
        <f ca="1"/>
      </c>
      <c r="AI688">
        <f ca="1"/>
      </c>
      <c r="AJ688">
        <f ca="1"/>
      </c>
      <c r="AK688">
        <f ca="1"/>
      </c>
      <c r="AL688">
        <f ca="1"/>
      </c>
      <c r="AM688">
        <f ca="1"/>
      </c>
      <c r="AN688">
        <f ca="1"/>
      </c>
      <c r="AO688">
        <f ca="1"/>
      </c>
      <c r="AP688">
        <f ca="1"/>
      </c>
      <c r="AQ688">
        <f ca="1"/>
      </c>
      <c r="AR688">
        <f ca="1"/>
      </c>
      <c r="AT688" s="7">
        <f ca="1"/>
      </c>
      <c r="AU688">
        <f ca="1"/>
      </c>
      <c r="AV688">
        <f ca="1"/>
      </c>
      <c r="AW688">
        <f ca="1"/>
      </c>
      <c r="AX688">
        <f ca="1"/>
      </c>
      <c r="AY688">
        <f ca="1"/>
      </c>
      <c r="BA688" s="7"/>
    </row>
    <row r="689" spans="31:53" x14ac:dyDescent="0.55000000000000004">
      <c r="AE689" s="7">
        <f ca="1"/>
      </c>
      <c r="AF689">
        <f ca="1"/>
      </c>
      <c r="AG689">
        <f ca="1"/>
      </c>
      <c r="AH689">
        <f ca="1"/>
      </c>
      <c r="AI689">
        <f ca="1"/>
      </c>
      <c r="AJ689">
        <f ca="1"/>
      </c>
      <c r="AK689">
        <f ca="1"/>
      </c>
      <c r="AL689">
        <f ca="1"/>
      </c>
      <c r="AM689">
        <f ca="1"/>
      </c>
      <c r="AN689">
        <f ca="1"/>
      </c>
      <c r="AO689">
        <f ca="1"/>
      </c>
      <c r="AP689">
        <f ca="1"/>
      </c>
      <c r="AQ689">
        <f ca="1"/>
      </c>
      <c r="AR689">
        <f ca="1"/>
      </c>
      <c r="AT689" s="7">
        <f ca="1"/>
      </c>
      <c r="AU689">
        <f ca="1"/>
      </c>
      <c r="AV689">
        <f ca="1"/>
      </c>
      <c r="AW689">
        <f ca="1"/>
      </c>
      <c r="AX689">
        <f ca="1"/>
      </c>
      <c r="AY689">
        <f ca="1"/>
      </c>
      <c r="BA689" s="7"/>
    </row>
    <row r="690" spans="31:53" x14ac:dyDescent="0.55000000000000004">
      <c r="AE690" s="7">
        <f ca="1"/>
      </c>
      <c r="AF690">
        <f ca="1"/>
      </c>
      <c r="AG690">
        <f ca="1"/>
      </c>
      <c r="AH690">
        <f ca="1"/>
      </c>
      <c r="AI690">
        <f ca="1"/>
      </c>
      <c r="AJ690">
        <f ca="1"/>
      </c>
      <c r="AK690">
        <f ca="1"/>
      </c>
      <c r="AL690">
        <f ca="1"/>
      </c>
      <c r="AM690">
        <f ca="1"/>
      </c>
      <c r="AN690">
        <f ca="1"/>
      </c>
      <c r="AO690">
        <f ca="1"/>
      </c>
      <c r="AP690">
        <f ca="1"/>
      </c>
      <c r="AQ690">
        <f ca="1"/>
      </c>
      <c r="AR690">
        <f ca="1"/>
      </c>
      <c r="AT690" s="7">
        <f ca="1"/>
      </c>
      <c r="AU690">
        <f ca="1"/>
      </c>
      <c r="AV690">
        <f ca="1"/>
      </c>
      <c r="AW690">
        <f ca="1"/>
      </c>
      <c r="AX690">
        <f ca="1"/>
      </c>
      <c r="AY690">
        <f ca="1"/>
      </c>
      <c r="BA690" s="7"/>
    </row>
    <row r="691" spans="31:53" x14ac:dyDescent="0.55000000000000004">
      <c r="AE691" s="7">
        <f ca="1"/>
      </c>
      <c r="AF691">
        <f ca="1"/>
      </c>
      <c r="AG691">
        <f ca="1"/>
      </c>
      <c r="AH691">
        <f ca="1"/>
      </c>
      <c r="AI691">
        <f ca="1"/>
      </c>
      <c r="AJ691">
        <f ca="1"/>
      </c>
      <c r="AK691">
        <f ca="1"/>
      </c>
      <c r="AL691">
        <f ca="1"/>
      </c>
      <c r="AM691">
        <f ca="1"/>
      </c>
      <c r="AN691">
        <f ca="1"/>
      </c>
      <c r="AO691">
        <f ca="1"/>
      </c>
      <c r="AP691">
        <f ca="1"/>
      </c>
      <c r="AQ691">
        <f ca="1"/>
      </c>
      <c r="AR691">
        <f ca="1"/>
      </c>
      <c r="AT691" s="7">
        <f ca="1"/>
      </c>
      <c r="AU691">
        <f ca="1"/>
      </c>
      <c r="AV691">
        <f ca="1"/>
      </c>
      <c r="AW691">
        <f ca="1"/>
      </c>
      <c r="AX691">
        <f ca="1"/>
      </c>
      <c r="AY691">
        <f ca="1"/>
      </c>
      <c r="BA691" s="7"/>
    </row>
    <row r="692" spans="31:53" x14ac:dyDescent="0.55000000000000004">
      <c r="AE692" s="7">
        <f ca="1"/>
      </c>
      <c r="AF692">
        <f ca="1"/>
      </c>
      <c r="AG692">
        <f ca="1"/>
      </c>
      <c r="AH692">
        <f ca="1"/>
      </c>
      <c r="AI692">
        <f ca="1"/>
      </c>
      <c r="AJ692">
        <f ca="1"/>
      </c>
      <c r="AK692">
        <f ca="1"/>
      </c>
      <c r="AL692">
        <f ca="1"/>
      </c>
      <c r="AM692">
        <f ca="1"/>
      </c>
      <c r="AN692">
        <f ca="1"/>
      </c>
      <c r="AO692">
        <f ca="1"/>
      </c>
      <c r="AP692">
        <f ca="1"/>
      </c>
      <c r="AQ692">
        <f ca="1"/>
      </c>
      <c r="AR692">
        <f ca="1"/>
      </c>
      <c r="AT692" s="7">
        <f ca="1"/>
      </c>
      <c r="AU692">
        <f ca="1"/>
      </c>
      <c r="AV692">
        <f ca="1"/>
      </c>
      <c r="AW692">
        <f ca="1"/>
      </c>
      <c r="AX692">
        <f ca="1"/>
      </c>
      <c r="AY692">
        <f ca="1"/>
      </c>
      <c r="BA692" s="7"/>
    </row>
    <row r="693" spans="31:53" x14ac:dyDescent="0.55000000000000004">
      <c r="AE693" s="7">
        <f ca="1"/>
      </c>
      <c r="AF693">
        <f ca="1"/>
      </c>
      <c r="AG693">
        <f ca="1"/>
      </c>
      <c r="AH693">
        <f ca="1"/>
      </c>
      <c r="AI693">
        <f ca="1"/>
      </c>
      <c r="AJ693">
        <f ca="1"/>
      </c>
      <c r="AK693">
        <f ca="1"/>
      </c>
      <c r="AL693">
        <f ca="1"/>
      </c>
      <c r="AM693">
        <f ca="1"/>
      </c>
      <c r="AN693">
        <f ca="1"/>
      </c>
      <c r="AO693">
        <f ca="1"/>
      </c>
      <c r="AP693">
        <f ca="1"/>
      </c>
      <c r="AQ693">
        <f ca="1"/>
      </c>
      <c r="AR693">
        <f ca="1"/>
      </c>
      <c r="AT693" s="7">
        <f ca="1"/>
      </c>
      <c r="AU693">
        <f ca="1"/>
      </c>
      <c r="AV693">
        <f ca="1"/>
      </c>
      <c r="AW693">
        <f ca="1"/>
      </c>
      <c r="AX693">
        <f ca="1"/>
      </c>
      <c r="AY693">
        <f ca="1"/>
      </c>
      <c r="BA693" s="7"/>
    </row>
    <row r="694" spans="31:53" x14ac:dyDescent="0.55000000000000004">
      <c r="AE694" s="7">
        <f ca="1"/>
      </c>
      <c r="AF694">
        <f ca="1"/>
      </c>
      <c r="AG694">
        <f ca="1"/>
      </c>
      <c r="AH694">
        <f ca="1"/>
      </c>
      <c r="AI694">
        <f ca="1"/>
      </c>
      <c r="AJ694">
        <f ca="1"/>
      </c>
      <c r="AK694">
        <f ca="1"/>
      </c>
      <c r="AL694">
        <f ca="1"/>
      </c>
      <c r="AM694">
        <f ca="1"/>
      </c>
      <c r="AN694">
        <f ca="1"/>
      </c>
      <c r="AO694">
        <f ca="1"/>
      </c>
      <c r="AP694">
        <f ca="1"/>
      </c>
      <c r="AQ694">
        <f ca="1"/>
      </c>
      <c r="AR694">
        <f ca="1"/>
      </c>
      <c r="AT694" s="7">
        <f ca="1"/>
      </c>
      <c r="AU694">
        <f ca="1"/>
      </c>
      <c r="AV694">
        <f ca="1"/>
      </c>
      <c r="AW694">
        <f ca="1"/>
      </c>
      <c r="AX694">
        <f ca="1"/>
      </c>
      <c r="AY694">
        <f ca="1"/>
      </c>
      <c r="BA694" s="7"/>
    </row>
    <row r="695" spans="31:53" x14ac:dyDescent="0.55000000000000004">
      <c r="AE695" s="7">
        <f ca="1"/>
      </c>
      <c r="AF695">
        <f ca="1"/>
      </c>
      <c r="AG695">
        <f ca="1"/>
      </c>
      <c r="AH695">
        <f ca="1"/>
      </c>
      <c r="AI695">
        <f ca="1"/>
      </c>
      <c r="AJ695">
        <f ca="1"/>
      </c>
      <c r="AK695">
        <f ca="1"/>
      </c>
      <c r="AL695">
        <f ca="1"/>
      </c>
      <c r="AM695">
        <f ca="1"/>
      </c>
      <c r="AN695">
        <f ca="1"/>
      </c>
      <c r="AO695">
        <f ca="1"/>
      </c>
      <c r="AP695">
        <f ca="1"/>
      </c>
      <c r="AQ695">
        <f ca="1"/>
      </c>
      <c r="AR695">
        <f ca="1"/>
      </c>
      <c r="AT695" s="7">
        <f ca="1"/>
      </c>
      <c r="AU695">
        <f ca="1"/>
      </c>
      <c r="AV695">
        <f ca="1"/>
      </c>
      <c r="AW695">
        <f ca="1"/>
      </c>
      <c r="AX695">
        <f ca="1"/>
      </c>
      <c r="AY695">
        <f ca="1"/>
      </c>
      <c r="BA695" s="7"/>
    </row>
    <row r="696" spans="31:53" x14ac:dyDescent="0.55000000000000004">
      <c r="AE696" s="7">
        <f ca="1"/>
      </c>
      <c r="AF696">
        <f ca="1"/>
      </c>
      <c r="AG696">
        <f ca="1"/>
      </c>
      <c r="AH696">
        <f ca="1"/>
      </c>
      <c r="AI696">
        <f ca="1"/>
      </c>
      <c r="AJ696">
        <f ca="1"/>
      </c>
      <c r="AK696">
        <f ca="1"/>
      </c>
      <c r="AL696">
        <f ca="1"/>
      </c>
      <c r="AM696">
        <f ca="1"/>
      </c>
      <c r="AN696">
        <f ca="1"/>
      </c>
      <c r="AO696">
        <f ca="1"/>
      </c>
      <c r="AP696">
        <f ca="1"/>
      </c>
      <c r="AQ696">
        <f ca="1"/>
      </c>
      <c r="AR696">
        <f ca="1"/>
      </c>
      <c r="AT696" s="7">
        <f ca="1"/>
      </c>
      <c r="AU696">
        <f ca="1"/>
      </c>
      <c r="AV696">
        <f ca="1"/>
      </c>
      <c r="AW696">
        <f ca="1"/>
      </c>
      <c r="AX696">
        <f ca="1"/>
      </c>
      <c r="AY696">
        <f ca="1"/>
      </c>
      <c r="BA696" s="7"/>
    </row>
    <row r="697" spans="31:53" x14ac:dyDescent="0.55000000000000004">
      <c r="AE697" s="7">
        <f ca="1"/>
      </c>
      <c r="AF697">
        <f ca="1"/>
      </c>
      <c r="AG697">
        <f ca="1"/>
      </c>
      <c r="AH697">
        <f ca="1"/>
      </c>
      <c r="AI697">
        <f ca="1"/>
      </c>
      <c r="AJ697">
        <f ca="1"/>
      </c>
      <c r="AK697">
        <f ca="1"/>
      </c>
      <c r="AL697">
        <f ca="1"/>
      </c>
      <c r="AM697">
        <f ca="1"/>
      </c>
      <c r="AN697">
        <f ca="1"/>
      </c>
      <c r="AO697">
        <f ca="1"/>
      </c>
      <c r="AP697">
        <f ca="1"/>
      </c>
      <c r="AQ697">
        <f ca="1"/>
      </c>
      <c r="AR697">
        <f ca="1"/>
      </c>
      <c r="AT697" s="7">
        <f ca="1"/>
      </c>
      <c r="AU697">
        <f ca="1"/>
      </c>
      <c r="AV697">
        <f ca="1"/>
      </c>
      <c r="AW697">
        <f ca="1"/>
      </c>
      <c r="AX697">
        <f ca="1"/>
      </c>
      <c r="AY697">
        <f ca="1"/>
      </c>
      <c r="BA697" s="7"/>
    </row>
    <row r="698" spans="31:53" x14ac:dyDescent="0.55000000000000004">
      <c r="AE698" s="7">
        <f ca="1"/>
      </c>
      <c r="AF698">
        <f ca="1"/>
      </c>
      <c r="AG698">
        <f ca="1"/>
      </c>
      <c r="AH698">
        <f ca="1"/>
      </c>
      <c r="AI698">
        <f ca="1"/>
      </c>
      <c r="AJ698">
        <f ca="1"/>
      </c>
      <c r="AK698">
        <f ca="1"/>
      </c>
      <c r="AL698">
        <f ca="1"/>
      </c>
      <c r="AM698">
        <f ca="1"/>
      </c>
      <c r="AN698">
        <f ca="1"/>
      </c>
      <c r="AO698">
        <f ca="1"/>
      </c>
      <c r="AP698">
        <f ca="1"/>
      </c>
      <c r="AQ698">
        <f ca="1"/>
      </c>
      <c r="AR698">
        <f ca="1"/>
      </c>
      <c r="AT698" s="7">
        <f ca="1"/>
      </c>
      <c r="AU698">
        <f ca="1"/>
      </c>
      <c r="AV698">
        <f ca="1"/>
      </c>
      <c r="AW698">
        <f ca="1"/>
      </c>
      <c r="AX698">
        <f ca="1"/>
      </c>
      <c r="AY698">
        <f ca="1"/>
      </c>
      <c r="BA698" s="7"/>
    </row>
    <row r="699" spans="31:53" x14ac:dyDescent="0.55000000000000004">
      <c r="AE699" s="7">
        <f ca="1"/>
      </c>
      <c r="AF699">
        <f ca="1"/>
      </c>
      <c r="AG699">
        <f ca="1"/>
      </c>
      <c r="AH699">
        <f ca="1"/>
      </c>
      <c r="AI699">
        <f ca="1"/>
      </c>
      <c r="AJ699">
        <f ca="1"/>
      </c>
      <c r="AK699">
        <f ca="1"/>
      </c>
      <c r="AL699">
        <f ca="1"/>
      </c>
      <c r="AM699">
        <f ca="1"/>
      </c>
      <c r="AN699">
        <f ca="1"/>
      </c>
      <c r="AO699">
        <f ca="1"/>
      </c>
      <c r="AP699">
        <f ca="1"/>
      </c>
      <c r="AQ699">
        <f ca="1"/>
      </c>
      <c r="AR699">
        <f ca="1"/>
      </c>
      <c r="AT699" s="7">
        <f ca="1"/>
      </c>
      <c r="AU699">
        <f ca="1"/>
      </c>
      <c r="AV699">
        <f ca="1"/>
      </c>
      <c r="AW699">
        <f ca="1"/>
      </c>
      <c r="AX699">
        <f ca="1"/>
      </c>
      <c r="AY699">
        <f ca="1"/>
      </c>
      <c r="BA699" s="7"/>
    </row>
    <row r="700" spans="31:53" x14ac:dyDescent="0.55000000000000004">
      <c r="AE700" s="7">
        <f ca="1"/>
      </c>
      <c r="AF700">
        <f ca="1"/>
      </c>
      <c r="AG700">
        <f ca="1"/>
      </c>
      <c r="AH700">
        <f ca="1"/>
      </c>
      <c r="AI700">
        <f ca="1"/>
      </c>
      <c r="AJ700">
        <f ca="1"/>
      </c>
      <c r="AK700">
        <f ca="1"/>
      </c>
      <c r="AL700">
        <f ca="1"/>
      </c>
      <c r="AM700">
        <f ca="1"/>
      </c>
      <c r="AN700">
        <f ca="1"/>
      </c>
      <c r="AO700">
        <f ca="1"/>
      </c>
      <c r="AP700">
        <f ca="1"/>
      </c>
      <c r="AQ700">
        <f ca="1"/>
      </c>
      <c r="AR700">
        <f ca="1"/>
      </c>
      <c r="AT700" s="7">
        <f ca="1"/>
      </c>
      <c r="AU700">
        <f ca="1"/>
      </c>
      <c r="AV700">
        <f ca="1"/>
      </c>
      <c r="AW700">
        <f ca="1"/>
      </c>
      <c r="AX700">
        <f ca="1"/>
      </c>
      <c r="AY700">
        <f ca="1"/>
      </c>
      <c r="BA700" s="7"/>
    </row>
    <row r="701" spans="31:53" x14ac:dyDescent="0.55000000000000004">
      <c r="AE701" s="7">
        <f ca="1"/>
      </c>
      <c r="AF701">
        <f ca="1"/>
      </c>
      <c r="AG701">
        <f ca="1"/>
      </c>
      <c r="AH701">
        <f ca="1"/>
      </c>
      <c r="AI701">
        <f ca="1"/>
      </c>
      <c r="AJ701">
        <f ca="1"/>
      </c>
      <c r="AK701">
        <f ca="1"/>
      </c>
      <c r="AL701">
        <f ca="1"/>
      </c>
      <c r="AM701">
        <f ca="1"/>
      </c>
      <c r="AN701">
        <f ca="1"/>
      </c>
      <c r="AO701">
        <f ca="1"/>
      </c>
      <c r="AP701">
        <f ca="1"/>
      </c>
      <c r="AQ701">
        <f ca="1"/>
      </c>
      <c r="AR701">
        <f ca="1"/>
      </c>
      <c r="AT701" s="7">
        <f ca="1"/>
      </c>
      <c r="AU701">
        <f ca="1"/>
      </c>
      <c r="AV701">
        <f ca="1"/>
      </c>
      <c r="AW701">
        <f ca="1"/>
      </c>
      <c r="AX701">
        <f ca="1"/>
      </c>
      <c r="AY701">
        <f ca="1"/>
      </c>
      <c r="BA701" s="7"/>
    </row>
    <row r="702" spans="31:53" x14ac:dyDescent="0.55000000000000004">
      <c r="AE702" s="7">
        <f ca="1"/>
      </c>
      <c r="AF702">
        <f ca="1"/>
      </c>
      <c r="AG702">
        <f ca="1"/>
      </c>
      <c r="AH702">
        <f ca="1"/>
      </c>
      <c r="AI702">
        <f ca="1"/>
      </c>
      <c r="AJ702">
        <f ca="1"/>
      </c>
      <c r="AK702">
        <f ca="1"/>
      </c>
      <c r="AL702">
        <f ca="1"/>
      </c>
      <c r="AM702">
        <f ca="1"/>
      </c>
      <c r="AN702">
        <f ca="1"/>
      </c>
      <c r="AO702">
        <f ca="1"/>
      </c>
      <c r="AP702">
        <f ca="1"/>
      </c>
      <c r="AQ702">
        <f ca="1"/>
      </c>
      <c r="AR702">
        <f ca="1"/>
      </c>
      <c r="AT702" s="7">
        <f ca="1"/>
      </c>
      <c r="AU702">
        <f ca="1"/>
      </c>
      <c r="AV702">
        <f ca="1"/>
      </c>
      <c r="AW702">
        <f ca="1"/>
      </c>
      <c r="AX702">
        <f ca="1"/>
      </c>
      <c r="AY702">
        <f ca="1"/>
      </c>
      <c r="BA702" s="7"/>
    </row>
    <row r="703" spans="31:53" x14ac:dyDescent="0.55000000000000004">
      <c r="AE703" s="7">
        <f ca="1"/>
      </c>
      <c r="AF703">
        <f ca="1"/>
      </c>
      <c r="AG703">
        <f ca="1"/>
      </c>
      <c r="AH703">
        <f ca="1"/>
      </c>
      <c r="AI703">
        <f ca="1"/>
      </c>
      <c r="AJ703">
        <f ca="1"/>
      </c>
      <c r="AK703">
        <f ca="1"/>
      </c>
      <c r="AL703">
        <f ca="1"/>
      </c>
      <c r="AM703">
        <f ca="1"/>
      </c>
      <c r="AN703">
        <f ca="1"/>
      </c>
      <c r="AO703">
        <f ca="1"/>
      </c>
      <c r="AP703">
        <f ca="1"/>
      </c>
      <c r="AQ703">
        <f ca="1"/>
      </c>
      <c r="AR703">
        <f ca="1"/>
      </c>
      <c r="AT703" s="7">
        <f ca="1"/>
      </c>
      <c r="AU703">
        <f ca="1"/>
      </c>
      <c r="AV703">
        <f ca="1"/>
      </c>
      <c r="AW703">
        <f ca="1"/>
      </c>
      <c r="AX703">
        <f ca="1"/>
      </c>
      <c r="AY703">
        <f ca="1"/>
      </c>
      <c r="BA703" s="7"/>
    </row>
    <row r="704" spans="31:53" x14ac:dyDescent="0.55000000000000004">
      <c r="AE704" s="7">
        <f ca="1"/>
      </c>
      <c r="AF704">
        <f ca="1"/>
      </c>
      <c r="AG704">
        <f ca="1"/>
      </c>
      <c r="AH704">
        <f ca="1"/>
      </c>
      <c r="AI704">
        <f ca="1"/>
      </c>
      <c r="AJ704">
        <f ca="1"/>
      </c>
      <c r="AK704">
        <f ca="1"/>
      </c>
      <c r="AL704">
        <f ca="1"/>
      </c>
      <c r="AM704">
        <f ca="1"/>
      </c>
      <c r="AN704">
        <f ca="1"/>
      </c>
      <c r="AO704">
        <f ca="1"/>
      </c>
      <c r="AP704">
        <f ca="1"/>
      </c>
      <c r="AQ704">
        <f ca="1"/>
      </c>
      <c r="AR704">
        <f ca="1"/>
      </c>
      <c r="AT704" s="7">
        <f ca="1"/>
      </c>
      <c r="AU704">
        <f ca="1"/>
      </c>
      <c r="AV704">
        <f ca="1"/>
      </c>
      <c r="AW704">
        <f ca="1"/>
      </c>
      <c r="AX704">
        <f ca="1"/>
      </c>
      <c r="AY704">
        <f ca="1"/>
      </c>
      <c r="BA704" s="7"/>
    </row>
    <row r="705" spans="31:53" x14ac:dyDescent="0.55000000000000004">
      <c r="AE705" s="7">
        <f ca="1"/>
      </c>
      <c r="AF705">
        <f ca="1"/>
      </c>
      <c r="AG705">
        <f ca="1"/>
      </c>
      <c r="AH705">
        <f ca="1"/>
      </c>
      <c r="AI705">
        <f ca="1"/>
      </c>
      <c r="AJ705">
        <f ca="1"/>
      </c>
      <c r="AK705">
        <f ca="1"/>
      </c>
      <c r="AL705">
        <f ca="1"/>
      </c>
      <c r="AM705">
        <f ca="1"/>
      </c>
      <c r="AN705">
        <f ca="1"/>
      </c>
      <c r="AO705">
        <f ca="1"/>
      </c>
      <c r="AP705">
        <f ca="1"/>
      </c>
      <c r="AQ705">
        <f ca="1"/>
      </c>
      <c r="AR705">
        <f ca="1"/>
      </c>
      <c r="AT705" s="7">
        <f ca="1"/>
      </c>
      <c r="AU705">
        <f ca="1"/>
      </c>
      <c r="AV705">
        <f ca="1"/>
      </c>
      <c r="AW705">
        <f ca="1"/>
      </c>
      <c r="AX705">
        <f ca="1"/>
      </c>
      <c r="AY705">
        <f ca="1"/>
      </c>
      <c r="BA705" s="7"/>
    </row>
    <row r="706" spans="31:53" x14ac:dyDescent="0.55000000000000004">
      <c r="AE706" s="7">
        <f ca="1"/>
      </c>
      <c r="AF706">
        <f ca="1"/>
      </c>
      <c r="AG706">
        <f ca="1"/>
      </c>
      <c r="AH706">
        <f ca="1"/>
      </c>
      <c r="AI706">
        <f ca="1"/>
      </c>
      <c r="AJ706">
        <f ca="1"/>
      </c>
      <c r="AK706">
        <f ca="1"/>
      </c>
      <c r="AL706">
        <f ca="1"/>
      </c>
      <c r="AM706">
        <f ca="1"/>
      </c>
      <c r="AN706">
        <f ca="1"/>
      </c>
      <c r="AO706">
        <f ca="1"/>
      </c>
      <c r="AP706">
        <f ca="1"/>
      </c>
      <c r="AQ706">
        <f ca="1"/>
      </c>
      <c r="AR706">
        <f ca="1"/>
      </c>
      <c r="AT706" s="7">
        <f ca="1"/>
      </c>
      <c r="AU706">
        <f ca="1"/>
      </c>
      <c r="AV706">
        <f ca="1"/>
      </c>
      <c r="AW706">
        <f ca="1"/>
      </c>
      <c r="AX706">
        <f ca="1"/>
      </c>
      <c r="AY706">
        <f ca="1"/>
      </c>
      <c r="BA706" s="7"/>
    </row>
    <row r="707" spans="31:53" x14ac:dyDescent="0.55000000000000004">
      <c r="AE707" s="7">
        <f ca="1"/>
      </c>
      <c r="AF707">
        <f ca="1"/>
      </c>
      <c r="AG707">
        <f ca="1"/>
      </c>
      <c r="AH707">
        <f ca="1"/>
      </c>
      <c r="AI707">
        <f ca="1"/>
      </c>
      <c r="AJ707">
        <f ca="1"/>
      </c>
      <c r="AK707">
        <f ca="1"/>
      </c>
      <c r="AL707">
        <f ca="1"/>
      </c>
      <c r="AM707">
        <f ca="1"/>
      </c>
      <c r="AN707">
        <f ca="1"/>
      </c>
      <c r="AO707">
        <f ca="1"/>
      </c>
      <c r="AP707">
        <f ca="1"/>
      </c>
      <c r="AQ707">
        <f ca="1"/>
      </c>
      <c r="AR707">
        <f ca="1"/>
      </c>
      <c r="AT707" s="7">
        <f ca="1"/>
      </c>
      <c r="AU707">
        <f ca="1"/>
      </c>
      <c r="AV707">
        <f ca="1"/>
      </c>
      <c r="AW707">
        <f ca="1"/>
      </c>
      <c r="AX707">
        <f ca="1"/>
      </c>
      <c r="AY707">
        <f ca="1"/>
      </c>
      <c r="BA707" s="7"/>
    </row>
    <row r="708" spans="31:53" x14ac:dyDescent="0.55000000000000004">
      <c r="AE708" s="7">
        <f ca="1"/>
      </c>
      <c r="AF708">
        <f ca="1"/>
      </c>
      <c r="AG708">
        <f ca="1"/>
      </c>
      <c r="AH708">
        <f ca="1"/>
      </c>
      <c r="AI708">
        <f ca="1"/>
      </c>
      <c r="AJ708">
        <f ca="1"/>
      </c>
      <c r="AK708">
        <f ca="1"/>
      </c>
      <c r="AL708">
        <f ca="1"/>
      </c>
      <c r="AM708">
        <f ca="1"/>
      </c>
      <c r="AN708">
        <f ca="1"/>
      </c>
      <c r="AO708">
        <f ca="1"/>
      </c>
      <c r="AP708">
        <f ca="1"/>
      </c>
      <c r="AQ708">
        <f ca="1"/>
      </c>
      <c r="AR708">
        <f ca="1"/>
      </c>
      <c r="AT708" s="7">
        <f ca="1"/>
      </c>
      <c r="AU708">
        <f ca="1"/>
      </c>
      <c r="AV708">
        <f ca="1"/>
      </c>
      <c r="AW708">
        <f ca="1"/>
      </c>
      <c r="AX708">
        <f ca="1"/>
      </c>
      <c r="AY708">
        <f ca="1"/>
      </c>
      <c r="BA708" s="7"/>
    </row>
    <row r="709" spans="31:53" x14ac:dyDescent="0.55000000000000004">
      <c r="AE709" s="7">
        <f ca="1"/>
      </c>
      <c r="AF709">
        <f ca="1"/>
      </c>
      <c r="AG709">
        <f ca="1"/>
      </c>
      <c r="AH709">
        <f ca="1"/>
      </c>
      <c r="AI709">
        <f ca="1"/>
      </c>
      <c r="AJ709">
        <f ca="1"/>
      </c>
      <c r="AK709">
        <f ca="1"/>
      </c>
      <c r="AL709">
        <f ca="1"/>
      </c>
      <c r="AM709">
        <f ca="1"/>
      </c>
      <c r="AN709">
        <f ca="1"/>
      </c>
      <c r="AO709">
        <f ca="1"/>
      </c>
      <c r="AP709">
        <f ca="1"/>
      </c>
      <c r="AQ709">
        <f ca="1"/>
      </c>
      <c r="AR709">
        <f ca="1"/>
      </c>
      <c r="AT709" s="7">
        <f ca="1"/>
      </c>
      <c r="AU709">
        <f ca="1"/>
      </c>
      <c r="AV709">
        <f ca="1"/>
      </c>
      <c r="AW709">
        <f ca="1"/>
      </c>
      <c r="AX709">
        <f ca="1"/>
      </c>
      <c r="AY709">
        <f ca="1"/>
      </c>
      <c r="BA709" s="7"/>
    </row>
    <row r="710" spans="31:53" x14ac:dyDescent="0.55000000000000004">
      <c r="AE710" s="7">
        <f ca="1"/>
      </c>
      <c r="AF710">
        <f ca="1"/>
      </c>
      <c r="AG710">
        <f ca="1"/>
      </c>
      <c r="AH710">
        <f ca="1"/>
      </c>
      <c r="AI710">
        <f ca="1"/>
      </c>
      <c r="AJ710">
        <f ca="1"/>
      </c>
      <c r="AK710">
        <f ca="1"/>
      </c>
      <c r="AL710">
        <f ca="1"/>
      </c>
      <c r="AM710">
        <f ca="1"/>
      </c>
      <c r="AN710">
        <f ca="1"/>
      </c>
      <c r="AO710">
        <f ca="1"/>
      </c>
      <c r="AP710">
        <f ca="1"/>
      </c>
      <c r="AQ710">
        <f ca="1"/>
      </c>
      <c r="AR710">
        <f ca="1"/>
      </c>
      <c r="AT710" s="7">
        <f ca="1"/>
      </c>
      <c r="AU710">
        <f ca="1"/>
      </c>
      <c r="AV710">
        <f ca="1"/>
      </c>
      <c r="AW710">
        <f ca="1"/>
      </c>
      <c r="AX710">
        <f ca="1"/>
      </c>
      <c r="AY710">
        <f ca="1"/>
      </c>
      <c r="BA710" s="7"/>
    </row>
    <row r="711" spans="31:53" x14ac:dyDescent="0.55000000000000004">
      <c r="AE711" s="7">
        <f ca="1"/>
      </c>
      <c r="AF711">
        <f ca="1"/>
      </c>
      <c r="AG711">
        <f ca="1"/>
      </c>
      <c r="AH711">
        <f ca="1"/>
      </c>
      <c r="AI711">
        <f ca="1"/>
      </c>
      <c r="AJ711">
        <f ca="1"/>
      </c>
      <c r="AK711">
        <f ca="1"/>
      </c>
      <c r="AL711">
        <f ca="1"/>
      </c>
      <c r="AM711">
        <f ca="1"/>
      </c>
      <c r="AN711">
        <f ca="1"/>
      </c>
      <c r="AO711">
        <f ca="1"/>
      </c>
      <c r="AP711">
        <f ca="1"/>
      </c>
      <c r="AQ711">
        <f ca="1"/>
      </c>
      <c r="AR711">
        <f ca="1"/>
      </c>
      <c r="AT711" s="7">
        <f ca="1"/>
      </c>
      <c r="AU711">
        <f ca="1"/>
      </c>
      <c r="AV711">
        <f ca="1"/>
      </c>
      <c r="AW711">
        <f ca="1"/>
      </c>
      <c r="AX711">
        <f ca="1"/>
      </c>
      <c r="AY711">
        <f ca="1"/>
      </c>
      <c r="BA711" s="7"/>
    </row>
    <row r="712" spans="31:53" x14ac:dyDescent="0.55000000000000004">
      <c r="AE712" s="7">
        <f ca="1"/>
      </c>
      <c r="AF712">
        <f ca="1"/>
      </c>
      <c r="AG712">
        <f ca="1"/>
      </c>
      <c r="AH712">
        <f ca="1"/>
      </c>
      <c r="AI712">
        <f ca="1"/>
      </c>
      <c r="AJ712">
        <f ca="1"/>
      </c>
      <c r="AK712">
        <f ca="1"/>
      </c>
      <c r="AL712">
        <f ca="1"/>
      </c>
      <c r="AM712">
        <f ca="1"/>
      </c>
      <c r="AN712">
        <f ca="1"/>
      </c>
      <c r="AO712">
        <f ca="1"/>
      </c>
      <c r="AP712">
        <f ca="1"/>
      </c>
      <c r="AQ712">
        <f ca="1"/>
      </c>
      <c r="AR712">
        <f ca="1"/>
      </c>
      <c r="AT712" s="7">
        <f ca="1"/>
      </c>
      <c r="AU712">
        <f ca="1"/>
      </c>
      <c r="AV712">
        <f ca="1"/>
      </c>
      <c r="AW712">
        <f ca="1"/>
      </c>
      <c r="AX712">
        <f ca="1"/>
      </c>
      <c r="AY712">
        <f ca="1"/>
      </c>
      <c r="BA712" s="7"/>
    </row>
    <row r="713" spans="31:53" x14ac:dyDescent="0.55000000000000004">
      <c r="AE713" s="7">
        <f ca="1"/>
      </c>
      <c r="AF713">
        <f ca="1"/>
      </c>
      <c r="AG713">
        <f ca="1"/>
      </c>
      <c r="AH713">
        <f ca="1"/>
      </c>
      <c r="AI713">
        <f ca="1"/>
      </c>
      <c r="AJ713">
        <f ca="1"/>
      </c>
      <c r="AK713">
        <f ca="1"/>
      </c>
      <c r="AL713">
        <f ca="1"/>
      </c>
      <c r="AM713">
        <f ca="1"/>
      </c>
      <c r="AN713">
        <f ca="1"/>
      </c>
      <c r="AO713">
        <f ca="1"/>
      </c>
      <c r="AP713">
        <f ca="1"/>
      </c>
      <c r="AQ713">
        <f ca="1"/>
      </c>
      <c r="AR713">
        <f ca="1"/>
      </c>
      <c r="AT713" s="7">
        <f ca="1"/>
      </c>
      <c r="AU713">
        <f ca="1"/>
      </c>
      <c r="AV713">
        <f ca="1"/>
      </c>
      <c r="AW713">
        <f ca="1"/>
      </c>
      <c r="AX713">
        <f ca="1"/>
      </c>
      <c r="AY713">
        <f ca="1"/>
      </c>
      <c r="BA713" s="7"/>
    </row>
    <row r="714" spans="31:53" x14ac:dyDescent="0.55000000000000004">
      <c r="AE714" s="7">
        <f ca="1"/>
      </c>
      <c r="AF714">
        <f ca="1"/>
      </c>
      <c r="AG714">
        <f ca="1"/>
      </c>
      <c r="AH714">
        <f ca="1"/>
      </c>
      <c r="AI714">
        <f ca="1"/>
      </c>
      <c r="AJ714">
        <f ca="1"/>
      </c>
      <c r="AK714">
        <f ca="1"/>
      </c>
      <c r="AL714">
        <f ca="1"/>
      </c>
      <c r="AM714">
        <f ca="1"/>
      </c>
      <c r="AN714">
        <f ca="1"/>
      </c>
      <c r="AO714">
        <f ca="1"/>
      </c>
      <c r="AP714">
        <f ca="1"/>
      </c>
      <c r="AQ714">
        <f ca="1"/>
      </c>
      <c r="AR714">
        <f ca="1"/>
      </c>
      <c r="AT714" s="7">
        <f ca="1"/>
      </c>
      <c r="AU714">
        <f ca="1"/>
      </c>
      <c r="AV714">
        <f ca="1"/>
      </c>
      <c r="AW714">
        <f ca="1"/>
      </c>
      <c r="AX714">
        <f ca="1"/>
      </c>
      <c r="AY714">
        <f ca="1"/>
      </c>
      <c r="BA714" s="7"/>
    </row>
    <row r="715" spans="31:53" x14ac:dyDescent="0.55000000000000004">
      <c r="AE715" s="7">
        <f ca="1"/>
      </c>
      <c r="AF715">
        <f ca="1"/>
      </c>
      <c r="AG715">
        <f ca="1"/>
      </c>
      <c r="AH715">
        <f ca="1"/>
      </c>
      <c r="AI715">
        <f ca="1"/>
      </c>
      <c r="AJ715">
        <f ca="1"/>
      </c>
      <c r="AK715">
        <f ca="1"/>
      </c>
      <c r="AL715">
        <f ca="1"/>
      </c>
      <c r="AM715">
        <f ca="1"/>
      </c>
      <c r="AN715">
        <f ca="1"/>
      </c>
      <c r="AO715">
        <f ca="1"/>
      </c>
      <c r="AP715">
        <f ca="1"/>
      </c>
      <c r="AQ715">
        <f ca="1"/>
      </c>
      <c r="AR715">
        <f ca="1"/>
      </c>
      <c r="AT715" s="7">
        <f ca="1"/>
      </c>
      <c r="AU715">
        <f ca="1"/>
      </c>
      <c r="AV715">
        <f ca="1"/>
      </c>
      <c r="AW715">
        <f ca="1"/>
      </c>
      <c r="AX715">
        <f ca="1"/>
      </c>
      <c r="AY715">
        <f ca="1"/>
      </c>
      <c r="BA715" s="7"/>
    </row>
    <row r="716" spans="31:53" x14ac:dyDescent="0.55000000000000004">
      <c r="AE716" s="7">
        <f ca="1"/>
      </c>
      <c r="AF716">
        <f ca="1"/>
      </c>
      <c r="AG716">
        <f ca="1"/>
      </c>
      <c r="AH716">
        <f ca="1"/>
      </c>
      <c r="AI716">
        <f ca="1"/>
      </c>
      <c r="AJ716">
        <f ca="1"/>
      </c>
      <c r="AK716">
        <f ca="1"/>
      </c>
      <c r="AL716">
        <f ca="1"/>
      </c>
      <c r="AM716">
        <f ca="1"/>
      </c>
      <c r="AN716">
        <f ca="1"/>
      </c>
      <c r="AO716">
        <f ca="1"/>
      </c>
      <c r="AP716">
        <f ca="1"/>
      </c>
      <c r="AQ716">
        <f ca="1"/>
      </c>
      <c r="AR716">
        <f ca="1"/>
      </c>
      <c r="AT716" s="7">
        <f ca="1"/>
      </c>
      <c r="AU716">
        <f ca="1"/>
      </c>
      <c r="AV716">
        <f ca="1"/>
      </c>
      <c r="AW716">
        <f ca="1"/>
      </c>
      <c r="AX716">
        <f ca="1"/>
      </c>
      <c r="AY716">
        <f ca="1"/>
      </c>
      <c r="BA716" s="7"/>
    </row>
    <row r="717" spans="31:53" x14ac:dyDescent="0.55000000000000004">
      <c r="AE717" s="7">
        <f ca="1"/>
      </c>
      <c r="AF717">
        <f ca="1"/>
      </c>
      <c r="AG717">
        <f ca="1"/>
      </c>
      <c r="AH717">
        <f ca="1"/>
      </c>
      <c r="AI717">
        <f ca="1"/>
      </c>
      <c r="AJ717">
        <f ca="1"/>
      </c>
      <c r="AK717">
        <f ca="1"/>
      </c>
      <c r="AL717">
        <f ca="1"/>
      </c>
      <c r="AM717">
        <f ca="1"/>
      </c>
      <c r="AN717">
        <f ca="1"/>
      </c>
      <c r="AO717">
        <f ca="1"/>
      </c>
      <c r="AP717">
        <f ca="1"/>
      </c>
      <c r="AQ717">
        <f ca="1"/>
      </c>
      <c r="AR717">
        <f ca="1"/>
      </c>
      <c r="AT717" s="7">
        <f ca="1"/>
      </c>
      <c r="AU717">
        <f ca="1"/>
      </c>
      <c r="AV717">
        <f ca="1"/>
      </c>
      <c r="AW717">
        <f ca="1"/>
      </c>
      <c r="AX717">
        <f ca="1"/>
      </c>
      <c r="AY717">
        <f ca="1"/>
      </c>
      <c r="BA717" s="7"/>
    </row>
    <row r="718" spans="31:53" x14ac:dyDescent="0.55000000000000004">
      <c r="AE718" s="7">
        <f ca="1"/>
      </c>
      <c r="AF718">
        <f ca="1"/>
      </c>
      <c r="AG718">
        <f ca="1"/>
      </c>
      <c r="AH718">
        <f ca="1"/>
      </c>
      <c r="AI718">
        <f ca="1"/>
      </c>
      <c r="AJ718">
        <f ca="1"/>
      </c>
      <c r="AK718">
        <f ca="1"/>
      </c>
      <c r="AL718">
        <f ca="1"/>
      </c>
      <c r="AM718">
        <f ca="1"/>
      </c>
      <c r="AN718">
        <f ca="1"/>
      </c>
      <c r="AO718">
        <f ca="1"/>
      </c>
      <c r="AP718">
        <f ca="1"/>
      </c>
      <c r="AQ718">
        <f ca="1"/>
      </c>
      <c r="AR718">
        <f ca="1"/>
      </c>
      <c r="AT718" s="7">
        <f ca="1"/>
      </c>
      <c r="AU718">
        <f ca="1"/>
      </c>
      <c r="AV718">
        <f ca="1"/>
      </c>
      <c r="AW718">
        <f ca="1"/>
      </c>
      <c r="AX718">
        <f ca="1"/>
      </c>
      <c r="AY718">
        <f ca="1"/>
      </c>
      <c r="BA718" s="7"/>
    </row>
    <row r="719" spans="31:53" x14ac:dyDescent="0.55000000000000004">
      <c r="AE719" s="7">
        <f ca="1"/>
      </c>
      <c r="AF719">
        <f ca="1"/>
      </c>
      <c r="AG719">
        <f ca="1"/>
      </c>
      <c r="AH719">
        <f ca="1"/>
      </c>
      <c r="AI719">
        <f ca="1"/>
      </c>
      <c r="AJ719">
        <f ca="1"/>
      </c>
      <c r="AK719">
        <f ca="1"/>
      </c>
      <c r="AL719">
        <f ca="1"/>
      </c>
      <c r="AM719">
        <f ca="1"/>
      </c>
      <c r="AN719">
        <f ca="1"/>
      </c>
      <c r="AO719">
        <f ca="1"/>
      </c>
      <c r="AP719">
        <f ca="1"/>
      </c>
      <c r="AQ719">
        <f ca="1"/>
      </c>
      <c r="AR719">
        <f ca="1"/>
      </c>
      <c r="AT719" s="7">
        <f ca="1"/>
      </c>
      <c r="AU719">
        <f ca="1"/>
      </c>
      <c r="AV719">
        <f ca="1"/>
      </c>
      <c r="AW719">
        <f ca="1"/>
      </c>
      <c r="AX719">
        <f ca="1"/>
      </c>
      <c r="AY719">
        <f ca="1"/>
      </c>
      <c r="BA719" s="7"/>
    </row>
    <row r="720" spans="31:53" x14ac:dyDescent="0.55000000000000004">
      <c r="AE720" s="7">
        <f ca="1"/>
      </c>
      <c r="AF720">
        <f ca="1"/>
      </c>
      <c r="AG720">
        <f ca="1"/>
      </c>
      <c r="AH720">
        <f ca="1"/>
      </c>
      <c r="AI720">
        <f ca="1"/>
      </c>
      <c r="AJ720">
        <f ca="1"/>
      </c>
      <c r="AK720">
        <f ca="1"/>
      </c>
      <c r="AL720">
        <f ca="1"/>
      </c>
      <c r="AM720">
        <f ca="1"/>
      </c>
      <c r="AN720">
        <f ca="1"/>
      </c>
      <c r="AO720">
        <f ca="1"/>
      </c>
      <c r="AP720">
        <f ca="1"/>
      </c>
      <c r="AQ720">
        <f ca="1"/>
      </c>
      <c r="AR720">
        <f ca="1"/>
      </c>
      <c r="AT720" s="7">
        <f ca="1"/>
      </c>
      <c r="AU720">
        <f ca="1"/>
      </c>
      <c r="AV720">
        <f ca="1"/>
      </c>
      <c r="AW720">
        <f ca="1"/>
      </c>
      <c r="AX720">
        <f ca="1"/>
      </c>
      <c r="AY720">
        <f ca="1"/>
      </c>
      <c r="BA720" s="7"/>
    </row>
    <row r="721" spans="31:53" x14ac:dyDescent="0.55000000000000004">
      <c r="AE721" s="7">
        <f ca="1"/>
      </c>
      <c r="AF721">
        <f ca="1"/>
      </c>
      <c r="AG721">
        <f ca="1"/>
      </c>
      <c r="AH721">
        <f ca="1"/>
      </c>
      <c r="AI721">
        <f ca="1"/>
      </c>
      <c r="AJ721">
        <f ca="1"/>
      </c>
      <c r="AK721">
        <f ca="1"/>
      </c>
      <c r="AL721">
        <f ca="1"/>
      </c>
      <c r="AM721">
        <f ca="1"/>
      </c>
      <c r="AN721">
        <f ca="1"/>
      </c>
      <c r="AO721">
        <f ca="1"/>
      </c>
      <c r="AP721">
        <f ca="1"/>
      </c>
      <c r="AQ721">
        <f ca="1"/>
      </c>
      <c r="AR721">
        <f ca="1"/>
      </c>
      <c r="AT721" s="7">
        <f ca="1"/>
      </c>
      <c r="AU721">
        <f ca="1"/>
      </c>
      <c r="AV721">
        <f ca="1"/>
      </c>
      <c r="AW721">
        <f ca="1"/>
      </c>
      <c r="AX721">
        <f ca="1"/>
      </c>
      <c r="AY721">
        <f ca="1"/>
      </c>
      <c r="BA721" s="7"/>
    </row>
    <row r="722" spans="31:53" x14ac:dyDescent="0.55000000000000004">
      <c r="AE722" s="7">
        <f ca="1"/>
      </c>
      <c r="AF722">
        <f ca="1"/>
      </c>
      <c r="AG722">
        <f ca="1"/>
      </c>
      <c r="AH722">
        <f ca="1"/>
      </c>
      <c r="AI722">
        <f ca="1"/>
      </c>
      <c r="AJ722">
        <f ca="1"/>
      </c>
      <c r="AK722">
        <f ca="1"/>
      </c>
      <c r="AL722">
        <f ca="1"/>
      </c>
      <c r="AM722">
        <f ca="1"/>
      </c>
      <c r="AN722">
        <f ca="1"/>
      </c>
      <c r="AO722">
        <f ca="1"/>
      </c>
      <c r="AP722">
        <f ca="1"/>
      </c>
      <c r="AQ722">
        <f ca="1"/>
      </c>
      <c r="AR722">
        <f ca="1"/>
      </c>
      <c r="AT722" s="7">
        <f ca="1"/>
      </c>
      <c r="AU722">
        <f ca="1"/>
      </c>
      <c r="AV722">
        <f ca="1"/>
      </c>
      <c r="AW722">
        <f ca="1"/>
      </c>
      <c r="AX722">
        <f ca="1"/>
      </c>
      <c r="AY722">
        <f ca="1"/>
      </c>
      <c r="BA722" s="7"/>
    </row>
    <row r="723" spans="31:53" x14ac:dyDescent="0.55000000000000004">
      <c r="AE723" s="7">
        <f ca="1"/>
      </c>
      <c r="AF723">
        <f ca="1"/>
      </c>
      <c r="AG723">
        <f ca="1"/>
      </c>
      <c r="AH723">
        <f ca="1"/>
      </c>
      <c r="AI723">
        <f ca="1"/>
      </c>
      <c r="AJ723">
        <f ca="1"/>
      </c>
      <c r="AK723">
        <f ca="1"/>
      </c>
      <c r="AL723">
        <f ca="1"/>
      </c>
      <c r="AM723">
        <f ca="1"/>
      </c>
      <c r="AN723">
        <f ca="1"/>
      </c>
      <c r="AO723">
        <f ca="1"/>
      </c>
      <c r="AP723">
        <f ca="1"/>
      </c>
      <c r="AQ723">
        <f ca="1"/>
      </c>
      <c r="AR723">
        <f ca="1"/>
      </c>
      <c r="AT723" s="7">
        <f ca="1"/>
      </c>
      <c r="AU723">
        <f ca="1"/>
      </c>
      <c r="AV723">
        <f ca="1"/>
      </c>
      <c r="AW723">
        <f ca="1"/>
      </c>
      <c r="AX723">
        <f ca="1"/>
      </c>
      <c r="AY723">
        <f ca="1"/>
      </c>
      <c r="BA723" s="7"/>
    </row>
    <row r="724" spans="31:53" x14ac:dyDescent="0.55000000000000004">
      <c r="AE724" s="7">
        <f ca="1"/>
      </c>
      <c r="AF724">
        <f ca="1"/>
      </c>
      <c r="AG724">
        <f ca="1"/>
      </c>
      <c r="AH724">
        <f ca="1"/>
      </c>
      <c r="AI724">
        <f ca="1"/>
      </c>
      <c r="AJ724">
        <f ca="1"/>
      </c>
      <c r="AK724">
        <f ca="1"/>
      </c>
      <c r="AL724">
        <f ca="1"/>
      </c>
      <c r="AM724">
        <f ca="1"/>
      </c>
      <c r="AN724">
        <f ca="1"/>
      </c>
      <c r="AO724">
        <f ca="1"/>
      </c>
      <c r="AP724">
        <f ca="1"/>
      </c>
      <c r="AQ724">
        <f ca="1"/>
      </c>
      <c r="AR724">
        <f ca="1"/>
      </c>
      <c r="AT724" s="7">
        <f ca="1"/>
      </c>
      <c r="AU724">
        <f ca="1"/>
      </c>
      <c r="AV724">
        <f ca="1"/>
      </c>
      <c r="AW724">
        <f ca="1"/>
      </c>
      <c r="AX724">
        <f ca="1"/>
      </c>
      <c r="AY724">
        <f ca="1"/>
      </c>
      <c r="BA724" s="7"/>
    </row>
    <row r="725" spans="31:53" x14ac:dyDescent="0.55000000000000004">
      <c r="AE725" s="7">
        <f ca="1"/>
      </c>
      <c r="AF725">
        <f ca="1"/>
      </c>
      <c r="AG725">
        <f ca="1"/>
      </c>
      <c r="AH725">
        <f ca="1"/>
      </c>
      <c r="AI725">
        <f ca="1"/>
      </c>
      <c r="AJ725">
        <f ca="1"/>
      </c>
      <c r="AK725">
        <f ca="1"/>
      </c>
      <c r="AL725">
        <f ca="1"/>
      </c>
      <c r="AM725">
        <f ca="1"/>
      </c>
      <c r="AN725">
        <f ca="1"/>
      </c>
      <c r="AO725">
        <f ca="1"/>
      </c>
      <c r="AP725">
        <f ca="1"/>
      </c>
      <c r="AQ725">
        <f ca="1"/>
      </c>
      <c r="AR725">
        <f ca="1"/>
      </c>
      <c r="AT725" s="7">
        <f ca="1"/>
      </c>
      <c r="AU725">
        <f ca="1"/>
      </c>
      <c r="AV725">
        <f ca="1"/>
      </c>
      <c r="AW725">
        <f ca="1"/>
      </c>
      <c r="AX725">
        <f ca="1"/>
      </c>
      <c r="AY725">
        <f ca="1"/>
      </c>
      <c r="BA725" s="7"/>
    </row>
    <row r="726" spans="31:53" x14ac:dyDescent="0.55000000000000004">
      <c r="AE726" s="7">
        <f ca="1"/>
      </c>
      <c r="AF726">
        <f ca="1"/>
      </c>
      <c r="AG726">
        <f ca="1"/>
      </c>
      <c r="AH726">
        <f ca="1"/>
      </c>
      <c r="AI726">
        <f ca="1"/>
      </c>
      <c r="AJ726">
        <f ca="1"/>
      </c>
      <c r="AK726">
        <f ca="1"/>
      </c>
      <c r="AL726">
        <f ca="1"/>
      </c>
      <c r="AM726">
        <f ca="1"/>
      </c>
      <c r="AN726">
        <f ca="1"/>
      </c>
      <c r="AO726">
        <f ca="1"/>
      </c>
      <c r="AP726">
        <f ca="1"/>
      </c>
      <c r="AQ726">
        <f ca="1"/>
      </c>
      <c r="AR726">
        <f ca="1"/>
      </c>
      <c r="AT726" s="7">
        <f ca="1"/>
      </c>
      <c r="AU726">
        <f ca="1"/>
      </c>
      <c r="AV726">
        <f ca="1"/>
      </c>
      <c r="AW726">
        <f ca="1"/>
      </c>
      <c r="AX726">
        <f ca="1"/>
      </c>
      <c r="AY726">
        <f ca="1"/>
      </c>
      <c r="BA726" s="7"/>
    </row>
    <row r="727" spans="31:53" x14ac:dyDescent="0.55000000000000004">
      <c r="AE727" s="7">
        <f ca="1"/>
      </c>
      <c r="AF727">
        <f ca="1"/>
      </c>
      <c r="AG727">
        <f ca="1"/>
      </c>
      <c r="AH727">
        <f ca="1"/>
      </c>
      <c r="AI727">
        <f ca="1"/>
      </c>
      <c r="AJ727">
        <f ca="1"/>
      </c>
      <c r="AK727">
        <f ca="1"/>
      </c>
      <c r="AL727">
        <f ca="1"/>
      </c>
      <c r="AM727">
        <f ca="1"/>
      </c>
      <c r="AN727">
        <f ca="1"/>
      </c>
      <c r="AO727">
        <f ca="1"/>
      </c>
      <c r="AP727">
        <f ca="1"/>
      </c>
      <c r="AQ727">
        <f ca="1"/>
      </c>
      <c r="AR727">
        <f ca="1"/>
      </c>
      <c r="AT727" s="7">
        <f ca="1"/>
      </c>
      <c r="AU727">
        <f ca="1"/>
      </c>
      <c r="AV727">
        <f ca="1"/>
      </c>
      <c r="AW727">
        <f ca="1"/>
      </c>
      <c r="AX727">
        <f ca="1"/>
      </c>
      <c r="AY727">
        <f ca="1"/>
      </c>
      <c r="BA727" s="7"/>
    </row>
    <row r="728" spans="31:53" x14ac:dyDescent="0.55000000000000004">
      <c r="AE728" s="7">
        <f ca="1"/>
      </c>
      <c r="AF728">
        <f ca="1"/>
      </c>
      <c r="AG728">
        <f ca="1"/>
      </c>
      <c r="AH728">
        <f ca="1"/>
      </c>
      <c r="AI728">
        <f ca="1"/>
      </c>
      <c r="AJ728">
        <f ca="1"/>
      </c>
      <c r="AK728">
        <f ca="1"/>
      </c>
      <c r="AL728">
        <f ca="1"/>
      </c>
      <c r="AM728">
        <f ca="1"/>
      </c>
      <c r="AN728">
        <f ca="1"/>
      </c>
      <c r="AO728">
        <f ca="1"/>
      </c>
      <c r="AP728">
        <f ca="1"/>
      </c>
      <c r="AQ728">
        <f ca="1"/>
      </c>
      <c r="AR728">
        <f ca="1"/>
      </c>
      <c r="AT728" s="7">
        <f ca="1"/>
      </c>
      <c r="AU728">
        <f ca="1"/>
      </c>
      <c r="AV728">
        <f ca="1"/>
      </c>
      <c r="AW728">
        <f ca="1"/>
      </c>
      <c r="AX728">
        <f ca="1"/>
      </c>
      <c r="AY728">
        <f ca="1"/>
      </c>
      <c r="BA728" s="7"/>
    </row>
    <row r="729" spans="31:53" x14ac:dyDescent="0.55000000000000004">
      <c r="AE729" s="7">
        <f ca="1"/>
      </c>
      <c r="AF729">
        <f ca="1"/>
      </c>
      <c r="AG729">
        <f ca="1"/>
      </c>
      <c r="AH729">
        <f ca="1"/>
      </c>
      <c r="AI729">
        <f ca="1"/>
      </c>
      <c r="AJ729">
        <f ca="1"/>
      </c>
      <c r="AK729">
        <f ca="1"/>
      </c>
      <c r="AL729">
        <f ca="1"/>
      </c>
      <c r="AM729">
        <f ca="1"/>
      </c>
      <c r="AN729">
        <f ca="1"/>
      </c>
      <c r="AO729">
        <f ca="1"/>
      </c>
      <c r="AP729">
        <f ca="1"/>
      </c>
      <c r="AQ729">
        <f ca="1"/>
      </c>
      <c r="AR729">
        <f ca="1"/>
      </c>
      <c r="AT729" s="7">
        <f ca="1"/>
      </c>
      <c r="AU729">
        <f ca="1"/>
      </c>
      <c r="AV729">
        <f ca="1"/>
      </c>
      <c r="AW729">
        <f ca="1"/>
      </c>
      <c r="AX729">
        <f ca="1"/>
      </c>
      <c r="AY729">
        <f ca="1"/>
      </c>
      <c r="BA729" s="7"/>
    </row>
    <row r="730" spans="31:53" x14ac:dyDescent="0.55000000000000004">
      <c r="AE730" s="7">
        <f ca="1"/>
      </c>
      <c r="AF730">
        <f ca="1"/>
      </c>
      <c r="AG730">
        <f ca="1"/>
      </c>
      <c r="AH730">
        <f ca="1"/>
      </c>
      <c r="AI730">
        <f ca="1"/>
      </c>
      <c r="AJ730">
        <f ca="1"/>
      </c>
      <c r="AK730">
        <f ca="1"/>
      </c>
      <c r="AL730">
        <f ca="1"/>
      </c>
      <c r="AM730">
        <f ca="1"/>
      </c>
      <c r="AN730">
        <f ca="1"/>
      </c>
      <c r="AO730">
        <f ca="1"/>
      </c>
      <c r="AP730">
        <f ca="1"/>
      </c>
      <c r="AQ730">
        <f ca="1"/>
      </c>
      <c r="AR730">
        <f ca="1"/>
      </c>
      <c r="AT730" s="7">
        <f ca="1"/>
      </c>
      <c r="AU730">
        <f ca="1"/>
      </c>
      <c r="AV730">
        <f ca="1"/>
      </c>
      <c r="AW730">
        <f ca="1"/>
      </c>
      <c r="AX730">
        <f ca="1"/>
      </c>
      <c r="AY730">
        <f ca="1"/>
      </c>
      <c r="BA730" s="7"/>
    </row>
    <row r="731" spans="31:53" x14ac:dyDescent="0.55000000000000004">
      <c r="AE731" s="7">
        <f ca="1"/>
      </c>
      <c r="AF731">
        <f ca="1"/>
      </c>
      <c r="AG731">
        <f ca="1"/>
      </c>
      <c r="AH731">
        <f ca="1"/>
      </c>
      <c r="AI731">
        <f ca="1"/>
      </c>
      <c r="AJ731">
        <f ca="1"/>
      </c>
      <c r="AK731">
        <f ca="1"/>
      </c>
      <c r="AL731">
        <f ca="1"/>
      </c>
      <c r="AM731">
        <f ca="1"/>
      </c>
      <c r="AN731">
        <f ca="1"/>
      </c>
      <c r="AO731">
        <f ca="1"/>
      </c>
      <c r="AP731">
        <f ca="1"/>
      </c>
      <c r="AQ731">
        <f ca="1"/>
      </c>
      <c r="AR731">
        <f ca="1"/>
      </c>
      <c r="AT731" s="7">
        <f ca="1"/>
      </c>
      <c r="AU731">
        <f ca="1"/>
      </c>
      <c r="AV731">
        <f ca="1"/>
      </c>
      <c r="AW731">
        <f ca="1"/>
      </c>
      <c r="AX731">
        <f ca="1"/>
      </c>
      <c r="AY731">
        <f ca="1"/>
      </c>
      <c r="BA731" s="7"/>
    </row>
    <row r="732" spans="31:53" x14ac:dyDescent="0.55000000000000004">
      <c r="AE732" s="7">
        <f ca="1"/>
      </c>
      <c r="AF732">
        <f ca="1"/>
      </c>
      <c r="AG732">
        <f ca="1"/>
      </c>
      <c r="AH732">
        <f ca="1"/>
      </c>
      <c r="AI732">
        <f ca="1"/>
      </c>
      <c r="AJ732">
        <f ca="1"/>
      </c>
      <c r="AK732">
        <f ca="1"/>
      </c>
      <c r="AL732">
        <f ca="1"/>
      </c>
      <c r="AM732">
        <f ca="1"/>
      </c>
      <c r="AN732">
        <f ca="1"/>
      </c>
      <c r="AO732">
        <f ca="1"/>
      </c>
      <c r="AP732">
        <f ca="1"/>
      </c>
      <c r="AQ732">
        <f ca="1"/>
      </c>
      <c r="AR732">
        <f ca="1"/>
      </c>
      <c r="AT732" s="7">
        <f ca="1"/>
      </c>
      <c r="AU732">
        <f ca="1"/>
      </c>
      <c r="AV732">
        <f ca="1"/>
      </c>
      <c r="AW732">
        <f ca="1"/>
      </c>
      <c r="AX732">
        <f ca="1"/>
      </c>
      <c r="AY732">
        <f ca="1"/>
      </c>
      <c r="BA732" s="7"/>
    </row>
    <row r="733" spans="31:53" x14ac:dyDescent="0.55000000000000004">
      <c r="AE733" s="7">
        <f ca="1"/>
      </c>
      <c r="AF733">
        <f ca="1"/>
      </c>
      <c r="AG733">
        <f ca="1"/>
      </c>
      <c r="AH733">
        <f ca="1"/>
      </c>
      <c r="AI733">
        <f ca="1"/>
      </c>
      <c r="AJ733">
        <f ca="1"/>
      </c>
      <c r="AK733">
        <f ca="1"/>
      </c>
      <c r="AL733">
        <f ca="1"/>
      </c>
      <c r="AM733">
        <f ca="1"/>
      </c>
      <c r="AN733">
        <f ca="1"/>
      </c>
      <c r="AO733">
        <f ca="1"/>
      </c>
      <c r="AP733">
        <f ca="1"/>
      </c>
      <c r="AQ733">
        <f ca="1"/>
      </c>
      <c r="AR733">
        <f ca="1"/>
      </c>
      <c r="AT733" s="7">
        <f ca="1"/>
      </c>
      <c r="AU733">
        <f ca="1"/>
      </c>
      <c r="AV733">
        <f ca="1"/>
      </c>
      <c r="AW733">
        <f ca="1"/>
      </c>
      <c r="AX733">
        <f ca="1"/>
      </c>
      <c r="AY733">
        <f ca="1"/>
      </c>
      <c r="BA733" s="7"/>
    </row>
    <row r="734" spans="31:53" x14ac:dyDescent="0.55000000000000004">
      <c r="AE734" s="7">
        <f ca="1"/>
      </c>
      <c r="AF734">
        <f ca="1"/>
      </c>
      <c r="AG734">
        <f ca="1"/>
      </c>
      <c r="AH734">
        <f ca="1"/>
      </c>
      <c r="AI734">
        <f ca="1"/>
      </c>
      <c r="AJ734">
        <f ca="1"/>
      </c>
      <c r="AK734">
        <f ca="1"/>
      </c>
      <c r="AL734">
        <f ca="1"/>
      </c>
      <c r="AM734">
        <f ca="1"/>
      </c>
      <c r="AN734">
        <f ca="1"/>
      </c>
      <c r="AO734">
        <f ca="1"/>
      </c>
      <c r="AP734">
        <f ca="1"/>
      </c>
      <c r="AQ734">
        <f ca="1"/>
      </c>
      <c r="AR734">
        <f ca="1"/>
      </c>
      <c r="AT734" s="7">
        <f ca="1"/>
      </c>
      <c r="AU734">
        <f ca="1"/>
      </c>
      <c r="AV734">
        <f ca="1"/>
      </c>
      <c r="AW734">
        <f ca="1"/>
      </c>
      <c r="AX734">
        <f ca="1"/>
      </c>
      <c r="AY734">
        <f ca="1"/>
      </c>
      <c r="BA734" s="7"/>
    </row>
    <row r="735" spans="31:53" x14ac:dyDescent="0.55000000000000004">
      <c r="AE735" s="7">
        <f ca="1"/>
      </c>
      <c r="AF735">
        <f ca="1"/>
      </c>
      <c r="AG735">
        <f ca="1"/>
      </c>
      <c r="AH735">
        <f ca="1"/>
      </c>
      <c r="AI735">
        <f ca="1"/>
      </c>
      <c r="AJ735">
        <f ca="1"/>
      </c>
      <c r="AK735">
        <f ca="1"/>
      </c>
      <c r="AL735">
        <f ca="1"/>
      </c>
      <c r="AM735">
        <f ca="1"/>
      </c>
      <c r="AN735">
        <f ca="1"/>
      </c>
      <c r="AO735">
        <f ca="1"/>
      </c>
      <c r="AP735">
        <f ca="1"/>
      </c>
      <c r="AQ735">
        <f ca="1"/>
      </c>
      <c r="AR735">
        <f ca="1"/>
      </c>
      <c r="AT735" s="7">
        <f ca="1"/>
      </c>
      <c r="AU735">
        <f ca="1"/>
      </c>
      <c r="AV735">
        <f ca="1"/>
      </c>
      <c r="AW735">
        <f ca="1"/>
      </c>
      <c r="AX735">
        <f ca="1"/>
      </c>
      <c r="AY735">
        <f ca="1"/>
      </c>
      <c r="BA735" s="7"/>
    </row>
    <row r="736" spans="31:53" x14ac:dyDescent="0.55000000000000004">
      <c r="AE736" s="7">
        <f ca="1"/>
      </c>
      <c r="AF736">
        <f ca="1"/>
      </c>
      <c r="AG736">
        <f ca="1"/>
      </c>
      <c r="AH736">
        <f ca="1"/>
      </c>
      <c r="AI736">
        <f ca="1"/>
      </c>
      <c r="AJ736">
        <f ca="1"/>
      </c>
      <c r="AK736">
        <f ca="1"/>
      </c>
      <c r="AL736">
        <f ca="1"/>
      </c>
      <c r="AM736">
        <f ca="1"/>
      </c>
      <c r="AN736">
        <f ca="1"/>
      </c>
      <c r="AO736">
        <f ca="1"/>
      </c>
      <c r="AP736">
        <f ca="1"/>
      </c>
      <c r="AQ736">
        <f ca="1"/>
      </c>
      <c r="AR736">
        <f ca="1"/>
      </c>
      <c r="AT736" s="7">
        <f ca="1"/>
      </c>
      <c r="AU736">
        <f ca="1"/>
      </c>
      <c r="AV736">
        <f ca="1"/>
      </c>
      <c r="AW736">
        <f ca="1"/>
      </c>
      <c r="AX736">
        <f ca="1"/>
      </c>
      <c r="AY736">
        <f ca="1"/>
      </c>
      <c r="BA736" s="7"/>
    </row>
    <row r="737" spans="31:53" x14ac:dyDescent="0.55000000000000004">
      <c r="AE737" s="7">
        <f ca="1"/>
      </c>
      <c r="AF737">
        <f ca="1"/>
      </c>
      <c r="AG737">
        <f ca="1"/>
      </c>
      <c r="AH737">
        <f ca="1"/>
      </c>
      <c r="AI737">
        <f ca="1"/>
      </c>
      <c r="AJ737">
        <f ca="1"/>
      </c>
      <c r="AK737">
        <f ca="1"/>
      </c>
      <c r="AL737">
        <f ca="1"/>
      </c>
      <c r="AM737">
        <f ca="1"/>
      </c>
      <c r="AN737">
        <f ca="1"/>
      </c>
      <c r="AO737">
        <f ca="1"/>
      </c>
      <c r="AP737">
        <f ca="1"/>
      </c>
      <c r="AQ737">
        <f ca="1"/>
      </c>
      <c r="AR737">
        <f ca="1"/>
      </c>
      <c r="AT737" s="7">
        <f ca="1"/>
      </c>
      <c r="AU737">
        <f ca="1"/>
      </c>
      <c r="AV737">
        <f ca="1"/>
      </c>
      <c r="AW737">
        <f ca="1"/>
      </c>
      <c r="AX737">
        <f ca="1"/>
      </c>
      <c r="AY737">
        <f ca="1"/>
      </c>
      <c r="BA737" s="7"/>
    </row>
    <row r="738" spans="31:53" x14ac:dyDescent="0.55000000000000004">
      <c r="AE738" s="7">
        <f ca="1"/>
      </c>
      <c r="AF738">
        <f ca="1"/>
      </c>
      <c r="AG738">
        <f ca="1"/>
      </c>
      <c r="AH738">
        <f ca="1"/>
      </c>
      <c r="AI738">
        <f ca="1"/>
      </c>
      <c r="AJ738">
        <f ca="1"/>
      </c>
      <c r="AK738">
        <f ca="1"/>
      </c>
      <c r="AL738">
        <f ca="1"/>
      </c>
      <c r="AM738">
        <f ca="1"/>
      </c>
      <c r="AN738">
        <f ca="1"/>
      </c>
      <c r="AO738">
        <f ca="1"/>
      </c>
      <c r="AP738">
        <f ca="1"/>
      </c>
      <c r="AQ738">
        <f ca="1"/>
      </c>
      <c r="AR738">
        <f ca="1"/>
      </c>
      <c r="AT738" s="7">
        <f ca="1"/>
      </c>
      <c r="AU738">
        <f ca="1"/>
      </c>
      <c r="AV738">
        <f ca="1"/>
      </c>
      <c r="AW738">
        <f ca="1"/>
      </c>
      <c r="AX738">
        <f ca="1"/>
      </c>
      <c r="AY738">
        <f ca="1"/>
      </c>
      <c r="BA738" s="7"/>
    </row>
    <row r="739" spans="31:53" x14ac:dyDescent="0.55000000000000004">
      <c r="AE739" s="7">
        <f ca="1"/>
      </c>
      <c r="AF739">
        <f ca="1"/>
      </c>
      <c r="AG739">
        <f ca="1"/>
      </c>
      <c r="AH739">
        <f ca="1"/>
      </c>
      <c r="AI739">
        <f ca="1"/>
      </c>
      <c r="AJ739">
        <f ca="1"/>
      </c>
      <c r="AK739">
        <f ca="1"/>
      </c>
      <c r="AL739">
        <f ca="1"/>
      </c>
      <c r="AM739">
        <f ca="1"/>
      </c>
      <c r="AN739">
        <f ca="1"/>
      </c>
      <c r="AO739">
        <f ca="1"/>
      </c>
      <c r="AP739">
        <f ca="1"/>
      </c>
      <c r="AQ739">
        <f ca="1"/>
      </c>
      <c r="AR739">
        <f ca="1"/>
      </c>
      <c r="AT739" s="7">
        <f ca="1"/>
      </c>
      <c r="AU739">
        <f ca="1"/>
      </c>
      <c r="AV739">
        <f ca="1"/>
      </c>
      <c r="AW739">
        <f ca="1"/>
      </c>
      <c r="AX739">
        <f ca="1"/>
      </c>
      <c r="AY739">
        <f ca="1"/>
      </c>
      <c r="BA739" s="7"/>
    </row>
    <row r="740" spans="31:53" x14ac:dyDescent="0.55000000000000004">
      <c r="AE740" s="7">
        <f ca="1"/>
      </c>
      <c r="AF740">
        <f ca="1"/>
      </c>
      <c r="AG740">
        <f ca="1"/>
      </c>
      <c r="AH740">
        <f ca="1"/>
      </c>
      <c r="AI740">
        <f ca="1"/>
      </c>
      <c r="AJ740">
        <f ca="1"/>
      </c>
      <c r="AK740">
        <f ca="1"/>
      </c>
      <c r="AL740">
        <f ca="1"/>
      </c>
      <c r="AM740">
        <f ca="1"/>
      </c>
      <c r="AN740">
        <f ca="1"/>
      </c>
      <c r="AO740">
        <f ca="1"/>
      </c>
      <c r="AP740">
        <f ca="1"/>
      </c>
      <c r="AQ740">
        <f ca="1"/>
      </c>
      <c r="AR740">
        <f ca="1"/>
      </c>
      <c r="AT740" s="7">
        <f ca="1"/>
      </c>
      <c r="AU740">
        <f ca="1"/>
      </c>
      <c r="AV740">
        <f ca="1"/>
      </c>
      <c r="AW740">
        <f ca="1"/>
      </c>
      <c r="AX740">
        <f ca="1"/>
      </c>
      <c r="AY740">
        <f ca="1"/>
      </c>
      <c r="BA740" s="7"/>
    </row>
    <row r="741" spans="31:53" x14ac:dyDescent="0.55000000000000004">
      <c r="AE741" s="7">
        <f ca="1"/>
      </c>
      <c r="AF741">
        <f ca="1"/>
      </c>
      <c r="AG741">
        <f ca="1"/>
      </c>
      <c r="AH741">
        <f ca="1"/>
      </c>
      <c r="AI741">
        <f ca="1"/>
      </c>
      <c r="AJ741">
        <f ca="1"/>
      </c>
      <c r="AK741">
        <f ca="1"/>
      </c>
      <c r="AL741">
        <f ca="1"/>
      </c>
      <c r="AM741">
        <f ca="1"/>
      </c>
      <c r="AN741">
        <f ca="1"/>
      </c>
      <c r="AO741">
        <f ca="1"/>
      </c>
      <c r="AP741">
        <f ca="1"/>
      </c>
      <c r="AQ741">
        <f ca="1"/>
      </c>
      <c r="AR741">
        <f ca="1"/>
      </c>
      <c r="AT741" s="7">
        <f ca="1"/>
      </c>
      <c r="AU741">
        <f ca="1"/>
      </c>
      <c r="AV741">
        <f ca="1"/>
      </c>
      <c r="AW741">
        <f ca="1"/>
      </c>
      <c r="AX741">
        <f ca="1"/>
      </c>
      <c r="AY741">
        <f ca="1"/>
      </c>
      <c r="BA741" s="7"/>
    </row>
    <row r="742" spans="31:53" x14ac:dyDescent="0.55000000000000004">
      <c r="AE742" s="7">
        <f ca="1"/>
      </c>
      <c r="AF742">
        <f ca="1"/>
      </c>
      <c r="AG742">
        <f ca="1"/>
      </c>
      <c r="AH742">
        <f ca="1"/>
      </c>
      <c r="AI742">
        <f ca="1"/>
      </c>
      <c r="AJ742">
        <f ca="1"/>
      </c>
      <c r="AK742">
        <f ca="1"/>
      </c>
      <c r="AL742">
        <f ca="1"/>
      </c>
      <c r="AM742">
        <f ca="1"/>
      </c>
      <c r="AN742">
        <f ca="1"/>
      </c>
      <c r="AO742">
        <f ca="1"/>
      </c>
      <c r="AP742">
        <f ca="1"/>
      </c>
      <c r="AQ742">
        <f ca="1"/>
      </c>
      <c r="AR742">
        <f ca="1"/>
      </c>
      <c r="AT742" s="7">
        <f ca="1"/>
      </c>
      <c r="AU742">
        <f ca="1"/>
      </c>
      <c r="AV742">
        <f ca="1"/>
      </c>
      <c r="AW742">
        <f ca="1"/>
      </c>
      <c r="AX742">
        <f ca="1"/>
      </c>
      <c r="AY742">
        <f ca="1"/>
      </c>
      <c r="BA742" s="7"/>
    </row>
    <row r="743" spans="31:53" x14ac:dyDescent="0.55000000000000004">
      <c r="AE743" s="7">
        <f ca="1"/>
      </c>
      <c r="AF743">
        <f ca="1"/>
      </c>
      <c r="AG743">
        <f ca="1"/>
      </c>
      <c r="AH743">
        <f ca="1"/>
      </c>
      <c r="AI743">
        <f ca="1"/>
      </c>
      <c r="AJ743">
        <f ca="1"/>
      </c>
      <c r="AK743">
        <f ca="1"/>
      </c>
      <c r="AL743">
        <f ca="1"/>
      </c>
      <c r="AM743">
        <f ca="1"/>
      </c>
      <c r="AN743">
        <f ca="1"/>
      </c>
      <c r="AO743">
        <f ca="1"/>
      </c>
      <c r="AP743">
        <f ca="1"/>
      </c>
      <c r="AQ743">
        <f ca="1"/>
      </c>
      <c r="AR743">
        <f ca="1"/>
      </c>
      <c r="AT743" s="7">
        <f ca="1"/>
      </c>
      <c r="AU743">
        <f ca="1"/>
      </c>
      <c r="AV743">
        <f ca="1"/>
      </c>
      <c r="AW743">
        <f ca="1"/>
      </c>
      <c r="AX743">
        <f ca="1"/>
      </c>
      <c r="AY743">
        <f ca="1"/>
      </c>
      <c r="BA743" s="7"/>
    </row>
    <row r="744" spans="31:53" x14ac:dyDescent="0.55000000000000004">
      <c r="AE744" s="7">
        <f ca="1"/>
      </c>
      <c r="AF744">
        <f ca="1"/>
      </c>
      <c r="AG744">
        <f ca="1"/>
      </c>
      <c r="AH744">
        <f ca="1"/>
      </c>
      <c r="AI744">
        <f ca="1"/>
      </c>
      <c r="AJ744">
        <f ca="1"/>
      </c>
      <c r="AK744">
        <f ca="1"/>
      </c>
      <c r="AL744">
        <f ca="1"/>
      </c>
      <c r="AM744">
        <f ca="1"/>
      </c>
      <c r="AN744">
        <f ca="1"/>
      </c>
      <c r="AO744">
        <f ca="1"/>
      </c>
      <c r="AP744">
        <f ca="1"/>
      </c>
      <c r="AQ744">
        <f ca="1"/>
      </c>
      <c r="AR744">
        <f ca="1"/>
      </c>
      <c r="AT744" s="7">
        <f ca="1"/>
      </c>
      <c r="AU744">
        <f ca="1"/>
      </c>
      <c r="AV744">
        <f ca="1"/>
      </c>
      <c r="AW744">
        <f ca="1"/>
      </c>
      <c r="AX744">
        <f ca="1"/>
      </c>
      <c r="AY744">
        <f ca="1"/>
      </c>
      <c r="BA744" s="7"/>
    </row>
    <row r="745" spans="31:53" x14ac:dyDescent="0.55000000000000004">
      <c r="AE745" s="7">
        <f ca="1"/>
      </c>
      <c r="AF745">
        <f ca="1"/>
      </c>
      <c r="AG745">
        <f ca="1"/>
      </c>
      <c r="AH745">
        <f ca="1"/>
      </c>
      <c r="AI745">
        <f ca="1"/>
      </c>
      <c r="AJ745">
        <f ca="1"/>
      </c>
      <c r="AK745">
        <f ca="1"/>
      </c>
      <c r="AL745">
        <f ca="1"/>
      </c>
      <c r="AM745">
        <f ca="1"/>
      </c>
      <c r="AN745">
        <f ca="1"/>
      </c>
      <c r="AO745">
        <f ca="1"/>
      </c>
      <c r="AP745">
        <f ca="1"/>
      </c>
      <c r="AQ745">
        <f ca="1"/>
      </c>
      <c r="AR745">
        <f ca="1"/>
      </c>
      <c r="AT745" s="7">
        <f ca="1"/>
      </c>
      <c r="AU745">
        <f ca="1"/>
      </c>
      <c r="AV745">
        <f ca="1"/>
      </c>
      <c r="AW745">
        <f ca="1"/>
      </c>
      <c r="AX745">
        <f ca="1"/>
      </c>
      <c r="AY745">
        <f ca="1"/>
      </c>
      <c r="BA745" s="7"/>
    </row>
    <row r="746" spans="31:53" x14ac:dyDescent="0.55000000000000004">
      <c r="AE746" s="7">
        <f ca="1"/>
      </c>
      <c r="AF746">
        <f ca="1"/>
      </c>
      <c r="AG746">
        <f ca="1"/>
      </c>
      <c r="AH746">
        <f ca="1"/>
      </c>
      <c r="AI746">
        <f ca="1"/>
      </c>
      <c r="AJ746">
        <f ca="1"/>
      </c>
      <c r="AK746">
        <f ca="1"/>
      </c>
      <c r="AL746">
        <f ca="1"/>
      </c>
      <c r="AM746">
        <f ca="1"/>
      </c>
      <c r="AN746">
        <f ca="1"/>
      </c>
      <c r="AO746">
        <f ca="1"/>
      </c>
      <c r="AP746">
        <f ca="1"/>
      </c>
      <c r="AQ746">
        <f ca="1"/>
      </c>
      <c r="AR746">
        <f ca="1"/>
      </c>
      <c r="AT746" s="7">
        <f ca="1"/>
      </c>
      <c r="AU746">
        <f ca="1"/>
      </c>
      <c r="AV746">
        <f ca="1"/>
      </c>
      <c r="AW746">
        <f ca="1"/>
      </c>
      <c r="AX746">
        <f ca="1"/>
      </c>
      <c r="AY746">
        <f ca="1"/>
      </c>
      <c r="BA746" s="7"/>
    </row>
    <row r="747" spans="31:53" x14ac:dyDescent="0.55000000000000004">
      <c r="AE747" s="7">
        <f ca="1"/>
      </c>
      <c r="AF747">
        <f ca="1"/>
      </c>
      <c r="AG747">
        <f ca="1"/>
      </c>
      <c r="AH747">
        <f ca="1"/>
      </c>
      <c r="AI747">
        <f ca="1"/>
      </c>
      <c r="AJ747">
        <f ca="1"/>
      </c>
      <c r="AK747">
        <f ca="1"/>
      </c>
      <c r="AL747">
        <f ca="1"/>
      </c>
      <c r="AM747">
        <f ca="1"/>
      </c>
      <c r="AN747">
        <f ca="1"/>
      </c>
      <c r="AO747">
        <f ca="1"/>
      </c>
      <c r="AP747">
        <f ca="1"/>
      </c>
      <c r="AQ747">
        <f ca="1"/>
      </c>
      <c r="AR747">
        <f ca="1"/>
      </c>
      <c r="AT747" s="7">
        <f ca="1"/>
      </c>
      <c r="AU747">
        <f ca="1"/>
      </c>
      <c r="AV747">
        <f ca="1"/>
      </c>
      <c r="AW747">
        <f ca="1"/>
      </c>
      <c r="AX747">
        <f ca="1"/>
      </c>
      <c r="AY747">
        <f ca="1"/>
      </c>
      <c r="BA747" s="7"/>
    </row>
    <row r="748" spans="31:53" x14ac:dyDescent="0.55000000000000004">
      <c r="AE748" s="7">
        <f ca="1"/>
      </c>
      <c r="AF748">
        <f ca="1"/>
      </c>
      <c r="AG748">
        <f ca="1"/>
      </c>
      <c r="AH748">
        <f ca="1"/>
      </c>
      <c r="AI748">
        <f ca="1"/>
      </c>
      <c r="AJ748">
        <f ca="1"/>
      </c>
      <c r="AK748">
        <f ca="1"/>
      </c>
      <c r="AL748">
        <f ca="1"/>
      </c>
      <c r="AM748">
        <f ca="1"/>
      </c>
      <c r="AN748">
        <f ca="1"/>
      </c>
      <c r="AO748">
        <f ca="1"/>
      </c>
      <c r="AP748">
        <f ca="1"/>
      </c>
      <c r="AQ748">
        <f ca="1"/>
      </c>
      <c r="AR748">
        <f ca="1"/>
      </c>
      <c r="AT748" s="7">
        <f ca="1"/>
      </c>
      <c r="AU748">
        <f ca="1"/>
      </c>
      <c r="AV748">
        <f ca="1"/>
      </c>
      <c r="AW748">
        <f ca="1"/>
      </c>
      <c r="AX748">
        <f ca="1"/>
      </c>
      <c r="AY748">
        <f ca="1"/>
      </c>
      <c r="BA748" s="7"/>
    </row>
    <row r="749" spans="31:53" x14ac:dyDescent="0.55000000000000004">
      <c r="AE749" s="7">
        <f ca="1"/>
      </c>
      <c r="AF749">
        <f ca="1"/>
      </c>
      <c r="AG749">
        <f ca="1"/>
      </c>
      <c r="AH749">
        <f ca="1"/>
      </c>
      <c r="AI749">
        <f ca="1"/>
      </c>
      <c r="AJ749">
        <f ca="1"/>
      </c>
      <c r="AK749">
        <f ca="1"/>
      </c>
      <c r="AL749">
        <f ca="1"/>
      </c>
      <c r="AM749">
        <f ca="1"/>
      </c>
      <c r="AN749">
        <f ca="1"/>
      </c>
      <c r="AO749">
        <f ca="1"/>
      </c>
      <c r="AP749">
        <f ca="1"/>
      </c>
      <c r="AQ749">
        <f ca="1"/>
      </c>
      <c r="AR749">
        <f ca="1"/>
      </c>
      <c r="AT749" s="7">
        <f ca="1"/>
      </c>
      <c r="AU749">
        <f ca="1"/>
      </c>
      <c r="AV749">
        <f ca="1"/>
      </c>
      <c r="AW749">
        <f ca="1"/>
      </c>
      <c r="AX749">
        <f ca="1"/>
      </c>
      <c r="AY749">
        <f ca="1"/>
      </c>
      <c r="BA749" s="7"/>
    </row>
    <row r="750" spans="31:53" x14ac:dyDescent="0.55000000000000004">
      <c r="AE750" s="7">
        <f ca="1"/>
      </c>
      <c r="AF750">
        <f ca="1"/>
      </c>
      <c r="AG750">
        <f ca="1"/>
      </c>
      <c r="AH750">
        <f ca="1"/>
      </c>
      <c r="AI750">
        <f ca="1"/>
      </c>
      <c r="AJ750">
        <f ca="1"/>
      </c>
      <c r="AK750">
        <f ca="1"/>
      </c>
      <c r="AL750">
        <f ca="1"/>
      </c>
      <c r="AM750">
        <f ca="1"/>
      </c>
      <c r="AN750">
        <f ca="1"/>
      </c>
      <c r="AO750">
        <f ca="1"/>
      </c>
      <c r="AP750">
        <f ca="1"/>
      </c>
      <c r="AQ750">
        <f ca="1"/>
      </c>
      <c r="AR750">
        <f ca="1"/>
      </c>
      <c r="AT750" s="7">
        <f ca="1"/>
      </c>
      <c r="AU750">
        <f ca="1"/>
      </c>
      <c r="AV750">
        <f ca="1"/>
      </c>
      <c r="AW750">
        <f ca="1"/>
      </c>
      <c r="AX750">
        <f ca="1"/>
      </c>
      <c r="AY750">
        <f ca="1"/>
      </c>
      <c r="BA750" s="7"/>
    </row>
    <row r="751" spans="31:53" x14ac:dyDescent="0.55000000000000004">
      <c r="AE751" s="7">
        <f ca="1"/>
      </c>
      <c r="AF751">
        <f ca="1"/>
      </c>
      <c r="AG751">
        <f ca="1"/>
      </c>
      <c r="AH751">
        <f ca="1"/>
      </c>
      <c r="AI751">
        <f ca="1"/>
      </c>
      <c r="AJ751">
        <f ca="1"/>
      </c>
      <c r="AK751">
        <f ca="1"/>
      </c>
      <c r="AL751">
        <f ca="1"/>
      </c>
      <c r="AM751">
        <f ca="1"/>
      </c>
      <c r="AN751">
        <f ca="1"/>
      </c>
      <c r="AO751">
        <f ca="1"/>
      </c>
      <c r="AP751">
        <f ca="1"/>
      </c>
      <c r="AQ751">
        <f ca="1"/>
      </c>
      <c r="AR751">
        <f ca="1"/>
      </c>
      <c r="AT751" s="7">
        <f ca="1"/>
      </c>
      <c r="AU751">
        <f ca="1"/>
      </c>
      <c r="AV751">
        <f ca="1"/>
      </c>
      <c r="AW751">
        <f ca="1"/>
      </c>
      <c r="AX751">
        <f ca="1"/>
      </c>
      <c r="AY751">
        <f ca="1"/>
      </c>
      <c r="BA751" s="7"/>
    </row>
    <row r="752" spans="31:53" x14ac:dyDescent="0.55000000000000004">
      <c r="AE752" s="7">
        <f ca="1"/>
      </c>
      <c r="AF752">
        <f ca="1"/>
      </c>
      <c r="AG752">
        <f ca="1"/>
      </c>
      <c r="AH752">
        <f ca="1"/>
      </c>
      <c r="AI752">
        <f ca="1"/>
      </c>
      <c r="AJ752">
        <f ca="1"/>
      </c>
      <c r="AK752">
        <f ca="1"/>
      </c>
      <c r="AL752">
        <f ca="1"/>
      </c>
      <c r="AM752">
        <f ca="1"/>
      </c>
      <c r="AN752">
        <f ca="1"/>
      </c>
      <c r="AO752">
        <f ca="1"/>
      </c>
      <c r="AP752">
        <f ca="1"/>
      </c>
      <c r="AQ752">
        <f ca="1"/>
      </c>
      <c r="AR752">
        <f ca="1"/>
      </c>
      <c r="AT752" s="7">
        <f ca="1"/>
      </c>
      <c r="AU752">
        <f ca="1"/>
      </c>
      <c r="AV752">
        <f ca="1"/>
      </c>
      <c r="AW752">
        <f ca="1"/>
      </c>
      <c r="AX752">
        <f ca="1"/>
      </c>
      <c r="AY752">
        <f ca="1"/>
      </c>
      <c r="BA752" s="7"/>
    </row>
    <row r="753" spans="31:53" x14ac:dyDescent="0.55000000000000004">
      <c r="AE753" s="7">
        <f ca="1"/>
      </c>
      <c r="AF753">
        <f ca="1"/>
      </c>
      <c r="AG753">
        <f ca="1"/>
      </c>
      <c r="AH753">
        <f ca="1"/>
      </c>
      <c r="AI753">
        <f ca="1"/>
      </c>
      <c r="AJ753">
        <f ca="1"/>
      </c>
      <c r="AK753">
        <f ca="1"/>
      </c>
      <c r="AL753">
        <f ca="1"/>
      </c>
      <c r="AM753">
        <f ca="1"/>
      </c>
      <c r="AN753">
        <f ca="1"/>
      </c>
      <c r="AO753">
        <f ca="1"/>
      </c>
      <c r="AP753">
        <f ca="1"/>
      </c>
      <c r="AQ753">
        <f ca="1"/>
      </c>
      <c r="AR753">
        <f ca="1"/>
      </c>
      <c r="AT753" s="7">
        <f ca="1"/>
      </c>
      <c r="AU753">
        <f ca="1"/>
      </c>
      <c r="AV753">
        <f ca="1"/>
      </c>
      <c r="AW753">
        <f ca="1"/>
      </c>
      <c r="AX753">
        <f ca="1"/>
      </c>
      <c r="AY753">
        <f ca="1"/>
      </c>
      <c r="BA753" s="7"/>
    </row>
    <row r="754" spans="31:53" x14ac:dyDescent="0.55000000000000004">
      <c r="AE754" s="7">
        <f ca="1"/>
      </c>
      <c r="AF754">
        <f ca="1"/>
      </c>
      <c r="AG754">
        <f ca="1"/>
      </c>
      <c r="AH754">
        <f ca="1"/>
      </c>
      <c r="AI754">
        <f ca="1"/>
      </c>
      <c r="AJ754">
        <f ca="1"/>
      </c>
      <c r="AK754">
        <f ca="1"/>
      </c>
      <c r="AL754">
        <f ca="1"/>
      </c>
      <c r="AM754">
        <f ca="1"/>
      </c>
      <c r="AN754">
        <f ca="1"/>
      </c>
      <c r="AO754">
        <f ca="1"/>
      </c>
      <c r="AP754">
        <f ca="1"/>
      </c>
      <c r="AQ754">
        <f ca="1"/>
      </c>
      <c r="AR754">
        <f ca="1"/>
      </c>
      <c r="AT754" s="7">
        <f ca="1"/>
      </c>
      <c r="AU754">
        <f ca="1"/>
      </c>
      <c r="AV754">
        <f ca="1"/>
      </c>
      <c r="AW754">
        <f ca="1"/>
      </c>
      <c r="AX754">
        <f ca="1"/>
      </c>
      <c r="AY754">
        <f ca="1"/>
      </c>
      <c r="BA754" s="7"/>
    </row>
    <row r="755" spans="31:53" x14ac:dyDescent="0.55000000000000004">
      <c r="AE755" s="7">
        <f ca="1"/>
      </c>
      <c r="AF755">
        <f ca="1"/>
      </c>
      <c r="AG755">
        <f ca="1"/>
      </c>
      <c r="AH755">
        <f ca="1"/>
      </c>
      <c r="AI755">
        <f ca="1"/>
      </c>
      <c r="AJ755">
        <f ca="1"/>
      </c>
      <c r="AK755">
        <f ca="1"/>
      </c>
      <c r="AL755">
        <f ca="1"/>
      </c>
      <c r="AM755">
        <f ca="1"/>
      </c>
      <c r="AN755">
        <f ca="1"/>
      </c>
      <c r="AO755">
        <f ca="1"/>
      </c>
      <c r="AP755">
        <f ca="1"/>
      </c>
      <c r="AQ755">
        <f ca="1"/>
      </c>
      <c r="AR755">
        <f ca="1"/>
      </c>
      <c r="AT755" s="7">
        <f ca="1"/>
      </c>
      <c r="AU755">
        <f ca="1"/>
      </c>
      <c r="AV755">
        <f ca="1"/>
      </c>
      <c r="AW755">
        <f ca="1"/>
      </c>
      <c r="AX755">
        <f ca="1"/>
      </c>
      <c r="AY755">
        <f ca="1"/>
      </c>
      <c r="BA755" s="7"/>
    </row>
    <row r="756" spans="31:53" x14ac:dyDescent="0.55000000000000004">
      <c r="AE756" s="7">
        <f ca="1"/>
      </c>
      <c r="AF756">
        <f ca="1"/>
      </c>
      <c r="AG756">
        <f ca="1"/>
      </c>
      <c r="AH756">
        <f ca="1"/>
      </c>
      <c r="AI756">
        <f ca="1"/>
      </c>
      <c r="AJ756">
        <f ca="1"/>
      </c>
      <c r="AK756">
        <f ca="1"/>
      </c>
      <c r="AL756">
        <f ca="1"/>
      </c>
      <c r="AM756">
        <f ca="1"/>
      </c>
      <c r="AN756">
        <f ca="1"/>
      </c>
      <c r="AO756">
        <f ca="1"/>
      </c>
      <c r="AP756">
        <f ca="1"/>
      </c>
      <c r="AQ756">
        <f ca="1"/>
      </c>
      <c r="AR756">
        <f ca="1"/>
      </c>
      <c r="AT756" s="7">
        <f ca="1"/>
      </c>
      <c r="AU756">
        <f ca="1"/>
      </c>
      <c r="AV756">
        <f ca="1"/>
      </c>
      <c r="AW756">
        <f ca="1"/>
      </c>
      <c r="AX756">
        <f ca="1"/>
      </c>
      <c r="AY756">
        <f ca="1"/>
      </c>
      <c r="BA756" s="7"/>
    </row>
    <row r="757" spans="31:53" x14ac:dyDescent="0.55000000000000004">
      <c r="AE757" s="7">
        <f ca="1"/>
      </c>
      <c r="AF757">
        <f ca="1"/>
      </c>
      <c r="AG757">
        <f ca="1"/>
      </c>
      <c r="AH757">
        <f ca="1"/>
      </c>
      <c r="AI757">
        <f ca="1"/>
      </c>
      <c r="AJ757">
        <f ca="1"/>
      </c>
      <c r="AK757">
        <f ca="1"/>
      </c>
      <c r="AL757">
        <f ca="1"/>
      </c>
      <c r="AM757">
        <f ca="1"/>
      </c>
      <c r="AN757">
        <f ca="1"/>
      </c>
      <c r="AO757">
        <f ca="1"/>
      </c>
      <c r="AP757">
        <f ca="1"/>
      </c>
      <c r="AQ757">
        <f ca="1"/>
      </c>
      <c r="AR757">
        <f ca="1"/>
      </c>
      <c r="AT757" s="7">
        <f ca="1"/>
      </c>
      <c r="AU757">
        <f ca="1"/>
      </c>
      <c r="AV757">
        <f ca="1"/>
      </c>
      <c r="AW757">
        <f ca="1"/>
      </c>
      <c r="AX757">
        <f ca="1"/>
      </c>
      <c r="AY757">
        <f ca="1"/>
      </c>
      <c r="BA757" s="7"/>
    </row>
    <row r="758" spans="31:53" x14ac:dyDescent="0.55000000000000004">
      <c r="AE758" s="7">
        <f ca="1"/>
      </c>
      <c r="AF758">
        <f ca="1"/>
      </c>
      <c r="AG758">
        <f ca="1"/>
      </c>
      <c r="AH758">
        <f ca="1"/>
      </c>
      <c r="AI758">
        <f ca="1"/>
      </c>
      <c r="AJ758">
        <f ca="1"/>
      </c>
      <c r="AK758">
        <f ca="1"/>
      </c>
      <c r="AL758">
        <f ca="1"/>
      </c>
      <c r="AM758">
        <f ca="1"/>
      </c>
      <c r="AN758">
        <f ca="1"/>
      </c>
      <c r="AO758">
        <f ca="1"/>
      </c>
      <c r="AP758">
        <f ca="1"/>
      </c>
      <c r="AQ758">
        <f ca="1"/>
      </c>
      <c r="AR758">
        <f ca="1"/>
      </c>
      <c r="AT758" s="7">
        <f ca="1"/>
      </c>
      <c r="AU758">
        <f ca="1"/>
      </c>
      <c r="AV758">
        <f ca="1"/>
      </c>
      <c r="AW758">
        <f ca="1"/>
      </c>
      <c r="AX758">
        <f ca="1"/>
      </c>
      <c r="AY758">
        <f ca="1"/>
      </c>
      <c r="BA758" s="7"/>
    </row>
    <row r="759" spans="31:53" x14ac:dyDescent="0.55000000000000004">
      <c r="AE759" s="7">
        <f ca="1"/>
      </c>
      <c r="AF759">
        <f ca="1"/>
      </c>
      <c r="AG759">
        <f ca="1"/>
      </c>
      <c r="AH759">
        <f ca="1"/>
      </c>
      <c r="AI759">
        <f ca="1"/>
      </c>
      <c r="AJ759">
        <f ca="1"/>
      </c>
      <c r="AK759">
        <f ca="1"/>
      </c>
      <c r="AL759">
        <f ca="1"/>
      </c>
      <c r="AM759">
        <f ca="1"/>
      </c>
      <c r="AN759">
        <f ca="1"/>
      </c>
      <c r="AO759">
        <f ca="1"/>
      </c>
      <c r="AP759">
        <f ca="1"/>
      </c>
      <c r="AQ759">
        <f ca="1"/>
      </c>
      <c r="AR759">
        <f ca="1"/>
      </c>
      <c r="AT759" s="7">
        <f ca="1"/>
      </c>
      <c r="AU759">
        <f ca="1"/>
      </c>
      <c r="AV759">
        <f ca="1"/>
      </c>
      <c r="AW759">
        <f ca="1"/>
      </c>
      <c r="AX759">
        <f ca="1"/>
      </c>
      <c r="AY759">
        <f ca="1"/>
      </c>
      <c r="BA759" s="7"/>
    </row>
    <row r="760" spans="31:53" x14ac:dyDescent="0.55000000000000004">
      <c r="AE760" s="7">
        <f ca="1"/>
      </c>
      <c r="AF760">
        <f ca="1"/>
      </c>
      <c r="AG760">
        <f ca="1"/>
      </c>
      <c r="AH760">
        <f ca="1"/>
      </c>
      <c r="AI760">
        <f ca="1"/>
      </c>
      <c r="AJ760">
        <f ca="1"/>
      </c>
      <c r="AK760">
        <f ca="1"/>
      </c>
      <c r="AL760">
        <f ca="1"/>
      </c>
      <c r="AM760">
        <f ca="1"/>
      </c>
      <c r="AN760">
        <f ca="1"/>
      </c>
      <c r="AO760">
        <f ca="1"/>
      </c>
      <c r="AP760">
        <f ca="1"/>
      </c>
      <c r="AQ760">
        <f ca="1"/>
      </c>
      <c r="AR760">
        <f ca="1"/>
      </c>
      <c r="AT760" s="7">
        <f ca="1"/>
      </c>
      <c r="AU760">
        <f ca="1"/>
      </c>
      <c r="AV760">
        <f ca="1"/>
      </c>
      <c r="AW760">
        <f ca="1"/>
      </c>
      <c r="AX760">
        <f ca="1"/>
      </c>
      <c r="AY760">
        <f ca="1"/>
      </c>
      <c r="BA760" s="7"/>
    </row>
    <row r="761" spans="31:53" x14ac:dyDescent="0.55000000000000004">
      <c r="AE761" s="7">
        <f ca="1"/>
      </c>
      <c r="AF761">
        <f ca="1"/>
      </c>
      <c r="AG761">
        <f ca="1"/>
      </c>
      <c r="AH761">
        <f ca="1"/>
      </c>
      <c r="AI761">
        <f ca="1"/>
      </c>
      <c r="AJ761">
        <f ca="1"/>
      </c>
      <c r="AK761">
        <f ca="1"/>
      </c>
      <c r="AL761">
        <f ca="1"/>
      </c>
      <c r="AM761">
        <f ca="1"/>
      </c>
      <c r="AN761">
        <f ca="1"/>
      </c>
      <c r="AO761">
        <f ca="1"/>
      </c>
      <c r="AP761">
        <f ca="1"/>
      </c>
      <c r="AQ761">
        <f ca="1"/>
      </c>
      <c r="AR761">
        <f ca="1"/>
      </c>
      <c r="AT761" s="7">
        <f ca="1"/>
      </c>
      <c r="AU761">
        <f ca="1"/>
      </c>
      <c r="AV761">
        <f ca="1"/>
      </c>
      <c r="AW761">
        <f ca="1"/>
      </c>
      <c r="AX761">
        <f ca="1"/>
      </c>
      <c r="AY761">
        <f ca="1"/>
      </c>
      <c r="BA761" s="7"/>
    </row>
    <row r="762" spans="31:53" x14ac:dyDescent="0.55000000000000004">
      <c r="AE762" s="7">
        <f ca="1"/>
      </c>
      <c r="AF762">
        <f ca="1"/>
      </c>
      <c r="AG762">
        <f ca="1"/>
      </c>
      <c r="AH762">
        <f ca="1"/>
      </c>
      <c r="AI762">
        <f ca="1"/>
      </c>
      <c r="AJ762">
        <f ca="1"/>
      </c>
      <c r="AK762">
        <f ca="1"/>
      </c>
      <c r="AL762">
        <f ca="1"/>
      </c>
      <c r="AM762">
        <f ca="1"/>
      </c>
      <c r="AN762">
        <f ca="1"/>
      </c>
      <c r="AO762">
        <f ca="1"/>
      </c>
      <c r="AP762">
        <f ca="1"/>
      </c>
      <c r="AQ762">
        <f ca="1"/>
      </c>
      <c r="AR762">
        <f ca="1"/>
      </c>
      <c r="AT762" s="7">
        <f ca="1"/>
      </c>
      <c r="AU762">
        <f ca="1"/>
      </c>
      <c r="AV762">
        <f ca="1"/>
      </c>
      <c r="AW762">
        <f ca="1"/>
      </c>
      <c r="AX762">
        <f ca="1"/>
      </c>
      <c r="AY762">
        <f ca="1"/>
      </c>
      <c r="BA762" s="7"/>
    </row>
    <row r="763" spans="31:53" x14ac:dyDescent="0.55000000000000004">
      <c r="AE763" s="7">
        <f ca="1"/>
      </c>
      <c r="AF763">
        <f ca="1"/>
      </c>
      <c r="AG763">
        <f ca="1"/>
      </c>
      <c r="AH763">
        <f ca="1"/>
      </c>
      <c r="AI763">
        <f ca="1"/>
      </c>
      <c r="AJ763">
        <f ca="1"/>
      </c>
      <c r="AK763">
        <f ca="1"/>
      </c>
      <c r="AL763">
        <f ca="1"/>
      </c>
      <c r="AM763">
        <f ca="1"/>
      </c>
      <c r="AN763">
        <f ca="1"/>
      </c>
      <c r="AO763">
        <f ca="1"/>
      </c>
      <c r="AP763">
        <f ca="1"/>
      </c>
      <c r="AQ763">
        <f ca="1"/>
      </c>
      <c r="AR763">
        <f ca="1"/>
      </c>
      <c r="AT763" s="7">
        <f ca="1"/>
      </c>
      <c r="AU763">
        <f ca="1"/>
      </c>
      <c r="AV763">
        <f ca="1"/>
      </c>
      <c r="AW763">
        <f ca="1"/>
      </c>
      <c r="AX763">
        <f ca="1"/>
      </c>
      <c r="AY763">
        <f ca="1"/>
      </c>
      <c r="BA763" s="7"/>
    </row>
    <row r="764" spans="31:53" x14ac:dyDescent="0.55000000000000004">
      <c r="AE764" s="7">
        <f ca="1"/>
      </c>
      <c r="AF764">
        <f ca="1"/>
      </c>
      <c r="AG764">
        <f ca="1"/>
      </c>
      <c r="AH764">
        <f ca="1"/>
      </c>
      <c r="AI764">
        <f ca="1"/>
      </c>
      <c r="AJ764">
        <f ca="1"/>
      </c>
      <c r="AK764">
        <f ca="1"/>
      </c>
      <c r="AL764">
        <f ca="1"/>
      </c>
      <c r="AM764">
        <f ca="1"/>
      </c>
      <c r="AN764">
        <f ca="1"/>
      </c>
      <c r="AO764">
        <f ca="1"/>
      </c>
      <c r="AP764">
        <f ca="1"/>
      </c>
      <c r="AQ764">
        <f ca="1"/>
      </c>
      <c r="AR764">
        <f ca="1"/>
      </c>
      <c r="AT764" s="7">
        <f ca="1"/>
      </c>
      <c r="AU764">
        <f ca="1"/>
      </c>
      <c r="AV764">
        <f ca="1"/>
      </c>
      <c r="AW764">
        <f ca="1"/>
      </c>
      <c r="AX764">
        <f ca="1"/>
      </c>
      <c r="AY764">
        <f ca="1"/>
      </c>
      <c r="BA764" s="7"/>
    </row>
    <row r="765" spans="31:53" x14ac:dyDescent="0.55000000000000004">
      <c r="AE765" s="7">
        <f ca="1"/>
      </c>
      <c r="AF765">
        <f ca="1"/>
      </c>
      <c r="AG765">
        <f ca="1"/>
      </c>
      <c r="AH765">
        <f ca="1"/>
      </c>
      <c r="AI765">
        <f ca="1"/>
      </c>
      <c r="AJ765">
        <f ca="1"/>
      </c>
      <c r="AK765">
        <f ca="1"/>
      </c>
      <c r="AL765">
        <f ca="1"/>
      </c>
      <c r="AM765">
        <f ca="1"/>
      </c>
      <c r="AN765">
        <f ca="1"/>
      </c>
      <c r="AO765">
        <f ca="1"/>
      </c>
      <c r="AP765">
        <f ca="1"/>
      </c>
      <c r="AQ765">
        <f ca="1"/>
      </c>
      <c r="AR765">
        <f ca="1"/>
      </c>
      <c r="AT765" s="7">
        <f ca="1"/>
      </c>
      <c r="AU765">
        <f ca="1"/>
      </c>
      <c r="AV765">
        <f ca="1"/>
      </c>
      <c r="AW765">
        <f ca="1"/>
      </c>
      <c r="AX765">
        <f ca="1"/>
      </c>
      <c r="AY765">
        <f ca="1"/>
      </c>
      <c r="BA765" s="7"/>
    </row>
    <row r="766" spans="31:53" x14ac:dyDescent="0.55000000000000004">
      <c r="AE766" s="7">
        <f ca="1"/>
      </c>
      <c r="AF766">
        <f ca="1"/>
      </c>
      <c r="AG766">
        <f ca="1"/>
      </c>
      <c r="AH766">
        <f ca="1"/>
      </c>
      <c r="AI766">
        <f ca="1"/>
      </c>
      <c r="AJ766">
        <f ca="1"/>
      </c>
      <c r="AK766">
        <f ca="1"/>
      </c>
      <c r="AL766">
        <f ca="1"/>
      </c>
      <c r="AM766">
        <f ca="1"/>
      </c>
      <c r="AN766">
        <f ca="1"/>
      </c>
      <c r="AO766">
        <f ca="1"/>
      </c>
      <c r="AP766">
        <f ca="1"/>
      </c>
      <c r="AQ766">
        <f ca="1"/>
      </c>
      <c r="AR766">
        <f ca="1"/>
      </c>
      <c r="AT766" s="7">
        <f ca="1"/>
      </c>
      <c r="AU766">
        <f ca="1"/>
      </c>
      <c r="AV766">
        <f ca="1"/>
      </c>
      <c r="AW766">
        <f ca="1"/>
      </c>
      <c r="AX766">
        <f ca="1"/>
      </c>
      <c r="AY766">
        <f ca="1"/>
      </c>
      <c r="BA766" s="7"/>
    </row>
    <row r="767" spans="31:53" x14ac:dyDescent="0.55000000000000004">
      <c r="AE767" s="7">
        <f ca="1"/>
      </c>
      <c r="AF767">
        <f ca="1"/>
      </c>
      <c r="AG767">
        <f ca="1"/>
      </c>
      <c r="AH767">
        <f ca="1"/>
      </c>
      <c r="AI767">
        <f ca="1"/>
      </c>
      <c r="AJ767">
        <f ca="1"/>
      </c>
      <c r="AK767">
        <f ca="1"/>
      </c>
      <c r="AL767">
        <f ca="1"/>
      </c>
      <c r="AM767">
        <f ca="1"/>
      </c>
      <c r="AN767">
        <f ca="1"/>
      </c>
      <c r="AO767">
        <f ca="1"/>
      </c>
      <c r="AP767">
        <f ca="1"/>
      </c>
      <c r="AQ767">
        <f ca="1"/>
      </c>
      <c r="AR767">
        <f ca="1"/>
      </c>
      <c r="AT767" s="7">
        <f ca="1"/>
      </c>
      <c r="AU767">
        <f ca="1"/>
      </c>
      <c r="AV767">
        <f ca="1"/>
      </c>
      <c r="AW767">
        <f ca="1"/>
      </c>
      <c r="AX767">
        <f ca="1"/>
      </c>
      <c r="AY767">
        <f ca="1"/>
      </c>
      <c r="BA767" s="7"/>
    </row>
    <row r="768" spans="31:53" x14ac:dyDescent="0.55000000000000004">
      <c r="AE768" s="7">
        <f ca="1"/>
      </c>
      <c r="AF768">
        <f ca="1"/>
      </c>
      <c r="AG768">
        <f ca="1"/>
      </c>
      <c r="AH768">
        <f ca="1"/>
      </c>
      <c r="AI768">
        <f ca="1"/>
      </c>
      <c r="AJ768">
        <f ca="1"/>
      </c>
      <c r="AK768">
        <f ca="1"/>
      </c>
      <c r="AL768">
        <f ca="1"/>
      </c>
      <c r="AM768">
        <f ca="1"/>
      </c>
      <c r="AN768">
        <f ca="1"/>
      </c>
      <c r="AO768">
        <f ca="1"/>
      </c>
      <c r="AP768">
        <f ca="1"/>
      </c>
      <c r="AQ768">
        <f ca="1"/>
      </c>
      <c r="AR768">
        <f ca="1"/>
      </c>
      <c r="AT768" s="7">
        <f ca="1"/>
      </c>
      <c r="AU768">
        <f ca="1"/>
      </c>
      <c r="AV768">
        <f ca="1"/>
      </c>
      <c r="AW768">
        <f ca="1"/>
      </c>
      <c r="AX768">
        <f ca="1"/>
      </c>
      <c r="AY768">
        <f ca="1"/>
      </c>
      <c r="BA768" s="7"/>
    </row>
    <row r="769" spans="31:53" x14ac:dyDescent="0.55000000000000004">
      <c r="AE769" s="7">
        <f ca="1"/>
      </c>
      <c r="AF769">
        <f ca="1"/>
      </c>
      <c r="AG769">
        <f ca="1"/>
      </c>
      <c r="AH769">
        <f ca="1"/>
      </c>
      <c r="AI769">
        <f ca="1"/>
      </c>
      <c r="AJ769">
        <f ca="1"/>
      </c>
      <c r="AK769">
        <f ca="1"/>
      </c>
      <c r="AL769">
        <f ca="1"/>
      </c>
      <c r="AM769">
        <f ca="1"/>
      </c>
      <c r="AN769">
        <f ca="1"/>
      </c>
      <c r="AO769">
        <f ca="1"/>
      </c>
      <c r="AP769">
        <f ca="1"/>
      </c>
      <c r="AQ769">
        <f ca="1"/>
      </c>
      <c r="AR769">
        <f ca="1"/>
      </c>
      <c r="AT769" s="7">
        <f ca="1"/>
      </c>
      <c r="AU769">
        <f ca="1"/>
      </c>
      <c r="AV769">
        <f ca="1"/>
      </c>
      <c r="AW769">
        <f ca="1"/>
      </c>
      <c r="AX769">
        <f ca="1"/>
      </c>
      <c r="AY769">
        <f ca="1"/>
      </c>
      <c r="BA769" s="7"/>
    </row>
    <row r="770" spans="31:53" x14ac:dyDescent="0.55000000000000004">
      <c r="AE770" s="7">
        <f ca="1"/>
      </c>
      <c r="AF770">
        <f ca="1"/>
      </c>
      <c r="AG770">
        <f ca="1"/>
      </c>
      <c r="AH770">
        <f ca="1"/>
      </c>
      <c r="AI770">
        <f ca="1"/>
      </c>
      <c r="AJ770">
        <f ca="1"/>
      </c>
      <c r="AK770">
        <f ca="1"/>
      </c>
      <c r="AL770">
        <f ca="1"/>
      </c>
      <c r="AM770">
        <f ca="1"/>
      </c>
      <c r="AN770">
        <f ca="1"/>
      </c>
      <c r="AO770">
        <f ca="1"/>
      </c>
      <c r="AP770">
        <f ca="1"/>
      </c>
      <c r="AQ770">
        <f ca="1"/>
      </c>
      <c r="AR770">
        <f ca="1"/>
      </c>
      <c r="AT770" s="7">
        <f ca="1"/>
      </c>
      <c r="AU770">
        <f ca="1"/>
      </c>
      <c r="AV770">
        <f ca="1"/>
      </c>
      <c r="AW770">
        <f ca="1"/>
      </c>
      <c r="AX770">
        <f ca="1"/>
      </c>
      <c r="AY770">
        <f ca="1"/>
      </c>
      <c r="BA770" s="7"/>
    </row>
    <row r="771" spans="31:53" x14ac:dyDescent="0.55000000000000004">
      <c r="AE771" s="7">
        <f ca="1"/>
      </c>
      <c r="AF771">
        <f ca="1"/>
      </c>
      <c r="AG771">
        <f ca="1"/>
      </c>
      <c r="AH771">
        <f ca="1"/>
      </c>
      <c r="AI771">
        <f ca="1"/>
      </c>
      <c r="AJ771">
        <f ca="1"/>
      </c>
      <c r="AK771">
        <f ca="1"/>
      </c>
      <c r="AL771">
        <f ca="1"/>
      </c>
      <c r="AM771">
        <f ca="1"/>
      </c>
      <c r="AN771">
        <f ca="1"/>
      </c>
      <c r="AO771">
        <f ca="1"/>
      </c>
      <c r="AP771">
        <f ca="1"/>
      </c>
      <c r="AQ771">
        <f ca="1"/>
      </c>
      <c r="AR771">
        <f ca="1"/>
      </c>
      <c r="AT771" s="7">
        <f ca="1"/>
      </c>
      <c r="AU771">
        <f ca="1"/>
      </c>
      <c r="AV771">
        <f ca="1"/>
      </c>
      <c r="AW771">
        <f ca="1"/>
      </c>
      <c r="AX771">
        <f ca="1"/>
      </c>
      <c r="AY771">
        <f ca="1"/>
      </c>
      <c r="BA771" s="7"/>
    </row>
    <row r="772" spans="31:53" x14ac:dyDescent="0.55000000000000004">
      <c r="AE772" s="7">
        <f ca="1"/>
      </c>
      <c r="AF772">
        <f ca="1"/>
      </c>
      <c r="AG772">
        <f ca="1"/>
      </c>
      <c r="AH772">
        <f ca="1"/>
      </c>
      <c r="AI772">
        <f ca="1"/>
      </c>
      <c r="AJ772">
        <f ca="1"/>
      </c>
      <c r="AK772">
        <f ca="1"/>
      </c>
      <c r="AL772">
        <f ca="1"/>
      </c>
      <c r="AM772">
        <f ca="1"/>
      </c>
      <c r="AN772">
        <f ca="1"/>
      </c>
      <c r="AO772">
        <f ca="1"/>
      </c>
      <c r="AP772">
        <f ca="1"/>
      </c>
      <c r="AQ772">
        <f ca="1"/>
      </c>
      <c r="AR772">
        <f ca="1"/>
      </c>
      <c r="AT772" s="7">
        <f ca="1"/>
      </c>
      <c r="AU772">
        <f ca="1"/>
      </c>
      <c r="AV772">
        <f ca="1"/>
      </c>
      <c r="AW772">
        <f ca="1"/>
      </c>
      <c r="AX772">
        <f ca="1"/>
      </c>
      <c r="AY772">
        <f ca="1"/>
      </c>
      <c r="BA772" s="7"/>
    </row>
    <row r="773" spans="31:53" x14ac:dyDescent="0.55000000000000004">
      <c r="AE773" s="7">
        <f ca="1"/>
      </c>
      <c r="AF773">
        <f ca="1"/>
      </c>
      <c r="AG773">
        <f ca="1"/>
      </c>
      <c r="AH773">
        <f ca="1"/>
      </c>
      <c r="AI773">
        <f ca="1"/>
      </c>
      <c r="AJ773">
        <f ca="1"/>
      </c>
      <c r="AK773">
        <f ca="1"/>
      </c>
      <c r="AL773">
        <f ca="1"/>
      </c>
      <c r="AM773">
        <f ca="1"/>
      </c>
      <c r="AN773">
        <f ca="1"/>
      </c>
      <c r="AO773">
        <f ca="1"/>
      </c>
      <c r="AP773">
        <f ca="1"/>
      </c>
      <c r="AQ773">
        <f ca="1"/>
      </c>
      <c r="AR773">
        <f ca="1"/>
      </c>
      <c r="AT773" s="7">
        <f ca="1"/>
      </c>
      <c r="AU773">
        <f ca="1"/>
      </c>
      <c r="AV773">
        <f ca="1"/>
      </c>
      <c r="AW773">
        <f ca="1"/>
      </c>
      <c r="AX773">
        <f ca="1"/>
      </c>
      <c r="AY773">
        <f ca="1"/>
      </c>
      <c r="BA773" s="7"/>
    </row>
    <row r="774" spans="31:53" x14ac:dyDescent="0.55000000000000004">
      <c r="AE774" s="7">
        <f ca="1"/>
      </c>
      <c r="AF774">
        <f ca="1"/>
      </c>
      <c r="AG774">
        <f ca="1"/>
      </c>
      <c r="AH774">
        <f ca="1"/>
      </c>
      <c r="AI774">
        <f ca="1"/>
      </c>
      <c r="AJ774">
        <f ca="1"/>
      </c>
      <c r="AK774">
        <f ca="1"/>
      </c>
      <c r="AL774">
        <f ca="1"/>
      </c>
      <c r="AM774">
        <f ca="1"/>
      </c>
      <c r="AN774">
        <f ca="1"/>
      </c>
      <c r="AO774">
        <f ca="1"/>
      </c>
      <c r="AP774">
        <f ca="1"/>
      </c>
      <c r="AQ774">
        <f ca="1"/>
      </c>
      <c r="AR774">
        <f ca="1"/>
      </c>
      <c r="AT774" s="7">
        <f ca="1"/>
      </c>
      <c r="AU774">
        <f ca="1"/>
      </c>
      <c r="AV774">
        <f ca="1"/>
      </c>
      <c r="AW774">
        <f ca="1"/>
      </c>
      <c r="AX774">
        <f ca="1"/>
      </c>
      <c r="AY774">
        <f ca="1"/>
      </c>
      <c r="BA774" s="7"/>
    </row>
    <row r="775" spans="31:53" x14ac:dyDescent="0.55000000000000004">
      <c r="AE775" s="7">
        <f ca="1"/>
      </c>
      <c r="AF775">
        <f ca="1"/>
      </c>
      <c r="AG775">
        <f ca="1"/>
      </c>
      <c r="AH775">
        <f ca="1"/>
      </c>
      <c r="AI775">
        <f ca="1"/>
      </c>
      <c r="AJ775">
        <f ca="1"/>
      </c>
      <c r="AK775">
        <f ca="1"/>
      </c>
      <c r="AL775">
        <f ca="1"/>
      </c>
      <c r="AM775">
        <f ca="1"/>
      </c>
      <c r="AN775">
        <f ca="1"/>
      </c>
      <c r="AO775">
        <f ca="1"/>
      </c>
      <c r="AP775">
        <f ca="1"/>
      </c>
      <c r="AQ775">
        <f ca="1"/>
      </c>
      <c r="AR775">
        <f ca="1"/>
      </c>
      <c r="AT775" s="7">
        <f ca="1"/>
      </c>
      <c r="AU775">
        <f ca="1"/>
      </c>
      <c r="AV775">
        <f ca="1"/>
      </c>
      <c r="AW775">
        <f ca="1"/>
      </c>
      <c r="AX775">
        <f ca="1"/>
      </c>
      <c r="AY775">
        <f ca="1"/>
      </c>
      <c r="BA775" s="7"/>
    </row>
    <row r="776" spans="31:53" x14ac:dyDescent="0.55000000000000004">
      <c r="AE776" s="7">
        <f ca="1"/>
      </c>
      <c r="AF776">
        <f ca="1"/>
      </c>
      <c r="AG776">
        <f ca="1"/>
      </c>
      <c r="AH776">
        <f ca="1"/>
      </c>
      <c r="AI776">
        <f ca="1"/>
      </c>
      <c r="AJ776">
        <f ca="1"/>
      </c>
      <c r="AK776">
        <f ca="1"/>
      </c>
      <c r="AL776">
        <f ca="1"/>
      </c>
      <c r="AM776">
        <f ca="1"/>
      </c>
      <c r="AN776">
        <f ca="1"/>
      </c>
      <c r="AO776">
        <f ca="1"/>
      </c>
      <c r="AP776">
        <f ca="1"/>
      </c>
      <c r="AQ776">
        <f ca="1"/>
      </c>
      <c r="AR776">
        <f ca="1"/>
      </c>
      <c r="AT776" s="7">
        <f ca="1"/>
      </c>
      <c r="AU776">
        <f ca="1"/>
      </c>
      <c r="AV776">
        <f ca="1"/>
      </c>
      <c r="AW776">
        <f ca="1"/>
      </c>
      <c r="AX776">
        <f ca="1"/>
      </c>
      <c r="AY776">
        <f ca="1"/>
      </c>
      <c r="BA776" s="7"/>
    </row>
    <row r="777" spans="31:53" x14ac:dyDescent="0.55000000000000004">
      <c r="AE777" s="7">
        <f ca="1"/>
      </c>
      <c r="AF777">
        <f ca="1"/>
      </c>
      <c r="AG777">
        <f ca="1"/>
      </c>
      <c r="AH777">
        <f ca="1"/>
      </c>
      <c r="AI777">
        <f ca="1"/>
      </c>
      <c r="AJ777">
        <f ca="1"/>
      </c>
      <c r="AK777">
        <f ca="1"/>
      </c>
      <c r="AL777">
        <f ca="1"/>
      </c>
      <c r="AM777">
        <f ca="1"/>
      </c>
      <c r="AN777">
        <f ca="1"/>
      </c>
      <c r="AO777">
        <f ca="1"/>
      </c>
      <c r="AP777">
        <f ca="1"/>
      </c>
      <c r="AQ777">
        <f ca="1"/>
      </c>
      <c r="AR777">
        <f ca="1"/>
      </c>
      <c r="AT777" s="7">
        <f ca="1"/>
      </c>
      <c r="AU777">
        <f ca="1"/>
      </c>
      <c r="AV777">
        <f ca="1"/>
      </c>
      <c r="AW777">
        <f ca="1"/>
      </c>
      <c r="AX777">
        <f ca="1"/>
      </c>
      <c r="AY777">
        <f ca="1"/>
      </c>
      <c r="BA777" s="7"/>
    </row>
    <row r="778" spans="31:53" x14ac:dyDescent="0.55000000000000004">
      <c r="AE778" s="7">
        <f ca="1"/>
      </c>
      <c r="AF778">
        <f ca="1"/>
      </c>
      <c r="AG778">
        <f ca="1"/>
      </c>
      <c r="AH778">
        <f ca="1"/>
      </c>
      <c r="AI778">
        <f ca="1"/>
      </c>
      <c r="AJ778">
        <f ca="1"/>
      </c>
      <c r="AK778">
        <f ca="1"/>
      </c>
      <c r="AL778">
        <f ca="1"/>
      </c>
      <c r="AM778">
        <f ca="1"/>
      </c>
      <c r="AN778">
        <f ca="1"/>
      </c>
      <c r="AO778">
        <f ca="1"/>
      </c>
      <c r="AP778">
        <f ca="1"/>
      </c>
      <c r="AQ778">
        <f ca="1"/>
      </c>
      <c r="AR778">
        <f ca="1"/>
      </c>
      <c r="AT778" s="7">
        <f ca="1"/>
      </c>
      <c r="AU778">
        <f ca="1"/>
      </c>
      <c r="AV778">
        <f ca="1"/>
      </c>
      <c r="AW778">
        <f ca="1"/>
      </c>
      <c r="AX778">
        <f ca="1"/>
      </c>
      <c r="AY778">
        <f ca="1"/>
      </c>
      <c r="BA778" s="7"/>
    </row>
    <row r="779" spans="31:53" x14ac:dyDescent="0.55000000000000004">
      <c r="AE779" s="7">
        <f ca="1"/>
      </c>
      <c r="AF779">
        <f ca="1"/>
      </c>
      <c r="AG779">
        <f ca="1"/>
      </c>
      <c r="AH779">
        <f ca="1"/>
      </c>
      <c r="AI779">
        <f ca="1"/>
      </c>
      <c r="AJ779">
        <f ca="1"/>
      </c>
      <c r="AK779">
        <f ca="1"/>
      </c>
      <c r="AL779">
        <f ca="1"/>
      </c>
      <c r="AM779">
        <f ca="1"/>
      </c>
      <c r="AN779">
        <f ca="1"/>
      </c>
      <c r="AO779">
        <f ca="1"/>
      </c>
      <c r="AP779">
        <f ca="1"/>
      </c>
      <c r="AQ779">
        <f ca="1"/>
      </c>
      <c r="AR779">
        <f ca="1"/>
      </c>
      <c r="AT779" s="7">
        <f ca="1"/>
      </c>
      <c r="AU779">
        <f ca="1"/>
      </c>
      <c r="AV779">
        <f ca="1"/>
      </c>
      <c r="AW779">
        <f ca="1"/>
      </c>
      <c r="AX779">
        <f ca="1"/>
      </c>
      <c r="AY779">
        <f ca="1"/>
      </c>
      <c r="BA779" s="7"/>
    </row>
    <row r="780" spans="31:53" x14ac:dyDescent="0.55000000000000004">
      <c r="AE780" s="7">
        <f ca="1"/>
      </c>
      <c r="AF780">
        <f ca="1"/>
      </c>
      <c r="AG780">
        <f ca="1"/>
      </c>
      <c r="AH780">
        <f ca="1"/>
      </c>
      <c r="AI780">
        <f ca="1"/>
      </c>
      <c r="AJ780">
        <f ca="1"/>
      </c>
      <c r="AK780">
        <f ca="1"/>
      </c>
      <c r="AL780">
        <f ca="1"/>
      </c>
      <c r="AM780">
        <f ca="1"/>
      </c>
      <c r="AN780">
        <f ca="1"/>
      </c>
      <c r="AO780">
        <f ca="1"/>
      </c>
      <c r="AP780">
        <f ca="1"/>
      </c>
      <c r="AQ780">
        <f ca="1"/>
      </c>
      <c r="AR780">
        <f ca="1"/>
      </c>
      <c r="AT780" s="7">
        <f ca="1"/>
      </c>
      <c r="AU780">
        <f ca="1"/>
      </c>
      <c r="AV780">
        <f ca="1"/>
      </c>
      <c r="AW780">
        <f ca="1"/>
      </c>
      <c r="AX780">
        <f ca="1"/>
      </c>
      <c r="AY780">
        <f ca="1"/>
      </c>
      <c r="BA780" s="7"/>
    </row>
    <row r="781" spans="31:53" x14ac:dyDescent="0.55000000000000004">
      <c r="AE781" s="7">
        <f ca="1"/>
      </c>
      <c r="AF781">
        <f ca="1"/>
      </c>
      <c r="AG781">
        <f ca="1"/>
      </c>
      <c r="AH781">
        <f ca="1"/>
      </c>
      <c r="AI781">
        <f ca="1"/>
      </c>
      <c r="AJ781">
        <f ca="1"/>
      </c>
      <c r="AK781">
        <f ca="1"/>
      </c>
      <c r="AL781">
        <f ca="1"/>
      </c>
      <c r="AM781">
        <f ca="1"/>
      </c>
      <c r="AN781">
        <f ca="1"/>
      </c>
      <c r="AO781">
        <f ca="1"/>
      </c>
      <c r="AP781">
        <f ca="1"/>
      </c>
      <c r="AQ781">
        <f ca="1"/>
      </c>
      <c r="AR781">
        <f ca="1"/>
      </c>
      <c r="AT781" s="7">
        <f ca="1"/>
      </c>
      <c r="AU781">
        <f ca="1"/>
      </c>
      <c r="AV781">
        <f ca="1"/>
      </c>
      <c r="AW781">
        <f ca="1"/>
      </c>
      <c r="AX781">
        <f ca="1"/>
      </c>
      <c r="AY781">
        <f ca="1"/>
      </c>
      <c r="BA781" s="7"/>
    </row>
    <row r="782" spans="31:53" x14ac:dyDescent="0.55000000000000004">
      <c r="AE782" s="7">
        <f ca="1"/>
      </c>
      <c r="AF782">
        <f ca="1"/>
      </c>
      <c r="AG782">
        <f ca="1"/>
      </c>
      <c r="AH782">
        <f ca="1"/>
      </c>
      <c r="AI782">
        <f ca="1"/>
      </c>
      <c r="AJ782">
        <f ca="1"/>
      </c>
      <c r="AK782">
        <f ca="1"/>
      </c>
      <c r="AL782">
        <f ca="1"/>
      </c>
      <c r="AM782">
        <f ca="1"/>
      </c>
      <c r="AN782">
        <f ca="1"/>
      </c>
      <c r="AO782">
        <f ca="1"/>
      </c>
      <c r="AP782">
        <f ca="1"/>
      </c>
      <c r="AQ782">
        <f ca="1"/>
      </c>
      <c r="AR782">
        <f ca="1"/>
      </c>
      <c r="AT782" s="7">
        <f ca="1"/>
      </c>
      <c r="AU782">
        <f ca="1"/>
      </c>
      <c r="AV782">
        <f ca="1"/>
      </c>
      <c r="AW782">
        <f ca="1"/>
      </c>
      <c r="AX782">
        <f ca="1"/>
      </c>
      <c r="AY782">
        <f ca="1"/>
      </c>
      <c r="BA782" s="7"/>
    </row>
    <row r="783" spans="31:53" x14ac:dyDescent="0.55000000000000004">
      <c r="AE783" s="7">
        <f ca="1"/>
      </c>
      <c r="AF783">
        <f ca="1"/>
      </c>
      <c r="AG783">
        <f ca="1"/>
      </c>
      <c r="AH783">
        <f ca="1"/>
      </c>
      <c r="AI783">
        <f ca="1"/>
      </c>
      <c r="AJ783">
        <f ca="1"/>
      </c>
      <c r="AK783">
        <f ca="1"/>
      </c>
      <c r="AL783">
        <f ca="1"/>
      </c>
      <c r="AM783">
        <f ca="1"/>
      </c>
      <c r="AN783">
        <f ca="1"/>
      </c>
      <c r="AO783">
        <f ca="1"/>
      </c>
      <c r="AP783">
        <f ca="1"/>
      </c>
      <c r="AQ783">
        <f ca="1"/>
      </c>
      <c r="AR783">
        <f ca="1"/>
      </c>
      <c r="AT783" s="7">
        <f ca="1"/>
      </c>
      <c r="AU783">
        <f ca="1"/>
      </c>
      <c r="AV783">
        <f ca="1"/>
      </c>
      <c r="AW783">
        <f ca="1"/>
      </c>
      <c r="AX783">
        <f ca="1"/>
      </c>
      <c r="AY783">
        <f ca="1"/>
      </c>
      <c r="BA783" s="7"/>
    </row>
    <row r="784" spans="31:53" x14ac:dyDescent="0.55000000000000004">
      <c r="AE784" s="7">
        <f ca="1"/>
      </c>
      <c r="AF784">
        <f ca="1"/>
      </c>
      <c r="AG784">
        <f ca="1"/>
      </c>
      <c r="AH784">
        <f ca="1"/>
      </c>
      <c r="AI784">
        <f ca="1"/>
      </c>
      <c r="AJ784">
        <f ca="1"/>
      </c>
      <c r="AK784">
        <f ca="1"/>
      </c>
      <c r="AL784">
        <f ca="1"/>
      </c>
      <c r="AM784">
        <f ca="1"/>
      </c>
      <c r="AN784">
        <f ca="1"/>
      </c>
      <c r="AO784">
        <f ca="1"/>
      </c>
      <c r="AP784">
        <f ca="1"/>
      </c>
      <c r="AQ784">
        <f ca="1"/>
      </c>
      <c r="AR784">
        <f ca="1"/>
      </c>
      <c r="AT784" s="7">
        <f ca="1"/>
      </c>
      <c r="AU784">
        <f ca="1"/>
      </c>
      <c r="AV784">
        <f ca="1"/>
      </c>
      <c r="AW784">
        <f ca="1"/>
      </c>
      <c r="AX784">
        <f ca="1"/>
      </c>
      <c r="AY784">
        <f ca="1"/>
      </c>
      <c r="BA784" s="7"/>
    </row>
    <row r="785" spans="31:53" x14ac:dyDescent="0.55000000000000004">
      <c r="AE785" s="7">
        <f ca="1"/>
      </c>
      <c r="AF785">
        <f ca="1"/>
      </c>
      <c r="AG785">
        <f ca="1"/>
      </c>
      <c r="AH785">
        <f ca="1"/>
      </c>
      <c r="AI785">
        <f ca="1"/>
      </c>
      <c r="AJ785">
        <f ca="1"/>
      </c>
      <c r="AK785">
        <f ca="1"/>
      </c>
      <c r="AL785">
        <f ca="1"/>
      </c>
      <c r="AM785">
        <f ca="1"/>
      </c>
      <c r="AN785">
        <f ca="1"/>
      </c>
      <c r="AO785">
        <f ca="1"/>
      </c>
      <c r="AP785">
        <f ca="1"/>
      </c>
      <c r="AQ785">
        <f ca="1"/>
      </c>
      <c r="AR785">
        <f ca="1"/>
      </c>
      <c r="AT785" s="7">
        <f ca="1"/>
      </c>
      <c r="AU785">
        <f ca="1"/>
      </c>
      <c r="AV785">
        <f ca="1"/>
      </c>
      <c r="AW785">
        <f ca="1"/>
      </c>
      <c r="AX785">
        <f ca="1"/>
      </c>
      <c r="AY785">
        <f ca="1"/>
      </c>
      <c r="BA785" s="7"/>
    </row>
    <row r="786" spans="31:53" x14ac:dyDescent="0.55000000000000004">
      <c r="AE786" s="7">
        <f ca="1"/>
      </c>
      <c r="AF786">
        <f ca="1"/>
      </c>
      <c r="AG786">
        <f ca="1"/>
      </c>
      <c r="AH786">
        <f ca="1"/>
      </c>
      <c r="AI786">
        <f ca="1"/>
      </c>
      <c r="AJ786">
        <f ca="1"/>
      </c>
      <c r="AK786">
        <f ca="1"/>
      </c>
      <c r="AL786">
        <f ca="1"/>
      </c>
      <c r="AM786">
        <f ca="1"/>
      </c>
      <c r="AN786">
        <f ca="1"/>
      </c>
      <c r="AO786">
        <f ca="1"/>
      </c>
      <c r="AP786">
        <f ca="1"/>
      </c>
      <c r="AQ786">
        <f ca="1"/>
      </c>
      <c r="AR786">
        <f ca="1"/>
      </c>
      <c r="AT786" s="7">
        <f ca="1"/>
      </c>
      <c r="AU786">
        <f ca="1"/>
      </c>
      <c r="AV786">
        <f ca="1"/>
      </c>
      <c r="AW786">
        <f ca="1"/>
      </c>
      <c r="AX786">
        <f ca="1"/>
      </c>
      <c r="AY786">
        <f ca="1"/>
      </c>
      <c r="BA786" s="7"/>
    </row>
    <row r="787" spans="31:53" x14ac:dyDescent="0.55000000000000004">
      <c r="AE787" s="7">
        <f ca="1"/>
      </c>
      <c r="AF787">
        <f ca="1"/>
      </c>
      <c r="AG787">
        <f ca="1"/>
      </c>
      <c r="AH787">
        <f ca="1"/>
      </c>
      <c r="AI787">
        <f ca="1"/>
      </c>
      <c r="AJ787">
        <f ca="1"/>
      </c>
      <c r="AK787">
        <f ca="1"/>
      </c>
      <c r="AL787">
        <f ca="1"/>
      </c>
      <c r="AM787">
        <f ca="1"/>
      </c>
      <c r="AN787">
        <f ca="1"/>
      </c>
      <c r="AO787">
        <f ca="1"/>
      </c>
      <c r="AP787">
        <f ca="1"/>
      </c>
      <c r="AQ787">
        <f ca="1"/>
      </c>
      <c r="AR787">
        <f ca="1"/>
      </c>
      <c r="AT787" s="7">
        <f ca="1"/>
      </c>
      <c r="AU787">
        <f ca="1"/>
      </c>
      <c r="AV787">
        <f ca="1"/>
      </c>
      <c r="AW787">
        <f ca="1"/>
      </c>
      <c r="AX787">
        <f ca="1"/>
      </c>
      <c r="AY787">
        <f ca="1"/>
      </c>
      <c r="BA787" s="7"/>
    </row>
    <row r="788" spans="31:53" x14ac:dyDescent="0.55000000000000004">
      <c r="AE788" s="7">
        <f ca="1"/>
      </c>
      <c r="AF788">
        <f ca="1"/>
      </c>
      <c r="AG788">
        <f ca="1"/>
      </c>
      <c r="AH788">
        <f ca="1"/>
      </c>
      <c r="AI788">
        <f ca="1"/>
      </c>
      <c r="AJ788">
        <f ca="1"/>
      </c>
      <c r="AK788">
        <f ca="1"/>
      </c>
      <c r="AL788">
        <f ca="1"/>
      </c>
      <c r="AM788">
        <f ca="1"/>
      </c>
      <c r="AN788">
        <f ca="1"/>
      </c>
      <c r="AO788">
        <f ca="1"/>
      </c>
      <c r="AP788">
        <f ca="1"/>
      </c>
      <c r="AQ788">
        <f ca="1"/>
      </c>
      <c r="AR788">
        <f ca="1"/>
      </c>
      <c r="AT788" s="7">
        <f ca="1"/>
      </c>
      <c r="AU788">
        <f ca="1"/>
      </c>
      <c r="AV788">
        <f ca="1"/>
      </c>
      <c r="AW788">
        <f ca="1"/>
      </c>
      <c r="AX788">
        <f ca="1"/>
      </c>
      <c r="AY788">
        <f ca="1"/>
      </c>
      <c r="BA788" s="7"/>
    </row>
    <row r="789" spans="31:53" x14ac:dyDescent="0.55000000000000004">
      <c r="AE789" s="7">
        <f ca="1"/>
      </c>
      <c r="AF789">
        <f ca="1"/>
      </c>
      <c r="AG789">
        <f ca="1"/>
      </c>
      <c r="AH789">
        <f ca="1"/>
      </c>
      <c r="AI789">
        <f ca="1"/>
      </c>
      <c r="AJ789">
        <f ca="1"/>
      </c>
      <c r="AK789">
        <f ca="1"/>
      </c>
      <c r="AL789">
        <f ca="1"/>
      </c>
      <c r="AM789">
        <f ca="1"/>
      </c>
      <c r="AN789">
        <f ca="1"/>
      </c>
      <c r="AO789">
        <f ca="1"/>
      </c>
      <c r="AP789">
        <f ca="1"/>
      </c>
      <c r="AQ789">
        <f ca="1"/>
      </c>
      <c r="AR789">
        <f ca="1"/>
      </c>
      <c r="AT789" s="7">
        <f ca="1"/>
      </c>
      <c r="AU789">
        <f ca="1"/>
      </c>
      <c r="AV789">
        <f ca="1"/>
      </c>
      <c r="AW789">
        <f ca="1"/>
      </c>
      <c r="AX789">
        <f ca="1"/>
      </c>
      <c r="AY789">
        <f ca="1"/>
      </c>
      <c r="BA789" s="7"/>
    </row>
    <row r="790" spans="31:53" x14ac:dyDescent="0.55000000000000004">
      <c r="AE790" s="7">
        <f ca="1"/>
      </c>
      <c r="AF790">
        <f ca="1"/>
      </c>
      <c r="AG790">
        <f ca="1"/>
      </c>
      <c r="AH790">
        <f ca="1"/>
      </c>
      <c r="AI790">
        <f ca="1"/>
      </c>
      <c r="AJ790">
        <f ca="1"/>
      </c>
      <c r="AK790">
        <f ca="1"/>
      </c>
      <c r="AL790">
        <f ca="1"/>
      </c>
      <c r="AM790">
        <f ca="1"/>
      </c>
      <c r="AN790">
        <f ca="1"/>
      </c>
      <c r="AO790">
        <f ca="1"/>
      </c>
      <c r="AP790">
        <f ca="1"/>
      </c>
      <c r="AQ790">
        <f ca="1"/>
      </c>
      <c r="AR790">
        <f ca="1"/>
      </c>
      <c r="AT790" s="7">
        <f ca="1"/>
      </c>
      <c r="AU790">
        <f ca="1"/>
      </c>
      <c r="AV790">
        <f ca="1"/>
      </c>
      <c r="AW790">
        <f ca="1"/>
      </c>
      <c r="AX790">
        <f ca="1"/>
      </c>
      <c r="AY790">
        <f ca="1"/>
      </c>
      <c r="BA790" s="7"/>
    </row>
    <row r="791" spans="31:53" x14ac:dyDescent="0.55000000000000004">
      <c r="AE791" s="7">
        <f ca="1"/>
      </c>
      <c r="AF791">
        <f ca="1"/>
      </c>
      <c r="AG791">
        <f ca="1"/>
      </c>
      <c r="AH791">
        <f ca="1"/>
      </c>
      <c r="AI791">
        <f ca="1"/>
      </c>
      <c r="AJ791">
        <f ca="1"/>
      </c>
      <c r="AK791">
        <f ca="1"/>
      </c>
      <c r="AL791">
        <f ca="1"/>
      </c>
      <c r="AM791">
        <f ca="1"/>
      </c>
      <c r="AN791">
        <f ca="1"/>
      </c>
      <c r="AO791">
        <f ca="1"/>
      </c>
      <c r="AP791">
        <f ca="1"/>
      </c>
      <c r="AQ791">
        <f ca="1"/>
      </c>
      <c r="AR791">
        <f ca="1"/>
      </c>
      <c r="AT791" s="7">
        <f ca="1"/>
      </c>
      <c r="AU791">
        <f ca="1"/>
      </c>
      <c r="AV791">
        <f ca="1"/>
      </c>
      <c r="AW791">
        <f ca="1"/>
      </c>
      <c r="AX791">
        <f ca="1"/>
      </c>
      <c r="AY791">
        <f ca="1"/>
      </c>
      <c r="BA791" s="7"/>
    </row>
    <row r="792" spans="31:53" x14ac:dyDescent="0.55000000000000004">
      <c r="AE792" s="7">
        <f ca="1"/>
      </c>
      <c r="AF792">
        <f ca="1"/>
      </c>
      <c r="AG792">
        <f ca="1"/>
      </c>
      <c r="AH792">
        <f ca="1"/>
      </c>
      <c r="AI792">
        <f ca="1"/>
      </c>
      <c r="AJ792">
        <f ca="1"/>
      </c>
      <c r="AK792">
        <f ca="1"/>
      </c>
      <c r="AL792">
        <f ca="1"/>
      </c>
      <c r="AM792">
        <f ca="1"/>
      </c>
      <c r="AN792">
        <f ca="1"/>
      </c>
      <c r="AO792">
        <f ca="1"/>
      </c>
      <c r="AP792">
        <f ca="1"/>
      </c>
      <c r="AQ792">
        <f ca="1"/>
      </c>
      <c r="AR792">
        <f ca="1"/>
      </c>
      <c r="AT792" s="7">
        <f ca="1"/>
      </c>
      <c r="AU792">
        <f ca="1"/>
      </c>
      <c r="AV792">
        <f ca="1"/>
      </c>
      <c r="AW792">
        <f ca="1"/>
      </c>
      <c r="AX792">
        <f ca="1"/>
      </c>
      <c r="AY792">
        <f ca="1"/>
      </c>
      <c r="BA792" s="7"/>
    </row>
    <row r="793" spans="31:53" x14ac:dyDescent="0.55000000000000004">
      <c r="AE793" s="7">
        <f ca="1"/>
      </c>
      <c r="AF793">
        <f ca="1"/>
      </c>
      <c r="AG793">
        <f ca="1"/>
      </c>
      <c r="AH793">
        <f ca="1"/>
      </c>
      <c r="AI793">
        <f ca="1"/>
      </c>
      <c r="AJ793">
        <f ca="1"/>
      </c>
      <c r="AK793">
        <f ca="1"/>
      </c>
      <c r="AL793">
        <f ca="1"/>
      </c>
      <c r="AM793">
        <f ca="1"/>
      </c>
      <c r="AN793">
        <f ca="1"/>
      </c>
      <c r="AO793">
        <f ca="1"/>
      </c>
      <c r="AP793">
        <f ca="1"/>
      </c>
      <c r="AQ793">
        <f ca="1"/>
      </c>
      <c r="AR793">
        <f ca="1"/>
      </c>
      <c r="AT793" s="7">
        <f ca="1"/>
      </c>
      <c r="AU793">
        <f ca="1"/>
      </c>
      <c r="AV793">
        <f ca="1"/>
      </c>
      <c r="AW793">
        <f ca="1"/>
      </c>
      <c r="AX793">
        <f ca="1"/>
      </c>
      <c r="AY793">
        <f ca="1"/>
      </c>
      <c r="BA793" s="7"/>
    </row>
    <row r="794" spans="31:53" x14ac:dyDescent="0.55000000000000004">
      <c r="AE794" s="7">
        <f ca="1"/>
      </c>
      <c r="AF794">
        <f ca="1"/>
      </c>
      <c r="AG794">
        <f ca="1"/>
      </c>
      <c r="AH794">
        <f ca="1"/>
      </c>
      <c r="AI794">
        <f ca="1"/>
      </c>
      <c r="AJ794">
        <f ca="1"/>
      </c>
      <c r="AK794">
        <f ca="1"/>
      </c>
      <c r="AL794">
        <f ca="1"/>
      </c>
      <c r="AM794">
        <f ca="1"/>
      </c>
      <c r="AN794">
        <f ca="1"/>
      </c>
      <c r="AO794">
        <f ca="1"/>
      </c>
      <c r="AP794">
        <f ca="1"/>
      </c>
      <c r="AQ794">
        <f ca="1"/>
      </c>
      <c r="AR794">
        <f ca="1"/>
      </c>
      <c r="AT794" s="7">
        <f ca="1"/>
      </c>
      <c r="AU794">
        <f ca="1"/>
      </c>
      <c r="AV794">
        <f ca="1"/>
      </c>
      <c r="AW794">
        <f ca="1"/>
      </c>
      <c r="AX794">
        <f ca="1"/>
      </c>
      <c r="AY794">
        <f ca="1"/>
      </c>
      <c r="BA794" s="7"/>
    </row>
    <row r="795" spans="31:53" x14ac:dyDescent="0.55000000000000004">
      <c r="AE795" s="7">
        <f ca="1"/>
      </c>
      <c r="AF795">
        <f ca="1"/>
      </c>
      <c r="AG795">
        <f ca="1"/>
      </c>
      <c r="AH795">
        <f ca="1"/>
      </c>
      <c r="AI795">
        <f ca="1"/>
      </c>
      <c r="AJ795">
        <f ca="1"/>
      </c>
      <c r="AK795">
        <f ca="1"/>
      </c>
      <c r="AL795">
        <f ca="1"/>
      </c>
      <c r="AM795">
        <f ca="1"/>
      </c>
      <c r="AN795">
        <f ca="1"/>
      </c>
      <c r="AO795">
        <f ca="1"/>
      </c>
      <c r="AP795">
        <f ca="1"/>
      </c>
      <c r="AQ795">
        <f ca="1"/>
      </c>
      <c r="AR795">
        <f ca="1"/>
      </c>
      <c r="AT795" s="7">
        <f ca="1"/>
      </c>
      <c r="AU795">
        <f ca="1"/>
      </c>
      <c r="AV795">
        <f ca="1"/>
      </c>
      <c r="AW795">
        <f ca="1"/>
      </c>
      <c r="AX795">
        <f ca="1"/>
      </c>
      <c r="AY795">
        <f ca="1"/>
      </c>
      <c r="BA795" s="7"/>
    </row>
    <row r="796" spans="31:53" x14ac:dyDescent="0.55000000000000004">
      <c r="AE796" s="7">
        <f ca="1"/>
      </c>
      <c r="AF796">
        <f ca="1"/>
      </c>
      <c r="AG796">
        <f ca="1"/>
      </c>
      <c r="AH796">
        <f ca="1"/>
      </c>
      <c r="AI796">
        <f ca="1"/>
      </c>
      <c r="AJ796">
        <f ca="1"/>
      </c>
      <c r="AK796">
        <f ca="1"/>
      </c>
      <c r="AL796">
        <f ca="1"/>
      </c>
      <c r="AM796">
        <f ca="1"/>
      </c>
      <c r="AN796">
        <f ca="1"/>
      </c>
      <c r="AO796">
        <f ca="1"/>
      </c>
      <c r="AP796">
        <f ca="1"/>
      </c>
      <c r="AQ796">
        <f ca="1"/>
      </c>
      <c r="AR796">
        <f ca="1"/>
      </c>
      <c r="AT796" s="7">
        <f ca="1"/>
      </c>
      <c r="AU796">
        <f ca="1"/>
      </c>
      <c r="AV796">
        <f ca="1"/>
      </c>
      <c r="AW796">
        <f ca="1"/>
      </c>
      <c r="AX796">
        <f ca="1"/>
      </c>
      <c r="AY796">
        <f ca="1"/>
      </c>
      <c r="BA796" s="7"/>
    </row>
    <row r="797" spans="31:53" x14ac:dyDescent="0.55000000000000004">
      <c r="AE797" s="7">
        <f ca="1"/>
      </c>
      <c r="AF797">
        <f ca="1"/>
      </c>
      <c r="AG797">
        <f ca="1"/>
      </c>
      <c r="AH797">
        <f ca="1"/>
      </c>
      <c r="AI797">
        <f ca="1"/>
      </c>
      <c r="AJ797">
        <f ca="1"/>
      </c>
      <c r="AK797">
        <f ca="1"/>
      </c>
      <c r="AL797">
        <f ca="1"/>
      </c>
      <c r="AM797">
        <f ca="1"/>
      </c>
      <c r="AN797">
        <f ca="1"/>
      </c>
      <c r="AO797">
        <f ca="1"/>
      </c>
      <c r="AP797">
        <f ca="1"/>
      </c>
      <c r="AQ797">
        <f ca="1"/>
      </c>
      <c r="AR797">
        <f ca="1"/>
      </c>
      <c r="AT797" s="7">
        <f ca="1"/>
      </c>
      <c r="AU797">
        <f ca="1"/>
      </c>
      <c r="AV797">
        <f ca="1"/>
      </c>
      <c r="AW797">
        <f ca="1"/>
      </c>
      <c r="AX797">
        <f ca="1"/>
      </c>
      <c r="AY797">
        <f ca="1"/>
      </c>
      <c r="BA797" s="7"/>
    </row>
    <row r="798" spans="31:53" x14ac:dyDescent="0.55000000000000004">
      <c r="AE798" s="7">
        <f ca="1"/>
      </c>
      <c r="AF798">
        <f ca="1"/>
      </c>
      <c r="AG798">
        <f ca="1"/>
      </c>
      <c r="AH798">
        <f ca="1"/>
      </c>
      <c r="AI798">
        <f ca="1"/>
      </c>
      <c r="AJ798">
        <f ca="1"/>
      </c>
      <c r="AK798">
        <f ca="1"/>
      </c>
      <c r="AL798">
        <f ca="1"/>
      </c>
      <c r="AM798">
        <f ca="1"/>
      </c>
      <c r="AN798">
        <f ca="1"/>
      </c>
      <c r="AO798">
        <f ca="1"/>
      </c>
      <c r="AP798">
        <f ca="1"/>
      </c>
      <c r="AQ798">
        <f ca="1"/>
      </c>
      <c r="AR798">
        <f ca="1"/>
      </c>
      <c r="AT798" s="7">
        <f ca="1"/>
      </c>
      <c r="AU798">
        <f ca="1"/>
      </c>
      <c r="AV798">
        <f ca="1"/>
      </c>
      <c r="AW798">
        <f ca="1"/>
      </c>
      <c r="AX798">
        <f ca="1"/>
      </c>
      <c r="AY798">
        <f ca="1"/>
      </c>
      <c r="BA798" s="7"/>
    </row>
    <row r="799" spans="31:53" x14ac:dyDescent="0.55000000000000004">
      <c r="AE799" s="7">
        <f ca="1"/>
      </c>
      <c r="AF799">
        <f ca="1"/>
      </c>
      <c r="AG799">
        <f ca="1"/>
      </c>
      <c r="AH799">
        <f ca="1"/>
      </c>
      <c r="AI799">
        <f ca="1"/>
      </c>
      <c r="AJ799">
        <f ca="1"/>
      </c>
      <c r="AK799">
        <f ca="1"/>
      </c>
      <c r="AL799">
        <f ca="1"/>
      </c>
      <c r="AM799">
        <f ca="1"/>
      </c>
      <c r="AN799">
        <f ca="1"/>
      </c>
      <c r="AO799">
        <f ca="1"/>
      </c>
      <c r="AP799">
        <f ca="1"/>
      </c>
      <c r="AQ799">
        <f ca="1"/>
      </c>
      <c r="AR799">
        <f ca="1"/>
      </c>
      <c r="AT799" s="7">
        <f ca="1"/>
      </c>
      <c r="AU799">
        <f ca="1"/>
      </c>
      <c r="AV799">
        <f ca="1"/>
      </c>
      <c r="AW799">
        <f ca="1"/>
      </c>
      <c r="AX799">
        <f ca="1"/>
      </c>
      <c r="AY799">
        <f ca="1"/>
      </c>
      <c r="BA799" s="7"/>
    </row>
    <row r="800" spans="31:53" x14ac:dyDescent="0.55000000000000004">
      <c r="AE800" s="7">
        <f ca="1"/>
      </c>
      <c r="AF800">
        <f ca="1"/>
      </c>
      <c r="AG800">
        <f ca="1"/>
      </c>
      <c r="AH800">
        <f ca="1"/>
      </c>
      <c r="AI800">
        <f ca="1"/>
      </c>
      <c r="AJ800">
        <f ca="1"/>
      </c>
      <c r="AK800">
        <f ca="1"/>
      </c>
      <c r="AL800">
        <f ca="1"/>
      </c>
      <c r="AM800">
        <f ca="1"/>
      </c>
      <c r="AN800">
        <f ca="1"/>
      </c>
      <c r="AO800">
        <f ca="1"/>
      </c>
      <c r="AP800">
        <f ca="1"/>
      </c>
      <c r="AQ800">
        <f ca="1"/>
      </c>
      <c r="AR800">
        <f ca="1"/>
      </c>
      <c r="AT800" s="7">
        <f ca="1"/>
      </c>
      <c r="AU800">
        <f ca="1"/>
      </c>
      <c r="AV800">
        <f ca="1"/>
      </c>
      <c r="AW800">
        <f ca="1"/>
      </c>
      <c r="AX800">
        <f ca="1"/>
      </c>
      <c r="AY800">
        <f ca="1"/>
      </c>
      <c r="BA800" s="7"/>
    </row>
    <row r="801" spans="31:53" x14ac:dyDescent="0.55000000000000004">
      <c r="AE801" s="7">
        <f ca="1"/>
      </c>
      <c r="AF801">
        <f ca="1"/>
      </c>
      <c r="AG801">
        <f ca="1"/>
      </c>
      <c r="AH801">
        <f ca="1"/>
      </c>
      <c r="AI801">
        <f ca="1"/>
      </c>
      <c r="AJ801">
        <f ca="1"/>
      </c>
      <c r="AK801">
        <f ca="1"/>
      </c>
      <c r="AL801">
        <f ca="1"/>
      </c>
      <c r="AM801">
        <f ca="1"/>
      </c>
      <c r="AN801">
        <f ca="1"/>
      </c>
      <c r="AO801">
        <f ca="1"/>
      </c>
      <c r="AP801">
        <f ca="1"/>
      </c>
      <c r="AQ801">
        <f ca="1"/>
      </c>
      <c r="AR801">
        <f ca="1"/>
      </c>
      <c r="AT801" s="7">
        <f ca="1"/>
      </c>
      <c r="AU801">
        <f ca="1"/>
      </c>
      <c r="AV801">
        <f ca="1"/>
      </c>
      <c r="AW801">
        <f ca="1"/>
      </c>
      <c r="AX801">
        <f ca="1"/>
      </c>
      <c r="AY801">
        <f ca="1"/>
      </c>
      <c r="BA801" s="7"/>
    </row>
    <row r="802" spans="31:53" x14ac:dyDescent="0.55000000000000004">
      <c r="AE802" s="7">
        <f ca="1"/>
      </c>
      <c r="AF802">
        <f ca="1"/>
      </c>
      <c r="AG802">
        <f ca="1"/>
      </c>
      <c r="AH802">
        <f ca="1"/>
      </c>
      <c r="AI802">
        <f ca="1"/>
      </c>
      <c r="AJ802">
        <f ca="1"/>
      </c>
      <c r="AK802">
        <f ca="1"/>
      </c>
      <c r="AL802">
        <f ca="1"/>
      </c>
      <c r="AM802">
        <f ca="1"/>
      </c>
      <c r="AN802">
        <f ca="1"/>
      </c>
      <c r="AO802">
        <f ca="1"/>
      </c>
      <c r="AP802">
        <f ca="1"/>
      </c>
      <c r="AQ802">
        <f ca="1"/>
      </c>
      <c r="AR802">
        <f ca="1"/>
      </c>
      <c r="AT802" s="7">
        <f ca="1"/>
      </c>
      <c r="AU802">
        <f ca="1"/>
      </c>
      <c r="AV802">
        <f ca="1"/>
      </c>
      <c r="AW802">
        <f ca="1"/>
      </c>
      <c r="AX802">
        <f ca="1"/>
      </c>
      <c r="AY802">
        <f ca="1"/>
      </c>
      <c r="BA802" s="7"/>
    </row>
    <row r="803" spans="31:53" x14ac:dyDescent="0.55000000000000004">
      <c r="AE803" s="7">
        <f ca="1"/>
      </c>
      <c r="AF803">
        <f ca="1"/>
      </c>
      <c r="AG803">
        <f ca="1"/>
      </c>
      <c r="AH803">
        <f ca="1"/>
      </c>
      <c r="AI803">
        <f ca="1"/>
      </c>
      <c r="AJ803">
        <f ca="1"/>
      </c>
      <c r="AK803">
        <f ca="1"/>
      </c>
      <c r="AL803">
        <f ca="1"/>
      </c>
      <c r="AM803">
        <f ca="1"/>
      </c>
      <c r="AN803">
        <f ca="1"/>
      </c>
      <c r="AO803">
        <f ca="1"/>
      </c>
      <c r="AP803">
        <f ca="1"/>
      </c>
      <c r="AQ803">
        <f ca="1"/>
      </c>
      <c r="AR803">
        <f ca="1"/>
      </c>
      <c r="AT803" s="7">
        <f ca="1"/>
      </c>
      <c r="AU803">
        <f ca="1"/>
      </c>
      <c r="AV803">
        <f ca="1"/>
      </c>
      <c r="AW803">
        <f ca="1"/>
      </c>
      <c r="AX803">
        <f ca="1"/>
      </c>
      <c r="AY803">
        <f ca="1"/>
      </c>
      <c r="BA803" s="7"/>
    </row>
    <row r="804" spans="31:53" x14ac:dyDescent="0.55000000000000004">
      <c r="AE804" s="7">
        <f ca="1"/>
      </c>
      <c r="AF804">
        <f ca="1"/>
      </c>
      <c r="AG804">
        <f ca="1"/>
      </c>
      <c r="AH804">
        <f ca="1"/>
      </c>
      <c r="AI804">
        <f ca="1"/>
      </c>
      <c r="AJ804">
        <f ca="1"/>
      </c>
      <c r="AK804">
        <f ca="1"/>
      </c>
      <c r="AL804">
        <f ca="1"/>
      </c>
      <c r="AM804">
        <f ca="1"/>
      </c>
      <c r="AN804">
        <f ca="1"/>
      </c>
      <c r="AO804">
        <f ca="1"/>
      </c>
      <c r="AP804">
        <f ca="1"/>
      </c>
      <c r="AQ804">
        <f ca="1"/>
      </c>
      <c r="AR804">
        <f ca="1"/>
      </c>
      <c r="AT804" s="7">
        <f ca="1"/>
      </c>
      <c r="AU804">
        <f ca="1"/>
      </c>
      <c r="AV804">
        <f ca="1"/>
      </c>
      <c r="AW804">
        <f ca="1"/>
      </c>
      <c r="AX804">
        <f ca="1"/>
      </c>
      <c r="AY804">
        <f ca="1"/>
      </c>
      <c r="BA804" s="7"/>
    </row>
    <row r="805" spans="31:53" x14ac:dyDescent="0.55000000000000004">
      <c r="AE805" s="7">
        <f ca="1"/>
      </c>
      <c r="AF805">
        <f ca="1"/>
      </c>
      <c r="AG805">
        <f ca="1"/>
      </c>
      <c r="AH805">
        <f ca="1"/>
      </c>
      <c r="AI805">
        <f ca="1"/>
      </c>
      <c r="AJ805">
        <f ca="1"/>
      </c>
      <c r="AK805">
        <f ca="1"/>
      </c>
      <c r="AL805">
        <f ca="1"/>
      </c>
      <c r="AM805">
        <f ca="1"/>
      </c>
      <c r="AN805">
        <f ca="1"/>
      </c>
      <c r="AO805">
        <f ca="1"/>
      </c>
      <c r="AP805">
        <f ca="1"/>
      </c>
      <c r="AQ805">
        <f ca="1"/>
      </c>
      <c r="AR805">
        <f ca="1"/>
      </c>
      <c r="AT805" s="7">
        <f ca="1"/>
      </c>
      <c r="AU805">
        <f ca="1"/>
      </c>
      <c r="AV805">
        <f ca="1"/>
      </c>
      <c r="AW805">
        <f ca="1"/>
      </c>
      <c r="AX805">
        <f ca="1"/>
      </c>
      <c r="AY805">
        <f ca="1"/>
      </c>
      <c r="BA805" s="7"/>
    </row>
    <row r="806" spans="31:53" x14ac:dyDescent="0.55000000000000004">
      <c r="AE806" s="7">
        <f ca="1"/>
      </c>
      <c r="AF806">
        <f ca="1"/>
      </c>
      <c r="AG806">
        <f ca="1"/>
      </c>
      <c r="AH806">
        <f ca="1"/>
      </c>
      <c r="AI806">
        <f ca="1"/>
      </c>
      <c r="AJ806">
        <f ca="1"/>
      </c>
      <c r="AK806">
        <f ca="1"/>
      </c>
      <c r="AL806">
        <f ca="1"/>
      </c>
      <c r="AM806">
        <f ca="1"/>
      </c>
      <c r="AN806">
        <f ca="1"/>
      </c>
      <c r="AO806">
        <f ca="1"/>
      </c>
      <c r="AP806">
        <f ca="1"/>
      </c>
      <c r="AQ806">
        <f ca="1"/>
      </c>
      <c r="AR806">
        <f ca="1"/>
      </c>
      <c r="AT806" s="7">
        <f ca="1"/>
      </c>
      <c r="AU806">
        <f ca="1"/>
      </c>
      <c r="AV806">
        <f ca="1"/>
      </c>
      <c r="AW806">
        <f ca="1"/>
      </c>
      <c r="AX806">
        <f ca="1"/>
      </c>
      <c r="AY806">
        <f ca="1"/>
      </c>
      <c r="BA806" s="7"/>
    </row>
    <row r="807" spans="31:53" x14ac:dyDescent="0.55000000000000004">
      <c r="AE807" s="7">
        <f ca="1"/>
      </c>
      <c r="AF807">
        <f ca="1"/>
      </c>
      <c r="AG807">
        <f ca="1"/>
      </c>
      <c r="AH807">
        <f ca="1"/>
      </c>
      <c r="AI807">
        <f ca="1"/>
      </c>
      <c r="AJ807">
        <f ca="1"/>
      </c>
      <c r="AK807">
        <f ca="1"/>
      </c>
      <c r="AL807">
        <f ca="1"/>
      </c>
      <c r="AM807">
        <f ca="1"/>
      </c>
      <c r="AN807">
        <f ca="1"/>
      </c>
      <c r="AO807">
        <f ca="1"/>
      </c>
      <c r="AP807">
        <f ca="1"/>
      </c>
      <c r="AQ807">
        <f ca="1"/>
      </c>
      <c r="AR807">
        <f ca="1"/>
      </c>
      <c r="AT807" s="7">
        <f ca="1"/>
      </c>
      <c r="AU807">
        <f ca="1"/>
      </c>
      <c r="AV807">
        <f ca="1"/>
      </c>
      <c r="AW807">
        <f ca="1"/>
      </c>
      <c r="AX807">
        <f ca="1"/>
      </c>
      <c r="AY807">
        <f ca="1"/>
      </c>
      <c r="BA807" s="7"/>
    </row>
    <row r="808" spans="31:53" x14ac:dyDescent="0.55000000000000004">
      <c r="AE808" s="7">
        <f ca="1"/>
      </c>
      <c r="AF808">
        <f ca="1"/>
      </c>
      <c r="AG808">
        <f ca="1"/>
      </c>
      <c r="AH808">
        <f ca="1"/>
      </c>
      <c r="AI808">
        <f ca="1"/>
      </c>
      <c r="AJ808">
        <f ca="1"/>
      </c>
      <c r="AK808">
        <f ca="1"/>
      </c>
      <c r="AL808">
        <f ca="1"/>
      </c>
      <c r="AM808">
        <f ca="1"/>
      </c>
      <c r="AN808">
        <f ca="1"/>
      </c>
      <c r="AO808">
        <f ca="1"/>
      </c>
      <c r="AP808">
        <f ca="1"/>
      </c>
      <c r="AQ808">
        <f ca="1"/>
      </c>
      <c r="AR808">
        <f ca="1"/>
      </c>
      <c r="AT808" s="7">
        <f ca="1"/>
      </c>
      <c r="AU808">
        <f ca="1"/>
      </c>
      <c r="AV808">
        <f ca="1"/>
      </c>
      <c r="AW808">
        <f ca="1"/>
      </c>
      <c r="AX808">
        <f ca="1"/>
      </c>
      <c r="AY808">
        <f ca="1"/>
      </c>
      <c r="BA808" s="7"/>
    </row>
    <row r="809" spans="31:53" x14ac:dyDescent="0.55000000000000004">
      <c r="AE809" s="7">
        <f ca="1"/>
      </c>
      <c r="AF809">
        <f ca="1"/>
      </c>
      <c r="AG809">
        <f ca="1"/>
      </c>
      <c r="AH809">
        <f ca="1"/>
      </c>
      <c r="AI809">
        <f ca="1"/>
      </c>
      <c r="AJ809">
        <f ca="1"/>
      </c>
      <c r="AK809">
        <f ca="1"/>
      </c>
      <c r="AL809">
        <f ca="1"/>
      </c>
      <c r="AM809">
        <f ca="1"/>
      </c>
      <c r="AN809">
        <f ca="1"/>
      </c>
      <c r="AO809">
        <f ca="1"/>
      </c>
      <c r="AP809">
        <f ca="1"/>
      </c>
      <c r="AQ809">
        <f ca="1"/>
      </c>
      <c r="AR809">
        <f ca="1"/>
      </c>
      <c r="AT809" s="7">
        <f ca="1"/>
      </c>
      <c r="AU809">
        <f ca="1"/>
      </c>
      <c r="AV809">
        <f ca="1"/>
      </c>
      <c r="AW809">
        <f ca="1"/>
      </c>
      <c r="AX809">
        <f ca="1"/>
      </c>
      <c r="AY809">
        <f ca="1"/>
      </c>
      <c r="BA809" s="7"/>
    </row>
    <row r="810" spans="31:53" x14ac:dyDescent="0.55000000000000004">
      <c r="AE810" s="7">
        <f ca="1"/>
      </c>
      <c r="AF810">
        <f ca="1"/>
      </c>
      <c r="AG810">
        <f ca="1"/>
      </c>
      <c r="AH810">
        <f ca="1"/>
      </c>
      <c r="AI810">
        <f ca="1"/>
      </c>
      <c r="AJ810">
        <f ca="1"/>
      </c>
      <c r="AK810">
        <f ca="1"/>
      </c>
      <c r="AL810">
        <f ca="1"/>
      </c>
      <c r="AM810">
        <f ca="1"/>
      </c>
      <c r="AN810">
        <f ca="1"/>
      </c>
      <c r="AO810">
        <f ca="1"/>
      </c>
      <c r="AP810">
        <f ca="1"/>
      </c>
      <c r="AQ810">
        <f ca="1"/>
      </c>
      <c r="AR810">
        <f ca="1"/>
      </c>
      <c r="AT810" s="7">
        <f ca="1"/>
      </c>
      <c r="AU810">
        <f ca="1"/>
      </c>
      <c r="AV810">
        <f ca="1"/>
      </c>
      <c r="AW810">
        <f ca="1"/>
      </c>
      <c r="AX810">
        <f ca="1"/>
      </c>
      <c r="AY810">
        <f ca="1"/>
      </c>
      <c r="BA810" s="7"/>
    </row>
    <row r="811" spans="31:53" x14ac:dyDescent="0.55000000000000004">
      <c r="AE811" s="7">
        <f ca="1"/>
      </c>
      <c r="AF811">
        <f ca="1"/>
      </c>
      <c r="AG811">
        <f ca="1"/>
      </c>
      <c r="AH811">
        <f ca="1"/>
      </c>
      <c r="AI811">
        <f ca="1"/>
      </c>
      <c r="AJ811">
        <f ca="1"/>
      </c>
      <c r="AK811">
        <f ca="1"/>
      </c>
      <c r="AL811">
        <f ca="1"/>
      </c>
      <c r="AM811">
        <f ca="1"/>
      </c>
      <c r="AN811">
        <f ca="1"/>
      </c>
      <c r="AO811">
        <f ca="1"/>
      </c>
      <c r="AP811">
        <f ca="1"/>
      </c>
      <c r="AQ811">
        <f ca="1"/>
      </c>
      <c r="AR811">
        <f ca="1"/>
      </c>
      <c r="AT811" s="7">
        <f ca="1"/>
      </c>
      <c r="AU811">
        <f ca="1"/>
      </c>
      <c r="AV811">
        <f ca="1"/>
      </c>
      <c r="AW811">
        <f ca="1"/>
      </c>
      <c r="AX811">
        <f ca="1"/>
      </c>
      <c r="AY811">
        <f ca="1"/>
      </c>
      <c r="BA811" s="7"/>
    </row>
    <row r="812" spans="31:53" x14ac:dyDescent="0.55000000000000004">
      <c r="AE812" s="7">
        <f ca="1"/>
      </c>
      <c r="AF812">
        <f ca="1"/>
      </c>
      <c r="AG812">
        <f ca="1"/>
      </c>
      <c r="AH812">
        <f ca="1"/>
      </c>
      <c r="AI812">
        <f ca="1"/>
      </c>
      <c r="AJ812">
        <f ca="1"/>
      </c>
      <c r="AK812">
        <f ca="1"/>
      </c>
      <c r="AL812">
        <f ca="1"/>
      </c>
      <c r="AM812">
        <f ca="1"/>
      </c>
      <c r="AN812">
        <f ca="1"/>
      </c>
      <c r="AO812">
        <f ca="1"/>
      </c>
      <c r="AP812">
        <f ca="1"/>
      </c>
      <c r="AQ812">
        <f ca="1"/>
      </c>
      <c r="AR812">
        <f ca="1"/>
      </c>
      <c r="AT812" s="7">
        <f ca="1"/>
      </c>
      <c r="AU812">
        <f ca="1"/>
      </c>
      <c r="AV812">
        <f ca="1"/>
      </c>
      <c r="AW812">
        <f ca="1"/>
      </c>
      <c r="AX812">
        <f ca="1"/>
      </c>
      <c r="AY812">
        <f ca="1"/>
      </c>
      <c r="BA812" s="7"/>
    </row>
    <row r="813" spans="31:53" x14ac:dyDescent="0.55000000000000004">
      <c r="AE813" s="7">
        <f ca="1"/>
      </c>
      <c r="AF813">
        <f ca="1"/>
      </c>
      <c r="AG813">
        <f ca="1"/>
      </c>
      <c r="AH813">
        <f ca="1"/>
      </c>
      <c r="AI813">
        <f ca="1"/>
      </c>
      <c r="AJ813">
        <f ca="1"/>
      </c>
      <c r="AK813">
        <f ca="1"/>
      </c>
      <c r="AL813">
        <f ca="1"/>
      </c>
      <c r="AM813">
        <f ca="1"/>
      </c>
      <c r="AN813">
        <f ca="1"/>
      </c>
      <c r="AO813">
        <f ca="1"/>
      </c>
      <c r="AP813">
        <f ca="1"/>
      </c>
      <c r="AQ813">
        <f ca="1"/>
      </c>
      <c r="AR813">
        <f ca="1"/>
      </c>
      <c r="AT813" s="7">
        <f ca="1"/>
      </c>
      <c r="AU813">
        <f ca="1"/>
      </c>
      <c r="AV813">
        <f ca="1"/>
      </c>
      <c r="AW813">
        <f ca="1"/>
      </c>
      <c r="AX813">
        <f ca="1"/>
      </c>
      <c r="AY813">
        <f ca="1"/>
      </c>
      <c r="BA813" s="7"/>
    </row>
    <row r="814" spans="31:53" x14ac:dyDescent="0.55000000000000004">
      <c r="AE814" s="7">
        <f ca="1"/>
      </c>
      <c r="AF814">
        <f ca="1"/>
      </c>
      <c r="AG814">
        <f ca="1"/>
      </c>
      <c r="AH814">
        <f ca="1"/>
      </c>
      <c r="AI814">
        <f ca="1"/>
      </c>
      <c r="AJ814">
        <f ca="1"/>
      </c>
      <c r="AK814">
        <f ca="1"/>
      </c>
      <c r="AL814">
        <f ca="1"/>
      </c>
      <c r="AM814">
        <f ca="1"/>
      </c>
      <c r="AN814">
        <f ca="1"/>
      </c>
      <c r="AO814">
        <f ca="1"/>
      </c>
      <c r="AP814">
        <f ca="1"/>
      </c>
      <c r="AQ814">
        <f ca="1"/>
      </c>
      <c r="AR814">
        <f ca="1"/>
      </c>
      <c r="AT814" s="7">
        <f ca="1"/>
      </c>
      <c r="AU814">
        <f ca="1"/>
      </c>
      <c r="AV814">
        <f ca="1"/>
      </c>
      <c r="AW814">
        <f ca="1"/>
      </c>
      <c r="AX814">
        <f ca="1"/>
      </c>
      <c r="AY814">
        <f ca="1"/>
      </c>
      <c r="BA814" s="7"/>
    </row>
    <row r="815" spans="31:53" x14ac:dyDescent="0.55000000000000004">
      <c r="AE815" s="7">
        <f ca="1"/>
      </c>
      <c r="AF815">
        <f ca="1"/>
      </c>
      <c r="AG815">
        <f ca="1"/>
      </c>
      <c r="AH815">
        <f ca="1"/>
      </c>
      <c r="AI815">
        <f ca="1"/>
      </c>
      <c r="AJ815">
        <f ca="1"/>
      </c>
      <c r="AK815">
        <f ca="1"/>
      </c>
      <c r="AL815">
        <f ca="1"/>
      </c>
      <c r="AM815">
        <f ca="1"/>
      </c>
      <c r="AN815">
        <f ca="1"/>
      </c>
      <c r="AO815">
        <f ca="1"/>
      </c>
      <c r="AP815">
        <f ca="1"/>
      </c>
      <c r="AQ815">
        <f ca="1"/>
      </c>
      <c r="AR815">
        <f ca="1"/>
      </c>
      <c r="AT815" s="7">
        <f ca="1"/>
      </c>
      <c r="AU815">
        <f ca="1"/>
      </c>
      <c r="AV815">
        <f ca="1"/>
      </c>
      <c r="AW815">
        <f ca="1"/>
      </c>
      <c r="AX815">
        <f ca="1"/>
      </c>
      <c r="AY815">
        <f ca="1"/>
      </c>
      <c r="BA815" s="7"/>
    </row>
    <row r="816" spans="31:53" x14ac:dyDescent="0.55000000000000004">
      <c r="AE816" s="7">
        <f ca="1"/>
      </c>
      <c r="AF816">
        <f ca="1"/>
      </c>
      <c r="AG816">
        <f ca="1"/>
      </c>
      <c r="AH816">
        <f ca="1"/>
      </c>
      <c r="AI816">
        <f ca="1"/>
      </c>
      <c r="AJ816">
        <f ca="1"/>
      </c>
      <c r="AK816">
        <f ca="1"/>
      </c>
      <c r="AL816">
        <f ca="1"/>
      </c>
      <c r="AM816">
        <f ca="1"/>
      </c>
      <c r="AN816">
        <f ca="1"/>
      </c>
      <c r="AO816">
        <f ca="1"/>
      </c>
      <c r="AP816">
        <f ca="1"/>
      </c>
      <c r="AQ816">
        <f ca="1"/>
      </c>
      <c r="AR816">
        <f ca="1"/>
      </c>
      <c r="AT816" s="7">
        <f ca="1"/>
      </c>
      <c r="AU816">
        <f ca="1"/>
      </c>
      <c r="AV816">
        <f ca="1"/>
      </c>
      <c r="AW816">
        <f ca="1"/>
      </c>
      <c r="AX816">
        <f ca="1"/>
      </c>
      <c r="AY816">
        <f ca="1"/>
      </c>
      <c r="BA816" s="7"/>
    </row>
    <row r="817" spans="31:53" x14ac:dyDescent="0.55000000000000004">
      <c r="AE817" s="7">
        <f ca="1"/>
      </c>
      <c r="AF817">
        <f ca="1"/>
      </c>
      <c r="AG817">
        <f ca="1"/>
      </c>
      <c r="AH817">
        <f ca="1"/>
      </c>
      <c r="AI817">
        <f ca="1"/>
      </c>
      <c r="AJ817">
        <f ca="1"/>
      </c>
      <c r="AK817">
        <f ca="1"/>
      </c>
      <c r="AL817">
        <f ca="1"/>
      </c>
      <c r="AM817">
        <f ca="1"/>
      </c>
      <c r="AN817">
        <f ca="1"/>
      </c>
      <c r="AO817">
        <f ca="1"/>
      </c>
      <c r="AP817">
        <f ca="1"/>
      </c>
      <c r="AQ817">
        <f ca="1"/>
      </c>
      <c r="AR817">
        <f ca="1"/>
      </c>
      <c r="AT817" s="7">
        <f ca="1"/>
      </c>
      <c r="AU817">
        <f ca="1"/>
      </c>
      <c r="AV817">
        <f ca="1"/>
      </c>
      <c r="AW817">
        <f ca="1"/>
      </c>
      <c r="AX817">
        <f ca="1"/>
      </c>
      <c r="AY817">
        <f ca="1"/>
      </c>
      <c r="BA817" s="7"/>
    </row>
    <row r="818" spans="31:53" x14ac:dyDescent="0.55000000000000004">
      <c r="AE818" s="7">
        <f ca="1"/>
      </c>
      <c r="AF818">
        <f ca="1"/>
      </c>
      <c r="AG818">
        <f ca="1"/>
      </c>
      <c r="AH818">
        <f ca="1"/>
      </c>
      <c r="AI818">
        <f ca="1"/>
      </c>
      <c r="AJ818">
        <f ca="1"/>
      </c>
      <c r="AK818">
        <f ca="1"/>
      </c>
      <c r="AL818">
        <f ca="1"/>
      </c>
      <c r="AM818">
        <f ca="1"/>
      </c>
      <c r="AN818">
        <f ca="1"/>
      </c>
      <c r="AO818">
        <f ca="1"/>
      </c>
      <c r="AP818">
        <f ca="1"/>
      </c>
      <c r="AQ818">
        <f ca="1"/>
      </c>
      <c r="AR818">
        <f ca="1"/>
      </c>
      <c r="AT818" s="7">
        <f ca="1"/>
      </c>
      <c r="AU818">
        <f ca="1"/>
      </c>
      <c r="AV818">
        <f ca="1"/>
      </c>
      <c r="AW818">
        <f ca="1"/>
      </c>
      <c r="AX818">
        <f ca="1"/>
      </c>
      <c r="AY818">
        <f ca="1"/>
      </c>
      <c r="BA818" s="7"/>
    </row>
    <row r="819" spans="31:53" x14ac:dyDescent="0.55000000000000004">
      <c r="AE819" s="7">
        <f ca="1"/>
      </c>
      <c r="AF819">
        <f ca="1"/>
      </c>
      <c r="AG819">
        <f ca="1"/>
      </c>
      <c r="AH819">
        <f ca="1"/>
      </c>
      <c r="AI819">
        <f ca="1"/>
      </c>
      <c r="AJ819">
        <f ca="1"/>
      </c>
      <c r="AK819">
        <f ca="1"/>
      </c>
      <c r="AL819">
        <f ca="1"/>
      </c>
      <c r="AM819">
        <f ca="1"/>
      </c>
      <c r="AN819">
        <f ca="1"/>
      </c>
      <c r="AO819">
        <f ca="1"/>
      </c>
      <c r="AP819">
        <f ca="1"/>
      </c>
      <c r="AQ819">
        <f ca="1"/>
      </c>
      <c r="AR819">
        <f ca="1"/>
      </c>
      <c r="AT819" s="7">
        <f ca="1"/>
      </c>
      <c r="AU819">
        <f ca="1"/>
      </c>
      <c r="AV819">
        <f ca="1"/>
      </c>
      <c r="AW819">
        <f ca="1"/>
      </c>
      <c r="AX819">
        <f ca="1"/>
      </c>
      <c r="AY819">
        <f ca="1"/>
      </c>
      <c r="BA819" s="7"/>
    </row>
    <row r="820" spans="31:53" x14ac:dyDescent="0.55000000000000004">
      <c r="AE820" s="7">
        <f ca="1"/>
      </c>
      <c r="AF820">
        <f ca="1"/>
      </c>
      <c r="AG820">
        <f ca="1"/>
      </c>
      <c r="AH820">
        <f ca="1"/>
      </c>
      <c r="AI820">
        <f ca="1"/>
      </c>
      <c r="AJ820">
        <f ca="1"/>
      </c>
      <c r="AK820">
        <f ca="1"/>
      </c>
      <c r="AL820">
        <f ca="1"/>
      </c>
      <c r="AM820">
        <f ca="1"/>
      </c>
      <c r="AN820">
        <f ca="1"/>
      </c>
      <c r="AO820">
        <f ca="1"/>
      </c>
      <c r="AP820">
        <f ca="1"/>
      </c>
      <c r="AQ820">
        <f ca="1"/>
      </c>
      <c r="AR820">
        <f ca="1"/>
      </c>
      <c r="AT820" s="7">
        <f ca="1"/>
      </c>
      <c r="AU820">
        <f ca="1"/>
      </c>
      <c r="AV820">
        <f ca="1"/>
      </c>
      <c r="AW820">
        <f ca="1"/>
      </c>
      <c r="AX820">
        <f ca="1"/>
      </c>
      <c r="AY820">
        <f ca="1"/>
      </c>
      <c r="BA820" s="7"/>
    </row>
    <row r="821" spans="31:53" x14ac:dyDescent="0.55000000000000004">
      <c r="AE821" s="7">
        <f ca="1"/>
      </c>
      <c r="AF821">
        <f ca="1"/>
      </c>
      <c r="AG821">
        <f ca="1"/>
      </c>
      <c r="AH821">
        <f ca="1"/>
      </c>
      <c r="AI821">
        <f ca="1"/>
      </c>
      <c r="AJ821">
        <f ca="1"/>
      </c>
      <c r="AK821">
        <f ca="1"/>
      </c>
      <c r="AL821">
        <f ca="1"/>
      </c>
      <c r="AM821">
        <f ca="1"/>
      </c>
      <c r="AN821">
        <f ca="1"/>
      </c>
      <c r="AO821">
        <f ca="1"/>
      </c>
      <c r="AP821">
        <f ca="1"/>
      </c>
      <c r="AQ821">
        <f ca="1"/>
      </c>
      <c r="AR821">
        <f ca="1"/>
      </c>
      <c r="AT821" s="7">
        <f ca="1"/>
      </c>
      <c r="AU821">
        <f ca="1"/>
      </c>
      <c r="AV821">
        <f ca="1"/>
      </c>
      <c r="AW821">
        <f ca="1"/>
      </c>
      <c r="AX821">
        <f ca="1"/>
      </c>
      <c r="AY821">
        <f ca="1"/>
      </c>
      <c r="BA821" s="7"/>
    </row>
    <row r="822" spans="31:53" x14ac:dyDescent="0.55000000000000004">
      <c r="AE822" s="7">
        <f ca="1"/>
      </c>
      <c r="AF822">
        <f ca="1"/>
      </c>
      <c r="AG822">
        <f ca="1"/>
      </c>
      <c r="AH822">
        <f ca="1"/>
      </c>
      <c r="AI822">
        <f ca="1"/>
      </c>
      <c r="AJ822">
        <f ca="1"/>
      </c>
      <c r="AK822">
        <f ca="1"/>
      </c>
      <c r="AL822">
        <f ca="1"/>
      </c>
      <c r="AM822">
        <f ca="1"/>
      </c>
      <c r="AN822">
        <f ca="1"/>
      </c>
      <c r="AO822">
        <f ca="1"/>
      </c>
      <c r="AP822">
        <f ca="1"/>
      </c>
      <c r="AQ822">
        <f ca="1"/>
      </c>
      <c r="AR822">
        <f ca="1"/>
      </c>
      <c r="AT822" s="7">
        <f ca="1"/>
      </c>
      <c r="AU822">
        <f ca="1"/>
      </c>
      <c r="AV822">
        <f ca="1"/>
      </c>
      <c r="AW822">
        <f ca="1"/>
      </c>
      <c r="AX822">
        <f ca="1"/>
      </c>
      <c r="AY822">
        <f ca="1"/>
      </c>
      <c r="BA822" s="7"/>
    </row>
    <row r="823" spans="31:53" x14ac:dyDescent="0.55000000000000004">
      <c r="AE823" s="7">
        <f ca="1"/>
      </c>
      <c r="AF823">
        <f ca="1"/>
      </c>
      <c r="AG823">
        <f ca="1"/>
      </c>
      <c r="AH823">
        <f ca="1"/>
      </c>
      <c r="AI823">
        <f ca="1"/>
      </c>
      <c r="AJ823">
        <f ca="1"/>
      </c>
      <c r="AK823">
        <f ca="1"/>
      </c>
      <c r="AL823">
        <f ca="1"/>
      </c>
      <c r="AM823">
        <f ca="1"/>
      </c>
      <c r="AN823">
        <f ca="1"/>
      </c>
      <c r="AO823">
        <f ca="1"/>
      </c>
      <c r="AP823">
        <f ca="1"/>
      </c>
      <c r="AQ823">
        <f ca="1"/>
      </c>
      <c r="AR823">
        <f ca="1"/>
      </c>
      <c r="AT823" s="7">
        <f ca="1"/>
      </c>
      <c r="AU823">
        <f ca="1"/>
      </c>
      <c r="AV823">
        <f ca="1"/>
      </c>
      <c r="AW823">
        <f ca="1"/>
      </c>
      <c r="AX823">
        <f ca="1"/>
      </c>
      <c r="AY823">
        <f ca="1"/>
      </c>
      <c r="BA823" s="7"/>
    </row>
    <row r="824" spans="31:53" x14ac:dyDescent="0.55000000000000004">
      <c r="AE824" s="7">
        <f ca="1"/>
      </c>
      <c r="AF824">
        <f ca="1"/>
      </c>
      <c r="AG824">
        <f ca="1"/>
      </c>
      <c r="AH824">
        <f ca="1"/>
      </c>
      <c r="AI824">
        <f ca="1"/>
      </c>
      <c r="AJ824">
        <f ca="1"/>
      </c>
      <c r="AK824">
        <f ca="1"/>
      </c>
      <c r="AL824">
        <f ca="1"/>
      </c>
      <c r="AM824">
        <f ca="1"/>
      </c>
      <c r="AN824">
        <f ca="1"/>
      </c>
      <c r="AO824">
        <f ca="1"/>
      </c>
      <c r="AP824">
        <f ca="1"/>
      </c>
      <c r="AQ824">
        <f ca="1"/>
      </c>
      <c r="AR824">
        <f ca="1"/>
      </c>
      <c r="AT824" s="7">
        <f ca="1"/>
      </c>
      <c r="AU824">
        <f ca="1"/>
      </c>
      <c r="AV824">
        <f ca="1"/>
      </c>
      <c r="AW824">
        <f ca="1"/>
      </c>
      <c r="AX824">
        <f ca="1"/>
      </c>
      <c r="AY824">
        <f ca="1"/>
      </c>
      <c r="BA824" s="7"/>
    </row>
    <row r="825" spans="31:53" x14ac:dyDescent="0.55000000000000004">
      <c r="AE825" s="7">
        <f ca="1"/>
      </c>
      <c r="AF825">
        <f ca="1"/>
      </c>
      <c r="AG825">
        <f ca="1"/>
      </c>
      <c r="AH825">
        <f ca="1"/>
      </c>
      <c r="AI825">
        <f ca="1"/>
      </c>
      <c r="AJ825">
        <f ca="1"/>
      </c>
      <c r="AK825">
        <f ca="1"/>
      </c>
      <c r="AL825">
        <f ca="1"/>
      </c>
      <c r="AM825">
        <f ca="1"/>
      </c>
      <c r="AN825">
        <f ca="1"/>
      </c>
      <c r="AO825">
        <f ca="1"/>
      </c>
      <c r="AP825">
        <f ca="1"/>
      </c>
      <c r="AQ825">
        <f ca="1"/>
      </c>
      <c r="AR825">
        <f ca="1"/>
      </c>
      <c r="AT825" s="7">
        <f ca="1"/>
      </c>
      <c r="AU825">
        <f ca="1"/>
      </c>
      <c r="AV825">
        <f ca="1"/>
      </c>
      <c r="AW825">
        <f ca="1"/>
      </c>
      <c r="AX825">
        <f ca="1"/>
      </c>
      <c r="AY825">
        <f ca="1"/>
      </c>
      <c r="BA825" s="7"/>
    </row>
    <row r="826" spans="31:53" x14ac:dyDescent="0.55000000000000004">
      <c r="AE826" s="7">
        <f ca="1"/>
      </c>
      <c r="AF826">
        <f ca="1"/>
      </c>
      <c r="AG826">
        <f ca="1"/>
      </c>
      <c r="AH826">
        <f ca="1"/>
      </c>
      <c r="AI826">
        <f ca="1"/>
      </c>
      <c r="AJ826">
        <f ca="1"/>
      </c>
      <c r="AK826">
        <f ca="1"/>
      </c>
      <c r="AL826">
        <f ca="1"/>
      </c>
      <c r="AM826">
        <f ca="1"/>
      </c>
      <c r="AN826">
        <f ca="1"/>
      </c>
      <c r="AO826">
        <f ca="1"/>
      </c>
      <c r="AP826">
        <f ca="1"/>
      </c>
      <c r="AQ826">
        <f ca="1"/>
      </c>
      <c r="AR826">
        <f ca="1"/>
      </c>
      <c r="AT826" s="7">
        <f ca="1"/>
      </c>
      <c r="AU826">
        <f ca="1"/>
      </c>
      <c r="AV826">
        <f ca="1"/>
      </c>
      <c r="AW826">
        <f ca="1"/>
      </c>
      <c r="AX826">
        <f ca="1"/>
      </c>
      <c r="AY826">
        <f ca="1"/>
      </c>
      <c r="BA826" s="7"/>
    </row>
    <row r="827" spans="31:53" x14ac:dyDescent="0.55000000000000004">
      <c r="AE827" s="7">
        <f ca="1"/>
      </c>
      <c r="AF827">
        <f ca="1"/>
      </c>
      <c r="AG827">
        <f ca="1"/>
      </c>
      <c r="AH827">
        <f ca="1"/>
      </c>
      <c r="AI827">
        <f ca="1"/>
      </c>
      <c r="AJ827">
        <f ca="1"/>
      </c>
      <c r="AK827">
        <f ca="1"/>
      </c>
      <c r="AL827">
        <f ca="1"/>
      </c>
      <c r="AM827">
        <f ca="1"/>
      </c>
      <c r="AN827">
        <f ca="1"/>
      </c>
      <c r="AO827">
        <f ca="1"/>
      </c>
      <c r="AP827">
        <f ca="1"/>
      </c>
      <c r="AQ827">
        <f ca="1"/>
      </c>
      <c r="AR827">
        <f ca="1"/>
      </c>
      <c r="AT827" s="7">
        <f ca="1"/>
      </c>
      <c r="AU827">
        <f ca="1"/>
      </c>
      <c r="AV827">
        <f ca="1"/>
      </c>
      <c r="AW827">
        <f ca="1"/>
      </c>
      <c r="AX827">
        <f ca="1"/>
      </c>
      <c r="AY827">
        <f ca="1"/>
      </c>
      <c r="BA827" s="7"/>
    </row>
    <row r="828" spans="31:53" x14ac:dyDescent="0.55000000000000004">
      <c r="AE828" s="7">
        <f ca="1"/>
      </c>
      <c r="AF828">
        <f ca="1"/>
      </c>
      <c r="AG828">
        <f ca="1"/>
      </c>
      <c r="AH828">
        <f ca="1"/>
      </c>
      <c r="AI828">
        <f ca="1"/>
      </c>
      <c r="AJ828">
        <f ca="1"/>
      </c>
      <c r="AK828">
        <f ca="1"/>
      </c>
      <c r="AL828">
        <f ca="1"/>
      </c>
      <c r="AM828">
        <f ca="1"/>
      </c>
      <c r="AN828">
        <f ca="1"/>
      </c>
      <c r="AO828">
        <f ca="1"/>
      </c>
      <c r="AP828">
        <f ca="1"/>
      </c>
      <c r="AQ828">
        <f ca="1"/>
      </c>
      <c r="AR828">
        <f ca="1"/>
      </c>
      <c r="AT828" s="7">
        <f ca="1"/>
      </c>
      <c r="AU828">
        <f ca="1"/>
      </c>
      <c r="AV828">
        <f ca="1"/>
      </c>
      <c r="AW828">
        <f ca="1"/>
      </c>
      <c r="AX828">
        <f ca="1"/>
      </c>
      <c r="AY828">
        <f ca="1"/>
      </c>
      <c r="BA828" s="7"/>
    </row>
    <row r="829" spans="31:53" x14ac:dyDescent="0.55000000000000004">
      <c r="AE829" s="7">
        <f ca="1"/>
      </c>
      <c r="AF829">
        <f ca="1"/>
      </c>
      <c r="AG829">
        <f ca="1"/>
      </c>
      <c r="AH829">
        <f ca="1"/>
      </c>
      <c r="AI829">
        <f ca="1"/>
      </c>
      <c r="AJ829">
        <f ca="1"/>
      </c>
      <c r="AK829">
        <f ca="1"/>
      </c>
      <c r="AL829">
        <f ca="1"/>
      </c>
      <c r="AM829">
        <f ca="1"/>
      </c>
      <c r="AN829">
        <f ca="1"/>
      </c>
      <c r="AO829">
        <f ca="1"/>
      </c>
      <c r="AP829">
        <f ca="1"/>
      </c>
      <c r="AQ829">
        <f ca="1"/>
      </c>
      <c r="AR829">
        <f ca="1"/>
      </c>
      <c r="AT829" s="7">
        <f ca="1"/>
      </c>
      <c r="AU829">
        <f ca="1"/>
      </c>
      <c r="AV829">
        <f ca="1"/>
      </c>
      <c r="AW829">
        <f ca="1"/>
      </c>
      <c r="AX829">
        <f ca="1"/>
      </c>
      <c r="AY829">
        <f ca="1"/>
      </c>
      <c r="BA829" s="7"/>
    </row>
    <row r="830" spans="31:53" x14ac:dyDescent="0.55000000000000004">
      <c r="AE830" s="7">
        <f ca="1"/>
      </c>
      <c r="AF830">
        <f ca="1"/>
      </c>
      <c r="AG830">
        <f ca="1"/>
      </c>
      <c r="AH830">
        <f ca="1"/>
      </c>
      <c r="AI830">
        <f ca="1"/>
      </c>
      <c r="AJ830">
        <f ca="1"/>
      </c>
      <c r="AK830">
        <f ca="1"/>
      </c>
      <c r="AL830">
        <f ca="1"/>
      </c>
      <c r="AM830">
        <f ca="1"/>
      </c>
      <c r="AN830">
        <f ca="1"/>
      </c>
      <c r="AO830">
        <f ca="1"/>
      </c>
      <c r="AP830">
        <f ca="1"/>
      </c>
      <c r="AQ830">
        <f ca="1"/>
      </c>
      <c r="AR830">
        <f ca="1"/>
      </c>
      <c r="AT830" s="7">
        <f ca="1"/>
      </c>
      <c r="AU830">
        <f ca="1"/>
      </c>
      <c r="AV830">
        <f ca="1"/>
      </c>
      <c r="AW830">
        <f ca="1"/>
      </c>
      <c r="AX830">
        <f ca="1"/>
      </c>
      <c r="AY830">
        <f ca="1"/>
      </c>
      <c r="BA830" s="7"/>
    </row>
    <row r="831" spans="31:53" x14ac:dyDescent="0.55000000000000004">
      <c r="AE831" s="7">
        <f ca="1"/>
      </c>
      <c r="AF831">
        <f ca="1"/>
      </c>
      <c r="AG831">
        <f ca="1"/>
      </c>
      <c r="AH831">
        <f ca="1"/>
      </c>
      <c r="AI831">
        <f ca="1"/>
      </c>
      <c r="AJ831">
        <f ca="1"/>
      </c>
      <c r="AK831">
        <f ca="1"/>
      </c>
      <c r="AL831">
        <f ca="1"/>
      </c>
      <c r="AM831">
        <f ca="1"/>
      </c>
      <c r="AN831">
        <f ca="1"/>
      </c>
      <c r="AO831">
        <f ca="1"/>
      </c>
      <c r="AP831">
        <f ca="1"/>
      </c>
      <c r="AQ831">
        <f ca="1"/>
      </c>
      <c r="AR831">
        <f ca="1"/>
      </c>
      <c r="AT831" s="7">
        <f ca="1"/>
      </c>
      <c r="AU831">
        <f ca="1"/>
      </c>
      <c r="AV831">
        <f ca="1"/>
      </c>
      <c r="AW831">
        <f ca="1"/>
      </c>
      <c r="AX831">
        <f ca="1"/>
      </c>
      <c r="AY831">
        <f ca="1"/>
      </c>
      <c r="BA831" s="7"/>
    </row>
    <row r="832" spans="31:53" x14ac:dyDescent="0.55000000000000004">
      <c r="AE832" s="7">
        <f ca="1"/>
      </c>
      <c r="AF832">
        <f ca="1"/>
      </c>
      <c r="AG832">
        <f ca="1"/>
      </c>
      <c r="AH832">
        <f ca="1"/>
      </c>
      <c r="AI832">
        <f ca="1"/>
      </c>
      <c r="AJ832">
        <f ca="1"/>
      </c>
      <c r="AK832">
        <f ca="1"/>
      </c>
      <c r="AL832">
        <f ca="1"/>
      </c>
      <c r="AM832">
        <f ca="1"/>
      </c>
      <c r="AN832">
        <f ca="1"/>
      </c>
      <c r="AO832">
        <f ca="1"/>
      </c>
      <c r="AP832">
        <f ca="1"/>
      </c>
      <c r="AQ832">
        <f ca="1"/>
      </c>
      <c r="AR832">
        <f ca="1"/>
      </c>
      <c r="AT832" s="7">
        <f ca="1"/>
      </c>
      <c r="AU832">
        <f ca="1"/>
      </c>
      <c r="AV832">
        <f ca="1"/>
      </c>
      <c r="AW832">
        <f ca="1"/>
      </c>
      <c r="AX832">
        <f ca="1"/>
      </c>
      <c r="AY832">
        <f ca="1"/>
      </c>
      <c r="BA832" s="7"/>
    </row>
    <row r="833" spans="31:53" x14ac:dyDescent="0.55000000000000004">
      <c r="AE833" s="7">
        <f ca="1"/>
      </c>
      <c r="AF833">
        <f ca="1"/>
      </c>
      <c r="AG833">
        <f ca="1"/>
      </c>
      <c r="AH833">
        <f ca="1"/>
      </c>
      <c r="AI833">
        <f ca="1"/>
      </c>
      <c r="AJ833">
        <f ca="1"/>
      </c>
      <c r="AK833">
        <f ca="1"/>
      </c>
      <c r="AL833">
        <f ca="1"/>
      </c>
      <c r="AM833">
        <f ca="1"/>
      </c>
      <c r="AN833">
        <f ca="1"/>
      </c>
      <c r="AO833">
        <f ca="1"/>
      </c>
      <c r="AP833">
        <f ca="1"/>
      </c>
      <c r="AQ833">
        <f ca="1"/>
      </c>
      <c r="AR833">
        <f ca="1"/>
      </c>
      <c r="AT833" s="7">
        <f ca="1"/>
      </c>
      <c r="AU833">
        <f ca="1"/>
      </c>
      <c r="AV833">
        <f ca="1"/>
      </c>
      <c r="AW833">
        <f ca="1"/>
      </c>
      <c r="AX833">
        <f ca="1"/>
      </c>
      <c r="AY833">
        <f ca="1"/>
      </c>
      <c r="BA833" s="7"/>
    </row>
    <row r="834" spans="31:53" x14ac:dyDescent="0.55000000000000004">
      <c r="AE834" s="7">
        <f ca="1"/>
      </c>
      <c r="AF834">
        <f ca="1"/>
      </c>
      <c r="AG834">
        <f ca="1"/>
      </c>
      <c r="AH834">
        <f ca="1"/>
      </c>
      <c r="AI834">
        <f ca="1"/>
      </c>
      <c r="AJ834">
        <f ca="1"/>
      </c>
      <c r="AK834">
        <f ca="1"/>
      </c>
      <c r="AL834">
        <f ca="1"/>
      </c>
      <c r="AM834">
        <f ca="1"/>
      </c>
      <c r="AN834">
        <f ca="1"/>
      </c>
      <c r="AO834">
        <f ca="1"/>
      </c>
      <c r="AP834">
        <f ca="1"/>
      </c>
      <c r="AQ834">
        <f ca="1"/>
      </c>
      <c r="AR834">
        <f ca="1"/>
      </c>
      <c r="AT834" s="7">
        <f ca="1"/>
      </c>
      <c r="AU834">
        <f ca="1"/>
      </c>
      <c r="AV834">
        <f ca="1"/>
      </c>
      <c r="AW834">
        <f ca="1"/>
      </c>
      <c r="AX834">
        <f ca="1"/>
      </c>
      <c r="AY834">
        <f ca="1"/>
      </c>
      <c r="BA834" s="7"/>
    </row>
    <row r="835" spans="31:53" x14ac:dyDescent="0.55000000000000004">
      <c r="AE835" s="7">
        <f ca="1"/>
      </c>
      <c r="AF835">
        <f ca="1"/>
      </c>
      <c r="AG835">
        <f ca="1"/>
      </c>
      <c r="AH835">
        <f ca="1"/>
      </c>
      <c r="AI835">
        <f ca="1"/>
      </c>
      <c r="AJ835">
        <f ca="1"/>
      </c>
      <c r="AK835">
        <f ca="1"/>
      </c>
      <c r="AL835">
        <f ca="1"/>
      </c>
      <c r="AM835">
        <f ca="1"/>
      </c>
      <c r="AN835">
        <f ca="1"/>
      </c>
      <c r="AO835">
        <f ca="1"/>
      </c>
      <c r="AP835">
        <f ca="1"/>
      </c>
      <c r="AQ835">
        <f ca="1"/>
      </c>
      <c r="AR835">
        <f ca="1"/>
      </c>
      <c r="AT835" s="7">
        <f ca="1"/>
      </c>
      <c r="AU835">
        <f ca="1"/>
      </c>
      <c r="AV835">
        <f ca="1"/>
      </c>
      <c r="AW835">
        <f ca="1"/>
      </c>
      <c r="AX835">
        <f ca="1"/>
      </c>
      <c r="AY835">
        <f ca="1"/>
      </c>
      <c r="BA835" s="7"/>
    </row>
    <row r="836" spans="31:53" x14ac:dyDescent="0.55000000000000004">
      <c r="AE836" s="7">
        <f ca="1"/>
      </c>
      <c r="AF836">
        <f ca="1"/>
      </c>
      <c r="AG836">
        <f ca="1"/>
      </c>
      <c r="AH836">
        <f ca="1"/>
      </c>
      <c r="AI836">
        <f ca="1"/>
      </c>
      <c r="AJ836">
        <f ca="1"/>
      </c>
      <c r="AK836">
        <f ca="1"/>
      </c>
      <c r="AL836">
        <f ca="1"/>
      </c>
      <c r="AM836">
        <f ca="1"/>
      </c>
      <c r="AN836">
        <f ca="1"/>
      </c>
      <c r="AO836">
        <f ca="1"/>
      </c>
      <c r="AP836">
        <f ca="1"/>
      </c>
      <c r="AQ836">
        <f ca="1"/>
      </c>
      <c r="AR836">
        <f ca="1"/>
      </c>
      <c r="AT836" s="7">
        <f ca="1"/>
      </c>
      <c r="AU836">
        <f ca="1"/>
      </c>
      <c r="AV836">
        <f ca="1"/>
      </c>
      <c r="AW836">
        <f ca="1"/>
      </c>
      <c r="AX836">
        <f ca="1"/>
      </c>
      <c r="AY836">
        <f ca="1"/>
      </c>
      <c r="BA836" s="7"/>
    </row>
    <row r="837" spans="31:53" x14ac:dyDescent="0.55000000000000004">
      <c r="AE837" s="7">
        <f ca="1"/>
      </c>
      <c r="AF837">
        <f ca="1"/>
      </c>
      <c r="AG837">
        <f ca="1"/>
      </c>
      <c r="AH837">
        <f ca="1"/>
      </c>
      <c r="AI837">
        <f ca="1"/>
      </c>
      <c r="AJ837">
        <f ca="1"/>
      </c>
      <c r="AK837">
        <f ca="1"/>
      </c>
      <c r="AL837">
        <f ca="1"/>
      </c>
      <c r="AM837">
        <f ca="1"/>
      </c>
      <c r="AN837">
        <f ca="1"/>
      </c>
      <c r="AO837">
        <f ca="1"/>
      </c>
      <c r="AP837">
        <f ca="1"/>
      </c>
      <c r="AQ837">
        <f ca="1"/>
      </c>
      <c r="AR837">
        <f ca="1"/>
      </c>
      <c r="AT837" s="7">
        <f ca="1"/>
      </c>
      <c r="AU837">
        <f ca="1"/>
      </c>
      <c r="AV837">
        <f ca="1"/>
      </c>
      <c r="AW837">
        <f ca="1"/>
      </c>
      <c r="AX837">
        <f ca="1"/>
      </c>
      <c r="AY837">
        <f ca="1"/>
      </c>
      <c r="BA837" s="7"/>
    </row>
    <row r="838" spans="31:53" x14ac:dyDescent="0.55000000000000004">
      <c r="AE838" s="7">
        <f ca="1"/>
      </c>
      <c r="AF838">
        <f ca="1"/>
      </c>
      <c r="AG838">
        <f ca="1"/>
      </c>
      <c r="AH838">
        <f ca="1"/>
      </c>
      <c r="AI838">
        <f ca="1"/>
      </c>
      <c r="AJ838">
        <f ca="1"/>
      </c>
      <c r="AK838">
        <f ca="1"/>
      </c>
      <c r="AL838">
        <f ca="1"/>
      </c>
      <c r="AM838">
        <f ca="1"/>
      </c>
      <c r="AN838">
        <f ca="1"/>
      </c>
      <c r="AO838">
        <f ca="1"/>
      </c>
      <c r="AP838">
        <f ca="1"/>
      </c>
      <c r="AQ838">
        <f ca="1"/>
      </c>
      <c r="AR838">
        <f ca="1"/>
      </c>
      <c r="AT838" s="7">
        <f ca="1"/>
      </c>
      <c r="AU838">
        <f ca="1"/>
      </c>
      <c r="AV838">
        <f ca="1"/>
      </c>
      <c r="AW838">
        <f ca="1"/>
      </c>
      <c r="AX838">
        <f ca="1"/>
      </c>
      <c r="AY838">
        <f ca="1"/>
      </c>
      <c r="BA838" s="7"/>
    </row>
    <row r="839" spans="31:53" x14ac:dyDescent="0.55000000000000004">
      <c r="AE839" s="7">
        <f ca="1"/>
      </c>
      <c r="AF839">
        <f ca="1"/>
      </c>
      <c r="AG839">
        <f ca="1"/>
      </c>
      <c r="AH839">
        <f ca="1"/>
      </c>
      <c r="AI839">
        <f ca="1"/>
      </c>
      <c r="AJ839">
        <f ca="1"/>
      </c>
      <c r="AK839">
        <f ca="1"/>
      </c>
      <c r="AL839">
        <f ca="1"/>
      </c>
      <c r="AM839">
        <f ca="1"/>
      </c>
      <c r="AN839">
        <f ca="1"/>
      </c>
      <c r="AO839">
        <f ca="1"/>
      </c>
      <c r="AP839">
        <f ca="1"/>
      </c>
      <c r="AQ839">
        <f ca="1"/>
      </c>
      <c r="AR839">
        <f ca="1"/>
      </c>
      <c r="AT839" s="7">
        <f ca="1"/>
      </c>
      <c r="AU839">
        <f ca="1"/>
      </c>
      <c r="AV839">
        <f ca="1"/>
      </c>
      <c r="AW839">
        <f ca="1"/>
      </c>
      <c r="AX839">
        <f ca="1"/>
      </c>
      <c r="AY839">
        <f ca="1"/>
      </c>
      <c r="BA839" s="7"/>
    </row>
    <row r="840" spans="31:53" x14ac:dyDescent="0.55000000000000004">
      <c r="AE840" s="7">
        <f ca="1"/>
      </c>
      <c r="AF840">
        <f ca="1"/>
      </c>
      <c r="AG840">
        <f ca="1"/>
      </c>
      <c r="AH840">
        <f ca="1"/>
      </c>
      <c r="AI840">
        <f ca="1"/>
      </c>
      <c r="AJ840">
        <f ca="1"/>
      </c>
      <c r="AK840">
        <f ca="1"/>
      </c>
      <c r="AL840">
        <f ca="1"/>
      </c>
      <c r="AM840">
        <f ca="1"/>
      </c>
      <c r="AN840">
        <f ca="1"/>
      </c>
      <c r="AO840">
        <f ca="1"/>
      </c>
      <c r="AP840">
        <f ca="1"/>
      </c>
      <c r="AQ840">
        <f ca="1"/>
      </c>
      <c r="AR840">
        <f ca="1"/>
      </c>
      <c r="AT840" s="7">
        <f ca="1"/>
      </c>
      <c r="AU840">
        <f ca="1"/>
      </c>
      <c r="AV840">
        <f ca="1"/>
      </c>
      <c r="AW840">
        <f ca="1"/>
      </c>
      <c r="AX840">
        <f ca="1"/>
      </c>
      <c r="AY840">
        <f ca="1"/>
      </c>
      <c r="BA840" s="7"/>
    </row>
    <row r="841" spans="31:53" x14ac:dyDescent="0.55000000000000004">
      <c r="AE841" s="7">
        <f ca="1"/>
      </c>
      <c r="AF841">
        <f ca="1"/>
      </c>
      <c r="AG841">
        <f ca="1"/>
      </c>
      <c r="AH841">
        <f ca="1"/>
      </c>
      <c r="AI841">
        <f ca="1"/>
      </c>
      <c r="AJ841">
        <f ca="1"/>
      </c>
      <c r="AK841">
        <f ca="1"/>
      </c>
      <c r="AL841">
        <f ca="1"/>
      </c>
      <c r="AM841">
        <f ca="1"/>
      </c>
      <c r="AN841">
        <f ca="1"/>
      </c>
      <c r="AO841">
        <f ca="1"/>
      </c>
      <c r="AP841">
        <f ca="1"/>
      </c>
      <c r="AQ841">
        <f ca="1"/>
      </c>
      <c r="AR841">
        <f ca="1"/>
      </c>
      <c r="AT841" s="7">
        <f ca="1"/>
      </c>
      <c r="AU841">
        <f ca="1"/>
      </c>
      <c r="AV841">
        <f ca="1"/>
      </c>
      <c r="AW841">
        <f ca="1"/>
      </c>
      <c r="AX841">
        <f ca="1"/>
      </c>
      <c r="AY841">
        <f ca="1"/>
      </c>
      <c r="BA841" s="7"/>
    </row>
    <row r="842" spans="31:53" x14ac:dyDescent="0.55000000000000004">
      <c r="AE842" s="7">
        <f ca="1"/>
      </c>
      <c r="AF842">
        <f ca="1"/>
      </c>
      <c r="AG842">
        <f ca="1"/>
      </c>
      <c r="AH842">
        <f ca="1"/>
      </c>
      <c r="AI842">
        <f ca="1"/>
      </c>
      <c r="AJ842">
        <f ca="1"/>
      </c>
      <c r="AK842">
        <f ca="1"/>
      </c>
      <c r="AL842">
        <f ca="1"/>
      </c>
      <c r="AM842">
        <f ca="1"/>
      </c>
      <c r="AN842">
        <f ca="1"/>
      </c>
      <c r="AO842">
        <f ca="1"/>
      </c>
      <c r="AP842">
        <f ca="1"/>
      </c>
      <c r="AQ842">
        <f ca="1"/>
      </c>
      <c r="AR842">
        <f ca="1"/>
      </c>
      <c r="AT842" s="7">
        <f ca="1"/>
      </c>
      <c r="AU842">
        <f ca="1"/>
      </c>
      <c r="AV842">
        <f ca="1"/>
      </c>
      <c r="AW842">
        <f ca="1"/>
      </c>
      <c r="AX842">
        <f ca="1"/>
      </c>
      <c r="AY842">
        <f ca="1"/>
      </c>
      <c r="BA842" s="7"/>
    </row>
    <row r="843" spans="31:53" x14ac:dyDescent="0.55000000000000004">
      <c r="AE843" s="7">
        <f ca="1"/>
      </c>
      <c r="AF843">
        <f ca="1"/>
      </c>
      <c r="AG843">
        <f ca="1"/>
      </c>
      <c r="AH843">
        <f ca="1"/>
      </c>
      <c r="AI843">
        <f ca="1"/>
      </c>
      <c r="AJ843">
        <f ca="1"/>
      </c>
      <c r="AK843">
        <f ca="1"/>
      </c>
      <c r="AL843">
        <f ca="1"/>
      </c>
      <c r="AM843">
        <f ca="1"/>
      </c>
      <c r="AN843">
        <f ca="1"/>
      </c>
      <c r="AO843">
        <f ca="1"/>
      </c>
      <c r="AP843">
        <f ca="1"/>
      </c>
      <c r="AQ843">
        <f ca="1"/>
      </c>
      <c r="AR843">
        <f ca="1"/>
      </c>
      <c r="AT843" s="7">
        <f ca="1"/>
      </c>
      <c r="AU843">
        <f ca="1"/>
      </c>
      <c r="AV843">
        <f ca="1"/>
      </c>
      <c r="AW843">
        <f ca="1"/>
      </c>
      <c r="AX843">
        <f ca="1"/>
      </c>
      <c r="AY843">
        <f ca="1"/>
      </c>
      <c r="BA843" s="7"/>
    </row>
    <row r="844" spans="31:53" x14ac:dyDescent="0.55000000000000004">
      <c r="AE844" s="7">
        <f ca="1"/>
      </c>
      <c r="AF844">
        <f ca="1"/>
      </c>
      <c r="AG844">
        <f ca="1"/>
      </c>
      <c r="AH844">
        <f ca="1"/>
      </c>
      <c r="AI844">
        <f ca="1"/>
      </c>
      <c r="AJ844">
        <f ca="1"/>
      </c>
      <c r="AK844">
        <f ca="1"/>
      </c>
      <c r="AL844">
        <f ca="1"/>
      </c>
      <c r="AM844">
        <f ca="1"/>
      </c>
      <c r="AN844">
        <f ca="1"/>
      </c>
      <c r="AO844">
        <f ca="1"/>
      </c>
      <c r="AP844">
        <f ca="1"/>
      </c>
      <c r="AQ844">
        <f ca="1"/>
      </c>
      <c r="AR844">
        <f ca="1"/>
      </c>
      <c r="AT844" s="7">
        <f ca="1"/>
      </c>
      <c r="AU844">
        <f ca="1"/>
      </c>
      <c r="AV844">
        <f ca="1"/>
      </c>
      <c r="AW844">
        <f ca="1"/>
      </c>
      <c r="AX844">
        <f ca="1"/>
      </c>
      <c r="AY844">
        <f ca="1"/>
      </c>
      <c r="BA844" s="7"/>
    </row>
    <row r="845" spans="31:53" x14ac:dyDescent="0.55000000000000004">
      <c r="AE845" s="7">
        <f ca="1"/>
      </c>
      <c r="AF845">
        <f ca="1"/>
      </c>
      <c r="AG845">
        <f ca="1"/>
      </c>
      <c r="AH845">
        <f ca="1"/>
      </c>
      <c r="AI845">
        <f ca="1"/>
      </c>
      <c r="AJ845">
        <f ca="1"/>
      </c>
      <c r="AK845">
        <f ca="1"/>
      </c>
      <c r="AL845">
        <f ca="1"/>
      </c>
      <c r="AM845">
        <f ca="1"/>
      </c>
      <c r="AN845">
        <f ca="1"/>
      </c>
      <c r="AO845">
        <f ca="1"/>
      </c>
      <c r="AP845">
        <f ca="1"/>
      </c>
      <c r="AQ845">
        <f ca="1"/>
      </c>
      <c r="AR845">
        <f ca="1"/>
      </c>
      <c r="AT845" s="7">
        <f ca="1"/>
      </c>
      <c r="AU845">
        <f ca="1"/>
      </c>
      <c r="AV845">
        <f ca="1"/>
      </c>
      <c r="AW845">
        <f ca="1"/>
      </c>
      <c r="AX845">
        <f ca="1"/>
      </c>
      <c r="AY845">
        <f ca="1"/>
      </c>
      <c r="BA845" s="7"/>
    </row>
    <row r="846" spans="31:53" x14ac:dyDescent="0.55000000000000004">
      <c r="AE846" s="7">
        <f ca="1"/>
      </c>
      <c r="AF846">
        <f ca="1"/>
      </c>
      <c r="AG846">
        <f ca="1"/>
      </c>
      <c r="AH846">
        <f ca="1"/>
      </c>
      <c r="AI846">
        <f ca="1"/>
      </c>
      <c r="AJ846">
        <f ca="1"/>
      </c>
      <c r="AK846">
        <f ca="1"/>
      </c>
      <c r="AL846">
        <f ca="1"/>
      </c>
      <c r="AM846">
        <f ca="1"/>
      </c>
      <c r="AN846">
        <f ca="1"/>
      </c>
      <c r="AO846">
        <f ca="1"/>
      </c>
      <c r="AP846">
        <f ca="1"/>
      </c>
      <c r="AQ846">
        <f ca="1"/>
      </c>
      <c r="AR846">
        <f ca="1"/>
      </c>
      <c r="AT846" s="7">
        <f ca="1"/>
      </c>
      <c r="AU846">
        <f ca="1"/>
      </c>
      <c r="AV846">
        <f ca="1"/>
      </c>
      <c r="AW846">
        <f ca="1"/>
      </c>
      <c r="AX846">
        <f ca="1"/>
      </c>
      <c r="AY846">
        <f ca="1"/>
      </c>
      <c r="BA846" s="7"/>
    </row>
    <row r="847" spans="31:53" x14ac:dyDescent="0.55000000000000004">
      <c r="AE847" s="7">
        <f ca="1"/>
      </c>
      <c r="AF847">
        <f ca="1"/>
      </c>
      <c r="AG847">
        <f ca="1"/>
      </c>
      <c r="AH847">
        <f ca="1"/>
      </c>
      <c r="AI847">
        <f ca="1"/>
      </c>
      <c r="AJ847">
        <f ca="1"/>
      </c>
      <c r="AK847">
        <f ca="1"/>
      </c>
      <c r="AL847">
        <f ca="1"/>
      </c>
      <c r="AM847">
        <f ca="1"/>
      </c>
      <c r="AN847">
        <f ca="1"/>
      </c>
      <c r="AO847">
        <f ca="1"/>
      </c>
      <c r="AP847">
        <f ca="1"/>
      </c>
      <c r="AQ847">
        <f ca="1"/>
      </c>
      <c r="AR847">
        <f ca="1"/>
      </c>
      <c r="AT847" s="7">
        <f ca="1"/>
      </c>
      <c r="AU847">
        <f ca="1"/>
      </c>
      <c r="AV847">
        <f ca="1"/>
      </c>
      <c r="AW847">
        <f ca="1"/>
      </c>
      <c r="AX847">
        <f ca="1"/>
      </c>
      <c r="AY847">
        <f ca="1"/>
      </c>
      <c r="BA847" s="7"/>
    </row>
    <row r="848" spans="31:53" x14ac:dyDescent="0.55000000000000004">
      <c r="AE848" s="7">
        <f ca="1"/>
      </c>
      <c r="AF848">
        <f ca="1"/>
      </c>
      <c r="AG848">
        <f ca="1"/>
      </c>
      <c r="AH848">
        <f ca="1"/>
      </c>
      <c r="AI848">
        <f ca="1"/>
      </c>
      <c r="AJ848">
        <f ca="1"/>
      </c>
      <c r="AK848">
        <f ca="1"/>
      </c>
      <c r="AL848">
        <f ca="1"/>
      </c>
      <c r="AM848">
        <f ca="1"/>
      </c>
      <c r="AN848">
        <f ca="1"/>
      </c>
      <c r="AO848">
        <f ca="1"/>
      </c>
      <c r="AP848">
        <f ca="1"/>
      </c>
      <c r="AQ848">
        <f ca="1"/>
      </c>
      <c r="AR848">
        <f ca="1"/>
      </c>
      <c r="AT848" s="7">
        <f ca="1"/>
      </c>
      <c r="AU848">
        <f ca="1"/>
      </c>
      <c r="AV848">
        <f ca="1"/>
      </c>
      <c r="AW848">
        <f ca="1"/>
      </c>
      <c r="AX848">
        <f ca="1"/>
      </c>
      <c r="AY848">
        <f ca="1"/>
      </c>
      <c r="BA848" s="7"/>
    </row>
    <row r="849" spans="31:53" x14ac:dyDescent="0.55000000000000004">
      <c r="AE849" s="7">
        <f ca="1"/>
      </c>
      <c r="AF849">
        <f ca="1"/>
      </c>
      <c r="AG849">
        <f ca="1"/>
      </c>
      <c r="AH849">
        <f ca="1"/>
      </c>
      <c r="AI849">
        <f ca="1"/>
      </c>
      <c r="AJ849">
        <f ca="1"/>
      </c>
      <c r="AK849">
        <f ca="1"/>
      </c>
      <c r="AL849">
        <f ca="1"/>
      </c>
      <c r="AM849">
        <f ca="1"/>
      </c>
      <c r="AN849">
        <f ca="1"/>
      </c>
      <c r="AO849">
        <f ca="1"/>
      </c>
      <c r="AP849">
        <f ca="1"/>
      </c>
      <c r="AQ849">
        <f ca="1"/>
      </c>
      <c r="AR849">
        <f ca="1"/>
      </c>
      <c r="AT849" s="7">
        <f ca="1"/>
      </c>
      <c r="AU849">
        <f ca="1"/>
      </c>
      <c r="AV849">
        <f ca="1"/>
      </c>
      <c r="AW849">
        <f ca="1"/>
      </c>
      <c r="AX849">
        <f ca="1"/>
      </c>
      <c r="AY849">
        <f ca="1"/>
      </c>
      <c r="BA849" s="7"/>
    </row>
    <row r="850" spans="31:53" x14ac:dyDescent="0.55000000000000004">
      <c r="AE850" s="7">
        <f ca="1"/>
      </c>
      <c r="AF850">
        <f ca="1"/>
      </c>
      <c r="AG850">
        <f ca="1"/>
      </c>
      <c r="AH850">
        <f ca="1"/>
      </c>
      <c r="AI850">
        <f ca="1"/>
      </c>
      <c r="AJ850">
        <f ca="1"/>
      </c>
      <c r="AK850">
        <f ca="1"/>
      </c>
      <c r="AL850">
        <f ca="1"/>
      </c>
      <c r="AM850">
        <f ca="1"/>
      </c>
      <c r="AN850">
        <f ca="1"/>
      </c>
      <c r="AO850">
        <f ca="1"/>
      </c>
      <c r="AP850">
        <f ca="1"/>
      </c>
      <c r="AQ850">
        <f ca="1"/>
      </c>
      <c r="AR850">
        <f ca="1"/>
      </c>
      <c r="AT850" s="7">
        <f ca="1"/>
      </c>
      <c r="AU850">
        <f ca="1"/>
      </c>
      <c r="AV850">
        <f ca="1"/>
      </c>
      <c r="AW850">
        <f ca="1"/>
      </c>
      <c r="AX850">
        <f ca="1"/>
      </c>
      <c r="AY850">
        <f ca="1"/>
      </c>
      <c r="BA850" s="7"/>
    </row>
    <row r="851" spans="31:53" x14ac:dyDescent="0.55000000000000004">
      <c r="AE851" s="7">
        <f ca="1"/>
      </c>
      <c r="AF851">
        <f ca="1"/>
      </c>
      <c r="AG851">
        <f ca="1"/>
      </c>
      <c r="AH851">
        <f ca="1"/>
      </c>
      <c r="AI851">
        <f ca="1"/>
      </c>
      <c r="AJ851">
        <f ca="1"/>
      </c>
      <c r="AK851">
        <f ca="1"/>
      </c>
      <c r="AL851">
        <f ca="1"/>
      </c>
      <c r="AM851">
        <f ca="1"/>
      </c>
      <c r="AN851">
        <f ca="1"/>
      </c>
      <c r="AO851">
        <f ca="1"/>
      </c>
      <c r="AP851">
        <f ca="1"/>
      </c>
      <c r="AQ851">
        <f ca="1"/>
      </c>
      <c r="AR851">
        <f ca="1"/>
      </c>
      <c r="AT851" s="7">
        <f ca="1"/>
      </c>
      <c r="AU851">
        <f ca="1"/>
      </c>
      <c r="AV851">
        <f ca="1"/>
      </c>
      <c r="AW851">
        <f ca="1"/>
      </c>
      <c r="AX851">
        <f ca="1"/>
      </c>
      <c r="AY851">
        <f ca="1"/>
      </c>
      <c r="BA851" s="7"/>
    </row>
    <row r="852" spans="31:53" x14ac:dyDescent="0.55000000000000004">
      <c r="AE852" s="7">
        <f ca="1"/>
      </c>
      <c r="AF852">
        <f ca="1"/>
      </c>
      <c r="AG852">
        <f ca="1"/>
      </c>
      <c r="AH852">
        <f ca="1"/>
      </c>
      <c r="AI852">
        <f ca="1"/>
      </c>
      <c r="AJ852">
        <f ca="1"/>
      </c>
      <c r="AK852">
        <f ca="1"/>
      </c>
      <c r="AL852">
        <f ca="1"/>
      </c>
      <c r="AM852">
        <f ca="1"/>
      </c>
      <c r="AN852">
        <f ca="1"/>
      </c>
      <c r="AO852">
        <f ca="1"/>
      </c>
      <c r="AP852">
        <f ca="1"/>
      </c>
      <c r="AQ852">
        <f ca="1"/>
      </c>
      <c r="AR852">
        <f ca="1"/>
      </c>
      <c r="AT852" s="7">
        <f ca="1"/>
      </c>
      <c r="AU852">
        <f ca="1"/>
      </c>
      <c r="AV852">
        <f ca="1"/>
      </c>
      <c r="AW852">
        <f ca="1"/>
      </c>
      <c r="AX852">
        <f ca="1"/>
      </c>
      <c r="AY852">
        <f ca="1"/>
      </c>
      <c r="BA852" s="7"/>
    </row>
    <row r="853" spans="31:53" x14ac:dyDescent="0.55000000000000004">
      <c r="AE853" s="7">
        <f ca="1"/>
      </c>
      <c r="AF853">
        <f ca="1"/>
      </c>
      <c r="AG853">
        <f ca="1"/>
      </c>
      <c r="AH853">
        <f ca="1"/>
      </c>
      <c r="AI853">
        <f ca="1"/>
      </c>
      <c r="AJ853">
        <f ca="1"/>
      </c>
      <c r="AK853">
        <f ca="1"/>
      </c>
      <c r="AL853">
        <f ca="1"/>
      </c>
      <c r="AM853">
        <f ca="1"/>
      </c>
      <c r="AN853">
        <f ca="1"/>
      </c>
      <c r="AO853">
        <f ca="1"/>
      </c>
      <c r="AP853">
        <f ca="1"/>
      </c>
      <c r="AQ853">
        <f ca="1"/>
      </c>
      <c r="AR853">
        <f ca="1"/>
      </c>
      <c r="AT853" s="7">
        <f ca="1"/>
      </c>
      <c r="AU853">
        <f ca="1"/>
      </c>
      <c r="AV853">
        <f ca="1"/>
      </c>
      <c r="AW853">
        <f ca="1"/>
      </c>
      <c r="AX853">
        <f ca="1"/>
      </c>
      <c r="AY853">
        <f ca="1"/>
      </c>
      <c r="BA853" s="7"/>
    </row>
    <row r="854" spans="31:53" x14ac:dyDescent="0.55000000000000004">
      <c r="AE854" s="7">
        <f ca="1"/>
      </c>
      <c r="AF854">
        <f ca="1"/>
      </c>
      <c r="AG854">
        <f ca="1"/>
      </c>
      <c r="AH854">
        <f ca="1"/>
      </c>
      <c r="AI854">
        <f ca="1"/>
      </c>
      <c r="AJ854">
        <f ca="1"/>
      </c>
      <c r="AK854">
        <f ca="1"/>
      </c>
      <c r="AL854">
        <f ca="1"/>
      </c>
      <c r="AM854">
        <f ca="1"/>
      </c>
      <c r="AN854">
        <f ca="1"/>
      </c>
      <c r="AO854">
        <f ca="1"/>
      </c>
      <c r="AP854">
        <f ca="1"/>
      </c>
      <c r="AQ854">
        <f ca="1"/>
      </c>
      <c r="AR854">
        <f ca="1"/>
      </c>
      <c r="AT854" s="7">
        <f ca="1"/>
      </c>
      <c r="AU854">
        <f ca="1"/>
      </c>
      <c r="AV854">
        <f ca="1"/>
      </c>
      <c r="AW854">
        <f ca="1"/>
      </c>
      <c r="AX854">
        <f ca="1"/>
      </c>
      <c r="AY854">
        <f ca="1"/>
      </c>
      <c r="BA854" s="7"/>
    </row>
    <row r="855" spans="31:53" x14ac:dyDescent="0.55000000000000004">
      <c r="AE855" s="7">
        <f ca="1"/>
      </c>
      <c r="AF855">
        <f ca="1"/>
      </c>
      <c r="AG855">
        <f ca="1"/>
      </c>
      <c r="AH855">
        <f ca="1"/>
      </c>
      <c r="AI855">
        <f ca="1"/>
      </c>
      <c r="AJ855">
        <f ca="1"/>
      </c>
      <c r="AK855">
        <f ca="1"/>
      </c>
      <c r="AL855">
        <f ca="1"/>
      </c>
      <c r="AM855">
        <f ca="1"/>
      </c>
      <c r="AN855">
        <f ca="1"/>
      </c>
      <c r="AO855">
        <f ca="1"/>
      </c>
      <c r="AP855">
        <f ca="1"/>
      </c>
      <c r="AQ855">
        <f ca="1"/>
      </c>
      <c r="AR855">
        <f ca="1"/>
      </c>
      <c r="AT855" s="7">
        <f ca="1"/>
      </c>
      <c r="AU855">
        <f ca="1"/>
      </c>
      <c r="AV855">
        <f ca="1"/>
      </c>
      <c r="AW855">
        <f ca="1"/>
      </c>
      <c r="AX855">
        <f ca="1"/>
      </c>
      <c r="AY855">
        <f ca="1"/>
      </c>
      <c r="BA855" s="7"/>
    </row>
    <row r="856" spans="31:53" x14ac:dyDescent="0.55000000000000004">
      <c r="AE856" s="7">
        <f ca="1"/>
      </c>
      <c r="AF856">
        <f ca="1"/>
      </c>
      <c r="AG856">
        <f ca="1"/>
      </c>
      <c r="AH856">
        <f ca="1"/>
      </c>
      <c r="AI856">
        <f ca="1"/>
      </c>
      <c r="AJ856">
        <f ca="1"/>
      </c>
      <c r="AK856">
        <f ca="1"/>
      </c>
      <c r="AL856">
        <f ca="1"/>
      </c>
      <c r="AM856">
        <f ca="1"/>
      </c>
      <c r="AN856">
        <f ca="1"/>
      </c>
      <c r="AO856">
        <f ca="1"/>
      </c>
      <c r="AP856">
        <f ca="1"/>
      </c>
      <c r="AQ856">
        <f ca="1"/>
      </c>
      <c r="AR856">
        <f ca="1"/>
      </c>
      <c r="AT856" s="7">
        <f ca="1"/>
      </c>
      <c r="AU856">
        <f ca="1"/>
      </c>
      <c r="AV856">
        <f ca="1"/>
      </c>
      <c r="AW856">
        <f ca="1"/>
      </c>
      <c r="AX856">
        <f ca="1"/>
      </c>
      <c r="AY856">
        <f ca="1"/>
      </c>
      <c r="BA856" s="7"/>
    </row>
    <row r="857" spans="31:53" x14ac:dyDescent="0.55000000000000004">
      <c r="AE857" s="7">
        <f ca="1"/>
      </c>
      <c r="AF857">
        <f ca="1"/>
      </c>
      <c r="AG857">
        <f ca="1"/>
      </c>
      <c r="AH857">
        <f ca="1"/>
      </c>
      <c r="AI857">
        <f ca="1"/>
      </c>
      <c r="AJ857">
        <f ca="1"/>
      </c>
      <c r="AK857">
        <f ca="1"/>
      </c>
      <c r="AL857">
        <f ca="1"/>
      </c>
      <c r="AM857">
        <f ca="1"/>
      </c>
      <c r="AN857">
        <f ca="1"/>
      </c>
      <c r="AO857">
        <f ca="1"/>
      </c>
      <c r="AP857">
        <f ca="1"/>
      </c>
      <c r="AQ857">
        <f ca="1"/>
      </c>
      <c r="AR857">
        <f ca="1"/>
      </c>
      <c r="AT857" s="7">
        <f ca="1"/>
      </c>
      <c r="AU857">
        <f ca="1"/>
      </c>
      <c r="AV857">
        <f ca="1"/>
      </c>
      <c r="AW857">
        <f ca="1"/>
      </c>
      <c r="AX857">
        <f ca="1"/>
      </c>
      <c r="AY857">
        <f ca="1"/>
      </c>
      <c r="BA857" s="7"/>
    </row>
    <row r="858" spans="31:53" x14ac:dyDescent="0.55000000000000004">
      <c r="AE858" s="7">
        <f ca="1"/>
      </c>
      <c r="AF858">
        <f ca="1"/>
      </c>
      <c r="AG858">
        <f ca="1"/>
      </c>
      <c r="AH858">
        <f ca="1"/>
      </c>
      <c r="AI858">
        <f ca="1"/>
      </c>
      <c r="AJ858">
        <f ca="1"/>
      </c>
      <c r="AK858">
        <f ca="1"/>
      </c>
      <c r="AL858">
        <f ca="1"/>
      </c>
      <c r="AM858">
        <f ca="1"/>
      </c>
      <c r="AN858">
        <f ca="1"/>
      </c>
      <c r="AO858">
        <f ca="1"/>
      </c>
      <c r="AP858">
        <f ca="1"/>
      </c>
      <c r="AQ858">
        <f ca="1"/>
      </c>
      <c r="AR858">
        <f ca="1"/>
      </c>
      <c r="AT858" s="7">
        <f ca="1"/>
      </c>
      <c r="AU858">
        <f ca="1"/>
      </c>
      <c r="AV858">
        <f ca="1"/>
      </c>
      <c r="AW858">
        <f ca="1"/>
      </c>
      <c r="AX858">
        <f ca="1"/>
      </c>
      <c r="AY858">
        <f ca="1"/>
      </c>
      <c r="BA858" s="7"/>
    </row>
    <row r="859" spans="31:53" x14ac:dyDescent="0.55000000000000004">
      <c r="AE859" s="7">
        <f ca="1"/>
      </c>
      <c r="AF859">
        <f ca="1"/>
      </c>
      <c r="AG859">
        <f ca="1"/>
      </c>
      <c r="AH859">
        <f ca="1"/>
      </c>
      <c r="AI859">
        <f ca="1"/>
      </c>
      <c r="AJ859">
        <f ca="1"/>
      </c>
      <c r="AK859">
        <f ca="1"/>
      </c>
      <c r="AL859">
        <f ca="1"/>
      </c>
      <c r="AM859">
        <f ca="1"/>
      </c>
      <c r="AN859">
        <f ca="1"/>
      </c>
      <c r="AO859">
        <f ca="1"/>
      </c>
      <c r="AP859">
        <f ca="1"/>
      </c>
      <c r="AQ859">
        <f ca="1"/>
      </c>
      <c r="AR859">
        <f ca="1"/>
      </c>
      <c r="AT859" s="7">
        <f ca="1"/>
      </c>
      <c r="AU859">
        <f ca="1"/>
      </c>
      <c r="AV859">
        <f ca="1"/>
      </c>
      <c r="AW859">
        <f ca="1"/>
      </c>
      <c r="AX859">
        <f ca="1"/>
      </c>
      <c r="AY859">
        <f ca="1"/>
      </c>
      <c r="BA859" s="7"/>
    </row>
    <row r="860" spans="31:53" x14ac:dyDescent="0.55000000000000004">
      <c r="AE860" s="7">
        <f ca="1"/>
      </c>
      <c r="AF860">
        <f ca="1"/>
      </c>
      <c r="AG860">
        <f ca="1"/>
      </c>
      <c r="AH860">
        <f ca="1"/>
      </c>
      <c r="AI860">
        <f ca="1"/>
      </c>
      <c r="AJ860">
        <f ca="1"/>
      </c>
      <c r="AK860">
        <f ca="1"/>
      </c>
      <c r="AL860">
        <f ca="1"/>
      </c>
      <c r="AM860">
        <f ca="1"/>
      </c>
      <c r="AN860">
        <f ca="1"/>
      </c>
      <c r="AO860">
        <f ca="1"/>
      </c>
      <c r="AP860">
        <f ca="1"/>
      </c>
      <c r="AQ860">
        <f ca="1"/>
      </c>
      <c r="AR860">
        <f ca="1"/>
      </c>
      <c r="AT860" s="7">
        <f ca="1"/>
      </c>
      <c r="AU860">
        <f ca="1"/>
      </c>
      <c r="AV860">
        <f ca="1"/>
      </c>
      <c r="AW860">
        <f ca="1"/>
      </c>
      <c r="AX860">
        <f ca="1"/>
      </c>
      <c r="AY860">
        <f ca="1"/>
      </c>
      <c r="BA860" s="7"/>
    </row>
    <row r="861" spans="31:53" x14ac:dyDescent="0.55000000000000004">
      <c r="AE861" s="7">
        <f ca="1"/>
      </c>
      <c r="AF861">
        <f ca="1"/>
      </c>
      <c r="AG861">
        <f ca="1"/>
      </c>
      <c r="AH861">
        <f ca="1"/>
      </c>
      <c r="AI861">
        <f ca="1"/>
      </c>
      <c r="AJ861">
        <f ca="1"/>
      </c>
      <c r="AK861">
        <f ca="1"/>
      </c>
      <c r="AL861">
        <f ca="1"/>
      </c>
      <c r="AM861">
        <f ca="1"/>
      </c>
      <c r="AN861">
        <f ca="1"/>
      </c>
      <c r="AO861">
        <f ca="1"/>
      </c>
      <c r="AP861">
        <f ca="1"/>
      </c>
      <c r="AQ861">
        <f ca="1"/>
      </c>
      <c r="AR861">
        <f ca="1"/>
      </c>
      <c r="AT861" s="7">
        <f ca="1"/>
      </c>
      <c r="AU861">
        <f ca="1"/>
      </c>
      <c r="AV861">
        <f ca="1"/>
      </c>
      <c r="AW861">
        <f ca="1"/>
      </c>
      <c r="AX861">
        <f ca="1"/>
      </c>
      <c r="AY861">
        <f ca="1"/>
      </c>
      <c r="BA861" s="7"/>
    </row>
    <row r="862" spans="31:53" x14ac:dyDescent="0.55000000000000004">
      <c r="AE862" s="7">
        <f ca="1"/>
      </c>
      <c r="AF862">
        <f ca="1"/>
      </c>
      <c r="AG862">
        <f ca="1"/>
      </c>
      <c r="AH862">
        <f ca="1"/>
      </c>
      <c r="AI862">
        <f ca="1"/>
      </c>
      <c r="AJ862">
        <f ca="1"/>
      </c>
      <c r="AK862">
        <f ca="1"/>
      </c>
      <c r="AL862">
        <f ca="1"/>
      </c>
      <c r="AM862">
        <f ca="1"/>
      </c>
      <c r="AN862">
        <f ca="1"/>
      </c>
      <c r="AO862">
        <f ca="1"/>
      </c>
      <c r="AP862">
        <f ca="1"/>
      </c>
      <c r="AQ862">
        <f ca="1"/>
      </c>
      <c r="AR862">
        <f ca="1"/>
      </c>
      <c r="AT862" s="7">
        <f ca="1"/>
      </c>
      <c r="AU862">
        <f ca="1"/>
      </c>
      <c r="AV862">
        <f ca="1"/>
      </c>
      <c r="AW862">
        <f ca="1"/>
      </c>
      <c r="AX862">
        <f ca="1"/>
      </c>
      <c r="AY862">
        <f ca="1"/>
      </c>
      <c r="BA862" s="7"/>
    </row>
    <row r="863" spans="31:53" x14ac:dyDescent="0.55000000000000004">
      <c r="AE863" s="7">
        <f ca="1"/>
      </c>
      <c r="AF863">
        <f ca="1"/>
      </c>
      <c r="AG863">
        <f ca="1"/>
      </c>
      <c r="AH863">
        <f ca="1"/>
      </c>
      <c r="AI863">
        <f ca="1"/>
      </c>
      <c r="AJ863">
        <f ca="1"/>
      </c>
      <c r="AK863">
        <f ca="1"/>
      </c>
      <c r="AL863">
        <f ca="1"/>
      </c>
      <c r="AM863">
        <f ca="1"/>
      </c>
      <c r="AN863">
        <f ca="1"/>
      </c>
      <c r="AO863">
        <f ca="1"/>
      </c>
      <c r="AP863">
        <f ca="1"/>
      </c>
      <c r="AQ863">
        <f ca="1"/>
      </c>
      <c r="AR863">
        <f ca="1"/>
      </c>
      <c r="AT863" s="7">
        <f ca="1"/>
      </c>
      <c r="AU863">
        <f ca="1"/>
      </c>
      <c r="AV863">
        <f ca="1"/>
      </c>
      <c r="AW863">
        <f ca="1"/>
      </c>
      <c r="AX863">
        <f ca="1"/>
      </c>
      <c r="AY863">
        <f ca="1"/>
      </c>
      <c r="BA863" s="7"/>
    </row>
    <row r="864" spans="31:53" x14ac:dyDescent="0.55000000000000004">
      <c r="AE864" s="7">
        <f ca="1"/>
      </c>
      <c r="AF864">
        <f ca="1"/>
      </c>
      <c r="AG864">
        <f ca="1"/>
      </c>
      <c r="AH864">
        <f ca="1"/>
      </c>
      <c r="AI864">
        <f ca="1"/>
      </c>
      <c r="AJ864">
        <f ca="1"/>
      </c>
      <c r="AK864">
        <f ca="1"/>
      </c>
      <c r="AL864">
        <f ca="1"/>
      </c>
      <c r="AM864">
        <f ca="1"/>
      </c>
      <c r="AN864">
        <f ca="1"/>
      </c>
      <c r="AO864">
        <f ca="1"/>
      </c>
      <c r="AP864">
        <f ca="1"/>
      </c>
      <c r="AQ864">
        <f ca="1"/>
      </c>
      <c r="AR864">
        <f ca="1"/>
      </c>
      <c r="AT864" s="7">
        <f ca="1"/>
      </c>
      <c r="AU864">
        <f ca="1"/>
      </c>
      <c r="AV864">
        <f ca="1"/>
      </c>
      <c r="AW864">
        <f ca="1"/>
      </c>
      <c r="AX864">
        <f ca="1"/>
      </c>
      <c r="AY864">
        <f ca="1"/>
      </c>
      <c r="BA864" s="7"/>
    </row>
    <row r="865" spans="31:53" x14ac:dyDescent="0.55000000000000004">
      <c r="AE865" s="7">
        <f ca="1"/>
      </c>
      <c r="AF865">
        <f ca="1"/>
      </c>
      <c r="AG865">
        <f ca="1"/>
      </c>
      <c r="AH865">
        <f ca="1"/>
      </c>
      <c r="AI865">
        <f ca="1"/>
      </c>
      <c r="AJ865">
        <f ca="1"/>
      </c>
      <c r="AK865">
        <f ca="1"/>
      </c>
      <c r="AL865">
        <f ca="1"/>
      </c>
      <c r="AM865">
        <f ca="1"/>
      </c>
      <c r="AN865">
        <f ca="1"/>
      </c>
      <c r="AO865">
        <f ca="1"/>
      </c>
      <c r="AP865">
        <f ca="1"/>
      </c>
      <c r="AQ865">
        <f ca="1"/>
      </c>
      <c r="AR865">
        <f ca="1"/>
      </c>
      <c r="AT865" s="7">
        <f ca="1"/>
      </c>
      <c r="AU865">
        <f ca="1"/>
      </c>
      <c r="AV865">
        <f ca="1"/>
      </c>
      <c r="AW865">
        <f ca="1"/>
      </c>
      <c r="AX865">
        <f ca="1"/>
      </c>
      <c r="AY865">
        <f ca="1"/>
      </c>
      <c r="BA865" s="7"/>
    </row>
    <row r="866" spans="31:53" x14ac:dyDescent="0.55000000000000004">
      <c r="AE866" s="7">
        <f ca="1"/>
      </c>
      <c r="AF866">
        <f ca="1"/>
      </c>
      <c r="AG866">
        <f ca="1"/>
      </c>
      <c r="AH866">
        <f ca="1"/>
      </c>
      <c r="AI866">
        <f ca="1"/>
      </c>
      <c r="AJ866">
        <f ca="1"/>
      </c>
      <c r="AK866">
        <f ca="1"/>
      </c>
      <c r="AL866">
        <f ca="1"/>
      </c>
      <c r="AM866">
        <f ca="1"/>
      </c>
      <c r="AN866">
        <f ca="1"/>
      </c>
      <c r="AO866">
        <f ca="1"/>
      </c>
      <c r="AP866">
        <f ca="1"/>
      </c>
      <c r="AQ866">
        <f ca="1"/>
      </c>
      <c r="AR866">
        <f ca="1"/>
      </c>
      <c r="AT866" s="7">
        <f ca="1"/>
      </c>
      <c r="AU866">
        <f ca="1"/>
      </c>
      <c r="AV866">
        <f ca="1"/>
      </c>
      <c r="AW866">
        <f ca="1"/>
      </c>
      <c r="AX866">
        <f ca="1"/>
      </c>
      <c r="AY866">
        <f ca="1"/>
      </c>
      <c r="BA866" s="7"/>
    </row>
    <row r="867" spans="31:53" x14ac:dyDescent="0.55000000000000004">
      <c r="AE867" s="7">
        <f ca="1"/>
      </c>
      <c r="AF867">
        <f ca="1"/>
      </c>
      <c r="AG867">
        <f ca="1"/>
      </c>
      <c r="AH867">
        <f ca="1"/>
      </c>
      <c r="AI867">
        <f ca="1"/>
      </c>
      <c r="AJ867">
        <f ca="1"/>
      </c>
      <c r="AK867">
        <f ca="1"/>
      </c>
      <c r="AL867">
        <f ca="1"/>
      </c>
      <c r="AM867">
        <f ca="1"/>
      </c>
      <c r="AN867">
        <f ca="1"/>
      </c>
      <c r="AO867">
        <f ca="1"/>
      </c>
      <c r="AP867">
        <f ca="1"/>
      </c>
      <c r="AQ867">
        <f ca="1"/>
      </c>
      <c r="AR867">
        <f ca="1"/>
      </c>
      <c r="AT867" s="7">
        <f ca="1"/>
      </c>
      <c r="AU867">
        <f ca="1"/>
      </c>
      <c r="AV867">
        <f ca="1"/>
      </c>
      <c r="AW867">
        <f ca="1"/>
      </c>
      <c r="AX867">
        <f ca="1"/>
      </c>
      <c r="AY867">
        <f ca="1"/>
      </c>
      <c r="BA867" s="7"/>
    </row>
    <row r="868" spans="31:53" x14ac:dyDescent="0.55000000000000004">
      <c r="AE868" s="7">
        <f ca="1"/>
      </c>
      <c r="AF868">
        <f ca="1"/>
      </c>
      <c r="AG868">
        <f ca="1"/>
      </c>
      <c r="AH868">
        <f ca="1"/>
      </c>
      <c r="AI868">
        <f ca="1"/>
      </c>
      <c r="AJ868">
        <f ca="1"/>
      </c>
      <c r="AK868">
        <f ca="1"/>
      </c>
      <c r="AL868">
        <f ca="1"/>
      </c>
      <c r="AM868">
        <f ca="1"/>
      </c>
      <c r="AN868">
        <f ca="1"/>
      </c>
      <c r="AO868">
        <f ca="1"/>
      </c>
      <c r="AP868">
        <f ca="1"/>
      </c>
      <c r="AQ868">
        <f ca="1"/>
      </c>
      <c r="AR868">
        <f ca="1"/>
      </c>
      <c r="AT868" s="7">
        <f ca="1"/>
      </c>
      <c r="AU868">
        <f ca="1"/>
      </c>
      <c r="AV868">
        <f ca="1"/>
      </c>
      <c r="AW868">
        <f ca="1"/>
      </c>
      <c r="AX868">
        <f ca="1"/>
      </c>
      <c r="AY868">
        <f ca="1"/>
      </c>
      <c r="BA868" s="7"/>
    </row>
    <row r="869" spans="31:53" x14ac:dyDescent="0.55000000000000004">
      <c r="AE869" s="7">
        <f ca="1"/>
      </c>
      <c r="AF869">
        <f ca="1"/>
      </c>
      <c r="AG869">
        <f ca="1"/>
      </c>
      <c r="AH869">
        <f ca="1"/>
      </c>
      <c r="AI869">
        <f ca="1"/>
      </c>
      <c r="AJ869">
        <f ca="1"/>
      </c>
      <c r="AK869">
        <f ca="1"/>
      </c>
      <c r="AL869">
        <f ca="1"/>
      </c>
      <c r="AM869">
        <f ca="1"/>
      </c>
      <c r="AN869">
        <f ca="1"/>
      </c>
      <c r="AO869">
        <f ca="1"/>
      </c>
      <c r="AP869">
        <f ca="1"/>
      </c>
      <c r="AQ869">
        <f ca="1"/>
      </c>
      <c r="AR869">
        <f ca="1"/>
      </c>
      <c r="AT869" s="7">
        <f ca="1"/>
      </c>
      <c r="AU869">
        <f ca="1"/>
      </c>
      <c r="AV869">
        <f ca="1"/>
      </c>
      <c r="AW869">
        <f ca="1"/>
      </c>
      <c r="AX869">
        <f ca="1"/>
      </c>
      <c r="AY869">
        <f ca="1"/>
      </c>
      <c r="BA869" s="7"/>
    </row>
    <row r="870" spans="31:53" x14ac:dyDescent="0.55000000000000004">
      <c r="AE870" s="7">
        <f ca="1"/>
      </c>
      <c r="AF870">
        <f ca="1"/>
      </c>
      <c r="AG870">
        <f ca="1"/>
      </c>
      <c r="AH870">
        <f ca="1"/>
      </c>
      <c r="AI870">
        <f ca="1"/>
      </c>
      <c r="AJ870">
        <f ca="1"/>
      </c>
      <c r="AK870">
        <f ca="1"/>
      </c>
      <c r="AL870">
        <f ca="1"/>
      </c>
      <c r="AM870">
        <f ca="1"/>
      </c>
      <c r="AN870">
        <f ca="1"/>
      </c>
      <c r="AO870">
        <f ca="1"/>
      </c>
      <c r="AP870">
        <f ca="1"/>
      </c>
      <c r="AQ870">
        <f ca="1"/>
      </c>
      <c r="AR870">
        <f ca="1"/>
      </c>
      <c r="AT870" s="7">
        <f ca="1"/>
      </c>
      <c r="AU870">
        <f ca="1"/>
      </c>
      <c r="AV870">
        <f ca="1"/>
      </c>
      <c r="AW870">
        <f ca="1"/>
      </c>
      <c r="AX870">
        <f ca="1"/>
      </c>
      <c r="AY870">
        <f ca="1"/>
      </c>
      <c r="BA870" s="7"/>
    </row>
    <row r="871" spans="31:53" x14ac:dyDescent="0.55000000000000004">
      <c r="AE871" s="7">
        <f ca="1"/>
      </c>
      <c r="AF871">
        <f ca="1"/>
      </c>
      <c r="AG871">
        <f ca="1"/>
      </c>
      <c r="AH871">
        <f ca="1"/>
      </c>
      <c r="AI871">
        <f ca="1"/>
      </c>
      <c r="AJ871">
        <f ca="1"/>
      </c>
      <c r="AK871">
        <f ca="1"/>
      </c>
      <c r="AL871">
        <f ca="1"/>
      </c>
      <c r="AM871">
        <f ca="1"/>
      </c>
      <c r="AN871">
        <f ca="1"/>
      </c>
      <c r="AO871">
        <f ca="1"/>
      </c>
      <c r="AP871">
        <f ca="1"/>
      </c>
      <c r="AQ871">
        <f ca="1"/>
      </c>
      <c r="AR871">
        <f ca="1"/>
      </c>
      <c r="AT871" s="7">
        <f ca="1"/>
      </c>
      <c r="AU871">
        <f ca="1"/>
      </c>
      <c r="AV871">
        <f ca="1"/>
      </c>
      <c r="AW871">
        <f ca="1"/>
      </c>
      <c r="AX871">
        <f ca="1"/>
      </c>
      <c r="AY871">
        <f ca="1"/>
      </c>
      <c r="BA871" s="7"/>
    </row>
    <row r="872" spans="31:53" x14ac:dyDescent="0.55000000000000004">
      <c r="AE872" s="7">
        <f ca="1"/>
      </c>
      <c r="AF872">
        <f ca="1"/>
      </c>
      <c r="AG872">
        <f ca="1"/>
      </c>
      <c r="AH872">
        <f ca="1"/>
      </c>
      <c r="AI872">
        <f ca="1"/>
      </c>
      <c r="AJ872">
        <f ca="1"/>
      </c>
      <c r="AK872">
        <f ca="1"/>
      </c>
      <c r="AL872">
        <f ca="1"/>
      </c>
      <c r="AM872">
        <f ca="1"/>
      </c>
      <c r="AN872">
        <f ca="1"/>
      </c>
      <c r="AO872">
        <f ca="1"/>
      </c>
      <c r="AP872">
        <f ca="1"/>
      </c>
      <c r="AQ872">
        <f ca="1"/>
      </c>
      <c r="AR872">
        <f ca="1"/>
      </c>
      <c r="AT872" s="7">
        <f ca="1"/>
      </c>
      <c r="AU872">
        <f ca="1"/>
      </c>
      <c r="AV872">
        <f ca="1"/>
      </c>
      <c r="AW872">
        <f ca="1"/>
      </c>
      <c r="AX872">
        <f ca="1"/>
      </c>
      <c r="AY872">
        <f ca="1"/>
      </c>
      <c r="BA872" s="7"/>
    </row>
    <row r="873" spans="31:53" x14ac:dyDescent="0.55000000000000004">
      <c r="AE873" s="7">
        <f ca="1"/>
      </c>
      <c r="AF873">
        <f ca="1"/>
      </c>
      <c r="AG873">
        <f ca="1"/>
      </c>
      <c r="AH873">
        <f ca="1"/>
      </c>
      <c r="AI873">
        <f ca="1"/>
      </c>
      <c r="AJ873">
        <f ca="1"/>
      </c>
      <c r="AK873">
        <f ca="1"/>
      </c>
      <c r="AL873">
        <f ca="1"/>
      </c>
      <c r="AM873">
        <f ca="1"/>
      </c>
      <c r="AN873">
        <f ca="1"/>
      </c>
      <c r="AO873">
        <f ca="1"/>
      </c>
      <c r="AP873">
        <f ca="1"/>
      </c>
      <c r="AQ873">
        <f ca="1"/>
      </c>
      <c r="AR873">
        <f ca="1"/>
      </c>
      <c r="AT873" s="7">
        <f ca="1"/>
      </c>
      <c r="AU873">
        <f ca="1"/>
      </c>
      <c r="AV873">
        <f ca="1"/>
      </c>
      <c r="AW873">
        <f ca="1"/>
      </c>
      <c r="AX873">
        <f ca="1"/>
      </c>
      <c r="AY873">
        <f ca="1"/>
      </c>
      <c r="BA873" s="7"/>
    </row>
    <row r="874" spans="31:53" x14ac:dyDescent="0.55000000000000004">
      <c r="AE874" s="7">
        <f ca="1"/>
      </c>
      <c r="AF874">
        <f ca="1"/>
      </c>
      <c r="AG874">
        <f ca="1"/>
      </c>
      <c r="AH874">
        <f ca="1"/>
      </c>
      <c r="AI874">
        <f ca="1"/>
      </c>
      <c r="AJ874">
        <f ca="1"/>
      </c>
      <c r="AK874">
        <f ca="1"/>
      </c>
      <c r="AL874">
        <f ca="1"/>
      </c>
      <c r="AM874">
        <f ca="1"/>
      </c>
      <c r="AN874">
        <f ca="1"/>
      </c>
      <c r="AO874">
        <f ca="1"/>
      </c>
      <c r="AP874">
        <f ca="1"/>
      </c>
      <c r="AQ874">
        <f ca="1"/>
      </c>
      <c r="AR874">
        <f ca="1"/>
      </c>
      <c r="AT874" s="7">
        <f ca="1"/>
      </c>
      <c r="AU874">
        <f ca="1"/>
      </c>
      <c r="AV874">
        <f ca="1"/>
      </c>
      <c r="AW874">
        <f ca="1"/>
      </c>
      <c r="AX874">
        <f ca="1"/>
      </c>
      <c r="AY874">
        <f ca="1"/>
      </c>
      <c r="BA874" s="7"/>
    </row>
    <row r="875" spans="31:53" x14ac:dyDescent="0.55000000000000004">
      <c r="AE875" s="7">
        <f ca="1"/>
      </c>
      <c r="AF875">
        <f ca="1"/>
      </c>
      <c r="AG875">
        <f ca="1"/>
      </c>
      <c r="AH875">
        <f ca="1"/>
      </c>
      <c r="AI875">
        <f ca="1"/>
      </c>
      <c r="AJ875">
        <f ca="1"/>
      </c>
      <c r="AK875">
        <f ca="1"/>
      </c>
      <c r="AL875">
        <f ca="1"/>
      </c>
      <c r="AM875">
        <f ca="1"/>
      </c>
      <c r="AN875">
        <f ca="1"/>
      </c>
      <c r="AO875">
        <f ca="1"/>
      </c>
      <c r="AP875">
        <f ca="1"/>
      </c>
      <c r="AQ875">
        <f ca="1"/>
      </c>
      <c r="AR875">
        <f ca="1"/>
      </c>
      <c r="AT875" s="7">
        <f ca="1"/>
      </c>
      <c r="AU875">
        <f ca="1"/>
      </c>
      <c r="AV875">
        <f ca="1"/>
      </c>
      <c r="AW875">
        <f ca="1"/>
      </c>
      <c r="AX875">
        <f ca="1"/>
      </c>
      <c r="AY875">
        <f ca="1"/>
      </c>
      <c r="BA875" s="7"/>
    </row>
    <row r="876" spans="31:53" x14ac:dyDescent="0.55000000000000004">
      <c r="AE876" s="7">
        <f ca="1"/>
      </c>
      <c r="AF876">
        <f ca="1"/>
      </c>
      <c r="AG876">
        <f ca="1"/>
      </c>
      <c r="AH876">
        <f ca="1"/>
      </c>
      <c r="AI876">
        <f ca="1"/>
      </c>
      <c r="AJ876">
        <f ca="1"/>
      </c>
      <c r="AK876">
        <f ca="1"/>
      </c>
      <c r="AL876">
        <f ca="1"/>
      </c>
      <c r="AM876">
        <f ca="1"/>
      </c>
      <c r="AN876">
        <f ca="1"/>
      </c>
      <c r="AO876">
        <f ca="1"/>
      </c>
      <c r="AP876">
        <f ca="1"/>
      </c>
      <c r="AQ876">
        <f ca="1"/>
      </c>
      <c r="AR876">
        <f ca="1"/>
      </c>
      <c r="AT876" s="7">
        <f ca="1"/>
      </c>
      <c r="AU876">
        <f ca="1"/>
      </c>
      <c r="AV876">
        <f ca="1"/>
      </c>
      <c r="AW876">
        <f ca="1"/>
      </c>
      <c r="AX876">
        <f ca="1"/>
      </c>
      <c r="AY876">
        <f ca="1"/>
      </c>
      <c r="BA876" s="7"/>
    </row>
    <row r="877" spans="31:53" x14ac:dyDescent="0.55000000000000004">
      <c r="AE877" s="7">
        <f ca="1"/>
      </c>
      <c r="AF877">
        <f ca="1"/>
      </c>
      <c r="AG877">
        <f ca="1"/>
      </c>
      <c r="AH877">
        <f ca="1"/>
      </c>
      <c r="AI877">
        <f ca="1"/>
      </c>
      <c r="AJ877">
        <f ca="1"/>
      </c>
      <c r="AK877">
        <f ca="1"/>
      </c>
      <c r="AL877">
        <f ca="1"/>
      </c>
      <c r="AM877">
        <f ca="1"/>
      </c>
      <c r="AN877">
        <f ca="1"/>
      </c>
      <c r="AO877">
        <f ca="1"/>
      </c>
      <c r="AP877">
        <f ca="1"/>
      </c>
      <c r="AQ877">
        <f ca="1"/>
      </c>
      <c r="AR877">
        <f ca="1"/>
      </c>
      <c r="AT877" s="7">
        <f ca="1"/>
      </c>
      <c r="AU877">
        <f ca="1"/>
      </c>
      <c r="AV877">
        <f ca="1"/>
      </c>
      <c r="AW877">
        <f ca="1"/>
      </c>
      <c r="AX877">
        <f ca="1"/>
      </c>
      <c r="AY877">
        <f ca="1"/>
      </c>
      <c r="BA877" s="7"/>
    </row>
    <row r="878" spans="31:53" x14ac:dyDescent="0.55000000000000004">
      <c r="AE878" s="7">
        <f ca="1"/>
      </c>
      <c r="AF878">
        <f ca="1"/>
      </c>
      <c r="AG878">
        <f ca="1"/>
      </c>
      <c r="AH878">
        <f ca="1"/>
      </c>
      <c r="AI878">
        <f ca="1"/>
      </c>
      <c r="AJ878">
        <f ca="1"/>
      </c>
      <c r="AK878">
        <f ca="1"/>
      </c>
      <c r="AL878">
        <f ca="1"/>
      </c>
      <c r="AM878">
        <f ca="1"/>
      </c>
      <c r="AN878">
        <f ca="1"/>
      </c>
      <c r="AO878">
        <f ca="1"/>
      </c>
      <c r="AP878">
        <f ca="1"/>
      </c>
      <c r="AQ878">
        <f ca="1"/>
      </c>
      <c r="AR878">
        <f ca="1"/>
      </c>
      <c r="AT878" s="7">
        <f ca="1"/>
      </c>
      <c r="AU878">
        <f ca="1"/>
      </c>
      <c r="AV878">
        <f ca="1"/>
      </c>
      <c r="AW878">
        <f ca="1"/>
      </c>
      <c r="AX878">
        <f ca="1"/>
      </c>
      <c r="AY878">
        <f ca="1"/>
      </c>
      <c r="BA878" s="7"/>
    </row>
    <row r="879" spans="31:53" x14ac:dyDescent="0.55000000000000004">
      <c r="AE879" s="7">
        <f ca="1"/>
      </c>
      <c r="AF879">
        <f ca="1"/>
      </c>
      <c r="AG879">
        <f ca="1"/>
      </c>
      <c r="AH879">
        <f ca="1"/>
      </c>
      <c r="AI879">
        <f ca="1"/>
      </c>
      <c r="AJ879">
        <f ca="1"/>
      </c>
      <c r="AK879">
        <f ca="1"/>
      </c>
      <c r="AL879">
        <f ca="1"/>
      </c>
      <c r="AM879">
        <f ca="1"/>
      </c>
      <c r="AN879">
        <f ca="1"/>
      </c>
      <c r="AO879">
        <f ca="1"/>
      </c>
      <c r="AP879">
        <f ca="1"/>
      </c>
      <c r="AQ879">
        <f ca="1"/>
      </c>
      <c r="AR879">
        <f ca="1"/>
      </c>
      <c r="AT879" s="7">
        <f ca="1"/>
      </c>
      <c r="AU879">
        <f ca="1"/>
      </c>
      <c r="AV879">
        <f ca="1"/>
      </c>
      <c r="AW879">
        <f ca="1"/>
      </c>
      <c r="AX879">
        <f ca="1"/>
      </c>
      <c r="AY879">
        <f ca="1"/>
      </c>
      <c r="BA879" s="7"/>
    </row>
    <row r="880" spans="31:53" x14ac:dyDescent="0.55000000000000004">
      <c r="AE880" s="7">
        <f ca="1"/>
      </c>
      <c r="AF880">
        <f ca="1"/>
      </c>
      <c r="AG880">
        <f ca="1"/>
      </c>
      <c r="AH880">
        <f ca="1"/>
      </c>
      <c r="AI880">
        <f ca="1"/>
      </c>
      <c r="AJ880">
        <f ca="1"/>
      </c>
      <c r="AK880">
        <f ca="1"/>
      </c>
      <c r="AL880">
        <f ca="1"/>
      </c>
      <c r="AM880">
        <f ca="1"/>
      </c>
      <c r="AN880">
        <f ca="1"/>
      </c>
      <c r="AO880">
        <f ca="1"/>
      </c>
      <c r="AP880">
        <f ca="1"/>
      </c>
      <c r="AQ880">
        <f ca="1"/>
      </c>
      <c r="AR880">
        <f ca="1"/>
      </c>
      <c r="AT880" s="7">
        <f ca="1"/>
      </c>
      <c r="AU880">
        <f ca="1"/>
      </c>
      <c r="AV880">
        <f ca="1"/>
      </c>
      <c r="AW880">
        <f ca="1"/>
      </c>
      <c r="AX880">
        <f ca="1"/>
      </c>
      <c r="AY880">
        <f ca="1"/>
      </c>
      <c r="BA880" s="7"/>
    </row>
    <row r="881" spans="31:53" x14ac:dyDescent="0.55000000000000004">
      <c r="AE881" s="7">
        <f ca="1"/>
      </c>
      <c r="AF881">
        <f ca="1"/>
      </c>
      <c r="AG881">
        <f ca="1"/>
      </c>
      <c r="AH881">
        <f ca="1"/>
      </c>
      <c r="AI881">
        <f ca="1"/>
      </c>
      <c r="AJ881">
        <f ca="1"/>
      </c>
      <c r="AK881">
        <f ca="1"/>
      </c>
      <c r="AL881">
        <f ca="1"/>
      </c>
      <c r="AM881">
        <f ca="1"/>
      </c>
      <c r="AN881">
        <f ca="1"/>
      </c>
      <c r="AO881">
        <f ca="1"/>
      </c>
      <c r="AP881">
        <f ca="1"/>
      </c>
      <c r="AQ881">
        <f ca="1"/>
      </c>
      <c r="AR881">
        <f ca="1"/>
      </c>
      <c r="AT881" s="7">
        <f ca="1"/>
      </c>
      <c r="AU881">
        <f ca="1"/>
      </c>
      <c r="AV881">
        <f ca="1"/>
      </c>
      <c r="AW881">
        <f ca="1"/>
      </c>
      <c r="AX881">
        <f ca="1"/>
      </c>
      <c r="AY881">
        <f ca="1"/>
      </c>
      <c r="BA881" s="7"/>
    </row>
    <row r="882" spans="31:53" x14ac:dyDescent="0.55000000000000004">
      <c r="AE882" s="7">
        <f ca="1"/>
      </c>
      <c r="AF882">
        <f ca="1"/>
      </c>
      <c r="AG882">
        <f ca="1"/>
      </c>
      <c r="AH882">
        <f ca="1"/>
      </c>
      <c r="AI882">
        <f ca="1"/>
      </c>
      <c r="AJ882">
        <f ca="1"/>
      </c>
      <c r="AK882">
        <f ca="1"/>
      </c>
      <c r="AL882">
        <f ca="1"/>
      </c>
      <c r="AM882">
        <f ca="1"/>
      </c>
      <c r="AN882">
        <f ca="1"/>
      </c>
      <c r="AO882">
        <f ca="1"/>
      </c>
      <c r="AP882">
        <f ca="1"/>
      </c>
      <c r="AQ882">
        <f ca="1"/>
      </c>
      <c r="AR882">
        <f ca="1"/>
      </c>
      <c r="AT882" s="7">
        <f ca="1"/>
      </c>
      <c r="AU882">
        <f ca="1"/>
      </c>
      <c r="AV882">
        <f ca="1"/>
      </c>
      <c r="AW882">
        <f ca="1"/>
      </c>
      <c r="AX882">
        <f ca="1"/>
      </c>
      <c r="AY882">
        <f ca="1"/>
      </c>
      <c r="BA882" s="7"/>
    </row>
    <row r="883" spans="31:53" x14ac:dyDescent="0.55000000000000004">
      <c r="AE883" s="7">
        <f ca="1"/>
      </c>
      <c r="AF883">
        <f ca="1"/>
      </c>
      <c r="AG883">
        <f ca="1"/>
      </c>
      <c r="AH883">
        <f ca="1"/>
      </c>
      <c r="AI883">
        <f ca="1"/>
      </c>
      <c r="AJ883">
        <f ca="1"/>
      </c>
      <c r="AK883">
        <f ca="1"/>
      </c>
      <c r="AL883">
        <f ca="1"/>
      </c>
      <c r="AM883">
        <f ca="1"/>
      </c>
      <c r="AN883">
        <f ca="1"/>
      </c>
      <c r="AO883">
        <f ca="1"/>
      </c>
      <c r="AP883">
        <f ca="1"/>
      </c>
      <c r="AQ883">
        <f ca="1"/>
      </c>
      <c r="AR883">
        <f ca="1"/>
      </c>
      <c r="AT883" s="7">
        <f ca="1"/>
      </c>
      <c r="AU883">
        <f ca="1"/>
      </c>
      <c r="AV883">
        <f ca="1"/>
      </c>
      <c r="AW883">
        <f ca="1"/>
      </c>
      <c r="AX883">
        <f ca="1"/>
      </c>
      <c r="AY883">
        <f ca="1"/>
      </c>
      <c r="BA883" s="7"/>
    </row>
    <row r="884" spans="31:53" x14ac:dyDescent="0.55000000000000004">
      <c r="AE884" s="7">
        <f ca="1"/>
      </c>
      <c r="AF884">
        <f ca="1"/>
      </c>
      <c r="AG884">
        <f ca="1"/>
      </c>
      <c r="AH884">
        <f ca="1"/>
      </c>
      <c r="AI884">
        <f ca="1"/>
      </c>
      <c r="AJ884">
        <f ca="1"/>
      </c>
      <c r="AK884">
        <f ca="1"/>
      </c>
      <c r="AL884">
        <f ca="1"/>
      </c>
      <c r="AM884">
        <f ca="1"/>
      </c>
      <c r="AN884">
        <f ca="1"/>
      </c>
      <c r="AO884">
        <f ca="1"/>
      </c>
      <c r="AP884">
        <f ca="1"/>
      </c>
      <c r="AQ884">
        <f ca="1"/>
      </c>
      <c r="AR884">
        <f ca="1"/>
      </c>
      <c r="AT884" s="7">
        <f ca="1"/>
      </c>
      <c r="AU884">
        <f ca="1"/>
      </c>
      <c r="AV884">
        <f ca="1"/>
      </c>
      <c r="AW884">
        <f ca="1"/>
      </c>
      <c r="AX884">
        <f ca="1"/>
      </c>
      <c r="AY884">
        <f ca="1"/>
      </c>
      <c r="BA884" s="7"/>
    </row>
    <row r="885" spans="31:53" x14ac:dyDescent="0.55000000000000004">
      <c r="AE885" s="7">
        <f ca="1"/>
      </c>
      <c r="AF885">
        <f ca="1"/>
      </c>
      <c r="AG885">
        <f ca="1"/>
      </c>
      <c r="AH885">
        <f ca="1"/>
      </c>
      <c r="AI885">
        <f ca="1"/>
      </c>
      <c r="AJ885">
        <f ca="1"/>
      </c>
      <c r="AK885">
        <f ca="1"/>
      </c>
      <c r="AL885">
        <f ca="1"/>
      </c>
      <c r="AM885">
        <f ca="1"/>
      </c>
      <c r="AN885">
        <f ca="1"/>
      </c>
      <c r="AO885">
        <f ca="1"/>
      </c>
      <c r="AP885">
        <f ca="1"/>
      </c>
      <c r="AQ885">
        <f ca="1"/>
      </c>
      <c r="AR885">
        <f ca="1"/>
      </c>
      <c r="AT885" s="7">
        <f ca="1"/>
      </c>
      <c r="AU885">
        <f ca="1"/>
      </c>
      <c r="AV885">
        <f ca="1"/>
      </c>
      <c r="AW885">
        <f ca="1"/>
      </c>
      <c r="AX885">
        <f ca="1"/>
      </c>
      <c r="AY885">
        <f ca="1"/>
      </c>
      <c r="BA885" s="7"/>
    </row>
    <row r="886" spans="31:53" x14ac:dyDescent="0.55000000000000004">
      <c r="AE886" s="7">
        <f ca="1"/>
      </c>
      <c r="AF886">
        <f ca="1"/>
      </c>
      <c r="AG886">
        <f ca="1"/>
      </c>
      <c r="AH886">
        <f ca="1"/>
      </c>
      <c r="AI886">
        <f ca="1"/>
      </c>
      <c r="AJ886">
        <f ca="1"/>
      </c>
      <c r="AK886">
        <f ca="1"/>
      </c>
      <c r="AL886">
        <f ca="1"/>
      </c>
      <c r="AM886">
        <f ca="1"/>
      </c>
      <c r="AN886">
        <f ca="1"/>
      </c>
      <c r="AO886">
        <f ca="1"/>
      </c>
      <c r="AP886">
        <f ca="1"/>
      </c>
      <c r="AQ886">
        <f ca="1"/>
      </c>
      <c r="AR886">
        <f ca="1"/>
      </c>
      <c r="AT886" s="7">
        <f ca="1"/>
      </c>
      <c r="AU886">
        <f ca="1"/>
      </c>
      <c r="AV886">
        <f ca="1"/>
      </c>
      <c r="AW886">
        <f ca="1"/>
      </c>
      <c r="AX886">
        <f ca="1"/>
      </c>
      <c r="AY886">
        <f ca="1"/>
      </c>
      <c r="BA886" s="7"/>
    </row>
    <row r="887" spans="31:53" x14ac:dyDescent="0.55000000000000004">
      <c r="AE887" s="7">
        <f ca="1"/>
      </c>
      <c r="AF887">
        <f ca="1"/>
      </c>
      <c r="AG887">
        <f ca="1"/>
      </c>
      <c r="AH887">
        <f ca="1"/>
      </c>
      <c r="AI887">
        <f ca="1"/>
      </c>
      <c r="AJ887">
        <f ca="1"/>
      </c>
      <c r="AK887">
        <f ca="1"/>
      </c>
      <c r="AL887">
        <f ca="1"/>
      </c>
      <c r="AM887">
        <f ca="1"/>
      </c>
      <c r="AN887">
        <f ca="1"/>
      </c>
      <c r="AO887">
        <f ca="1"/>
      </c>
      <c r="AP887">
        <f ca="1"/>
      </c>
      <c r="AQ887">
        <f ca="1"/>
      </c>
      <c r="AR887">
        <f ca="1"/>
      </c>
      <c r="AT887" s="7">
        <f ca="1"/>
      </c>
      <c r="AU887">
        <f ca="1"/>
      </c>
      <c r="AV887">
        <f ca="1"/>
      </c>
      <c r="AW887">
        <f ca="1"/>
      </c>
      <c r="AX887">
        <f ca="1"/>
      </c>
      <c r="AY887">
        <f ca="1"/>
      </c>
      <c r="BA887" s="7"/>
    </row>
    <row r="888" spans="31:53" x14ac:dyDescent="0.55000000000000004">
      <c r="AE888" s="7">
        <f ca="1"/>
      </c>
      <c r="AF888">
        <f ca="1"/>
      </c>
      <c r="AG888">
        <f ca="1"/>
      </c>
      <c r="AH888">
        <f ca="1"/>
      </c>
      <c r="AI888">
        <f ca="1"/>
      </c>
      <c r="AJ888">
        <f ca="1"/>
      </c>
      <c r="AK888">
        <f ca="1"/>
      </c>
      <c r="AL888">
        <f ca="1"/>
      </c>
      <c r="AM888">
        <f ca="1"/>
      </c>
      <c r="AN888">
        <f ca="1"/>
      </c>
      <c r="AO888">
        <f ca="1"/>
      </c>
      <c r="AP888">
        <f ca="1"/>
      </c>
      <c r="AQ888">
        <f ca="1"/>
      </c>
      <c r="AR888">
        <f ca="1"/>
      </c>
      <c r="AT888" s="7">
        <f ca="1"/>
      </c>
      <c r="AU888">
        <f ca="1"/>
      </c>
      <c r="AV888">
        <f ca="1"/>
      </c>
      <c r="AW888">
        <f ca="1"/>
      </c>
      <c r="AX888">
        <f ca="1"/>
      </c>
      <c r="AY888">
        <f ca="1"/>
      </c>
      <c r="BA888" s="7"/>
    </row>
    <row r="889" spans="31:53" x14ac:dyDescent="0.55000000000000004">
      <c r="AE889" s="7">
        <f ca="1"/>
      </c>
      <c r="AF889">
        <f ca="1"/>
      </c>
      <c r="AG889">
        <f ca="1"/>
      </c>
      <c r="AH889">
        <f ca="1"/>
      </c>
      <c r="AI889">
        <f ca="1"/>
      </c>
      <c r="AJ889">
        <f ca="1"/>
      </c>
      <c r="AK889">
        <f ca="1"/>
      </c>
      <c r="AL889">
        <f ca="1"/>
      </c>
      <c r="AM889">
        <f ca="1"/>
      </c>
      <c r="AN889">
        <f ca="1"/>
      </c>
      <c r="AO889">
        <f ca="1"/>
      </c>
      <c r="AP889">
        <f ca="1"/>
      </c>
      <c r="AQ889">
        <f ca="1"/>
      </c>
      <c r="AR889">
        <f ca="1"/>
      </c>
      <c r="AT889" s="7">
        <f ca="1"/>
      </c>
      <c r="AU889">
        <f ca="1"/>
      </c>
      <c r="AV889">
        <f ca="1"/>
      </c>
      <c r="AW889">
        <f ca="1"/>
      </c>
      <c r="AX889">
        <f ca="1"/>
      </c>
      <c r="AY889">
        <f ca="1"/>
      </c>
      <c r="BA889" s="7"/>
    </row>
    <row r="890" spans="31:53" x14ac:dyDescent="0.55000000000000004">
      <c r="AE890" s="7">
        <f ca="1"/>
      </c>
      <c r="AF890">
        <f ca="1"/>
      </c>
      <c r="AG890">
        <f ca="1"/>
      </c>
      <c r="AH890">
        <f ca="1"/>
      </c>
      <c r="AI890">
        <f ca="1"/>
      </c>
      <c r="AJ890">
        <f ca="1"/>
      </c>
      <c r="AK890">
        <f ca="1"/>
      </c>
      <c r="AL890">
        <f ca="1"/>
      </c>
      <c r="AM890">
        <f ca="1"/>
      </c>
      <c r="AN890">
        <f ca="1"/>
      </c>
      <c r="AO890">
        <f ca="1"/>
      </c>
      <c r="AP890">
        <f ca="1"/>
      </c>
      <c r="AQ890">
        <f ca="1"/>
      </c>
      <c r="AR890">
        <f ca="1"/>
      </c>
      <c r="AT890" s="7">
        <f ca="1"/>
      </c>
      <c r="AU890">
        <f ca="1"/>
      </c>
      <c r="AV890">
        <f ca="1"/>
      </c>
      <c r="AW890">
        <f ca="1"/>
      </c>
      <c r="AX890">
        <f ca="1"/>
      </c>
      <c r="AY890">
        <f ca="1"/>
      </c>
      <c r="BA890" s="7"/>
    </row>
    <row r="891" spans="31:53" x14ac:dyDescent="0.55000000000000004">
      <c r="AE891" s="7">
        <f ca="1"/>
      </c>
      <c r="AF891">
        <f ca="1"/>
      </c>
      <c r="AG891">
        <f ca="1"/>
      </c>
      <c r="AH891">
        <f ca="1"/>
      </c>
      <c r="AI891">
        <f ca="1"/>
      </c>
      <c r="AJ891">
        <f ca="1"/>
      </c>
      <c r="AK891">
        <f ca="1"/>
      </c>
      <c r="AL891">
        <f ca="1"/>
      </c>
      <c r="AM891">
        <f ca="1"/>
      </c>
      <c r="AN891">
        <f ca="1"/>
      </c>
      <c r="AO891">
        <f ca="1"/>
      </c>
      <c r="AP891">
        <f ca="1"/>
      </c>
      <c r="AQ891">
        <f ca="1"/>
      </c>
      <c r="AR891">
        <f ca="1"/>
      </c>
      <c r="AT891" s="7">
        <f ca="1"/>
      </c>
      <c r="AU891">
        <f ca="1"/>
      </c>
      <c r="AV891">
        <f ca="1"/>
      </c>
      <c r="AW891">
        <f ca="1"/>
      </c>
      <c r="AX891">
        <f ca="1"/>
      </c>
      <c r="AY891">
        <f ca="1"/>
      </c>
      <c r="BA891" s="7"/>
    </row>
    <row r="892" spans="31:53" x14ac:dyDescent="0.55000000000000004">
      <c r="AE892" s="7">
        <f ca="1"/>
      </c>
      <c r="AF892">
        <f ca="1"/>
      </c>
      <c r="AG892">
        <f ca="1"/>
      </c>
      <c r="AH892">
        <f ca="1"/>
      </c>
      <c r="AI892">
        <f ca="1"/>
      </c>
      <c r="AJ892">
        <f ca="1"/>
      </c>
      <c r="AK892">
        <f ca="1"/>
      </c>
      <c r="AL892">
        <f ca="1"/>
      </c>
      <c r="AM892">
        <f ca="1"/>
      </c>
      <c r="AN892">
        <f ca="1"/>
      </c>
      <c r="AO892">
        <f ca="1"/>
      </c>
      <c r="AP892">
        <f ca="1"/>
      </c>
      <c r="AQ892">
        <f ca="1"/>
      </c>
      <c r="AR892">
        <f ca="1"/>
      </c>
      <c r="AT892" s="7">
        <f ca="1"/>
      </c>
      <c r="AU892">
        <f ca="1"/>
      </c>
      <c r="AV892">
        <f ca="1"/>
      </c>
      <c r="AW892">
        <f ca="1"/>
      </c>
      <c r="AX892">
        <f ca="1"/>
      </c>
      <c r="AY892">
        <f ca="1"/>
      </c>
      <c r="BA892" s="7"/>
    </row>
    <row r="893" spans="31:53" x14ac:dyDescent="0.55000000000000004">
      <c r="AE893" s="7">
        <f ca="1"/>
      </c>
      <c r="AF893">
        <f ca="1"/>
      </c>
      <c r="AG893">
        <f ca="1"/>
      </c>
      <c r="AH893">
        <f ca="1"/>
      </c>
      <c r="AI893">
        <f ca="1"/>
      </c>
      <c r="AJ893">
        <f ca="1"/>
      </c>
      <c r="AK893">
        <f ca="1"/>
      </c>
      <c r="AL893">
        <f ca="1"/>
      </c>
      <c r="AM893">
        <f ca="1"/>
      </c>
      <c r="AN893">
        <f ca="1"/>
      </c>
      <c r="AO893">
        <f ca="1"/>
      </c>
      <c r="AP893">
        <f ca="1"/>
      </c>
      <c r="AQ893">
        <f ca="1"/>
      </c>
      <c r="AR893">
        <f ca="1"/>
      </c>
      <c r="AT893" s="7">
        <f ca="1"/>
      </c>
      <c r="AU893">
        <f ca="1"/>
      </c>
      <c r="AV893">
        <f ca="1"/>
      </c>
      <c r="AW893">
        <f ca="1"/>
      </c>
      <c r="AX893">
        <f ca="1"/>
      </c>
      <c r="AY893">
        <f ca="1"/>
      </c>
      <c r="BA893" s="7"/>
    </row>
    <row r="894" spans="31:53" x14ac:dyDescent="0.55000000000000004">
      <c r="AE894" s="7">
        <f ca="1"/>
      </c>
      <c r="AF894">
        <f ca="1"/>
      </c>
      <c r="AG894">
        <f ca="1"/>
      </c>
      <c r="AH894">
        <f ca="1"/>
      </c>
      <c r="AI894">
        <f ca="1"/>
      </c>
      <c r="AJ894">
        <f ca="1"/>
      </c>
      <c r="AK894">
        <f ca="1"/>
      </c>
      <c r="AL894">
        <f ca="1"/>
      </c>
      <c r="AM894">
        <f ca="1"/>
      </c>
      <c r="AN894">
        <f ca="1"/>
      </c>
      <c r="AO894">
        <f ca="1"/>
      </c>
      <c r="AP894">
        <f ca="1"/>
      </c>
      <c r="AQ894">
        <f ca="1"/>
      </c>
      <c r="AR894">
        <f ca="1"/>
      </c>
      <c r="AT894" s="7">
        <f ca="1"/>
      </c>
      <c r="AU894">
        <f ca="1"/>
      </c>
      <c r="AV894">
        <f ca="1"/>
      </c>
      <c r="AW894">
        <f ca="1"/>
      </c>
      <c r="AX894">
        <f ca="1"/>
      </c>
      <c r="AY894">
        <f ca="1"/>
      </c>
      <c r="BA894" s="7"/>
    </row>
    <row r="895" spans="31:53" x14ac:dyDescent="0.55000000000000004">
      <c r="AE895" s="7">
        <f ca="1"/>
      </c>
      <c r="AF895">
        <f ca="1"/>
      </c>
      <c r="AG895">
        <f ca="1"/>
      </c>
      <c r="AH895">
        <f ca="1"/>
      </c>
      <c r="AI895">
        <f ca="1"/>
      </c>
      <c r="AJ895">
        <f ca="1"/>
      </c>
      <c r="AK895">
        <f ca="1"/>
      </c>
      <c r="AL895">
        <f ca="1"/>
      </c>
      <c r="AM895">
        <f ca="1"/>
      </c>
      <c r="AN895">
        <f ca="1"/>
      </c>
      <c r="AO895">
        <f ca="1"/>
      </c>
      <c r="AP895">
        <f ca="1"/>
      </c>
      <c r="AQ895">
        <f ca="1"/>
      </c>
      <c r="AR895">
        <f ca="1"/>
      </c>
      <c r="AT895" s="7">
        <f ca="1"/>
      </c>
      <c r="AU895">
        <f ca="1"/>
      </c>
      <c r="AV895">
        <f ca="1"/>
      </c>
      <c r="AW895">
        <f ca="1"/>
      </c>
      <c r="AX895">
        <f ca="1"/>
      </c>
      <c r="AY895">
        <f ca="1"/>
      </c>
      <c r="BA895" s="7"/>
    </row>
    <row r="896" spans="31:53" x14ac:dyDescent="0.55000000000000004">
      <c r="AE896" s="7">
        <f ca="1"/>
      </c>
      <c r="AF896">
        <f ca="1"/>
      </c>
      <c r="AG896">
        <f ca="1"/>
      </c>
      <c r="AH896">
        <f ca="1"/>
      </c>
      <c r="AI896">
        <f ca="1"/>
      </c>
      <c r="AJ896">
        <f ca="1"/>
      </c>
      <c r="AK896">
        <f ca="1"/>
      </c>
      <c r="AL896">
        <f ca="1"/>
      </c>
      <c r="AM896">
        <f ca="1"/>
      </c>
      <c r="AN896">
        <f ca="1"/>
      </c>
      <c r="AO896">
        <f ca="1"/>
      </c>
      <c r="AP896">
        <f ca="1"/>
      </c>
      <c r="AQ896">
        <f ca="1"/>
      </c>
      <c r="AR896">
        <f ca="1"/>
      </c>
      <c r="AT896" s="7">
        <f ca="1"/>
      </c>
      <c r="AU896">
        <f ca="1"/>
      </c>
      <c r="AV896">
        <f ca="1"/>
      </c>
      <c r="AW896">
        <f ca="1"/>
      </c>
      <c r="AX896">
        <f ca="1"/>
      </c>
      <c r="AY896">
        <f ca="1"/>
      </c>
      <c r="BA896" s="7"/>
    </row>
    <row r="897" spans="31:53" x14ac:dyDescent="0.55000000000000004">
      <c r="AE897" s="7">
        <f ca="1"/>
      </c>
      <c r="AF897">
        <f ca="1"/>
      </c>
      <c r="AG897">
        <f ca="1"/>
      </c>
      <c r="AH897">
        <f ca="1"/>
      </c>
      <c r="AI897">
        <f ca="1"/>
      </c>
      <c r="AJ897">
        <f ca="1"/>
      </c>
      <c r="AK897">
        <f ca="1"/>
      </c>
      <c r="AL897">
        <f ca="1"/>
      </c>
      <c r="AM897">
        <f ca="1"/>
      </c>
      <c r="AN897">
        <f ca="1"/>
      </c>
      <c r="AO897">
        <f ca="1"/>
      </c>
      <c r="AP897">
        <f ca="1"/>
      </c>
      <c r="AQ897">
        <f ca="1"/>
      </c>
      <c r="AR897">
        <f ca="1"/>
      </c>
      <c r="AT897" s="7">
        <f ca="1"/>
      </c>
      <c r="AU897">
        <f ca="1"/>
      </c>
      <c r="AV897">
        <f ca="1"/>
      </c>
      <c r="AW897">
        <f ca="1"/>
      </c>
      <c r="AX897">
        <f ca="1"/>
      </c>
      <c r="AY897">
        <f ca="1"/>
      </c>
      <c r="BA897" s="7"/>
    </row>
    <row r="898" spans="31:53" x14ac:dyDescent="0.55000000000000004">
      <c r="AE898" s="7">
        <f ca="1"/>
      </c>
      <c r="AF898">
        <f ca="1"/>
      </c>
      <c r="AG898">
        <f ca="1"/>
      </c>
      <c r="AH898">
        <f ca="1"/>
      </c>
      <c r="AI898">
        <f ca="1"/>
      </c>
      <c r="AJ898">
        <f ca="1"/>
      </c>
      <c r="AK898">
        <f ca="1"/>
      </c>
      <c r="AL898">
        <f ca="1"/>
      </c>
      <c r="AM898">
        <f ca="1"/>
      </c>
      <c r="AN898">
        <f ca="1"/>
      </c>
      <c r="AO898">
        <f ca="1"/>
      </c>
      <c r="AP898">
        <f ca="1"/>
      </c>
      <c r="AQ898">
        <f ca="1"/>
      </c>
      <c r="AR898">
        <f ca="1"/>
      </c>
      <c r="AT898" s="7">
        <f ca="1"/>
      </c>
      <c r="AU898">
        <f ca="1"/>
      </c>
      <c r="AV898">
        <f ca="1"/>
      </c>
      <c r="AW898">
        <f ca="1"/>
      </c>
      <c r="AX898">
        <f ca="1"/>
      </c>
      <c r="AY898">
        <f ca="1"/>
      </c>
      <c r="BA898" s="7"/>
    </row>
    <row r="899" spans="31:53" x14ac:dyDescent="0.55000000000000004">
      <c r="AE899" s="7">
        <f ca="1"/>
      </c>
      <c r="AF899">
        <f ca="1"/>
      </c>
      <c r="AG899">
        <f ca="1"/>
      </c>
      <c r="AH899">
        <f ca="1"/>
      </c>
      <c r="AI899">
        <f ca="1"/>
      </c>
      <c r="AJ899">
        <f ca="1"/>
      </c>
      <c r="AK899">
        <f ca="1"/>
      </c>
      <c r="AL899">
        <f ca="1"/>
      </c>
      <c r="AM899">
        <f ca="1"/>
      </c>
      <c r="AN899">
        <f ca="1"/>
      </c>
      <c r="AO899">
        <f ca="1"/>
      </c>
      <c r="AP899">
        <f ca="1"/>
      </c>
      <c r="AQ899">
        <f ca="1"/>
      </c>
      <c r="AR899">
        <f ca="1"/>
      </c>
      <c r="AT899" s="7">
        <f ca="1"/>
      </c>
      <c r="AU899">
        <f ca="1"/>
      </c>
      <c r="AV899">
        <f ca="1"/>
      </c>
      <c r="AW899">
        <f ca="1"/>
      </c>
      <c r="AX899">
        <f ca="1"/>
      </c>
      <c r="AY899">
        <f ca="1"/>
      </c>
      <c r="BA899" s="7"/>
    </row>
    <row r="900" spans="31:53" x14ac:dyDescent="0.55000000000000004">
      <c r="AE900" s="7">
        <f ca="1"/>
      </c>
      <c r="AF900">
        <f ca="1"/>
      </c>
      <c r="AG900">
        <f ca="1"/>
      </c>
      <c r="AH900">
        <f ca="1"/>
      </c>
      <c r="AI900">
        <f ca="1"/>
      </c>
      <c r="AJ900">
        <f ca="1"/>
      </c>
      <c r="AK900">
        <f ca="1"/>
      </c>
      <c r="AL900">
        <f ca="1"/>
      </c>
      <c r="AM900">
        <f ca="1"/>
      </c>
      <c r="AN900">
        <f ca="1"/>
      </c>
      <c r="AO900">
        <f ca="1"/>
      </c>
      <c r="AP900">
        <f ca="1"/>
      </c>
      <c r="AQ900">
        <f ca="1"/>
      </c>
      <c r="AR900">
        <f ca="1"/>
      </c>
      <c r="AT900" s="7">
        <f ca="1"/>
      </c>
      <c r="AU900">
        <f ca="1"/>
      </c>
      <c r="AV900">
        <f ca="1"/>
      </c>
      <c r="AW900">
        <f ca="1"/>
      </c>
      <c r="AX900">
        <f ca="1"/>
      </c>
      <c r="AY900">
        <f ca="1"/>
      </c>
      <c r="BA900" s="7"/>
    </row>
    <row r="901" spans="31:53" x14ac:dyDescent="0.55000000000000004">
      <c r="AE901" s="7">
        <f ca="1"/>
      </c>
      <c r="AF901">
        <f ca="1"/>
      </c>
      <c r="AG901">
        <f ca="1"/>
      </c>
      <c r="AH901">
        <f ca="1"/>
      </c>
      <c r="AI901">
        <f ca="1"/>
      </c>
      <c r="AJ901">
        <f ca="1"/>
      </c>
      <c r="AK901">
        <f ca="1"/>
      </c>
      <c r="AL901">
        <f ca="1"/>
      </c>
      <c r="AM901">
        <f ca="1"/>
      </c>
      <c r="AN901">
        <f ca="1"/>
      </c>
      <c r="AO901">
        <f ca="1"/>
      </c>
      <c r="AP901">
        <f ca="1"/>
      </c>
      <c r="AQ901">
        <f ca="1"/>
      </c>
      <c r="AR901">
        <f ca="1"/>
      </c>
      <c r="AT901" s="7">
        <f ca="1"/>
      </c>
      <c r="AU901">
        <f ca="1"/>
      </c>
      <c r="AV901">
        <f ca="1"/>
      </c>
      <c r="AW901">
        <f ca="1"/>
      </c>
      <c r="AX901">
        <f ca="1"/>
      </c>
      <c r="AY901">
        <f ca="1"/>
      </c>
      <c r="BA901" s="7"/>
    </row>
    <row r="902" spans="31:53" x14ac:dyDescent="0.55000000000000004">
      <c r="AE902" s="7">
        <f ca="1"/>
      </c>
      <c r="AF902">
        <f ca="1"/>
      </c>
      <c r="AG902">
        <f ca="1"/>
      </c>
      <c r="AH902">
        <f ca="1"/>
      </c>
      <c r="AI902">
        <f ca="1"/>
      </c>
      <c r="AJ902">
        <f ca="1"/>
      </c>
      <c r="AK902">
        <f ca="1"/>
      </c>
      <c r="AL902">
        <f ca="1"/>
      </c>
      <c r="AM902">
        <f ca="1"/>
      </c>
      <c r="AN902">
        <f ca="1"/>
      </c>
      <c r="AO902">
        <f ca="1"/>
      </c>
      <c r="AP902">
        <f ca="1"/>
      </c>
      <c r="AQ902">
        <f ca="1"/>
      </c>
      <c r="AR902">
        <f ca="1"/>
      </c>
      <c r="AT902" s="7">
        <f ca="1"/>
      </c>
      <c r="AU902">
        <f ca="1"/>
      </c>
      <c r="AV902">
        <f ca="1"/>
      </c>
      <c r="AW902">
        <f ca="1"/>
      </c>
      <c r="AX902">
        <f ca="1"/>
      </c>
      <c r="AY902">
        <f ca="1"/>
      </c>
      <c r="BA902" s="7"/>
    </row>
    <row r="903" spans="31:53" x14ac:dyDescent="0.55000000000000004">
      <c r="AE903" s="7">
        <f ca="1"/>
      </c>
      <c r="AF903">
        <f ca="1"/>
      </c>
      <c r="AG903">
        <f ca="1"/>
      </c>
      <c r="AH903">
        <f ca="1"/>
      </c>
      <c r="AI903">
        <f ca="1"/>
      </c>
      <c r="AJ903">
        <f ca="1"/>
      </c>
      <c r="AK903">
        <f ca="1"/>
      </c>
      <c r="AL903">
        <f ca="1"/>
      </c>
      <c r="AM903">
        <f ca="1"/>
      </c>
      <c r="AN903">
        <f ca="1"/>
      </c>
      <c r="AO903">
        <f ca="1"/>
      </c>
      <c r="AP903">
        <f ca="1"/>
      </c>
      <c r="AQ903">
        <f ca="1"/>
      </c>
      <c r="AR903">
        <f ca="1"/>
      </c>
      <c r="AT903" s="7">
        <f ca="1"/>
      </c>
      <c r="AU903">
        <f ca="1"/>
      </c>
      <c r="AV903">
        <f ca="1"/>
      </c>
      <c r="AW903">
        <f ca="1"/>
      </c>
      <c r="AX903">
        <f ca="1"/>
      </c>
      <c r="AY903">
        <f ca="1"/>
      </c>
      <c r="BA903" s="7"/>
    </row>
    <row r="904" spans="31:53" x14ac:dyDescent="0.55000000000000004">
      <c r="AE904" s="7">
        <f ca="1"/>
      </c>
      <c r="AF904">
        <f ca="1"/>
      </c>
      <c r="AG904">
        <f ca="1"/>
      </c>
      <c r="AH904">
        <f ca="1"/>
      </c>
      <c r="AI904">
        <f ca="1"/>
      </c>
      <c r="AJ904">
        <f ca="1"/>
      </c>
      <c r="AK904">
        <f ca="1"/>
      </c>
      <c r="AL904">
        <f ca="1"/>
      </c>
      <c r="AM904">
        <f ca="1"/>
      </c>
      <c r="AN904">
        <f ca="1"/>
      </c>
      <c r="AO904">
        <f ca="1"/>
      </c>
      <c r="AP904">
        <f ca="1"/>
      </c>
      <c r="AQ904">
        <f ca="1"/>
      </c>
      <c r="AR904">
        <f ca="1"/>
      </c>
      <c r="AT904" s="7">
        <f ca="1"/>
      </c>
      <c r="AU904">
        <f ca="1"/>
      </c>
      <c r="AV904">
        <f ca="1"/>
      </c>
      <c r="AW904">
        <f ca="1"/>
      </c>
      <c r="AX904">
        <f ca="1"/>
      </c>
      <c r="AY904">
        <f ca="1"/>
      </c>
      <c r="BA904" s="7"/>
    </row>
    <row r="905" spans="31:53" x14ac:dyDescent="0.55000000000000004">
      <c r="AE905" s="7">
        <f ca="1"/>
      </c>
      <c r="AF905">
        <f ca="1"/>
      </c>
      <c r="AG905">
        <f ca="1"/>
      </c>
      <c r="AH905">
        <f ca="1"/>
      </c>
      <c r="AI905">
        <f ca="1"/>
      </c>
      <c r="AJ905">
        <f ca="1"/>
      </c>
      <c r="AK905">
        <f ca="1"/>
      </c>
      <c r="AL905">
        <f ca="1"/>
      </c>
      <c r="AM905">
        <f ca="1"/>
      </c>
      <c r="AN905">
        <f ca="1"/>
      </c>
      <c r="AO905">
        <f ca="1"/>
      </c>
      <c r="AP905">
        <f ca="1"/>
      </c>
      <c r="AQ905">
        <f ca="1"/>
      </c>
      <c r="AR905">
        <f ca="1"/>
      </c>
      <c r="AT905" s="7">
        <f ca="1"/>
      </c>
      <c r="AU905">
        <f ca="1"/>
      </c>
      <c r="AV905">
        <f ca="1"/>
      </c>
      <c r="AW905">
        <f ca="1"/>
      </c>
      <c r="AX905">
        <f ca="1"/>
      </c>
      <c r="AY905">
        <f ca="1"/>
      </c>
      <c r="BA905" s="7"/>
    </row>
    <row r="906" spans="31:53" x14ac:dyDescent="0.55000000000000004">
      <c r="AE906" s="7">
        <f ca="1"/>
      </c>
      <c r="AF906">
        <f ca="1"/>
      </c>
      <c r="AG906">
        <f ca="1"/>
      </c>
      <c r="AH906">
        <f ca="1"/>
      </c>
      <c r="AI906">
        <f ca="1"/>
      </c>
      <c r="AJ906">
        <f ca="1"/>
      </c>
      <c r="AK906">
        <f ca="1"/>
      </c>
      <c r="AL906">
        <f ca="1"/>
      </c>
      <c r="AM906">
        <f ca="1"/>
      </c>
      <c r="AN906">
        <f ca="1"/>
      </c>
      <c r="AO906">
        <f ca="1"/>
      </c>
      <c r="AP906">
        <f ca="1"/>
      </c>
      <c r="AQ906">
        <f ca="1"/>
      </c>
      <c r="AR906">
        <f ca="1"/>
      </c>
      <c r="AT906" s="7">
        <f ca="1"/>
      </c>
      <c r="AU906">
        <f ca="1"/>
      </c>
      <c r="AV906">
        <f ca="1"/>
      </c>
      <c r="AW906">
        <f ca="1"/>
      </c>
      <c r="AX906">
        <f ca="1"/>
      </c>
      <c r="AY906">
        <f ca="1"/>
      </c>
      <c r="BA906" s="7"/>
    </row>
    <row r="907" spans="31:53" x14ac:dyDescent="0.55000000000000004">
      <c r="AE907" s="7">
        <f ca="1"/>
      </c>
      <c r="AF907">
        <f ca="1"/>
      </c>
      <c r="AG907">
        <f ca="1"/>
      </c>
      <c r="AH907">
        <f ca="1"/>
      </c>
      <c r="AI907">
        <f ca="1"/>
      </c>
      <c r="AJ907">
        <f ca="1"/>
      </c>
      <c r="AK907">
        <f ca="1"/>
      </c>
      <c r="AL907">
        <f ca="1"/>
      </c>
      <c r="AM907">
        <f ca="1"/>
      </c>
      <c r="AN907">
        <f ca="1"/>
      </c>
      <c r="AO907">
        <f ca="1"/>
      </c>
      <c r="AP907">
        <f ca="1"/>
      </c>
      <c r="AQ907">
        <f ca="1"/>
      </c>
      <c r="AR907">
        <f ca="1"/>
      </c>
      <c r="AT907" s="7">
        <f ca="1"/>
      </c>
      <c r="AU907">
        <f ca="1"/>
      </c>
      <c r="AV907">
        <f ca="1"/>
      </c>
      <c r="AW907">
        <f ca="1"/>
      </c>
      <c r="AX907">
        <f ca="1"/>
      </c>
      <c r="AY907">
        <f ca="1"/>
      </c>
      <c r="BA907" s="7"/>
    </row>
    <row r="908" spans="31:53" x14ac:dyDescent="0.55000000000000004">
      <c r="AE908" s="7">
        <f ca="1"/>
      </c>
      <c r="AF908">
        <f ca="1"/>
      </c>
      <c r="AG908">
        <f ca="1"/>
      </c>
      <c r="AH908">
        <f ca="1"/>
      </c>
      <c r="AI908">
        <f ca="1"/>
      </c>
      <c r="AJ908">
        <f ca="1"/>
      </c>
      <c r="AK908">
        <f ca="1"/>
      </c>
      <c r="AL908">
        <f ca="1"/>
      </c>
      <c r="AM908">
        <f ca="1"/>
      </c>
      <c r="AN908">
        <f ca="1"/>
      </c>
      <c r="AO908">
        <f ca="1"/>
      </c>
      <c r="AP908">
        <f ca="1"/>
      </c>
      <c r="AQ908">
        <f ca="1"/>
      </c>
      <c r="AR908">
        <f ca="1"/>
      </c>
      <c r="AT908" s="7">
        <f ca="1"/>
      </c>
      <c r="AU908">
        <f ca="1"/>
      </c>
      <c r="AV908">
        <f ca="1"/>
      </c>
      <c r="AW908">
        <f ca="1"/>
      </c>
      <c r="AX908">
        <f ca="1"/>
      </c>
      <c r="AY908">
        <f ca="1"/>
      </c>
      <c r="BA908" s="7"/>
    </row>
    <row r="909" spans="31:53" x14ac:dyDescent="0.55000000000000004">
      <c r="AE909" s="7">
        <f ca="1"/>
      </c>
      <c r="AF909">
        <f ca="1"/>
      </c>
      <c r="AG909">
        <f ca="1"/>
      </c>
      <c r="AH909">
        <f ca="1"/>
      </c>
      <c r="AI909">
        <f ca="1"/>
      </c>
      <c r="AJ909">
        <f ca="1"/>
      </c>
      <c r="AK909">
        <f ca="1"/>
      </c>
      <c r="AL909">
        <f ca="1"/>
      </c>
      <c r="AM909">
        <f ca="1"/>
      </c>
      <c r="AN909">
        <f ca="1"/>
      </c>
      <c r="AO909">
        <f ca="1"/>
      </c>
      <c r="AP909">
        <f ca="1"/>
      </c>
      <c r="AQ909">
        <f ca="1"/>
      </c>
      <c r="AR909">
        <f ca="1"/>
      </c>
      <c r="AT909" s="7">
        <f ca="1"/>
      </c>
      <c r="AU909">
        <f ca="1"/>
      </c>
      <c r="AV909">
        <f ca="1"/>
      </c>
      <c r="AW909">
        <f ca="1"/>
      </c>
      <c r="AX909">
        <f ca="1"/>
      </c>
      <c r="AY909">
        <f ca="1"/>
      </c>
      <c r="BA909" s="7"/>
    </row>
    <row r="910" spans="31:53" x14ac:dyDescent="0.55000000000000004">
      <c r="AE910" s="7">
        <f ca="1"/>
      </c>
      <c r="AF910">
        <f ca="1"/>
      </c>
      <c r="AG910">
        <f ca="1"/>
      </c>
      <c r="AH910">
        <f ca="1"/>
      </c>
      <c r="AI910">
        <f ca="1"/>
      </c>
      <c r="AJ910">
        <f ca="1"/>
      </c>
      <c r="AK910">
        <f ca="1"/>
      </c>
      <c r="AL910">
        <f ca="1"/>
      </c>
      <c r="AM910">
        <f ca="1"/>
      </c>
      <c r="AN910">
        <f ca="1"/>
      </c>
      <c r="AO910">
        <f ca="1"/>
      </c>
      <c r="AP910">
        <f ca="1"/>
      </c>
      <c r="AQ910">
        <f ca="1"/>
      </c>
      <c r="AR910">
        <f ca="1"/>
      </c>
      <c r="AT910" s="7">
        <f ca="1"/>
      </c>
      <c r="AU910">
        <f ca="1"/>
      </c>
      <c r="AV910">
        <f ca="1"/>
      </c>
      <c r="AW910">
        <f ca="1"/>
      </c>
      <c r="AX910">
        <f ca="1"/>
      </c>
      <c r="AY910">
        <f ca="1"/>
      </c>
      <c r="BA910" s="7"/>
    </row>
    <row r="911" spans="31:53" x14ac:dyDescent="0.55000000000000004">
      <c r="AE911" s="7">
        <f ca="1"/>
      </c>
      <c r="AF911">
        <f ca="1"/>
      </c>
      <c r="AG911">
        <f ca="1"/>
      </c>
      <c r="AH911">
        <f ca="1"/>
      </c>
      <c r="AI911">
        <f ca="1"/>
      </c>
      <c r="AJ911">
        <f ca="1"/>
      </c>
      <c r="AK911">
        <f ca="1"/>
      </c>
      <c r="AL911">
        <f ca="1"/>
      </c>
      <c r="AM911">
        <f ca="1"/>
      </c>
      <c r="AN911">
        <f ca="1"/>
      </c>
      <c r="AO911">
        <f ca="1"/>
      </c>
      <c r="AP911">
        <f ca="1"/>
      </c>
      <c r="AQ911">
        <f ca="1"/>
      </c>
      <c r="AR911">
        <f ca="1"/>
      </c>
      <c r="AT911" s="7">
        <f ca="1"/>
      </c>
      <c r="AU911">
        <f ca="1"/>
      </c>
      <c r="AV911">
        <f ca="1"/>
      </c>
      <c r="AW911">
        <f ca="1"/>
      </c>
      <c r="AX911">
        <f ca="1"/>
      </c>
      <c r="AY911">
        <f ca="1"/>
      </c>
      <c r="BA911" s="7"/>
    </row>
    <row r="912" spans="31:53" x14ac:dyDescent="0.55000000000000004">
      <c r="AE912" s="7">
        <f ca="1"/>
      </c>
      <c r="AF912">
        <f ca="1"/>
      </c>
      <c r="AG912">
        <f ca="1"/>
      </c>
      <c r="AH912">
        <f ca="1"/>
      </c>
      <c r="AI912">
        <f ca="1"/>
      </c>
      <c r="AJ912">
        <f ca="1"/>
      </c>
      <c r="AK912">
        <f ca="1"/>
      </c>
      <c r="AL912">
        <f ca="1"/>
      </c>
      <c r="AM912">
        <f ca="1"/>
      </c>
      <c r="AN912">
        <f ca="1"/>
      </c>
      <c r="AO912">
        <f ca="1"/>
      </c>
      <c r="AP912">
        <f ca="1"/>
      </c>
      <c r="AQ912">
        <f ca="1"/>
      </c>
      <c r="AR912">
        <f ca="1"/>
      </c>
      <c r="AT912" s="7">
        <f ca="1"/>
      </c>
      <c r="AU912">
        <f ca="1"/>
      </c>
      <c r="AV912">
        <f ca="1"/>
      </c>
      <c r="AW912">
        <f ca="1"/>
      </c>
      <c r="AX912">
        <f ca="1"/>
      </c>
      <c r="AY912">
        <f ca="1"/>
      </c>
      <c r="BA912" s="7"/>
    </row>
    <row r="913" spans="31:53" x14ac:dyDescent="0.55000000000000004">
      <c r="AE913" s="7">
        <f ca="1"/>
      </c>
      <c r="AF913">
        <f ca="1"/>
      </c>
      <c r="AG913">
        <f ca="1"/>
      </c>
      <c r="AH913">
        <f ca="1"/>
      </c>
      <c r="AI913">
        <f ca="1"/>
      </c>
      <c r="AJ913">
        <f ca="1"/>
      </c>
      <c r="AK913">
        <f ca="1"/>
      </c>
      <c r="AL913">
        <f ca="1"/>
      </c>
      <c r="AM913">
        <f ca="1"/>
      </c>
      <c r="AN913">
        <f ca="1"/>
      </c>
      <c r="AO913">
        <f ca="1"/>
      </c>
      <c r="AP913">
        <f ca="1"/>
      </c>
      <c r="AQ913">
        <f ca="1"/>
      </c>
      <c r="AR913">
        <f ca="1"/>
      </c>
      <c r="AT913" s="7">
        <f ca="1"/>
      </c>
      <c r="AU913">
        <f ca="1"/>
      </c>
      <c r="AV913">
        <f ca="1"/>
      </c>
      <c r="AW913">
        <f ca="1"/>
      </c>
      <c r="AX913">
        <f ca="1"/>
      </c>
      <c r="AY913">
        <f ca="1"/>
      </c>
      <c r="BA913" s="7"/>
    </row>
    <row r="914" spans="31:53" x14ac:dyDescent="0.55000000000000004">
      <c r="AE914" s="7">
        <f ca="1"/>
      </c>
      <c r="AF914">
        <f ca="1"/>
      </c>
      <c r="AG914">
        <f ca="1"/>
      </c>
      <c r="AH914">
        <f ca="1"/>
      </c>
      <c r="AI914">
        <f ca="1"/>
      </c>
      <c r="AJ914">
        <f ca="1"/>
      </c>
      <c r="AK914">
        <f ca="1"/>
      </c>
      <c r="AL914">
        <f ca="1"/>
      </c>
      <c r="AM914">
        <f ca="1"/>
      </c>
      <c r="AN914">
        <f ca="1"/>
      </c>
      <c r="AO914">
        <f ca="1"/>
      </c>
      <c r="AP914">
        <f ca="1"/>
      </c>
      <c r="AQ914">
        <f ca="1"/>
      </c>
      <c r="AR914">
        <f ca="1"/>
      </c>
      <c r="AT914" s="7">
        <f ca="1"/>
      </c>
      <c r="AU914">
        <f ca="1"/>
      </c>
      <c r="AV914">
        <f ca="1"/>
      </c>
      <c r="AW914">
        <f ca="1"/>
      </c>
      <c r="AX914">
        <f ca="1"/>
      </c>
      <c r="AY914">
        <f ca="1"/>
      </c>
      <c r="BA914" s="7"/>
    </row>
    <row r="915" spans="31:53" x14ac:dyDescent="0.55000000000000004">
      <c r="AE915" s="7">
        <f ca="1"/>
      </c>
      <c r="AF915">
        <f ca="1"/>
      </c>
      <c r="AG915">
        <f ca="1"/>
      </c>
      <c r="AH915">
        <f ca="1"/>
      </c>
      <c r="AI915">
        <f ca="1"/>
      </c>
      <c r="AJ915">
        <f ca="1"/>
      </c>
      <c r="AK915">
        <f ca="1"/>
      </c>
      <c r="AL915">
        <f ca="1"/>
      </c>
      <c r="AM915">
        <f ca="1"/>
      </c>
      <c r="AN915">
        <f ca="1"/>
      </c>
      <c r="AO915">
        <f ca="1"/>
      </c>
      <c r="AP915">
        <f ca="1"/>
      </c>
      <c r="AQ915">
        <f ca="1"/>
      </c>
      <c r="AR915">
        <f ca="1"/>
      </c>
      <c r="AT915" s="7">
        <f ca="1"/>
      </c>
      <c r="AU915">
        <f ca="1"/>
      </c>
      <c r="AV915">
        <f ca="1"/>
      </c>
      <c r="AW915">
        <f ca="1"/>
      </c>
      <c r="AX915">
        <f ca="1"/>
      </c>
      <c r="AY915">
        <f ca="1"/>
      </c>
      <c r="BA915" s="7"/>
    </row>
    <row r="916" spans="31:53" x14ac:dyDescent="0.55000000000000004">
      <c r="AE916" s="7">
        <f ca="1"/>
      </c>
      <c r="AF916">
        <f ca="1"/>
      </c>
      <c r="AG916">
        <f ca="1"/>
      </c>
      <c r="AH916">
        <f ca="1"/>
      </c>
      <c r="AI916">
        <f ca="1"/>
      </c>
      <c r="AJ916">
        <f ca="1"/>
      </c>
      <c r="AK916">
        <f ca="1"/>
      </c>
      <c r="AL916">
        <f ca="1"/>
      </c>
      <c r="AM916">
        <f ca="1"/>
      </c>
      <c r="AN916">
        <f ca="1"/>
      </c>
      <c r="AO916">
        <f ca="1"/>
      </c>
      <c r="AP916">
        <f ca="1"/>
      </c>
      <c r="AQ916">
        <f ca="1"/>
      </c>
      <c r="AR916">
        <f ca="1"/>
      </c>
      <c r="AT916" s="7">
        <f ca="1"/>
      </c>
      <c r="AU916">
        <f ca="1"/>
      </c>
      <c r="AV916">
        <f ca="1"/>
      </c>
      <c r="AW916">
        <f ca="1"/>
      </c>
      <c r="AX916">
        <f ca="1"/>
      </c>
      <c r="AY916">
        <f ca="1"/>
      </c>
      <c r="BA916" s="7"/>
    </row>
    <row r="917" spans="31:53" x14ac:dyDescent="0.55000000000000004">
      <c r="AE917" s="7">
        <f ca="1"/>
      </c>
      <c r="AF917">
        <f ca="1"/>
      </c>
      <c r="AG917">
        <f ca="1"/>
      </c>
      <c r="AH917">
        <f ca="1"/>
      </c>
      <c r="AI917">
        <f ca="1"/>
      </c>
      <c r="AJ917">
        <f ca="1"/>
      </c>
      <c r="AK917">
        <f ca="1"/>
      </c>
      <c r="AL917">
        <f ca="1"/>
      </c>
      <c r="AM917">
        <f ca="1"/>
      </c>
      <c r="AN917">
        <f ca="1"/>
      </c>
      <c r="AO917">
        <f ca="1"/>
      </c>
      <c r="AP917">
        <f ca="1"/>
      </c>
      <c r="AQ917">
        <f ca="1"/>
      </c>
      <c r="AR917">
        <f ca="1"/>
      </c>
      <c r="AT917" s="7">
        <f ca="1"/>
      </c>
      <c r="AU917">
        <f ca="1"/>
      </c>
      <c r="AV917">
        <f ca="1"/>
      </c>
      <c r="AW917">
        <f ca="1"/>
      </c>
      <c r="AX917">
        <f ca="1"/>
      </c>
      <c r="AY917">
        <f ca="1"/>
      </c>
      <c r="BA917" s="7"/>
    </row>
    <row r="918" spans="31:53" x14ac:dyDescent="0.55000000000000004">
      <c r="AE918" s="7">
        <f ca="1"/>
      </c>
      <c r="AF918">
        <f ca="1"/>
      </c>
      <c r="AG918">
        <f ca="1"/>
      </c>
      <c r="AH918">
        <f ca="1"/>
      </c>
      <c r="AI918">
        <f ca="1"/>
      </c>
      <c r="AJ918">
        <f ca="1"/>
      </c>
      <c r="AK918">
        <f ca="1"/>
      </c>
      <c r="AL918">
        <f ca="1"/>
      </c>
      <c r="AM918">
        <f ca="1"/>
      </c>
      <c r="AN918">
        <f ca="1"/>
      </c>
      <c r="AO918">
        <f ca="1"/>
      </c>
      <c r="AP918">
        <f ca="1"/>
      </c>
      <c r="AQ918">
        <f ca="1"/>
      </c>
      <c r="AR918">
        <f ca="1"/>
      </c>
      <c r="AT918" s="7">
        <f ca="1"/>
      </c>
      <c r="AU918">
        <f ca="1"/>
      </c>
      <c r="AV918">
        <f ca="1"/>
      </c>
      <c r="AW918">
        <f ca="1"/>
      </c>
      <c r="AX918">
        <f ca="1"/>
      </c>
      <c r="AY918">
        <f ca="1"/>
      </c>
      <c r="BA918" s="7"/>
    </row>
    <row r="919" spans="31:53" x14ac:dyDescent="0.55000000000000004">
      <c r="AE919" s="7">
        <f ca="1"/>
      </c>
      <c r="AF919">
        <f ca="1"/>
      </c>
      <c r="AG919">
        <f ca="1"/>
      </c>
      <c r="AH919">
        <f ca="1"/>
      </c>
      <c r="AI919">
        <f ca="1"/>
      </c>
      <c r="AJ919">
        <f ca="1"/>
      </c>
      <c r="AK919">
        <f ca="1"/>
      </c>
      <c r="AL919">
        <f ca="1"/>
      </c>
      <c r="AM919">
        <f ca="1"/>
      </c>
      <c r="AN919">
        <f ca="1"/>
      </c>
      <c r="AO919">
        <f ca="1"/>
      </c>
      <c r="AP919">
        <f ca="1"/>
      </c>
      <c r="AQ919">
        <f ca="1"/>
      </c>
      <c r="AR919">
        <f ca="1"/>
      </c>
      <c r="AT919" s="7">
        <f ca="1"/>
      </c>
      <c r="AU919">
        <f ca="1"/>
      </c>
      <c r="AV919">
        <f ca="1"/>
      </c>
      <c r="AW919">
        <f ca="1"/>
      </c>
      <c r="AX919">
        <f ca="1"/>
      </c>
      <c r="AY919">
        <f ca="1"/>
      </c>
      <c r="BA919" s="7"/>
    </row>
    <row r="920" spans="31:53" x14ac:dyDescent="0.55000000000000004">
      <c r="AE920" s="7">
        <f ca="1"/>
      </c>
      <c r="AF920">
        <f ca="1"/>
      </c>
      <c r="AG920">
        <f ca="1"/>
      </c>
      <c r="AH920">
        <f ca="1"/>
      </c>
      <c r="AI920">
        <f ca="1"/>
      </c>
      <c r="AJ920">
        <f ca="1"/>
      </c>
      <c r="AK920">
        <f ca="1"/>
      </c>
      <c r="AL920">
        <f ca="1"/>
      </c>
      <c r="AM920">
        <f ca="1"/>
      </c>
      <c r="AN920">
        <f ca="1"/>
      </c>
      <c r="AO920">
        <f ca="1"/>
      </c>
      <c r="AP920">
        <f ca="1"/>
      </c>
      <c r="AQ920">
        <f ca="1"/>
      </c>
      <c r="AR920">
        <f ca="1"/>
      </c>
      <c r="AT920" s="7">
        <f ca="1"/>
      </c>
      <c r="AU920">
        <f ca="1"/>
      </c>
      <c r="AV920">
        <f ca="1"/>
      </c>
      <c r="AW920">
        <f ca="1"/>
      </c>
      <c r="AX920">
        <f ca="1"/>
      </c>
      <c r="AY920">
        <f ca="1"/>
      </c>
      <c r="BA920" s="7"/>
    </row>
    <row r="921" spans="31:53" x14ac:dyDescent="0.55000000000000004">
      <c r="AE921" s="7">
        <f ca="1"/>
      </c>
      <c r="AF921">
        <f ca="1"/>
      </c>
      <c r="AG921">
        <f ca="1"/>
      </c>
      <c r="AH921">
        <f ca="1"/>
      </c>
      <c r="AI921">
        <f ca="1"/>
      </c>
      <c r="AJ921">
        <f ca="1"/>
      </c>
      <c r="AK921">
        <f ca="1"/>
      </c>
      <c r="AL921">
        <f ca="1"/>
      </c>
      <c r="AM921">
        <f ca="1"/>
      </c>
      <c r="AN921">
        <f ca="1"/>
      </c>
      <c r="AO921">
        <f ca="1"/>
      </c>
      <c r="AP921">
        <f ca="1"/>
      </c>
      <c r="AQ921">
        <f ca="1"/>
      </c>
      <c r="AR921">
        <f ca="1"/>
      </c>
      <c r="AT921" s="7">
        <f ca="1"/>
      </c>
      <c r="AU921">
        <f ca="1"/>
      </c>
      <c r="AV921">
        <f ca="1"/>
      </c>
      <c r="AW921">
        <f ca="1"/>
      </c>
      <c r="AX921">
        <f ca="1"/>
      </c>
      <c r="AY921">
        <f ca="1"/>
      </c>
      <c r="BA921" s="7"/>
    </row>
    <row r="922" spans="31:53" x14ac:dyDescent="0.55000000000000004">
      <c r="AE922" s="7">
        <f ca="1"/>
      </c>
      <c r="AF922">
        <f ca="1"/>
      </c>
      <c r="AG922">
        <f ca="1"/>
      </c>
      <c r="AH922">
        <f ca="1"/>
      </c>
      <c r="AI922">
        <f ca="1"/>
      </c>
      <c r="AJ922">
        <f ca="1"/>
      </c>
      <c r="AK922">
        <f ca="1"/>
      </c>
      <c r="AL922">
        <f ca="1"/>
      </c>
      <c r="AM922">
        <f ca="1"/>
      </c>
      <c r="AN922">
        <f ca="1"/>
      </c>
      <c r="AO922">
        <f ca="1"/>
      </c>
      <c r="AP922">
        <f ca="1"/>
      </c>
      <c r="AQ922">
        <f ca="1"/>
      </c>
      <c r="AR922">
        <f ca="1"/>
      </c>
      <c r="AT922" s="7">
        <f ca="1"/>
      </c>
      <c r="AU922">
        <f ca="1"/>
      </c>
      <c r="AV922">
        <f ca="1"/>
      </c>
      <c r="AW922">
        <f ca="1"/>
      </c>
      <c r="AX922">
        <f ca="1"/>
      </c>
      <c r="AY922">
        <f ca="1"/>
      </c>
      <c r="BA922" s="7"/>
    </row>
    <row r="923" spans="31:53" x14ac:dyDescent="0.55000000000000004">
      <c r="AE923" s="7">
        <f ca="1"/>
      </c>
      <c r="AF923">
        <f ca="1"/>
      </c>
      <c r="AG923">
        <f ca="1"/>
      </c>
      <c r="AH923">
        <f ca="1"/>
      </c>
      <c r="AI923">
        <f ca="1"/>
      </c>
      <c r="AJ923">
        <f ca="1"/>
      </c>
      <c r="AK923">
        <f ca="1"/>
      </c>
      <c r="AL923">
        <f ca="1"/>
      </c>
      <c r="AM923">
        <f ca="1"/>
      </c>
      <c r="AN923">
        <f ca="1"/>
      </c>
      <c r="AO923">
        <f ca="1"/>
      </c>
      <c r="AP923">
        <f ca="1"/>
      </c>
      <c r="AQ923">
        <f ca="1"/>
      </c>
      <c r="AR923">
        <f ca="1"/>
      </c>
      <c r="AT923" s="7">
        <f ca="1"/>
      </c>
      <c r="AU923">
        <f ca="1"/>
      </c>
      <c r="AV923">
        <f ca="1"/>
      </c>
      <c r="AW923">
        <f ca="1"/>
      </c>
      <c r="AX923">
        <f ca="1"/>
      </c>
      <c r="AY923">
        <f ca="1"/>
      </c>
      <c r="BA923" s="7"/>
    </row>
    <row r="924" spans="31:53" x14ac:dyDescent="0.55000000000000004">
      <c r="AE924" s="7">
        <f ca="1"/>
      </c>
      <c r="AF924">
        <f ca="1"/>
      </c>
      <c r="AG924">
        <f ca="1"/>
      </c>
      <c r="AH924">
        <f ca="1"/>
      </c>
      <c r="AI924">
        <f ca="1"/>
      </c>
      <c r="AJ924">
        <f ca="1"/>
      </c>
      <c r="AK924">
        <f ca="1"/>
      </c>
      <c r="AL924">
        <f ca="1"/>
      </c>
      <c r="AM924">
        <f ca="1"/>
      </c>
      <c r="AN924">
        <f ca="1"/>
      </c>
      <c r="AO924">
        <f ca="1"/>
      </c>
      <c r="AP924">
        <f ca="1"/>
      </c>
      <c r="AQ924">
        <f ca="1"/>
      </c>
      <c r="AR924">
        <f ca="1"/>
      </c>
      <c r="AT924" s="7">
        <f ca="1"/>
      </c>
      <c r="AU924">
        <f ca="1"/>
      </c>
      <c r="AV924">
        <f ca="1"/>
      </c>
      <c r="AW924">
        <f ca="1"/>
      </c>
      <c r="AX924">
        <f ca="1"/>
      </c>
      <c r="AY924">
        <f ca="1"/>
      </c>
      <c r="BA924" s="7"/>
    </row>
    <row r="925" spans="31:53" x14ac:dyDescent="0.55000000000000004">
      <c r="AE925" s="7">
        <f ca="1"/>
      </c>
      <c r="AF925">
        <f ca="1"/>
      </c>
      <c r="AG925">
        <f ca="1"/>
      </c>
      <c r="AH925">
        <f ca="1"/>
      </c>
      <c r="AI925">
        <f ca="1"/>
      </c>
      <c r="AJ925">
        <f ca="1"/>
      </c>
      <c r="AK925">
        <f ca="1"/>
      </c>
      <c r="AL925">
        <f ca="1"/>
      </c>
      <c r="AM925">
        <f ca="1"/>
      </c>
      <c r="AN925">
        <f ca="1"/>
      </c>
      <c r="AO925">
        <f ca="1"/>
      </c>
      <c r="AP925">
        <f ca="1"/>
      </c>
      <c r="AQ925">
        <f ca="1"/>
      </c>
      <c r="AR925">
        <f ca="1"/>
      </c>
      <c r="AT925" s="7">
        <f ca="1"/>
      </c>
      <c r="AU925">
        <f ca="1"/>
      </c>
      <c r="AV925">
        <f ca="1"/>
      </c>
      <c r="AW925">
        <f ca="1"/>
      </c>
      <c r="AX925">
        <f ca="1"/>
      </c>
      <c r="AY925">
        <f ca="1"/>
      </c>
      <c r="BA925" s="7"/>
    </row>
    <row r="926" spans="31:53" x14ac:dyDescent="0.55000000000000004">
      <c r="AE926" s="7">
        <f ca="1"/>
      </c>
      <c r="AF926">
        <f ca="1"/>
      </c>
      <c r="AG926">
        <f ca="1"/>
      </c>
      <c r="AH926">
        <f ca="1"/>
      </c>
      <c r="AI926">
        <f ca="1"/>
      </c>
      <c r="AJ926">
        <f ca="1"/>
      </c>
      <c r="AK926">
        <f ca="1"/>
      </c>
      <c r="AL926">
        <f ca="1"/>
      </c>
      <c r="AM926">
        <f ca="1"/>
      </c>
      <c r="AN926">
        <f ca="1"/>
      </c>
      <c r="AO926">
        <f ca="1"/>
      </c>
      <c r="AP926">
        <f ca="1"/>
      </c>
      <c r="AQ926">
        <f ca="1"/>
      </c>
      <c r="AR926">
        <f ca="1"/>
      </c>
      <c r="AT926" s="7">
        <f ca="1"/>
      </c>
      <c r="AU926">
        <f ca="1"/>
      </c>
      <c r="AV926">
        <f ca="1"/>
      </c>
      <c r="AW926">
        <f ca="1"/>
      </c>
      <c r="AX926">
        <f ca="1"/>
      </c>
      <c r="AY926">
        <f ca="1"/>
      </c>
      <c r="BA926" s="7"/>
    </row>
    <row r="927" spans="31:53" x14ac:dyDescent="0.55000000000000004">
      <c r="AE927" s="7">
        <f ca="1"/>
      </c>
      <c r="AF927">
        <f ca="1"/>
      </c>
      <c r="AG927">
        <f ca="1"/>
      </c>
      <c r="AH927">
        <f ca="1"/>
      </c>
      <c r="AI927">
        <f ca="1"/>
      </c>
      <c r="AJ927">
        <f ca="1"/>
      </c>
      <c r="AK927">
        <f ca="1"/>
      </c>
      <c r="AL927">
        <f ca="1"/>
      </c>
      <c r="AM927">
        <f ca="1"/>
      </c>
      <c r="AN927">
        <f ca="1"/>
      </c>
      <c r="AO927">
        <f ca="1"/>
      </c>
      <c r="AP927">
        <f ca="1"/>
      </c>
      <c r="AQ927">
        <f ca="1"/>
      </c>
      <c r="AR927">
        <f ca="1"/>
      </c>
      <c r="AT927" s="7">
        <f ca="1"/>
      </c>
      <c r="AU927">
        <f ca="1"/>
      </c>
      <c r="AV927">
        <f ca="1"/>
      </c>
      <c r="AW927">
        <f ca="1"/>
      </c>
      <c r="AX927">
        <f ca="1"/>
      </c>
      <c r="AY927">
        <f ca="1"/>
      </c>
      <c r="BA927" s="7"/>
    </row>
    <row r="928" spans="31:53" x14ac:dyDescent="0.55000000000000004">
      <c r="AE928" s="7">
        <f ca="1"/>
      </c>
      <c r="AF928">
        <f ca="1"/>
      </c>
      <c r="AG928">
        <f ca="1"/>
      </c>
      <c r="AH928">
        <f ca="1"/>
      </c>
      <c r="AI928">
        <f ca="1"/>
      </c>
      <c r="AJ928">
        <f ca="1"/>
      </c>
      <c r="AK928">
        <f ca="1"/>
      </c>
      <c r="AL928">
        <f ca="1"/>
      </c>
      <c r="AM928">
        <f ca="1"/>
      </c>
      <c r="AN928">
        <f ca="1"/>
      </c>
      <c r="AO928">
        <f ca="1"/>
      </c>
      <c r="AP928">
        <f ca="1"/>
      </c>
      <c r="AQ928">
        <f ca="1"/>
      </c>
      <c r="AR928">
        <f ca="1"/>
      </c>
      <c r="AT928" s="7">
        <f ca="1"/>
      </c>
      <c r="AU928">
        <f ca="1"/>
      </c>
      <c r="AV928">
        <f ca="1"/>
      </c>
      <c r="AW928">
        <f ca="1"/>
      </c>
      <c r="AX928">
        <f ca="1"/>
      </c>
      <c r="AY928">
        <f ca="1"/>
      </c>
      <c r="BA928" s="7"/>
    </row>
    <row r="929" spans="31:53" x14ac:dyDescent="0.55000000000000004">
      <c r="AE929" s="7">
        <f ca="1"/>
      </c>
      <c r="AF929">
        <f ca="1"/>
      </c>
      <c r="AG929">
        <f ca="1"/>
      </c>
      <c r="AH929">
        <f ca="1"/>
      </c>
      <c r="AI929">
        <f ca="1"/>
      </c>
      <c r="AJ929">
        <f ca="1"/>
      </c>
      <c r="AK929">
        <f ca="1"/>
      </c>
      <c r="AL929">
        <f ca="1"/>
      </c>
      <c r="AM929">
        <f ca="1"/>
      </c>
      <c r="AN929">
        <f ca="1"/>
      </c>
      <c r="AO929">
        <f ca="1"/>
      </c>
      <c r="AP929">
        <f ca="1"/>
      </c>
      <c r="AQ929">
        <f ca="1"/>
      </c>
      <c r="AR929">
        <f ca="1"/>
      </c>
      <c r="AT929" s="7">
        <f ca="1"/>
      </c>
      <c r="AU929">
        <f ca="1"/>
      </c>
      <c r="AV929">
        <f ca="1"/>
      </c>
      <c r="AW929">
        <f ca="1"/>
      </c>
      <c r="AX929">
        <f ca="1"/>
      </c>
      <c r="AY929">
        <f ca="1"/>
      </c>
      <c r="BA929" s="7"/>
    </row>
    <row r="930" spans="31:53" x14ac:dyDescent="0.55000000000000004">
      <c r="AE930" s="7">
        <f ca="1"/>
      </c>
      <c r="AF930">
        <f ca="1"/>
      </c>
      <c r="AG930">
        <f ca="1"/>
      </c>
      <c r="AH930">
        <f ca="1"/>
      </c>
      <c r="AI930">
        <f ca="1"/>
      </c>
      <c r="AJ930">
        <f ca="1"/>
      </c>
      <c r="AK930">
        <f ca="1"/>
      </c>
      <c r="AL930">
        <f ca="1"/>
      </c>
      <c r="AM930">
        <f ca="1"/>
      </c>
      <c r="AN930">
        <f ca="1"/>
      </c>
      <c r="AO930">
        <f ca="1"/>
      </c>
      <c r="AP930">
        <f ca="1"/>
      </c>
      <c r="AQ930">
        <f ca="1"/>
      </c>
      <c r="AR930">
        <f ca="1"/>
      </c>
      <c r="AT930" s="7">
        <f ca="1"/>
      </c>
      <c r="AU930">
        <f ca="1"/>
      </c>
      <c r="AV930">
        <f ca="1"/>
      </c>
      <c r="AW930">
        <f ca="1"/>
      </c>
      <c r="AX930">
        <f ca="1"/>
      </c>
      <c r="AY930">
        <f ca="1"/>
      </c>
      <c r="BA930" s="7"/>
    </row>
    <row r="931" spans="31:53" x14ac:dyDescent="0.55000000000000004">
      <c r="AE931" s="7">
        <f ca="1"/>
      </c>
      <c r="AF931">
        <f ca="1"/>
      </c>
      <c r="AG931">
        <f ca="1"/>
      </c>
      <c r="AH931">
        <f ca="1"/>
      </c>
      <c r="AI931">
        <f ca="1"/>
      </c>
      <c r="AJ931">
        <f ca="1"/>
      </c>
      <c r="AK931">
        <f ca="1"/>
      </c>
      <c r="AL931">
        <f ca="1"/>
      </c>
      <c r="AM931">
        <f ca="1"/>
      </c>
      <c r="AN931">
        <f ca="1"/>
      </c>
      <c r="AO931">
        <f ca="1"/>
      </c>
      <c r="AP931">
        <f ca="1"/>
      </c>
      <c r="AQ931">
        <f ca="1"/>
      </c>
      <c r="AR931">
        <f ca="1"/>
      </c>
      <c r="AT931" s="7">
        <f ca="1"/>
      </c>
      <c r="AU931">
        <f ca="1"/>
      </c>
      <c r="AV931">
        <f ca="1"/>
      </c>
      <c r="AW931">
        <f ca="1"/>
      </c>
      <c r="AX931">
        <f ca="1"/>
      </c>
      <c r="AY931">
        <f ca="1"/>
      </c>
      <c r="BA931" s="7"/>
    </row>
    <row r="932" spans="31:53" x14ac:dyDescent="0.55000000000000004">
      <c r="AE932" s="7">
        <f ca="1"/>
      </c>
      <c r="AF932">
        <f ca="1"/>
      </c>
      <c r="AG932">
        <f ca="1"/>
      </c>
      <c r="AH932">
        <f ca="1"/>
      </c>
      <c r="AI932">
        <f ca="1"/>
      </c>
      <c r="AJ932">
        <f ca="1"/>
      </c>
      <c r="AK932">
        <f ca="1"/>
      </c>
      <c r="AL932">
        <f ca="1"/>
      </c>
      <c r="AM932">
        <f ca="1"/>
      </c>
      <c r="AN932">
        <f ca="1"/>
      </c>
      <c r="AO932">
        <f ca="1"/>
      </c>
      <c r="AP932">
        <f ca="1"/>
      </c>
      <c r="AQ932">
        <f ca="1"/>
      </c>
      <c r="AR932">
        <f ca="1"/>
      </c>
      <c r="AT932" s="7">
        <f ca="1"/>
      </c>
      <c r="AU932">
        <f ca="1"/>
      </c>
      <c r="AV932">
        <f ca="1"/>
      </c>
      <c r="AW932">
        <f ca="1"/>
      </c>
      <c r="AX932">
        <f ca="1"/>
      </c>
      <c r="AY932">
        <f ca="1"/>
      </c>
      <c r="BA932" s="7"/>
    </row>
    <row r="933" spans="31:53" x14ac:dyDescent="0.55000000000000004">
      <c r="AE933" s="7">
        <f ca="1"/>
      </c>
      <c r="AF933">
        <f ca="1"/>
      </c>
      <c r="AG933">
        <f ca="1"/>
      </c>
      <c r="AH933">
        <f ca="1"/>
      </c>
      <c r="AI933">
        <f ca="1"/>
      </c>
      <c r="AJ933">
        <f ca="1"/>
      </c>
      <c r="AK933">
        <f ca="1"/>
      </c>
      <c r="AL933">
        <f ca="1"/>
      </c>
      <c r="AM933">
        <f ca="1"/>
      </c>
      <c r="AN933">
        <f ca="1"/>
      </c>
      <c r="AO933">
        <f ca="1"/>
      </c>
      <c r="AP933">
        <f ca="1"/>
      </c>
      <c r="AQ933">
        <f ca="1"/>
      </c>
      <c r="AR933">
        <f ca="1"/>
      </c>
      <c r="AT933" s="7">
        <f ca="1"/>
      </c>
      <c r="AU933">
        <f ca="1"/>
      </c>
      <c r="AV933">
        <f ca="1"/>
      </c>
      <c r="AW933">
        <f ca="1"/>
      </c>
      <c r="AX933">
        <f ca="1"/>
      </c>
      <c r="AY933">
        <f ca="1"/>
      </c>
      <c r="BA933" s="7"/>
    </row>
    <row r="934" spans="31:53" x14ac:dyDescent="0.55000000000000004">
      <c r="AE934" s="7">
        <f ca="1"/>
      </c>
      <c r="AF934">
        <f ca="1"/>
      </c>
      <c r="AG934">
        <f ca="1"/>
      </c>
      <c r="AH934">
        <f ca="1"/>
      </c>
      <c r="AI934">
        <f ca="1"/>
      </c>
      <c r="AJ934">
        <f ca="1"/>
      </c>
      <c r="AK934">
        <f ca="1"/>
      </c>
      <c r="AL934">
        <f ca="1"/>
      </c>
      <c r="AM934">
        <f ca="1"/>
      </c>
      <c r="AN934">
        <f ca="1"/>
      </c>
      <c r="AO934">
        <f ca="1"/>
      </c>
      <c r="AP934">
        <f ca="1"/>
      </c>
      <c r="AQ934">
        <f ca="1"/>
      </c>
      <c r="AR934">
        <f ca="1"/>
      </c>
      <c r="AT934" s="7">
        <f ca="1"/>
      </c>
      <c r="AU934">
        <f ca="1"/>
      </c>
      <c r="AV934">
        <f ca="1"/>
      </c>
      <c r="AW934">
        <f ca="1"/>
      </c>
      <c r="AX934">
        <f ca="1"/>
      </c>
      <c r="AY934">
        <f ca="1"/>
      </c>
      <c r="BA934" s="7"/>
    </row>
    <row r="935" spans="31:53" x14ac:dyDescent="0.55000000000000004">
      <c r="AE935" s="7">
        <f ca="1"/>
      </c>
      <c r="AF935">
        <f ca="1"/>
      </c>
      <c r="AG935">
        <f ca="1"/>
      </c>
      <c r="AH935">
        <f ca="1"/>
      </c>
      <c r="AI935">
        <f ca="1"/>
      </c>
      <c r="AJ935">
        <f ca="1"/>
      </c>
      <c r="AK935">
        <f ca="1"/>
      </c>
      <c r="AL935">
        <f ca="1"/>
      </c>
      <c r="AM935">
        <f ca="1"/>
      </c>
      <c r="AN935">
        <f ca="1"/>
      </c>
      <c r="AO935">
        <f ca="1"/>
      </c>
      <c r="AP935">
        <f ca="1"/>
      </c>
      <c r="AQ935">
        <f ca="1"/>
      </c>
      <c r="AR935">
        <f ca="1"/>
      </c>
      <c r="AT935" s="7">
        <f ca="1"/>
      </c>
      <c r="AU935">
        <f ca="1"/>
      </c>
      <c r="AV935">
        <f ca="1"/>
      </c>
      <c r="AW935">
        <f ca="1"/>
      </c>
      <c r="AX935">
        <f ca="1"/>
      </c>
      <c r="AY935">
        <f ca="1"/>
      </c>
      <c r="BA935" s="7"/>
    </row>
    <row r="936" spans="31:53" x14ac:dyDescent="0.55000000000000004">
      <c r="AE936" s="7">
        <f ca="1"/>
      </c>
      <c r="AF936">
        <f ca="1"/>
      </c>
      <c r="AG936">
        <f ca="1"/>
      </c>
      <c r="AH936">
        <f ca="1"/>
      </c>
      <c r="AI936">
        <f ca="1"/>
      </c>
      <c r="AJ936">
        <f ca="1"/>
      </c>
      <c r="AK936">
        <f ca="1"/>
      </c>
      <c r="AL936">
        <f ca="1"/>
      </c>
      <c r="AM936">
        <f ca="1"/>
      </c>
      <c r="AN936">
        <f ca="1"/>
      </c>
      <c r="AO936">
        <f ca="1"/>
      </c>
      <c r="AP936">
        <f ca="1"/>
      </c>
      <c r="AQ936">
        <f ca="1"/>
      </c>
      <c r="AR936">
        <f ca="1"/>
      </c>
      <c r="AT936" s="7">
        <f ca="1"/>
      </c>
      <c r="AU936">
        <f ca="1"/>
      </c>
      <c r="AV936">
        <f ca="1"/>
      </c>
      <c r="AW936">
        <f ca="1"/>
      </c>
      <c r="AX936">
        <f ca="1"/>
      </c>
      <c r="AY936">
        <f ca="1"/>
      </c>
      <c r="BA936" s="7"/>
    </row>
    <row r="937" spans="31:53" x14ac:dyDescent="0.55000000000000004">
      <c r="AE937" s="7">
        <f ca="1"/>
      </c>
      <c r="AF937">
        <f ca="1"/>
      </c>
      <c r="AG937">
        <f ca="1"/>
      </c>
      <c r="AH937">
        <f ca="1"/>
      </c>
      <c r="AI937">
        <f ca="1"/>
      </c>
      <c r="AJ937">
        <f ca="1"/>
      </c>
      <c r="AK937">
        <f ca="1"/>
      </c>
      <c r="AL937">
        <f ca="1"/>
      </c>
      <c r="AM937">
        <f ca="1"/>
      </c>
      <c r="AN937">
        <f ca="1"/>
      </c>
      <c r="AO937">
        <f ca="1"/>
      </c>
      <c r="AP937">
        <f ca="1"/>
      </c>
      <c r="AQ937">
        <f ca="1"/>
      </c>
      <c r="AR937">
        <f ca="1"/>
      </c>
      <c r="AT937" s="7">
        <f ca="1"/>
      </c>
      <c r="AU937">
        <f ca="1"/>
      </c>
      <c r="AV937">
        <f ca="1"/>
      </c>
      <c r="AW937">
        <f ca="1"/>
      </c>
      <c r="AX937">
        <f ca="1"/>
      </c>
      <c r="AY937">
        <f ca="1"/>
      </c>
      <c r="BA937" s="7"/>
    </row>
    <row r="938" spans="31:53" x14ac:dyDescent="0.55000000000000004">
      <c r="AE938" s="7">
        <f ca="1"/>
      </c>
      <c r="AF938">
        <f ca="1"/>
      </c>
      <c r="AG938">
        <f ca="1"/>
      </c>
      <c r="AH938">
        <f ca="1"/>
      </c>
      <c r="AI938">
        <f ca="1"/>
      </c>
      <c r="AJ938">
        <f ca="1"/>
      </c>
      <c r="AK938">
        <f ca="1"/>
      </c>
      <c r="AL938">
        <f ca="1"/>
      </c>
      <c r="AM938">
        <f ca="1"/>
      </c>
      <c r="AN938">
        <f ca="1"/>
      </c>
      <c r="AO938">
        <f ca="1"/>
      </c>
      <c r="AP938">
        <f ca="1"/>
      </c>
      <c r="AQ938">
        <f ca="1"/>
      </c>
      <c r="AR938">
        <f ca="1"/>
      </c>
      <c r="AT938" s="7">
        <f ca="1"/>
      </c>
      <c r="AU938">
        <f ca="1"/>
      </c>
      <c r="AV938">
        <f ca="1"/>
      </c>
      <c r="AW938">
        <f ca="1"/>
      </c>
      <c r="AX938">
        <f ca="1"/>
      </c>
      <c r="AY938">
        <f ca="1"/>
      </c>
      <c r="BA938" s="7"/>
    </row>
    <row r="939" spans="31:53" x14ac:dyDescent="0.55000000000000004">
      <c r="AE939" s="7">
        <f ca="1"/>
      </c>
      <c r="AF939">
        <f ca="1"/>
      </c>
      <c r="AG939">
        <f ca="1"/>
      </c>
      <c r="AH939">
        <f ca="1"/>
      </c>
      <c r="AI939">
        <f ca="1"/>
      </c>
      <c r="AJ939">
        <f ca="1"/>
      </c>
      <c r="AK939">
        <f ca="1"/>
      </c>
      <c r="AL939">
        <f ca="1"/>
      </c>
      <c r="AM939">
        <f ca="1"/>
      </c>
      <c r="AN939">
        <f ca="1"/>
      </c>
      <c r="AO939">
        <f ca="1"/>
      </c>
      <c r="AP939">
        <f ca="1"/>
      </c>
      <c r="AQ939">
        <f ca="1"/>
      </c>
      <c r="AR939">
        <f ca="1"/>
      </c>
      <c r="AT939" s="7">
        <f ca="1"/>
      </c>
      <c r="AU939">
        <f ca="1"/>
      </c>
      <c r="AV939">
        <f ca="1"/>
      </c>
      <c r="AW939">
        <f ca="1"/>
      </c>
      <c r="AX939">
        <f ca="1"/>
      </c>
      <c r="AY939">
        <f ca="1"/>
      </c>
      <c r="BA939" s="7"/>
    </row>
    <row r="940" spans="31:53" x14ac:dyDescent="0.55000000000000004">
      <c r="AE940" s="7">
        <f ca="1"/>
      </c>
      <c r="AF940">
        <f ca="1"/>
      </c>
      <c r="AG940">
        <f ca="1"/>
      </c>
      <c r="AH940">
        <f ca="1"/>
      </c>
      <c r="AI940">
        <f ca="1"/>
      </c>
      <c r="AJ940">
        <f ca="1"/>
      </c>
      <c r="AK940">
        <f ca="1"/>
      </c>
      <c r="AL940">
        <f ca="1"/>
      </c>
      <c r="AM940">
        <f ca="1"/>
      </c>
      <c r="AN940">
        <f ca="1"/>
      </c>
      <c r="AO940">
        <f ca="1"/>
      </c>
      <c r="AP940">
        <f ca="1"/>
      </c>
      <c r="AQ940">
        <f ca="1"/>
      </c>
      <c r="AR940">
        <f ca="1"/>
      </c>
      <c r="AT940" s="7">
        <f ca="1"/>
      </c>
      <c r="AU940">
        <f ca="1"/>
      </c>
      <c r="AV940">
        <f ca="1"/>
      </c>
      <c r="AW940">
        <f ca="1"/>
      </c>
      <c r="AX940">
        <f ca="1"/>
      </c>
      <c r="AY940">
        <f ca="1"/>
      </c>
      <c r="BA940" s="7"/>
    </row>
    <row r="941" spans="31:53" x14ac:dyDescent="0.55000000000000004">
      <c r="AE941" s="7">
        <f ca="1"/>
      </c>
      <c r="AF941">
        <f ca="1"/>
      </c>
      <c r="AG941">
        <f ca="1"/>
      </c>
      <c r="AH941">
        <f ca="1"/>
      </c>
      <c r="AI941">
        <f ca="1"/>
      </c>
      <c r="AJ941">
        <f ca="1"/>
      </c>
      <c r="AK941">
        <f ca="1"/>
      </c>
      <c r="AL941">
        <f ca="1"/>
      </c>
      <c r="AM941">
        <f ca="1"/>
      </c>
      <c r="AN941">
        <f ca="1"/>
      </c>
      <c r="AO941">
        <f ca="1"/>
      </c>
      <c r="AP941">
        <f ca="1"/>
      </c>
      <c r="AQ941">
        <f ca="1"/>
      </c>
      <c r="AR941">
        <f ca="1"/>
      </c>
      <c r="AT941" s="7">
        <f ca="1"/>
      </c>
      <c r="AU941">
        <f ca="1"/>
      </c>
      <c r="AV941">
        <f ca="1"/>
      </c>
      <c r="AW941">
        <f ca="1"/>
      </c>
      <c r="AX941">
        <f ca="1"/>
      </c>
      <c r="AY941">
        <f ca="1"/>
      </c>
      <c r="BA941" s="7"/>
    </row>
    <row r="942" spans="31:53" x14ac:dyDescent="0.55000000000000004">
      <c r="AE942" s="7">
        <f ca="1"/>
      </c>
      <c r="AF942">
        <f ca="1"/>
      </c>
      <c r="AG942">
        <f ca="1"/>
      </c>
      <c r="AH942">
        <f ca="1"/>
      </c>
      <c r="AI942">
        <f ca="1"/>
      </c>
      <c r="AJ942">
        <f ca="1"/>
      </c>
      <c r="AK942">
        <f ca="1"/>
      </c>
      <c r="AL942">
        <f ca="1"/>
      </c>
      <c r="AM942">
        <f ca="1"/>
      </c>
      <c r="AN942">
        <f ca="1"/>
      </c>
      <c r="AO942">
        <f ca="1"/>
      </c>
      <c r="AP942">
        <f ca="1"/>
      </c>
      <c r="AQ942">
        <f ca="1"/>
      </c>
      <c r="AR942">
        <f ca="1"/>
      </c>
      <c r="AT942" s="7">
        <f ca="1"/>
      </c>
      <c r="AU942">
        <f ca="1"/>
      </c>
      <c r="AV942">
        <f ca="1"/>
      </c>
      <c r="AW942">
        <f ca="1"/>
      </c>
      <c r="AX942">
        <f ca="1"/>
      </c>
      <c r="AY942">
        <f ca="1"/>
      </c>
      <c r="BA942" s="7"/>
    </row>
    <row r="943" spans="31:53" x14ac:dyDescent="0.55000000000000004">
      <c r="AE943" s="7">
        <f ca="1"/>
      </c>
      <c r="AF943">
        <f ca="1"/>
      </c>
      <c r="AG943">
        <f ca="1"/>
      </c>
      <c r="AH943">
        <f ca="1"/>
      </c>
      <c r="AI943">
        <f ca="1"/>
      </c>
      <c r="AJ943">
        <f ca="1"/>
      </c>
      <c r="AK943">
        <f ca="1"/>
      </c>
      <c r="AL943">
        <f ca="1"/>
      </c>
      <c r="AM943">
        <f ca="1"/>
      </c>
      <c r="AN943">
        <f ca="1"/>
      </c>
      <c r="AO943">
        <f ca="1"/>
      </c>
      <c r="AP943">
        <f ca="1"/>
      </c>
      <c r="AQ943">
        <f ca="1"/>
      </c>
      <c r="AR943">
        <f ca="1"/>
      </c>
      <c r="AT943" s="7">
        <f ca="1"/>
      </c>
      <c r="AU943">
        <f ca="1"/>
      </c>
      <c r="AV943">
        <f ca="1"/>
      </c>
      <c r="AW943">
        <f ca="1"/>
      </c>
      <c r="AX943">
        <f ca="1"/>
      </c>
      <c r="AY943">
        <f ca="1"/>
      </c>
      <c r="BA943" s="7"/>
    </row>
    <row r="944" spans="31:53" x14ac:dyDescent="0.55000000000000004">
      <c r="AE944" s="7">
        <f ca="1"/>
      </c>
      <c r="AF944">
        <f ca="1"/>
      </c>
      <c r="AG944">
        <f ca="1"/>
      </c>
      <c r="AH944">
        <f ca="1"/>
      </c>
      <c r="AI944">
        <f ca="1"/>
      </c>
      <c r="AJ944">
        <f ca="1"/>
      </c>
      <c r="AK944">
        <f ca="1"/>
      </c>
      <c r="AL944">
        <f ca="1"/>
      </c>
      <c r="AM944">
        <f ca="1"/>
      </c>
      <c r="AN944">
        <f ca="1"/>
      </c>
      <c r="AO944">
        <f ca="1"/>
      </c>
      <c r="AP944">
        <f ca="1"/>
      </c>
      <c r="AQ944">
        <f ca="1"/>
      </c>
      <c r="AR944">
        <f ca="1"/>
      </c>
      <c r="AT944" s="7">
        <f ca="1"/>
      </c>
      <c r="AU944">
        <f ca="1"/>
      </c>
      <c r="AV944">
        <f ca="1"/>
      </c>
      <c r="AW944">
        <f ca="1"/>
      </c>
      <c r="AX944">
        <f ca="1"/>
      </c>
      <c r="AY944">
        <f ca="1"/>
      </c>
      <c r="BA944" s="7"/>
    </row>
    <row r="945" spans="31:53" x14ac:dyDescent="0.55000000000000004">
      <c r="AE945" s="7">
        <f ca="1"/>
      </c>
      <c r="AF945">
        <f ca="1"/>
      </c>
      <c r="AG945">
        <f ca="1"/>
      </c>
      <c r="AH945">
        <f ca="1"/>
      </c>
      <c r="AI945">
        <f ca="1"/>
      </c>
      <c r="AJ945">
        <f ca="1"/>
      </c>
      <c r="AK945">
        <f ca="1"/>
      </c>
      <c r="AL945">
        <f ca="1"/>
      </c>
      <c r="AM945">
        <f ca="1"/>
      </c>
      <c r="AN945">
        <f ca="1"/>
      </c>
      <c r="AO945">
        <f ca="1"/>
      </c>
      <c r="AP945">
        <f ca="1"/>
      </c>
      <c r="AQ945">
        <f ca="1"/>
      </c>
      <c r="AR945">
        <f ca="1"/>
      </c>
      <c r="AT945" s="7">
        <f ca="1"/>
      </c>
      <c r="AU945">
        <f ca="1"/>
      </c>
      <c r="AV945">
        <f ca="1"/>
      </c>
      <c r="AW945">
        <f ca="1"/>
      </c>
      <c r="AX945">
        <f ca="1"/>
      </c>
      <c r="AY945">
        <f ca="1"/>
      </c>
      <c r="BA945" s="7"/>
    </row>
    <row r="946" spans="31:53" x14ac:dyDescent="0.55000000000000004">
      <c r="AE946" s="7">
        <f ca="1"/>
      </c>
      <c r="AF946">
        <f ca="1"/>
      </c>
      <c r="AG946">
        <f ca="1"/>
      </c>
      <c r="AH946">
        <f ca="1"/>
      </c>
      <c r="AI946">
        <f ca="1"/>
      </c>
      <c r="AJ946">
        <f ca="1"/>
      </c>
      <c r="AK946">
        <f ca="1"/>
      </c>
      <c r="AL946">
        <f ca="1"/>
      </c>
      <c r="AM946">
        <f ca="1"/>
      </c>
      <c r="AN946">
        <f ca="1"/>
      </c>
      <c r="AO946">
        <f ca="1"/>
      </c>
      <c r="AP946">
        <f ca="1"/>
      </c>
      <c r="AQ946">
        <f ca="1"/>
      </c>
      <c r="AR946">
        <f ca="1"/>
      </c>
      <c r="AT946" s="7">
        <f ca="1"/>
      </c>
      <c r="AU946">
        <f ca="1"/>
      </c>
      <c r="AV946">
        <f ca="1"/>
      </c>
      <c r="AW946">
        <f ca="1"/>
      </c>
      <c r="AX946">
        <f ca="1"/>
      </c>
      <c r="AY946">
        <f ca="1"/>
      </c>
      <c r="BA946" s="7"/>
    </row>
    <row r="947" spans="31:53" x14ac:dyDescent="0.55000000000000004">
      <c r="AE947" s="7">
        <f ca="1"/>
      </c>
      <c r="AF947">
        <f ca="1"/>
      </c>
      <c r="AG947">
        <f ca="1"/>
      </c>
      <c r="AH947">
        <f ca="1"/>
      </c>
      <c r="AI947">
        <f ca="1"/>
      </c>
      <c r="AJ947">
        <f ca="1"/>
      </c>
      <c r="AK947">
        <f ca="1"/>
      </c>
      <c r="AL947">
        <f ca="1"/>
      </c>
      <c r="AM947">
        <f ca="1"/>
      </c>
      <c r="AN947">
        <f ca="1"/>
      </c>
      <c r="AO947">
        <f ca="1"/>
      </c>
      <c r="AP947">
        <f ca="1"/>
      </c>
      <c r="AQ947">
        <f ca="1"/>
      </c>
      <c r="AR947">
        <f ca="1"/>
      </c>
      <c r="AT947" s="7">
        <f ca="1"/>
      </c>
      <c r="AU947">
        <f ca="1"/>
      </c>
      <c r="AV947">
        <f ca="1"/>
      </c>
      <c r="AW947">
        <f ca="1"/>
      </c>
      <c r="AX947">
        <f ca="1"/>
      </c>
      <c r="AY947">
        <f ca="1"/>
      </c>
      <c r="BA947" s="7"/>
    </row>
    <row r="948" spans="31:53" x14ac:dyDescent="0.55000000000000004">
      <c r="AE948" s="7">
        <f ca="1"/>
      </c>
      <c r="AF948">
        <f ca="1"/>
      </c>
      <c r="AG948">
        <f ca="1"/>
      </c>
      <c r="AH948">
        <f ca="1"/>
      </c>
      <c r="AI948">
        <f ca="1"/>
      </c>
      <c r="AJ948">
        <f ca="1"/>
      </c>
      <c r="AK948">
        <f ca="1"/>
      </c>
      <c r="AL948">
        <f ca="1"/>
      </c>
      <c r="AM948">
        <f ca="1"/>
      </c>
      <c r="AN948">
        <f ca="1"/>
      </c>
      <c r="AO948">
        <f ca="1"/>
      </c>
      <c r="AP948">
        <f ca="1"/>
      </c>
      <c r="AQ948">
        <f ca="1"/>
      </c>
      <c r="AR948">
        <f ca="1"/>
      </c>
      <c r="AT948" s="7">
        <f ca="1"/>
      </c>
      <c r="AU948">
        <f ca="1"/>
      </c>
      <c r="AV948">
        <f ca="1"/>
      </c>
      <c r="AW948">
        <f ca="1"/>
      </c>
      <c r="AX948">
        <f ca="1"/>
      </c>
      <c r="AY948">
        <f ca="1"/>
      </c>
      <c r="BA948" s="7"/>
    </row>
    <row r="949" spans="31:53" x14ac:dyDescent="0.55000000000000004">
      <c r="AE949" s="7">
        <f ca="1"/>
      </c>
      <c r="AF949">
        <f ca="1"/>
      </c>
      <c r="AG949">
        <f ca="1"/>
      </c>
      <c r="AH949">
        <f ca="1"/>
      </c>
      <c r="AI949">
        <f ca="1"/>
      </c>
      <c r="AJ949">
        <f ca="1"/>
      </c>
      <c r="AK949">
        <f ca="1"/>
      </c>
      <c r="AL949">
        <f ca="1"/>
      </c>
      <c r="AM949">
        <f ca="1"/>
      </c>
      <c r="AN949">
        <f ca="1"/>
      </c>
      <c r="AO949">
        <f ca="1"/>
      </c>
      <c r="AP949">
        <f ca="1"/>
      </c>
      <c r="AQ949">
        <f ca="1"/>
      </c>
      <c r="AR949">
        <f ca="1"/>
      </c>
      <c r="AT949" s="7">
        <f ca="1"/>
      </c>
      <c r="AU949">
        <f ca="1"/>
      </c>
      <c r="AV949">
        <f ca="1"/>
      </c>
      <c r="AW949">
        <f ca="1"/>
      </c>
      <c r="AX949">
        <f ca="1"/>
      </c>
      <c r="AY949">
        <f ca="1"/>
      </c>
      <c r="BA949" s="7"/>
    </row>
    <row r="950" spans="31:53" x14ac:dyDescent="0.55000000000000004">
      <c r="AE950" s="7">
        <f ca="1"/>
      </c>
      <c r="AF950">
        <f ca="1"/>
      </c>
      <c r="AG950">
        <f ca="1"/>
      </c>
      <c r="AH950">
        <f ca="1"/>
      </c>
      <c r="AI950">
        <f ca="1"/>
      </c>
      <c r="AJ950">
        <f ca="1"/>
      </c>
      <c r="AK950">
        <f ca="1"/>
      </c>
      <c r="AL950">
        <f ca="1"/>
      </c>
      <c r="AM950">
        <f ca="1"/>
      </c>
      <c r="AN950">
        <f ca="1"/>
      </c>
      <c r="AO950">
        <f ca="1"/>
      </c>
      <c r="AP950">
        <f ca="1"/>
      </c>
      <c r="AQ950">
        <f ca="1"/>
      </c>
      <c r="AR950">
        <f ca="1"/>
      </c>
      <c r="AT950" s="7">
        <f ca="1"/>
      </c>
      <c r="AU950">
        <f ca="1"/>
      </c>
      <c r="AV950">
        <f ca="1"/>
      </c>
      <c r="AW950">
        <f ca="1"/>
      </c>
      <c r="AX950">
        <f ca="1"/>
      </c>
      <c r="AY950">
        <f ca="1"/>
      </c>
      <c r="BA950" s="7"/>
    </row>
    <row r="951" spans="31:53" x14ac:dyDescent="0.55000000000000004">
      <c r="AE951" s="7">
        <f ca="1"/>
      </c>
      <c r="AF951">
        <f ca="1"/>
      </c>
      <c r="AG951">
        <f ca="1"/>
      </c>
      <c r="AH951">
        <f ca="1"/>
      </c>
      <c r="AI951">
        <f ca="1"/>
      </c>
      <c r="AJ951">
        <f ca="1"/>
      </c>
      <c r="AK951">
        <f ca="1"/>
      </c>
      <c r="AL951">
        <f ca="1"/>
      </c>
      <c r="AM951">
        <f ca="1"/>
      </c>
      <c r="AN951">
        <f ca="1"/>
      </c>
      <c r="AO951">
        <f ca="1"/>
      </c>
      <c r="AP951">
        <f ca="1"/>
      </c>
      <c r="AQ951">
        <f ca="1"/>
      </c>
      <c r="AR951">
        <f ca="1"/>
      </c>
      <c r="AT951" s="7">
        <f ca="1"/>
      </c>
      <c r="AU951">
        <f ca="1"/>
      </c>
      <c r="AV951">
        <f ca="1"/>
      </c>
      <c r="AW951">
        <f ca="1"/>
      </c>
      <c r="AX951">
        <f ca="1"/>
      </c>
      <c r="AY951">
        <f ca="1"/>
      </c>
      <c r="BA951" s="7"/>
    </row>
    <row r="952" spans="31:53" x14ac:dyDescent="0.55000000000000004">
      <c r="AE952" s="7">
        <f ca="1"/>
      </c>
      <c r="AF952">
        <f ca="1"/>
      </c>
      <c r="AG952">
        <f ca="1"/>
      </c>
      <c r="AH952">
        <f ca="1"/>
      </c>
      <c r="AI952">
        <f ca="1"/>
      </c>
      <c r="AJ952">
        <f ca="1"/>
      </c>
      <c r="AK952">
        <f ca="1"/>
      </c>
      <c r="AL952">
        <f ca="1"/>
      </c>
      <c r="AM952">
        <f ca="1"/>
      </c>
      <c r="AN952">
        <f ca="1"/>
      </c>
      <c r="AO952">
        <f ca="1"/>
      </c>
      <c r="AP952">
        <f ca="1"/>
      </c>
      <c r="AQ952">
        <f ca="1"/>
      </c>
      <c r="AR952">
        <f ca="1"/>
      </c>
      <c r="AT952" s="7">
        <f ca="1"/>
      </c>
      <c r="AU952">
        <f ca="1"/>
      </c>
      <c r="AV952">
        <f ca="1"/>
      </c>
      <c r="AW952">
        <f ca="1"/>
      </c>
      <c r="AX952">
        <f ca="1"/>
      </c>
      <c r="AY952">
        <f ca="1"/>
      </c>
      <c r="BA952" s="7"/>
    </row>
    <row r="953" spans="31:53" x14ac:dyDescent="0.55000000000000004">
      <c r="AE953" s="7">
        <f ca="1"/>
      </c>
      <c r="AF953">
        <f ca="1"/>
      </c>
      <c r="AG953">
        <f ca="1"/>
      </c>
      <c r="AH953">
        <f ca="1"/>
      </c>
      <c r="AI953">
        <f ca="1"/>
      </c>
      <c r="AJ953">
        <f ca="1"/>
      </c>
      <c r="AK953">
        <f ca="1"/>
      </c>
      <c r="AL953">
        <f ca="1"/>
      </c>
      <c r="AM953">
        <f ca="1"/>
      </c>
      <c r="AN953">
        <f ca="1"/>
      </c>
      <c r="AO953">
        <f ca="1"/>
      </c>
      <c r="AP953">
        <f ca="1"/>
      </c>
      <c r="AQ953">
        <f ca="1"/>
      </c>
      <c r="AR953">
        <f ca="1"/>
      </c>
      <c r="AT953" s="7">
        <f ca="1"/>
      </c>
      <c r="AU953">
        <f ca="1"/>
      </c>
      <c r="AV953">
        <f ca="1"/>
      </c>
      <c r="AW953">
        <f ca="1"/>
      </c>
      <c r="AX953">
        <f ca="1"/>
      </c>
      <c r="AY953">
        <f ca="1"/>
      </c>
      <c r="BA953" s="7"/>
    </row>
    <row r="954" spans="31:53" x14ac:dyDescent="0.55000000000000004">
      <c r="AE954" s="7">
        <f ca="1"/>
      </c>
      <c r="AF954">
        <f ca="1"/>
      </c>
      <c r="AG954">
        <f ca="1"/>
      </c>
      <c r="AH954">
        <f ca="1"/>
      </c>
      <c r="AI954">
        <f ca="1"/>
      </c>
      <c r="AJ954">
        <f ca="1"/>
      </c>
      <c r="AK954">
        <f ca="1"/>
      </c>
      <c r="AL954">
        <f ca="1"/>
      </c>
      <c r="AM954">
        <f ca="1"/>
      </c>
      <c r="AN954">
        <f ca="1"/>
      </c>
      <c r="AO954">
        <f ca="1"/>
      </c>
      <c r="AP954">
        <f ca="1"/>
      </c>
      <c r="AQ954">
        <f ca="1"/>
      </c>
      <c r="AR954">
        <f ca="1"/>
      </c>
      <c r="AT954" s="7">
        <f ca="1"/>
      </c>
      <c r="AU954">
        <f ca="1"/>
      </c>
      <c r="AV954">
        <f ca="1"/>
      </c>
      <c r="AW954">
        <f ca="1"/>
      </c>
      <c r="AX954">
        <f ca="1"/>
      </c>
      <c r="AY954">
        <f ca="1"/>
      </c>
      <c r="BA954" s="7"/>
    </row>
    <row r="955" spans="31:53" x14ac:dyDescent="0.55000000000000004">
      <c r="AE955" s="7">
        <f ca="1"/>
      </c>
      <c r="AF955">
        <f ca="1"/>
      </c>
      <c r="AG955">
        <f ca="1"/>
      </c>
      <c r="AH955">
        <f ca="1"/>
      </c>
      <c r="AI955">
        <f ca="1"/>
      </c>
      <c r="AJ955">
        <f ca="1"/>
      </c>
      <c r="AK955">
        <f ca="1"/>
      </c>
      <c r="AL955">
        <f ca="1"/>
      </c>
      <c r="AM955">
        <f ca="1"/>
      </c>
      <c r="AN955">
        <f ca="1"/>
      </c>
      <c r="AO955">
        <f ca="1"/>
      </c>
      <c r="AP955">
        <f ca="1"/>
      </c>
      <c r="AQ955">
        <f ca="1"/>
      </c>
      <c r="AR955">
        <f ca="1"/>
      </c>
      <c r="AT955" s="7">
        <f ca="1"/>
      </c>
      <c r="AU955">
        <f ca="1"/>
      </c>
      <c r="AV955">
        <f ca="1"/>
      </c>
      <c r="AW955">
        <f ca="1"/>
      </c>
      <c r="AX955">
        <f ca="1"/>
      </c>
      <c r="AY955">
        <f ca="1"/>
      </c>
      <c r="BA955" s="7"/>
    </row>
    <row r="956" spans="31:53" x14ac:dyDescent="0.55000000000000004">
      <c r="AE956" s="7">
        <f ca="1"/>
      </c>
      <c r="AF956">
        <f ca="1"/>
      </c>
      <c r="AG956">
        <f ca="1"/>
      </c>
      <c r="AH956">
        <f ca="1"/>
      </c>
      <c r="AI956">
        <f ca="1"/>
      </c>
      <c r="AJ956">
        <f ca="1"/>
      </c>
      <c r="AK956">
        <f ca="1"/>
      </c>
      <c r="AL956">
        <f ca="1"/>
      </c>
      <c r="AM956">
        <f ca="1"/>
      </c>
      <c r="AN956">
        <f ca="1"/>
      </c>
      <c r="AO956">
        <f ca="1"/>
      </c>
      <c r="AP956">
        <f ca="1"/>
      </c>
      <c r="AQ956">
        <f ca="1"/>
      </c>
      <c r="AR956">
        <f ca="1"/>
      </c>
      <c r="AT956" s="7">
        <f ca="1"/>
      </c>
      <c r="AU956">
        <f ca="1"/>
      </c>
      <c r="AV956">
        <f ca="1"/>
      </c>
      <c r="AW956">
        <f ca="1"/>
      </c>
      <c r="AX956">
        <f ca="1"/>
      </c>
      <c r="AY956">
        <f ca="1"/>
      </c>
      <c r="BA956" s="7"/>
    </row>
    <row r="957" spans="31:53" x14ac:dyDescent="0.55000000000000004">
      <c r="AE957" s="7">
        <f ca="1"/>
      </c>
      <c r="AF957">
        <f ca="1"/>
      </c>
      <c r="AG957">
        <f ca="1"/>
      </c>
      <c r="AH957">
        <f ca="1"/>
      </c>
      <c r="AI957">
        <f ca="1"/>
      </c>
      <c r="AJ957">
        <f ca="1"/>
      </c>
      <c r="AK957">
        <f ca="1"/>
      </c>
      <c r="AL957">
        <f ca="1"/>
      </c>
      <c r="AM957">
        <f ca="1"/>
      </c>
      <c r="AN957">
        <f ca="1"/>
      </c>
      <c r="AO957">
        <f ca="1"/>
      </c>
      <c r="AP957">
        <f ca="1"/>
      </c>
      <c r="AQ957">
        <f ca="1"/>
      </c>
      <c r="AR957">
        <f ca="1"/>
      </c>
      <c r="AT957" s="7">
        <f ca="1"/>
      </c>
      <c r="AU957">
        <f ca="1"/>
      </c>
      <c r="AV957">
        <f ca="1"/>
      </c>
      <c r="AW957">
        <f ca="1"/>
      </c>
      <c r="AX957">
        <f ca="1"/>
      </c>
      <c r="AY957">
        <f ca="1"/>
      </c>
      <c r="BA957" s="7"/>
    </row>
    <row r="958" spans="31:53" x14ac:dyDescent="0.55000000000000004">
      <c r="AE958" s="7">
        <f ca="1"/>
      </c>
      <c r="AF958">
        <f ca="1"/>
      </c>
      <c r="AG958">
        <f ca="1"/>
      </c>
      <c r="AH958">
        <f ca="1"/>
      </c>
      <c r="AI958">
        <f ca="1"/>
      </c>
      <c r="AJ958">
        <f ca="1"/>
      </c>
      <c r="AK958">
        <f ca="1"/>
      </c>
      <c r="AL958">
        <f ca="1"/>
      </c>
      <c r="AM958">
        <f ca="1"/>
      </c>
      <c r="AN958">
        <f ca="1"/>
      </c>
      <c r="AO958">
        <f ca="1"/>
      </c>
      <c r="AP958">
        <f ca="1"/>
      </c>
      <c r="AQ958">
        <f ca="1"/>
      </c>
      <c r="AR958">
        <f ca="1"/>
      </c>
      <c r="AT958" s="7">
        <f ca="1"/>
      </c>
      <c r="AU958">
        <f ca="1"/>
      </c>
      <c r="AV958">
        <f ca="1"/>
      </c>
      <c r="AW958">
        <f ca="1"/>
      </c>
      <c r="AX958">
        <f ca="1"/>
      </c>
      <c r="AY958">
        <f ca="1"/>
      </c>
      <c r="BA958" s="7"/>
    </row>
    <row r="959" spans="31:53" x14ac:dyDescent="0.55000000000000004">
      <c r="AE959" s="7">
        <f ca="1"/>
      </c>
      <c r="AF959">
        <f ca="1"/>
      </c>
      <c r="AG959">
        <f ca="1"/>
      </c>
      <c r="AH959">
        <f ca="1"/>
      </c>
      <c r="AI959">
        <f ca="1"/>
      </c>
      <c r="AJ959">
        <f ca="1"/>
      </c>
      <c r="AK959">
        <f ca="1"/>
      </c>
      <c r="AL959">
        <f ca="1"/>
      </c>
      <c r="AM959">
        <f ca="1"/>
      </c>
      <c r="AN959">
        <f ca="1"/>
      </c>
      <c r="AO959">
        <f ca="1"/>
      </c>
      <c r="AP959">
        <f ca="1"/>
      </c>
      <c r="AQ959">
        <f ca="1"/>
      </c>
      <c r="AR959">
        <f ca="1"/>
      </c>
      <c r="AT959" s="7">
        <f ca="1"/>
      </c>
      <c r="AU959">
        <f ca="1"/>
      </c>
      <c r="AV959">
        <f ca="1"/>
      </c>
      <c r="AW959">
        <f ca="1"/>
      </c>
      <c r="AX959">
        <f ca="1"/>
      </c>
      <c r="AY959">
        <f ca="1"/>
      </c>
      <c r="BA959" s="7"/>
    </row>
    <row r="960" spans="31:53" x14ac:dyDescent="0.55000000000000004">
      <c r="AE960" s="7">
        <f ca="1"/>
      </c>
      <c r="AF960">
        <f ca="1"/>
      </c>
      <c r="AG960">
        <f ca="1"/>
      </c>
      <c r="AH960">
        <f ca="1"/>
      </c>
      <c r="AI960">
        <f ca="1"/>
      </c>
      <c r="AJ960">
        <f ca="1"/>
      </c>
      <c r="AK960">
        <f ca="1"/>
      </c>
      <c r="AL960">
        <f ca="1"/>
      </c>
      <c r="AM960">
        <f ca="1"/>
      </c>
      <c r="AN960">
        <f ca="1"/>
      </c>
      <c r="AO960">
        <f ca="1"/>
      </c>
      <c r="AP960">
        <f ca="1"/>
      </c>
      <c r="AQ960">
        <f ca="1"/>
      </c>
      <c r="AR960">
        <f ca="1"/>
      </c>
      <c r="AT960" s="7">
        <f ca="1"/>
      </c>
      <c r="AU960">
        <f ca="1"/>
      </c>
      <c r="AV960">
        <f ca="1"/>
      </c>
      <c r="AW960">
        <f ca="1"/>
      </c>
      <c r="AX960">
        <f ca="1"/>
      </c>
      <c r="AY960">
        <f ca="1"/>
      </c>
      <c r="BA960" s="7"/>
    </row>
    <row r="961" spans="31:53" x14ac:dyDescent="0.55000000000000004">
      <c r="AE961" s="7">
        <f ca="1"/>
      </c>
      <c r="AF961">
        <f ca="1"/>
      </c>
      <c r="AG961">
        <f ca="1"/>
      </c>
      <c r="AH961">
        <f ca="1"/>
      </c>
      <c r="AI961">
        <f ca="1"/>
      </c>
      <c r="AJ961">
        <f ca="1"/>
      </c>
      <c r="AK961">
        <f ca="1"/>
      </c>
      <c r="AL961">
        <f ca="1"/>
      </c>
      <c r="AM961">
        <f ca="1"/>
      </c>
      <c r="AN961">
        <f ca="1"/>
      </c>
      <c r="AO961">
        <f ca="1"/>
      </c>
      <c r="AP961">
        <f ca="1"/>
      </c>
      <c r="AQ961">
        <f ca="1"/>
      </c>
      <c r="AR961">
        <f ca="1"/>
      </c>
      <c r="AT961" s="7">
        <f ca="1"/>
      </c>
      <c r="AU961">
        <f ca="1"/>
      </c>
      <c r="AV961">
        <f ca="1"/>
      </c>
      <c r="AW961">
        <f ca="1"/>
      </c>
      <c r="AX961">
        <f ca="1"/>
      </c>
      <c r="AY961">
        <f ca="1"/>
      </c>
      <c r="BA961" s="7"/>
    </row>
    <row r="962" spans="31:53" x14ac:dyDescent="0.55000000000000004">
      <c r="AE962" s="7">
        <f ca="1"/>
      </c>
      <c r="AF962">
        <f ca="1"/>
      </c>
      <c r="AG962">
        <f ca="1"/>
      </c>
      <c r="AH962">
        <f ca="1"/>
      </c>
      <c r="AI962">
        <f ca="1"/>
      </c>
      <c r="AJ962">
        <f ca="1"/>
      </c>
      <c r="AK962">
        <f ca="1"/>
      </c>
      <c r="AL962">
        <f ca="1"/>
      </c>
      <c r="AM962">
        <f ca="1"/>
      </c>
      <c r="AN962">
        <f ca="1"/>
      </c>
      <c r="AO962">
        <f ca="1"/>
      </c>
      <c r="AP962">
        <f ca="1"/>
      </c>
      <c r="AQ962">
        <f ca="1"/>
      </c>
      <c r="AR962">
        <f ca="1"/>
      </c>
      <c r="AT962" s="7">
        <f ca="1"/>
      </c>
      <c r="AU962">
        <f ca="1"/>
      </c>
      <c r="AV962">
        <f ca="1"/>
      </c>
      <c r="AW962">
        <f ca="1"/>
      </c>
      <c r="AX962">
        <f ca="1"/>
      </c>
      <c r="AY962">
        <f ca="1"/>
      </c>
      <c r="BA962" s="7"/>
    </row>
    <row r="963" spans="31:53" x14ac:dyDescent="0.55000000000000004">
      <c r="AE963" s="7">
        <f ca="1"/>
      </c>
      <c r="AF963">
        <f ca="1"/>
      </c>
      <c r="AG963">
        <f ca="1"/>
      </c>
      <c r="AH963">
        <f ca="1"/>
      </c>
      <c r="AI963">
        <f ca="1"/>
      </c>
      <c r="AJ963">
        <f ca="1"/>
      </c>
      <c r="AK963">
        <f ca="1"/>
      </c>
      <c r="AL963">
        <f ca="1"/>
      </c>
      <c r="AM963">
        <f ca="1"/>
      </c>
      <c r="AN963">
        <f ca="1"/>
      </c>
      <c r="AO963">
        <f ca="1"/>
      </c>
      <c r="AP963">
        <f ca="1"/>
      </c>
      <c r="AQ963">
        <f ca="1"/>
      </c>
      <c r="AR963">
        <f ca="1"/>
      </c>
      <c r="AT963" s="7">
        <f ca="1"/>
      </c>
      <c r="AU963">
        <f ca="1"/>
      </c>
      <c r="AV963">
        <f ca="1"/>
      </c>
      <c r="AW963">
        <f ca="1"/>
      </c>
      <c r="AX963">
        <f ca="1"/>
      </c>
      <c r="AY963">
        <f ca="1"/>
      </c>
      <c r="BA963" s="7"/>
    </row>
    <row r="964" spans="31:53" x14ac:dyDescent="0.55000000000000004">
      <c r="AE964" s="7">
        <f ca="1"/>
      </c>
      <c r="AF964">
        <f ca="1"/>
      </c>
      <c r="AG964">
        <f ca="1"/>
      </c>
      <c r="AH964">
        <f ca="1"/>
      </c>
      <c r="AI964">
        <f ca="1"/>
      </c>
      <c r="AJ964">
        <f ca="1"/>
      </c>
      <c r="AK964">
        <f ca="1"/>
      </c>
      <c r="AL964">
        <f ca="1"/>
      </c>
      <c r="AM964">
        <f ca="1"/>
      </c>
      <c r="AN964">
        <f ca="1"/>
      </c>
      <c r="AO964">
        <f ca="1"/>
      </c>
      <c r="AP964">
        <f ca="1"/>
      </c>
      <c r="AQ964">
        <f ca="1"/>
      </c>
      <c r="AR964">
        <f ca="1"/>
      </c>
      <c r="AT964" s="7">
        <f ca="1"/>
      </c>
      <c r="AU964">
        <f ca="1"/>
      </c>
      <c r="AV964">
        <f ca="1"/>
      </c>
      <c r="AW964">
        <f ca="1"/>
      </c>
      <c r="AX964">
        <f ca="1"/>
      </c>
      <c r="AY964">
        <f ca="1"/>
      </c>
      <c r="BA964" s="7"/>
    </row>
    <row r="965" spans="31:53" x14ac:dyDescent="0.55000000000000004">
      <c r="AE965" s="7">
        <f ca="1"/>
      </c>
      <c r="AF965">
        <f ca="1"/>
      </c>
      <c r="AG965">
        <f ca="1"/>
      </c>
      <c r="AH965">
        <f ca="1"/>
      </c>
      <c r="AI965">
        <f ca="1"/>
      </c>
      <c r="AJ965">
        <f ca="1"/>
      </c>
      <c r="AK965">
        <f ca="1"/>
      </c>
      <c r="AL965">
        <f ca="1"/>
      </c>
      <c r="AM965">
        <f ca="1"/>
      </c>
      <c r="AN965">
        <f ca="1"/>
      </c>
      <c r="AO965">
        <f ca="1"/>
      </c>
      <c r="AP965">
        <f ca="1"/>
      </c>
      <c r="AQ965">
        <f ca="1"/>
      </c>
      <c r="AR965">
        <f ca="1"/>
      </c>
      <c r="AT965" s="7">
        <f ca="1"/>
      </c>
      <c r="AU965">
        <f ca="1"/>
      </c>
      <c r="AV965">
        <f ca="1"/>
      </c>
      <c r="AW965">
        <f ca="1"/>
      </c>
      <c r="AX965">
        <f ca="1"/>
      </c>
      <c r="AY965">
        <f ca="1"/>
      </c>
      <c r="BA965" s="7"/>
    </row>
    <row r="966" spans="31:53" x14ac:dyDescent="0.55000000000000004">
      <c r="AE966" s="7">
        <f ca="1"/>
      </c>
      <c r="AF966">
        <f ca="1"/>
      </c>
      <c r="AG966">
        <f ca="1"/>
      </c>
      <c r="AH966">
        <f ca="1"/>
      </c>
      <c r="AI966">
        <f ca="1"/>
      </c>
      <c r="AJ966">
        <f ca="1"/>
      </c>
      <c r="AK966">
        <f ca="1"/>
      </c>
      <c r="AL966">
        <f ca="1"/>
      </c>
      <c r="AM966">
        <f ca="1"/>
      </c>
      <c r="AN966">
        <f ca="1"/>
      </c>
      <c r="AO966">
        <f ca="1"/>
      </c>
      <c r="AP966">
        <f ca="1"/>
      </c>
      <c r="AQ966">
        <f ca="1"/>
      </c>
      <c r="AR966">
        <f ca="1"/>
      </c>
      <c r="AT966" s="7">
        <f ca="1"/>
      </c>
      <c r="AU966">
        <f ca="1"/>
      </c>
      <c r="AV966">
        <f ca="1"/>
      </c>
      <c r="AW966">
        <f ca="1"/>
      </c>
      <c r="AX966">
        <f ca="1"/>
      </c>
      <c r="AY966">
        <f ca="1"/>
      </c>
      <c r="BA966" s="7"/>
    </row>
    <row r="967" spans="31:53" x14ac:dyDescent="0.55000000000000004">
      <c r="AE967" s="7">
        <f ca="1"/>
      </c>
      <c r="AF967">
        <f ca="1"/>
      </c>
      <c r="AG967">
        <f ca="1"/>
      </c>
      <c r="AH967">
        <f ca="1"/>
      </c>
      <c r="AI967">
        <f ca="1"/>
      </c>
      <c r="AJ967">
        <f ca="1"/>
      </c>
      <c r="AK967">
        <f ca="1"/>
      </c>
      <c r="AL967">
        <f ca="1"/>
      </c>
      <c r="AM967">
        <f ca="1"/>
      </c>
      <c r="AN967">
        <f ca="1"/>
      </c>
      <c r="AO967">
        <f ca="1"/>
      </c>
      <c r="AP967">
        <f ca="1"/>
      </c>
      <c r="AQ967">
        <f ca="1"/>
      </c>
      <c r="AR967">
        <f ca="1"/>
      </c>
      <c r="AT967" s="7">
        <f ca="1"/>
      </c>
      <c r="AU967">
        <f ca="1"/>
      </c>
      <c r="AV967">
        <f ca="1"/>
      </c>
      <c r="AW967">
        <f ca="1"/>
      </c>
      <c r="AX967">
        <f ca="1"/>
      </c>
      <c r="AY967">
        <f ca="1"/>
      </c>
      <c r="BA967" s="7"/>
    </row>
    <row r="968" spans="31:53" x14ac:dyDescent="0.55000000000000004">
      <c r="AE968" s="7">
        <f ca="1"/>
      </c>
      <c r="AF968">
        <f ca="1"/>
      </c>
      <c r="AG968">
        <f ca="1"/>
      </c>
      <c r="AH968">
        <f ca="1"/>
      </c>
      <c r="AI968">
        <f ca="1"/>
      </c>
      <c r="AJ968">
        <f ca="1"/>
      </c>
      <c r="AK968">
        <f ca="1"/>
      </c>
      <c r="AL968">
        <f ca="1"/>
      </c>
      <c r="AM968">
        <f ca="1"/>
      </c>
      <c r="AN968">
        <f ca="1"/>
      </c>
      <c r="AO968">
        <f ca="1"/>
      </c>
      <c r="AP968">
        <f ca="1"/>
      </c>
      <c r="AQ968">
        <f ca="1"/>
      </c>
      <c r="AR968">
        <f ca="1"/>
      </c>
      <c r="AT968" s="7">
        <f ca="1"/>
      </c>
      <c r="AU968">
        <f ca="1"/>
      </c>
      <c r="AV968">
        <f ca="1"/>
      </c>
      <c r="AW968">
        <f ca="1"/>
      </c>
      <c r="AX968">
        <f ca="1"/>
      </c>
      <c r="AY968">
        <f ca="1"/>
      </c>
      <c r="BA968" s="7"/>
    </row>
    <row r="969" spans="31:53" x14ac:dyDescent="0.55000000000000004">
      <c r="AE969" s="7">
        <f ca="1"/>
      </c>
      <c r="AF969">
        <f ca="1"/>
      </c>
      <c r="AG969">
        <f ca="1"/>
      </c>
      <c r="AH969">
        <f ca="1"/>
      </c>
      <c r="AI969">
        <f ca="1"/>
      </c>
      <c r="AJ969">
        <f ca="1"/>
      </c>
      <c r="AK969">
        <f ca="1"/>
      </c>
      <c r="AL969">
        <f ca="1"/>
      </c>
      <c r="AM969">
        <f ca="1"/>
      </c>
      <c r="AN969">
        <f ca="1"/>
      </c>
      <c r="AO969">
        <f ca="1"/>
      </c>
      <c r="AP969">
        <f ca="1"/>
      </c>
      <c r="AQ969">
        <f ca="1"/>
      </c>
      <c r="AR969">
        <f ca="1"/>
      </c>
      <c r="AT969" s="7">
        <f ca="1"/>
      </c>
      <c r="AU969">
        <f ca="1"/>
      </c>
      <c r="AV969">
        <f ca="1"/>
      </c>
      <c r="AW969">
        <f ca="1"/>
      </c>
      <c r="AX969">
        <f ca="1"/>
      </c>
      <c r="AY969">
        <f ca="1"/>
      </c>
      <c r="BA969" s="7"/>
    </row>
    <row r="970" spans="31:53" x14ac:dyDescent="0.55000000000000004">
      <c r="AE970" s="7">
        <f ca="1"/>
      </c>
      <c r="AF970">
        <f ca="1"/>
      </c>
      <c r="AG970">
        <f ca="1"/>
      </c>
      <c r="AH970">
        <f ca="1"/>
      </c>
      <c r="AI970">
        <f ca="1"/>
      </c>
      <c r="AJ970">
        <f ca="1"/>
      </c>
      <c r="AK970">
        <f ca="1"/>
      </c>
      <c r="AL970">
        <f ca="1"/>
      </c>
      <c r="AM970">
        <f ca="1"/>
      </c>
      <c r="AN970">
        <f ca="1"/>
      </c>
      <c r="AO970">
        <f ca="1"/>
      </c>
      <c r="AP970">
        <f ca="1"/>
      </c>
      <c r="AQ970">
        <f ca="1"/>
      </c>
      <c r="AR970">
        <f ca="1"/>
      </c>
      <c r="AT970" s="7">
        <f ca="1"/>
      </c>
      <c r="AU970">
        <f ca="1"/>
      </c>
      <c r="AV970">
        <f ca="1"/>
      </c>
      <c r="AW970">
        <f ca="1"/>
      </c>
      <c r="AX970">
        <f ca="1"/>
      </c>
      <c r="AY970">
        <f ca="1"/>
      </c>
      <c r="BA970" s="7"/>
    </row>
    <row r="971" spans="31:53" x14ac:dyDescent="0.55000000000000004">
      <c r="AE971" s="7">
        <f ca="1"/>
      </c>
      <c r="AF971">
        <f ca="1"/>
      </c>
      <c r="AG971">
        <f ca="1"/>
      </c>
      <c r="AH971">
        <f ca="1"/>
      </c>
      <c r="AI971">
        <f ca="1"/>
      </c>
      <c r="AJ971">
        <f ca="1"/>
      </c>
      <c r="AK971">
        <f ca="1"/>
      </c>
      <c r="AL971">
        <f ca="1"/>
      </c>
      <c r="AM971">
        <f ca="1"/>
      </c>
      <c r="AN971">
        <f ca="1"/>
      </c>
      <c r="AO971">
        <f ca="1"/>
      </c>
      <c r="AP971">
        <f ca="1"/>
      </c>
      <c r="AQ971">
        <f ca="1"/>
      </c>
      <c r="AR971">
        <f ca="1"/>
      </c>
      <c r="AT971" s="7">
        <f ca="1"/>
      </c>
      <c r="AU971">
        <f ca="1"/>
      </c>
      <c r="AV971">
        <f ca="1"/>
      </c>
      <c r="AW971">
        <f ca="1"/>
      </c>
      <c r="AX971">
        <f ca="1"/>
      </c>
      <c r="AY971">
        <f ca="1"/>
      </c>
      <c r="BA971" s="7"/>
    </row>
    <row r="972" spans="31:53" x14ac:dyDescent="0.55000000000000004">
      <c r="AE972" s="7">
        <f ca="1"/>
      </c>
      <c r="AF972">
        <f ca="1"/>
      </c>
      <c r="AG972">
        <f ca="1"/>
      </c>
      <c r="AH972">
        <f ca="1"/>
      </c>
      <c r="AI972">
        <f ca="1"/>
      </c>
      <c r="AJ972">
        <f ca="1"/>
      </c>
      <c r="AK972">
        <f ca="1"/>
      </c>
      <c r="AL972">
        <f ca="1"/>
      </c>
      <c r="AM972">
        <f ca="1"/>
      </c>
      <c r="AN972">
        <f ca="1"/>
      </c>
      <c r="AO972">
        <f ca="1"/>
      </c>
      <c r="AP972">
        <f ca="1"/>
      </c>
      <c r="AQ972">
        <f ca="1"/>
      </c>
      <c r="AR972">
        <f ca="1"/>
      </c>
      <c r="AT972" s="7">
        <f ca="1"/>
      </c>
      <c r="AU972">
        <f ca="1"/>
      </c>
      <c r="AV972">
        <f ca="1"/>
      </c>
      <c r="AW972">
        <f ca="1"/>
      </c>
      <c r="AX972">
        <f ca="1"/>
      </c>
      <c r="AY972">
        <f ca="1"/>
      </c>
      <c r="BA972" s="7"/>
    </row>
    <row r="973" spans="31:53" x14ac:dyDescent="0.55000000000000004">
      <c r="AE973" s="7">
        <f ca="1"/>
      </c>
      <c r="AF973">
        <f ca="1"/>
      </c>
      <c r="AG973">
        <f ca="1"/>
      </c>
      <c r="AH973">
        <f ca="1"/>
      </c>
      <c r="AI973">
        <f ca="1"/>
      </c>
      <c r="AJ973">
        <f ca="1"/>
      </c>
      <c r="AK973">
        <f ca="1"/>
      </c>
      <c r="AL973">
        <f ca="1"/>
      </c>
      <c r="AM973">
        <f ca="1"/>
      </c>
      <c r="AN973">
        <f ca="1"/>
      </c>
      <c r="AO973">
        <f ca="1"/>
      </c>
      <c r="AP973">
        <f ca="1"/>
      </c>
      <c r="AQ973">
        <f ca="1"/>
      </c>
      <c r="AR973">
        <f ca="1"/>
      </c>
      <c r="AT973" s="7">
        <f ca="1"/>
      </c>
      <c r="AU973">
        <f ca="1"/>
      </c>
      <c r="AV973">
        <f ca="1"/>
      </c>
      <c r="AW973">
        <f ca="1"/>
      </c>
      <c r="AX973">
        <f ca="1"/>
      </c>
      <c r="AY973">
        <f ca="1"/>
      </c>
      <c r="BA973" s="7"/>
    </row>
    <row r="974" spans="31:53" x14ac:dyDescent="0.55000000000000004">
      <c r="AE974" s="7">
        <f ca="1"/>
      </c>
      <c r="AF974">
        <f ca="1"/>
      </c>
      <c r="AG974">
        <f ca="1"/>
      </c>
      <c r="AH974">
        <f ca="1"/>
      </c>
      <c r="AI974">
        <f ca="1"/>
      </c>
      <c r="AJ974">
        <f ca="1"/>
      </c>
      <c r="AK974">
        <f ca="1"/>
      </c>
      <c r="AL974">
        <f ca="1"/>
      </c>
      <c r="AM974">
        <f ca="1"/>
      </c>
      <c r="AN974">
        <f ca="1"/>
      </c>
      <c r="AO974">
        <f ca="1"/>
      </c>
      <c r="AP974">
        <f ca="1"/>
      </c>
      <c r="AQ974">
        <f ca="1"/>
      </c>
      <c r="AR974">
        <f ca="1"/>
      </c>
      <c r="AT974" s="7">
        <f ca="1"/>
      </c>
      <c r="AU974">
        <f ca="1"/>
      </c>
      <c r="AV974">
        <f ca="1"/>
      </c>
      <c r="AW974">
        <f ca="1"/>
      </c>
      <c r="AX974">
        <f ca="1"/>
      </c>
      <c r="AY974">
        <f ca="1"/>
      </c>
      <c r="BA974" s="7"/>
    </row>
    <row r="975" spans="31:53" x14ac:dyDescent="0.55000000000000004">
      <c r="AE975" s="7">
        <f ca="1"/>
      </c>
      <c r="AF975">
        <f ca="1"/>
      </c>
      <c r="AG975">
        <f ca="1"/>
      </c>
      <c r="AH975">
        <f ca="1"/>
      </c>
      <c r="AI975">
        <f ca="1"/>
      </c>
      <c r="AJ975">
        <f ca="1"/>
      </c>
      <c r="AK975">
        <f ca="1"/>
      </c>
      <c r="AL975">
        <f ca="1"/>
      </c>
      <c r="AM975">
        <f ca="1"/>
      </c>
      <c r="AN975">
        <f ca="1"/>
      </c>
      <c r="AO975">
        <f ca="1"/>
      </c>
      <c r="AP975">
        <f ca="1"/>
      </c>
      <c r="AQ975">
        <f ca="1"/>
      </c>
      <c r="AR975">
        <f ca="1"/>
      </c>
      <c r="AT975" s="7">
        <f ca="1"/>
      </c>
      <c r="AU975">
        <f ca="1"/>
      </c>
      <c r="AV975">
        <f ca="1"/>
      </c>
      <c r="AW975">
        <f ca="1"/>
      </c>
      <c r="AX975">
        <f ca="1"/>
      </c>
      <c r="AY975">
        <f ca="1"/>
      </c>
      <c r="BA975" s="7"/>
    </row>
    <row r="976" spans="31:53" x14ac:dyDescent="0.55000000000000004">
      <c r="AE976" s="7">
        <f ca="1"/>
      </c>
      <c r="AF976">
        <f ca="1"/>
      </c>
      <c r="AG976">
        <f ca="1"/>
      </c>
      <c r="AH976">
        <f ca="1"/>
      </c>
      <c r="AI976">
        <f ca="1"/>
      </c>
      <c r="AJ976">
        <f ca="1"/>
      </c>
      <c r="AK976">
        <f ca="1"/>
      </c>
      <c r="AL976">
        <f ca="1"/>
      </c>
      <c r="AM976">
        <f ca="1"/>
      </c>
      <c r="AN976">
        <f ca="1"/>
      </c>
      <c r="AO976">
        <f ca="1"/>
      </c>
      <c r="AP976">
        <f ca="1"/>
      </c>
      <c r="AQ976">
        <f ca="1"/>
      </c>
      <c r="AR976">
        <f ca="1"/>
      </c>
      <c r="AT976" s="7">
        <f ca="1"/>
      </c>
      <c r="AU976">
        <f ca="1"/>
      </c>
      <c r="AV976">
        <f ca="1"/>
      </c>
      <c r="AW976">
        <f ca="1"/>
      </c>
      <c r="AX976">
        <f ca="1"/>
      </c>
      <c r="AY976">
        <f ca="1"/>
      </c>
      <c r="BA976" s="7"/>
    </row>
    <row r="977" spans="31:53" x14ac:dyDescent="0.55000000000000004">
      <c r="AE977" s="7">
        <f ca="1"/>
      </c>
      <c r="AF977">
        <f ca="1"/>
      </c>
      <c r="AG977">
        <f ca="1"/>
      </c>
      <c r="AH977">
        <f ca="1"/>
      </c>
      <c r="AI977">
        <f ca="1"/>
      </c>
      <c r="AJ977">
        <f ca="1"/>
      </c>
      <c r="AK977">
        <f ca="1"/>
      </c>
      <c r="AL977">
        <f ca="1"/>
      </c>
      <c r="AM977">
        <f ca="1"/>
      </c>
      <c r="AN977">
        <f ca="1"/>
      </c>
      <c r="AO977">
        <f ca="1"/>
      </c>
      <c r="AP977">
        <f ca="1"/>
      </c>
      <c r="AQ977">
        <f ca="1"/>
      </c>
      <c r="AR977">
        <f ca="1"/>
      </c>
      <c r="AT977" s="7">
        <f ca="1"/>
      </c>
      <c r="AU977">
        <f ca="1"/>
      </c>
      <c r="AV977">
        <f ca="1"/>
      </c>
      <c r="AW977">
        <f ca="1"/>
      </c>
      <c r="AX977">
        <f ca="1"/>
      </c>
      <c r="AY977">
        <f ca="1"/>
      </c>
      <c r="BA977" s="7"/>
    </row>
    <row r="978" spans="31:53" x14ac:dyDescent="0.55000000000000004">
      <c r="AE978" s="7">
        <f ca="1"/>
      </c>
      <c r="AF978">
        <f ca="1"/>
      </c>
      <c r="AG978">
        <f ca="1"/>
      </c>
      <c r="AH978">
        <f ca="1"/>
      </c>
      <c r="AI978">
        <f ca="1"/>
      </c>
      <c r="AJ978">
        <f ca="1"/>
      </c>
      <c r="AK978">
        <f ca="1"/>
      </c>
      <c r="AL978">
        <f ca="1"/>
      </c>
      <c r="AM978">
        <f ca="1"/>
      </c>
      <c r="AN978">
        <f ca="1"/>
      </c>
      <c r="AO978">
        <f ca="1"/>
      </c>
      <c r="AP978">
        <f ca="1"/>
      </c>
      <c r="AQ978">
        <f ca="1"/>
      </c>
      <c r="AR978">
        <f ca="1"/>
      </c>
      <c r="AT978" s="7">
        <f ca="1"/>
      </c>
      <c r="AU978">
        <f ca="1"/>
      </c>
      <c r="AV978">
        <f ca="1"/>
      </c>
      <c r="AW978">
        <f ca="1"/>
      </c>
      <c r="AX978">
        <f ca="1"/>
      </c>
      <c r="AY978">
        <f ca="1"/>
      </c>
      <c r="BA978" s="7"/>
    </row>
    <row r="979" spans="31:53" x14ac:dyDescent="0.55000000000000004">
      <c r="AE979" s="7">
        <f ca="1"/>
      </c>
      <c r="AF979">
        <f ca="1"/>
      </c>
      <c r="AG979">
        <f ca="1"/>
      </c>
      <c r="AH979">
        <f ca="1"/>
      </c>
      <c r="AI979">
        <f ca="1"/>
      </c>
      <c r="AJ979">
        <f ca="1"/>
      </c>
      <c r="AK979">
        <f ca="1"/>
      </c>
      <c r="AL979">
        <f ca="1"/>
      </c>
      <c r="AM979">
        <f ca="1"/>
      </c>
      <c r="AN979">
        <f ca="1"/>
      </c>
      <c r="AO979">
        <f ca="1"/>
      </c>
      <c r="AP979">
        <f ca="1"/>
      </c>
      <c r="AQ979">
        <f ca="1"/>
      </c>
      <c r="AR979">
        <f ca="1"/>
      </c>
      <c r="AT979" s="7">
        <f ca="1"/>
      </c>
      <c r="AU979">
        <f ca="1"/>
      </c>
      <c r="AV979">
        <f ca="1"/>
      </c>
      <c r="AW979">
        <f ca="1"/>
      </c>
      <c r="AX979">
        <f ca="1"/>
      </c>
      <c r="AY979">
        <f ca="1"/>
      </c>
      <c r="BA979" s="7"/>
    </row>
    <row r="980" spans="31:53" x14ac:dyDescent="0.55000000000000004">
      <c r="AE980" s="7">
        <f ca="1"/>
      </c>
      <c r="AF980">
        <f ca="1"/>
      </c>
      <c r="AG980">
        <f ca="1"/>
      </c>
      <c r="AH980">
        <f ca="1"/>
      </c>
      <c r="AI980">
        <f ca="1"/>
      </c>
      <c r="AJ980">
        <f ca="1"/>
      </c>
      <c r="AK980">
        <f ca="1"/>
      </c>
      <c r="AL980">
        <f ca="1"/>
      </c>
      <c r="AM980">
        <f ca="1"/>
      </c>
      <c r="AN980">
        <f ca="1"/>
      </c>
      <c r="AO980">
        <f ca="1"/>
      </c>
      <c r="AP980">
        <f ca="1"/>
      </c>
      <c r="AQ980">
        <f ca="1"/>
      </c>
      <c r="AR980">
        <f ca="1"/>
      </c>
      <c r="AT980" s="7">
        <f ca="1"/>
      </c>
      <c r="AU980">
        <f ca="1"/>
      </c>
      <c r="AV980">
        <f ca="1"/>
      </c>
      <c r="AW980">
        <f ca="1"/>
      </c>
      <c r="AX980">
        <f ca="1"/>
      </c>
      <c r="AY980">
        <f ca="1"/>
      </c>
      <c r="BA980" s="7"/>
    </row>
    <row r="981" spans="31:53" x14ac:dyDescent="0.55000000000000004">
      <c r="AE981" s="7">
        <f ca="1"/>
      </c>
      <c r="AF981">
        <f ca="1"/>
      </c>
      <c r="AG981">
        <f ca="1"/>
      </c>
      <c r="AH981">
        <f ca="1"/>
      </c>
      <c r="AI981">
        <f ca="1"/>
      </c>
      <c r="AJ981">
        <f ca="1"/>
      </c>
      <c r="AK981">
        <f ca="1"/>
      </c>
      <c r="AL981">
        <f ca="1"/>
      </c>
      <c r="AM981">
        <f ca="1"/>
      </c>
      <c r="AN981">
        <f ca="1"/>
      </c>
      <c r="AO981">
        <f ca="1"/>
      </c>
      <c r="AP981">
        <f ca="1"/>
      </c>
      <c r="AQ981">
        <f ca="1"/>
      </c>
      <c r="AR981">
        <f ca="1"/>
      </c>
      <c r="AT981" s="7">
        <f ca="1"/>
      </c>
      <c r="AU981">
        <f ca="1"/>
      </c>
      <c r="AV981">
        <f ca="1"/>
      </c>
      <c r="AW981">
        <f ca="1"/>
      </c>
      <c r="AX981">
        <f ca="1"/>
      </c>
      <c r="AY981">
        <f ca="1"/>
      </c>
      <c r="BA981" s="7"/>
    </row>
    <row r="982" spans="31:53" x14ac:dyDescent="0.55000000000000004">
      <c r="AE982" s="7">
        <f ca="1"/>
      </c>
      <c r="AF982">
        <f ca="1"/>
      </c>
      <c r="AG982">
        <f ca="1"/>
      </c>
      <c r="AH982">
        <f ca="1"/>
      </c>
      <c r="AI982">
        <f ca="1"/>
      </c>
      <c r="AJ982">
        <f ca="1"/>
      </c>
      <c r="AK982">
        <f ca="1"/>
      </c>
      <c r="AL982">
        <f ca="1"/>
      </c>
      <c r="AM982">
        <f ca="1"/>
      </c>
      <c r="AN982">
        <f ca="1"/>
      </c>
      <c r="AO982">
        <f ca="1"/>
      </c>
      <c r="AP982">
        <f ca="1"/>
      </c>
      <c r="AQ982">
        <f ca="1"/>
      </c>
      <c r="AR982">
        <f ca="1"/>
      </c>
      <c r="AT982" s="7">
        <f ca="1"/>
      </c>
      <c r="AU982">
        <f ca="1"/>
      </c>
      <c r="AV982">
        <f ca="1"/>
      </c>
      <c r="AW982">
        <f ca="1"/>
      </c>
      <c r="AX982">
        <f ca="1"/>
      </c>
      <c r="AY982">
        <f ca="1"/>
      </c>
      <c r="BA982" s="7"/>
    </row>
    <row r="983" spans="31:53" x14ac:dyDescent="0.55000000000000004">
      <c r="AE983" s="7">
        <f ca="1"/>
      </c>
      <c r="AF983">
        <f ca="1"/>
      </c>
      <c r="AG983">
        <f ca="1"/>
      </c>
      <c r="AH983">
        <f ca="1"/>
      </c>
      <c r="AI983">
        <f ca="1"/>
      </c>
      <c r="AJ983">
        <f ca="1"/>
      </c>
      <c r="AK983">
        <f ca="1"/>
      </c>
      <c r="AL983">
        <f ca="1"/>
      </c>
      <c r="AM983">
        <f ca="1"/>
      </c>
      <c r="AN983">
        <f ca="1"/>
      </c>
      <c r="AO983">
        <f ca="1"/>
      </c>
      <c r="AP983">
        <f ca="1"/>
      </c>
      <c r="AQ983">
        <f ca="1"/>
      </c>
      <c r="AR983">
        <f ca="1"/>
      </c>
      <c r="AT983" s="7">
        <f ca="1"/>
      </c>
      <c r="AU983">
        <f ca="1"/>
      </c>
      <c r="AV983">
        <f ca="1"/>
      </c>
      <c r="AW983">
        <f ca="1"/>
      </c>
      <c r="AX983">
        <f ca="1"/>
      </c>
      <c r="AY983">
        <f ca="1"/>
      </c>
      <c r="BA983" s="7"/>
    </row>
    <row r="984" spans="31:53" x14ac:dyDescent="0.55000000000000004">
      <c r="AE984" s="7">
        <f ca="1"/>
      </c>
      <c r="AF984">
        <f ca="1"/>
      </c>
      <c r="AG984">
        <f ca="1"/>
      </c>
      <c r="AH984">
        <f ca="1"/>
      </c>
      <c r="AI984">
        <f ca="1"/>
      </c>
      <c r="AJ984">
        <f ca="1"/>
      </c>
      <c r="AK984">
        <f ca="1"/>
      </c>
      <c r="AL984">
        <f ca="1"/>
      </c>
      <c r="AM984">
        <f ca="1"/>
      </c>
      <c r="AN984">
        <f ca="1"/>
      </c>
      <c r="AO984">
        <f ca="1"/>
      </c>
      <c r="AP984">
        <f ca="1"/>
      </c>
      <c r="AQ984">
        <f ca="1"/>
      </c>
      <c r="AR984">
        <f ca="1"/>
      </c>
      <c r="AT984" s="7">
        <f ca="1"/>
      </c>
      <c r="AU984">
        <f ca="1"/>
      </c>
      <c r="AV984">
        <f ca="1"/>
      </c>
      <c r="AW984">
        <f ca="1"/>
      </c>
      <c r="AX984">
        <f ca="1"/>
      </c>
      <c r="AY984">
        <f ca="1"/>
      </c>
      <c r="BA984" s="7"/>
    </row>
    <row r="985" spans="31:53" x14ac:dyDescent="0.55000000000000004">
      <c r="AE985" s="7">
        <f ca="1"/>
      </c>
      <c r="AF985">
        <f ca="1"/>
      </c>
      <c r="AG985">
        <f ca="1"/>
      </c>
      <c r="AH985">
        <f ca="1"/>
      </c>
      <c r="AI985">
        <f ca="1"/>
      </c>
      <c r="AJ985">
        <f ca="1"/>
      </c>
      <c r="AK985">
        <f ca="1"/>
      </c>
      <c r="AL985">
        <f ca="1"/>
      </c>
      <c r="AM985">
        <f ca="1"/>
      </c>
      <c r="AN985">
        <f ca="1"/>
      </c>
      <c r="AO985">
        <f ca="1"/>
      </c>
      <c r="AP985">
        <f ca="1"/>
      </c>
      <c r="AQ985">
        <f ca="1"/>
      </c>
      <c r="AR985">
        <f ca="1"/>
      </c>
      <c r="AT985" s="7">
        <f ca="1"/>
      </c>
      <c r="AU985">
        <f ca="1"/>
      </c>
      <c r="AV985">
        <f ca="1"/>
      </c>
      <c r="AW985">
        <f ca="1"/>
      </c>
      <c r="AX985">
        <f ca="1"/>
      </c>
      <c r="AY985">
        <f ca="1"/>
      </c>
      <c r="BA985" s="7"/>
    </row>
    <row r="986" spans="31:53" x14ac:dyDescent="0.55000000000000004">
      <c r="AE986" s="7">
        <f ca="1"/>
      </c>
      <c r="AF986">
        <f ca="1"/>
      </c>
      <c r="AG986">
        <f ca="1"/>
      </c>
      <c r="AH986">
        <f ca="1"/>
      </c>
      <c r="AI986">
        <f ca="1"/>
      </c>
      <c r="AJ986">
        <f ca="1"/>
      </c>
      <c r="AK986">
        <f ca="1"/>
      </c>
      <c r="AL986">
        <f ca="1"/>
      </c>
      <c r="AM986">
        <f ca="1"/>
      </c>
      <c r="AN986">
        <f ca="1"/>
      </c>
      <c r="AO986">
        <f ca="1"/>
      </c>
      <c r="AP986">
        <f ca="1"/>
      </c>
      <c r="AQ986">
        <f ca="1"/>
      </c>
      <c r="AR986">
        <f ca="1"/>
      </c>
      <c r="AT986" s="7">
        <f ca="1"/>
      </c>
      <c r="AU986">
        <f ca="1"/>
      </c>
      <c r="AV986">
        <f ca="1"/>
      </c>
      <c r="AW986">
        <f ca="1"/>
      </c>
      <c r="AX986">
        <f ca="1"/>
      </c>
      <c r="AY986">
        <f ca="1"/>
      </c>
      <c r="BA986" s="7"/>
    </row>
    <row r="987" spans="31:53" x14ac:dyDescent="0.55000000000000004">
      <c r="AE987" s="7">
        <f ca="1"/>
      </c>
      <c r="AF987">
        <f ca="1"/>
      </c>
      <c r="AG987">
        <f ca="1"/>
      </c>
      <c r="AH987">
        <f ca="1"/>
      </c>
      <c r="AI987">
        <f ca="1"/>
      </c>
      <c r="AJ987">
        <f ca="1"/>
      </c>
      <c r="AK987">
        <f ca="1"/>
      </c>
      <c r="AL987">
        <f ca="1"/>
      </c>
      <c r="AM987">
        <f ca="1"/>
      </c>
      <c r="AN987">
        <f ca="1"/>
      </c>
      <c r="AO987">
        <f ca="1"/>
      </c>
      <c r="AP987">
        <f ca="1"/>
      </c>
      <c r="AQ987">
        <f ca="1"/>
      </c>
      <c r="AR987">
        <f ca="1"/>
      </c>
      <c r="AT987" s="7">
        <f ca="1"/>
      </c>
      <c r="AU987">
        <f ca="1"/>
      </c>
      <c r="AV987">
        <f ca="1"/>
      </c>
      <c r="AW987">
        <f ca="1"/>
      </c>
      <c r="AX987">
        <f ca="1"/>
      </c>
      <c r="AY987">
        <f ca="1"/>
      </c>
      <c r="BA987" s="7"/>
    </row>
    <row r="988" spans="31:53" x14ac:dyDescent="0.55000000000000004">
      <c r="AE988" s="7">
        <f ca="1"/>
      </c>
      <c r="AF988">
        <f ca="1"/>
      </c>
      <c r="AG988">
        <f ca="1"/>
      </c>
      <c r="AH988">
        <f ca="1"/>
      </c>
      <c r="AI988">
        <f ca="1"/>
      </c>
      <c r="AJ988">
        <f ca="1"/>
      </c>
      <c r="AK988">
        <f ca="1"/>
      </c>
      <c r="AL988">
        <f ca="1"/>
      </c>
      <c r="AM988">
        <f ca="1"/>
      </c>
      <c r="AN988">
        <f ca="1"/>
      </c>
      <c r="AO988">
        <f ca="1"/>
      </c>
      <c r="AP988">
        <f ca="1"/>
      </c>
      <c r="AQ988">
        <f ca="1"/>
      </c>
      <c r="AR988">
        <f ca="1"/>
      </c>
      <c r="AT988" s="7">
        <f ca="1"/>
      </c>
      <c r="AU988">
        <f ca="1"/>
      </c>
      <c r="AV988">
        <f ca="1"/>
      </c>
      <c r="AW988">
        <f ca="1"/>
      </c>
      <c r="AX988">
        <f ca="1"/>
      </c>
      <c r="AY988">
        <f ca="1"/>
      </c>
      <c r="BA988" s="7"/>
    </row>
    <row r="989" spans="31:53" x14ac:dyDescent="0.55000000000000004">
      <c r="AE989" s="7">
        <f ca="1"/>
      </c>
      <c r="AF989">
        <f ca="1"/>
      </c>
      <c r="AG989">
        <f ca="1"/>
      </c>
      <c r="AH989">
        <f ca="1"/>
      </c>
      <c r="AI989">
        <f ca="1"/>
      </c>
      <c r="AJ989">
        <f ca="1"/>
      </c>
      <c r="AK989">
        <f ca="1"/>
      </c>
      <c r="AL989">
        <f ca="1"/>
      </c>
      <c r="AM989">
        <f ca="1"/>
      </c>
      <c r="AN989">
        <f ca="1"/>
      </c>
      <c r="AO989">
        <f ca="1"/>
      </c>
      <c r="AP989">
        <f ca="1"/>
      </c>
      <c r="AQ989">
        <f ca="1"/>
      </c>
      <c r="AR989">
        <f ca="1"/>
      </c>
      <c r="AT989" s="7">
        <f ca="1"/>
      </c>
      <c r="AU989">
        <f ca="1"/>
      </c>
      <c r="AV989">
        <f ca="1"/>
      </c>
      <c r="AW989">
        <f ca="1"/>
      </c>
      <c r="AX989">
        <f ca="1"/>
      </c>
      <c r="AY989">
        <f ca="1"/>
      </c>
      <c r="BA989" s="7"/>
    </row>
    <row r="990" spans="31:53" x14ac:dyDescent="0.55000000000000004">
      <c r="AE990" s="7">
        <f ca="1"/>
      </c>
      <c r="AF990">
        <f ca="1"/>
      </c>
      <c r="AG990">
        <f ca="1"/>
      </c>
      <c r="AH990">
        <f ca="1"/>
      </c>
      <c r="AI990">
        <f ca="1"/>
      </c>
      <c r="AJ990">
        <f ca="1"/>
      </c>
      <c r="AK990">
        <f ca="1"/>
      </c>
      <c r="AL990">
        <f ca="1"/>
      </c>
      <c r="AM990">
        <f ca="1"/>
      </c>
      <c r="AN990">
        <f ca="1"/>
      </c>
      <c r="AO990">
        <f ca="1"/>
      </c>
      <c r="AP990">
        <f ca="1"/>
      </c>
      <c r="AQ990">
        <f ca="1"/>
      </c>
      <c r="AR990">
        <f ca="1"/>
      </c>
      <c r="AT990" s="7">
        <f ca="1"/>
      </c>
      <c r="AU990">
        <f ca="1"/>
      </c>
      <c r="AV990">
        <f ca="1"/>
      </c>
      <c r="AW990">
        <f ca="1"/>
      </c>
      <c r="AX990">
        <f ca="1"/>
      </c>
      <c r="AY990">
        <f ca="1"/>
      </c>
      <c r="BA990" s="7"/>
    </row>
    <row r="991" spans="31:53" x14ac:dyDescent="0.55000000000000004">
      <c r="AE991" s="7">
        <f ca="1"/>
      </c>
      <c r="AF991">
        <f ca="1"/>
      </c>
      <c r="AG991">
        <f ca="1"/>
      </c>
      <c r="AH991">
        <f ca="1"/>
      </c>
      <c r="AI991">
        <f ca="1"/>
      </c>
      <c r="AJ991">
        <f ca="1"/>
      </c>
      <c r="AK991">
        <f ca="1"/>
      </c>
      <c r="AL991">
        <f ca="1"/>
      </c>
      <c r="AM991">
        <f ca="1"/>
      </c>
      <c r="AN991">
        <f ca="1"/>
      </c>
      <c r="AO991">
        <f ca="1"/>
      </c>
      <c r="AP991">
        <f ca="1"/>
      </c>
      <c r="AQ991">
        <f ca="1"/>
      </c>
      <c r="AR991">
        <f ca="1"/>
      </c>
      <c r="AT991" s="7">
        <f ca="1"/>
      </c>
      <c r="AU991">
        <f ca="1"/>
      </c>
      <c r="AV991">
        <f ca="1"/>
      </c>
      <c r="AW991">
        <f ca="1"/>
      </c>
      <c r="AX991">
        <f ca="1"/>
      </c>
      <c r="AY991">
        <f ca="1"/>
      </c>
      <c r="BA991" s="7"/>
    </row>
    <row r="992" spans="31:53" x14ac:dyDescent="0.55000000000000004">
      <c r="AE992" s="7">
        <f ca="1"/>
      </c>
      <c r="AF992">
        <f ca="1"/>
      </c>
      <c r="AG992">
        <f ca="1"/>
      </c>
      <c r="AH992">
        <f ca="1"/>
      </c>
      <c r="AI992">
        <f ca="1"/>
      </c>
      <c r="AJ992">
        <f ca="1"/>
      </c>
      <c r="AK992">
        <f ca="1"/>
      </c>
      <c r="AL992">
        <f ca="1"/>
      </c>
      <c r="AM992">
        <f ca="1"/>
      </c>
      <c r="AN992">
        <f ca="1"/>
      </c>
      <c r="AO992">
        <f ca="1"/>
      </c>
      <c r="AP992">
        <f ca="1"/>
      </c>
      <c r="AQ992">
        <f ca="1"/>
      </c>
      <c r="AR992">
        <f ca="1"/>
      </c>
      <c r="AT992" s="7">
        <f ca="1"/>
      </c>
      <c r="AU992">
        <f ca="1"/>
      </c>
      <c r="AV992">
        <f ca="1"/>
      </c>
      <c r="AW992">
        <f ca="1"/>
      </c>
      <c r="AX992">
        <f ca="1"/>
      </c>
      <c r="AY992">
        <f ca="1"/>
      </c>
      <c r="BA992" s="7"/>
    </row>
    <row r="993" spans="31:53" x14ac:dyDescent="0.55000000000000004">
      <c r="AE993" s="7">
        <f ca="1"/>
      </c>
      <c r="AF993">
        <f ca="1"/>
      </c>
      <c r="AG993">
        <f ca="1"/>
      </c>
      <c r="AH993">
        <f ca="1"/>
      </c>
      <c r="AI993">
        <f ca="1"/>
      </c>
      <c r="AJ993">
        <f ca="1"/>
      </c>
      <c r="AK993">
        <f ca="1"/>
      </c>
      <c r="AL993">
        <f ca="1"/>
      </c>
      <c r="AM993">
        <f ca="1"/>
      </c>
      <c r="AN993">
        <f ca="1"/>
      </c>
      <c r="AO993">
        <f ca="1"/>
      </c>
      <c r="AP993">
        <f ca="1"/>
      </c>
      <c r="AQ993">
        <f ca="1"/>
      </c>
      <c r="AR993">
        <f ca="1"/>
      </c>
      <c r="AT993" s="7">
        <f ca="1"/>
      </c>
      <c r="AU993">
        <f ca="1"/>
      </c>
      <c r="AV993">
        <f ca="1"/>
      </c>
      <c r="AW993">
        <f ca="1"/>
      </c>
      <c r="AX993">
        <f ca="1"/>
      </c>
      <c r="AY993">
        <f ca="1"/>
      </c>
      <c r="BA993" s="7"/>
    </row>
    <row r="994" spans="31:53" x14ac:dyDescent="0.55000000000000004">
      <c r="AE994" s="7">
        <f ca="1"/>
      </c>
      <c r="AF994">
        <f ca="1"/>
      </c>
      <c r="AG994">
        <f ca="1"/>
      </c>
      <c r="AH994">
        <f ca="1"/>
      </c>
      <c r="AI994">
        <f ca="1"/>
      </c>
      <c r="AJ994">
        <f ca="1"/>
      </c>
      <c r="AK994">
        <f ca="1"/>
      </c>
      <c r="AL994">
        <f ca="1"/>
      </c>
      <c r="AM994">
        <f ca="1"/>
      </c>
      <c r="AN994">
        <f ca="1"/>
      </c>
      <c r="AO994">
        <f ca="1"/>
      </c>
      <c r="AP994">
        <f ca="1"/>
      </c>
      <c r="AQ994">
        <f ca="1"/>
      </c>
      <c r="AR994">
        <f ca="1"/>
      </c>
      <c r="AT994" s="7">
        <f ca="1"/>
      </c>
      <c r="AU994">
        <f ca="1"/>
      </c>
      <c r="AV994">
        <f ca="1"/>
      </c>
      <c r="AW994">
        <f ca="1"/>
      </c>
      <c r="AX994">
        <f ca="1"/>
      </c>
      <c r="AY994">
        <f ca="1"/>
      </c>
      <c r="BA994" s="7"/>
    </row>
    <row r="995" spans="31:53" x14ac:dyDescent="0.55000000000000004">
      <c r="AE995" s="7">
        <f ca="1"/>
      </c>
      <c r="AF995">
        <f ca="1"/>
      </c>
      <c r="AG995">
        <f ca="1"/>
      </c>
      <c r="AH995">
        <f ca="1"/>
      </c>
      <c r="AI995">
        <f ca="1"/>
      </c>
      <c r="AJ995">
        <f ca="1"/>
      </c>
      <c r="AK995">
        <f ca="1"/>
      </c>
      <c r="AL995">
        <f ca="1"/>
      </c>
      <c r="AM995">
        <f ca="1"/>
      </c>
      <c r="AN995">
        <f ca="1"/>
      </c>
      <c r="AO995">
        <f ca="1"/>
      </c>
      <c r="AP995">
        <f ca="1"/>
      </c>
      <c r="AQ995">
        <f ca="1"/>
      </c>
      <c r="AR995">
        <f ca="1"/>
      </c>
      <c r="AT995" s="7">
        <f ca="1"/>
      </c>
      <c r="AU995">
        <f ca="1"/>
      </c>
      <c r="AV995">
        <f ca="1"/>
      </c>
      <c r="AW995">
        <f ca="1"/>
      </c>
      <c r="AX995">
        <f ca="1"/>
      </c>
      <c r="AY995">
        <f ca="1"/>
      </c>
      <c r="BA995" s="7"/>
    </row>
    <row r="996" spans="31:53" x14ac:dyDescent="0.55000000000000004">
      <c r="AE996" s="7">
        <f ca="1"/>
      </c>
      <c r="AF996">
        <f ca="1"/>
      </c>
      <c r="AG996">
        <f ca="1"/>
      </c>
      <c r="AH996">
        <f ca="1"/>
      </c>
      <c r="AI996">
        <f ca="1"/>
      </c>
      <c r="AJ996">
        <f ca="1"/>
      </c>
      <c r="AK996">
        <f ca="1"/>
      </c>
      <c r="AL996">
        <f ca="1"/>
      </c>
      <c r="AM996">
        <f ca="1"/>
      </c>
      <c r="AN996">
        <f ca="1"/>
      </c>
      <c r="AO996">
        <f ca="1"/>
      </c>
      <c r="AP996">
        <f ca="1"/>
      </c>
      <c r="AQ996">
        <f ca="1"/>
      </c>
      <c r="AR996">
        <f ca="1"/>
      </c>
      <c r="AT996" s="7">
        <f ca="1"/>
      </c>
      <c r="AU996">
        <f ca="1"/>
      </c>
      <c r="AV996">
        <f ca="1"/>
      </c>
      <c r="AW996">
        <f ca="1"/>
      </c>
      <c r="AX996">
        <f ca="1"/>
      </c>
      <c r="AY996">
        <f ca="1"/>
      </c>
      <c r="BA996" s="7"/>
    </row>
    <row r="997" spans="31:53" x14ac:dyDescent="0.55000000000000004">
      <c r="AE997" s="7">
        <f ca="1"/>
      </c>
      <c r="AF997">
        <f ca="1"/>
      </c>
      <c r="AG997">
        <f ca="1"/>
      </c>
      <c r="AH997">
        <f ca="1"/>
      </c>
      <c r="AI997">
        <f ca="1"/>
      </c>
      <c r="AJ997">
        <f ca="1"/>
      </c>
      <c r="AK997">
        <f ca="1"/>
      </c>
      <c r="AL997">
        <f ca="1"/>
      </c>
      <c r="AM997">
        <f ca="1"/>
      </c>
      <c r="AN997">
        <f ca="1"/>
      </c>
      <c r="AO997">
        <f ca="1"/>
      </c>
      <c r="AP997">
        <f ca="1"/>
      </c>
      <c r="AQ997">
        <f ca="1"/>
      </c>
      <c r="AR997">
        <f ca="1"/>
      </c>
      <c r="AT997" s="7">
        <f ca="1"/>
      </c>
      <c r="AU997">
        <f ca="1"/>
      </c>
      <c r="AV997">
        <f ca="1"/>
      </c>
      <c r="AW997">
        <f ca="1"/>
      </c>
      <c r="AX997">
        <f ca="1"/>
      </c>
      <c r="AY997">
        <f ca="1"/>
      </c>
      <c r="BA997" s="7"/>
    </row>
    <row r="998" spans="31:53" x14ac:dyDescent="0.55000000000000004">
      <c r="AE998" s="7">
        <f ca="1"/>
      </c>
      <c r="AF998">
        <f ca="1"/>
      </c>
      <c r="AG998">
        <f ca="1"/>
      </c>
      <c r="AH998">
        <f ca="1"/>
      </c>
      <c r="AI998">
        <f ca="1"/>
      </c>
      <c r="AJ998">
        <f ca="1"/>
      </c>
      <c r="AK998">
        <f ca="1"/>
      </c>
      <c r="AL998">
        <f ca="1"/>
      </c>
      <c r="AM998">
        <f ca="1"/>
      </c>
      <c r="AN998">
        <f ca="1"/>
      </c>
      <c r="AO998">
        <f ca="1"/>
      </c>
      <c r="AP998">
        <f ca="1"/>
      </c>
      <c r="AQ998">
        <f ca="1"/>
      </c>
      <c r="AR998">
        <f ca="1"/>
      </c>
      <c r="AT998" s="7">
        <f ca="1"/>
      </c>
      <c r="AU998">
        <f ca="1"/>
      </c>
      <c r="AV998">
        <f ca="1"/>
      </c>
      <c r="AW998">
        <f ca="1"/>
      </c>
      <c r="AX998">
        <f ca="1"/>
      </c>
      <c r="AY998">
        <f ca="1"/>
      </c>
      <c r="BA998" s="7"/>
    </row>
    <row r="999" spans="31:53" x14ac:dyDescent="0.55000000000000004">
      <c r="AE999" s="7">
        <f ca="1"/>
      </c>
      <c r="AF999">
        <f ca="1"/>
      </c>
      <c r="AG999">
        <f ca="1"/>
      </c>
      <c r="AH999">
        <f ca="1"/>
      </c>
      <c r="AI999">
        <f ca="1"/>
      </c>
      <c r="AJ999">
        <f ca="1"/>
      </c>
      <c r="AK999">
        <f ca="1"/>
      </c>
      <c r="AL999">
        <f ca="1"/>
      </c>
      <c r="AM999">
        <f ca="1"/>
      </c>
      <c r="AN999">
        <f ca="1"/>
      </c>
      <c r="AO999">
        <f ca="1"/>
      </c>
      <c r="AP999">
        <f ca="1"/>
      </c>
      <c r="AQ999">
        <f ca="1"/>
      </c>
      <c r="AR999">
        <f ca="1"/>
      </c>
      <c r="AT999" s="7">
        <f ca="1"/>
      </c>
      <c r="AU999">
        <f ca="1"/>
      </c>
      <c r="AV999">
        <f ca="1"/>
      </c>
      <c r="AW999">
        <f ca="1"/>
      </c>
      <c r="AX999">
        <f ca="1"/>
      </c>
      <c r="AY999">
        <f ca="1"/>
      </c>
      <c r="BA999" s="7"/>
    </row>
    <row r="1000" spans="31:53" x14ac:dyDescent="0.55000000000000004">
      <c r="AE1000" s="7">
        <f ca="1"/>
      </c>
      <c r="AF1000">
        <f ca="1"/>
      </c>
      <c r="AG1000">
        <f ca="1"/>
      </c>
      <c r="AH1000">
        <f ca="1"/>
      </c>
      <c r="AI1000">
        <f ca="1"/>
      </c>
      <c r="AJ1000">
        <f ca="1"/>
      </c>
      <c r="AK1000">
        <f ca="1"/>
      </c>
      <c r="AL1000">
        <f ca="1"/>
      </c>
      <c r="AM1000">
        <f ca="1"/>
      </c>
      <c r="AN1000">
        <f ca="1"/>
      </c>
      <c r="AO1000">
        <f ca="1"/>
      </c>
      <c r="AP1000">
        <f ca="1"/>
      </c>
      <c r="AQ1000">
        <f ca="1"/>
      </c>
      <c r="AR1000">
        <f ca="1"/>
      </c>
      <c r="AT1000" s="7">
        <f ca="1"/>
      </c>
      <c r="AU1000">
        <f ca="1"/>
      </c>
      <c r="AV1000">
        <f ca="1"/>
      </c>
      <c r="AW1000">
        <f ca="1"/>
      </c>
      <c r="AX1000">
        <f ca="1"/>
      </c>
      <c r="AY1000">
        <f ca="1"/>
      </c>
      <c r="BA1000" s="7"/>
    </row>
    <row r="1001" spans="31:53" x14ac:dyDescent="0.55000000000000004">
      <c r="AE1001" s="7">
        <f ca="1"/>
      </c>
      <c r="AF1001">
        <f ca="1"/>
      </c>
      <c r="AG1001">
        <f ca="1"/>
      </c>
      <c r="AH1001">
        <f ca="1"/>
      </c>
      <c r="AI1001">
        <f ca="1"/>
      </c>
      <c r="AJ1001">
        <f ca="1"/>
      </c>
      <c r="AK1001">
        <f ca="1"/>
      </c>
      <c r="AL1001">
        <f ca="1"/>
      </c>
      <c r="AM1001">
        <f ca="1"/>
      </c>
      <c r="AN1001">
        <f ca="1"/>
      </c>
      <c r="AO1001">
        <f ca="1"/>
      </c>
      <c r="AP1001">
        <f ca="1"/>
      </c>
      <c r="AQ1001">
        <f ca="1"/>
      </c>
      <c r="AR1001">
        <f ca="1"/>
      </c>
      <c r="AT1001" s="7">
        <f ca="1"/>
      </c>
      <c r="AU1001">
        <f ca="1"/>
      </c>
      <c r="AV1001">
        <f ca="1"/>
      </c>
      <c r="AW1001">
        <f ca="1"/>
      </c>
      <c r="AX1001">
        <f ca="1"/>
      </c>
      <c r="AY1001">
        <f ca="1"/>
      </c>
      <c r="BA1001" s="7"/>
    </row>
    <row r="1002" spans="31:53" x14ac:dyDescent="0.55000000000000004">
      <c r="AE1002" s="7">
        <f ca="1"/>
      </c>
      <c r="AF1002">
        <f ca="1"/>
      </c>
      <c r="AG1002">
        <f ca="1"/>
      </c>
      <c r="AH1002">
        <f ca="1"/>
      </c>
      <c r="AI1002">
        <f ca="1"/>
      </c>
      <c r="AJ1002">
        <f ca="1"/>
      </c>
      <c r="AK1002">
        <f ca="1"/>
      </c>
      <c r="AL1002">
        <f ca="1"/>
      </c>
      <c r="AM1002">
        <f ca="1"/>
      </c>
      <c r="AN1002">
        <f ca="1"/>
      </c>
      <c r="AO1002">
        <f ca="1"/>
      </c>
      <c r="AP1002">
        <f ca="1"/>
      </c>
      <c r="AQ1002">
        <f ca="1"/>
      </c>
      <c r="AR1002">
        <f ca="1"/>
      </c>
      <c r="AT1002" s="7">
        <f ca="1"/>
      </c>
      <c r="AU1002">
        <f ca="1"/>
      </c>
      <c r="AV1002">
        <f ca="1"/>
      </c>
      <c r="AW1002">
        <f ca="1"/>
      </c>
      <c r="AX1002">
        <f ca="1"/>
      </c>
      <c r="AY1002">
        <f ca="1"/>
      </c>
      <c r="BA1002" s="7"/>
    </row>
    <row r="1003" spans="31:53" x14ac:dyDescent="0.55000000000000004">
      <c r="AE1003" s="7">
        <f ca="1"/>
      </c>
      <c r="AF1003">
        <f ca="1"/>
      </c>
      <c r="AG1003">
        <f ca="1"/>
      </c>
      <c r="AH1003">
        <f ca="1"/>
      </c>
      <c r="AI1003">
        <f ca="1"/>
      </c>
      <c r="AJ1003">
        <f ca="1"/>
      </c>
      <c r="AK1003">
        <f ca="1"/>
      </c>
      <c r="AL1003">
        <f ca="1"/>
      </c>
      <c r="AM1003">
        <f ca="1"/>
      </c>
      <c r="AN1003">
        <f ca="1"/>
      </c>
      <c r="AO1003">
        <f ca="1"/>
      </c>
      <c r="AP1003">
        <f ca="1"/>
      </c>
      <c r="AQ1003">
        <f ca="1"/>
      </c>
      <c r="AR1003">
        <f ca="1"/>
      </c>
      <c r="AT1003" s="7">
        <f ca="1"/>
      </c>
      <c r="AU1003">
        <f ca="1"/>
      </c>
      <c r="AV1003">
        <f ca="1"/>
      </c>
      <c r="AW1003">
        <f ca="1"/>
      </c>
      <c r="AX1003">
        <f ca="1"/>
      </c>
      <c r="AY1003">
        <f ca="1"/>
      </c>
      <c r="BA1003" s="7"/>
    </row>
    <row r="1004" spans="31:53" x14ac:dyDescent="0.55000000000000004">
      <c r="AE1004" s="7">
        <f ca="1"/>
      </c>
      <c r="AF1004">
        <f ca="1"/>
      </c>
      <c r="AG1004">
        <f ca="1"/>
      </c>
      <c r="AH1004">
        <f ca="1"/>
      </c>
      <c r="AI1004">
        <f ca="1"/>
      </c>
      <c r="AJ1004">
        <f ca="1"/>
      </c>
      <c r="AK1004">
        <f ca="1"/>
      </c>
      <c r="AL1004">
        <f ca="1"/>
      </c>
      <c r="AM1004">
        <f ca="1"/>
      </c>
      <c r="AN1004">
        <f ca="1"/>
      </c>
      <c r="AO1004">
        <f ca="1"/>
      </c>
      <c r="AP1004">
        <f ca="1"/>
      </c>
      <c r="AQ1004">
        <f ca="1"/>
      </c>
      <c r="AR1004">
        <f ca="1"/>
      </c>
      <c r="AT1004" s="7">
        <f ca="1"/>
      </c>
      <c r="AU1004">
        <f ca="1"/>
      </c>
      <c r="AV1004">
        <f ca="1"/>
      </c>
      <c r="AW1004">
        <f ca="1"/>
      </c>
      <c r="AX1004">
        <f ca="1"/>
      </c>
      <c r="AY1004">
        <f ca="1"/>
      </c>
      <c r="BA1004" s="7"/>
    </row>
    <row r="1005" spans="31:53" x14ac:dyDescent="0.55000000000000004">
      <c r="AE1005" s="7">
        <f ca="1"/>
      </c>
      <c r="AF1005">
        <f ca="1"/>
      </c>
      <c r="AG1005">
        <f ca="1"/>
      </c>
      <c r="AH1005">
        <f ca="1"/>
      </c>
      <c r="AI1005">
        <f ca="1"/>
      </c>
      <c r="AJ1005">
        <f ca="1"/>
      </c>
      <c r="AK1005">
        <f ca="1"/>
      </c>
      <c r="AL1005">
        <f ca="1"/>
      </c>
      <c r="AM1005">
        <f ca="1"/>
      </c>
      <c r="AN1005">
        <f ca="1"/>
      </c>
      <c r="AO1005">
        <f ca="1"/>
      </c>
      <c r="AP1005">
        <f ca="1"/>
      </c>
      <c r="AQ1005">
        <f ca="1"/>
      </c>
      <c r="AR1005">
        <f ca="1"/>
      </c>
      <c r="AT1005" s="7">
        <f ca="1"/>
      </c>
      <c r="AU1005">
        <f ca="1"/>
      </c>
      <c r="AV1005">
        <f ca="1"/>
      </c>
      <c r="AW1005">
        <f ca="1"/>
      </c>
      <c r="AX1005">
        <f ca="1"/>
      </c>
      <c r="AY1005">
        <f ca="1"/>
      </c>
      <c r="BA1005" s="7"/>
    </row>
    <row r="1006" spans="31:53" x14ac:dyDescent="0.55000000000000004">
      <c r="AE1006" s="7">
        <f ca="1"/>
      </c>
      <c r="AF1006">
        <f ca="1"/>
      </c>
      <c r="AG1006">
        <f ca="1"/>
      </c>
      <c r="AH1006">
        <f ca="1"/>
      </c>
      <c r="AI1006">
        <f ca="1"/>
      </c>
      <c r="AJ1006">
        <f ca="1"/>
      </c>
      <c r="AK1006">
        <f ca="1"/>
      </c>
      <c r="AL1006">
        <f ca="1"/>
      </c>
      <c r="AM1006">
        <f ca="1"/>
      </c>
      <c r="AN1006">
        <f ca="1"/>
      </c>
      <c r="AO1006">
        <f ca="1"/>
      </c>
      <c r="AP1006">
        <f ca="1"/>
      </c>
      <c r="AQ1006">
        <f ca="1"/>
      </c>
      <c r="AR1006">
        <f ca="1"/>
      </c>
      <c r="AT1006" s="7">
        <f ca="1"/>
      </c>
      <c r="AU1006">
        <f ca="1"/>
      </c>
      <c r="AV1006">
        <f ca="1"/>
      </c>
      <c r="AW1006">
        <f ca="1"/>
      </c>
      <c r="AX1006">
        <f ca="1"/>
      </c>
      <c r="AY1006">
        <f ca="1"/>
      </c>
      <c r="BA1006" s="7"/>
    </row>
    <row r="1007" spans="31:53" x14ac:dyDescent="0.55000000000000004">
      <c r="AE1007" s="7">
        <f ca="1"/>
      </c>
      <c r="AF1007">
        <f ca="1"/>
      </c>
      <c r="AG1007">
        <f ca="1"/>
      </c>
      <c r="AH1007">
        <f ca="1"/>
      </c>
      <c r="AI1007">
        <f ca="1"/>
      </c>
      <c r="AJ1007">
        <f ca="1"/>
      </c>
      <c r="AK1007">
        <f ca="1"/>
      </c>
      <c r="AL1007">
        <f ca="1"/>
      </c>
      <c r="AM1007">
        <f ca="1"/>
      </c>
      <c r="AN1007">
        <f ca="1"/>
      </c>
      <c r="AO1007">
        <f ca="1"/>
      </c>
      <c r="AP1007">
        <f ca="1"/>
      </c>
      <c r="AQ1007">
        <f ca="1"/>
      </c>
      <c r="AR1007">
        <f ca="1"/>
      </c>
      <c r="AT1007" s="7">
        <f ca="1"/>
      </c>
      <c r="AU1007">
        <f ca="1"/>
      </c>
      <c r="AV1007">
        <f ca="1"/>
      </c>
      <c r="AW1007">
        <f ca="1"/>
      </c>
      <c r="AX1007">
        <f ca="1"/>
      </c>
      <c r="AY1007">
        <f ca="1"/>
      </c>
      <c r="BA1007" s="7"/>
    </row>
    <row r="1008" spans="31:53" x14ac:dyDescent="0.55000000000000004">
      <c r="AE1008" s="7">
        <f ca="1"/>
      </c>
      <c r="AF1008">
        <f ca="1"/>
      </c>
      <c r="AG1008">
        <f ca="1"/>
      </c>
      <c r="AH1008">
        <f ca="1"/>
      </c>
      <c r="AI1008">
        <f ca="1"/>
      </c>
      <c r="AJ1008">
        <f ca="1"/>
      </c>
      <c r="AK1008">
        <f ca="1"/>
      </c>
      <c r="AL1008">
        <f ca="1"/>
      </c>
      <c r="AM1008">
        <f ca="1"/>
      </c>
      <c r="AN1008">
        <f ca="1"/>
      </c>
      <c r="AO1008">
        <f ca="1"/>
      </c>
      <c r="AP1008">
        <f ca="1"/>
      </c>
      <c r="AQ1008">
        <f ca="1"/>
      </c>
      <c r="AR1008">
        <f ca="1"/>
      </c>
      <c r="AT1008" s="7">
        <f ca="1"/>
      </c>
      <c r="AU1008">
        <f ca="1"/>
      </c>
      <c r="AV1008">
        <f ca="1"/>
      </c>
      <c r="AW1008">
        <f ca="1"/>
      </c>
      <c r="AX1008">
        <f ca="1"/>
      </c>
      <c r="AY1008">
        <f ca="1"/>
      </c>
      <c r="BA1008" s="7"/>
    </row>
    <row r="1009" spans="31:53" x14ac:dyDescent="0.55000000000000004">
      <c r="AE1009" s="7">
        <f ca="1"/>
      </c>
      <c r="AF1009">
        <f ca="1"/>
      </c>
      <c r="AG1009">
        <f ca="1"/>
      </c>
      <c r="AH1009">
        <f ca="1"/>
      </c>
      <c r="AI1009">
        <f ca="1"/>
      </c>
      <c r="AJ1009">
        <f ca="1"/>
      </c>
      <c r="AK1009">
        <f ca="1"/>
      </c>
      <c r="AL1009">
        <f ca="1"/>
      </c>
      <c r="AM1009">
        <f ca="1"/>
      </c>
      <c r="AN1009">
        <f ca="1"/>
      </c>
      <c r="AO1009">
        <f ca="1"/>
      </c>
      <c r="AP1009">
        <f ca="1"/>
      </c>
      <c r="AQ1009">
        <f ca="1"/>
      </c>
      <c r="AR1009">
        <f ca="1"/>
      </c>
      <c r="AT1009" s="7">
        <f ca="1"/>
      </c>
      <c r="AU1009">
        <f ca="1"/>
      </c>
      <c r="AV1009">
        <f ca="1"/>
      </c>
      <c r="AW1009">
        <f ca="1"/>
      </c>
      <c r="AX1009">
        <f ca="1"/>
      </c>
      <c r="AY1009">
        <f ca="1"/>
      </c>
      <c r="BA1009" s="7"/>
    </row>
    <row r="1010" spans="31:53" x14ac:dyDescent="0.55000000000000004">
      <c r="AE1010" s="7">
        <f ca="1"/>
      </c>
      <c r="AF1010">
        <f ca="1"/>
      </c>
      <c r="AG1010">
        <f ca="1"/>
      </c>
      <c r="AH1010">
        <f ca="1"/>
      </c>
      <c r="AI1010">
        <f ca="1"/>
      </c>
      <c r="AJ1010">
        <f ca="1"/>
      </c>
      <c r="AK1010">
        <f ca="1"/>
      </c>
      <c r="AL1010">
        <f ca="1"/>
      </c>
      <c r="AM1010">
        <f ca="1"/>
      </c>
      <c r="AN1010">
        <f ca="1"/>
      </c>
      <c r="AO1010">
        <f ca="1"/>
      </c>
      <c r="AP1010">
        <f ca="1"/>
      </c>
      <c r="AQ1010">
        <f ca="1"/>
      </c>
      <c r="AR1010">
        <f ca="1"/>
      </c>
      <c r="AT1010" s="7">
        <f ca="1"/>
      </c>
      <c r="AU1010">
        <f ca="1"/>
      </c>
      <c r="AV1010">
        <f ca="1"/>
      </c>
      <c r="AW1010">
        <f ca="1"/>
      </c>
      <c r="AX1010">
        <f ca="1"/>
      </c>
      <c r="AY1010">
        <f ca="1"/>
      </c>
      <c r="BA1010" s="7"/>
    </row>
    <row r="1011" spans="31:53" x14ac:dyDescent="0.55000000000000004">
      <c r="AE1011" s="7">
        <f ca="1"/>
      </c>
      <c r="AF1011">
        <f ca="1"/>
      </c>
      <c r="AG1011">
        <f ca="1"/>
      </c>
      <c r="AH1011">
        <f ca="1"/>
      </c>
      <c r="AI1011">
        <f ca="1"/>
      </c>
      <c r="AJ1011">
        <f ca="1"/>
      </c>
      <c r="AK1011">
        <f ca="1"/>
      </c>
      <c r="AL1011">
        <f ca="1"/>
      </c>
      <c r="AM1011">
        <f ca="1"/>
      </c>
      <c r="AN1011">
        <f ca="1"/>
      </c>
      <c r="AO1011">
        <f ca="1"/>
      </c>
      <c r="AP1011">
        <f ca="1"/>
      </c>
      <c r="AQ1011">
        <f ca="1"/>
      </c>
      <c r="AR1011">
        <f ca="1"/>
      </c>
      <c r="AT1011" s="7">
        <f ca="1"/>
      </c>
      <c r="AU1011">
        <f ca="1"/>
      </c>
      <c r="AV1011">
        <f ca="1"/>
      </c>
      <c r="AW1011">
        <f ca="1"/>
      </c>
      <c r="AX1011">
        <f ca="1"/>
      </c>
      <c r="AY1011">
        <f ca="1"/>
      </c>
      <c r="BA1011" s="7"/>
    </row>
    <row r="1012" spans="31:53" x14ac:dyDescent="0.55000000000000004">
      <c r="AE1012" s="7">
        <f ca="1"/>
      </c>
      <c r="AF1012">
        <f ca="1"/>
      </c>
      <c r="AG1012">
        <f ca="1"/>
      </c>
      <c r="AH1012">
        <f ca="1"/>
      </c>
      <c r="AI1012">
        <f ca="1"/>
      </c>
      <c r="AJ1012">
        <f ca="1"/>
      </c>
      <c r="AK1012">
        <f ca="1"/>
      </c>
      <c r="AL1012">
        <f ca="1"/>
      </c>
      <c r="AM1012">
        <f ca="1"/>
      </c>
      <c r="AN1012">
        <f ca="1"/>
      </c>
      <c r="AO1012">
        <f ca="1"/>
      </c>
      <c r="AP1012">
        <f ca="1"/>
      </c>
      <c r="AQ1012">
        <f ca="1"/>
      </c>
      <c r="AR1012">
        <f ca="1"/>
      </c>
      <c r="AT1012" s="7">
        <f ca="1"/>
      </c>
      <c r="AU1012">
        <f ca="1"/>
      </c>
      <c r="AV1012">
        <f ca="1"/>
      </c>
      <c r="AW1012">
        <f ca="1"/>
      </c>
      <c r="AX1012">
        <f ca="1"/>
      </c>
      <c r="AY1012">
        <f ca="1"/>
      </c>
      <c r="BA1012" s="7"/>
    </row>
    <row r="1013" spans="31:53" x14ac:dyDescent="0.55000000000000004">
      <c r="AE1013" s="7">
        <f ca="1"/>
      </c>
      <c r="AF1013">
        <f ca="1"/>
      </c>
      <c r="AG1013">
        <f ca="1"/>
      </c>
      <c r="AH1013">
        <f ca="1"/>
      </c>
      <c r="AI1013">
        <f ca="1"/>
      </c>
      <c r="AJ1013">
        <f ca="1"/>
      </c>
      <c r="AK1013">
        <f ca="1"/>
      </c>
      <c r="AL1013">
        <f ca="1"/>
      </c>
      <c r="AM1013">
        <f ca="1"/>
      </c>
      <c r="AN1013">
        <f ca="1"/>
      </c>
      <c r="AO1013">
        <f ca="1"/>
      </c>
      <c r="AP1013">
        <f ca="1"/>
      </c>
      <c r="AQ1013">
        <f ca="1"/>
      </c>
      <c r="AR1013">
        <f ca="1"/>
      </c>
      <c r="AT1013" s="7">
        <f ca="1"/>
      </c>
      <c r="AU1013">
        <f ca="1"/>
      </c>
      <c r="AV1013">
        <f ca="1"/>
      </c>
      <c r="AW1013">
        <f ca="1"/>
      </c>
      <c r="AX1013">
        <f ca="1"/>
      </c>
      <c r="AY1013">
        <f ca="1"/>
      </c>
      <c r="BA1013" s="7"/>
    </row>
    <row r="1014" spans="31:53" x14ac:dyDescent="0.55000000000000004">
      <c r="AE1014" s="7">
        <f ca="1"/>
      </c>
      <c r="AF1014">
        <f ca="1"/>
      </c>
      <c r="AG1014">
        <f ca="1"/>
      </c>
      <c r="AH1014">
        <f ca="1"/>
      </c>
      <c r="AI1014">
        <f ca="1"/>
      </c>
      <c r="AJ1014">
        <f ca="1"/>
      </c>
      <c r="AK1014">
        <f ca="1"/>
      </c>
      <c r="AL1014">
        <f ca="1"/>
      </c>
      <c r="AM1014">
        <f ca="1"/>
      </c>
      <c r="AN1014">
        <f ca="1"/>
      </c>
      <c r="AO1014">
        <f ca="1"/>
      </c>
      <c r="AP1014">
        <f ca="1"/>
      </c>
      <c r="AQ1014">
        <f ca="1"/>
      </c>
      <c r="AR1014">
        <f ca="1"/>
      </c>
      <c r="AT1014" s="7">
        <f ca="1"/>
      </c>
      <c r="AU1014">
        <f ca="1"/>
      </c>
      <c r="AV1014">
        <f ca="1"/>
      </c>
      <c r="AW1014">
        <f ca="1"/>
      </c>
      <c r="AX1014">
        <f ca="1"/>
      </c>
      <c r="AY1014">
        <f ca="1"/>
      </c>
      <c r="BA1014" s="7"/>
    </row>
    <row r="1015" spans="31:53" x14ac:dyDescent="0.55000000000000004">
      <c r="AE1015" s="7">
        <f ca="1"/>
      </c>
      <c r="AF1015">
        <f ca="1"/>
      </c>
      <c r="AG1015">
        <f ca="1"/>
      </c>
      <c r="AH1015">
        <f ca="1"/>
      </c>
      <c r="AI1015">
        <f ca="1"/>
      </c>
      <c r="AJ1015">
        <f ca="1"/>
      </c>
      <c r="AK1015">
        <f ca="1"/>
      </c>
      <c r="AL1015">
        <f ca="1"/>
      </c>
      <c r="AM1015">
        <f ca="1"/>
      </c>
      <c r="AN1015">
        <f ca="1"/>
      </c>
      <c r="AO1015">
        <f ca="1"/>
      </c>
      <c r="AP1015">
        <f ca="1"/>
      </c>
      <c r="AQ1015">
        <f ca="1"/>
      </c>
      <c r="AR1015">
        <f ca="1"/>
      </c>
      <c r="AT1015" s="7">
        <f ca="1"/>
      </c>
      <c r="AU1015">
        <f ca="1"/>
      </c>
      <c r="AV1015">
        <f ca="1"/>
      </c>
      <c r="AW1015">
        <f ca="1"/>
      </c>
      <c r="AX1015">
        <f ca="1"/>
      </c>
      <c r="AY1015">
        <f ca="1"/>
      </c>
      <c r="BA1015" s="7"/>
    </row>
    <row r="1016" spans="31:53" x14ac:dyDescent="0.55000000000000004">
      <c r="AE1016" s="7">
        <f ca="1"/>
      </c>
      <c r="AF1016">
        <f ca="1"/>
      </c>
      <c r="AG1016">
        <f ca="1"/>
      </c>
      <c r="AH1016">
        <f ca="1"/>
      </c>
      <c r="AI1016">
        <f ca="1"/>
      </c>
      <c r="AJ1016">
        <f ca="1"/>
      </c>
      <c r="AK1016">
        <f ca="1"/>
      </c>
      <c r="AL1016">
        <f ca="1"/>
      </c>
      <c r="AM1016">
        <f ca="1"/>
      </c>
      <c r="AN1016">
        <f ca="1"/>
      </c>
      <c r="AO1016">
        <f ca="1"/>
      </c>
      <c r="AP1016">
        <f ca="1"/>
      </c>
      <c r="AQ1016">
        <f ca="1"/>
      </c>
      <c r="AR1016">
        <f ca="1"/>
      </c>
      <c r="AT1016" s="7">
        <f ca="1"/>
      </c>
      <c r="AU1016">
        <f ca="1"/>
      </c>
      <c r="AV1016">
        <f ca="1"/>
      </c>
      <c r="AW1016">
        <f ca="1"/>
      </c>
      <c r="AX1016">
        <f ca="1"/>
      </c>
      <c r="AY1016">
        <f ca="1"/>
      </c>
      <c r="BA1016" s="7"/>
    </row>
    <row r="1017" spans="31:53" x14ac:dyDescent="0.55000000000000004">
      <c r="AE1017" s="7">
        <f ca="1"/>
      </c>
      <c r="AF1017">
        <f ca="1"/>
      </c>
      <c r="AG1017">
        <f ca="1"/>
      </c>
      <c r="AH1017">
        <f ca="1"/>
      </c>
      <c r="AI1017">
        <f ca="1"/>
      </c>
      <c r="AJ1017">
        <f ca="1"/>
      </c>
      <c r="AK1017">
        <f ca="1"/>
      </c>
      <c r="AL1017">
        <f ca="1"/>
      </c>
      <c r="AM1017">
        <f ca="1"/>
      </c>
      <c r="AN1017">
        <f ca="1"/>
      </c>
      <c r="AO1017">
        <f ca="1"/>
      </c>
      <c r="AP1017">
        <f ca="1"/>
      </c>
      <c r="AQ1017">
        <f ca="1"/>
      </c>
      <c r="AR1017">
        <f ca="1"/>
      </c>
      <c r="AT1017" s="7">
        <f ca="1"/>
      </c>
      <c r="AU1017">
        <f ca="1"/>
      </c>
      <c r="AV1017">
        <f ca="1"/>
      </c>
      <c r="AW1017">
        <f ca="1"/>
      </c>
      <c r="AX1017">
        <f ca="1"/>
      </c>
      <c r="AY1017">
        <f ca="1"/>
      </c>
      <c r="BA1017" s="7"/>
    </row>
    <row r="1018" spans="31:53" x14ac:dyDescent="0.55000000000000004">
      <c r="AE1018" s="7">
        <f ca="1"/>
      </c>
      <c r="AF1018">
        <f ca="1"/>
      </c>
      <c r="AG1018">
        <f ca="1"/>
      </c>
      <c r="AH1018">
        <f ca="1"/>
      </c>
      <c r="AI1018">
        <f ca="1"/>
      </c>
      <c r="AJ1018">
        <f ca="1"/>
      </c>
      <c r="AK1018">
        <f ca="1"/>
      </c>
      <c r="AL1018">
        <f ca="1"/>
      </c>
      <c r="AM1018">
        <f ca="1"/>
      </c>
      <c r="AN1018">
        <f ca="1"/>
      </c>
      <c r="AO1018">
        <f ca="1"/>
      </c>
      <c r="AP1018">
        <f ca="1"/>
      </c>
      <c r="AQ1018">
        <f ca="1"/>
      </c>
      <c r="AR1018">
        <f ca="1"/>
      </c>
      <c r="AT1018" s="7">
        <f ca="1"/>
      </c>
      <c r="AU1018">
        <f ca="1"/>
      </c>
      <c r="AV1018">
        <f ca="1"/>
      </c>
      <c r="AW1018">
        <f ca="1"/>
      </c>
      <c r="AX1018">
        <f ca="1"/>
      </c>
      <c r="AY1018">
        <f ca="1"/>
      </c>
      <c r="BA1018" s="7"/>
    </row>
    <row r="1019" spans="31:53" x14ac:dyDescent="0.55000000000000004">
      <c r="AE1019" s="7">
        <f ca="1"/>
      </c>
      <c r="AF1019">
        <f ca="1"/>
      </c>
      <c r="AG1019">
        <f ca="1"/>
      </c>
      <c r="AH1019">
        <f ca="1"/>
      </c>
      <c r="AI1019">
        <f ca="1"/>
      </c>
      <c r="AJ1019">
        <f ca="1"/>
      </c>
      <c r="AK1019">
        <f ca="1"/>
      </c>
      <c r="AL1019">
        <f ca="1"/>
      </c>
      <c r="AM1019">
        <f ca="1"/>
      </c>
      <c r="AN1019">
        <f ca="1"/>
      </c>
      <c r="AO1019">
        <f ca="1"/>
      </c>
      <c r="AP1019">
        <f ca="1"/>
      </c>
      <c r="AQ1019">
        <f ca="1"/>
      </c>
      <c r="AR1019">
        <f ca="1"/>
      </c>
      <c r="AT1019" s="7">
        <f ca="1"/>
      </c>
      <c r="AU1019">
        <f ca="1"/>
      </c>
      <c r="AV1019">
        <f ca="1"/>
      </c>
      <c r="AW1019">
        <f ca="1"/>
      </c>
      <c r="AX1019">
        <f ca="1"/>
      </c>
      <c r="AY1019">
        <f ca="1"/>
      </c>
      <c r="BA1019" s="7"/>
    </row>
    <row r="1020" spans="31:53" x14ac:dyDescent="0.55000000000000004">
      <c r="AE1020" s="7">
        <f ca="1"/>
      </c>
      <c r="AF1020">
        <f ca="1"/>
      </c>
      <c r="AG1020">
        <f ca="1"/>
      </c>
      <c r="AH1020">
        <f ca="1"/>
      </c>
      <c r="AI1020">
        <f ca="1"/>
      </c>
      <c r="AJ1020">
        <f ca="1"/>
      </c>
      <c r="AK1020">
        <f ca="1"/>
      </c>
      <c r="AL1020">
        <f ca="1"/>
      </c>
      <c r="AM1020">
        <f ca="1"/>
      </c>
      <c r="AN1020">
        <f ca="1"/>
      </c>
      <c r="AO1020">
        <f ca="1"/>
      </c>
      <c r="AP1020">
        <f ca="1"/>
      </c>
      <c r="AQ1020">
        <f ca="1"/>
      </c>
      <c r="AR1020">
        <f ca="1"/>
      </c>
      <c r="AT1020" s="7">
        <f ca="1"/>
      </c>
      <c r="AU1020">
        <f ca="1"/>
      </c>
      <c r="AV1020">
        <f ca="1"/>
      </c>
      <c r="AW1020">
        <f ca="1"/>
      </c>
      <c r="AX1020">
        <f ca="1"/>
      </c>
      <c r="AY1020">
        <f ca="1"/>
      </c>
      <c r="BA1020" s="7"/>
    </row>
    <row r="1021" spans="31:53" x14ac:dyDescent="0.55000000000000004">
      <c r="AE1021" s="7">
        <f ca="1"/>
      </c>
      <c r="AF1021">
        <f ca="1"/>
      </c>
      <c r="AG1021">
        <f ca="1"/>
      </c>
      <c r="AH1021">
        <f ca="1"/>
      </c>
      <c r="AI1021">
        <f ca="1"/>
      </c>
      <c r="AJ1021">
        <f ca="1"/>
      </c>
      <c r="AK1021">
        <f ca="1"/>
      </c>
      <c r="AL1021">
        <f ca="1"/>
      </c>
      <c r="AM1021">
        <f ca="1"/>
      </c>
      <c r="AN1021">
        <f ca="1"/>
      </c>
      <c r="AO1021">
        <f ca="1"/>
      </c>
      <c r="AP1021">
        <f ca="1"/>
      </c>
      <c r="AQ1021">
        <f ca="1"/>
      </c>
      <c r="AR1021">
        <f ca="1"/>
      </c>
      <c r="AT1021" s="7">
        <f ca="1"/>
      </c>
      <c r="AU1021">
        <f ca="1"/>
      </c>
      <c r="AV1021">
        <f ca="1"/>
      </c>
      <c r="AW1021">
        <f ca="1"/>
      </c>
      <c r="AX1021">
        <f ca="1"/>
      </c>
      <c r="AY1021">
        <f ca="1"/>
      </c>
      <c r="BA1021" s="7"/>
    </row>
    <row r="1022" spans="31:53" x14ac:dyDescent="0.55000000000000004">
      <c r="AE1022" s="7">
        <f ca="1"/>
      </c>
      <c r="AF1022">
        <f ca="1"/>
      </c>
      <c r="AG1022">
        <f ca="1"/>
      </c>
      <c r="AH1022">
        <f ca="1"/>
      </c>
      <c r="AI1022">
        <f ca="1"/>
      </c>
      <c r="AJ1022">
        <f ca="1"/>
      </c>
      <c r="AK1022">
        <f ca="1"/>
      </c>
      <c r="AL1022">
        <f ca="1"/>
      </c>
      <c r="AM1022">
        <f ca="1"/>
      </c>
      <c r="AN1022">
        <f ca="1"/>
      </c>
      <c r="AO1022">
        <f ca="1"/>
      </c>
      <c r="AP1022">
        <f ca="1"/>
      </c>
      <c r="AQ1022">
        <f ca="1"/>
      </c>
      <c r="AR1022">
        <f ca="1"/>
      </c>
      <c r="AT1022" s="7">
        <f ca="1"/>
      </c>
      <c r="AU1022">
        <f ca="1"/>
      </c>
      <c r="AV1022">
        <f ca="1"/>
      </c>
      <c r="AW1022">
        <f ca="1"/>
      </c>
      <c r="AX1022">
        <f ca="1"/>
      </c>
      <c r="AY1022">
        <f ca="1"/>
      </c>
      <c r="BA1022" s="7"/>
    </row>
    <row r="1023" spans="31:53" x14ac:dyDescent="0.55000000000000004">
      <c r="AE1023" s="7">
        <f ca="1"/>
      </c>
      <c r="AF1023">
        <f ca="1"/>
      </c>
      <c r="AG1023">
        <f ca="1"/>
      </c>
      <c r="AH1023">
        <f ca="1"/>
      </c>
      <c r="AI1023">
        <f ca="1"/>
      </c>
      <c r="AJ1023">
        <f ca="1"/>
      </c>
      <c r="AK1023">
        <f ca="1"/>
      </c>
      <c r="AL1023">
        <f ca="1"/>
      </c>
      <c r="AM1023">
        <f ca="1"/>
      </c>
      <c r="AN1023">
        <f ca="1"/>
      </c>
      <c r="AO1023">
        <f ca="1"/>
      </c>
      <c r="AP1023">
        <f ca="1"/>
      </c>
      <c r="AQ1023">
        <f ca="1"/>
      </c>
      <c r="AR1023">
        <f ca="1"/>
      </c>
      <c r="AT1023" s="7">
        <f ca="1"/>
      </c>
      <c r="AU1023">
        <f ca="1"/>
      </c>
      <c r="AV1023">
        <f ca="1"/>
      </c>
      <c r="AW1023">
        <f ca="1"/>
      </c>
      <c r="AX1023">
        <f ca="1"/>
      </c>
      <c r="AY1023">
        <f ca="1"/>
      </c>
      <c r="BA1023" s="7"/>
    </row>
    <row r="1024" spans="31:53" x14ac:dyDescent="0.55000000000000004">
      <c r="AE1024" s="7">
        <f ca="1"/>
      </c>
      <c r="AF1024">
        <f ca="1"/>
      </c>
      <c r="AG1024">
        <f ca="1"/>
      </c>
      <c r="AH1024">
        <f ca="1"/>
      </c>
      <c r="AI1024">
        <f ca="1"/>
      </c>
      <c r="AJ1024">
        <f ca="1"/>
      </c>
      <c r="AK1024">
        <f ca="1"/>
      </c>
      <c r="AL1024">
        <f ca="1"/>
      </c>
      <c r="AM1024">
        <f ca="1"/>
      </c>
      <c r="AN1024">
        <f ca="1"/>
      </c>
      <c r="AO1024">
        <f ca="1"/>
      </c>
      <c r="AP1024">
        <f ca="1"/>
      </c>
      <c r="AQ1024">
        <f ca="1"/>
      </c>
      <c r="AR1024">
        <f ca="1"/>
      </c>
      <c r="AT1024" s="7">
        <f ca="1"/>
      </c>
      <c r="AU1024">
        <f ca="1"/>
      </c>
      <c r="AV1024">
        <f ca="1"/>
      </c>
      <c r="AW1024">
        <f ca="1"/>
      </c>
      <c r="AX1024">
        <f ca="1"/>
      </c>
      <c r="AY1024">
        <f ca="1"/>
      </c>
      <c r="BA1024" s="7"/>
    </row>
    <row r="1025" spans="31:53" x14ac:dyDescent="0.55000000000000004">
      <c r="AE1025" s="7">
        <f ca="1"/>
      </c>
      <c r="AF1025">
        <f ca="1"/>
      </c>
      <c r="AG1025">
        <f ca="1"/>
      </c>
      <c r="AH1025">
        <f ca="1"/>
      </c>
      <c r="AI1025">
        <f ca="1"/>
      </c>
      <c r="AJ1025">
        <f ca="1"/>
      </c>
      <c r="AK1025">
        <f ca="1"/>
      </c>
      <c r="AL1025">
        <f ca="1"/>
      </c>
      <c r="AM1025">
        <f ca="1"/>
      </c>
      <c r="AN1025">
        <f ca="1"/>
      </c>
      <c r="AO1025">
        <f ca="1"/>
      </c>
      <c r="AP1025">
        <f ca="1"/>
      </c>
      <c r="AQ1025">
        <f ca="1"/>
      </c>
      <c r="AR1025">
        <f ca="1"/>
      </c>
      <c r="AT1025" s="7">
        <f ca="1"/>
      </c>
      <c r="AU1025">
        <f ca="1"/>
      </c>
      <c r="AV1025">
        <f ca="1"/>
      </c>
      <c r="AW1025">
        <f ca="1"/>
      </c>
      <c r="AX1025">
        <f ca="1"/>
      </c>
      <c r="AY1025">
        <f ca="1"/>
      </c>
      <c r="BA1025" s="7"/>
    </row>
    <row r="1026" spans="31:53" x14ac:dyDescent="0.55000000000000004">
      <c r="AE1026" s="7">
        <f ca="1"/>
      </c>
      <c r="AF1026">
        <f ca="1"/>
      </c>
      <c r="AG1026">
        <f ca="1"/>
      </c>
      <c r="AH1026">
        <f ca="1"/>
      </c>
      <c r="AI1026">
        <f ca="1"/>
      </c>
      <c r="AJ1026">
        <f ca="1"/>
      </c>
      <c r="AK1026">
        <f ca="1"/>
      </c>
      <c r="AL1026">
        <f ca="1"/>
      </c>
      <c r="AM1026">
        <f ca="1"/>
      </c>
      <c r="AN1026">
        <f ca="1"/>
      </c>
      <c r="AO1026">
        <f ca="1"/>
      </c>
      <c r="AP1026">
        <f ca="1"/>
      </c>
      <c r="AQ1026">
        <f ca="1"/>
      </c>
      <c r="AR1026">
        <f ca="1"/>
      </c>
      <c r="AT1026" s="7">
        <f ca="1"/>
      </c>
      <c r="AU1026">
        <f ca="1"/>
      </c>
      <c r="AV1026">
        <f ca="1"/>
      </c>
      <c r="AW1026">
        <f ca="1"/>
      </c>
      <c r="AX1026">
        <f ca="1"/>
      </c>
      <c r="AY1026">
        <f ca="1"/>
      </c>
      <c r="BA1026" s="7"/>
    </row>
    <row r="1027" spans="31:53" x14ac:dyDescent="0.55000000000000004">
      <c r="AE1027" s="7">
        <f ca="1"/>
      </c>
      <c r="AF1027">
        <f ca="1"/>
      </c>
      <c r="AG1027">
        <f ca="1"/>
      </c>
      <c r="AH1027">
        <f ca="1"/>
      </c>
      <c r="AI1027">
        <f ca="1"/>
      </c>
      <c r="AJ1027">
        <f ca="1"/>
      </c>
      <c r="AK1027">
        <f ca="1"/>
      </c>
      <c r="AL1027">
        <f ca="1"/>
      </c>
      <c r="AM1027">
        <f ca="1"/>
      </c>
      <c r="AN1027">
        <f ca="1"/>
      </c>
      <c r="AO1027">
        <f ca="1"/>
      </c>
      <c r="AP1027">
        <f ca="1"/>
      </c>
      <c r="AQ1027">
        <f ca="1"/>
      </c>
      <c r="AR1027">
        <f ca="1"/>
      </c>
      <c r="AT1027" s="7">
        <f ca="1"/>
      </c>
      <c r="AU1027">
        <f ca="1"/>
      </c>
      <c r="AV1027">
        <f ca="1"/>
      </c>
      <c r="AW1027">
        <f ca="1"/>
      </c>
      <c r="AX1027">
        <f ca="1"/>
      </c>
      <c r="AY1027">
        <f ca="1"/>
      </c>
      <c r="BA1027" s="7"/>
    </row>
    <row r="1028" spans="31:53" x14ac:dyDescent="0.55000000000000004">
      <c r="AE1028" s="7">
        <f ca="1"/>
      </c>
      <c r="AF1028">
        <f ca="1"/>
      </c>
      <c r="AG1028">
        <f ca="1"/>
      </c>
      <c r="AH1028">
        <f ca="1"/>
      </c>
      <c r="AI1028">
        <f ca="1"/>
      </c>
      <c r="AJ1028">
        <f ca="1"/>
      </c>
      <c r="AK1028">
        <f ca="1"/>
      </c>
      <c r="AL1028">
        <f ca="1"/>
      </c>
      <c r="AM1028">
        <f ca="1"/>
      </c>
      <c r="AN1028">
        <f ca="1"/>
      </c>
      <c r="AO1028">
        <f ca="1"/>
      </c>
      <c r="AP1028">
        <f ca="1"/>
      </c>
      <c r="AQ1028">
        <f ca="1"/>
      </c>
      <c r="AR1028">
        <f ca="1"/>
      </c>
      <c r="AT1028" s="7">
        <f ca="1"/>
      </c>
      <c r="AU1028">
        <f ca="1"/>
      </c>
      <c r="AV1028">
        <f ca="1"/>
      </c>
      <c r="AW1028">
        <f ca="1"/>
      </c>
      <c r="AX1028">
        <f ca="1"/>
      </c>
      <c r="AY1028">
        <f ca="1"/>
      </c>
      <c r="BA1028" s="7"/>
    </row>
    <row r="1029" spans="31:53" x14ac:dyDescent="0.55000000000000004">
      <c r="AE1029" s="7">
        <f ca="1"/>
      </c>
      <c r="AF1029">
        <f ca="1"/>
      </c>
      <c r="AG1029">
        <f ca="1"/>
      </c>
      <c r="AH1029">
        <f ca="1"/>
      </c>
      <c r="AI1029">
        <f ca="1"/>
      </c>
      <c r="AJ1029">
        <f ca="1"/>
      </c>
      <c r="AK1029">
        <f ca="1"/>
      </c>
      <c r="AL1029">
        <f ca="1"/>
      </c>
      <c r="AM1029">
        <f ca="1"/>
      </c>
      <c r="AN1029">
        <f ca="1"/>
      </c>
      <c r="AO1029">
        <f ca="1"/>
      </c>
      <c r="AP1029">
        <f ca="1"/>
      </c>
      <c r="AQ1029">
        <f ca="1"/>
      </c>
      <c r="AR1029">
        <f ca="1"/>
      </c>
      <c r="AT1029" s="7">
        <f ca="1"/>
      </c>
      <c r="AU1029">
        <f ca="1"/>
      </c>
      <c r="AV1029">
        <f ca="1"/>
      </c>
      <c r="AW1029">
        <f ca="1"/>
      </c>
      <c r="AX1029">
        <f ca="1"/>
      </c>
      <c r="AY1029">
        <f ca="1"/>
      </c>
      <c r="BA1029" s="7"/>
    </row>
    <row r="1030" spans="31:53" x14ac:dyDescent="0.55000000000000004">
      <c r="AE1030" s="7">
        <f ca="1"/>
      </c>
      <c r="AF1030">
        <f ca="1"/>
      </c>
      <c r="AG1030">
        <f ca="1"/>
      </c>
      <c r="AH1030">
        <f ca="1"/>
      </c>
      <c r="AI1030">
        <f ca="1"/>
      </c>
      <c r="AJ1030">
        <f ca="1"/>
      </c>
      <c r="AK1030">
        <f ca="1"/>
      </c>
      <c r="AL1030">
        <f ca="1"/>
      </c>
      <c r="AM1030">
        <f ca="1"/>
      </c>
      <c r="AN1030">
        <f ca="1"/>
      </c>
      <c r="AO1030">
        <f ca="1"/>
      </c>
      <c r="AP1030">
        <f ca="1"/>
      </c>
      <c r="AQ1030">
        <f ca="1"/>
      </c>
      <c r="AR1030">
        <f ca="1"/>
      </c>
      <c r="AT1030" s="7">
        <f ca="1"/>
      </c>
      <c r="AU1030">
        <f ca="1"/>
      </c>
      <c r="AV1030">
        <f ca="1"/>
      </c>
      <c r="AW1030">
        <f ca="1"/>
      </c>
      <c r="AX1030">
        <f ca="1"/>
      </c>
      <c r="AY1030">
        <f ca="1"/>
      </c>
      <c r="BA1030" s="7"/>
    </row>
    <row r="1031" spans="31:53" x14ac:dyDescent="0.55000000000000004">
      <c r="AE1031" s="7">
        <f ca="1"/>
      </c>
      <c r="AF1031">
        <f ca="1"/>
      </c>
      <c r="AG1031">
        <f ca="1"/>
      </c>
      <c r="AH1031">
        <f ca="1"/>
      </c>
      <c r="AI1031">
        <f ca="1"/>
      </c>
      <c r="AJ1031">
        <f ca="1"/>
      </c>
      <c r="AK1031">
        <f ca="1"/>
      </c>
      <c r="AL1031">
        <f ca="1"/>
      </c>
      <c r="AM1031">
        <f ca="1"/>
      </c>
      <c r="AN1031">
        <f ca="1"/>
      </c>
      <c r="AO1031">
        <f ca="1"/>
      </c>
      <c r="AP1031">
        <f ca="1"/>
      </c>
      <c r="AQ1031">
        <f ca="1"/>
      </c>
      <c r="AR1031">
        <f ca="1"/>
      </c>
      <c r="AT1031" s="7">
        <f ca="1"/>
      </c>
      <c r="AU1031">
        <f ca="1"/>
      </c>
      <c r="AV1031">
        <f ca="1"/>
      </c>
      <c r="AW1031">
        <f ca="1"/>
      </c>
      <c r="AX1031">
        <f ca="1"/>
      </c>
      <c r="AY1031">
        <f ca="1"/>
      </c>
      <c r="BA1031" s="7"/>
    </row>
    <row r="1032" spans="31:53" x14ac:dyDescent="0.55000000000000004">
      <c r="AE1032" s="7">
        <f ca="1"/>
      </c>
      <c r="AF1032">
        <f ca="1"/>
      </c>
      <c r="AG1032">
        <f ca="1"/>
      </c>
      <c r="AH1032">
        <f ca="1"/>
      </c>
      <c r="AI1032">
        <f ca="1"/>
      </c>
      <c r="AJ1032">
        <f ca="1"/>
      </c>
      <c r="AK1032">
        <f ca="1"/>
      </c>
      <c r="AL1032">
        <f ca="1"/>
      </c>
      <c r="AM1032">
        <f ca="1"/>
      </c>
      <c r="AN1032">
        <f ca="1"/>
      </c>
      <c r="AO1032">
        <f ca="1"/>
      </c>
      <c r="AP1032">
        <f ca="1"/>
      </c>
      <c r="AQ1032">
        <f ca="1"/>
      </c>
      <c r="AR1032">
        <f ca="1"/>
      </c>
      <c r="AT1032" s="7">
        <f ca="1"/>
      </c>
      <c r="AU1032">
        <f ca="1"/>
      </c>
      <c r="AV1032">
        <f ca="1"/>
      </c>
      <c r="AW1032">
        <f ca="1"/>
      </c>
      <c r="AX1032">
        <f ca="1"/>
      </c>
      <c r="AY1032">
        <f ca="1"/>
      </c>
      <c r="BA1032" s="7"/>
    </row>
    <row r="1033" spans="31:53" x14ac:dyDescent="0.55000000000000004">
      <c r="AE1033" s="7">
        <f ca="1"/>
      </c>
      <c r="AF1033">
        <f ca="1"/>
      </c>
      <c r="AG1033">
        <f ca="1"/>
      </c>
      <c r="AH1033">
        <f ca="1"/>
      </c>
      <c r="AI1033">
        <f ca="1"/>
      </c>
      <c r="AJ1033">
        <f ca="1"/>
      </c>
      <c r="AK1033">
        <f ca="1"/>
      </c>
      <c r="AL1033">
        <f ca="1"/>
      </c>
      <c r="AM1033">
        <f ca="1"/>
      </c>
      <c r="AN1033">
        <f ca="1"/>
      </c>
      <c r="AO1033">
        <f ca="1"/>
      </c>
      <c r="AP1033">
        <f ca="1"/>
      </c>
      <c r="AQ1033">
        <f ca="1"/>
      </c>
      <c r="AR1033">
        <f ca="1"/>
      </c>
      <c r="AT1033" s="7">
        <f ca="1"/>
      </c>
      <c r="AU1033">
        <f ca="1"/>
      </c>
      <c r="AV1033">
        <f ca="1"/>
      </c>
      <c r="AW1033">
        <f ca="1"/>
      </c>
      <c r="AX1033">
        <f ca="1"/>
      </c>
      <c r="AY1033">
        <f ca="1"/>
      </c>
      <c r="BA1033" s="7"/>
    </row>
    <row r="1034" spans="31:53" x14ac:dyDescent="0.55000000000000004">
      <c r="AE1034" s="7">
        <f ca="1"/>
      </c>
      <c r="AF1034">
        <f ca="1"/>
      </c>
      <c r="AG1034">
        <f ca="1"/>
      </c>
      <c r="AH1034">
        <f ca="1"/>
      </c>
      <c r="AI1034">
        <f ca="1"/>
      </c>
      <c r="AJ1034">
        <f ca="1"/>
      </c>
      <c r="AK1034">
        <f ca="1"/>
      </c>
      <c r="AL1034">
        <f ca="1"/>
      </c>
      <c r="AM1034">
        <f ca="1"/>
      </c>
      <c r="AN1034">
        <f ca="1"/>
      </c>
      <c r="AO1034">
        <f ca="1"/>
      </c>
      <c r="AP1034">
        <f ca="1"/>
      </c>
      <c r="AQ1034">
        <f ca="1"/>
      </c>
      <c r="AR1034">
        <f ca="1"/>
      </c>
      <c r="AT1034" s="7">
        <f ca="1"/>
      </c>
      <c r="AU1034">
        <f ca="1"/>
      </c>
      <c r="AV1034">
        <f ca="1"/>
      </c>
      <c r="AW1034">
        <f ca="1"/>
      </c>
      <c r="AX1034">
        <f ca="1"/>
      </c>
      <c r="AY1034">
        <f ca="1"/>
      </c>
      <c r="BA1034" s="7"/>
    </row>
    <row r="1035" spans="31:53" x14ac:dyDescent="0.55000000000000004">
      <c r="AE1035" s="7">
        <f ca="1"/>
      </c>
      <c r="AF1035">
        <f ca="1"/>
      </c>
      <c r="AG1035">
        <f ca="1"/>
      </c>
      <c r="AH1035">
        <f ca="1"/>
      </c>
      <c r="AI1035">
        <f ca="1"/>
      </c>
      <c r="AJ1035">
        <f ca="1"/>
      </c>
      <c r="AK1035">
        <f ca="1"/>
      </c>
      <c r="AL1035">
        <f ca="1"/>
      </c>
      <c r="AM1035">
        <f ca="1"/>
      </c>
      <c r="AN1035">
        <f ca="1"/>
      </c>
      <c r="AO1035">
        <f ca="1"/>
      </c>
      <c r="AP1035">
        <f ca="1"/>
      </c>
      <c r="AQ1035">
        <f ca="1"/>
      </c>
      <c r="AR1035">
        <f ca="1"/>
      </c>
      <c r="AT1035" s="7">
        <f ca="1"/>
      </c>
      <c r="AU1035">
        <f ca="1"/>
      </c>
      <c r="AV1035">
        <f ca="1"/>
      </c>
      <c r="AW1035">
        <f ca="1"/>
      </c>
      <c r="AX1035">
        <f ca="1"/>
      </c>
      <c r="AY1035">
        <f ca="1"/>
      </c>
      <c r="BA1035" s="7"/>
    </row>
    <row r="1036" spans="31:53" x14ac:dyDescent="0.55000000000000004">
      <c r="AE1036" s="7">
        <f ca="1"/>
      </c>
      <c r="AF1036">
        <f ca="1"/>
      </c>
      <c r="AG1036">
        <f ca="1"/>
      </c>
      <c r="AH1036">
        <f ca="1"/>
      </c>
      <c r="AI1036">
        <f ca="1"/>
      </c>
      <c r="AJ1036">
        <f ca="1"/>
      </c>
      <c r="AK1036">
        <f ca="1"/>
      </c>
      <c r="AL1036">
        <f ca="1"/>
      </c>
      <c r="AM1036">
        <f ca="1"/>
      </c>
      <c r="AN1036">
        <f ca="1"/>
      </c>
      <c r="AO1036">
        <f ca="1"/>
      </c>
      <c r="AP1036">
        <f ca="1"/>
      </c>
      <c r="AQ1036">
        <f ca="1"/>
      </c>
      <c r="AR1036">
        <f ca="1"/>
      </c>
      <c r="AT1036" s="7">
        <f ca="1"/>
      </c>
      <c r="AU1036">
        <f ca="1"/>
      </c>
      <c r="AV1036">
        <f ca="1"/>
      </c>
      <c r="AW1036">
        <f ca="1"/>
      </c>
      <c r="AX1036">
        <f ca="1"/>
      </c>
      <c r="AY1036">
        <f ca="1"/>
      </c>
      <c r="BA1036" s="7"/>
    </row>
    <row r="1037" spans="31:53" x14ac:dyDescent="0.55000000000000004">
      <c r="AE1037" s="7">
        <f ca="1"/>
      </c>
      <c r="AF1037">
        <f ca="1"/>
      </c>
      <c r="AG1037">
        <f ca="1"/>
      </c>
      <c r="AH1037">
        <f ca="1"/>
      </c>
      <c r="AI1037">
        <f ca="1"/>
      </c>
      <c r="AJ1037">
        <f ca="1"/>
      </c>
      <c r="AK1037">
        <f ca="1"/>
      </c>
      <c r="AL1037">
        <f ca="1"/>
      </c>
      <c r="AM1037">
        <f ca="1"/>
      </c>
      <c r="AN1037">
        <f ca="1"/>
      </c>
      <c r="AO1037">
        <f ca="1"/>
      </c>
      <c r="AP1037">
        <f ca="1"/>
      </c>
      <c r="AQ1037">
        <f ca="1"/>
      </c>
      <c r="AR1037">
        <f ca="1"/>
      </c>
      <c r="AT1037" s="7">
        <f ca="1"/>
      </c>
      <c r="AU1037">
        <f ca="1"/>
      </c>
      <c r="AV1037">
        <f ca="1"/>
      </c>
      <c r="AW1037">
        <f ca="1"/>
      </c>
      <c r="AX1037">
        <f ca="1"/>
      </c>
      <c r="AY1037">
        <f ca="1"/>
      </c>
      <c r="BA1037" s="7"/>
    </row>
    <row r="1038" spans="31:53" x14ac:dyDescent="0.55000000000000004">
      <c r="AE1038" s="7">
        <f ca="1"/>
      </c>
      <c r="AF1038">
        <f ca="1"/>
      </c>
      <c r="AG1038">
        <f ca="1"/>
      </c>
      <c r="AH1038">
        <f ca="1"/>
      </c>
      <c r="AI1038">
        <f ca="1"/>
      </c>
      <c r="AJ1038">
        <f ca="1"/>
      </c>
      <c r="AK1038">
        <f ca="1"/>
      </c>
      <c r="AL1038">
        <f ca="1"/>
      </c>
      <c r="AM1038">
        <f ca="1"/>
      </c>
      <c r="AN1038">
        <f ca="1"/>
      </c>
      <c r="AO1038">
        <f ca="1"/>
      </c>
      <c r="AP1038">
        <f ca="1"/>
      </c>
      <c r="AQ1038">
        <f ca="1"/>
      </c>
      <c r="AR1038">
        <f ca="1"/>
      </c>
      <c r="AT1038" s="7">
        <f ca="1"/>
      </c>
      <c r="AU1038">
        <f ca="1"/>
      </c>
      <c r="AV1038">
        <f ca="1"/>
      </c>
      <c r="AW1038">
        <f ca="1"/>
      </c>
      <c r="AX1038">
        <f ca="1"/>
      </c>
      <c r="AY1038">
        <f ca="1"/>
      </c>
      <c r="BA1038" s="7"/>
    </row>
    <row r="1039" spans="31:53" x14ac:dyDescent="0.55000000000000004">
      <c r="AE1039" s="7">
        <f ca="1"/>
      </c>
      <c r="AF1039">
        <f ca="1"/>
      </c>
      <c r="AG1039">
        <f ca="1"/>
      </c>
      <c r="AH1039">
        <f ca="1"/>
      </c>
      <c r="AI1039">
        <f ca="1"/>
      </c>
      <c r="AJ1039">
        <f ca="1"/>
      </c>
      <c r="AK1039">
        <f ca="1"/>
      </c>
      <c r="AL1039">
        <f ca="1"/>
      </c>
      <c r="AM1039">
        <f ca="1"/>
      </c>
      <c r="AN1039">
        <f ca="1"/>
      </c>
      <c r="AO1039">
        <f ca="1"/>
      </c>
      <c r="AP1039">
        <f ca="1"/>
      </c>
      <c r="AQ1039">
        <f ca="1"/>
      </c>
      <c r="AR1039">
        <f ca="1"/>
      </c>
      <c r="AT1039" s="7">
        <f ca="1"/>
      </c>
      <c r="AU1039">
        <f ca="1"/>
      </c>
      <c r="AV1039">
        <f ca="1"/>
      </c>
      <c r="AW1039">
        <f ca="1"/>
      </c>
      <c r="AX1039">
        <f ca="1"/>
      </c>
      <c r="AY1039">
        <f ca="1"/>
      </c>
      <c r="BA1039" s="7"/>
    </row>
    <row r="1040" spans="31:53" x14ac:dyDescent="0.55000000000000004">
      <c r="AE1040" s="7">
        <f ca="1"/>
      </c>
      <c r="AF1040">
        <f ca="1"/>
      </c>
      <c r="AG1040">
        <f ca="1"/>
      </c>
      <c r="AH1040">
        <f ca="1"/>
      </c>
      <c r="AI1040">
        <f ca="1"/>
      </c>
      <c r="AJ1040">
        <f ca="1"/>
      </c>
      <c r="AK1040">
        <f ca="1"/>
      </c>
      <c r="AL1040">
        <f ca="1"/>
      </c>
      <c r="AM1040">
        <f ca="1"/>
      </c>
      <c r="AN1040">
        <f ca="1"/>
      </c>
      <c r="AO1040">
        <f ca="1"/>
      </c>
      <c r="AP1040">
        <f ca="1"/>
      </c>
      <c r="AQ1040">
        <f ca="1"/>
      </c>
      <c r="AR1040">
        <f ca="1"/>
      </c>
      <c r="AT1040" s="7">
        <f ca="1"/>
      </c>
      <c r="AU1040">
        <f ca="1"/>
      </c>
      <c r="AV1040">
        <f ca="1"/>
      </c>
      <c r="AW1040">
        <f ca="1"/>
      </c>
      <c r="AX1040">
        <f ca="1"/>
      </c>
      <c r="AY1040">
        <f ca="1"/>
      </c>
      <c r="BA1040" s="7"/>
    </row>
    <row r="1041" spans="31:53" x14ac:dyDescent="0.55000000000000004">
      <c r="AE1041" s="7">
        <f ca="1"/>
      </c>
      <c r="AF1041">
        <f ca="1"/>
      </c>
      <c r="AG1041">
        <f ca="1"/>
      </c>
      <c r="AH1041">
        <f ca="1"/>
      </c>
      <c r="AI1041">
        <f ca="1"/>
      </c>
      <c r="AJ1041">
        <f ca="1"/>
      </c>
      <c r="AK1041">
        <f ca="1"/>
      </c>
      <c r="AL1041">
        <f ca="1"/>
      </c>
      <c r="AM1041">
        <f ca="1"/>
      </c>
      <c r="AN1041">
        <f ca="1"/>
      </c>
      <c r="AO1041">
        <f ca="1"/>
      </c>
      <c r="AP1041">
        <f ca="1"/>
      </c>
      <c r="AQ1041">
        <f ca="1"/>
      </c>
      <c r="AR1041">
        <f ca="1"/>
      </c>
      <c r="AT1041" s="7">
        <f ca="1"/>
      </c>
      <c r="AU1041">
        <f ca="1"/>
      </c>
      <c r="AV1041">
        <f ca="1"/>
      </c>
      <c r="AW1041">
        <f ca="1"/>
      </c>
      <c r="AX1041">
        <f ca="1"/>
      </c>
      <c r="AY1041">
        <f ca="1"/>
      </c>
      <c r="BA1041" s="7"/>
    </row>
    <row r="1042" spans="31:53" x14ac:dyDescent="0.55000000000000004">
      <c r="AE1042" s="7">
        <f ca="1"/>
      </c>
      <c r="AF1042">
        <f ca="1"/>
      </c>
      <c r="AG1042">
        <f ca="1"/>
      </c>
      <c r="AH1042">
        <f ca="1"/>
      </c>
      <c r="AI1042">
        <f ca="1"/>
      </c>
      <c r="AJ1042">
        <f ca="1"/>
      </c>
      <c r="AK1042">
        <f ca="1"/>
      </c>
      <c r="AL1042">
        <f ca="1"/>
      </c>
      <c r="AM1042">
        <f ca="1"/>
      </c>
      <c r="AN1042">
        <f ca="1"/>
      </c>
      <c r="AO1042">
        <f ca="1"/>
      </c>
      <c r="AP1042">
        <f ca="1"/>
      </c>
      <c r="AQ1042">
        <f ca="1"/>
      </c>
      <c r="AR1042">
        <f ca="1"/>
      </c>
      <c r="AT1042" s="7">
        <f ca="1"/>
      </c>
      <c r="AU1042">
        <f ca="1"/>
      </c>
      <c r="AV1042">
        <f ca="1"/>
      </c>
      <c r="AW1042">
        <f ca="1"/>
      </c>
      <c r="AX1042">
        <f ca="1"/>
      </c>
      <c r="AY1042">
        <f ca="1"/>
      </c>
      <c r="BA1042" s="7"/>
    </row>
    <row r="1043" spans="31:53" x14ac:dyDescent="0.55000000000000004">
      <c r="AE1043" s="7">
        <f ca="1"/>
      </c>
      <c r="AF1043">
        <f ca="1"/>
      </c>
      <c r="AG1043">
        <f ca="1"/>
      </c>
      <c r="AH1043">
        <f ca="1"/>
      </c>
      <c r="AI1043">
        <f ca="1"/>
      </c>
      <c r="AJ1043">
        <f ca="1"/>
      </c>
      <c r="AK1043">
        <f ca="1"/>
      </c>
      <c r="AL1043">
        <f ca="1"/>
      </c>
      <c r="AM1043">
        <f ca="1"/>
      </c>
      <c r="AN1043">
        <f ca="1"/>
      </c>
      <c r="AO1043">
        <f ca="1"/>
      </c>
      <c r="AP1043">
        <f ca="1"/>
      </c>
      <c r="AQ1043">
        <f ca="1"/>
      </c>
      <c r="AR1043">
        <f ca="1"/>
      </c>
      <c r="AT1043" s="7">
        <f ca="1"/>
      </c>
      <c r="AU1043">
        <f ca="1"/>
      </c>
      <c r="AV1043">
        <f ca="1"/>
      </c>
      <c r="AW1043">
        <f ca="1"/>
      </c>
      <c r="AX1043">
        <f ca="1"/>
      </c>
      <c r="AY1043">
        <f ca="1"/>
      </c>
      <c r="BA1043" s="7"/>
    </row>
    <row r="1044" spans="31:53" x14ac:dyDescent="0.55000000000000004">
      <c r="AE1044" s="7">
        <f ca="1"/>
      </c>
      <c r="AF1044">
        <f ca="1"/>
      </c>
      <c r="AG1044">
        <f ca="1"/>
      </c>
      <c r="AH1044">
        <f ca="1"/>
      </c>
      <c r="AI1044">
        <f ca="1"/>
      </c>
      <c r="AJ1044">
        <f ca="1"/>
      </c>
      <c r="AK1044">
        <f ca="1"/>
      </c>
      <c r="AL1044">
        <f ca="1"/>
      </c>
      <c r="AM1044">
        <f ca="1"/>
      </c>
      <c r="AN1044">
        <f ca="1"/>
      </c>
      <c r="AO1044">
        <f ca="1"/>
      </c>
      <c r="AP1044">
        <f ca="1"/>
      </c>
      <c r="AQ1044">
        <f ca="1"/>
      </c>
      <c r="AR1044">
        <f ca="1"/>
      </c>
      <c r="AT1044" s="7">
        <f ca="1"/>
      </c>
      <c r="AU1044">
        <f ca="1"/>
      </c>
      <c r="AV1044">
        <f ca="1"/>
      </c>
      <c r="AW1044">
        <f ca="1"/>
      </c>
      <c r="AX1044">
        <f ca="1"/>
      </c>
      <c r="AY1044">
        <f ca="1"/>
      </c>
      <c r="BA1044" s="7"/>
    </row>
    <row r="1045" spans="31:53" x14ac:dyDescent="0.55000000000000004">
      <c r="AE1045" s="7">
        <f ca="1"/>
      </c>
      <c r="AF1045">
        <f ca="1"/>
      </c>
      <c r="AG1045">
        <f ca="1"/>
      </c>
      <c r="AH1045">
        <f ca="1"/>
      </c>
      <c r="AI1045">
        <f ca="1"/>
      </c>
      <c r="AJ1045">
        <f ca="1"/>
      </c>
      <c r="AK1045">
        <f ca="1"/>
      </c>
      <c r="AL1045">
        <f ca="1"/>
      </c>
      <c r="AM1045">
        <f ca="1"/>
      </c>
      <c r="AN1045">
        <f ca="1"/>
      </c>
      <c r="AO1045">
        <f ca="1"/>
      </c>
      <c r="AP1045">
        <f ca="1"/>
      </c>
      <c r="AQ1045">
        <f ca="1"/>
      </c>
      <c r="AR1045">
        <f ca="1"/>
      </c>
      <c r="AT1045" s="7">
        <f ca="1"/>
      </c>
      <c r="AU1045">
        <f ca="1"/>
      </c>
      <c r="AV1045">
        <f ca="1"/>
      </c>
      <c r="AW1045">
        <f ca="1"/>
      </c>
      <c r="AX1045">
        <f ca="1"/>
      </c>
      <c r="AY1045">
        <f ca="1"/>
      </c>
      <c r="BA1045" s="7"/>
    </row>
    <row r="1046" spans="31:53" x14ac:dyDescent="0.55000000000000004">
      <c r="AE1046" s="7">
        <f ca="1"/>
      </c>
      <c r="AF1046">
        <f ca="1"/>
      </c>
      <c r="AG1046">
        <f ca="1"/>
      </c>
      <c r="AH1046">
        <f ca="1"/>
      </c>
      <c r="AI1046">
        <f ca="1"/>
      </c>
      <c r="AJ1046">
        <f ca="1"/>
      </c>
      <c r="AK1046">
        <f ca="1"/>
      </c>
      <c r="AL1046">
        <f ca="1"/>
      </c>
      <c r="AM1046">
        <f ca="1"/>
      </c>
      <c r="AN1046">
        <f ca="1"/>
      </c>
      <c r="AO1046">
        <f ca="1"/>
      </c>
      <c r="AP1046">
        <f ca="1"/>
      </c>
      <c r="AQ1046">
        <f ca="1"/>
      </c>
      <c r="AR1046">
        <f ca="1"/>
      </c>
      <c r="AT1046" s="7">
        <f ca="1"/>
      </c>
      <c r="AU1046">
        <f ca="1"/>
      </c>
      <c r="AV1046">
        <f ca="1"/>
      </c>
      <c r="AW1046">
        <f ca="1"/>
      </c>
      <c r="AX1046">
        <f ca="1"/>
      </c>
      <c r="AY1046">
        <f ca="1"/>
      </c>
      <c r="BA1046" s="7"/>
    </row>
    <row r="1047" spans="31:53" x14ac:dyDescent="0.55000000000000004">
      <c r="AE1047" s="7">
        <f ca="1"/>
      </c>
      <c r="AF1047">
        <f ca="1"/>
      </c>
      <c r="AG1047">
        <f ca="1"/>
      </c>
      <c r="AH1047">
        <f ca="1"/>
      </c>
      <c r="AI1047">
        <f ca="1"/>
      </c>
      <c r="AJ1047">
        <f ca="1"/>
      </c>
      <c r="AK1047">
        <f ca="1"/>
      </c>
      <c r="AL1047">
        <f ca="1"/>
      </c>
      <c r="AM1047">
        <f ca="1"/>
      </c>
      <c r="AN1047">
        <f ca="1"/>
      </c>
      <c r="AO1047">
        <f ca="1"/>
      </c>
      <c r="AP1047">
        <f ca="1"/>
      </c>
      <c r="AQ1047">
        <f ca="1"/>
      </c>
      <c r="AR1047">
        <f ca="1"/>
      </c>
      <c r="AT1047" s="7">
        <f ca="1"/>
      </c>
      <c r="AU1047">
        <f ca="1"/>
      </c>
      <c r="AV1047">
        <f ca="1"/>
      </c>
      <c r="AW1047">
        <f ca="1"/>
      </c>
      <c r="AX1047">
        <f ca="1"/>
      </c>
      <c r="AY1047">
        <f ca="1"/>
      </c>
      <c r="BA1047" s="7"/>
    </row>
    <row r="1048" spans="31:53" x14ac:dyDescent="0.55000000000000004">
      <c r="AE1048" s="7">
        <f ca="1"/>
      </c>
      <c r="AF1048">
        <f ca="1"/>
      </c>
      <c r="AG1048">
        <f ca="1"/>
      </c>
      <c r="AH1048">
        <f ca="1"/>
      </c>
      <c r="AI1048">
        <f ca="1"/>
      </c>
      <c r="AJ1048">
        <f ca="1"/>
      </c>
      <c r="AK1048">
        <f ca="1"/>
      </c>
      <c r="AL1048">
        <f ca="1"/>
      </c>
      <c r="AM1048">
        <f ca="1"/>
      </c>
      <c r="AN1048">
        <f ca="1"/>
      </c>
      <c r="AO1048">
        <f ca="1"/>
      </c>
      <c r="AP1048">
        <f ca="1"/>
      </c>
      <c r="AQ1048">
        <f ca="1"/>
      </c>
      <c r="AR1048">
        <f ca="1"/>
      </c>
      <c r="AT1048" s="7">
        <f ca="1"/>
      </c>
      <c r="AU1048">
        <f ca="1"/>
      </c>
      <c r="AV1048">
        <f ca="1"/>
      </c>
      <c r="AW1048">
        <f ca="1"/>
      </c>
      <c r="AX1048">
        <f ca="1"/>
      </c>
      <c r="AY1048">
        <f ca="1"/>
      </c>
      <c r="BA1048" s="7"/>
    </row>
    <row r="1049" spans="31:53" x14ac:dyDescent="0.55000000000000004">
      <c r="AE1049" s="7">
        <f ca="1"/>
      </c>
      <c r="AF1049">
        <f ca="1"/>
      </c>
      <c r="AG1049">
        <f ca="1"/>
      </c>
      <c r="AH1049">
        <f ca="1"/>
      </c>
      <c r="AI1049">
        <f ca="1"/>
      </c>
      <c r="AJ1049">
        <f ca="1"/>
      </c>
      <c r="AK1049">
        <f ca="1"/>
      </c>
      <c r="AL1049">
        <f ca="1"/>
      </c>
      <c r="AM1049">
        <f ca="1"/>
      </c>
      <c r="AN1049">
        <f ca="1"/>
      </c>
      <c r="AO1049">
        <f ca="1"/>
      </c>
      <c r="AP1049">
        <f ca="1"/>
      </c>
      <c r="AQ1049">
        <f ca="1"/>
      </c>
      <c r="AR1049">
        <f ca="1"/>
      </c>
      <c r="AT1049" s="7">
        <f ca="1"/>
      </c>
      <c r="AU1049">
        <f ca="1"/>
      </c>
      <c r="AV1049">
        <f ca="1"/>
      </c>
      <c r="AW1049">
        <f ca="1"/>
      </c>
      <c r="AX1049">
        <f ca="1"/>
      </c>
      <c r="AY1049">
        <f ca="1"/>
      </c>
      <c r="BA1049" s="7"/>
    </row>
    <row r="1050" spans="31:53" x14ac:dyDescent="0.55000000000000004">
      <c r="AE1050" s="7">
        <f ca="1"/>
      </c>
      <c r="AF1050">
        <f ca="1"/>
      </c>
      <c r="AG1050">
        <f ca="1"/>
      </c>
      <c r="AH1050">
        <f ca="1"/>
      </c>
      <c r="AI1050">
        <f ca="1"/>
      </c>
      <c r="AJ1050">
        <f ca="1"/>
      </c>
      <c r="AK1050">
        <f ca="1"/>
      </c>
      <c r="AL1050">
        <f ca="1"/>
      </c>
      <c r="AM1050">
        <f ca="1"/>
      </c>
      <c r="AN1050">
        <f ca="1"/>
      </c>
      <c r="AO1050">
        <f ca="1"/>
      </c>
      <c r="AP1050">
        <f ca="1"/>
      </c>
      <c r="AQ1050">
        <f ca="1"/>
      </c>
      <c r="AR1050">
        <f ca="1"/>
      </c>
      <c r="AT1050" s="7">
        <f ca="1"/>
      </c>
      <c r="AU1050">
        <f ca="1"/>
      </c>
      <c r="AV1050">
        <f ca="1"/>
      </c>
      <c r="AW1050">
        <f ca="1"/>
      </c>
      <c r="AX1050">
        <f ca="1"/>
      </c>
      <c r="AY1050">
        <f ca="1"/>
      </c>
      <c r="BA1050" s="7"/>
    </row>
    <row r="1051" spans="31:53" x14ac:dyDescent="0.55000000000000004">
      <c r="AE1051" s="7">
        <f ca="1"/>
      </c>
      <c r="AF1051">
        <f ca="1"/>
      </c>
      <c r="AG1051">
        <f ca="1"/>
      </c>
      <c r="AH1051">
        <f ca="1"/>
      </c>
      <c r="AI1051">
        <f ca="1"/>
      </c>
      <c r="AJ1051">
        <f ca="1"/>
      </c>
      <c r="AK1051">
        <f ca="1"/>
      </c>
      <c r="AL1051">
        <f ca="1"/>
      </c>
      <c r="AM1051">
        <f ca="1"/>
      </c>
      <c r="AN1051">
        <f ca="1"/>
      </c>
      <c r="AO1051">
        <f ca="1"/>
      </c>
      <c r="AP1051">
        <f ca="1"/>
      </c>
      <c r="AQ1051">
        <f ca="1"/>
      </c>
      <c r="AR1051">
        <f ca="1"/>
      </c>
      <c r="AT1051" s="7">
        <f ca="1"/>
      </c>
      <c r="AU1051">
        <f ca="1"/>
      </c>
      <c r="AV1051">
        <f ca="1"/>
      </c>
      <c r="AW1051">
        <f ca="1"/>
      </c>
      <c r="AX1051">
        <f ca="1"/>
      </c>
      <c r="AY1051">
        <f ca="1"/>
      </c>
      <c r="BA1051" s="7"/>
    </row>
    <row r="1052" spans="31:53" x14ac:dyDescent="0.55000000000000004">
      <c r="AE1052" s="7">
        <f ca="1"/>
      </c>
      <c r="AF1052">
        <f ca="1"/>
      </c>
      <c r="AG1052">
        <f ca="1"/>
      </c>
      <c r="AH1052">
        <f ca="1"/>
      </c>
      <c r="AI1052">
        <f ca="1"/>
      </c>
      <c r="AJ1052">
        <f ca="1"/>
      </c>
      <c r="AK1052">
        <f ca="1"/>
      </c>
      <c r="AL1052">
        <f ca="1"/>
      </c>
      <c r="AM1052">
        <f ca="1"/>
      </c>
      <c r="AN1052">
        <f ca="1"/>
      </c>
      <c r="AO1052">
        <f ca="1"/>
      </c>
      <c r="AP1052">
        <f ca="1"/>
      </c>
      <c r="AQ1052">
        <f ca="1"/>
      </c>
      <c r="AR1052">
        <f ca="1"/>
      </c>
      <c r="AT1052" s="7">
        <f ca="1"/>
      </c>
      <c r="AU1052">
        <f ca="1"/>
      </c>
      <c r="AV1052">
        <f ca="1"/>
      </c>
      <c r="AW1052">
        <f ca="1"/>
      </c>
      <c r="AX1052">
        <f ca="1"/>
      </c>
      <c r="AY1052">
        <f ca="1"/>
      </c>
      <c r="BA1052" s="7"/>
    </row>
    <row r="1053" spans="31:53" x14ac:dyDescent="0.55000000000000004">
      <c r="AE1053" s="7">
        <f ca="1"/>
      </c>
      <c r="AF1053">
        <f ca="1"/>
      </c>
      <c r="AG1053">
        <f ca="1"/>
      </c>
      <c r="AH1053">
        <f ca="1"/>
      </c>
      <c r="AI1053">
        <f ca="1"/>
      </c>
      <c r="AJ1053">
        <f ca="1"/>
      </c>
      <c r="AK1053">
        <f ca="1"/>
      </c>
      <c r="AL1053">
        <f ca="1"/>
      </c>
      <c r="AM1053">
        <f ca="1"/>
      </c>
      <c r="AN1053">
        <f ca="1"/>
      </c>
      <c r="AO1053">
        <f ca="1"/>
      </c>
      <c r="AP1053">
        <f ca="1"/>
      </c>
      <c r="AQ1053">
        <f ca="1"/>
      </c>
      <c r="AR1053">
        <f ca="1"/>
      </c>
      <c r="AT1053" s="7">
        <f ca="1"/>
      </c>
      <c r="AU1053">
        <f ca="1"/>
      </c>
      <c r="AV1053">
        <f ca="1"/>
      </c>
      <c r="AW1053">
        <f ca="1"/>
      </c>
      <c r="AX1053">
        <f ca="1"/>
      </c>
      <c r="AY1053">
        <f ca="1"/>
      </c>
      <c r="BA1053" s="7"/>
    </row>
    <row r="1054" spans="31:53" x14ac:dyDescent="0.55000000000000004">
      <c r="AE1054" s="7">
        <f ca="1"/>
      </c>
      <c r="AF1054">
        <f ca="1"/>
      </c>
      <c r="AG1054">
        <f ca="1"/>
      </c>
      <c r="AH1054">
        <f ca="1"/>
      </c>
      <c r="AI1054">
        <f ca="1"/>
      </c>
      <c r="AJ1054">
        <f ca="1"/>
      </c>
      <c r="AK1054">
        <f ca="1"/>
      </c>
      <c r="AL1054">
        <f ca="1"/>
      </c>
      <c r="AM1054">
        <f ca="1"/>
      </c>
      <c r="AN1054">
        <f ca="1"/>
      </c>
      <c r="AO1054">
        <f ca="1"/>
      </c>
      <c r="AP1054">
        <f ca="1"/>
      </c>
      <c r="AQ1054">
        <f ca="1"/>
      </c>
      <c r="AR1054">
        <f ca="1"/>
      </c>
      <c r="AT1054" s="7">
        <f ca="1"/>
      </c>
      <c r="AU1054">
        <f ca="1"/>
      </c>
      <c r="AV1054">
        <f ca="1"/>
      </c>
      <c r="AW1054">
        <f ca="1"/>
      </c>
      <c r="AX1054">
        <f ca="1"/>
      </c>
      <c r="AY1054">
        <f ca="1"/>
      </c>
      <c r="BA1054" s="7"/>
    </row>
    <row r="1055" spans="31:53" x14ac:dyDescent="0.55000000000000004">
      <c r="AE1055" s="7">
        <f ca="1"/>
      </c>
      <c r="AF1055">
        <f ca="1"/>
      </c>
      <c r="AG1055">
        <f ca="1"/>
      </c>
      <c r="AH1055">
        <f ca="1"/>
      </c>
      <c r="AI1055">
        <f ca="1"/>
      </c>
      <c r="AJ1055">
        <f ca="1"/>
      </c>
      <c r="AK1055">
        <f ca="1"/>
      </c>
      <c r="AL1055">
        <f ca="1"/>
      </c>
      <c r="AM1055">
        <f ca="1"/>
      </c>
      <c r="AN1055">
        <f ca="1"/>
      </c>
      <c r="AO1055">
        <f ca="1"/>
      </c>
      <c r="AP1055">
        <f ca="1"/>
      </c>
      <c r="AQ1055">
        <f ca="1"/>
      </c>
      <c r="AR1055">
        <f ca="1"/>
      </c>
      <c r="AT1055" s="7">
        <f ca="1"/>
      </c>
      <c r="AU1055">
        <f ca="1"/>
      </c>
      <c r="AV1055">
        <f ca="1"/>
      </c>
      <c r="AW1055">
        <f ca="1"/>
      </c>
      <c r="AX1055">
        <f ca="1"/>
      </c>
      <c r="AY1055">
        <f ca="1"/>
      </c>
      <c r="BA1055" s="7"/>
    </row>
    <row r="1056" spans="31:53" x14ac:dyDescent="0.55000000000000004">
      <c r="AE1056" s="7">
        <f ca="1"/>
      </c>
      <c r="AF1056">
        <f ca="1"/>
      </c>
      <c r="AG1056">
        <f ca="1"/>
      </c>
      <c r="AH1056">
        <f ca="1"/>
      </c>
      <c r="AI1056">
        <f ca="1"/>
      </c>
      <c r="AJ1056">
        <f ca="1"/>
      </c>
      <c r="AK1056">
        <f ca="1"/>
      </c>
      <c r="AL1056">
        <f ca="1"/>
      </c>
      <c r="AM1056">
        <f ca="1"/>
      </c>
      <c r="AN1056">
        <f ca="1"/>
      </c>
      <c r="AO1056">
        <f ca="1"/>
      </c>
      <c r="AP1056">
        <f ca="1"/>
      </c>
      <c r="AQ1056">
        <f ca="1"/>
      </c>
      <c r="AR1056">
        <f ca="1"/>
      </c>
      <c r="AT1056" s="7">
        <f ca="1"/>
      </c>
      <c r="AU1056">
        <f ca="1"/>
      </c>
      <c r="AV1056">
        <f ca="1"/>
      </c>
      <c r="AW1056">
        <f ca="1"/>
      </c>
      <c r="AX1056">
        <f ca="1"/>
      </c>
      <c r="AY1056">
        <f ca="1"/>
      </c>
      <c r="BA1056" s="7"/>
    </row>
    <row r="1057" spans="31:53" x14ac:dyDescent="0.55000000000000004">
      <c r="AE1057" s="7">
        <f ca="1"/>
      </c>
      <c r="AF1057">
        <f ca="1"/>
      </c>
      <c r="AG1057">
        <f ca="1"/>
      </c>
      <c r="AH1057">
        <f ca="1"/>
      </c>
      <c r="AI1057">
        <f ca="1"/>
      </c>
      <c r="AJ1057">
        <f ca="1"/>
      </c>
      <c r="AK1057">
        <f ca="1"/>
      </c>
      <c r="AL1057">
        <f ca="1"/>
      </c>
      <c r="AM1057">
        <f ca="1"/>
      </c>
      <c r="AN1057">
        <f ca="1"/>
      </c>
      <c r="AO1057">
        <f ca="1"/>
      </c>
      <c r="AP1057">
        <f ca="1"/>
      </c>
      <c r="AQ1057">
        <f ca="1"/>
      </c>
      <c r="AR1057">
        <f ca="1"/>
      </c>
      <c r="AT1057" s="7">
        <f ca="1"/>
      </c>
      <c r="AU1057">
        <f ca="1"/>
      </c>
      <c r="AV1057">
        <f ca="1"/>
      </c>
      <c r="AW1057">
        <f ca="1"/>
      </c>
      <c r="AX1057">
        <f ca="1"/>
      </c>
      <c r="AY1057">
        <f ca="1"/>
      </c>
      <c r="BA1057" s="7"/>
    </row>
    <row r="1058" spans="31:53" x14ac:dyDescent="0.55000000000000004">
      <c r="AE1058" s="7">
        <f ca="1"/>
      </c>
      <c r="AF1058">
        <f ca="1"/>
      </c>
      <c r="AG1058">
        <f ca="1"/>
      </c>
      <c r="AH1058">
        <f ca="1"/>
      </c>
      <c r="AI1058">
        <f ca="1"/>
      </c>
      <c r="AJ1058">
        <f ca="1"/>
      </c>
      <c r="AK1058">
        <f ca="1"/>
      </c>
      <c r="AL1058">
        <f ca="1"/>
      </c>
      <c r="AM1058">
        <f ca="1"/>
      </c>
      <c r="AN1058">
        <f ca="1"/>
      </c>
      <c r="AO1058">
        <f ca="1"/>
      </c>
      <c r="AP1058">
        <f ca="1"/>
      </c>
      <c r="AQ1058">
        <f ca="1"/>
      </c>
      <c r="AR1058">
        <f ca="1"/>
      </c>
      <c r="AT1058" s="7">
        <f ca="1"/>
      </c>
      <c r="AU1058">
        <f ca="1"/>
      </c>
      <c r="AV1058">
        <f ca="1"/>
      </c>
      <c r="AW1058">
        <f ca="1"/>
      </c>
      <c r="AX1058">
        <f ca="1"/>
      </c>
      <c r="AY1058">
        <f ca="1"/>
      </c>
      <c r="BA1058" s="7"/>
    </row>
    <row r="1059" spans="31:53" x14ac:dyDescent="0.55000000000000004">
      <c r="AE1059" s="7">
        <f ca="1"/>
      </c>
      <c r="AF1059">
        <f ca="1"/>
      </c>
      <c r="AG1059">
        <f ca="1"/>
      </c>
      <c r="AH1059">
        <f ca="1"/>
      </c>
      <c r="AI1059">
        <f ca="1"/>
      </c>
      <c r="AJ1059">
        <f ca="1"/>
      </c>
      <c r="AK1059">
        <f ca="1"/>
      </c>
      <c r="AL1059">
        <f ca="1"/>
      </c>
      <c r="AM1059">
        <f ca="1"/>
      </c>
      <c r="AN1059">
        <f ca="1"/>
      </c>
      <c r="AO1059">
        <f ca="1"/>
      </c>
      <c r="AP1059">
        <f ca="1"/>
      </c>
      <c r="AQ1059">
        <f ca="1"/>
      </c>
      <c r="AR1059">
        <f ca="1"/>
      </c>
      <c r="AT1059" s="7">
        <f ca="1"/>
      </c>
      <c r="AU1059">
        <f ca="1"/>
      </c>
      <c r="AV1059">
        <f ca="1"/>
      </c>
      <c r="AW1059">
        <f ca="1"/>
      </c>
      <c r="AX1059">
        <f ca="1"/>
      </c>
      <c r="AY1059">
        <f ca="1"/>
      </c>
      <c r="BA1059" s="7"/>
    </row>
    <row r="1060" spans="31:53" x14ac:dyDescent="0.55000000000000004">
      <c r="AE1060" s="7">
        <f ca="1"/>
      </c>
      <c r="AF1060">
        <f ca="1"/>
      </c>
      <c r="AG1060">
        <f ca="1"/>
      </c>
      <c r="AH1060">
        <f ca="1"/>
      </c>
      <c r="AI1060">
        <f ca="1"/>
      </c>
      <c r="AJ1060">
        <f ca="1"/>
      </c>
      <c r="AK1060">
        <f ca="1"/>
      </c>
      <c r="AL1060">
        <f ca="1"/>
      </c>
      <c r="AM1060">
        <f ca="1"/>
      </c>
      <c r="AN1060">
        <f ca="1"/>
      </c>
      <c r="AO1060">
        <f ca="1"/>
      </c>
      <c r="AP1060">
        <f ca="1"/>
      </c>
      <c r="AQ1060">
        <f ca="1"/>
      </c>
      <c r="AR1060">
        <f ca="1"/>
      </c>
      <c r="AT1060" s="7">
        <f ca="1"/>
      </c>
      <c r="AU1060">
        <f ca="1"/>
      </c>
      <c r="AV1060">
        <f ca="1"/>
      </c>
      <c r="AW1060">
        <f ca="1"/>
      </c>
      <c r="AX1060">
        <f ca="1"/>
      </c>
      <c r="AY1060">
        <f ca="1"/>
      </c>
      <c r="BA1060" s="7"/>
    </row>
    <row r="1061" spans="31:53" x14ac:dyDescent="0.55000000000000004">
      <c r="AE1061" s="7">
        <f ca="1"/>
      </c>
      <c r="AF1061">
        <f ca="1"/>
      </c>
      <c r="AG1061">
        <f ca="1"/>
      </c>
      <c r="AH1061">
        <f ca="1"/>
      </c>
      <c r="AI1061">
        <f ca="1"/>
      </c>
      <c r="AJ1061">
        <f ca="1"/>
      </c>
      <c r="AK1061">
        <f ca="1"/>
      </c>
      <c r="AL1061">
        <f ca="1"/>
      </c>
      <c r="AM1061">
        <f ca="1"/>
      </c>
      <c r="AN1061">
        <f ca="1"/>
      </c>
      <c r="AO1061">
        <f ca="1"/>
      </c>
      <c r="AP1061">
        <f ca="1"/>
      </c>
      <c r="AQ1061">
        <f ca="1"/>
      </c>
      <c r="AR1061">
        <f ca="1"/>
      </c>
      <c r="AT1061" s="7">
        <f ca="1"/>
      </c>
      <c r="AU1061">
        <f ca="1"/>
      </c>
      <c r="AV1061">
        <f ca="1"/>
      </c>
      <c r="AW1061">
        <f ca="1"/>
      </c>
      <c r="AX1061">
        <f ca="1"/>
      </c>
      <c r="AY1061">
        <f ca="1"/>
      </c>
      <c r="BA1061" s="7"/>
    </row>
    <row r="1062" spans="31:53" x14ac:dyDescent="0.55000000000000004">
      <c r="AE1062" s="7">
        <f ca="1"/>
      </c>
      <c r="AF1062">
        <f ca="1"/>
      </c>
      <c r="AG1062">
        <f ca="1"/>
      </c>
      <c r="AH1062">
        <f ca="1"/>
      </c>
      <c r="AI1062">
        <f ca="1"/>
      </c>
      <c r="AJ1062">
        <f ca="1"/>
      </c>
      <c r="AK1062">
        <f ca="1"/>
      </c>
      <c r="AL1062">
        <f ca="1"/>
      </c>
      <c r="AM1062">
        <f ca="1"/>
      </c>
      <c r="AN1062">
        <f ca="1"/>
      </c>
      <c r="AO1062">
        <f ca="1"/>
      </c>
      <c r="AP1062">
        <f ca="1"/>
      </c>
      <c r="AQ1062">
        <f ca="1"/>
      </c>
      <c r="AR1062">
        <f ca="1"/>
      </c>
      <c r="AT1062" s="7">
        <f ca="1"/>
      </c>
      <c r="AU1062">
        <f ca="1"/>
      </c>
      <c r="AV1062">
        <f ca="1"/>
      </c>
      <c r="AW1062">
        <f ca="1"/>
      </c>
      <c r="AX1062">
        <f ca="1"/>
      </c>
      <c r="AY1062">
        <f ca="1"/>
      </c>
      <c r="BA1062" s="7"/>
    </row>
    <row r="1063" spans="31:53" x14ac:dyDescent="0.55000000000000004">
      <c r="AE1063" s="7">
        <f ca="1"/>
      </c>
      <c r="AF1063">
        <f ca="1"/>
      </c>
      <c r="AG1063">
        <f ca="1"/>
      </c>
      <c r="AH1063">
        <f ca="1"/>
      </c>
      <c r="AI1063">
        <f ca="1"/>
      </c>
      <c r="AJ1063">
        <f ca="1"/>
      </c>
      <c r="AK1063">
        <f ca="1"/>
      </c>
      <c r="AL1063">
        <f ca="1"/>
      </c>
      <c r="AM1063">
        <f ca="1"/>
      </c>
      <c r="AN1063">
        <f ca="1"/>
      </c>
      <c r="AO1063">
        <f ca="1"/>
      </c>
      <c r="AP1063">
        <f ca="1"/>
      </c>
      <c r="AQ1063">
        <f ca="1"/>
      </c>
      <c r="AR1063">
        <f ca="1"/>
      </c>
      <c r="AT1063" s="7">
        <f ca="1"/>
      </c>
      <c r="AU1063">
        <f ca="1"/>
      </c>
      <c r="AV1063">
        <f ca="1"/>
      </c>
      <c r="AW1063">
        <f ca="1"/>
      </c>
      <c r="AX1063">
        <f ca="1"/>
      </c>
      <c r="AY1063">
        <f ca="1"/>
      </c>
      <c r="BA1063" s="7"/>
    </row>
    <row r="1064" spans="31:53" x14ac:dyDescent="0.55000000000000004">
      <c r="AE1064" s="7">
        <f ca="1"/>
      </c>
      <c r="AF1064">
        <f ca="1"/>
      </c>
      <c r="AG1064">
        <f ca="1"/>
      </c>
      <c r="AH1064">
        <f ca="1"/>
      </c>
      <c r="AI1064">
        <f ca="1"/>
      </c>
      <c r="AJ1064">
        <f ca="1"/>
      </c>
      <c r="AK1064">
        <f ca="1"/>
      </c>
      <c r="AL1064">
        <f ca="1"/>
      </c>
      <c r="AM1064">
        <f ca="1"/>
      </c>
      <c r="AN1064">
        <f ca="1"/>
      </c>
      <c r="AO1064">
        <f ca="1"/>
      </c>
      <c r="AP1064">
        <f ca="1"/>
      </c>
      <c r="AQ1064">
        <f ca="1"/>
      </c>
      <c r="AR1064">
        <f ca="1"/>
      </c>
      <c r="AT1064" s="7">
        <f ca="1"/>
      </c>
      <c r="AU1064">
        <f ca="1"/>
      </c>
      <c r="AV1064">
        <f ca="1"/>
      </c>
      <c r="AW1064">
        <f ca="1"/>
      </c>
      <c r="AX1064">
        <f ca="1"/>
      </c>
      <c r="AY1064">
        <f ca="1"/>
      </c>
      <c r="BA1064" s="7"/>
    </row>
    <row r="1065" spans="31:53" x14ac:dyDescent="0.55000000000000004">
      <c r="AE1065" s="7">
        <f ca="1"/>
      </c>
      <c r="AF1065">
        <f ca="1"/>
      </c>
      <c r="AG1065">
        <f ca="1"/>
      </c>
      <c r="AH1065">
        <f ca="1"/>
      </c>
      <c r="AI1065">
        <f ca="1"/>
      </c>
      <c r="AJ1065">
        <f ca="1"/>
      </c>
      <c r="AK1065">
        <f ca="1"/>
      </c>
      <c r="AL1065">
        <f ca="1"/>
      </c>
      <c r="AM1065">
        <f ca="1"/>
      </c>
      <c r="AN1065">
        <f ca="1"/>
      </c>
      <c r="AO1065">
        <f ca="1"/>
      </c>
      <c r="AP1065">
        <f ca="1"/>
      </c>
      <c r="AQ1065">
        <f ca="1"/>
      </c>
      <c r="AR1065">
        <f ca="1"/>
      </c>
      <c r="AT1065" s="7">
        <f ca="1"/>
      </c>
      <c r="AU1065">
        <f ca="1"/>
      </c>
      <c r="AV1065">
        <f ca="1"/>
      </c>
      <c r="AW1065">
        <f ca="1"/>
      </c>
      <c r="AX1065">
        <f ca="1"/>
      </c>
      <c r="AY1065">
        <f ca="1"/>
      </c>
      <c r="BA1065" s="7"/>
    </row>
    <row r="1066" spans="31:53" x14ac:dyDescent="0.55000000000000004">
      <c r="AE1066" s="7">
        <f ca="1"/>
      </c>
      <c r="AF1066">
        <f ca="1"/>
      </c>
      <c r="AG1066">
        <f ca="1"/>
      </c>
      <c r="AH1066">
        <f ca="1"/>
      </c>
      <c r="AI1066">
        <f ca="1"/>
      </c>
      <c r="AJ1066">
        <f ca="1"/>
      </c>
      <c r="AK1066">
        <f ca="1"/>
      </c>
      <c r="AL1066">
        <f ca="1"/>
      </c>
      <c r="AM1066">
        <f ca="1"/>
      </c>
      <c r="AN1066">
        <f ca="1"/>
      </c>
      <c r="AO1066">
        <f ca="1"/>
      </c>
      <c r="AP1066">
        <f ca="1"/>
      </c>
      <c r="AQ1066">
        <f ca="1"/>
      </c>
      <c r="AR1066">
        <f ca="1"/>
      </c>
      <c r="AT1066" s="7">
        <f ca="1"/>
      </c>
      <c r="AU1066">
        <f ca="1"/>
      </c>
      <c r="AV1066">
        <f ca="1"/>
      </c>
      <c r="AW1066">
        <f ca="1"/>
      </c>
      <c r="AX1066">
        <f ca="1"/>
      </c>
      <c r="AY1066">
        <f ca="1"/>
      </c>
      <c r="BA1066" s="7"/>
    </row>
    <row r="1067" spans="31:53" x14ac:dyDescent="0.55000000000000004">
      <c r="AE1067" s="7">
        <f ca="1"/>
      </c>
      <c r="AF1067">
        <f ca="1"/>
      </c>
      <c r="AG1067">
        <f ca="1"/>
      </c>
      <c r="AH1067">
        <f ca="1"/>
      </c>
      <c r="AI1067">
        <f ca="1"/>
      </c>
      <c r="AJ1067">
        <f ca="1"/>
      </c>
      <c r="AK1067">
        <f ca="1"/>
      </c>
      <c r="AL1067">
        <f ca="1"/>
      </c>
      <c r="AM1067">
        <f ca="1"/>
      </c>
      <c r="AN1067">
        <f ca="1"/>
      </c>
      <c r="AO1067">
        <f ca="1"/>
      </c>
      <c r="AP1067">
        <f ca="1"/>
      </c>
      <c r="AQ1067">
        <f ca="1"/>
      </c>
      <c r="AR1067">
        <f ca="1"/>
      </c>
      <c r="AT1067" s="7">
        <f ca="1"/>
      </c>
      <c r="AU1067">
        <f ca="1"/>
      </c>
      <c r="AV1067">
        <f ca="1"/>
      </c>
      <c r="AW1067">
        <f ca="1"/>
      </c>
      <c r="AX1067">
        <f ca="1"/>
      </c>
      <c r="AY1067">
        <f ca="1"/>
      </c>
      <c r="BA1067" s="7"/>
    </row>
    <row r="1068" spans="31:53" x14ac:dyDescent="0.55000000000000004">
      <c r="AE1068" s="7">
        <f ca="1"/>
      </c>
      <c r="AF1068">
        <f ca="1"/>
      </c>
      <c r="AG1068">
        <f ca="1"/>
      </c>
      <c r="AH1068">
        <f ca="1"/>
      </c>
      <c r="AI1068">
        <f ca="1"/>
      </c>
      <c r="AJ1068">
        <f ca="1"/>
      </c>
      <c r="AK1068">
        <f ca="1"/>
      </c>
      <c r="AL1068">
        <f ca="1"/>
      </c>
      <c r="AM1068">
        <f ca="1"/>
      </c>
      <c r="AN1068">
        <f ca="1"/>
      </c>
      <c r="AO1068">
        <f ca="1"/>
      </c>
      <c r="AP1068">
        <f ca="1"/>
      </c>
      <c r="AQ1068">
        <f ca="1"/>
      </c>
      <c r="AR1068">
        <f ca="1"/>
      </c>
      <c r="AT1068" s="7">
        <f ca="1"/>
      </c>
      <c r="AU1068">
        <f ca="1"/>
      </c>
      <c r="AV1068">
        <f ca="1"/>
      </c>
      <c r="AW1068">
        <f ca="1"/>
      </c>
      <c r="AX1068">
        <f ca="1"/>
      </c>
      <c r="AY1068">
        <f ca="1"/>
      </c>
      <c r="BA1068" s="7"/>
    </row>
    <row r="1069" spans="31:53" x14ac:dyDescent="0.55000000000000004">
      <c r="AE1069" s="7">
        <f ca="1"/>
      </c>
      <c r="AF1069">
        <f ca="1"/>
      </c>
      <c r="AG1069">
        <f ca="1"/>
      </c>
      <c r="AH1069">
        <f ca="1"/>
      </c>
      <c r="AI1069">
        <f ca="1"/>
      </c>
      <c r="AJ1069">
        <f ca="1"/>
      </c>
      <c r="AK1069">
        <f ca="1"/>
      </c>
      <c r="AL1069">
        <f ca="1"/>
      </c>
      <c r="AM1069">
        <f ca="1"/>
      </c>
      <c r="AN1069">
        <f ca="1"/>
      </c>
      <c r="AO1069">
        <f ca="1"/>
      </c>
      <c r="AP1069">
        <f ca="1"/>
      </c>
      <c r="AQ1069">
        <f ca="1"/>
      </c>
      <c r="AR1069">
        <f ca="1"/>
      </c>
      <c r="AT1069" s="7">
        <f ca="1"/>
      </c>
      <c r="AU1069">
        <f ca="1"/>
      </c>
      <c r="AV1069">
        <f ca="1"/>
      </c>
      <c r="AW1069">
        <f ca="1"/>
      </c>
      <c r="AX1069">
        <f ca="1"/>
      </c>
      <c r="AY1069">
        <f ca="1"/>
      </c>
      <c r="BA1069" s="7"/>
    </row>
    <row r="1070" spans="31:53" x14ac:dyDescent="0.55000000000000004">
      <c r="AE1070" s="7">
        <f ca="1"/>
      </c>
      <c r="AF1070">
        <f ca="1"/>
      </c>
      <c r="AG1070">
        <f ca="1"/>
      </c>
      <c r="AH1070">
        <f ca="1"/>
      </c>
      <c r="AI1070">
        <f ca="1"/>
      </c>
      <c r="AJ1070">
        <f ca="1"/>
      </c>
      <c r="AK1070">
        <f ca="1"/>
      </c>
      <c r="AL1070">
        <f ca="1"/>
      </c>
      <c r="AM1070">
        <f ca="1"/>
      </c>
      <c r="AN1070">
        <f ca="1"/>
      </c>
      <c r="AO1070">
        <f ca="1"/>
      </c>
      <c r="AP1070">
        <f ca="1"/>
      </c>
      <c r="AQ1070">
        <f ca="1"/>
      </c>
      <c r="AR1070">
        <f ca="1"/>
      </c>
      <c r="AT1070" s="7">
        <f ca="1"/>
      </c>
      <c r="AU1070">
        <f ca="1"/>
      </c>
      <c r="AV1070">
        <f ca="1"/>
      </c>
      <c r="AW1070">
        <f ca="1"/>
      </c>
      <c r="AX1070">
        <f ca="1"/>
      </c>
      <c r="AY1070">
        <f ca="1"/>
      </c>
      <c r="BA1070" s="7"/>
    </row>
    <row r="1071" spans="31:53" x14ac:dyDescent="0.55000000000000004">
      <c r="AE1071" s="7">
        <f ca="1"/>
      </c>
      <c r="AF1071">
        <f ca="1"/>
      </c>
      <c r="AG1071">
        <f ca="1"/>
      </c>
      <c r="AH1071">
        <f ca="1"/>
      </c>
      <c r="AI1071">
        <f ca="1"/>
      </c>
      <c r="AJ1071">
        <f ca="1"/>
      </c>
      <c r="AK1071">
        <f ca="1"/>
      </c>
      <c r="AL1071">
        <f ca="1"/>
      </c>
      <c r="AM1071">
        <f ca="1"/>
      </c>
      <c r="AN1071">
        <f ca="1"/>
      </c>
      <c r="AO1071">
        <f ca="1"/>
      </c>
      <c r="AP1071">
        <f ca="1"/>
      </c>
      <c r="AQ1071">
        <f ca="1"/>
      </c>
      <c r="AR1071">
        <f ca="1"/>
      </c>
      <c r="AT1071" s="7">
        <f ca="1"/>
      </c>
      <c r="AU1071">
        <f ca="1"/>
      </c>
      <c r="AV1071">
        <f ca="1"/>
      </c>
      <c r="AW1071">
        <f ca="1"/>
      </c>
      <c r="AX1071">
        <f ca="1"/>
      </c>
      <c r="AY1071">
        <f ca="1"/>
      </c>
      <c r="BA1071" s="7"/>
    </row>
    <row r="1072" spans="31:53" x14ac:dyDescent="0.55000000000000004">
      <c r="AE1072" s="7">
        <f ca="1"/>
      </c>
      <c r="AF1072">
        <f ca="1"/>
      </c>
      <c r="AG1072">
        <f ca="1"/>
      </c>
      <c r="AH1072">
        <f ca="1"/>
      </c>
      <c r="AI1072">
        <f ca="1"/>
      </c>
      <c r="AJ1072">
        <f ca="1"/>
      </c>
      <c r="AK1072">
        <f ca="1"/>
      </c>
      <c r="AL1072">
        <f ca="1"/>
      </c>
      <c r="AM1072">
        <f ca="1"/>
      </c>
      <c r="AN1072">
        <f ca="1"/>
      </c>
      <c r="AO1072">
        <f ca="1"/>
      </c>
      <c r="AP1072">
        <f ca="1"/>
      </c>
      <c r="AQ1072">
        <f ca="1"/>
      </c>
      <c r="AR1072">
        <f ca="1"/>
      </c>
      <c r="AT1072" s="7">
        <f ca="1"/>
      </c>
      <c r="AU1072">
        <f ca="1"/>
      </c>
      <c r="AV1072">
        <f ca="1"/>
      </c>
      <c r="AW1072">
        <f ca="1"/>
      </c>
      <c r="AX1072">
        <f ca="1"/>
      </c>
      <c r="AY1072">
        <f ca="1"/>
      </c>
      <c r="BA1072" s="7"/>
    </row>
    <row r="1073" spans="31:53" x14ac:dyDescent="0.55000000000000004">
      <c r="AE1073" s="7">
        <f ca="1"/>
      </c>
      <c r="AF1073">
        <f ca="1"/>
      </c>
      <c r="AG1073">
        <f ca="1"/>
      </c>
      <c r="AH1073">
        <f ca="1"/>
      </c>
      <c r="AI1073">
        <f ca="1"/>
      </c>
      <c r="AJ1073">
        <f ca="1"/>
      </c>
      <c r="AK1073">
        <f ca="1"/>
      </c>
      <c r="AL1073">
        <f ca="1"/>
      </c>
      <c r="AM1073">
        <f ca="1"/>
      </c>
      <c r="AN1073">
        <f ca="1"/>
      </c>
      <c r="AO1073">
        <f ca="1"/>
      </c>
      <c r="AP1073">
        <f ca="1"/>
      </c>
      <c r="AQ1073">
        <f ca="1"/>
      </c>
      <c r="AR1073">
        <f ca="1"/>
      </c>
      <c r="AT1073" s="7">
        <f ca="1"/>
      </c>
      <c r="AU1073">
        <f ca="1"/>
      </c>
      <c r="AV1073">
        <f ca="1"/>
      </c>
      <c r="AW1073">
        <f ca="1"/>
      </c>
      <c r="AX1073">
        <f ca="1"/>
      </c>
      <c r="AY1073">
        <f ca="1"/>
      </c>
      <c r="BA1073" s="7"/>
    </row>
    <row r="1074" spans="31:53" x14ac:dyDescent="0.55000000000000004">
      <c r="AE1074" s="7">
        <f ca="1"/>
      </c>
      <c r="AF1074">
        <f ca="1"/>
      </c>
      <c r="AG1074">
        <f ca="1"/>
      </c>
      <c r="AH1074">
        <f ca="1"/>
      </c>
      <c r="AI1074">
        <f ca="1"/>
      </c>
      <c r="AJ1074">
        <f ca="1"/>
      </c>
      <c r="AK1074">
        <f ca="1"/>
      </c>
      <c r="AL1074">
        <f ca="1"/>
      </c>
      <c r="AM1074">
        <f ca="1"/>
      </c>
      <c r="AN1074">
        <f ca="1"/>
      </c>
      <c r="AO1074">
        <f ca="1"/>
      </c>
      <c r="AP1074">
        <f ca="1"/>
      </c>
      <c r="AQ1074">
        <f ca="1"/>
      </c>
      <c r="AR1074">
        <f ca="1"/>
      </c>
      <c r="AT1074" s="7">
        <f ca="1"/>
      </c>
      <c r="AU1074">
        <f ca="1"/>
      </c>
      <c r="AV1074">
        <f ca="1"/>
      </c>
      <c r="AW1074">
        <f ca="1"/>
      </c>
      <c r="AX1074">
        <f ca="1"/>
      </c>
      <c r="AY1074">
        <f ca="1"/>
      </c>
      <c r="BA1074" s="7"/>
    </row>
    <row r="1075" spans="31:53" x14ac:dyDescent="0.55000000000000004">
      <c r="AE1075" s="7">
        <f ca="1"/>
      </c>
      <c r="AF1075">
        <f ca="1"/>
      </c>
      <c r="AG1075">
        <f ca="1"/>
      </c>
      <c r="AH1075">
        <f ca="1"/>
      </c>
      <c r="AI1075">
        <f ca="1"/>
      </c>
      <c r="AJ1075">
        <f ca="1"/>
      </c>
      <c r="AK1075">
        <f ca="1"/>
      </c>
      <c r="AL1075">
        <f ca="1"/>
      </c>
      <c r="AM1075">
        <f ca="1"/>
      </c>
      <c r="AN1075">
        <f ca="1"/>
      </c>
      <c r="AO1075">
        <f ca="1"/>
      </c>
      <c r="AP1075">
        <f ca="1"/>
      </c>
      <c r="AQ1075">
        <f ca="1"/>
      </c>
      <c r="AR1075">
        <f ca="1"/>
      </c>
      <c r="AT1075" s="7">
        <f ca="1"/>
      </c>
      <c r="AU1075">
        <f ca="1"/>
      </c>
      <c r="AV1075">
        <f ca="1"/>
      </c>
      <c r="AW1075">
        <f ca="1"/>
      </c>
      <c r="AX1075">
        <f ca="1"/>
      </c>
      <c r="AY1075">
        <f ca="1"/>
      </c>
      <c r="BA1075" s="7"/>
    </row>
    <row r="1076" spans="31:53" x14ac:dyDescent="0.55000000000000004">
      <c r="AE1076" s="7">
        <f ca="1"/>
      </c>
      <c r="AF1076">
        <f ca="1"/>
      </c>
      <c r="AG1076">
        <f ca="1"/>
      </c>
      <c r="AH1076">
        <f ca="1"/>
      </c>
      <c r="AI1076">
        <f ca="1"/>
      </c>
      <c r="AJ1076">
        <f ca="1"/>
      </c>
      <c r="AK1076">
        <f ca="1"/>
      </c>
      <c r="AL1076">
        <f ca="1"/>
      </c>
      <c r="AM1076">
        <f ca="1"/>
      </c>
      <c r="AN1076">
        <f ca="1"/>
      </c>
      <c r="AO1076">
        <f ca="1"/>
      </c>
      <c r="AP1076">
        <f ca="1"/>
      </c>
      <c r="AQ1076">
        <f ca="1"/>
      </c>
      <c r="AR1076">
        <f ca="1"/>
      </c>
      <c r="AT1076" s="7">
        <f ca="1"/>
      </c>
      <c r="AU1076">
        <f ca="1"/>
      </c>
      <c r="AV1076">
        <f ca="1"/>
      </c>
      <c r="AW1076">
        <f ca="1"/>
      </c>
      <c r="AX1076">
        <f ca="1"/>
      </c>
      <c r="AY1076">
        <f ca="1"/>
      </c>
      <c r="BA1076" s="7"/>
    </row>
    <row r="1077" spans="31:53" x14ac:dyDescent="0.55000000000000004">
      <c r="AE1077" s="7">
        <f ca="1"/>
      </c>
      <c r="AF1077">
        <f ca="1"/>
      </c>
      <c r="AG1077">
        <f ca="1"/>
      </c>
      <c r="AH1077">
        <f ca="1"/>
      </c>
      <c r="AI1077">
        <f ca="1"/>
      </c>
      <c r="AJ1077">
        <f ca="1"/>
      </c>
      <c r="AK1077">
        <f ca="1"/>
      </c>
      <c r="AL1077">
        <f ca="1"/>
      </c>
      <c r="AM1077">
        <f ca="1"/>
      </c>
      <c r="AN1077">
        <f ca="1"/>
      </c>
      <c r="AO1077">
        <f ca="1"/>
      </c>
      <c r="AP1077">
        <f ca="1"/>
      </c>
      <c r="AQ1077">
        <f ca="1"/>
      </c>
      <c r="AR1077">
        <f ca="1"/>
      </c>
      <c r="AT1077" s="7">
        <f ca="1"/>
      </c>
      <c r="AU1077">
        <f ca="1"/>
      </c>
      <c r="AV1077">
        <f ca="1"/>
      </c>
      <c r="AW1077">
        <f ca="1"/>
      </c>
      <c r="AX1077">
        <f ca="1"/>
      </c>
      <c r="AY1077">
        <f ca="1"/>
      </c>
      <c r="BA1077" s="7"/>
    </row>
    <row r="1078" spans="31:53" x14ac:dyDescent="0.55000000000000004">
      <c r="AE1078" s="7">
        <f ca="1"/>
      </c>
      <c r="AF1078">
        <f ca="1"/>
      </c>
      <c r="AG1078">
        <f ca="1"/>
      </c>
      <c r="AH1078">
        <f ca="1"/>
      </c>
      <c r="AI1078">
        <f ca="1"/>
      </c>
      <c r="AJ1078">
        <f ca="1"/>
      </c>
      <c r="AK1078">
        <f ca="1"/>
      </c>
      <c r="AL1078">
        <f ca="1"/>
      </c>
      <c r="AM1078">
        <f ca="1"/>
      </c>
      <c r="AN1078">
        <f ca="1"/>
      </c>
      <c r="AO1078">
        <f ca="1"/>
      </c>
      <c r="AP1078">
        <f ca="1"/>
      </c>
      <c r="AQ1078">
        <f ca="1"/>
      </c>
      <c r="AR1078">
        <f ca="1"/>
      </c>
      <c r="AT1078" s="7">
        <f ca="1"/>
      </c>
      <c r="AU1078">
        <f ca="1"/>
      </c>
      <c r="AV1078">
        <f ca="1"/>
      </c>
      <c r="AW1078">
        <f ca="1"/>
      </c>
      <c r="AX1078">
        <f ca="1"/>
      </c>
      <c r="AY1078">
        <f ca="1"/>
      </c>
      <c r="BA1078" s="7"/>
    </row>
    <row r="1079" spans="31:53" x14ac:dyDescent="0.55000000000000004">
      <c r="AE1079" s="7">
        <f ca="1"/>
      </c>
      <c r="AF1079">
        <f ca="1"/>
      </c>
      <c r="AG1079">
        <f ca="1"/>
      </c>
      <c r="AH1079">
        <f ca="1"/>
      </c>
      <c r="AI1079">
        <f ca="1"/>
      </c>
      <c r="AJ1079">
        <f ca="1"/>
      </c>
      <c r="AK1079">
        <f ca="1"/>
      </c>
      <c r="AL1079">
        <f ca="1"/>
      </c>
      <c r="AM1079">
        <f ca="1"/>
      </c>
      <c r="AN1079">
        <f ca="1"/>
      </c>
      <c r="AO1079">
        <f ca="1"/>
      </c>
      <c r="AP1079">
        <f ca="1"/>
      </c>
      <c r="AQ1079">
        <f ca="1"/>
      </c>
      <c r="AR1079">
        <f ca="1"/>
      </c>
      <c r="AT1079" s="7">
        <f ca="1"/>
      </c>
      <c r="AU1079">
        <f ca="1"/>
      </c>
      <c r="AV1079">
        <f ca="1"/>
      </c>
      <c r="AW1079">
        <f ca="1"/>
      </c>
      <c r="AX1079">
        <f ca="1"/>
      </c>
      <c r="AY1079">
        <f ca="1"/>
      </c>
      <c r="BA1079" s="7"/>
    </row>
    <row r="1080" spans="31:53" x14ac:dyDescent="0.55000000000000004">
      <c r="AE1080" s="7">
        <f ca="1"/>
      </c>
      <c r="AF1080">
        <f ca="1"/>
      </c>
      <c r="AG1080">
        <f ca="1"/>
      </c>
      <c r="AH1080">
        <f ca="1"/>
      </c>
      <c r="AI1080">
        <f ca="1"/>
      </c>
      <c r="AJ1080">
        <f ca="1"/>
      </c>
      <c r="AK1080">
        <f ca="1"/>
      </c>
      <c r="AL1080">
        <f ca="1"/>
      </c>
      <c r="AM1080">
        <f ca="1"/>
      </c>
      <c r="AN1080">
        <f ca="1"/>
      </c>
      <c r="AO1080">
        <f ca="1"/>
      </c>
      <c r="AP1080">
        <f ca="1"/>
      </c>
      <c r="AQ1080">
        <f ca="1"/>
      </c>
      <c r="AR1080">
        <f ca="1"/>
      </c>
      <c r="AT1080" s="7">
        <f ca="1"/>
      </c>
      <c r="AU1080">
        <f ca="1"/>
      </c>
      <c r="AV1080">
        <f ca="1"/>
      </c>
      <c r="AW1080">
        <f ca="1"/>
      </c>
      <c r="AX1080">
        <f ca="1"/>
      </c>
      <c r="AY1080">
        <f ca="1"/>
      </c>
      <c r="BA1080" s="7"/>
    </row>
    <row r="1081" spans="31:53" x14ac:dyDescent="0.55000000000000004">
      <c r="AE1081" s="7">
        <f ca="1"/>
      </c>
      <c r="AF1081">
        <f ca="1"/>
      </c>
      <c r="AG1081">
        <f ca="1"/>
      </c>
      <c r="AH1081">
        <f ca="1"/>
      </c>
      <c r="AI1081">
        <f ca="1"/>
      </c>
      <c r="AJ1081">
        <f ca="1"/>
      </c>
      <c r="AK1081">
        <f ca="1"/>
      </c>
      <c r="AL1081">
        <f ca="1"/>
      </c>
      <c r="AM1081">
        <f ca="1"/>
      </c>
      <c r="AN1081">
        <f ca="1"/>
      </c>
      <c r="AO1081">
        <f ca="1"/>
      </c>
      <c r="AP1081">
        <f ca="1"/>
      </c>
      <c r="AQ1081">
        <f ca="1"/>
      </c>
      <c r="AR1081">
        <f ca="1"/>
      </c>
      <c r="AT1081" s="7">
        <f ca="1"/>
      </c>
      <c r="AU1081">
        <f ca="1"/>
      </c>
      <c r="AV1081">
        <f ca="1"/>
      </c>
      <c r="AW1081">
        <f ca="1"/>
      </c>
      <c r="AX1081">
        <f ca="1"/>
      </c>
      <c r="AY1081">
        <f ca="1"/>
      </c>
      <c r="BA1081" s="7"/>
    </row>
    <row r="1082" spans="31:53" x14ac:dyDescent="0.55000000000000004">
      <c r="AE1082" s="7">
        <f ca="1"/>
      </c>
      <c r="AF1082">
        <f ca="1"/>
      </c>
      <c r="AG1082">
        <f ca="1"/>
      </c>
      <c r="AH1082">
        <f ca="1"/>
      </c>
      <c r="AI1082">
        <f ca="1"/>
      </c>
      <c r="AJ1082">
        <f ca="1"/>
      </c>
      <c r="AK1082">
        <f ca="1"/>
      </c>
      <c r="AL1082">
        <f ca="1"/>
      </c>
      <c r="AM1082">
        <f ca="1"/>
      </c>
      <c r="AN1082">
        <f ca="1"/>
      </c>
      <c r="AO1082">
        <f ca="1"/>
      </c>
      <c r="AP1082">
        <f ca="1"/>
      </c>
      <c r="AQ1082">
        <f ca="1"/>
      </c>
      <c r="AR1082">
        <f ca="1"/>
      </c>
      <c r="AT1082" s="7">
        <f ca="1"/>
      </c>
      <c r="AU1082">
        <f ca="1"/>
      </c>
      <c r="AV1082">
        <f ca="1"/>
      </c>
      <c r="AW1082">
        <f ca="1"/>
      </c>
      <c r="AX1082">
        <f ca="1"/>
      </c>
      <c r="AY1082">
        <f ca="1"/>
      </c>
      <c r="BA1082" s="7"/>
    </row>
    <row r="1083" spans="31:53" x14ac:dyDescent="0.55000000000000004">
      <c r="AE1083" s="7">
        <f ca="1"/>
      </c>
      <c r="AF1083">
        <f ca="1"/>
      </c>
      <c r="AG1083">
        <f ca="1"/>
      </c>
      <c r="AH1083">
        <f ca="1"/>
      </c>
      <c r="AI1083">
        <f ca="1"/>
      </c>
      <c r="AJ1083">
        <f ca="1"/>
      </c>
      <c r="AK1083">
        <f ca="1"/>
      </c>
      <c r="AL1083">
        <f ca="1"/>
      </c>
      <c r="AM1083">
        <f ca="1"/>
      </c>
      <c r="AN1083">
        <f ca="1"/>
      </c>
      <c r="AO1083">
        <f ca="1"/>
      </c>
      <c r="AP1083">
        <f ca="1"/>
      </c>
      <c r="AQ1083">
        <f ca="1"/>
      </c>
      <c r="AR1083">
        <f ca="1"/>
      </c>
      <c r="AT1083" s="7">
        <f ca="1"/>
      </c>
      <c r="AU1083">
        <f ca="1"/>
      </c>
      <c r="AV1083">
        <f ca="1"/>
      </c>
      <c r="AW1083">
        <f ca="1"/>
      </c>
      <c r="AX1083">
        <f ca="1"/>
      </c>
      <c r="AY1083">
        <f ca="1"/>
      </c>
      <c r="BA1083" s="7"/>
    </row>
    <row r="1084" spans="31:53" x14ac:dyDescent="0.55000000000000004">
      <c r="AE1084" s="7">
        <f ca="1"/>
      </c>
      <c r="AF1084">
        <f ca="1"/>
      </c>
      <c r="AG1084">
        <f ca="1"/>
      </c>
      <c r="AH1084">
        <f ca="1"/>
      </c>
      <c r="AI1084">
        <f ca="1"/>
      </c>
      <c r="AJ1084">
        <f ca="1"/>
      </c>
      <c r="AK1084">
        <f ca="1"/>
      </c>
      <c r="AL1084">
        <f ca="1"/>
      </c>
      <c r="AM1084">
        <f ca="1"/>
      </c>
      <c r="AN1084">
        <f ca="1"/>
      </c>
      <c r="AO1084">
        <f ca="1"/>
      </c>
      <c r="AP1084">
        <f ca="1"/>
      </c>
      <c r="AQ1084">
        <f ca="1"/>
      </c>
      <c r="AR1084">
        <f ca="1"/>
      </c>
      <c r="AT1084" s="7">
        <f ca="1"/>
      </c>
      <c r="AU1084">
        <f ca="1"/>
      </c>
      <c r="AV1084">
        <f ca="1"/>
      </c>
      <c r="AW1084">
        <f ca="1"/>
      </c>
      <c r="AX1084">
        <f ca="1"/>
      </c>
      <c r="AY1084">
        <f ca="1"/>
      </c>
      <c r="BA1084" s="7"/>
    </row>
    <row r="1085" spans="31:53" x14ac:dyDescent="0.55000000000000004">
      <c r="AE1085" s="7">
        <f ca="1"/>
      </c>
      <c r="AF1085">
        <f ca="1"/>
      </c>
      <c r="AG1085">
        <f ca="1"/>
      </c>
      <c r="AH1085">
        <f ca="1"/>
      </c>
      <c r="AI1085">
        <f ca="1"/>
      </c>
      <c r="AJ1085">
        <f ca="1"/>
      </c>
      <c r="AK1085">
        <f ca="1"/>
      </c>
      <c r="AL1085">
        <f ca="1"/>
      </c>
      <c r="AM1085">
        <f ca="1"/>
      </c>
      <c r="AN1085">
        <f ca="1"/>
      </c>
      <c r="AO1085">
        <f ca="1"/>
      </c>
      <c r="AP1085">
        <f ca="1"/>
      </c>
      <c r="AQ1085">
        <f ca="1"/>
      </c>
      <c r="AR1085">
        <f ca="1"/>
      </c>
      <c r="AT1085" s="7">
        <f ca="1"/>
      </c>
      <c r="AU1085">
        <f ca="1"/>
      </c>
      <c r="AV1085">
        <f ca="1"/>
      </c>
      <c r="AW1085">
        <f ca="1"/>
      </c>
      <c r="AX1085">
        <f ca="1"/>
      </c>
      <c r="AY1085">
        <f ca="1"/>
      </c>
      <c r="BA1085" s="7"/>
    </row>
    <row r="1086" spans="31:53" x14ac:dyDescent="0.55000000000000004">
      <c r="AE1086" s="7">
        <f ca="1"/>
      </c>
      <c r="AF1086">
        <f ca="1"/>
      </c>
      <c r="AG1086">
        <f ca="1"/>
      </c>
      <c r="AH1086">
        <f ca="1"/>
      </c>
      <c r="AI1086">
        <f ca="1"/>
      </c>
      <c r="AJ1086">
        <f ca="1"/>
      </c>
      <c r="AK1086">
        <f ca="1"/>
      </c>
      <c r="AL1086">
        <f ca="1"/>
      </c>
      <c r="AM1086">
        <f ca="1"/>
      </c>
      <c r="AN1086">
        <f ca="1"/>
      </c>
      <c r="AO1086">
        <f ca="1"/>
      </c>
      <c r="AP1086">
        <f ca="1"/>
      </c>
      <c r="AQ1086">
        <f ca="1"/>
      </c>
      <c r="AR1086">
        <f ca="1"/>
      </c>
      <c r="AT1086" s="7">
        <f ca="1"/>
      </c>
      <c r="AU1086">
        <f ca="1"/>
      </c>
      <c r="AV1086">
        <f ca="1"/>
      </c>
      <c r="AW1086">
        <f ca="1"/>
      </c>
      <c r="AX1086">
        <f ca="1"/>
      </c>
      <c r="AY1086">
        <f ca="1"/>
      </c>
      <c r="BA1086" s="7"/>
    </row>
    <row r="1087" spans="31:53" x14ac:dyDescent="0.55000000000000004">
      <c r="AE1087" s="7">
        <f ca="1"/>
      </c>
      <c r="AF1087">
        <f ca="1"/>
      </c>
      <c r="AG1087">
        <f ca="1"/>
      </c>
      <c r="AH1087">
        <f ca="1"/>
      </c>
      <c r="AI1087">
        <f ca="1"/>
      </c>
      <c r="AJ1087">
        <f ca="1"/>
      </c>
      <c r="AK1087">
        <f ca="1"/>
      </c>
      <c r="AL1087">
        <f ca="1"/>
      </c>
      <c r="AM1087">
        <f ca="1"/>
      </c>
      <c r="AN1087">
        <f ca="1"/>
      </c>
      <c r="AO1087">
        <f ca="1"/>
      </c>
      <c r="AP1087">
        <f ca="1"/>
      </c>
      <c r="AQ1087">
        <f ca="1"/>
      </c>
      <c r="AR1087">
        <f ca="1"/>
      </c>
      <c r="AT1087" s="7">
        <f ca="1"/>
      </c>
      <c r="AU1087">
        <f ca="1"/>
      </c>
      <c r="AV1087">
        <f ca="1"/>
      </c>
      <c r="AW1087">
        <f ca="1"/>
      </c>
      <c r="AX1087">
        <f ca="1"/>
      </c>
      <c r="AY1087">
        <f ca="1"/>
      </c>
      <c r="BA1087" s="7"/>
    </row>
    <row r="1088" spans="31:53" x14ac:dyDescent="0.55000000000000004">
      <c r="AE1088" s="7">
        <f ca="1"/>
      </c>
      <c r="AF1088">
        <f ca="1"/>
      </c>
      <c r="AG1088">
        <f ca="1"/>
      </c>
      <c r="AH1088">
        <f ca="1"/>
      </c>
      <c r="AI1088">
        <f ca="1"/>
      </c>
      <c r="AJ1088">
        <f ca="1"/>
      </c>
      <c r="AK1088">
        <f ca="1"/>
      </c>
      <c r="AL1088">
        <f ca="1"/>
      </c>
      <c r="AM1088">
        <f ca="1"/>
      </c>
      <c r="AN1088">
        <f ca="1"/>
      </c>
      <c r="AO1088">
        <f ca="1"/>
      </c>
      <c r="AP1088">
        <f ca="1"/>
      </c>
      <c r="AQ1088">
        <f ca="1"/>
      </c>
      <c r="AR1088">
        <f ca="1"/>
      </c>
      <c r="AT1088" s="7">
        <f ca="1"/>
      </c>
      <c r="AU1088">
        <f ca="1"/>
      </c>
      <c r="AV1088">
        <f ca="1"/>
      </c>
      <c r="AW1088">
        <f ca="1"/>
      </c>
      <c r="AX1088">
        <f ca="1"/>
      </c>
      <c r="AY1088">
        <f ca="1"/>
      </c>
      <c r="BA1088" s="7"/>
    </row>
    <row r="1089" spans="31:53" x14ac:dyDescent="0.55000000000000004">
      <c r="AE1089" s="7">
        <f ca="1"/>
      </c>
      <c r="AF1089">
        <f ca="1"/>
      </c>
      <c r="AG1089">
        <f ca="1"/>
      </c>
      <c r="AH1089">
        <f ca="1"/>
      </c>
      <c r="AI1089">
        <f ca="1"/>
      </c>
      <c r="AJ1089">
        <f ca="1"/>
      </c>
      <c r="AK1089">
        <f ca="1"/>
      </c>
      <c r="AL1089">
        <f ca="1"/>
      </c>
      <c r="AM1089">
        <f ca="1"/>
      </c>
      <c r="AN1089">
        <f ca="1"/>
      </c>
      <c r="AO1089">
        <f ca="1"/>
      </c>
      <c r="AP1089">
        <f ca="1"/>
      </c>
      <c r="AQ1089">
        <f ca="1"/>
      </c>
      <c r="AR1089">
        <f ca="1"/>
      </c>
      <c r="AT1089" s="7">
        <f ca="1"/>
      </c>
      <c r="AU1089">
        <f ca="1"/>
      </c>
      <c r="AV1089">
        <f ca="1"/>
      </c>
      <c r="AW1089">
        <f ca="1"/>
      </c>
      <c r="AX1089">
        <f ca="1"/>
      </c>
      <c r="AY1089">
        <f ca="1"/>
      </c>
      <c r="BA1089" s="7"/>
    </row>
    <row r="1090" spans="31:53" x14ac:dyDescent="0.55000000000000004">
      <c r="AE1090" s="7">
        <f ca="1"/>
      </c>
      <c r="AF1090">
        <f ca="1"/>
      </c>
      <c r="AG1090">
        <f ca="1"/>
      </c>
      <c r="AH1090">
        <f ca="1"/>
      </c>
      <c r="AI1090">
        <f ca="1"/>
      </c>
      <c r="AJ1090">
        <f ca="1"/>
      </c>
      <c r="AK1090">
        <f ca="1"/>
      </c>
      <c r="AL1090">
        <f ca="1"/>
      </c>
      <c r="AM1090">
        <f ca="1"/>
      </c>
      <c r="AN1090">
        <f ca="1"/>
      </c>
      <c r="AO1090">
        <f ca="1"/>
      </c>
      <c r="AP1090">
        <f ca="1"/>
      </c>
      <c r="AQ1090">
        <f ca="1"/>
      </c>
      <c r="AR1090">
        <f ca="1"/>
      </c>
      <c r="AT1090" s="7">
        <f ca="1"/>
      </c>
      <c r="AU1090">
        <f ca="1"/>
      </c>
      <c r="AV1090">
        <f ca="1"/>
      </c>
      <c r="AW1090">
        <f ca="1"/>
      </c>
      <c r="AX1090">
        <f ca="1"/>
      </c>
      <c r="AY1090">
        <f ca="1"/>
      </c>
      <c r="BA1090" s="7"/>
    </row>
    <row r="1091" spans="31:53" x14ac:dyDescent="0.55000000000000004">
      <c r="AE1091" s="7">
        <f ca="1"/>
      </c>
      <c r="AF1091">
        <f ca="1"/>
      </c>
      <c r="AG1091">
        <f ca="1"/>
      </c>
      <c r="AH1091">
        <f ca="1"/>
      </c>
      <c r="AI1091">
        <f ca="1"/>
      </c>
      <c r="AJ1091">
        <f ca="1"/>
      </c>
      <c r="AK1091">
        <f ca="1"/>
      </c>
      <c r="AL1091">
        <f ca="1"/>
      </c>
      <c r="AM1091">
        <f ca="1"/>
      </c>
      <c r="AN1091">
        <f ca="1"/>
      </c>
      <c r="AO1091">
        <f ca="1"/>
      </c>
      <c r="AP1091">
        <f ca="1"/>
      </c>
      <c r="AQ1091">
        <f ca="1"/>
      </c>
      <c r="AR1091">
        <f ca="1"/>
      </c>
      <c r="AT1091" s="7">
        <f ca="1"/>
      </c>
      <c r="AU1091">
        <f ca="1"/>
      </c>
      <c r="AV1091">
        <f ca="1"/>
      </c>
      <c r="AW1091">
        <f ca="1"/>
      </c>
      <c r="AX1091">
        <f ca="1"/>
      </c>
      <c r="AY1091">
        <f ca="1"/>
      </c>
      <c r="BA1091" s="7"/>
    </row>
    <row r="1092" spans="31:53" x14ac:dyDescent="0.55000000000000004">
      <c r="AE1092" s="7">
        <f ca="1"/>
      </c>
      <c r="AF1092">
        <f ca="1"/>
      </c>
      <c r="AG1092">
        <f ca="1"/>
      </c>
      <c r="AH1092">
        <f ca="1"/>
      </c>
      <c r="AI1092">
        <f ca="1"/>
      </c>
      <c r="AJ1092">
        <f ca="1"/>
      </c>
      <c r="AK1092">
        <f ca="1"/>
      </c>
      <c r="AL1092">
        <f ca="1"/>
      </c>
      <c r="AM1092">
        <f ca="1"/>
      </c>
      <c r="AN1092">
        <f ca="1"/>
      </c>
      <c r="AO1092">
        <f ca="1"/>
      </c>
      <c r="AP1092">
        <f ca="1"/>
      </c>
      <c r="AQ1092">
        <f ca="1"/>
      </c>
      <c r="AR1092">
        <f ca="1"/>
      </c>
      <c r="AT1092" s="7">
        <f ca="1"/>
      </c>
      <c r="AU1092">
        <f ca="1"/>
      </c>
      <c r="AV1092">
        <f ca="1"/>
      </c>
      <c r="AW1092">
        <f ca="1"/>
      </c>
      <c r="AX1092">
        <f ca="1"/>
      </c>
      <c r="AY1092">
        <f ca="1"/>
      </c>
      <c r="BA1092" s="7"/>
    </row>
    <row r="1093" spans="31:53" x14ac:dyDescent="0.55000000000000004">
      <c r="AE1093" s="7">
        <f ca="1"/>
      </c>
      <c r="AF1093">
        <f ca="1"/>
      </c>
      <c r="AG1093">
        <f ca="1"/>
      </c>
      <c r="AH1093">
        <f ca="1"/>
      </c>
      <c r="AI1093">
        <f ca="1"/>
      </c>
      <c r="AJ1093">
        <f ca="1"/>
      </c>
      <c r="AK1093">
        <f ca="1"/>
      </c>
      <c r="AL1093">
        <f ca="1"/>
      </c>
      <c r="AM1093">
        <f ca="1"/>
      </c>
      <c r="AN1093">
        <f ca="1"/>
      </c>
      <c r="AO1093">
        <f ca="1"/>
      </c>
      <c r="AP1093">
        <f ca="1"/>
      </c>
      <c r="AQ1093">
        <f ca="1"/>
      </c>
      <c r="AR1093">
        <f ca="1"/>
      </c>
      <c r="AT1093" s="7">
        <f ca="1"/>
      </c>
      <c r="AU1093">
        <f ca="1"/>
      </c>
      <c r="AV1093">
        <f ca="1"/>
      </c>
      <c r="AW1093">
        <f ca="1"/>
      </c>
      <c r="AX1093">
        <f ca="1"/>
      </c>
      <c r="AY1093">
        <f ca="1"/>
      </c>
      <c r="BA1093" s="7"/>
    </row>
    <row r="1094" spans="31:53" x14ac:dyDescent="0.55000000000000004">
      <c r="AE1094" s="7">
        <f ca="1"/>
      </c>
      <c r="AF1094">
        <f ca="1"/>
      </c>
      <c r="AG1094">
        <f ca="1"/>
      </c>
      <c r="AH1094">
        <f ca="1"/>
      </c>
      <c r="AI1094">
        <f ca="1"/>
      </c>
      <c r="AJ1094">
        <f ca="1"/>
      </c>
      <c r="AK1094">
        <f ca="1"/>
      </c>
      <c r="AL1094">
        <f ca="1"/>
      </c>
      <c r="AM1094">
        <f ca="1"/>
      </c>
      <c r="AN1094">
        <f ca="1"/>
      </c>
      <c r="AO1094">
        <f ca="1"/>
      </c>
      <c r="AP1094">
        <f ca="1"/>
      </c>
      <c r="AQ1094">
        <f ca="1"/>
      </c>
      <c r="AR1094">
        <f ca="1"/>
      </c>
      <c r="AT1094" s="7">
        <f ca="1"/>
      </c>
      <c r="AU1094">
        <f ca="1"/>
      </c>
      <c r="AV1094">
        <f ca="1"/>
      </c>
      <c r="AW1094">
        <f ca="1"/>
      </c>
      <c r="AX1094">
        <f ca="1"/>
      </c>
      <c r="AY1094">
        <f ca="1"/>
      </c>
      <c r="BA1094" s="7"/>
    </row>
    <row r="1095" spans="31:53" x14ac:dyDescent="0.55000000000000004">
      <c r="AE1095" s="7">
        <f ca="1"/>
      </c>
      <c r="AF1095">
        <f ca="1"/>
      </c>
      <c r="AG1095">
        <f ca="1"/>
      </c>
      <c r="AH1095">
        <f ca="1"/>
      </c>
      <c r="AI1095">
        <f ca="1"/>
      </c>
      <c r="AJ1095">
        <f ca="1"/>
      </c>
      <c r="AK1095">
        <f ca="1"/>
      </c>
      <c r="AL1095">
        <f ca="1"/>
      </c>
      <c r="AM1095">
        <f ca="1"/>
      </c>
      <c r="AN1095">
        <f ca="1"/>
      </c>
      <c r="AO1095">
        <f ca="1"/>
      </c>
      <c r="AP1095">
        <f ca="1"/>
      </c>
      <c r="AQ1095">
        <f ca="1"/>
      </c>
      <c r="AR1095">
        <f ca="1"/>
      </c>
      <c r="AT1095" s="7">
        <f ca="1"/>
      </c>
      <c r="AU1095">
        <f ca="1"/>
      </c>
      <c r="AV1095">
        <f ca="1"/>
      </c>
      <c r="AW1095">
        <f ca="1"/>
      </c>
      <c r="AX1095">
        <f ca="1"/>
      </c>
      <c r="AY1095">
        <f ca="1"/>
      </c>
      <c r="BA1095" s="7"/>
    </row>
    <row r="1096" spans="31:53" x14ac:dyDescent="0.55000000000000004">
      <c r="AE1096" s="7">
        <f ca="1"/>
      </c>
      <c r="AF1096">
        <f ca="1"/>
      </c>
      <c r="AG1096">
        <f ca="1"/>
      </c>
      <c r="AH1096">
        <f ca="1"/>
      </c>
      <c r="AI1096">
        <f ca="1"/>
      </c>
      <c r="AJ1096">
        <f ca="1"/>
      </c>
      <c r="AK1096">
        <f ca="1"/>
      </c>
      <c r="AL1096">
        <f ca="1"/>
      </c>
      <c r="AM1096">
        <f ca="1"/>
      </c>
      <c r="AN1096">
        <f ca="1"/>
      </c>
      <c r="AO1096">
        <f ca="1"/>
      </c>
      <c r="AP1096">
        <f ca="1"/>
      </c>
      <c r="AQ1096">
        <f ca="1"/>
      </c>
      <c r="AR1096">
        <f ca="1"/>
      </c>
      <c r="AT1096" s="7">
        <f ca="1"/>
      </c>
      <c r="AU1096">
        <f ca="1"/>
      </c>
      <c r="AV1096">
        <f ca="1"/>
      </c>
      <c r="AW1096">
        <f ca="1"/>
      </c>
      <c r="AX1096">
        <f ca="1"/>
      </c>
      <c r="AY1096">
        <f ca="1"/>
      </c>
      <c r="BA1096" s="7"/>
    </row>
    <row r="1097" spans="31:53" x14ac:dyDescent="0.55000000000000004">
      <c r="AE1097" s="7">
        <f ca="1"/>
      </c>
      <c r="AF1097">
        <f ca="1"/>
      </c>
      <c r="AG1097">
        <f ca="1"/>
      </c>
      <c r="AH1097">
        <f ca="1"/>
      </c>
      <c r="AI1097">
        <f ca="1"/>
      </c>
      <c r="AJ1097">
        <f ca="1"/>
      </c>
      <c r="AK1097">
        <f ca="1"/>
      </c>
      <c r="AL1097">
        <f ca="1"/>
      </c>
      <c r="AM1097">
        <f ca="1"/>
      </c>
      <c r="AN1097">
        <f ca="1"/>
      </c>
      <c r="AO1097">
        <f ca="1"/>
      </c>
      <c r="AP1097">
        <f ca="1"/>
      </c>
      <c r="AQ1097">
        <f ca="1"/>
      </c>
      <c r="AR1097">
        <f ca="1"/>
      </c>
      <c r="AT1097" s="7">
        <f ca="1"/>
      </c>
      <c r="AU1097">
        <f ca="1"/>
      </c>
      <c r="AV1097">
        <f ca="1"/>
      </c>
      <c r="AW1097">
        <f ca="1"/>
      </c>
      <c r="AX1097">
        <f ca="1"/>
      </c>
      <c r="AY1097">
        <f ca="1"/>
      </c>
      <c r="BA1097" s="7"/>
    </row>
    <row r="1098" spans="31:53" x14ac:dyDescent="0.55000000000000004">
      <c r="AE1098" s="7">
        <f ca="1"/>
      </c>
      <c r="AF1098">
        <f ca="1"/>
      </c>
      <c r="AG1098">
        <f ca="1"/>
      </c>
      <c r="AH1098">
        <f ca="1"/>
      </c>
      <c r="AI1098">
        <f ca="1"/>
      </c>
      <c r="AJ1098">
        <f ca="1"/>
      </c>
      <c r="AK1098">
        <f ca="1"/>
      </c>
      <c r="AL1098">
        <f ca="1"/>
      </c>
      <c r="AM1098">
        <f ca="1"/>
      </c>
      <c r="AN1098">
        <f ca="1"/>
      </c>
      <c r="AO1098">
        <f ca="1"/>
      </c>
      <c r="AP1098">
        <f ca="1"/>
      </c>
      <c r="AQ1098">
        <f ca="1"/>
      </c>
      <c r="AR1098">
        <f ca="1"/>
      </c>
      <c r="AT1098" s="7">
        <f ca="1"/>
      </c>
      <c r="AU1098">
        <f ca="1"/>
      </c>
      <c r="AV1098">
        <f ca="1"/>
      </c>
      <c r="AW1098">
        <f ca="1"/>
      </c>
      <c r="AX1098">
        <f ca="1"/>
      </c>
      <c r="AY1098">
        <f ca="1"/>
      </c>
      <c r="BA1098" s="7"/>
    </row>
    <row r="1099" spans="31:53" x14ac:dyDescent="0.55000000000000004">
      <c r="AE1099" s="7">
        <f ca="1"/>
      </c>
      <c r="AF1099">
        <f ca="1"/>
      </c>
      <c r="AG1099">
        <f ca="1"/>
      </c>
      <c r="AH1099">
        <f ca="1"/>
      </c>
      <c r="AI1099">
        <f ca="1"/>
      </c>
      <c r="AJ1099">
        <f ca="1"/>
      </c>
      <c r="AK1099">
        <f ca="1"/>
      </c>
      <c r="AL1099">
        <f ca="1"/>
      </c>
      <c r="AM1099">
        <f ca="1"/>
      </c>
      <c r="AN1099">
        <f ca="1"/>
      </c>
      <c r="AO1099">
        <f ca="1"/>
      </c>
      <c r="AP1099">
        <f ca="1"/>
      </c>
      <c r="AQ1099">
        <f ca="1"/>
      </c>
      <c r="AR1099">
        <f ca="1"/>
      </c>
      <c r="AT1099" s="7">
        <f ca="1"/>
      </c>
      <c r="AU1099">
        <f ca="1"/>
      </c>
      <c r="AV1099">
        <f ca="1"/>
      </c>
      <c r="AW1099">
        <f ca="1"/>
      </c>
      <c r="AX1099">
        <f ca="1"/>
      </c>
      <c r="AY1099">
        <f ca="1"/>
      </c>
      <c r="BA1099" s="7"/>
    </row>
    <row r="1100" spans="31:53" x14ac:dyDescent="0.55000000000000004">
      <c r="AE1100" s="7">
        <f ca="1"/>
      </c>
      <c r="AF1100">
        <f ca="1"/>
      </c>
      <c r="AG1100">
        <f ca="1"/>
      </c>
      <c r="AH1100">
        <f ca="1"/>
      </c>
      <c r="AI1100">
        <f ca="1"/>
      </c>
      <c r="AJ1100">
        <f ca="1"/>
      </c>
      <c r="AK1100">
        <f ca="1"/>
      </c>
      <c r="AL1100">
        <f ca="1"/>
      </c>
      <c r="AM1100">
        <f ca="1"/>
      </c>
      <c r="AN1100">
        <f ca="1"/>
      </c>
      <c r="AO1100">
        <f ca="1"/>
      </c>
      <c r="AP1100">
        <f ca="1"/>
      </c>
      <c r="AQ1100">
        <f ca="1"/>
      </c>
      <c r="AR1100">
        <f ca="1"/>
      </c>
      <c r="AT1100" s="7">
        <f ca="1"/>
      </c>
      <c r="AU1100">
        <f ca="1"/>
      </c>
      <c r="AV1100">
        <f ca="1"/>
      </c>
      <c r="AW1100">
        <f ca="1"/>
      </c>
      <c r="AX1100">
        <f ca="1"/>
      </c>
      <c r="AY1100">
        <f ca="1"/>
      </c>
      <c r="BA1100" s="7"/>
    </row>
    <row r="1101" spans="31:53" x14ac:dyDescent="0.55000000000000004">
      <c r="AE1101" s="7">
        <f ca="1"/>
      </c>
      <c r="AF1101">
        <f ca="1"/>
      </c>
      <c r="AG1101">
        <f ca="1"/>
      </c>
      <c r="AH1101">
        <f ca="1"/>
      </c>
      <c r="AI1101">
        <f ca="1"/>
      </c>
      <c r="AJ1101">
        <f ca="1"/>
      </c>
      <c r="AK1101">
        <f ca="1"/>
      </c>
      <c r="AL1101">
        <f ca="1"/>
      </c>
      <c r="AM1101">
        <f ca="1"/>
      </c>
      <c r="AN1101">
        <f ca="1"/>
      </c>
      <c r="AO1101">
        <f ca="1"/>
      </c>
      <c r="AP1101">
        <f ca="1"/>
      </c>
      <c r="AQ1101">
        <f ca="1"/>
      </c>
      <c r="AR1101">
        <f ca="1"/>
      </c>
      <c r="AT1101" s="7">
        <f ca="1"/>
      </c>
      <c r="AU1101">
        <f ca="1"/>
      </c>
      <c r="AV1101">
        <f ca="1"/>
      </c>
      <c r="AW1101">
        <f ca="1"/>
      </c>
      <c r="AX1101">
        <f ca="1"/>
      </c>
      <c r="AY1101">
        <f ca="1"/>
      </c>
      <c r="BA1101" s="7"/>
    </row>
    <row r="1102" spans="31:53" x14ac:dyDescent="0.55000000000000004">
      <c r="AE1102" s="7">
        <f ca="1"/>
      </c>
      <c r="AF1102">
        <f ca="1"/>
      </c>
      <c r="AG1102">
        <f ca="1"/>
      </c>
      <c r="AH1102">
        <f ca="1"/>
      </c>
      <c r="AI1102">
        <f ca="1"/>
      </c>
      <c r="AJ1102">
        <f ca="1"/>
      </c>
      <c r="AK1102">
        <f ca="1"/>
      </c>
      <c r="AL1102">
        <f ca="1"/>
      </c>
      <c r="AM1102">
        <f ca="1"/>
      </c>
      <c r="AN1102">
        <f ca="1"/>
      </c>
      <c r="AO1102">
        <f ca="1"/>
      </c>
      <c r="AP1102">
        <f ca="1"/>
      </c>
      <c r="AQ1102">
        <f ca="1"/>
      </c>
      <c r="AR1102">
        <f ca="1"/>
      </c>
      <c r="AT1102" s="7">
        <f ca="1"/>
      </c>
      <c r="AU1102">
        <f ca="1"/>
      </c>
      <c r="AV1102">
        <f ca="1"/>
      </c>
      <c r="AW1102">
        <f ca="1"/>
      </c>
      <c r="AX1102">
        <f ca="1"/>
      </c>
      <c r="AY1102">
        <f ca="1"/>
      </c>
      <c r="BA1102" s="7"/>
    </row>
    <row r="1103" spans="31:53" x14ac:dyDescent="0.55000000000000004">
      <c r="AE1103" s="7">
        <f ca="1"/>
      </c>
      <c r="AF1103">
        <f ca="1"/>
      </c>
      <c r="AG1103">
        <f ca="1"/>
      </c>
      <c r="AH1103">
        <f ca="1"/>
      </c>
      <c r="AI1103">
        <f ca="1"/>
      </c>
      <c r="AJ1103">
        <f ca="1"/>
      </c>
      <c r="AK1103">
        <f ca="1"/>
      </c>
      <c r="AL1103">
        <f ca="1"/>
      </c>
      <c r="AM1103">
        <f ca="1"/>
      </c>
      <c r="AN1103">
        <f ca="1"/>
      </c>
      <c r="AO1103">
        <f ca="1"/>
      </c>
      <c r="AP1103">
        <f ca="1"/>
      </c>
      <c r="AQ1103">
        <f ca="1"/>
      </c>
      <c r="AR1103">
        <f ca="1"/>
      </c>
      <c r="AT1103" s="7">
        <f ca="1"/>
      </c>
      <c r="AU1103">
        <f ca="1"/>
      </c>
      <c r="AV1103">
        <f ca="1"/>
      </c>
      <c r="AW1103">
        <f ca="1"/>
      </c>
      <c r="AX1103">
        <f ca="1"/>
      </c>
      <c r="AY1103">
        <f ca="1"/>
      </c>
      <c r="BA1103" s="7"/>
    </row>
    <row r="1104" spans="31:53" x14ac:dyDescent="0.55000000000000004">
      <c r="AE1104" s="7">
        <f ca="1"/>
      </c>
      <c r="AF1104">
        <f ca="1"/>
      </c>
      <c r="AG1104">
        <f ca="1"/>
      </c>
      <c r="AH1104">
        <f ca="1"/>
      </c>
      <c r="AI1104">
        <f ca="1"/>
      </c>
      <c r="AJ1104">
        <f ca="1"/>
      </c>
      <c r="AK1104">
        <f ca="1"/>
      </c>
      <c r="AL1104">
        <f ca="1"/>
      </c>
      <c r="AM1104">
        <f ca="1"/>
      </c>
      <c r="AN1104">
        <f ca="1"/>
      </c>
      <c r="AO1104">
        <f ca="1"/>
      </c>
      <c r="AP1104">
        <f ca="1"/>
      </c>
      <c r="AQ1104">
        <f ca="1"/>
      </c>
      <c r="AR1104">
        <f ca="1"/>
      </c>
      <c r="AT1104" s="7">
        <f ca="1"/>
      </c>
      <c r="AU1104">
        <f ca="1"/>
      </c>
      <c r="AV1104">
        <f ca="1"/>
      </c>
      <c r="AW1104">
        <f ca="1"/>
      </c>
      <c r="AX1104">
        <f ca="1"/>
      </c>
      <c r="AY1104">
        <f ca="1"/>
      </c>
      <c r="BA1104" s="7"/>
    </row>
    <row r="1105" spans="31:53" x14ac:dyDescent="0.55000000000000004">
      <c r="AE1105" s="7">
        <f ca="1"/>
      </c>
      <c r="AF1105">
        <f ca="1"/>
      </c>
      <c r="AG1105">
        <f ca="1"/>
      </c>
      <c r="AH1105">
        <f ca="1"/>
      </c>
      <c r="AI1105">
        <f ca="1"/>
      </c>
      <c r="AJ1105">
        <f ca="1"/>
      </c>
      <c r="AK1105">
        <f ca="1"/>
      </c>
      <c r="AL1105">
        <f ca="1"/>
      </c>
      <c r="AM1105">
        <f ca="1"/>
      </c>
      <c r="AN1105">
        <f ca="1"/>
      </c>
      <c r="AO1105">
        <f ca="1"/>
      </c>
      <c r="AP1105">
        <f ca="1"/>
      </c>
      <c r="AQ1105">
        <f ca="1"/>
      </c>
      <c r="AR1105">
        <f ca="1"/>
      </c>
      <c r="AT1105" s="7">
        <f ca="1"/>
      </c>
      <c r="AU1105">
        <f ca="1"/>
      </c>
      <c r="AV1105">
        <f ca="1"/>
      </c>
      <c r="AW1105">
        <f ca="1"/>
      </c>
      <c r="AX1105">
        <f ca="1"/>
      </c>
      <c r="AY1105">
        <f ca="1"/>
      </c>
      <c r="BA1105" s="7"/>
    </row>
    <row r="1106" spans="31:53" x14ac:dyDescent="0.55000000000000004">
      <c r="AE1106" s="7">
        <f ca="1"/>
      </c>
      <c r="AF1106">
        <f ca="1"/>
      </c>
      <c r="AG1106">
        <f ca="1"/>
      </c>
      <c r="AH1106">
        <f ca="1"/>
      </c>
      <c r="AI1106">
        <f ca="1"/>
      </c>
      <c r="AJ1106">
        <f ca="1"/>
      </c>
      <c r="AK1106">
        <f ca="1"/>
      </c>
      <c r="AL1106">
        <f ca="1"/>
      </c>
      <c r="AM1106">
        <f ca="1"/>
      </c>
      <c r="AN1106">
        <f ca="1"/>
      </c>
      <c r="AO1106">
        <f ca="1"/>
      </c>
      <c r="AP1106">
        <f ca="1"/>
      </c>
      <c r="AQ1106">
        <f ca="1"/>
      </c>
      <c r="AR1106">
        <f ca="1"/>
      </c>
      <c r="AT1106" s="7">
        <f ca="1"/>
      </c>
      <c r="AU1106">
        <f ca="1"/>
      </c>
      <c r="AV1106">
        <f ca="1"/>
      </c>
      <c r="AW1106">
        <f ca="1"/>
      </c>
      <c r="AX1106">
        <f ca="1"/>
      </c>
      <c r="AY1106">
        <f ca="1"/>
      </c>
      <c r="BA1106" s="7"/>
    </row>
    <row r="1107" spans="31:53" x14ac:dyDescent="0.55000000000000004">
      <c r="AE1107" s="7">
        <f ca="1"/>
      </c>
      <c r="AF1107">
        <f ca="1"/>
      </c>
      <c r="AG1107">
        <f ca="1"/>
      </c>
      <c r="AH1107">
        <f ca="1"/>
      </c>
      <c r="AI1107">
        <f ca="1"/>
      </c>
      <c r="AJ1107">
        <f ca="1"/>
      </c>
      <c r="AK1107">
        <f ca="1"/>
      </c>
      <c r="AL1107">
        <f ca="1"/>
      </c>
      <c r="AM1107">
        <f ca="1"/>
      </c>
      <c r="AN1107">
        <f ca="1"/>
      </c>
      <c r="AO1107">
        <f ca="1"/>
      </c>
      <c r="AP1107">
        <f ca="1"/>
      </c>
      <c r="AQ1107">
        <f ca="1"/>
      </c>
      <c r="AR1107">
        <f ca="1"/>
      </c>
      <c r="AT1107" s="7">
        <f ca="1"/>
      </c>
      <c r="AU1107">
        <f ca="1"/>
      </c>
      <c r="AV1107">
        <f ca="1"/>
      </c>
      <c r="AW1107">
        <f ca="1"/>
      </c>
      <c r="AX1107">
        <f ca="1"/>
      </c>
      <c r="AY1107">
        <f ca="1"/>
      </c>
      <c r="BA1107" s="7"/>
    </row>
    <row r="1108" spans="31:53" x14ac:dyDescent="0.55000000000000004">
      <c r="AE1108" s="7">
        <f ca="1"/>
      </c>
      <c r="AF1108">
        <f ca="1"/>
      </c>
      <c r="AG1108">
        <f ca="1"/>
      </c>
      <c r="AH1108">
        <f ca="1"/>
      </c>
      <c r="AI1108">
        <f ca="1"/>
      </c>
      <c r="AJ1108">
        <f ca="1"/>
      </c>
      <c r="AK1108">
        <f ca="1"/>
      </c>
      <c r="AL1108">
        <f ca="1"/>
      </c>
      <c r="AM1108">
        <f ca="1"/>
      </c>
      <c r="AN1108">
        <f ca="1"/>
      </c>
      <c r="AO1108">
        <f ca="1"/>
      </c>
      <c r="AP1108">
        <f ca="1"/>
      </c>
      <c r="AQ1108">
        <f ca="1"/>
      </c>
      <c r="AR1108">
        <f ca="1"/>
      </c>
      <c r="AT1108" s="7">
        <f ca="1"/>
      </c>
      <c r="AU1108">
        <f ca="1"/>
      </c>
      <c r="AV1108">
        <f ca="1"/>
      </c>
      <c r="AW1108">
        <f ca="1"/>
      </c>
      <c r="AX1108">
        <f ca="1"/>
      </c>
      <c r="AY1108">
        <f ca="1"/>
      </c>
      <c r="BA1108" s="7"/>
    </row>
    <row r="1109" spans="31:53" x14ac:dyDescent="0.55000000000000004">
      <c r="AE1109" s="7">
        <f ca="1"/>
      </c>
      <c r="AF1109">
        <f ca="1"/>
      </c>
      <c r="AG1109">
        <f ca="1"/>
      </c>
      <c r="AH1109">
        <f ca="1"/>
      </c>
      <c r="AI1109">
        <f ca="1"/>
      </c>
      <c r="AJ1109">
        <f ca="1"/>
      </c>
      <c r="AK1109">
        <f ca="1"/>
      </c>
      <c r="AL1109">
        <f ca="1"/>
      </c>
      <c r="AM1109">
        <f ca="1"/>
      </c>
      <c r="AN1109">
        <f ca="1"/>
      </c>
      <c r="AO1109">
        <f ca="1"/>
      </c>
      <c r="AP1109">
        <f ca="1"/>
      </c>
      <c r="AQ1109">
        <f ca="1"/>
      </c>
      <c r="AR1109">
        <f ca="1"/>
      </c>
      <c r="AT1109" s="7">
        <f ca="1"/>
      </c>
      <c r="AU1109">
        <f ca="1"/>
      </c>
      <c r="AV1109">
        <f ca="1"/>
      </c>
      <c r="AW1109">
        <f ca="1"/>
      </c>
      <c r="AX1109">
        <f ca="1"/>
      </c>
      <c r="AY1109">
        <f ca="1"/>
      </c>
      <c r="BA1109" s="7"/>
    </row>
    <row r="1110" spans="31:53" x14ac:dyDescent="0.55000000000000004">
      <c r="AE1110" s="7">
        <f ca="1"/>
      </c>
      <c r="AF1110">
        <f ca="1"/>
      </c>
      <c r="AG1110">
        <f ca="1"/>
      </c>
      <c r="AH1110">
        <f ca="1"/>
      </c>
      <c r="AI1110">
        <f ca="1"/>
      </c>
      <c r="AJ1110">
        <f ca="1"/>
      </c>
      <c r="AK1110">
        <f ca="1"/>
      </c>
      <c r="AL1110">
        <f ca="1"/>
      </c>
      <c r="AM1110">
        <f ca="1"/>
      </c>
      <c r="AN1110">
        <f ca="1"/>
      </c>
      <c r="AO1110">
        <f ca="1"/>
      </c>
      <c r="AP1110">
        <f ca="1"/>
      </c>
      <c r="AQ1110">
        <f ca="1"/>
      </c>
      <c r="AR1110">
        <f ca="1"/>
      </c>
      <c r="AT1110" s="7">
        <f ca="1"/>
      </c>
      <c r="AU1110">
        <f ca="1"/>
      </c>
      <c r="AV1110">
        <f ca="1"/>
      </c>
      <c r="AW1110">
        <f ca="1"/>
      </c>
      <c r="AX1110">
        <f ca="1"/>
      </c>
      <c r="AY1110">
        <f ca="1"/>
      </c>
      <c r="BA1110" s="7"/>
    </row>
    <row r="1111" spans="31:53" x14ac:dyDescent="0.55000000000000004">
      <c r="AE1111" s="7">
        <f ca="1"/>
      </c>
      <c r="AF1111">
        <f ca="1"/>
      </c>
      <c r="AG1111">
        <f ca="1"/>
      </c>
      <c r="AH1111">
        <f ca="1"/>
      </c>
      <c r="AI1111">
        <f ca="1"/>
      </c>
      <c r="AJ1111">
        <f ca="1"/>
      </c>
      <c r="AK1111">
        <f ca="1"/>
      </c>
      <c r="AL1111">
        <f ca="1"/>
      </c>
      <c r="AM1111">
        <f ca="1"/>
      </c>
      <c r="AN1111">
        <f ca="1"/>
      </c>
      <c r="AO1111">
        <f ca="1"/>
      </c>
      <c r="AP1111">
        <f ca="1"/>
      </c>
      <c r="AQ1111">
        <f ca="1"/>
      </c>
      <c r="AR1111">
        <f ca="1"/>
      </c>
      <c r="AT1111" s="7">
        <f ca="1"/>
      </c>
      <c r="AU1111">
        <f ca="1"/>
      </c>
      <c r="AV1111">
        <f ca="1"/>
      </c>
      <c r="AW1111">
        <f ca="1"/>
      </c>
      <c r="AX1111">
        <f ca="1"/>
      </c>
      <c r="AY1111">
        <f ca="1"/>
      </c>
      <c r="BA1111" s="7"/>
    </row>
    <row r="1112" spans="31:53" x14ac:dyDescent="0.55000000000000004">
      <c r="AE1112" s="7">
        <f ca="1"/>
      </c>
      <c r="AF1112">
        <f ca="1"/>
      </c>
      <c r="AG1112">
        <f ca="1"/>
      </c>
      <c r="AH1112">
        <f ca="1"/>
      </c>
      <c r="AI1112">
        <f ca="1"/>
      </c>
      <c r="AJ1112">
        <f ca="1"/>
      </c>
      <c r="AK1112">
        <f ca="1"/>
      </c>
      <c r="AL1112">
        <f ca="1"/>
      </c>
      <c r="AM1112">
        <f ca="1"/>
      </c>
      <c r="AN1112">
        <f ca="1"/>
      </c>
      <c r="AO1112">
        <f ca="1"/>
      </c>
      <c r="AP1112">
        <f ca="1"/>
      </c>
      <c r="AQ1112">
        <f ca="1"/>
      </c>
      <c r="AR1112">
        <f ca="1"/>
      </c>
      <c r="AT1112" s="7">
        <f ca="1"/>
      </c>
      <c r="AU1112">
        <f ca="1"/>
      </c>
      <c r="AV1112">
        <f ca="1"/>
      </c>
      <c r="AW1112">
        <f ca="1"/>
      </c>
      <c r="AX1112">
        <f ca="1"/>
      </c>
      <c r="AY1112">
        <f ca="1"/>
      </c>
      <c r="BA1112" s="7"/>
    </row>
    <row r="1113" spans="31:53" x14ac:dyDescent="0.55000000000000004">
      <c r="AE1113" s="7">
        <f ca="1"/>
      </c>
      <c r="AF1113">
        <f ca="1"/>
      </c>
      <c r="AG1113">
        <f ca="1"/>
      </c>
      <c r="AH1113">
        <f ca="1"/>
      </c>
      <c r="AI1113">
        <f ca="1"/>
      </c>
      <c r="AJ1113">
        <f ca="1"/>
      </c>
      <c r="AK1113">
        <f ca="1"/>
      </c>
      <c r="AL1113">
        <f ca="1"/>
      </c>
      <c r="AM1113">
        <f ca="1"/>
      </c>
      <c r="AN1113">
        <f ca="1"/>
      </c>
      <c r="AO1113">
        <f ca="1"/>
      </c>
      <c r="AP1113">
        <f ca="1"/>
      </c>
      <c r="AQ1113">
        <f ca="1"/>
      </c>
      <c r="AR1113">
        <f ca="1"/>
      </c>
      <c r="AT1113" s="7">
        <f ca="1"/>
      </c>
      <c r="AU1113">
        <f ca="1"/>
      </c>
      <c r="AV1113">
        <f ca="1"/>
      </c>
      <c r="AW1113">
        <f ca="1"/>
      </c>
      <c r="AX1113">
        <f ca="1"/>
      </c>
      <c r="AY1113">
        <f ca="1"/>
      </c>
      <c r="BA1113" s="7"/>
    </row>
    <row r="1114" spans="31:53" x14ac:dyDescent="0.55000000000000004">
      <c r="AE1114" s="7">
        <f ca="1"/>
      </c>
      <c r="AF1114">
        <f ca="1"/>
      </c>
      <c r="AG1114">
        <f ca="1"/>
      </c>
      <c r="AH1114">
        <f ca="1"/>
      </c>
      <c r="AI1114">
        <f ca="1"/>
      </c>
      <c r="AJ1114">
        <f ca="1"/>
      </c>
      <c r="AK1114">
        <f ca="1"/>
      </c>
      <c r="AL1114">
        <f ca="1"/>
      </c>
      <c r="AM1114">
        <f ca="1"/>
      </c>
      <c r="AN1114">
        <f ca="1"/>
      </c>
      <c r="AO1114">
        <f ca="1"/>
      </c>
      <c r="AP1114">
        <f ca="1"/>
      </c>
      <c r="AQ1114">
        <f ca="1"/>
      </c>
      <c r="AR1114">
        <f ca="1"/>
      </c>
      <c r="AT1114" s="7">
        <f ca="1"/>
      </c>
      <c r="AU1114">
        <f ca="1"/>
      </c>
      <c r="AV1114">
        <f ca="1"/>
      </c>
      <c r="AW1114">
        <f ca="1"/>
      </c>
      <c r="AX1114">
        <f ca="1"/>
      </c>
      <c r="AY1114">
        <f ca="1"/>
      </c>
      <c r="BA1114" s="7"/>
    </row>
    <row r="1115" spans="31:53" x14ac:dyDescent="0.55000000000000004">
      <c r="AE1115" s="7">
        <f ca="1"/>
      </c>
      <c r="AF1115">
        <f ca="1"/>
      </c>
      <c r="AG1115">
        <f ca="1"/>
      </c>
      <c r="AH1115">
        <f ca="1"/>
      </c>
      <c r="AI1115">
        <f ca="1"/>
      </c>
      <c r="AJ1115">
        <f ca="1"/>
      </c>
      <c r="AK1115">
        <f ca="1"/>
      </c>
      <c r="AL1115">
        <f ca="1"/>
      </c>
      <c r="AM1115">
        <f ca="1"/>
      </c>
      <c r="AN1115">
        <f ca="1"/>
      </c>
      <c r="AO1115">
        <f ca="1"/>
      </c>
      <c r="AP1115">
        <f ca="1"/>
      </c>
      <c r="AQ1115">
        <f ca="1"/>
      </c>
      <c r="AR1115">
        <f ca="1"/>
      </c>
      <c r="AT1115" s="7">
        <f ca="1"/>
      </c>
      <c r="AU1115">
        <f ca="1"/>
      </c>
      <c r="AV1115">
        <f ca="1"/>
      </c>
      <c r="AW1115">
        <f ca="1"/>
      </c>
      <c r="AX1115">
        <f ca="1"/>
      </c>
      <c r="AY1115">
        <f ca="1"/>
      </c>
      <c r="BA1115" s="7"/>
    </row>
    <row r="1116" spans="31:53" x14ac:dyDescent="0.55000000000000004">
      <c r="AE1116" s="7">
        <f ca="1"/>
      </c>
      <c r="AF1116">
        <f ca="1"/>
      </c>
      <c r="AG1116">
        <f ca="1"/>
      </c>
      <c r="AH1116">
        <f ca="1"/>
      </c>
      <c r="AI1116">
        <f ca="1"/>
      </c>
      <c r="AJ1116">
        <f ca="1"/>
      </c>
      <c r="AK1116">
        <f ca="1"/>
      </c>
      <c r="AL1116">
        <f ca="1"/>
      </c>
      <c r="AM1116">
        <f ca="1"/>
      </c>
      <c r="AN1116">
        <f ca="1"/>
      </c>
      <c r="AO1116">
        <f ca="1"/>
      </c>
      <c r="AP1116">
        <f ca="1"/>
      </c>
      <c r="AQ1116">
        <f ca="1"/>
      </c>
      <c r="AR1116">
        <f ca="1"/>
      </c>
      <c r="AT1116" s="7">
        <f ca="1"/>
      </c>
      <c r="AU1116">
        <f ca="1"/>
      </c>
      <c r="AV1116">
        <f ca="1"/>
      </c>
      <c r="AW1116">
        <f ca="1"/>
      </c>
      <c r="AX1116">
        <f ca="1"/>
      </c>
      <c r="AY1116">
        <f ca="1"/>
      </c>
      <c r="BA1116" s="7"/>
    </row>
    <row r="1117" spans="31:53" x14ac:dyDescent="0.55000000000000004">
      <c r="AE1117" s="7">
        <f ca="1"/>
      </c>
      <c r="AF1117">
        <f ca="1"/>
      </c>
      <c r="AG1117">
        <f ca="1"/>
      </c>
      <c r="AH1117">
        <f ca="1"/>
      </c>
      <c r="AI1117">
        <f ca="1"/>
      </c>
      <c r="AJ1117">
        <f ca="1"/>
      </c>
      <c r="AK1117">
        <f ca="1"/>
      </c>
      <c r="AL1117">
        <f ca="1"/>
      </c>
      <c r="AM1117">
        <f ca="1"/>
      </c>
      <c r="AN1117">
        <f ca="1"/>
      </c>
      <c r="AO1117">
        <f ca="1"/>
      </c>
      <c r="AP1117">
        <f ca="1"/>
      </c>
      <c r="AQ1117">
        <f ca="1"/>
      </c>
      <c r="AR1117">
        <f ca="1"/>
      </c>
      <c r="AT1117" s="7">
        <f ca="1"/>
      </c>
      <c r="AU1117">
        <f ca="1"/>
      </c>
      <c r="AV1117">
        <f ca="1"/>
      </c>
      <c r="AW1117">
        <f ca="1"/>
      </c>
      <c r="AX1117">
        <f ca="1"/>
      </c>
      <c r="AY1117">
        <f ca="1"/>
      </c>
      <c r="BA1117" s="7"/>
    </row>
    <row r="1118" spans="31:53" x14ac:dyDescent="0.55000000000000004">
      <c r="AE1118" s="7">
        <f ca="1"/>
      </c>
      <c r="AF1118">
        <f ca="1"/>
      </c>
      <c r="AG1118">
        <f ca="1"/>
      </c>
      <c r="AH1118">
        <f ca="1"/>
      </c>
      <c r="AI1118">
        <f ca="1"/>
      </c>
      <c r="AJ1118">
        <f ca="1"/>
      </c>
      <c r="AK1118">
        <f ca="1"/>
      </c>
      <c r="AL1118">
        <f ca="1"/>
      </c>
      <c r="AM1118">
        <f ca="1"/>
      </c>
      <c r="AN1118">
        <f ca="1"/>
      </c>
      <c r="AO1118">
        <f ca="1"/>
      </c>
      <c r="AP1118">
        <f ca="1"/>
      </c>
      <c r="AQ1118">
        <f ca="1"/>
      </c>
      <c r="AR1118">
        <f ca="1"/>
      </c>
      <c r="AT1118" s="7">
        <f ca="1"/>
      </c>
      <c r="AU1118">
        <f ca="1"/>
      </c>
      <c r="AV1118">
        <f ca="1"/>
      </c>
      <c r="AW1118">
        <f ca="1"/>
      </c>
      <c r="AX1118">
        <f ca="1"/>
      </c>
      <c r="AY1118">
        <f ca="1"/>
      </c>
      <c r="BA1118" s="7"/>
    </row>
    <row r="1119" spans="31:53" x14ac:dyDescent="0.55000000000000004">
      <c r="AE1119" s="7">
        <f ca="1"/>
      </c>
      <c r="AF1119">
        <f ca="1"/>
      </c>
      <c r="AG1119">
        <f ca="1"/>
      </c>
      <c r="AH1119">
        <f ca="1"/>
      </c>
      <c r="AI1119">
        <f ca="1"/>
      </c>
      <c r="AJ1119">
        <f ca="1"/>
      </c>
      <c r="AK1119">
        <f ca="1"/>
      </c>
      <c r="AL1119">
        <f ca="1"/>
      </c>
      <c r="AM1119">
        <f ca="1"/>
      </c>
      <c r="AN1119">
        <f ca="1"/>
      </c>
      <c r="AO1119">
        <f ca="1"/>
      </c>
      <c r="AP1119">
        <f ca="1"/>
      </c>
      <c r="AQ1119">
        <f ca="1"/>
      </c>
      <c r="AR1119">
        <f ca="1"/>
      </c>
      <c r="AT1119" s="7">
        <f ca="1"/>
      </c>
      <c r="AU1119">
        <f ca="1"/>
      </c>
      <c r="AV1119">
        <f ca="1"/>
      </c>
      <c r="AW1119">
        <f ca="1"/>
      </c>
      <c r="AX1119">
        <f ca="1"/>
      </c>
      <c r="AY1119">
        <f ca="1"/>
      </c>
      <c r="BA1119" s="7"/>
    </row>
    <row r="1120" spans="31:53" x14ac:dyDescent="0.55000000000000004">
      <c r="AE1120" s="7">
        <f ca="1"/>
      </c>
      <c r="AF1120">
        <f ca="1"/>
      </c>
      <c r="AG1120">
        <f ca="1"/>
      </c>
      <c r="AH1120">
        <f ca="1"/>
      </c>
      <c r="AI1120">
        <f ca="1"/>
      </c>
      <c r="AJ1120">
        <f ca="1"/>
      </c>
      <c r="AK1120">
        <f ca="1"/>
      </c>
      <c r="AL1120">
        <f ca="1"/>
      </c>
      <c r="AM1120">
        <f ca="1"/>
      </c>
      <c r="AN1120">
        <f ca="1"/>
      </c>
      <c r="AO1120">
        <f ca="1"/>
      </c>
      <c r="AP1120">
        <f ca="1"/>
      </c>
      <c r="AQ1120">
        <f ca="1"/>
      </c>
      <c r="AR1120">
        <f ca="1"/>
      </c>
      <c r="AT1120" s="7">
        <f ca="1"/>
      </c>
      <c r="AU1120">
        <f ca="1"/>
      </c>
      <c r="AV1120">
        <f ca="1"/>
      </c>
      <c r="AW1120">
        <f ca="1"/>
      </c>
      <c r="AX1120">
        <f ca="1"/>
      </c>
      <c r="AY1120">
        <f ca="1"/>
      </c>
      <c r="BA1120" s="7"/>
    </row>
    <row r="1121" spans="31:53" x14ac:dyDescent="0.55000000000000004">
      <c r="AE1121" s="7">
        <f ca="1"/>
      </c>
      <c r="AF1121">
        <f ca="1"/>
      </c>
      <c r="AG1121">
        <f ca="1"/>
      </c>
      <c r="AH1121">
        <f ca="1"/>
      </c>
      <c r="AI1121">
        <f ca="1"/>
      </c>
      <c r="AJ1121">
        <f ca="1"/>
      </c>
      <c r="AK1121">
        <f ca="1"/>
      </c>
      <c r="AL1121">
        <f ca="1"/>
      </c>
      <c r="AM1121">
        <f ca="1"/>
      </c>
      <c r="AN1121">
        <f ca="1"/>
      </c>
      <c r="AO1121">
        <f ca="1"/>
      </c>
      <c r="AP1121">
        <f ca="1"/>
      </c>
      <c r="AQ1121">
        <f ca="1"/>
      </c>
      <c r="AR1121">
        <f ca="1"/>
      </c>
      <c r="AT1121" s="7">
        <f ca="1"/>
      </c>
      <c r="AU1121">
        <f ca="1"/>
      </c>
      <c r="AV1121">
        <f ca="1"/>
      </c>
      <c r="AW1121">
        <f ca="1"/>
      </c>
      <c r="AX1121">
        <f ca="1"/>
      </c>
      <c r="AY1121">
        <f ca="1"/>
      </c>
      <c r="BA1121" s="7"/>
    </row>
    <row r="1122" spans="31:53" x14ac:dyDescent="0.55000000000000004">
      <c r="AE1122" s="7">
        <f ca="1"/>
      </c>
      <c r="AF1122">
        <f ca="1"/>
      </c>
      <c r="AG1122">
        <f ca="1"/>
      </c>
      <c r="AH1122">
        <f ca="1"/>
      </c>
      <c r="AI1122">
        <f ca="1"/>
      </c>
      <c r="AJ1122">
        <f ca="1"/>
      </c>
      <c r="AK1122">
        <f ca="1"/>
      </c>
      <c r="AL1122">
        <f ca="1"/>
      </c>
      <c r="AM1122">
        <f ca="1"/>
      </c>
      <c r="AN1122">
        <f ca="1"/>
      </c>
      <c r="AO1122">
        <f ca="1"/>
      </c>
      <c r="AP1122">
        <f ca="1"/>
      </c>
      <c r="AQ1122">
        <f ca="1"/>
      </c>
      <c r="AR1122">
        <f ca="1"/>
      </c>
      <c r="AT1122" s="7">
        <f ca="1"/>
      </c>
      <c r="AU1122">
        <f ca="1"/>
      </c>
      <c r="AV1122">
        <f ca="1"/>
      </c>
      <c r="AW1122">
        <f ca="1"/>
      </c>
      <c r="AX1122">
        <f ca="1"/>
      </c>
      <c r="AY1122">
        <f ca="1"/>
      </c>
      <c r="BA1122" s="7"/>
    </row>
    <row r="1123" spans="31:53" x14ac:dyDescent="0.55000000000000004">
      <c r="AE1123" s="7">
        <f ca="1"/>
      </c>
      <c r="AF1123">
        <f ca="1"/>
      </c>
      <c r="AG1123">
        <f ca="1"/>
      </c>
      <c r="AH1123">
        <f ca="1"/>
      </c>
      <c r="AI1123">
        <f ca="1"/>
      </c>
      <c r="AJ1123">
        <f ca="1"/>
      </c>
      <c r="AK1123">
        <f ca="1"/>
      </c>
      <c r="AL1123">
        <f ca="1"/>
      </c>
      <c r="AM1123">
        <f ca="1"/>
      </c>
      <c r="AN1123">
        <f ca="1"/>
      </c>
      <c r="AO1123">
        <f ca="1"/>
      </c>
      <c r="AP1123">
        <f ca="1"/>
      </c>
      <c r="AQ1123">
        <f ca="1"/>
      </c>
      <c r="AR1123">
        <f ca="1"/>
      </c>
      <c r="AT1123" s="7">
        <f ca="1"/>
      </c>
      <c r="AU1123">
        <f ca="1"/>
      </c>
      <c r="AV1123">
        <f ca="1"/>
      </c>
      <c r="AW1123">
        <f ca="1"/>
      </c>
      <c r="AX1123">
        <f ca="1"/>
      </c>
      <c r="AY1123">
        <f ca="1"/>
      </c>
      <c r="BA1123" s="7"/>
    </row>
    <row r="1124" spans="31:53" x14ac:dyDescent="0.55000000000000004">
      <c r="AE1124" s="7">
        <f ca="1"/>
      </c>
      <c r="AF1124">
        <f ca="1"/>
      </c>
      <c r="AG1124">
        <f ca="1"/>
      </c>
      <c r="AH1124">
        <f ca="1"/>
      </c>
      <c r="AI1124">
        <f ca="1"/>
      </c>
      <c r="AJ1124">
        <f ca="1"/>
      </c>
      <c r="AK1124">
        <f ca="1"/>
      </c>
      <c r="AL1124">
        <f ca="1"/>
      </c>
      <c r="AM1124">
        <f ca="1"/>
      </c>
      <c r="AN1124">
        <f ca="1"/>
      </c>
      <c r="AO1124">
        <f ca="1"/>
      </c>
      <c r="AP1124">
        <f ca="1"/>
      </c>
      <c r="AQ1124">
        <f ca="1"/>
      </c>
      <c r="AR1124">
        <f ca="1"/>
      </c>
      <c r="AT1124" s="7">
        <f ca="1"/>
      </c>
      <c r="AU1124">
        <f ca="1"/>
      </c>
      <c r="AV1124">
        <f ca="1"/>
      </c>
      <c r="AW1124">
        <f ca="1"/>
      </c>
      <c r="AX1124">
        <f ca="1"/>
      </c>
      <c r="AY1124">
        <f ca="1"/>
      </c>
      <c r="BA1124" s="7"/>
    </row>
    <row r="1125" spans="31:53" x14ac:dyDescent="0.55000000000000004">
      <c r="AE1125" s="7">
        <f ca="1"/>
      </c>
      <c r="AF1125">
        <f ca="1"/>
      </c>
      <c r="AG1125">
        <f ca="1"/>
      </c>
      <c r="AH1125">
        <f ca="1"/>
      </c>
      <c r="AI1125">
        <f ca="1"/>
      </c>
      <c r="AJ1125">
        <f ca="1"/>
      </c>
      <c r="AK1125">
        <f ca="1"/>
      </c>
      <c r="AL1125">
        <f ca="1"/>
      </c>
      <c r="AM1125">
        <f ca="1"/>
      </c>
      <c r="AN1125">
        <f ca="1"/>
      </c>
      <c r="AO1125">
        <f ca="1"/>
      </c>
      <c r="AP1125">
        <f ca="1"/>
      </c>
      <c r="AQ1125">
        <f ca="1"/>
      </c>
      <c r="AR1125">
        <f ca="1"/>
      </c>
      <c r="AT1125" s="7">
        <f ca="1"/>
      </c>
      <c r="AU1125">
        <f ca="1"/>
      </c>
      <c r="AV1125">
        <f ca="1"/>
      </c>
      <c r="AW1125">
        <f ca="1"/>
      </c>
      <c r="AX1125">
        <f ca="1"/>
      </c>
      <c r="AY1125">
        <f ca="1"/>
      </c>
      <c r="BA1125" s="7"/>
    </row>
    <row r="1126" spans="31:53" x14ac:dyDescent="0.55000000000000004">
      <c r="AE1126" s="7">
        <f ca="1"/>
      </c>
      <c r="AF1126">
        <f ca="1"/>
      </c>
      <c r="AG1126">
        <f ca="1"/>
      </c>
      <c r="AH1126">
        <f ca="1"/>
      </c>
      <c r="AI1126">
        <f ca="1"/>
      </c>
      <c r="AJ1126">
        <f ca="1"/>
      </c>
      <c r="AK1126">
        <f ca="1"/>
      </c>
      <c r="AL1126">
        <f ca="1"/>
      </c>
      <c r="AM1126">
        <f ca="1"/>
      </c>
      <c r="AN1126">
        <f ca="1"/>
      </c>
      <c r="AO1126">
        <f ca="1"/>
      </c>
      <c r="AP1126">
        <f ca="1"/>
      </c>
      <c r="AQ1126">
        <f ca="1"/>
      </c>
      <c r="AR1126">
        <f ca="1"/>
      </c>
      <c r="AT1126" s="7">
        <f ca="1"/>
      </c>
      <c r="AU1126">
        <f ca="1"/>
      </c>
      <c r="AV1126">
        <f ca="1"/>
      </c>
      <c r="AW1126">
        <f ca="1"/>
      </c>
      <c r="AX1126">
        <f ca="1"/>
      </c>
      <c r="AY1126">
        <f ca="1"/>
      </c>
      <c r="BA1126" s="7"/>
    </row>
    <row r="1127" spans="31:53" x14ac:dyDescent="0.55000000000000004">
      <c r="AE1127" s="7">
        <f ca="1"/>
      </c>
      <c r="AF1127">
        <f ca="1"/>
      </c>
      <c r="AG1127">
        <f ca="1"/>
      </c>
      <c r="AH1127">
        <f ca="1"/>
      </c>
      <c r="AI1127">
        <f ca="1"/>
      </c>
      <c r="AJ1127">
        <f ca="1"/>
      </c>
      <c r="AK1127">
        <f ca="1"/>
      </c>
      <c r="AL1127">
        <f ca="1"/>
      </c>
      <c r="AM1127">
        <f ca="1"/>
      </c>
      <c r="AN1127">
        <f ca="1"/>
      </c>
      <c r="AO1127">
        <f ca="1"/>
      </c>
      <c r="AP1127">
        <f ca="1"/>
      </c>
      <c r="AQ1127">
        <f ca="1"/>
      </c>
      <c r="AR1127">
        <f ca="1"/>
      </c>
      <c r="AT1127" s="7">
        <f ca="1"/>
      </c>
      <c r="AU1127">
        <f ca="1"/>
      </c>
      <c r="AV1127">
        <f ca="1"/>
      </c>
      <c r="AW1127">
        <f ca="1"/>
      </c>
      <c r="AX1127">
        <f ca="1"/>
      </c>
      <c r="AY1127">
        <f ca="1"/>
      </c>
      <c r="BA1127" s="7"/>
    </row>
    <row r="1128" spans="31:53" x14ac:dyDescent="0.55000000000000004">
      <c r="AE1128" s="7">
        <f ca="1"/>
      </c>
      <c r="AF1128">
        <f ca="1"/>
      </c>
      <c r="AG1128">
        <f ca="1"/>
      </c>
      <c r="AH1128">
        <f ca="1"/>
      </c>
      <c r="AI1128">
        <f ca="1"/>
      </c>
      <c r="AJ1128">
        <f ca="1"/>
      </c>
      <c r="AK1128">
        <f ca="1"/>
      </c>
      <c r="AL1128">
        <f ca="1"/>
      </c>
      <c r="AM1128">
        <f ca="1"/>
      </c>
      <c r="AN1128">
        <f ca="1"/>
      </c>
      <c r="AO1128">
        <f ca="1"/>
      </c>
      <c r="AP1128">
        <f ca="1"/>
      </c>
      <c r="AQ1128">
        <f ca="1"/>
      </c>
      <c r="AR1128">
        <f ca="1"/>
      </c>
      <c r="AT1128" s="7">
        <f ca="1"/>
      </c>
      <c r="AU1128">
        <f ca="1"/>
      </c>
      <c r="AV1128">
        <f ca="1"/>
      </c>
      <c r="AW1128">
        <f ca="1"/>
      </c>
      <c r="AX1128">
        <f ca="1"/>
      </c>
      <c r="AY1128">
        <f ca="1"/>
      </c>
      <c r="BA1128" s="7"/>
    </row>
    <row r="1129" spans="31:53" x14ac:dyDescent="0.55000000000000004">
      <c r="AE1129" s="7">
        <f ca="1"/>
      </c>
      <c r="AF1129">
        <f ca="1"/>
      </c>
      <c r="AG1129">
        <f ca="1"/>
      </c>
      <c r="AH1129">
        <f ca="1"/>
      </c>
      <c r="AI1129">
        <f ca="1"/>
      </c>
      <c r="AJ1129">
        <f ca="1"/>
      </c>
      <c r="AK1129">
        <f ca="1"/>
      </c>
      <c r="AL1129">
        <f ca="1"/>
      </c>
      <c r="AM1129">
        <f ca="1"/>
      </c>
      <c r="AN1129">
        <f ca="1"/>
      </c>
      <c r="AO1129">
        <f ca="1"/>
      </c>
      <c r="AP1129">
        <f ca="1"/>
      </c>
      <c r="AQ1129">
        <f ca="1"/>
      </c>
      <c r="AR1129">
        <f ca="1"/>
      </c>
      <c r="AT1129" s="7">
        <f ca="1"/>
      </c>
      <c r="AU1129">
        <f ca="1"/>
      </c>
      <c r="AV1129">
        <f ca="1"/>
      </c>
      <c r="AW1129">
        <f ca="1"/>
      </c>
      <c r="AX1129">
        <f ca="1"/>
      </c>
      <c r="AY1129">
        <f ca="1"/>
      </c>
      <c r="BA1129" s="7"/>
    </row>
    <row r="1130" spans="31:53" x14ac:dyDescent="0.55000000000000004">
      <c r="AE1130" s="7">
        <f ca="1"/>
      </c>
      <c r="AF1130">
        <f ca="1"/>
      </c>
      <c r="AG1130">
        <f ca="1"/>
      </c>
      <c r="AH1130">
        <f ca="1"/>
      </c>
      <c r="AI1130">
        <f ca="1"/>
      </c>
      <c r="AJ1130">
        <f ca="1"/>
      </c>
      <c r="AK1130">
        <f ca="1"/>
      </c>
      <c r="AL1130">
        <f ca="1"/>
      </c>
      <c r="AM1130">
        <f ca="1"/>
      </c>
      <c r="AN1130">
        <f ca="1"/>
      </c>
      <c r="AO1130">
        <f ca="1"/>
      </c>
      <c r="AP1130">
        <f ca="1"/>
      </c>
      <c r="AQ1130">
        <f ca="1"/>
      </c>
      <c r="AR1130">
        <f ca="1"/>
      </c>
      <c r="AT1130" s="7">
        <f ca="1"/>
      </c>
      <c r="AU1130">
        <f ca="1"/>
      </c>
      <c r="AV1130">
        <f ca="1"/>
      </c>
      <c r="AW1130">
        <f ca="1"/>
      </c>
      <c r="AX1130">
        <f ca="1"/>
      </c>
      <c r="AY1130">
        <f ca="1"/>
      </c>
      <c r="BA1130" s="7"/>
    </row>
    <row r="1131" spans="31:53" x14ac:dyDescent="0.55000000000000004">
      <c r="AE1131" s="7">
        <f ca="1"/>
      </c>
      <c r="AF1131">
        <f ca="1"/>
      </c>
      <c r="AG1131">
        <f ca="1"/>
      </c>
      <c r="AH1131">
        <f ca="1"/>
      </c>
      <c r="AI1131">
        <f ca="1"/>
      </c>
      <c r="AJ1131">
        <f ca="1"/>
      </c>
      <c r="AK1131">
        <f ca="1"/>
      </c>
      <c r="AL1131">
        <f ca="1"/>
      </c>
      <c r="AM1131">
        <f ca="1"/>
      </c>
      <c r="AN1131">
        <f ca="1"/>
      </c>
      <c r="AO1131">
        <f ca="1"/>
      </c>
      <c r="AP1131">
        <f ca="1"/>
      </c>
      <c r="AQ1131">
        <f ca="1"/>
      </c>
      <c r="AR1131">
        <f ca="1"/>
      </c>
      <c r="AT1131" s="7">
        <f ca="1"/>
      </c>
      <c r="AU1131">
        <f ca="1"/>
      </c>
      <c r="AV1131">
        <f ca="1"/>
      </c>
      <c r="AW1131">
        <f ca="1"/>
      </c>
      <c r="AX1131">
        <f ca="1"/>
      </c>
      <c r="AY1131">
        <f ca="1"/>
      </c>
      <c r="BA1131" s="7"/>
    </row>
    <row r="1132" spans="31:53" x14ac:dyDescent="0.55000000000000004">
      <c r="AE1132" s="7">
        <f ca="1"/>
      </c>
      <c r="AF1132">
        <f ca="1"/>
      </c>
      <c r="AG1132">
        <f ca="1"/>
      </c>
      <c r="AH1132">
        <f ca="1"/>
      </c>
      <c r="AI1132">
        <f ca="1"/>
      </c>
      <c r="AJ1132">
        <f ca="1"/>
      </c>
      <c r="AK1132">
        <f ca="1"/>
      </c>
      <c r="AL1132">
        <f ca="1"/>
      </c>
      <c r="AM1132">
        <f ca="1"/>
      </c>
      <c r="AN1132">
        <f ca="1"/>
      </c>
      <c r="AO1132">
        <f ca="1"/>
      </c>
      <c r="AP1132">
        <f ca="1"/>
      </c>
      <c r="AQ1132">
        <f ca="1"/>
      </c>
      <c r="AR1132">
        <f ca="1"/>
      </c>
      <c r="AT1132" s="7">
        <f ca="1"/>
      </c>
      <c r="AU1132">
        <f ca="1"/>
      </c>
      <c r="AV1132">
        <f ca="1"/>
      </c>
      <c r="AW1132">
        <f ca="1"/>
      </c>
      <c r="AX1132">
        <f ca="1"/>
      </c>
      <c r="AY1132">
        <f ca="1"/>
      </c>
      <c r="BA1132" s="7"/>
    </row>
    <row r="1133" spans="31:53" x14ac:dyDescent="0.55000000000000004">
      <c r="AE1133" s="7">
        <f ca="1"/>
      </c>
      <c r="AF1133">
        <f ca="1"/>
      </c>
      <c r="AG1133">
        <f ca="1"/>
      </c>
      <c r="AH1133">
        <f ca="1"/>
      </c>
      <c r="AI1133">
        <f ca="1"/>
      </c>
      <c r="AJ1133">
        <f ca="1"/>
      </c>
      <c r="AK1133">
        <f ca="1"/>
      </c>
      <c r="AL1133">
        <f ca="1"/>
      </c>
      <c r="AM1133">
        <f ca="1"/>
      </c>
      <c r="AN1133">
        <f ca="1"/>
      </c>
      <c r="AO1133">
        <f ca="1"/>
      </c>
      <c r="AP1133">
        <f ca="1"/>
      </c>
      <c r="AQ1133">
        <f ca="1"/>
      </c>
      <c r="AR1133">
        <f ca="1"/>
      </c>
      <c r="AT1133" s="7">
        <f ca="1"/>
      </c>
      <c r="AU1133">
        <f ca="1"/>
      </c>
      <c r="AV1133">
        <f ca="1"/>
      </c>
      <c r="AW1133">
        <f ca="1"/>
      </c>
      <c r="AX1133">
        <f ca="1"/>
      </c>
      <c r="AY1133">
        <f ca="1"/>
      </c>
      <c r="BA1133" s="7"/>
    </row>
    <row r="1134" spans="31:53" x14ac:dyDescent="0.55000000000000004">
      <c r="AE1134" s="7">
        <f ca="1"/>
      </c>
      <c r="AF1134">
        <f ca="1"/>
      </c>
      <c r="AG1134">
        <f ca="1"/>
      </c>
      <c r="AH1134">
        <f ca="1"/>
      </c>
      <c r="AI1134">
        <f ca="1"/>
      </c>
      <c r="AJ1134">
        <f ca="1"/>
      </c>
      <c r="AK1134">
        <f ca="1"/>
      </c>
      <c r="AL1134">
        <f ca="1"/>
      </c>
      <c r="AM1134">
        <f ca="1"/>
      </c>
      <c r="AN1134">
        <f ca="1"/>
      </c>
      <c r="AO1134">
        <f ca="1"/>
      </c>
      <c r="AP1134">
        <f ca="1"/>
      </c>
      <c r="AQ1134">
        <f ca="1"/>
      </c>
      <c r="AR1134">
        <f ca="1"/>
      </c>
      <c r="AT1134" s="7">
        <f ca="1"/>
      </c>
      <c r="AU1134">
        <f ca="1"/>
      </c>
      <c r="AV1134">
        <f ca="1"/>
      </c>
      <c r="AW1134">
        <f ca="1"/>
      </c>
      <c r="AX1134">
        <f ca="1"/>
      </c>
      <c r="AY1134">
        <f ca="1"/>
      </c>
      <c r="BA1134" s="7"/>
    </row>
    <row r="1135" spans="31:53" x14ac:dyDescent="0.55000000000000004">
      <c r="AE1135" s="7">
        <f ca="1"/>
      </c>
      <c r="AF1135">
        <f ca="1"/>
      </c>
      <c r="AG1135">
        <f ca="1"/>
      </c>
      <c r="AH1135">
        <f ca="1"/>
      </c>
      <c r="AI1135">
        <f ca="1"/>
      </c>
      <c r="AJ1135">
        <f ca="1"/>
      </c>
      <c r="AK1135">
        <f ca="1"/>
      </c>
      <c r="AL1135">
        <f ca="1"/>
      </c>
      <c r="AM1135">
        <f ca="1"/>
      </c>
      <c r="AN1135">
        <f ca="1"/>
      </c>
      <c r="AO1135">
        <f ca="1"/>
      </c>
      <c r="AP1135">
        <f ca="1"/>
      </c>
      <c r="AQ1135">
        <f ca="1"/>
      </c>
      <c r="AR1135">
        <f ca="1"/>
      </c>
      <c r="AT1135" s="7">
        <f ca="1"/>
      </c>
      <c r="AU1135">
        <f ca="1"/>
      </c>
      <c r="AV1135">
        <f ca="1"/>
      </c>
      <c r="AW1135">
        <f ca="1"/>
      </c>
      <c r="AX1135">
        <f ca="1"/>
      </c>
      <c r="AY1135">
        <f ca="1"/>
      </c>
      <c r="BA1135" s="7"/>
    </row>
    <row r="1136" spans="31:53" x14ac:dyDescent="0.55000000000000004">
      <c r="AE1136" s="7">
        <f ca="1"/>
      </c>
      <c r="AF1136">
        <f ca="1"/>
      </c>
      <c r="AG1136">
        <f ca="1"/>
      </c>
      <c r="AH1136">
        <f ca="1"/>
      </c>
      <c r="AI1136">
        <f ca="1"/>
      </c>
      <c r="AJ1136">
        <f ca="1"/>
      </c>
      <c r="AK1136">
        <f ca="1"/>
      </c>
      <c r="AL1136">
        <f ca="1"/>
      </c>
      <c r="AM1136">
        <f ca="1"/>
      </c>
      <c r="AN1136">
        <f ca="1"/>
      </c>
      <c r="AO1136">
        <f ca="1"/>
      </c>
      <c r="AP1136">
        <f ca="1"/>
      </c>
      <c r="AQ1136">
        <f ca="1"/>
      </c>
      <c r="AR1136">
        <f ca="1"/>
      </c>
      <c r="AT1136" s="7">
        <f ca="1"/>
      </c>
      <c r="AU1136">
        <f ca="1"/>
      </c>
      <c r="AV1136">
        <f ca="1"/>
      </c>
      <c r="AW1136">
        <f ca="1"/>
      </c>
      <c r="AX1136">
        <f ca="1"/>
      </c>
      <c r="AY1136">
        <f ca="1"/>
      </c>
      <c r="BA1136" s="7"/>
    </row>
    <row r="1137" spans="31:53" x14ac:dyDescent="0.55000000000000004">
      <c r="AE1137" s="7">
        <f ca="1"/>
      </c>
      <c r="AF1137">
        <f ca="1"/>
      </c>
      <c r="AG1137">
        <f ca="1"/>
      </c>
      <c r="AH1137">
        <f ca="1"/>
      </c>
      <c r="AI1137">
        <f ca="1"/>
      </c>
      <c r="AJ1137">
        <f ca="1"/>
      </c>
      <c r="AK1137">
        <f ca="1"/>
      </c>
      <c r="AL1137">
        <f ca="1"/>
      </c>
      <c r="AM1137">
        <f ca="1"/>
      </c>
      <c r="AN1137">
        <f ca="1"/>
      </c>
      <c r="AO1137">
        <f ca="1"/>
      </c>
      <c r="AP1137">
        <f ca="1"/>
      </c>
      <c r="AQ1137">
        <f ca="1"/>
      </c>
      <c r="AR1137">
        <f ca="1"/>
      </c>
      <c r="AT1137" s="7">
        <f ca="1"/>
      </c>
      <c r="AU1137">
        <f ca="1"/>
      </c>
      <c r="AV1137">
        <f ca="1"/>
      </c>
      <c r="AW1137">
        <f ca="1"/>
      </c>
      <c r="AX1137">
        <f ca="1"/>
      </c>
      <c r="AY1137">
        <f ca="1"/>
      </c>
      <c r="BA1137" s="7"/>
    </row>
    <row r="1138" spans="31:53" x14ac:dyDescent="0.55000000000000004">
      <c r="AE1138" s="7">
        <f ca="1"/>
      </c>
      <c r="AF1138">
        <f ca="1"/>
      </c>
      <c r="AG1138">
        <f ca="1"/>
      </c>
      <c r="AH1138">
        <f ca="1"/>
      </c>
      <c r="AI1138">
        <f ca="1"/>
      </c>
      <c r="AJ1138">
        <f ca="1"/>
      </c>
      <c r="AK1138">
        <f ca="1"/>
      </c>
      <c r="AL1138">
        <f ca="1"/>
      </c>
      <c r="AM1138">
        <f ca="1"/>
      </c>
      <c r="AN1138">
        <f ca="1"/>
      </c>
      <c r="AO1138">
        <f ca="1"/>
      </c>
      <c r="AP1138">
        <f ca="1"/>
      </c>
      <c r="AQ1138">
        <f ca="1"/>
      </c>
      <c r="AR1138">
        <f ca="1"/>
      </c>
      <c r="AT1138" s="7">
        <f ca="1"/>
      </c>
      <c r="AU1138">
        <f ca="1"/>
      </c>
      <c r="AV1138">
        <f ca="1"/>
      </c>
      <c r="AW1138">
        <f ca="1"/>
      </c>
      <c r="AX1138">
        <f ca="1"/>
      </c>
      <c r="AY1138">
        <f ca="1"/>
      </c>
      <c r="BA1138" s="7"/>
    </row>
    <row r="1139" spans="31:53" x14ac:dyDescent="0.55000000000000004">
      <c r="AE1139" s="7">
        <f ca="1"/>
      </c>
      <c r="AF1139">
        <f ca="1"/>
      </c>
      <c r="AG1139">
        <f ca="1"/>
      </c>
      <c r="AH1139">
        <f ca="1"/>
      </c>
      <c r="AI1139">
        <f ca="1"/>
      </c>
      <c r="AJ1139">
        <f ca="1"/>
      </c>
      <c r="AK1139">
        <f ca="1"/>
      </c>
      <c r="AL1139">
        <f ca="1"/>
      </c>
      <c r="AM1139">
        <f ca="1"/>
      </c>
      <c r="AN1139">
        <f ca="1"/>
      </c>
      <c r="AO1139">
        <f ca="1"/>
      </c>
      <c r="AP1139">
        <f ca="1"/>
      </c>
      <c r="AQ1139">
        <f ca="1"/>
      </c>
      <c r="AR1139">
        <f ca="1"/>
      </c>
      <c r="AT1139" s="7">
        <f ca="1"/>
      </c>
      <c r="AU1139">
        <f ca="1"/>
      </c>
      <c r="AV1139">
        <f ca="1"/>
      </c>
      <c r="AW1139">
        <f ca="1"/>
      </c>
      <c r="AX1139">
        <f ca="1"/>
      </c>
      <c r="AY1139">
        <f ca="1"/>
      </c>
      <c r="BA1139" s="7"/>
    </row>
    <row r="1140" spans="31:53" x14ac:dyDescent="0.55000000000000004">
      <c r="AE1140" s="7">
        <f ca="1"/>
      </c>
      <c r="AF1140">
        <f ca="1"/>
      </c>
      <c r="AG1140">
        <f ca="1"/>
      </c>
      <c r="AH1140">
        <f ca="1"/>
      </c>
      <c r="AI1140">
        <f ca="1"/>
      </c>
      <c r="AJ1140">
        <f ca="1"/>
      </c>
      <c r="AK1140">
        <f ca="1"/>
      </c>
      <c r="AL1140">
        <f ca="1"/>
      </c>
      <c r="AM1140">
        <f ca="1"/>
      </c>
      <c r="AN1140">
        <f ca="1"/>
      </c>
      <c r="AO1140">
        <f ca="1"/>
      </c>
      <c r="AP1140">
        <f ca="1"/>
      </c>
      <c r="AQ1140">
        <f ca="1"/>
      </c>
      <c r="AR1140">
        <f ca="1"/>
      </c>
      <c r="AT1140" s="7">
        <f ca="1"/>
      </c>
      <c r="AU1140">
        <f ca="1"/>
      </c>
      <c r="AV1140">
        <f ca="1"/>
      </c>
      <c r="AW1140">
        <f ca="1"/>
      </c>
      <c r="AX1140">
        <f ca="1"/>
      </c>
      <c r="AY1140">
        <f ca="1"/>
      </c>
      <c r="BA1140" s="7"/>
    </row>
    <row r="1141" spans="31:53" x14ac:dyDescent="0.55000000000000004">
      <c r="AE1141" s="7">
        <f ca="1"/>
      </c>
      <c r="AF1141">
        <f ca="1"/>
      </c>
      <c r="AG1141">
        <f ca="1"/>
      </c>
      <c r="AH1141">
        <f ca="1"/>
      </c>
      <c r="AI1141">
        <f ca="1"/>
      </c>
      <c r="AJ1141">
        <f ca="1"/>
      </c>
      <c r="AK1141">
        <f ca="1"/>
      </c>
      <c r="AL1141">
        <f ca="1"/>
      </c>
      <c r="AM1141">
        <f ca="1"/>
      </c>
      <c r="AN1141">
        <f ca="1"/>
      </c>
      <c r="AO1141">
        <f ca="1"/>
      </c>
      <c r="AP1141">
        <f ca="1"/>
      </c>
      <c r="AQ1141">
        <f ca="1"/>
      </c>
      <c r="AR1141">
        <f ca="1"/>
      </c>
      <c r="AT1141" s="7">
        <f ca="1"/>
      </c>
      <c r="AU1141">
        <f ca="1"/>
      </c>
      <c r="AV1141">
        <f ca="1"/>
      </c>
      <c r="AW1141">
        <f ca="1"/>
      </c>
      <c r="AX1141">
        <f ca="1"/>
      </c>
      <c r="AY1141">
        <f ca="1"/>
      </c>
      <c r="BA1141" s="7"/>
    </row>
    <row r="1142" spans="31:53" x14ac:dyDescent="0.55000000000000004">
      <c r="AE1142" s="7">
        <f ca="1"/>
      </c>
      <c r="AF1142">
        <f ca="1"/>
      </c>
      <c r="AG1142">
        <f ca="1"/>
      </c>
      <c r="AH1142">
        <f ca="1"/>
      </c>
      <c r="AI1142">
        <f ca="1"/>
      </c>
      <c r="AJ1142">
        <f ca="1"/>
      </c>
      <c r="AK1142">
        <f ca="1"/>
      </c>
      <c r="AL1142">
        <f ca="1"/>
      </c>
      <c r="AM1142">
        <f ca="1"/>
      </c>
      <c r="AN1142">
        <f ca="1"/>
      </c>
      <c r="AO1142">
        <f ca="1"/>
      </c>
      <c r="AP1142">
        <f ca="1"/>
      </c>
      <c r="AQ1142">
        <f ca="1"/>
      </c>
      <c r="AR1142">
        <f ca="1"/>
      </c>
      <c r="AT1142" s="7">
        <f ca="1"/>
      </c>
      <c r="AU1142">
        <f ca="1"/>
      </c>
      <c r="AV1142">
        <f ca="1"/>
      </c>
      <c r="AW1142">
        <f ca="1"/>
      </c>
      <c r="AX1142">
        <f ca="1"/>
      </c>
      <c r="AY1142">
        <f ca="1"/>
      </c>
      <c r="BA1142" s="7"/>
    </row>
    <row r="1143" spans="31:53" x14ac:dyDescent="0.55000000000000004">
      <c r="AE1143" s="7">
        <f ca="1"/>
      </c>
      <c r="AF1143">
        <f ca="1"/>
      </c>
      <c r="AG1143">
        <f ca="1"/>
      </c>
      <c r="AH1143">
        <f ca="1"/>
      </c>
      <c r="AI1143">
        <f ca="1"/>
      </c>
      <c r="AJ1143">
        <f ca="1"/>
      </c>
      <c r="AK1143">
        <f ca="1"/>
      </c>
      <c r="AL1143">
        <f ca="1"/>
      </c>
      <c r="AM1143">
        <f ca="1"/>
      </c>
      <c r="AN1143">
        <f ca="1"/>
      </c>
      <c r="AO1143">
        <f ca="1"/>
      </c>
      <c r="AP1143">
        <f ca="1"/>
      </c>
      <c r="AQ1143">
        <f ca="1"/>
      </c>
      <c r="AR1143">
        <f ca="1"/>
      </c>
      <c r="AT1143" s="7">
        <f ca="1"/>
      </c>
      <c r="AU1143">
        <f ca="1"/>
      </c>
      <c r="AV1143">
        <f ca="1"/>
      </c>
      <c r="AW1143">
        <f ca="1"/>
      </c>
      <c r="AX1143">
        <f ca="1"/>
      </c>
      <c r="AY1143">
        <f ca="1"/>
      </c>
      <c r="BA1143" s="7"/>
    </row>
    <row r="1144" spans="31:53" x14ac:dyDescent="0.55000000000000004">
      <c r="AE1144" s="7">
        <f ca="1"/>
      </c>
      <c r="AF1144">
        <f ca="1"/>
      </c>
      <c r="AG1144">
        <f ca="1"/>
      </c>
      <c r="AH1144">
        <f ca="1"/>
      </c>
      <c r="AI1144">
        <f ca="1"/>
      </c>
      <c r="AJ1144">
        <f ca="1"/>
      </c>
      <c r="AK1144">
        <f ca="1"/>
      </c>
      <c r="AL1144">
        <f ca="1"/>
      </c>
      <c r="AM1144">
        <f ca="1"/>
      </c>
      <c r="AN1144">
        <f ca="1"/>
      </c>
      <c r="AO1144">
        <f ca="1"/>
      </c>
      <c r="AP1144">
        <f ca="1"/>
      </c>
      <c r="AQ1144">
        <f ca="1"/>
      </c>
      <c r="AR1144">
        <f ca="1"/>
      </c>
      <c r="AT1144" s="7">
        <f ca="1"/>
      </c>
      <c r="AU1144">
        <f ca="1"/>
      </c>
      <c r="AV1144">
        <f ca="1"/>
      </c>
      <c r="AW1144">
        <f ca="1"/>
      </c>
      <c r="AX1144">
        <f ca="1"/>
      </c>
      <c r="AY1144">
        <f ca="1"/>
      </c>
      <c r="BA1144" s="7"/>
    </row>
    <row r="1145" spans="31:53" x14ac:dyDescent="0.55000000000000004">
      <c r="AE1145" s="7">
        <f ca="1"/>
      </c>
      <c r="AF1145">
        <f ca="1"/>
      </c>
      <c r="AG1145">
        <f ca="1"/>
      </c>
      <c r="AH1145">
        <f ca="1"/>
      </c>
      <c r="AI1145">
        <f ca="1"/>
      </c>
      <c r="AJ1145">
        <f ca="1"/>
      </c>
      <c r="AK1145">
        <f ca="1"/>
      </c>
      <c r="AL1145">
        <f ca="1"/>
      </c>
      <c r="AM1145">
        <f ca="1"/>
      </c>
      <c r="AN1145">
        <f ca="1"/>
      </c>
      <c r="AO1145">
        <f ca="1"/>
      </c>
      <c r="AP1145">
        <f ca="1"/>
      </c>
      <c r="AQ1145">
        <f ca="1"/>
      </c>
      <c r="AR1145">
        <f ca="1"/>
      </c>
      <c r="AT1145" s="7">
        <f ca="1"/>
      </c>
      <c r="AU1145">
        <f ca="1"/>
      </c>
      <c r="AV1145">
        <f ca="1"/>
      </c>
      <c r="AW1145">
        <f ca="1"/>
      </c>
      <c r="AX1145">
        <f ca="1"/>
      </c>
      <c r="AY1145">
        <f ca="1"/>
      </c>
      <c r="BA1145" s="7"/>
    </row>
    <row r="1146" spans="31:53" x14ac:dyDescent="0.55000000000000004">
      <c r="AE1146" s="7">
        <f ca="1"/>
      </c>
      <c r="AF1146">
        <f ca="1"/>
      </c>
      <c r="AG1146">
        <f ca="1"/>
      </c>
      <c r="AH1146">
        <f ca="1"/>
      </c>
      <c r="AI1146">
        <f ca="1"/>
      </c>
      <c r="AJ1146">
        <f ca="1"/>
      </c>
      <c r="AK1146">
        <f ca="1"/>
      </c>
      <c r="AL1146">
        <f ca="1"/>
      </c>
      <c r="AM1146">
        <f ca="1"/>
      </c>
      <c r="AN1146">
        <f ca="1"/>
      </c>
      <c r="AO1146">
        <f ca="1"/>
      </c>
      <c r="AP1146">
        <f ca="1"/>
      </c>
      <c r="AQ1146">
        <f ca="1"/>
      </c>
      <c r="AR1146">
        <f ca="1"/>
      </c>
      <c r="AT1146" s="7">
        <f ca="1"/>
      </c>
      <c r="AU1146">
        <f ca="1"/>
      </c>
      <c r="AV1146">
        <f ca="1"/>
      </c>
      <c r="AW1146">
        <f ca="1"/>
      </c>
      <c r="AX1146">
        <f ca="1"/>
      </c>
      <c r="AY1146">
        <f ca="1"/>
      </c>
      <c r="BA1146" s="7"/>
    </row>
    <row r="1147" spans="31:53" x14ac:dyDescent="0.55000000000000004">
      <c r="AE1147" s="7">
        <f ca="1"/>
      </c>
      <c r="AF1147">
        <f ca="1"/>
      </c>
      <c r="AG1147">
        <f ca="1"/>
      </c>
      <c r="AH1147">
        <f ca="1"/>
      </c>
      <c r="AI1147">
        <f ca="1"/>
      </c>
      <c r="AJ1147">
        <f ca="1"/>
      </c>
      <c r="AK1147">
        <f ca="1"/>
      </c>
      <c r="AL1147">
        <f ca="1"/>
      </c>
      <c r="AM1147">
        <f ca="1"/>
      </c>
      <c r="AN1147">
        <f ca="1"/>
      </c>
      <c r="AO1147">
        <f ca="1"/>
      </c>
      <c r="AP1147">
        <f ca="1"/>
      </c>
      <c r="AQ1147">
        <f ca="1"/>
      </c>
      <c r="AR1147">
        <f ca="1"/>
      </c>
      <c r="AT1147" s="7">
        <f ca="1"/>
      </c>
      <c r="AU1147">
        <f ca="1"/>
      </c>
      <c r="AV1147">
        <f ca="1"/>
      </c>
      <c r="AW1147">
        <f ca="1"/>
      </c>
      <c r="AX1147">
        <f ca="1"/>
      </c>
      <c r="AY1147">
        <f ca="1"/>
      </c>
      <c r="BA1147" s="7"/>
    </row>
    <row r="1148" spans="31:53" x14ac:dyDescent="0.55000000000000004">
      <c r="AE1148" s="7">
        <f ca="1"/>
      </c>
      <c r="AF1148">
        <f ca="1"/>
      </c>
      <c r="AG1148">
        <f ca="1"/>
      </c>
      <c r="AH1148">
        <f ca="1"/>
      </c>
      <c r="AI1148">
        <f ca="1"/>
      </c>
      <c r="AJ1148">
        <f ca="1"/>
      </c>
      <c r="AK1148">
        <f ca="1"/>
      </c>
      <c r="AL1148">
        <f ca="1"/>
      </c>
      <c r="AM1148">
        <f ca="1"/>
      </c>
      <c r="AN1148">
        <f ca="1"/>
      </c>
      <c r="AO1148">
        <f ca="1"/>
      </c>
      <c r="AP1148">
        <f ca="1"/>
      </c>
      <c r="AQ1148">
        <f ca="1"/>
      </c>
      <c r="AR1148">
        <f ca="1"/>
      </c>
      <c r="AT1148" s="7">
        <f ca="1"/>
      </c>
      <c r="AU1148">
        <f ca="1"/>
      </c>
      <c r="AV1148">
        <f ca="1"/>
      </c>
      <c r="AW1148">
        <f ca="1"/>
      </c>
      <c r="AX1148">
        <f ca="1"/>
      </c>
      <c r="AY1148">
        <f ca="1"/>
      </c>
      <c r="BA1148" s="7"/>
    </row>
    <row r="1149" spans="31:53" x14ac:dyDescent="0.55000000000000004">
      <c r="AE1149" s="7">
        <f ca="1"/>
      </c>
      <c r="AF1149">
        <f ca="1"/>
      </c>
      <c r="AG1149">
        <f ca="1"/>
      </c>
      <c r="AH1149">
        <f ca="1"/>
      </c>
      <c r="AI1149">
        <f ca="1"/>
      </c>
      <c r="AJ1149">
        <f ca="1"/>
      </c>
      <c r="AK1149">
        <f ca="1"/>
      </c>
      <c r="AL1149">
        <f ca="1"/>
      </c>
      <c r="AM1149">
        <f ca="1"/>
      </c>
      <c r="AN1149">
        <f ca="1"/>
      </c>
      <c r="AO1149">
        <f ca="1"/>
      </c>
      <c r="AP1149">
        <f ca="1"/>
      </c>
      <c r="AQ1149">
        <f ca="1"/>
      </c>
      <c r="AR1149">
        <f ca="1"/>
      </c>
      <c r="AT1149" s="7">
        <f ca="1"/>
      </c>
      <c r="AU1149">
        <f ca="1"/>
      </c>
      <c r="AV1149">
        <f ca="1"/>
      </c>
      <c r="AW1149">
        <f ca="1"/>
      </c>
      <c r="AX1149">
        <f ca="1"/>
      </c>
      <c r="AY1149">
        <f ca="1"/>
      </c>
      <c r="BA1149" s="7"/>
    </row>
    <row r="1150" spans="31:53" x14ac:dyDescent="0.55000000000000004">
      <c r="AE1150" s="7">
        <f ca="1"/>
      </c>
      <c r="AF1150">
        <f ca="1"/>
      </c>
      <c r="AG1150">
        <f ca="1"/>
      </c>
      <c r="AH1150">
        <f ca="1"/>
      </c>
      <c r="AI1150">
        <f ca="1"/>
      </c>
      <c r="AJ1150">
        <f ca="1"/>
      </c>
      <c r="AK1150">
        <f ca="1"/>
      </c>
      <c r="AL1150">
        <f ca="1"/>
      </c>
      <c r="AM1150">
        <f ca="1"/>
      </c>
      <c r="AN1150">
        <f ca="1"/>
      </c>
      <c r="AO1150">
        <f ca="1"/>
      </c>
      <c r="AP1150">
        <f ca="1"/>
      </c>
      <c r="AQ1150">
        <f ca="1"/>
      </c>
      <c r="AR1150">
        <f ca="1"/>
      </c>
      <c r="AT1150" s="7">
        <f ca="1"/>
      </c>
      <c r="AU1150">
        <f ca="1"/>
      </c>
      <c r="AV1150">
        <f ca="1"/>
      </c>
      <c r="AW1150">
        <f ca="1"/>
      </c>
      <c r="AX1150">
        <f ca="1"/>
      </c>
      <c r="AY1150">
        <f ca="1"/>
      </c>
      <c r="BA1150" s="7"/>
    </row>
    <row r="1151" spans="31:53" x14ac:dyDescent="0.55000000000000004">
      <c r="AE1151" s="7">
        <f ca="1"/>
      </c>
      <c r="AF1151">
        <f ca="1"/>
      </c>
      <c r="AG1151">
        <f ca="1"/>
      </c>
      <c r="AH1151">
        <f ca="1"/>
      </c>
      <c r="AI1151">
        <f ca="1"/>
      </c>
      <c r="AJ1151">
        <f ca="1"/>
      </c>
      <c r="AK1151">
        <f ca="1"/>
      </c>
      <c r="AL1151">
        <f ca="1"/>
      </c>
      <c r="AM1151">
        <f ca="1"/>
      </c>
      <c r="AN1151">
        <f ca="1"/>
      </c>
      <c r="AO1151">
        <f ca="1"/>
      </c>
      <c r="AP1151">
        <f ca="1"/>
      </c>
      <c r="AQ1151">
        <f ca="1"/>
      </c>
      <c r="AR1151">
        <f ca="1"/>
      </c>
      <c r="AT1151" s="7">
        <f ca="1"/>
      </c>
      <c r="AU1151">
        <f ca="1"/>
      </c>
      <c r="AV1151">
        <f ca="1"/>
      </c>
      <c r="AW1151">
        <f ca="1"/>
      </c>
      <c r="AX1151">
        <f ca="1"/>
      </c>
      <c r="AY1151">
        <f ca="1"/>
      </c>
      <c r="BA1151" s="7"/>
    </row>
    <row r="1152" spans="31:53" x14ac:dyDescent="0.55000000000000004">
      <c r="AE1152" s="7">
        <f ca="1"/>
      </c>
      <c r="AF1152">
        <f ca="1"/>
      </c>
      <c r="AG1152">
        <f ca="1"/>
      </c>
      <c r="AH1152">
        <f ca="1"/>
      </c>
      <c r="AI1152">
        <f ca="1"/>
      </c>
      <c r="AJ1152">
        <f ca="1"/>
      </c>
      <c r="AK1152">
        <f ca="1"/>
      </c>
      <c r="AL1152">
        <f ca="1"/>
      </c>
      <c r="AM1152">
        <f ca="1"/>
      </c>
      <c r="AN1152">
        <f ca="1"/>
      </c>
      <c r="AO1152">
        <f ca="1"/>
      </c>
      <c r="AP1152">
        <f ca="1"/>
      </c>
      <c r="AQ1152">
        <f ca="1"/>
      </c>
      <c r="AR1152">
        <f ca="1"/>
      </c>
      <c r="AT1152" s="7">
        <f ca="1"/>
      </c>
      <c r="AU1152">
        <f ca="1"/>
      </c>
      <c r="AV1152">
        <f ca="1"/>
      </c>
      <c r="AW1152">
        <f ca="1"/>
      </c>
      <c r="AX1152">
        <f ca="1"/>
      </c>
      <c r="AY1152">
        <f ca="1"/>
      </c>
      <c r="BA1152" s="7"/>
    </row>
    <row r="1153" spans="31:53" x14ac:dyDescent="0.55000000000000004">
      <c r="AE1153" s="7">
        <f ca="1"/>
      </c>
      <c r="AF1153">
        <f ca="1"/>
      </c>
      <c r="AG1153">
        <f ca="1"/>
      </c>
      <c r="AH1153">
        <f ca="1"/>
      </c>
      <c r="AI1153">
        <f ca="1"/>
      </c>
      <c r="AJ1153">
        <f ca="1"/>
      </c>
      <c r="AK1153">
        <f ca="1"/>
      </c>
      <c r="AL1153">
        <f ca="1"/>
      </c>
      <c r="AM1153">
        <f ca="1"/>
      </c>
      <c r="AN1153">
        <f ca="1"/>
      </c>
      <c r="AO1153">
        <f ca="1"/>
      </c>
      <c r="AP1153">
        <f ca="1"/>
      </c>
      <c r="AQ1153">
        <f ca="1"/>
      </c>
      <c r="AR1153">
        <f ca="1"/>
      </c>
      <c r="AT1153" s="7">
        <f ca="1"/>
      </c>
      <c r="AU1153">
        <f ca="1"/>
      </c>
      <c r="AV1153">
        <f ca="1"/>
      </c>
      <c r="AW1153">
        <f ca="1"/>
      </c>
      <c r="AX1153">
        <f ca="1"/>
      </c>
      <c r="AY1153">
        <f ca="1"/>
      </c>
      <c r="BA1153" s="7"/>
    </row>
    <row r="1154" spans="31:53" x14ac:dyDescent="0.55000000000000004">
      <c r="AE1154" s="7">
        <f ca="1"/>
      </c>
      <c r="AF1154">
        <f ca="1"/>
      </c>
      <c r="AG1154">
        <f ca="1"/>
      </c>
      <c r="AH1154">
        <f ca="1"/>
      </c>
      <c r="AI1154">
        <f ca="1"/>
      </c>
      <c r="AJ1154">
        <f ca="1"/>
      </c>
      <c r="AK1154">
        <f ca="1"/>
      </c>
      <c r="AL1154">
        <f ca="1"/>
      </c>
      <c r="AM1154">
        <f ca="1"/>
      </c>
      <c r="AN1154">
        <f ca="1"/>
      </c>
      <c r="AO1154">
        <f ca="1"/>
      </c>
      <c r="AP1154">
        <f ca="1"/>
      </c>
      <c r="AQ1154">
        <f ca="1"/>
      </c>
      <c r="AR1154">
        <f ca="1"/>
      </c>
      <c r="AT1154" s="7">
        <f ca="1"/>
      </c>
      <c r="AU1154">
        <f ca="1"/>
      </c>
      <c r="AV1154">
        <f ca="1"/>
      </c>
      <c r="AW1154">
        <f ca="1"/>
      </c>
      <c r="AX1154">
        <f ca="1"/>
      </c>
      <c r="AY1154">
        <f ca="1"/>
      </c>
      <c r="BA1154" s="7"/>
    </row>
    <row r="1155" spans="31:53" x14ac:dyDescent="0.55000000000000004">
      <c r="AE1155" s="7">
        <f ca="1"/>
      </c>
      <c r="AF1155">
        <f ca="1"/>
      </c>
      <c r="AG1155">
        <f ca="1"/>
      </c>
      <c r="AH1155">
        <f ca="1"/>
      </c>
      <c r="AI1155">
        <f ca="1"/>
      </c>
      <c r="AJ1155">
        <f ca="1"/>
      </c>
      <c r="AK1155">
        <f ca="1"/>
      </c>
      <c r="AL1155">
        <f ca="1"/>
      </c>
      <c r="AM1155">
        <f ca="1"/>
      </c>
      <c r="AN1155">
        <f ca="1"/>
      </c>
      <c r="AO1155">
        <f ca="1"/>
      </c>
      <c r="AP1155">
        <f ca="1"/>
      </c>
      <c r="AQ1155">
        <f ca="1"/>
      </c>
      <c r="AR1155">
        <f ca="1"/>
      </c>
      <c r="AT1155" s="7">
        <f ca="1"/>
      </c>
      <c r="AU1155">
        <f ca="1"/>
      </c>
      <c r="AV1155">
        <f ca="1"/>
      </c>
      <c r="AW1155">
        <f ca="1"/>
      </c>
      <c r="AX1155">
        <f ca="1"/>
      </c>
      <c r="AY1155">
        <f ca="1"/>
      </c>
      <c r="BA1155" s="7"/>
    </row>
    <row r="1156" spans="31:53" x14ac:dyDescent="0.55000000000000004">
      <c r="AE1156" s="7">
        <f ca="1"/>
      </c>
      <c r="AF1156">
        <f ca="1"/>
      </c>
      <c r="AG1156">
        <f ca="1"/>
      </c>
      <c r="AH1156">
        <f ca="1"/>
      </c>
      <c r="AI1156">
        <f ca="1"/>
      </c>
      <c r="AJ1156">
        <f ca="1"/>
      </c>
      <c r="AK1156">
        <f ca="1"/>
      </c>
      <c r="AL1156">
        <f ca="1"/>
      </c>
      <c r="AM1156">
        <f ca="1"/>
      </c>
      <c r="AN1156">
        <f ca="1"/>
      </c>
      <c r="AO1156">
        <f ca="1"/>
      </c>
      <c r="AP1156">
        <f ca="1"/>
      </c>
      <c r="AQ1156">
        <f ca="1"/>
      </c>
      <c r="AR1156">
        <f ca="1"/>
      </c>
      <c r="AT1156" s="7">
        <f ca="1"/>
      </c>
      <c r="AU1156">
        <f ca="1"/>
      </c>
      <c r="AV1156">
        <f ca="1"/>
      </c>
      <c r="AW1156">
        <f ca="1"/>
      </c>
      <c r="AX1156">
        <f ca="1"/>
      </c>
      <c r="AY1156">
        <f ca="1"/>
      </c>
      <c r="BA1156" s="7"/>
    </row>
    <row r="1157" spans="31:53" x14ac:dyDescent="0.55000000000000004">
      <c r="AE1157" s="7">
        <f ca="1"/>
      </c>
      <c r="AF1157">
        <f ca="1"/>
      </c>
      <c r="AG1157">
        <f ca="1"/>
      </c>
      <c r="AH1157">
        <f ca="1"/>
      </c>
      <c r="AI1157">
        <f ca="1"/>
      </c>
      <c r="AJ1157">
        <f ca="1"/>
      </c>
      <c r="AK1157">
        <f ca="1"/>
      </c>
      <c r="AL1157">
        <f ca="1"/>
      </c>
      <c r="AM1157">
        <f ca="1"/>
      </c>
      <c r="AN1157">
        <f ca="1"/>
      </c>
      <c r="AO1157">
        <f ca="1"/>
      </c>
      <c r="AP1157">
        <f ca="1"/>
      </c>
      <c r="AQ1157">
        <f ca="1"/>
      </c>
      <c r="AR1157">
        <f ca="1"/>
      </c>
      <c r="AT1157" s="7">
        <f ca="1"/>
      </c>
      <c r="AU1157">
        <f ca="1"/>
      </c>
      <c r="AV1157">
        <f ca="1"/>
      </c>
      <c r="AW1157">
        <f ca="1"/>
      </c>
      <c r="AX1157">
        <f ca="1"/>
      </c>
      <c r="AY1157">
        <f ca="1"/>
      </c>
      <c r="BA1157" s="7"/>
    </row>
    <row r="1158" spans="31:53" x14ac:dyDescent="0.55000000000000004">
      <c r="AE1158" s="7">
        <f ca="1"/>
      </c>
      <c r="AF1158">
        <f ca="1"/>
      </c>
      <c r="AG1158">
        <f ca="1"/>
      </c>
      <c r="AH1158">
        <f ca="1"/>
      </c>
      <c r="AI1158">
        <f ca="1"/>
      </c>
      <c r="AJ1158">
        <f ca="1"/>
      </c>
      <c r="AK1158">
        <f ca="1"/>
      </c>
      <c r="AL1158">
        <f ca="1"/>
      </c>
      <c r="AM1158">
        <f ca="1"/>
      </c>
      <c r="AN1158">
        <f ca="1"/>
      </c>
      <c r="AO1158">
        <f ca="1"/>
      </c>
      <c r="AP1158">
        <f ca="1"/>
      </c>
      <c r="AQ1158">
        <f ca="1"/>
      </c>
      <c r="AR1158">
        <f ca="1"/>
      </c>
      <c r="AT1158" s="7">
        <f ca="1"/>
      </c>
      <c r="AU1158">
        <f ca="1"/>
      </c>
      <c r="AV1158">
        <f ca="1"/>
      </c>
      <c r="AW1158">
        <f ca="1"/>
      </c>
      <c r="AX1158">
        <f ca="1"/>
      </c>
      <c r="AY1158">
        <f ca="1"/>
      </c>
      <c r="BA1158" s="7"/>
    </row>
    <row r="1159" spans="31:53" x14ac:dyDescent="0.55000000000000004">
      <c r="AE1159" s="7">
        <f ca="1"/>
      </c>
      <c r="AF1159">
        <f ca="1"/>
      </c>
      <c r="AG1159">
        <f ca="1"/>
      </c>
      <c r="AH1159">
        <f ca="1"/>
      </c>
      <c r="AI1159">
        <f ca="1"/>
      </c>
      <c r="AJ1159">
        <f ca="1"/>
      </c>
      <c r="AK1159">
        <f ca="1"/>
      </c>
      <c r="AL1159">
        <f ca="1"/>
      </c>
      <c r="AM1159">
        <f ca="1"/>
      </c>
      <c r="AN1159">
        <f ca="1"/>
      </c>
      <c r="AO1159">
        <f ca="1"/>
      </c>
      <c r="AP1159">
        <f ca="1"/>
      </c>
      <c r="AQ1159">
        <f ca="1"/>
      </c>
      <c r="AR1159">
        <f ca="1"/>
      </c>
      <c r="AT1159" s="7">
        <f ca="1"/>
      </c>
      <c r="AU1159">
        <f ca="1"/>
      </c>
      <c r="AV1159">
        <f ca="1"/>
      </c>
      <c r="AW1159">
        <f ca="1"/>
      </c>
      <c r="AX1159">
        <f ca="1"/>
      </c>
      <c r="AY1159">
        <f ca="1"/>
      </c>
      <c r="BA1159" s="7"/>
    </row>
    <row r="1160" spans="31:53" x14ac:dyDescent="0.55000000000000004">
      <c r="AE1160" s="7">
        <f ca="1"/>
      </c>
      <c r="AF1160">
        <f ca="1"/>
      </c>
      <c r="AG1160">
        <f ca="1"/>
      </c>
      <c r="AH1160">
        <f ca="1"/>
      </c>
      <c r="AI1160">
        <f ca="1"/>
      </c>
      <c r="AJ1160">
        <f ca="1"/>
      </c>
      <c r="AK1160">
        <f ca="1"/>
      </c>
      <c r="AL1160">
        <f ca="1"/>
      </c>
      <c r="AM1160">
        <f ca="1"/>
      </c>
      <c r="AN1160">
        <f ca="1"/>
      </c>
      <c r="AO1160">
        <f ca="1"/>
      </c>
      <c r="AP1160">
        <f ca="1"/>
      </c>
      <c r="AQ1160">
        <f ca="1"/>
      </c>
      <c r="AR1160">
        <f ca="1"/>
      </c>
      <c r="AT1160" s="7">
        <f ca="1"/>
      </c>
      <c r="AU1160">
        <f ca="1"/>
      </c>
      <c r="AV1160">
        <f ca="1"/>
      </c>
      <c r="AW1160">
        <f ca="1"/>
      </c>
      <c r="AX1160">
        <f ca="1"/>
      </c>
      <c r="AY1160">
        <f ca="1"/>
      </c>
      <c r="BA1160" s="7"/>
    </row>
    <row r="1161" spans="31:53" x14ac:dyDescent="0.55000000000000004">
      <c r="AE1161" s="7">
        <f ca="1"/>
      </c>
      <c r="AF1161">
        <f ca="1"/>
      </c>
      <c r="AG1161">
        <f ca="1"/>
      </c>
      <c r="AH1161">
        <f ca="1"/>
      </c>
      <c r="AI1161">
        <f ca="1"/>
      </c>
      <c r="AJ1161">
        <f ca="1"/>
      </c>
      <c r="AK1161">
        <f ca="1"/>
      </c>
      <c r="AL1161">
        <f ca="1"/>
      </c>
      <c r="AM1161">
        <f ca="1"/>
      </c>
      <c r="AN1161">
        <f ca="1"/>
      </c>
      <c r="AO1161">
        <f ca="1"/>
      </c>
      <c r="AP1161">
        <f ca="1"/>
      </c>
      <c r="AQ1161">
        <f ca="1"/>
      </c>
      <c r="AR1161">
        <f ca="1"/>
      </c>
      <c r="AT1161" s="7">
        <f ca="1"/>
      </c>
      <c r="AU1161">
        <f ca="1"/>
      </c>
      <c r="AV1161">
        <f ca="1"/>
      </c>
      <c r="AW1161">
        <f ca="1"/>
      </c>
      <c r="AX1161">
        <f ca="1"/>
      </c>
      <c r="AY1161">
        <f ca="1"/>
      </c>
      <c r="BA1161" s="7"/>
    </row>
    <row r="1162" spans="31:53" x14ac:dyDescent="0.55000000000000004">
      <c r="AE1162" s="7">
        <f ca="1"/>
      </c>
      <c r="AF1162">
        <f ca="1"/>
      </c>
      <c r="AG1162">
        <f ca="1"/>
      </c>
      <c r="AH1162">
        <f ca="1"/>
      </c>
      <c r="AI1162">
        <f ca="1"/>
      </c>
      <c r="AJ1162">
        <f ca="1"/>
      </c>
      <c r="AK1162">
        <f ca="1"/>
      </c>
      <c r="AL1162">
        <f ca="1"/>
      </c>
      <c r="AM1162">
        <f ca="1"/>
      </c>
      <c r="AN1162">
        <f ca="1"/>
      </c>
      <c r="AO1162">
        <f ca="1"/>
      </c>
      <c r="AP1162">
        <f ca="1"/>
      </c>
      <c r="AQ1162">
        <f ca="1"/>
      </c>
      <c r="AR1162">
        <f ca="1"/>
      </c>
      <c r="AT1162" s="7">
        <f ca="1"/>
      </c>
      <c r="AU1162">
        <f ca="1"/>
      </c>
      <c r="AV1162">
        <f ca="1"/>
      </c>
      <c r="AW1162">
        <f ca="1"/>
      </c>
      <c r="AX1162">
        <f ca="1"/>
      </c>
      <c r="AY1162">
        <f ca="1"/>
      </c>
      <c r="BA1162" s="7"/>
    </row>
    <row r="1163" spans="31:53" x14ac:dyDescent="0.55000000000000004">
      <c r="AE1163" s="7">
        <f ca="1"/>
      </c>
      <c r="AF1163">
        <f ca="1"/>
      </c>
      <c r="AG1163">
        <f ca="1"/>
      </c>
      <c r="AH1163">
        <f ca="1"/>
      </c>
      <c r="AI1163">
        <f ca="1"/>
      </c>
      <c r="AJ1163">
        <f ca="1"/>
      </c>
      <c r="AK1163">
        <f ca="1"/>
      </c>
      <c r="AL1163">
        <f ca="1"/>
      </c>
      <c r="AM1163">
        <f ca="1"/>
      </c>
      <c r="AN1163">
        <f ca="1"/>
      </c>
      <c r="AO1163">
        <f ca="1"/>
      </c>
      <c r="AP1163">
        <f ca="1"/>
      </c>
      <c r="AQ1163">
        <f ca="1"/>
      </c>
      <c r="AR1163">
        <f ca="1"/>
      </c>
      <c r="AT1163" s="7">
        <f ca="1"/>
      </c>
      <c r="AU1163">
        <f ca="1"/>
      </c>
      <c r="AV1163">
        <f ca="1"/>
      </c>
      <c r="AW1163">
        <f ca="1"/>
      </c>
      <c r="AX1163">
        <f ca="1"/>
      </c>
      <c r="AY1163">
        <f ca="1"/>
      </c>
      <c r="BA1163" s="7"/>
    </row>
    <row r="1164" spans="31:53" x14ac:dyDescent="0.55000000000000004">
      <c r="AE1164" s="7">
        <f ca="1"/>
      </c>
      <c r="AF1164">
        <f ca="1"/>
      </c>
      <c r="AG1164">
        <f ca="1"/>
      </c>
      <c r="AH1164">
        <f ca="1"/>
      </c>
      <c r="AI1164">
        <f ca="1"/>
      </c>
      <c r="AJ1164">
        <f ca="1"/>
      </c>
      <c r="AK1164">
        <f ca="1"/>
      </c>
      <c r="AL1164">
        <f ca="1"/>
      </c>
      <c r="AM1164">
        <f ca="1"/>
      </c>
      <c r="AN1164">
        <f ca="1"/>
      </c>
      <c r="AO1164">
        <f ca="1"/>
      </c>
      <c r="AP1164">
        <f ca="1"/>
      </c>
      <c r="AQ1164">
        <f ca="1"/>
      </c>
      <c r="AR1164">
        <f ca="1"/>
      </c>
      <c r="AT1164" s="7">
        <f ca="1"/>
      </c>
      <c r="AU1164">
        <f ca="1"/>
      </c>
      <c r="AV1164">
        <f ca="1"/>
      </c>
      <c r="AW1164">
        <f ca="1"/>
      </c>
      <c r="AX1164">
        <f ca="1"/>
      </c>
      <c r="AY1164">
        <f ca="1"/>
      </c>
      <c r="BA1164" s="7"/>
    </row>
    <row r="1165" spans="31:53" x14ac:dyDescent="0.55000000000000004">
      <c r="AE1165" s="7">
        <f ca="1"/>
      </c>
      <c r="AF1165">
        <f ca="1"/>
      </c>
      <c r="AG1165">
        <f ca="1"/>
      </c>
      <c r="AH1165">
        <f ca="1"/>
      </c>
      <c r="AI1165">
        <f ca="1"/>
      </c>
      <c r="AJ1165">
        <f ca="1"/>
      </c>
      <c r="AK1165">
        <f ca="1"/>
      </c>
      <c r="AL1165">
        <f ca="1"/>
      </c>
      <c r="AM1165">
        <f ca="1"/>
      </c>
      <c r="AN1165">
        <f ca="1"/>
      </c>
      <c r="AO1165">
        <f ca="1"/>
      </c>
      <c r="AP1165">
        <f ca="1"/>
      </c>
      <c r="AQ1165">
        <f ca="1"/>
      </c>
      <c r="AR1165">
        <f ca="1"/>
      </c>
      <c r="AT1165" s="7">
        <f ca="1"/>
      </c>
      <c r="AU1165">
        <f ca="1"/>
      </c>
      <c r="AV1165">
        <f ca="1"/>
      </c>
      <c r="AW1165">
        <f ca="1"/>
      </c>
      <c r="AX1165">
        <f ca="1"/>
      </c>
      <c r="AY1165">
        <f ca="1"/>
      </c>
      <c r="BA1165" s="7"/>
    </row>
    <row r="1166" spans="31:53" x14ac:dyDescent="0.55000000000000004">
      <c r="AE1166" s="7">
        <f ca="1"/>
      </c>
      <c r="AF1166">
        <f ca="1"/>
      </c>
      <c r="AG1166">
        <f ca="1"/>
      </c>
      <c r="AH1166">
        <f ca="1"/>
      </c>
      <c r="AI1166">
        <f ca="1"/>
      </c>
      <c r="AJ1166">
        <f ca="1"/>
      </c>
      <c r="AK1166">
        <f ca="1"/>
      </c>
      <c r="AL1166">
        <f ca="1"/>
      </c>
      <c r="AM1166">
        <f ca="1"/>
      </c>
      <c r="AN1166">
        <f ca="1"/>
      </c>
      <c r="AO1166">
        <f ca="1"/>
      </c>
      <c r="AP1166">
        <f ca="1"/>
      </c>
      <c r="AQ1166">
        <f ca="1"/>
      </c>
      <c r="AR1166">
        <f ca="1"/>
      </c>
      <c r="AT1166" s="7">
        <f ca="1"/>
      </c>
      <c r="AU1166">
        <f ca="1"/>
      </c>
      <c r="AV1166">
        <f ca="1"/>
      </c>
      <c r="AW1166">
        <f ca="1"/>
      </c>
      <c r="AX1166">
        <f ca="1"/>
      </c>
      <c r="AY1166">
        <f ca="1"/>
      </c>
      <c r="BA1166" s="7"/>
    </row>
    <row r="1167" spans="31:53" x14ac:dyDescent="0.55000000000000004">
      <c r="AE1167" s="7">
        <f ca="1"/>
      </c>
      <c r="AF1167">
        <f ca="1"/>
      </c>
      <c r="AG1167">
        <f ca="1"/>
      </c>
      <c r="AH1167">
        <f ca="1"/>
      </c>
      <c r="AI1167">
        <f ca="1"/>
      </c>
      <c r="AJ1167">
        <f ca="1"/>
      </c>
      <c r="AK1167">
        <f ca="1"/>
      </c>
      <c r="AL1167">
        <f ca="1"/>
      </c>
      <c r="AM1167">
        <f ca="1"/>
      </c>
      <c r="AN1167">
        <f ca="1"/>
      </c>
      <c r="AO1167">
        <f ca="1"/>
      </c>
      <c r="AP1167">
        <f ca="1"/>
      </c>
      <c r="AQ1167">
        <f ca="1"/>
      </c>
      <c r="AR1167">
        <f ca="1"/>
      </c>
      <c r="AT1167" s="7">
        <f ca="1"/>
      </c>
      <c r="AU1167">
        <f ca="1"/>
      </c>
      <c r="AV1167">
        <f ca="1"/>
      </c>
      <c r="AW1167">
        <f ca="1"/>
      </c>
      <c r="AX1167">
        <f ca="1"/>
      </c>
      <c r="AY1167">
        <f ca="1"/>
      </c>
      <c r="BA1167" s="7"/>
    </row>
    <row r="1168" spans="31:53" x14ac:dyDescent="0.55000000000000004">
      <c r="AE1168" s="7">
        <f ca="1"/>
      </c>
      <c r="AF1168">
        <f ca="1"/>
      </c>
      <c r="AG1168">
        <f ca="1"/>
      </c>
      <c r="AH1168">
        <f ca="1"/>
      </c>
      <c r="AI1168">
        <f ca="1"/>
      </c>
      <c r="AJ1168">
        <f ca="1"/>
      </c>
      <c r="AK1168">
        <f ca="1"/>
      </c>
      <c r="AL1168">
        <f ca="1"/>
      </c>
      <c r="AM1168">
        <f ca="1"/>
      </c>
      <c r="AN1168">
        <f ca="1"/>
      </c>
      <c r="AO1168">
        <f ca="1"/>
      </c>
      <c r="AP1168">
        <f ca="1"/>
      </c>
      <c r="AQ1168">
        <f ca="1"/>
      </c>
      <c r="AR1168">
        <f ca="1"/>
      </c>
      <c r="AT1168" s="7">
        <f ca="1"/>
      </c>
      <c r="AU1168">
        <f ca="1"/>
      </c>
      <c r="AV1168">
        <f ca="1"/>
      </c>
      <c r="AW1168">
        <f ca="1"/>
      </c>
      <c r="AX1168">
        <f ca="1"/>
      </c>
      <c r="AY1168">
        <f ca="1"/>
      </c>
      <c r="BA1168" s="7"/>
    </row>
    <row r="1169" spans="31:53" x14ac:dyDescent="0.55000000000000004">
      <c r="AE1169" s="7">
        <f ca="1"/>
      </c>
      <c r="AF1169">
        <f ca="1"/>
      </c>
      <c r="AG1169">
        <f ca="1"/>
      </c>
      <c r="AH1169">
        <f ca="1"/>
      </c>
      <c r="AI1169">
        <f ca="1"/>
      </c>
      <c r="AJ1169">
        <f ca="1"/>
      </c>
      <c r="AK1169">
        <f ca="1"/>
      </c>
      <c r="AL1169">
        <f ca="1"/>
      </c>
      <c r="AM1169">
        <f ca="1"/>
      </c>
      <c r="AN1169">
        <f ca="1"/>
      </c>
      <c r="AO1169">
        <f ca="1"/>
      </c>
      <c r="AP1169">
        <f ca="1"/>
      </c>
      <c r="AQ1169">
        <f ca="1"/>
      </c>
      <c r="AR1169">
        <f ca="1"/>
      </c>
      <c r="AT1169" s="7">
        <f ca="1"/>
      </c>
      <c r="AU1169">
        <f ca="1"/>
      </c>
      <c r="AV1169">
        <f ca="1"/>
      </c>
      <c r="AW1169">
        <f ca="1"/>
      </c>
      <c r="AX1169">
        <f ca="1"/>
      </c>
      <c r="AY1169">
        <f ca="1"/>
      </c>
      <c r="BA1169" s="7"/>
    </row>
    <row r="1170" spans="31:53" x14ac:dyDescent="0.55000000000000004">
      <c r="AE1170" s="7">
        <f ca="1"/>
      </c>
      <c r="AF1170">
        <f ca="1"/>
      </c>
      <c r="AG1170">
        <f ca="1"/>
      </c>
      <c r="AH1170">
        <f ca="1"/>
      </c>
      <c r="AI1170">
        <f ca="1"/>
      </c>
      <c r="AJ1170">
        <f ca="1"/>
      </c>
      <c r="AK1170">
        <f ca="1"/>
      </c>
      <c r="AL1170">
        <f ca="1"/>
      </c>
      <c r="AM1170">
        <f ca="1"/>
      </c>
      <c r="AN1170">
        <f ca="1"/>
      </c>
      <c r="AO1170">
        <f ca="1"/>
      </c>
      <c r="AP1170">
        <f ca="1"/>
      </c>
      <c r="AQ1170">
        <f ca="1"/>
      </c>
      <c r="AR1170">
        <f ca="1"/>
      </c>
      <c r="AT1170" s="7">
        <f ca="1"/>
      </c>
      <c r="AU1170">
        <f ca="1"/>
      </c>
      <c r="AV1170">
        <f ca="1"/>
      </c>
      <c r="AW1170">
        <f ca="1"/>
      </c>
      <c r="AX1170">
        <f ca="1"/>
      </c>
      <c r="AY1170">
        <f ca="1"/>
      </c>
      <c r="BA1170" s="7"/>
    </row>
    <row r="1171" spans="31:53" x14ac:dyDescent="0.55000000000000004">
      <c r="AE1171" s="7">
        <f ca="1"/>
      </c>
      <c r="AF1171">
        <f ca="1"/>
      </c>
      <c r="AG1171">
        <f ca="1"/>
      </c>
      <c r="AH1171">
        <f ca="1"/>
      </c>
      <c r="AI1171">
        <f ca="1"/>
      </c>
      <c r="AJ1171">
        <f ca="1"/>
      </c>
      <c r="AK1171">
        <f ca="1"/>
      </c>
      <c r="AL1171">
        <f ca="1"/>
      </c>
      <c r="AM1171">
        <f ca="1"/>
      </c>
      <c r="AN1171">
        <f ca="1"/>
      </c>
      <c r="AO1171">
        <f ca="1"/>
      </c>
      <c r="AP1171">
        <f ca="1"/>
      </c>
      <c r="AQ1171">
        <f ca="1"/>
      </c>
      <c r="AR1171">
        <f ca="1"/>
      </c>
      <c r="AT1171" s="7">
        <f ca="1"/>
      </c>
      <c r="AU1171">
        <f ca="1"/>
      </c>
      <c r="AV1171">
        <f ca="1"/>
      </c>
      <c r="AW1171">
        <f ca="1"/>
      </c>
      <c r="AX1171">
        <f ca="1"/>
      </c>
      <c r="AY1171">
        <f ca="1"/>
      </c>
      <c r="BA1171" s="7"/>
    </row>
    <row r="1172" spans="31:53" x14ac:dyDescent="0.55000000000000004">
      <c r="AE1172" s="7">
        <f ca="1"/>
      </c>
      <c r="AF1172">
        <f ca="1"/>
      </c>
      <c r="AG1172">
        <f ca="1"/>
      </c>
      <c r="AH1172">
        <f ca="1"/>
      </c>
      <c r="AI1172">
        <f ca="1"/>
      </c>
      <c r="AJ1172">
        <f ca="1"/>
      </c>
      <c r="AK1172">
        <f ca="1"/>
      </c>
      <c r="AL1172">
        <f ca="1"/>
      </c>
      <c r="AM1172">
        <f ca="1"/>
      </c>
      <c r="AN1172">
        <f ca="1"/>
      </c>
      <c r="AO1172">
        <f ca="1"/>
      </c>
      <c r="AP1172">
        <f ca="1"/>
      </c>
      <c r="AQ1172">
        <f ca="1"/>
      </c>
      <c r="AR1172">
        <f ca="1"/>
      </c>
      <c r="AT1172" s="7">
        <f ca="1"/>
      </c>
      <c r="AU1172">
        <f ca="1"/>
      </c>
      <c r="AV1172">
        <f ca="1"/>
      </c>
      <c r="AW1172">
        <f ca="1"/>
      </c>
      <c r="AX1172">
        <f ca="1"/>
      </c>
      <c r="AY1172">
        <f ca="1"/>
      </c>
      <c r="BA1172" s="7"/>
    </row>
    <row r="1173" spans="31:53" x14ac:dyDescent="0.55000000000000004">
      <c r="AE1173" s="7">
        <f ca="1"/>
      </c>
      <c r="AF1173">
        <f ca="1"/>
      </c>
      <c r="AG1173">
        <f ca="1"/>
      </c>
      <c r="AH1173">
        <f ca="1"/>
      </c>
      <c r="AI1173">
        <f ca="1"/>
      </c>
      <c r="AJ1173">
        <f ca="1"/>
      </c>
      <c r="AK1173">
        <f ca="1"/>
      </c>
      <c r="AL1173">
        <f ca="1"/>
      </c>
      <c r="AM1173">
        <f ca="1"/>
      </c>
      <c r="AN1173">
        <f ca="1"/>
      </c>
      <c r="AO1173">
        <f ca="1"/>
      </c>
      <c r="AP1173">
        <f ca="1"/>
      </c>
      <c r="AQ1173">
        <f ca="1"/>
      </c>
      <c r="AR1173">
        <f ca="1"/>
      </c>
      <c r="AT1173" s="7">
        <f ca="1"/>
      </c>
      <c r="AU1173">
        <f ca="1"/>
      </c>
      <c r="AV1173">
        <f ca="1"/>
      </c>
      <c r="AW1173">
        <f ca="1"/>
      </c>
      <c r="AX1173">
        <f ca="1"/>
      </c>
      <c r="AY1173">
        <f ca="1"/>
      </c>
      <c r="BA1173" s="7"/>
    </row>
    <row r="1174" spans="31:53" x14ac:dyDescent="0.55000000000000004">
      <c r="AE1174" s="7">
        <f ca="1"/>
      </c>
      <c r="AF1174">
        <f ca="1"/>
      </c>
      <c r="AG1174">
        <f ca="1"/>
      </c>
      <c r="AH1174">
        <f ca="1"/>
      </c>
      <c r="AI1174">
        <f ca="1"/>
      </c>
      <c r="AJ1174">
        <f ca="1"/>
      </c>
      <c r="AK1174">
        <f ca="1"/>
      </c>
      <c r="AL1174">
        <f ca="1"/>
      </c>
      <c r="AM1174">
        <f ca="1"/>
      </c>
      <c r="AN1174">
        <f ca="1"/>
      </c>
      <c r="AO1174">
        <f ca="1"/>
      </c>
      <c r="AP1174">
        <f ca="1"/>
      </c>
      <c r="AQ1174">
        <f ca="1"/>
      </c>
      <c r="AR1174">
        <f ca="1"/>
      </c>
      <c r="AT1174" s="7">
        <f ca="1"/>
      </c>
      <c r="AU1174">
        <f ca="1"/>
      </c>
      <c r="AV1174">
        <f ca="1"/>
      </c>
      <c r="AW1174">
        <f ca="1"/>
      </c>
      <c r="AX1174">
        <f ca="1"/>
      </c>
      <c r="AY1174">
        <f ca="1"/>
      </c>
      <c r="BA1174" s="7"/>
    </row>
    <row r="1175" spans="31:53" x14ac:dyDescent="0.55000000000000004">
      <c r="AE1175" s="7">
        <f ca="1"/>
      </c>
      <c r="AF1175">
        <f ca="1"/>
      </c>
      <c r="AG1175">
        <f ca="1"/>
      </c>
      <c r="AH1175">
        <f ca="1"/>
      </c>
      <c r="AI1175">
        <f ca="1"/>
      </c>
      <c r="AJ1175">
        <f ca="1"/>
      </c>
      <c r="AK1175">
        <f ca="1"/>
      </c>
      <c r="AL1175">
        <f ca="1"/>
      </c>
      <c r="AM1175">
        <f ca="1"/>
      </c>
      <c r="AN1175">
        <f ca="1"/>
      </c>
      <c r="AO1175">
        <f ca="1"/>
      </c>
      <c r="AP1175">
        <f ca="1"/>
      </c>
      <c r="AQ1175">
        <f ca="1"/>
      </c>
      <c r="AR1175">
        <f ca="1"/>
      </c>
      <c r="AT1175" s="7">
        <f ca="1"/>
      </c>
      <c r="AU1175">
        <f ca="1"/>
      </c>
      <c r="AV1175">
        <f ca="1"/>
      </c>
      <c r="AW1175">
        <f ca="1"/>
      </c>
      <c r="AX1175">
        <f ca="1"/>
      </c>
      <c r="AY1175">
        <f ca="1"/>
      </c>
      <c r="BA1175" s="7"/>
    </row>
    <row r="1176" spans="31:53" x14ac:dyDescent="0.55000000000000004">
      <c r="AE1176" s="7">
        <f ca="1"/>
      </c>
      <c r="AF1176">
        <f ca="1"/>
      </c>
      <c r="AG1176">
        <f ca="1"/>
      </c>
      <c r="AH1176">
        <f ca="1"/>
      </c>
      <c r="AI1176">
        <f ca="1"/>
      </c>
      <c r="AJ1176">
        <f ca="1"/>
      </c>
      <c r="AK1176">
        <f ca="1"/>
      </c>
      <c r="AL1176">
        <f ca="1"/>
      </c>
      <c r="AM1176">
        <f ca="1"/>
      </c>
      <c r="AN1176">
        <f ca="1"/>
      </c>
      <c r="AO1176">
        <f ca="1"/>
      </c>
      <c r="AP1176">
        <f ca="1"/>
      </c>
      <c r="AQ1176">
        <f ca="1"/>
      </c>
      <c r="AR1176">
        <f ca="1"/>
      </c>
      <c r="AT1176" s="7">
        <f ca="1"/>
      </c>
      <c r="AU1176">
        <f ca="1"/>
      </c>
      <c r="AV1176">
        <f ca="1"/>
      </c>
      <c r="AW1176">
        <f ca="1"/>
      </c>
      <c r="AX1176">
        <f ca="1"/>
      </c>
      <c r="AY1176">
        <f ca="1"/>
      </c>
      <c r="BA1176" s="7"/>
    </row>
    <row r="1177" spans="31:53" x14ac:dyDescent="0.55000000000000004">
      <c r="AE1177" s="7">
        <f ca="1"/>
      </c>
      <c r="AF1177">
        <f ca="1"/>
      </c>
      <c r="AG1177">
        <f ca="1"/>
      </c>
      <c r="AH1177">
        <f ca="1"/>
      </c>
      <c r="AI1177">
        <f ca="1"/>
      </c>
      <c r="AJ1177">
        <f ca="1"/>
      </c>
      <c r="AK1177">
        <f ca="1"/>
      </c>
      <c r="AL1177">
        <f ca="1"/>
      </c>
      <c r="AM1177">
        <f ca="1"/>
      </c>
      <c r="AN1177">
        <f ca="1"/>
      </c>
      <c r="AO1177">
        <f ca="1"/>
      </c>
      <c r="AP1177">
        <f ca="1"/>
      </c>
      <c r="AQ1177">
        <f ca="1"/>
      </c>
      <c r="AR1177">
        <f ca="1"/>
      </c>
      <c r="AT1177" s="7">
        <f ca="1"/>
      </c>
      <c r="AU1177">
        <f ca="1"/>
      </c>
      <c r="AV1177">
        <f ca="1"/>
      </c>
      <c r="AW1177">
        <f ca="1"/>
      </c>
      <c r="AX1177">
        <f ca="1"/>
      </c>
      <c r="AY1177">
        <f ca="1"/>
      </c>
      <c r="BA1177" s="7"/>
    </row>
    <row r="1178" spans="31:53" x14ac:dyDescent="0.55000000000000004">
      <c r="AE1178" s="7">
        <f ca="1"/>
      </c>
      <c r="AF1178">
        <f ca="1"/>
      </c>
      <c r="AG1178">
        <f ca="1"/>
      </c>
      <c r="AH1178">
        <f ca="1"/>
      </c>
      <c r="AI1178">
        <f ca="1"/>
      </c>
      <c r="AJ1178">
        <f ca="1"/>
      </c>
      <c r="AK1178">
        <f ca="1"/>
      </c>
      <c r="AL1178">
        <f ca="1"/>
      </c>
      <c r="AM1178">
        <f ca="1"/>
      </c>
      <c r="AN1178">
        <f ca="1"/>
      </c>
      <c r="AO1178">
        <f ca="1"/>
      </c>
      <c r="AP1178">
        <f ca="1"/>
      </c>
      <c r="AQ1178">
        <f ca="1"/>
      </c>
      <c r="AR1178">
        <f ca="1"/>
      </c>
      <c r="AT1178" s="7">
        <f ca="1"/>
      </c>
      <c r="AU1178">
        <f ca="1"/>
      </c>
      <c r="AV1178">
        <f ca="1"/>
      </c>
      <c r="AW1178">
        <f ca="1"/>
      </c>
      <c r="AX1178">
        <f ca="1"/>
      </c>
      <c r="AY1178">
        <f ca="1"/>
      </c>
      <c r="BA1178" s="7"/>
    </row>
    <row r="1179" spans="31:53" x14ac:dyDescent="0.55000000000000004">
      <c r="AE1179" s="7">
        <f ca="1"/>
      </c>
      <c r="AF1179">
        <f ca="1"/>
      </c>
      <c r="AG1179">
        <f ca="1"/>
      </c>
      <c r="AH1179">
        <f ca="1"/>
      </c>
      <c r="AI1179">
        <f ca="1"/>
      </c>
      <c r="AJ1179">
        <f ca="1"/>
      </c>
      <c r="AK1179">
        <f ca="1"/>
      </c>
      <c r="AL1179">
        <f ca="1"/>
      </c>
      <c r="AM1179">
        <f ca="1"/>
      </c>
      <c r="AN1179">
        <f ca="1"/>
      </c>
      <c r="AO1179">
        <f ca="1"/>
      </c>
      <c r="AP1179">
        <f ca="1"/>
      </c>
      <c r="AQ1179">
        <f ca="1"/>
      </c>
      <c r="AR1179">
        <f ca="1"/>
      </c>
      <c r="AT1179" s="7">
        <f ca="1"/>
      </c>
      <c r="AU1179">
        <f ca="1"/>
      </c>
      <c r="AV1179">
        <f ca="1"/>
      </c>
      <c r="AW1179">
        <f ca="1"/>
      </c>
      <c r="AX1179">
        <f ca="1"/>
      </c>
      <c r="AY1179">
        <f ca="1"/>
      </c>
      <c r="BA1179" s="7"/>
    </row>
    <row r="1180" spans="31:53" x14ac:dyDescent="0.55000000000000004">
      <c r="AE1180" s="7">
        <f ca="1"/>
      </c>
      <c r="AF1180">
        <f ca="1"/>
      </c>
      <c r="AG1180">
        <f ca="1"/>
      </c>
      <c r="AH1180">
        <f ca="1"/>
      </c>
      <c r="AI1180">
        <f ca="1"/>
      </c>
      <c r="AJ1180">
        <f ca="1"/>
      </c>
      <c r="AK1180">
        <f ca="1"/>
      </c>
      <c r="AL1180">
        <f ca="1"/>
      </c>
      <c r="AM1180">
        <f ca="1"/>
      </c>
      <c r="AN1180">
        <f ca="1"/>
      </c>
      <c r="AO1180">
        <f ca="1"/>
      </c>
      <c r="AP1180">
        <f ca="1"/>
      </c>
      <c r="AQ1180">
        <f ca="1"/>
      </c>
      <c r="AR1180">
        <f ca="1"/>
      </c>
      <c r="AT1180" s="7">
        <f ca="1"/>
      </c>
      <c r="AU1180">
        <f ca="1"/>
      </c>
      <c r="AV1180">
        <f ca="1"/>
      </c>
      <c r="AW1180">
        <f ca="1"/>
      </c>
      <c r="AX1180">
        <f ca="1"/>
      </c>
      <c r="AY1180">
        <f ca="1"/>
      </c>
      <c r="BA1180" s="7"/>
    </row>
    <row r="1181" spans="31:53" x14ac:dyDescent="0.55000000000000004">
      <c r="AE1181" s="7">
        <f ca="1"/>
      </c>
      <c r="AF1181">
        <f ca="1"/>
      </c>
      <c r="AG1181">
        <f ca="1"/>
      </c>
      <c r="AH1181">
        <f ca="1"/>
      </c>
      <c r="AI1181">
        <f ca="1"/>
      </c>
      <c r="AJ1181">
        <f ca="1"/>
      </c>
      <c r="AK1181">
        <f ca="1"/>
      </c>
      <c r="AL1181">
        <f ca="1"/>
      </c>
      <c r="AM1181">
        <f ca="1"/>
      </c>
      <c r="AN1181">
        <f ca="1"/>
      </c>
      <c r="AO1181">
        <f ca="1"/>
      </c>
      <c r="AP1181">
        <f ca="1"/>
      </c>
      <c r="AQ1181">
        <f ca="1"/>
      </c>
      <c r="AR1181">
        <f ca="1"/>
      </c>
      <c r="AT1181" s="7">
        <f ca="1"/>
      </c>
      <c r="AU1181">
        <f ca="1"/>
      </c>
      <c r="AV1181">
        <f ca="1"/>
      </c>
      <c r="AW1181">
        <f ca="1"/>
      </c>
      <c r="AX1181">
        <f ca="1"/>
      </c>
      <c r="AY1181">
        <f ca="1"/>
      </c>
      <c r="BA1181" s="7"/>
    </row>
    <row r="1182" spans="31:53" x14ac:dyDescent="0.55000000000000004">
      <c r="AE1182" s="7">
        <f ca="1"/>
      </c>
      <c r="AF1182">
        <f ca="1"/>
      </c>
      <c r="AG1182">
        <f ca="1"/>
      </c>
      <c r="AH1182">
        <f ca="1"/>
      </c>
      <c r="AI1182">
        <f ca="1"/>
      </c>
      <c r="AJ1182">
        <f ca="1"/>
      </c>
      <c r="AK1182">
        <f ca="1"/>
      </c>
      <c r="AL1182">
        <f ca="1"/>
      </c>
      <c r="AM1182">
        <f ca="1"/>
      </c>
      <c r="AN1182">
        <f ca="1"/>
      </c>
      <c r="AO1182">
        <f ca="1"/>
      </c>
      <c r="AP1182">
        <f ca="1"/>
      </c>
      <c r="AQ1182">
        <f ca="1"/>
      </c>
      <c r="AR1182">
        <f ca="1"/>
      </c>
      <c r="AT1182" s="7">
        <f ca="1"/>
      </c>
      <c r="AU1182">
        <f ca="1"/>
      </c>
      <c r="AV1182">
        <f ca="1"/>
      </c>
      <c r="AW1182">
        <f ca="1"/>
      </c>
      <c r="AX1182">
        <f ca="1"/>
      </c>
      <c r="AY1182">
        <f ca="1"/>
      </c>
      <c r="BA1182" s="7"/>
    </row>
    <row r="1183" spans="31:53" x14ac:dyDescent="0.55000000000000004">
      <c r="AE1183" s="7">
        <f ca="1"/>
      </c>
      <c r="AF1183">
        <f ca="1"/>
      </c>
      <c r="AG1183">
        <f ca="1"/>
      </c>
      <c r="AH1183">
        <f ca="1"/>
      </c>
      <c r="AI1183">
        <f ca="1"/>
      </c>
      <c r="AJ1183">
        <f ca="1"/>
      </c>
      <c r="AK1183">
        <f ca="1"/>
      </c>
      <c r="AL1183">
        <f ca="1"/>
      </c>
      <c r="AM1183">
        <f ca="1"/>
      </c>
      <c r="AN1183">
        <f ca="1"/>
      </c>
      <c r="AO1183">
        <f ca="1"/>
      </c>
      <c r="AP1183">
        <f ca="1"/>
      </c>
      <c r="AQ1183">
        <f ca="1"/>
      </c>
      <c r="AR1183">
        <f ca="1"/>
      </c>
      <c r="AT1183" s="7">
        <f ca="1"/>
      </c>
      <c r="AU1183">
        <f ca="1"/>
      </c>
      <c r="AV1183">
        <f ca="1"/>
      </c>
      <c r="AW1183">
        <f ca="1"/>
      </c>
      <c r="AX1183">
        <f ca="1"/>
      </c>
      <c r="AY1183">
        <f ca="1"/>
      </c>
      <c r="BA1183" s="7"/>
    </row>
    <row r="1184" spans="31:53" x14ac:dyDescent="0.55000000000000004">
      <c r="AE1184" s="7">
        <f ca="1"/>
      </c>
      <c r="AF1184">
        <f ca="1"/>
      </c>
      <c r="AG1184">
        <f ca="1"/>
      </c>
      <c r="AH1184">
        <f ca="1"/>
      </c>
      <c r="AI1184">
        <f ca="1"/>
      </c>
      <c r="AJ1184">
        <f ca="1"/>
      </c>
      <c r="AK1184">
        <f ca="1"/>
      </c>
      <c r="AL1184">
        <f ca="1"/>
      </c>
      <c r="AM1184">
        <f ca="1"/>
      </c>
      <c r="AN1184">
        <f ca="1"/>
      </c>
      <c r="AO1184">
        <f ca="1"/>
      </c>
      <c r="AP1184">
        <f ca="1"/>
      </c>
      <c r="AQ1184">
        <f ca="1"/>
      </c>
      <c r="AR1184">
        <f ca="1"/>
      </c>
      <c r="AT1184" s="7">
        <f ca="1"/>
      </c>
      <c r="AU1184">
        <f ca="1"/>
      </c>
      <c r="AV1184">
        <f ca="1"/>
      </c>
      <c r="AW1184">
        <f ca="1"/>
      </c>
      <c r="AX1184">
        <f ca="1"/>
      </c>
      <c r="AY1184">
        <f ca="1"/>
      </c>
      <c r="BA1184" s="7"/>
    </row>
    <row r="1185" spans="31:53" x14ac:dyDescent="0.55000000000000004">
      <c r="AE1185" s="7">
        <f ca="1"/>
      </c>
      <c r="AF1185">
        <f ca="1"/>
      </c>
      <c r="AG1185">
        <f ca="1"/>
      </c>
      <c r="AH1185">
        <f ca="1"/>
      </c>
      <c r="AI1185">
        <f ca="1"/>
      </c>
      <c r="AJ1185">
        <f ca="1"/>
      </c>
      <c r="AK1185">
        <f ca="1"/>
      </c>
      <c r="AL1185">
        <f ca="1"/>
      </c>
      <c r="AM1185">
        <f ca="1"/>
      </c>
      <c r="AN1185">
        <f ca="1"/>
      </c>
      <c r="AO1185">
        <f ca="1"/>
      </c>
      <c r="AP1185">
        <f ca="1"/>
      </c>
      <c r="AQ1185">
        <f ca="1"/>
      </c>
      <c r="AR1185">
        <f ca="1"/>
      </c>
      <c r="AT1185" s="7">
        <f ca="1"/>
      </c>
      <c r="AU1185">
        <f ca="1"/>
      </c>
      <c r="AV1185">
        <f ca="1"/>
      </c>
      <c r="AW1185">
        <f ca="1"/>
      </c>
      <c r="AX1185">
        <f ca="1"/>
      </c>
      <c r="AY1185">
        <f ca="1"/>
      </c>
      <c r="BA1185" s="7"/>
    </row>
    <row r="1186" spans="31:53" x14ac:dyDescent="0.55000000000000004">
      <c r="AE1186" s="7">
        <f ca="1"/>
      </c>
      <c r="AF1186">
        <f ca="1"/>
      </c>
      <c r="AG1186">
        <f ca="1"/>
      </c>
      <c r="AH1186">
        <f ca="1"/>
      </c>
      <c r="AI1186">
        <f ca="1"/>
      </c>
      <c r="AJ1186">
        <f ca="1"/>
      </c>
      <c r="AK1186">
        <f ca="1"/>
      </c>
      <c r="AL1186">
        <f ca="1"/>
      </c>
      <c r="AM1186">
        <f ca="1"/>
      </c>
      <c r="AN1186">
        <f ca="1"/>
      </c>
      <c r="AO1186">
        <f ca="1"/>
      </c>
      <c r="AP1186">
        <f ca="1"/>
      </c>
      <c r="AQ1186">
        <f ca="1"/>
      </c>
      <c r="AR1186">
        <f ca="1"/>
      </c>
      <c r="AT1186" s="7">
        <f ca="1"/>
      </c>
      <c r="AU1186">
        <f ca="1"/>
      </c>
      <c r="AV1186">
        <f ca="1"/>
      </c>
      <c r="AW1186">
        <f ca="1"/>
      </c>
      <c r="AX1186">
        <f ca="1"/>
      </c>
      <c r="AY1186">
        <f ca="1"/>
      </c>
      <c r="BA1186" s="7"/>
    </row>
    <row r="1187" spans="31:53" x14ac:dyDescent="0.55000000000000004">
      <c r="AE1187" s="7">
        <f ca="1"/>
      </c>
      <c r="AF1187">
        <f ca="1"/>
      </c>
      <c r="AG1187">
        <f ca="1"/>
      </c>
      <c r="AH1187">
        <f ca="1"/>
      </c>
      <c r="AI1187">
        <f ca="1"/>
      </c>
      <c r="AJ1187">
        <f ca="1"/>
      </c>
      <c r="AK1187">
        <f ca="1"/>
      </c>
      <c r="AL1187">
        <f ca="1"/>
      </c>
      <c r="AM1187">
        <f ca="1"/>
      </c>
      <c r="AN1187">
        <f ca="1"/>
      </c>
      <c r="AO1187">
        <f ca="1"/>
      </c>
      <c r="AP1187">
        <f ca="1"/>
      </c>
      <c r="AQ1187">
        <f ca="1"/>
      </c>
      <c r="AR1187">
        <f ca="1"/>
      </c>
      <c r="AT1187" s="7">
        <f ca="1"/>
      </c>
      <c r="AU1187">
        <f ca="1"/>
      </c>
      <c r="AV1187">
        <f ca="1"/>
      </c>
      <c r="AW1187">
        <f ca="1"/>
      </c>
      <c r="AX1187">
        <f ca="1"/>
      </c>
      <c r="AY1187">
        <f ca="1"/>
      </c>
      <c r="BA1187" s="7"/>
    </row>
    <row r="1188" spans="31:53" x14ac:dyDescent="0.55000000000000004">
      <c r="AE1188" s="7">
        <f ca="1"/>
      </c>
      <c r="AF1188">
        <f ca="1"/>
      </c>
      <c r="AG1188">
        <f ca="1"/>
      </c>
      <c r="AH1188">
        <f ca="1"/>
      </c>
      <c r="AI1188">
        <f ca="1"/>
      </c>
      <c r="AJ1188">
        <f ca="1"/>
      </c>
      <c r="AK1188">
        <f ca="1"/>
      </c>
      <c r="AL1188">
        <f ca="1"/>
      </c>
      <c r="AM1188">
        <f ca="1"/>
      </c>
      <c r="AN1188">
        <f ca="1"/>
      </c>
      <c r="AO1188">
        <f ca="1"/>
      </c>
      <c r="AP1188">
        <f ca="1"/>
      </c>
      <c r="AQ1188">
        <f ca="1"/>
      </c>
      <c r="AR1188">
        <f ca="1"/>
      </c>
      <c r="AT1188" s="7">
        <f ca="1"/>
      </c>
      <c r="AU1188">
        <f ca="1"/>
      </c>
      <c r="AV1188">
        <f ca="1"/>
      </c>
      <c r="AW1188">
        <f ca="1"/>
      </c>
      <c r="AX1188">
        <f ca="1"/>
      </c>
      <c r="AY1188">
        <f ca="1"/>
      </c>
      <c r="BA1188" s="7"/>
    </row>
    <row r="1189" spans="31:53" x14ac:dyDescent="0.55000000000000004">
      <c r="AE1189" s="7">
        <f ca="1"/>
      </c>
      <c r="AF1189">
        <f ca="1"/>
      </c>
      <c r="AG1189">
        <f ca="1"/>
      </c>
      <c r="AH1189">
        <f ca="1"/>
      </c>
      <c r="AI1189">
        <f ca="1"/>
      </c>
      <c r="AJ1189">
        <f ca="1"/>
      </c>
      <c r="AK1189">
        <f ca="1"/>
      </c>
      <c r="AL1189">
        <f ca="1"/>
      </c>
      <c r="AM1189">
        <f ca="1"/>
      </c>
      <c r="AN1189">
        <f ca="1"/>
      </c>
      <c r="AO1189">
        <f ca="1"/>
      </c>
      <c r="AP1189">
        <f ca="1"/>
      </c>
      <c r="AQ1189">
        <f ca="1"/>
      </c>
      <c r="AR1189">
        <f ca="1"/>
      </c>
      <c r="AT1189" s="7">
        <f ca="1"/>
      </c>
      <c r="AU1189">
        <f ca="1"/>
      </c>
      <c r="AV1189">
        <f ca="1"/>
      </c>
      <c r="AW1189">
        <f ca="1"/>
      </c>
      <c r="AX1189">
        <f ca="1"/>
      </c>
      <c r="AY1189">
        <f ca="1"/>
      </c>
      <c r="BA1189" s="7"/>
    </row>
    <row r="1190" spans="31:53" x14ac:dyDescent="0.55000000000000004">
      <c r="AE1190" s="7">
        <f ca="1"/>
      </c>
      <c r="AF1190">
        <f ca="1"/>
      </c>
      <c r="AG1190">
        <f ca="1"/>
      </c>
      <c r="AH1190">
        <f ca="1"/>
      </c>
      <c r="AI1190">
        <f ca="1"/>
      </c>
      <c r="AJ1190">
        <f ca="1"/>
      </c>
      <c r="AK1190">
        <f ca="1"/>
      </c>
      <c r="AL1190">
        <f ca="1"/>
      </c>
      <c r="AM1190">
        <f ca="1"/>
      </c>
      <c r="AN1190">
        <f ca="1"/>
      </c>
      <c r="AO1190">
        <f ca="1"/>
      </c>
      <c r="AP1190">
        <f ca="1"/>
      </c>
      <c r="AQ1190">
        <f ca="1"/>
      </c>
      <c r="AR1190">
        <f ca="1"/>
      </c>
      <c r="AT1190" s="7">
        <f ca="1"/>
      </c>
      <c r="AU1190">
        <f ca="1"/>
      </c>
      <c r="AV1190">
        <f ca="1"/>
      </c>
      <c r="AW1190">
        <f ca="1"/>
      </c>
      <c r="AX1190">
        <f ca="1"/>
      </c>
      <c r="AY1190">
        <f ca="1"/>
      </c>
      <c r="BA1190" s="7"/>
    </row>
    <row r="1191" spans="31:53" x14ac:dyDescent="0.55000000000000004">
      <c r="AE1191" s="7">
        <f ca="1"/>
      </c>
      <c r="AF1191">
        <f ca="1"/>
      </c>
      <c r="AG1191">
        <f ca="1"/>
      </c>
      <c r="AH1191">
        <f ca="1"/>
      </c>
      <c r="AI1191">
        <f ca="1"/>
      </c>
      <c r="AJ1191">
        <f ca="1"/>
      </c>
      <c r="AK1191">
        <f ca="1"/>
      </c>
      <c r="AL1191">
        <f ca="1"/>
      </c>
      <c r="AM1191">
        <f ca="1"/>
      </c>
      <c r="AN1191">
        <f ca="1"/>
      </c>
      <c r="AO1191">
        <f ca="1"/>
      </c>
      <c r="AP1191">
        <f ca="1"/>
      </c>
      <c r="AQ1191">
        <f ca="1"/>
      </c>
      <c r="AR1191">
        <f ca="1"/>
      </c>
      <c r="AT1191" s="7">
        <f ca="1"/>
      </c>
      <c r="AU1191">
        <f ca="1"/>
      </c>
      <c r="AV1191">
        <f ca="1"/>
      </c>
      <c r="AW1191">
        <f ca="1"/>
      </c>
      <c r="AX1191">
        <f ca="1"/>
      </c>
      <c r="AY1191">
        <f ca="1"/>
      </c>
      <c r="BA1191" s="7"/>
    </row>
    <row r="1192" spans="31:53" x14ac:dyDescent="0.55000000000000004">
      <c r="AE1192" s="7">
        <f ca="1"/>
      </c>
      <c r="AF1192">
        <f ca="1"/>
      </c>
      <c r="AG1192">
        <f ca="1"/>
      </c>
      <c r="AH1192">
        <f ca="1"/>
      </c>
      <c r="AI1192">
        <f ca="1"/>
      </c>
      <c r="AJ1192">
        <f ca="1"/>
      </c>
      <c r="AK1192">
        <f ca="1"/>
      </c>
      <c r="AL1192">
        <f ca="1"/>
      </c>
      <c r="AM1192">
        <f ca="1"/>
      </c>
      <c r="AN1192">
        <f ca="1"/>
      </c>
      <c r="AO1192">
        <f ca="1"/>
      </c>
      <c r="AP1192">
        <f ca="1"/>
      </c>
      <c r="AQ1192">
        <f ca="1"/>
      </c>
      <c r="AR1192">
        <f ca="1"/>
      </c>
      <c r="AT1192" s="7">
        <f ca="1"/>
      </c>
      <c r="AU1192">
        <f ca="1"/>
      </c>
      <c r="AV1192">
        <f ca="1"/>
      </c>
      <c r="AW1192">
        <f ca="1"/>
      </c>
      <c r="AX1192">
        <f ca="1"/>
      </c>
      <c r="AY1192">
        <f ca="1"/>
      </c>
      <c r="BA1192" s="7"/>
    </row>
    <row r="1193" spans="31:53" x14ac:dyDescent="0.55000000000000004">
      <c r="AE1193" s="7">
        <f ca="1"/>
      </c>
      <c r="AF1193">
        <f ca="1"/>
      </c>
      <c r="AG1193">
        <f ca="1"/>
      </c>
      <c r="AH1193">
        <f ca="1"/>
      </c>
      <c r="AI1193">
        <f ca="1"/>
      </c>
      <c r="AJ1193">
        <f ca="1"/>
      </c>
      <c r="AK1193">
        <f ca="1"/>
      </c>
      <c r="AL1193">
        <f ca="1"/>
      </c>
      <c r="AM1193">
        <f ca="1"/>
      </c>
      <c r="AN1193">
        <f ca="1"/>
      </c>
      <c r="AO1193">
        <f ca="1"/>
      </c>
      <c r="AP1193">
        <f ca="1"/>
      </c>
      <c r="AQ1193">
        <f ca="1"/>
      </c>
      <c r="AR1193">
        <f ca="1"/>
      </c>
      <c r="AT1193" s="7">
        <f ca="1"/>
      </c>
      <c r="AU1193">
        <f ca="1"/>
      </c>
      <c r="AV1193">
        <f ca="1"/>
      </c>
      <c r="AW1193">
        <f ca="1"/>
      </c>
      <c r="AX1193">
        <f ca="1"/>
      </c>
      <c r="AY1193">
        <f ca="1"/>
      </c>
      <c r="BA1193" s="7"/>
    </row>
    <row r="1194" spans="31:53" x14ac:dyDescent="0.55000000000000004">
      <c r="AE1194" s="7">
        <f ca="1"/>
      </c>
      <c r="AF1194">
        <f ca="1"/>
      </c>
      <c r="AG1194">
        <f ca="1"/>
      </c>
      <c r="AH1194">
        <f ca="1"/>
      </c>
      <c r="AI1194">
        <f ca="1"/>
      </c>
      <c r="AJ1194">
        <f ca="1"/>
      </c>
      <c r="AK1194">
        <f ca="1"/>
      </c>
      <c r="AL1194">
        <f ca="1"/>
      </c>
      <c r="AM1194">
        <f ca="1"/>
      </c>
      <c r="AN1194">
        <f ca="1"/>
      </c>
      <c r="AO1194">
        <f ca="1"/>
      </c>
      <c r="AP1194">
        <f ca="1"/>
      </c>
      <c r="AQ1194">
        <f ca="1"/>
      </c>
      <c r="AR1194">
        <f ca="1"/>
      </c>
      <c r="AT1194" s="7">
        <f ca="1"/>
      </c>
      <c r="AU1194">
        <f ca="1"/>
      </c>
      <c r="AV1194">
        <f ca="1"/>
      </c>
      <c r="AW1194">
        <f ca="1"/>
      </c>
      <c r="AX1194">
        <f ca="1"/>
      </c>
      <c r="AY1194">
        <f ca="1"/>
      </c>
      <c r="BA1194" s="7"/>
    </row>
    <row r="1195" spans="31:53" x14ac:dyDescent="0.55000000000000004">
      <c r="AE1195" s="7">
        <f ca="1"/>
      </c>
      <c r="AF1195">
        <f ca="1"/>
      </c>
      <c r="AG1195">
        <f ca="1"/>
      </c>
      <c r="AH1195">
        <f ca="1"/>
      </c>
      <c r="AI1195">
        <f ca="1"/>
      </c>
      <c r="AJ1195">
        <f ca="1"/>
      </c>
      <c r="AK1195">
        <f ca="1"/>
      </c>
      <c r="AL1195">
        <f ca="1"/>
      </c>
      <c r="AM1195">
        <f ca="1"/>
      </c>
      <c r="AN1195">
        <f ca="1"/>
      </c>
      <c r="AO1195">
        <f ca="1"/>
      </c>
      <c r="AP1195">
        <f ca="1"/>
      </c>
      <c r="AQ1195">
        <f ca="1"/>
      </c>
      <c r="AR1195">
        <f ca="1"/>
      </c>
      <c r="AT1195" s="7">
        <f ca="1"/>
      </c>
      <c r="AU1195">
        <f ca="1"/>
      </c>
      <c r="AV1195">
        <f ca="1"/>
      </c>
      <c r="AW1195">
        <f ca="1"/>
      </c>
      <c r="AX1195">
        <f ca="1"/>
      </c>
      <c r="AY1195">
        <f ca="1"/>
      </c>
      <c r="BA1195" s="7"/>
    </row>
    <row r="1196" spans="31:53" x14ac:dyDescent="0.55000000000000004">
      <c r="AE1196" s="7">
        <f ca="1"/>
      </c>
      <c r="AF1196">
        <f ca="1"/>
      </c>
      <c r="AG1196">
        <f ca="1"/>
      </c>
      <c r="AH1196">
        <f ca="1"/>
      </c>
      <c r="AI1196">
        <f ca="1"/>
      </c>
      <c r="AJ1196">
        <f ca="1"/>
      </c>
      <c r="AK1196">
        <f ca="1"/>
      </c>
      <c r="AL1196">
        <f ca="1"/>
      </c>
      <c r="AM1196">
        <f ca="1"/>
      </c>
      <c r="AN1196">
        <f ca="1"/>
      </c>
      <c r="AO1196">
        <f ca="1"/>
      </c>
      <c r="AP1196">
        <f ca="1"/>
      </c>
      <c r="AQ1196">
        <f ca="1"/>
      </c>
      <c r="AR1196">
        <f ca="1"/>
      </c>
      <c r="AT1196" s="7">
        <f ca="1"/>
      </c>
      <c r="AU1196">
        <f ca="1"/>
      </c>
      <c r="AV1196">
        <f ca="1"/>
      </c>
      <c r="AW1196">
        <f ca="1"/>
      </c>
      <c r="AX1196">
        <f ca="1"/>
      </c>
      <c r="AY1196">
        <f ca="1"/>
      </c>
      <c r="BA1196" s="7"/>
    </row>
    <row r="1197" spans="31:53" x14ac:dyDescent="0.55000000000000004">
      <c r="AE1197" s="7">
        <f ca="1"/>
      </c>
      <c r="AF1197">
        <f ca="1"/>
      </c>
      <c r="AG1197">
        <f ca="1"/>
      </c>
      <c r="AH1197">
        <f ca="1"/>
      </c>
      <c r="AI1197">
        <f ca="1"/>
      </c>
      <c r="AJ1197">
        <f ca="1"/>
      </c>
      <c r="AK1197">
        <f ca="1"/>
      </c>
      <c r="AL1197">
        <f ca="1"/>
      </c>
      <c r="AM1197">
        <f ca="1"/>
      </c>
      <c r="AN1197">
        <f ca="1"/>
      </c>
      <c r="AO1197">
        <f ca="1"/>
      </c>
      <c r="AP1197">
        <f ca="1"/>
      </c>
      <c r="AQ1197">
        <f ca="1"/>
      </c>
      <c r="AR1197">
        <f ca="1"/>
      </c>
      <c r="AT1197" s="7">
        <f ca="1"/>
      </c>
      <c r="AU1197">
        <f ca="1"/>
      </c>
      <c r="AV1197">
        <f ca="1"/>
      </c>
      <c r="AW1197">
        <f ca="1"/>
      </c>
      <c r="AX1197">
        <f ca="1"/>
      </c>
      <c r="AY1197">
        <f ca="1"/>
      </c>
      <c r="BA1197" s="7"/>
    </row>
    <row r="1198" spans="31:53" x14ac:dyDescent="0.55000000000000004">
      <c r="AE1198" s="7">
        <f ca="1"/>
      </c>
      <c r="AF1198">
        <f ca="1"/>
      </c>
      <c r="AG1198">
        <f ca="1"/>
      </c>
      <c r="AH1198">
        <f ca="1"/>
      </c>
      <c r="AI1198">
        <f ca="1"/>
      </c>
      <c r="AJ1198">
        <f ca="1"/>
      </c>
      <c r="AK1198">
        <f ca="1"/>
      </c>
      <c r="AL1198">
        <f ca="1"/>
      </c>
      <c r="AM1198">
        <f ca="1"/>
      </c>
      <c r="AN1198">
        <f ca="1"/>
      </c>
      <c r="AO1198">
        <f ca="1"/>
      </c>
      <c r="AP1198">
        <f ca="1"/>
      </c>
      <c r="AQ1198">
        <f ca="1"/>
      </c>
      <c r="AR1198">
        <f ca="1"/>
      </c>
      <c r="AT1198" s="7">
        <f ca="1"/>
      </c>
      <c r="AU1198">
        <f ca="1"/>
      </c>
      <c r="AV1198">
        <f ca="1"/>
      </c>
      <c r="AW1198">
        <f ca="1"/>
      </c>
      <c r="AX1198">
        <f ca="1"/>
      </c>
      <c r="AY1198">
        <f ca="1"/>
      </c>
      <c r="BA1198" s="7"/>
    </row>
    <row r="1199" spans="31:53" x14ac:dyDescent="0.55000000000000004">
      <c r="AE1199" s="7">
        <f ca="1"/>
      </c>
      <c r="AF1199">
        <f ca="1"/>
      </c>
      <c r="AG1199">
        <f ca="1"/>
      </c>
      <c r="AH1199">
        <f ca="1"/>
      </c>
      <c r="AI1199">
        <f ca="1"/>
      </c>
      <c r="AJ1199">
        <f ca="1"/>
      </c>
      <c r="AK1199">
        <f ca="1"/>
      </c>
      <c r="AL1199">
        <f ca="1"/>
      </c>
      <c r="AM1199">
        <f ca="1"/>
      </c>
      <c r="AN1199">
        <f ca="1"/>
      </c>
      <c r="AO1199">
        <f ca="1"/>
      </c>
      <c r="AP1199">
        <f ca="1"/>
      </c>
      <c r="AQ1199">
        <f ca="1"/>
      </c>
      <c r="AR1199">
        <f ca="1"/>
      </c>
      <c r="AT1199" s="7">
        <f ca="1"/>
      </c>
      <c r="AU1199">
        <f ca="1"/>
      </c>
      <c r="AV1199">
        <f ca="1"/>
      </c>
      <c r="AW1199">
        <f ca="1"/>
      </c>
      <c r="AX1199">
        <f ca="1"/>
      </c>
      <c r="AY1199">
        <f ca="1"/>
      </c>
      <c r="BA1199" s="7"/>
    </row>
    <row r="1200" spans="31:53" x14ac:dyDescent="0.55000000000000004">
      <c r="AE1200" s="7">
        <f ca="1"/>
      </c>
      <c r="AF1200">
        <f ca="1"/>
      </c>
      <c r="AG1200">
        <f ca="1"/>
      </c>
      <c r="AH1200">
        <f ca="1"/>
      </c>
      <c r="AI1200">
        <f ca="1"/>
      </c>
      <c r="AJ1200">
        <f ca="1"/>
      </c>
      <c r="AK1200">
        <f ca="1"/>
      </c>
      <c r="AL1200">
        <f ca="1"/>
      </c>
      <c r="AM1200">
        <f ca="1"/>
      </c>
      <c r="AN1200">
        <f ca="1"/>
      </c>
      <c r="AO1200">
        <f ca="1"/>
      </c>
      <c r="AP1200">
        <f ca="1"/>
      </c>
      <c r="AQ1200">
        <f ca="1"/>
      </c>
      <c r="AR1200">
        <f ca="1"/>
      </c>
      <c r="AT1200" s="7">
        <f ca="1"/>
      </c>
      <c r="AU1200">
        <f ca="1"/>
      </c>
      <c r="AV1200">
        <f ca="1"/>
      </c>
      <c r="AW1200">
        <f ca="1"/>
      </c>
      <c r="AX1200">
        <f ca="1"/>
      </c>
      <c r="AY1200">
        <f ca="1"/>
      </c>
      <c r="BA1200" s="7"/>
    </row>
    <row r="1201" spans="31:53" x14ac:dyDescent="0.55000000000000004">
      <c r="AE1201" s="7">
        <f ca="1"/>
      </c>
      <c r="AF1201">
        <f ca="1"/>
      </c>
      <c r="AG1201">
        <f ca="1"/>
      </c>
      <c r="AH1201">
        <f ca="1"/>
      </c>
      <c r="AI1201">
        <f ca="1"/>
      </c>
      <c r="AJ1201">
        <f ca="1"/>
      </c>
      <c r="AK1201">
        <f ca="1"/>
      </c>
      <c r="AL1201">
        <f ca="1"/>
      </c>
      <c r="AM1201">
        <f ca="1"/>
      </c>
      <c r="AN1201">
        <f ca="1"/>
      </c>
      <c r="AO1201">
        <f ca="1"/>
      </c>
      <c r="AP1201">
        <f ca="1"/>
      </c>
      <c r="AQ1201">
        <f ca="1"/>
      </c>
      <c r="AR1201">
        <f ca="1"/>
      </c>
      <c r="AT1201" s="7">
        <f ca="1"/>
      </c>
      <c r="AU1201">
        <f ca="1"/>
      </c>
      <c r="AV1201">
        <f ca="1"/>
      </c>
      <c r="AW1201">
        <f ca="1"/>
      </c>
      <c r="AX1201">
        <f ca="1"/>
      </c>
      <c r="AY1201">
        <f ca="1"/>
      </c>
      <c r="BA1201" s="7"/>
    </row>
    <row r="1202" spans="31:53" x14ac:dyDescent="0.55000000000000004">
      <c r="AE1202" s="7">
        <f ca="1"/>
      </c>
      <c r="AF1202">
        <f ca="1"/>
      </c>
      <c r="AG1202">
        <f ca="1"/>
      </c>
      <c r="AH1202">
        <f ca="1"/>
      </c>
      <c r="AI1202">
        <f ca="1"/>
      </c>
      <c r="AJ1202">
        <f ca="1"/>
      </c>
      <c r="AK1202">
        <f ca="1"/>
      </c>
      <c r="AL1202">
        <f ca="1"/>
      </c>
      <c r="AM1202">
        <f ca="1"/>
      </c>
      <c r="AN1202">
        <f ca="1"/>
      </c>
      <c r="AO1202">
        <f ca="1"/>
      </c>
      <c r="AP1202">
        <f ca="1"/>
      </c>
      <c r="AQ1202">
        <f ca="1"/>
      </c>
      <c r="AR1202">
        <f ca="1"/>
      </c>
      <c r="AT1202" s="7">
        <f ca="1"/>
      </c>
      <c r="AU1202">
        <f ca="1"/>
      </c>
      <c r="AV1202">
        <f ca="1"/>
      </c>
      <c r="AW1202">
        <f ca="1"/>
      </c>
      <c r="AX1202">
        <f ca="1"/>
      </c>
      <c r="AY1202">
        <f ca="1"/>
      </c>
      <c r="BA1202" s="7"/>
    </row>
    <row r="1203" spans="31:53" x14ac:dyDescent="0.55000000000000004">
      <c r="AE1203" s="7">
        <f ca="1"/>
      </c>
      <c r="AF1203">
        <f ca="1"/>
      </c>
      <c r="AG1203">
        <f ca="1"/>
      </c>
      <c r="AH1203">
        <f ca="1"/>
      </c>
      <c r="AI1203">
        <f ca="1"/>
      </c>
      <c r="AJ1203">
        <f ca="1"/>
      </c>
      <c r="AK1203">
        <f ca="1"/>
      </c>
      <c r="AL1203">
        <f ca="1"/>
      </c>
      <c r="AM1203">
        <f ca="1"/>
      </c>
      <c r="AN1203">
        <f ca="1"/>
      </c>
      <c r="AO1203">
        <f ca="1"/>
      </c>
      <c r="AP1203">
        <f ca="1"/>
      </c>
      <c r="AQ1203">
        <f ca="1"/>
      </c>
      <c r="AR1203">
        <f ca="1"/>
      </c>
      <c r="AT1203" s="7">
        <f ca="1"/>
      </c>
      <c r="AU1203">
        <f ca="1"/>
      </c>
      <c r="AV1203">
        <f ca="1"/>
      </c>
      <c r="AW1203">
        <f ca="1"/>
      </c>
      <c r="AX1203">
        <f ca="1"/>
      </c>
      <c r="AY1203">
        <f ca="1"/>
      </c>
      <c r="BA1203" s="7"/>
    </row>
    <row r="1204" spans="31:53" x14ac:dyDescent="0.55000000000000004">
      <c r="AE1204" s="7">
        <f ca="1"/>
      </c>
      <c r="AF1204">
        <f ca="1"/>
      </c>
      <c r="AG1204">
        <f ca="1"/>
      </c>
      <c r="AH1204">
        <f ca="1"/>
      </c>
      <c r="AI1204">
        <f ca="1"/>
      </c>
      <c r="AJ1204">
        <f ca="1"/>
      </c>
      <c r="AK1204">
        <f ca="1"/>
      </c>
      <c r="AL1204">
        <f ca="1"/>
      </c>
      <c r="AM1204">
        <f ca="1"/>
      </c>
      <c r="AN1204">
        <f ca="1"/>
      </c>
      <c r="AO1204">
        <f ca="1"/>
      </c>
      <c r="AP1204">
        <f ca="1"/>
      </c>
      <c r="AQ1204">
        <f ca="1"/>
      </c>
      <c r="AR1204">
        <f ca="1"/>
      </c>
      <c r="AT1204" s="7">
        <f ca="1"/>
      </c>
      <c r="AU1204">
        <f ca="1"/>
      </c>
      <c r="AV1204">
        <f ca="1"/>
      </c>
      <c r="AW1204">
        <f ca="1"/>
      </c>
      <c r="AX1204">
        <f ca="1"/>
      </c>
      <c r="AY1204">
        <f ca="1"/>
      </c>
      <c r="BA1204" s="7"/>
    </row>
    <row r="1205" spans="31:53" x14ac:dyDescent="0.55000000000000004">
      <c r="AE1205" s="7">
        <f ca="1"/>
      </c>
      <c r="AF1205">
        <f ca="1"/>
      </c>
      <c r="AG1205">
        <f ca="1"/>
      </c>
      <c r="AH1205">
        <f ca="1"/>
      </c>
      <c r="AI1205">
        <f ca="1"/>
      </c>
      <c r="AJ1205">
        <f ca="1"/>
      </c>
      <c r="AK1205">
        <f ca="1"/>
      </c>
      <c r="AL1205">
        <f ca="1"/>
      </c>
      <c r="AM1205">
        <f ca="1"/>
      </c>
      <c r="AN1205">
        <f ca="1"/>
      </c>
      <c r="AO1205">
        <f ca="1"/>
      </c>
      <c r="AP1205">
        <f ca="1"/>
      </c>
      <c r="AQ1205">
        <f ca="1"/>
      </c>
      <c r="AR1205">
        <f ca="1"/>
      </c>
      <c r="AT1205" s="7">
        <f ca="1"/>
      </c>
      <c r="AU1205">
        <f ca="1"/>
      </c>
      <c r="AV1205">
        <f ca="1"/>
      </c>
      <c r="AW1205">
        <f ca="1"/>
      </c>
      <c r="AX1205">
        <f ca="1"/>
      </c>
      <c r="AY1205">
        <f ca="1"/>
      </c>
      <c r="BA1205" s="7"/>
    </row>
    <row r="1206" spans="31:53" x14ac:dyDescent="0.55000000000000004">
      <c r="AE1206" s="7">
        <f ca="1"/>
      </c>
      <c r="AF1206">
        <f ca="1"/>
      </c>
      <c r="AG1206">
        <f ca="1"/>
      </c>
      <c r="AH1206">
        <f ca="1"/>
      </c>
      <c r="AI1206">
        <f ca="1"/>
      </c>
      <c r="AJ1206">
        <f ca="1"/>
      </c>
      <c r="AK1206">
        <f ca="1"/>
      </c>
      <c r="AL1206">
        <f ca="1"/>
      </c>
      <c r="AM1206">
        <f ca="1"/>
      </c>
      <c r="AN1206">
        <f ca="1"/>
      </c>
      <c r="AO1206">
        <f ca="1"/>
      </c>
      <c r="AP1206">
        <f ca="1"/>
      </c>
      <c r="AQ1206">
        <f ca="1"/>
      </c>
      <c r="AR1206">
        <f ca="1"/>
      </c>
      <c r="AT1206" s="7">
        <f ca="1"/>
      </c>
      <c r="AU1206">
        <f ca="1"/>
      </c>
      <c r="AV1206">
        <f ca="1"/>
      </c>
      <c r="AW1206">
        <f ca="1"/>
      </c>
      <c r="AX1206">
        <f ca="1"/>
      </c>
      <c r="AY1206">
        <f ca="1"/>
      </c>
      <c r="BA1206" s="7"/>
    </row>
    <row r="1207" spans="31:53" x14ac:dyDescent="0.55000000000000004">
      <c r="AE1207" s="7">
        <f ca="1"/>
      </c>
      <c r="AF1207">
        <f ca="1"/>
      </c>
      <c r="AG1207">
        <f ca="1"/>
      </c>
      <c r="AH1207">
        <f ca="1"/>
      </c>
      <c r="AI1207">
        <f ca="1"/>
      </c>
      <c r="AJ1207">
        <f ca="1"/>
      </c>
      <c r="AK1207">
        <f ca="1"/>
      </c>
      <c r="AL1207">
        <f ca="1"/>
      </c>
      <c r="AM1207">
        <f ca="1"/>
      </c>
      <c r="AN1207">
        <f ca="1"/>
      </c>
      <c r="AO1207">
        <f ca="1"/>
      </c>
      <c r="AP1207">
        <f ca="1"/>
      </c>
      <c r="AQ1207">
        <f ca="1"/>
      </c>
      <c r="AR1207">
        <f ca="1"/>
      </c>
      <c r="AT1207" s="7">
        <f ca="1"/>
      </c>
      <c r="AU1207">
        <f ca="1"/>
      </c>
      <c r="AV1207">
        <f ca="1"/>
      </c>
      <c r="AW1207">
        <f ca="1"/>
      </c>
      <c r="AX1207">
        <f ca="1"/>
      </c>
      <c r="AY1207">
        <f ca="1"/>
      </c>
      <c r="BA1207" s="7"/>
    </row>
    <row r="1208" spans="31:53" x14ac:dyDescent="0.55000000000000004">
      <c r="AE1208" s="7">
        <f ca="1"/>
      </c>
      <c r="AF1208">
        <f ca="1"/>
      </c>
      <c r="AG1208">
        <f ca="1"/>
      </c>
      <c r="AH1208">
        <f ca="1"/>
      </c>
      <c r="AI1208">
        <f ca="1"/>
      </c>
      <c r="AJ1208">
        <f ca="1"/>
      </c>
      <c r="AK1208">
        <f ca="1"/>
      </c>
      <c r="AL1208">
        <f ca="1"/>
      </c>
      <c r="AM1208">
        <f ca="1"/>
      </c>
      <c r="AN1208">
        <f ca="1"/>
      </c>
      <c r="AO1208">
        <f ca="1"/>
      </c>
      <c r="AP1208">
        <f ca="1"/>
      </c>
      <c r="AQ1208">
        <f ca="1"/>
      </c>
      <c r="AR1208">
        <f ca="1"/>
      </c>
      <c r="AT1208" s="7">
        <f ca="1"/>
      </c>
      <c r="AU1208">
        <f ca="1"/>
      </c>
      <c r="AV1208">
        <f ca="1"/>
      </c>
      <c r="AW1208">
        <f ca="1"/>
      </c>
      <c r="AX1208">
        <f ca="1"/>
      </c>
      <c r="AY1208">
        <f ca="1"/>
      </c>
      <c r="BA1208" s="7"/>
    </row>
    <row r="1209" spans="31:53" x14ac:dyDescent="0.55000000000000004">
      <c r="AE1209" s="7">
        <f ca="1"/>
      </c>
      <c r="AF1209">
        <f ca="1"/>
      </c>
      <c r="AG1209">
        <f ca="1"/>
      </c>
      <c r="AH1209">
        <f ca="1"/>
      </c>
      <c r="AI1209">
        <f ca="1"/>
      </c>
      <c r="AJ1209">
        <f ca="1"/>
      </c>
      <c r="AK1209">
        <f ca="1"/>
      </c>
      <c r="AL1209">
        <f ca="1"/>
      </c>
      <c r="AM1209">
        <f ca="1"/>
      </c>
      <c r="AN1209">
        <f ca="1"/>
      </c>
      <c r="AO1209">
        <f ca="1"/>
      </c>
      <c r="AP1209">
        <f ca="1"/>
      </c>
      <c r="AQ1209">
        <f ca="1"/>
      </c>
      <c r="AR1209">
        <f ca="1"/>
      </c>
      <c r="AT1209" s="7">
        <f ca="1"/>
      </c>
      <c r="AU1209">
        <f ca="1"/>
      </c>
      <c r="AV1209">
        <f ca="1"/>
      </c>
      <c r="AW1209">
        <f ca="1"/>
      </c>
      <c r="AX1209">
        <f ca="1"/>
      </c>
      <c r="AY1209">
        <f ca="1"/>
      </c>
      <c r="BA1209" s="7"/>
    </row>
    <row r="1210" spans="31:53" x14ac:dyDescent="0.55000000000000004">
      <c r="AE1210" s="7">
        <f ca="1"/>
      </c>
      <c r="AF1210">
        <f ca="1"/>
      </c>
      <c r="AG1210">
        <f ca="1"/>
      </c>
      <c r="AH1210">
        <f ca="1"/>
      </c>
      <c r="AI1210">
        <f ca="1"/>
      </c>
      <c r="AJ1210">
        <f ca="1"/>
      </c>
      <c r="AK1210">
        <f ca="1"/>
      </c>
      <c r="AL1210">
        <f ca="1"/>
      </c>
      <c r="AM1210">
        <f ca="1"/>
      </c>
      <c r="AN1210">
        <f ca="1"/>
      </c>
      <c r="AO1210">
        <f ca="1"/>
      </c>
      <c r="AP1210">
        <f ca="1"/>
      </c>
      <c r="AQ1210">
        <f ca="1"/>
      </c>
      <c r="AR1210">
        <f ca="1"/>
      </c>
      <c r="AT1210" s="7">
        <f ca="1"/>
      </c>
      <c r="AU1210">
        <f ca="1"/>
      </c>
      <c r="AV1210">
        <f ca="1"/>
      </c>
      <c r="AW1210">
        <f ca="1"/>
      </c>
      <c r="AX1210">
        <f ca="1"/>
      </c>
      <c r="AY1210">
        <f ca="1"/>
      </c>
      <c r="BA1210" s="7"/>
    </row>
    <row r="1211" spans="31:53" x14ac:dyDescent="0.55000000000000004">
      <c r="AE1211" s="7">
        <f ca="1"/>
      </c>
      <c r="AF1211">
        <f ca="1"/>
      </c>
      <c r="AG1211">
        <f ca="1"/>
      </c>
      <c r="AH1211">
        <f ca="1"/>
      </c>
      <c r="AI1211">
        <f ca="1"/>
      </c>
      <c r="AJ1211">
        <f ca="1"/>
      </c>
      <c r="AK1211">
        <f ca="1"/>
      </c>
      <c r="AL1211">
        <f ca="1"/>
      </c>
      <c r="AM1211">
        <f ca="1"/>
      </c>
      <c r="AN1211">
        <f ca="1"/>
      </c>
      <c r="AO1211">
        <f ca="1"/>
      </c>
      <c r="AP1211">
        <f ca="1"/>
      </c>
      <c r="AQ1211">
        <f ca="1"/>
      </c>
      <c r="AR1211">
        <f ca="1"/>
      </c>
      <c r="AT1211" s="7">
        <f ca="1"/>
      </c>
      <c r="AU1211">
        <f ca="1"/>
      </c>
      <c r="AV1211">
        <f ca="1"/>
      </c>
      <c r="AW1211">
        <f ca="1"/>
      </c>
      <c r="AX1211">
        <f ca="1"/>
      </c>
      <c r="AY1211">
        <f ca="1"/>
      </c>
      <c r="BA1211" s="7"/>
    </row>
    <row r="1212" spans="31:53" x14ac:dyDescent="0.55000000000000004">
      <c r="AE1212" s="7">
        <f ca="1"/>
      </c>
      <c r="AF1212">
        <f ca="1"/>
      </c>
      <c r="AG1212">
        <f ca="1"/>
      </c>
      <c r="AH1212">
        <f ca="1"/>
      </c>
      <c r="AI1212">
        <f ca="1"/>
      </c>
      <c r="AJ1212">
        <f ca="1"/>
      </c>
      <c r="AK1212">
        <f ca="1"/>
      </c>
      <c r="AL1212">
        <f ca="1"/>
      </c>
      <c r="AM1212">
        <f ca="1"/>
      </c>
      <c r="AN1212">
        <f ca="1"/>
      </c>
      <c r="AO1212">
        <f ca="1"/>
      </c>
      <c r="AP1212">
        <f ca="1"/>
      </c>
      <c r="AQ1212">
        <f ca="1"/>
      </c>
      <c r="AR1212">
        <f ca="1"/>
      </c>
      <c r="AT1212" s="7">
        <f ca="1"/>
      </c>
      <c r="AU1212">
        <f ca="1"/>
      </c>
      <c r="AV1212">
        <f ca="1"/>
      </c>
      <c r="AW1212">
        <f ca="1"/>
      </c>
      <c r="AX1212">
        <f ca="1"/>
      </c>
      <c r="AY1212">
        <f ca="1"/>
      </c>
      <c r="BA1212" s="7"/>
    </row>
    <row r="1213" spans="31:53" x14ac:dyDescent="0.55000000000000004">
      <c r="AE1213" s="7">
        <f ca="1"/>
      </c>
      <c r="AF1213">
        <f ca="1"/>
      </c>
      <c r="AG1213">
        <f ca="1"/>
      </c>
      <c r="AH1213">
        <f ca="1"/>
      </c>
      <c r="AI1213">
        <f ca="1"/>
      </c>
      <c r="AJ1213">
        <f ca="1"/>
      </c>
      <c r="AK1213">
        <f ca="1"/>
      </c>
      <c r="AL1213">
        <f ca="1"/>
      </c>
      <c r="AM1213">
        <f ca="1"/>
      </c>
      <c r="AN1213">
        <f ca="1"/>
      </c>
      <c r="AO1213">
        <f ca="1"/>
      </c>
      <c r="AP1213">
        <f ca="1"/>
      </c>
      <c r="AQ1213">
        <f ca="1"/>
      </c>
      <c r="AR1213">
        <f ca="1"/>
      </c>
      <c r="AT1213" s="7">
        <f ca="1"/>
      </c>
      <c r="AU1213">
        <f ca="1"/>
      </c>
      <c r="AV1213">
        <f ca="1"/>
      </c>
      <c r="AW1213">
        <f ca="1"/>
      </c>
      <c r="AX1213">
        <f ca="1"/>
      </c>
      <c r="AY1213">
        <f ca="1"/>
      </c>
      <c r="BA1213" s="7"/>
    </row>
    <row r="1214" spans="31:53" x14ac:dyDescent="0.55000000000000004">
      <c r="AE1214" s="7">
        <f ca="1"/>
      </c>
      <c r="AF1214">
        <f ca="1"/>
      </c>
      <c r="AG1214">
        <f ca="1"/>
      </c>
      <c r="AH1214">
        <f ca="1"/>
      </c>
      <c r="AI1214">
        <f ca="1"/>
      </c>
      <c r="AJ1214">
        <f ca="1"/>
      </c>
      <c r="AK1214">
        <f ca="1"/>
      </c>
      <c r="AL1214">
        <f ca="1"/>
      </c>
      <c r="AM1214">
        <f ca="1"/>
      </c>
      <c r="AN1214">
        <f ca="1"/>
      </c>
      <c r="AO1214">
        <f ca="1"/>
      </c>
      <c r="AP1214">
        <f ca="1"/>
      </c>
      <c r="AQ1214">
        <f ca="1"/>
      </c>
      <c r="AR1214">
        <f ca="1"/>
      </c>
      <c r="AT1214" s="7">
        <f ca="1"/>
      </c>
      <c r="AU1214">
        <f ca="1"/>
      </c>
      <c r="AV1214">
        <f ca="1"/>
      </c>
      <c r="AW1214">
        <f ca="1"/>
      </c>
      <c r="AX1214">
        <f ca="1"/>
      </c>
      <c r="AY1214">
        <f ca="1"/>
      </c>
      <c r="BA1214" s="7"/>
    </row>
    <row r="1215" spans="31:53" x14ac:dyDescent="0.55000000000000004">
      <c r="AE1215" s="7">
        <f ca="1"/>
      </c>
      <c r="AF1215">
        <f ca="1"/>
      </c>
      <c r="AG1215">
        <f ca="1"/>
      </c>
      <c r="AH1215">
        <f ca="1"/>
      </c>
      <c r="AI1215">
        <f ca="1"/>
      </c>
      <c r="AJ1215">
        <f ca="1"/>
      </c>
      <c r="AK1215">
        <f ca="1"/>
      </c>
      <c r="AL1215">
        <f ca="1"/>
      </c>
      <c r="AM1215">
        <f ca="1"/>
      </c>
      <c r="AN1215">
        <f ca="1"/>
      </c>
      <c r="AO1215">
        <f ca="1"/>
      </c>
      <c r="AP1215">
        <f ca="1"/>
      </c>
      <c r="AQ1215">
        <f ca="1"/>
      </c>
      <c r="AR1215">
        <f ca="1"/>
      </c>
      <c r="AT1215" s="7">
        <f ca="1"/>
      </c>
      <c r="AU1215">
        <f ca="1"/>
      </c>
      <c r="AV1215">
        <f ca="1"/>
      </c>
      <c r="AW1215">
        <f ca="1"/>
      </c>
      <c r="AX1215">
        <f ca="1"/>
      </c>
      <c r="AY1215">
        <f ca="1"/>
      </c>
      <c r="BA1215" s="7"/>
    </row>
    <row r="1216" spans="31:53" x14ac:dyDescent="0.55000000000000004">
      <c r="AE1216" s="7">
        <f ca="1"/>
      </c>
      <c r="AF1216">
        <f ca="1"/>
      </c>
      <c r="AG1216">
        <f ca="1"/>
      </c>
      <c r="AH1216">
        <f ca="1"/>
      </c>
      <c r="AI1216">
        <f ca="1"/>
      </c>
      <c r="AJ1216">
        <f ca="1"/>
      </c>
      <c r="AK1216">
        <f ca="1"/>
      </c>
      <c r="AL1216">
        <f ca="1"/>
      </c>
      <c r="AM1216">
        <f ca="1"/>
      </c>
      <c r="AN1216">
        <f ca="1"/>
      </c>
      <c r="AO1216">
        <f ca="1"/>
      </c>
      <c r="AP1216">
        <f ca="1"/>
      </c>
      <c r="AQ1216">
        <f ca="1"/>
      </c>
      <c r="AR1216">
        <f ca="1"/>
      </c>
      <c r="AT1216" s="7">
        <f ca="1"/>
      </c>
      <c r="AU1216">
        <f ca="1"/>
      </c>
      <c r="AV1216">
        <f ca="1"/>
      </c>
      <c r="AW1216">
        <f ca="1"/>
      </c>
      <c r="AX1216">
        <f ca="1"/>
      </c>
      <c r="AY1216">
        <f ca="1"/>
      </c>
      <c r="BA1216" s="7"/>
    </row>
    <row r="1217" spans="31:53" x14ac:dyDescent="0.55000000000000004">
      <c r="AE1217" s="7">
        <f ca="1"/>
      </c>
      <c r="AF1217">
        <f ca="1"/>
      </c>
      <c r="AG1217">
        <f ca="1"/>
      </c>
      <c r="AH1217">
        <f ca="1"/>
      </c>
      <c r="AI1217">
        <f ca="1"/>
      </c>
      <c r="AJ1217">
        <f ca="1"/>
      </c>
      <c r="AK1217">
        <f ca="1"/>
      </c>
      <c r="AL1217">
        <f ca="1"/>
      </c>
      <c r="AM1217">
        <f ca="1"/>
      </c>
      <c r="AN1217">
        <f ca="1"/>
      </c>
      <c r="AO1217">
        <f ca="1"/>
      </c>
      <c r="AP1217">
        <f ca="1"/>
      </c>
      <c r="AQ1217">
        <f ca="1"/>
      </c>
      <c r="AR1217">
        <f ca="1"/>
      </c>
      <c r="AT1217" s="7">
        <f ca="1"/>
      </c>
      <c r="AU1217">
        <f ca="1"/>
      </c>
      <c r="AV1217">
        <f ca="1"/>
      </c>
      <c r="AW1217">
        <f ca="1"/>
      </c>
      <c r="AX1217">
        <f ca="1"/>
      </c>
      <c r="AY1217">
        <f ca="1"/>
      </c>
      <c r="BA1217" s="7"/>
    </row>
    <row r="1218" spans="31:53" x14ac:dyDescent="0.55000000000000004">
      <c r="AE1218" s="7">
        <f ca="1"/>
      </c>
      <c r="AF1218">
        <f ca="1"/>
      </c>
      <c r="AG1218">
        <f ca="1"/>
      </c>
      <c r="AH1218">
        <f ca="1"/>
      </c>
      <c r="AI1218">
        <f ca="1"/>
      </c>
      <c r="AJ1218">
        <f ca="1"/>
      </c>
      <c r="AK1218">
        <f ca="1"/>
      </c>
      <c r="AL1218">
        <f ca="1"/>
      </c>
      <c r="AM1218">
        <f ca="1"/>
      </c>
      <c r="AN1218">
        <f ca="1"/>
      </c>
      <c r="AO1218">
        <f ca="1"/>
      </c>
      <c r="AP1218">
        <f ca="1"/>
      </c>
      <c r="AQ1218">
        <f ca="1"/>
      </c>
      <c r="AR1218">
        <f ca="1"/>
      </c>
      <c r="AT1218" s="7">
        <f ca="1"/>
      </c>
      <c r="AU1218">
        <f ca="1"/>
      </c>
      <c r="AV1218">
        <f ca="1"/>
      </c>
      <c r="AW1218">
        <f ca="1"/>
      </c>
      <c r="AX1218">
        <f ca="1"/>
      </c>
      <c r="AY1218">
        <f ca="1"/>
      </c>
      <c r="BA1218" s="7"/>
    </row>
    <row r="1219" spans="31:53" x14ac:dyDescent="0.55000000000000004">
      <c r="AE1219" s="7">
        <f ca="1"/>
      </c>
      <c r="AF1219">
        <f ca="1"/>
      </c>
      <c r="AG1219">
        <f ca="1"/>
      </c>
      <c r="AH1219">
        <f ca="1"/>
      </c>
      <c r="AI1219">
        <f ca="1"/>
      </c>
      <c r="AJ1219">
        <f ca="1"/>
      </c>
      <c r="AK1219">
        <f ca="1"/>
      </c>
      <c r="AL1219">
        <f ca="1"/>
      </c>
      <c r="AM1219">
        <f ca="1"/>
      </c>
      <c r="AN1219">
        <f ca="1"/>
      </c>
      <c r="AO1219">
        <f ca="1"/>
      </c>
      <c r="AP1219">
        <f ca="1"/>
      </c>
      <c r="AQ1219">
        <f ca="1"/>
      </c>
      <c r="AR1219">
        <f ca="1"/>
      </c>
      <c r="AT1219" s="7">
        <f ca="1"/>
      </c>
      <c r="AU1219">
        <f ca="1"/>
      </c>
      <c r="AV1219">
        <f ca="1"/>
      </c>
      <c r="AW1219">
        <f ca="1"/>
      </c>
      <c r="AX1219">
        <f ca="1"/>
      </c>
      <c r="AY1219">
        <f ca="1"/>
      </c>
      <c r="BA1219" s="7"/>
    </row>
    <row r="1220" spans="31:53" x14ac:dyDescent="0.55000000000000004">
      <c r="AE1220" s="7">
        <f ca="1"/>
      </c>
      <c r="AF1220">
        <f ca="1"/>
      </c>
      <c r="AG1220">
        <f ca="1"/>
      </c>
      <c r="AH1220">
        <f ca="1"/>
      </c>
      <c r="AI1220">
        <f ca="1"/>
      </c>
      <c r="AJ1220">
        <f ca="1"/>
      </c>
      <c r="AK1220">
        <f ca="1"/>
      </c>
      <c r="AL1220">
        <f ca="1"/>
      </c>
      <c r="AM1220">
        <f ca="1"/>
      </c>
      <c r="AN1220">
        <f ca="1"/>
      </c>
      <c r="AO1220">
        <f ca="1"/>
      </c>
      <c r="AP1220">
        <f ca="1"/>
      </c>
      <c r="AQ1220">
        <f ca="1"/>
      </c>
      <c r="AR1220">
        <f ca="1"/>
      </c>
      <c r="AT1220" s="7">
        <f ca="1"/>
      </c>
      <c r="AU1220">
        <f ca="1"/>
      </c>
      <c r="AV1220">
        <f ca="1"/>
      </c>
      <c r="AW1220">
        <f ca="1"/>
      </c>
      <c r="AX1220">
        <f ca="1"/>
      </c>
      <c r="AY1220">
        <f ca="1"/>
      </c>
      <c r="BA1220" s="7"/>
    </row>
    <row r="1221" spans="31:53" x14ac:dyDescent="0.55000000000000004">
      <c r="AE1221" s="7">
        <f ca="1"/>
      </c>
      <c r="AF1221">
        <f ca="1"/>
      </c>
      <c r="AG1221">
        <f ca="1"/>
      </c>
      <c r="AH1221">
        <f ca="1"/>
      </c>
      <c r="AI1221">
        <f ca="1"/>
      </c>
      <c r="AJ1221">
        <f ca="1"/>
      </c>
      <c r="AK1221">
        <f ca="1"/>
      </c>
      <c r="AL1221">
        <f ca="1"/>
      </c>
      <c r="AM1221">
        <f ca="1"/>
      </c>
      <c r="AN1221">
        <f ca="1"/>
      </c>
      <c r="AO1221">
        <f ca="1"/>
      </c>
      <c r="AP1221">
        <f ca="1"/>
      </c>
      <c r="AQ1221">
        <f ca="1"/>
      </c>
      <c r="AR1221">
        <f ca="1"/>
      </c>
      <c r="AT1221" s="7">
        <f ca="1"/>
      </c>
      <c r="AU1221">
        <f ca="1"/>
      </c>
      <c r="AV1221">
        <f ca="1"/>
      </c>
      <c r="AW1221">
        <f ca="1"/>
      </c>
      <c r="AX1221">
        <f ca="1"/>
      </c>
      <c r="AY1221">
        <f ca="1"/>
      </c>
      <c r="BA1221" s="7"/>
    </row>
    <row r="1222" spans="31:53" x14ac:dyDescent="0.55000000000000004">
      <c r="AE1222" s="7">
        <f ca="1"/>
      </c>
      <c r="AF1222">
        <f ca="1"/>
      </c>
      <c r="AG1222">
        <f ca="1"/>
      </c>
      <c r="AH1222">
        <f ca="1"/>
      </c>
      <c r="AI1222">
        <f ca="1"/>
      </c>
      <c r="AJ1222">
        <f ca="1"/>
      </c>
      <c r="AK1222">
        <f ca="1"/>
      </c>
      <c r="AL1222">
        <f ca="1"/>
      </c>
      <c r="AM1222">
        <f ca="1"/>
      </c>
      <c r="AN1222">
        <f ca="1"/>
      </c>
      <c r="AO1222">
        <f ca="1"/>
      </c>
      <c r="AP1222">
        <f ca="1"/>
      </c>
      <c r="AQ1222">
        <f ca="1"/>
      </c>
      <c r="AR1222">
        <f ca="1"/>
      </c>
      <c r="AT1222" s="7">
        <f ca="1"/>
      </c>
      <c r="AU1222">
        <f ca="1"/>
      </c>
      <c r="AV1222">
        <f ca="1"/>
      </c>
      <c r="AW1222">
        <f ca="1"/>
      </c>
      <c r="AX1222">
        <f ca="1"/>
      </c>
      <c r="AY1222">
        <f ca="1"/>
      </c>
      <c r="BA1222" s="7"/>
    </row>
    <row r="1223" spans="31:53" x14ac:dyDescent="0.55000000000000004">
      <c r="AE1223" s="7">
        <f ca="1"/>
      </c>
      <c r="AF1223">
        <f ca="1"/>
      </c>
      <c r="AG1223">
        <f ca="1"/>
      </c>
      <c r="AH1223">
        <f ca="1"/>
      </c>
      <c r="AI1223">
        <f ca="1"/>
      </c>
      <c r="AJ1223">
        <f ca="1"/>
      </c>
      <c r="AK1223">
        <f ca="1"/>
      </c>
      <c r="AL1223">
        <f ca="1"/>
      </c>
      <c r="AM1223">
        <f ca="1"/>
      </c>
      <c r="AN1223">
        <f ca="1"/>
      </c>
      <c r="AO1223">
        <f ca="1"/>
      </c>
      <c r="AP1223">
        <f ca="1"/>
      </c>
      <c r="AQ1223">
        <f ca="1"/>
      </c>
      <c r="AR1223">
        <f ca="1"/>
      </c>
      <c r="AT1223" s="7">
        <f ca="1"/>
      </c>
      <c r="AU1223">
        <f ca="1"/>
      </c>
      <c r="AV1223">
        <f ca="1"/>
      </c>
      <c r="AW1223">
        <f ca="1"/>
      </c>
      <c r="AX1223">
        <f ca="1"/>
      </c>
      <c r="AY1223">
        <f ca="1"/>
      </c>
      <c r="BA1223" s="7"/>
    </row>
    <row r="1224" spans="31:53" x14ac:dyDescent="0.55000000000000004">
      <c r="AE1224" s="7">
        <f ca="1"/>
      </c>
      <c r="AF1224">
        <f ca="1"/>
      </c>
      <c r="AG1224">
        <f ca="1"/>
      </c>
      <c r="AH1224">
        <f ca="1"/>
      </c>
      <c r="AI1224">
        <f ca="1"/>
      </c>
      <c r="AJ1224">
        <f ca="1"/>
      </c>
      <c r="AK1224">
        <f ca="1"/>
      </c>
      <c r="AL1224">
        <f ca="1"/>
      </c>
      <c r="AM1224">
        <f ca="1"/>
      </c>
      <c r="AN1224">
        <f ca="1"/>
      </c>
      <c r="AO1224">
        <f ca="1"/>
      </c>
      <c r="AP1224">
        <f ca="1"/>
      </c>
      <c r="AQ1224">
        <f ca="1"/>
      </c>
      <c r="AR1224">
        <f ca="1"/>
      </c>
      <c r="AT1224" s="7">
        <f ca="1"/>
      </c>
      <c r="AU1224">
        <f ca="1"/>
      </c>
      <c r="AV1224">
        <f ca="1"/>
      </c>
      <c r="AW1224">
        <f ca="1"/>
      </c>
      <c r="AX1224">
        <f ca="1"/>
      </c>
      <c r="AY1224">
        <f ca="1"/>
      </c>
      <c r="BA1224" s="7"/>
    </row>
    <row r="1225" spans="31:53" x14ac:dyDescent="0.55000000000000004">
      <c r="AE1225" s="7">
        <f ca="1"/>
      </c>
      <c r="AF1225">
        <f ca="1"/>
      </c>
      <c r="AG1225">
        <f ca="1"/>
      </c>
      <c r="AH1225">
        <f ca="1"/>
      </c>
      <c r="AI1225">
        <f ca="1"/>
      </c>
      <c r="AJ1225">
        <f ca="1"/>
      </c>
      <c r="AK1225">
        <f ca="1"/>
      </c>
      <c r="AL1225">
        <f ca="1"/>
      </c>
      <c r="AM1225">
        <f ca="1"/>
      </c>
      <c r="AN1225">
        <f ca="1"/>
      </c>
      <c r="AO1225">
        <f ca="1"/>
      </c>
      <c r="AP1225">
        <f ca="1"/>
      </c>
      <c r="AQ1225">
        <f ca="1"/>
      </c>
      <c r="AR1225">
        <f ca="1"/>
      </c>
      <c r="AT1225" s="7">
        <f ca="1"/>
      </c>
      <c r="AU1225">
        <f ca="1"/>
      </c>
      <c r="AV1225">
        <f ca="1"/>
      </c>
      <c r="AW1225">
        <f ca="1"/>
      </c>
      <c r="AX1225">
        <f ca="1"/>
      </c>
      <c r="AY1225">
        <f ca="1"/>
      </c>
      <c r="BA1225" s="7"/>
    </row>
    <row r="1226" spans="31:53" x14ac:dyDescent="0.55000000000000004">
      <c r="AE1226" s="7">
        <f ca="1"/>
      </c>
      <c r="AF1226">
        <f ca="1"/>
      </c>
      <c r="AG1226">
        <f ca="1"/>
      </c>
      <c r="AH1226">
        <f ca="1"/>
      </c>
      <c r="AI1226">
        <f ca="1"/>
      </c>
      <c r="AJ1226">
        <f ca="1"/>
      </c>
      <c r="AK1226">
        <f ca="1"/>
      </c>
      <c r="AL1226">
        <f ca="1"/>
      </c>
      <c r="AM1226">
        <f ca="1"/>
      </c>
      <c r="AN1226">
        <f ca="1"/>
      </c>
      <c r="AO1226">
        <f ca="1"/>
      </c>
      <c r="AP1226">
        <f ca="1"/>
      </c>
      <c r="AQ1226">
        <f ca="1"/>
      </c>
      <c r="AR1226">
        <f ca="1"/>
      </c>
      <c r="AT1226" s="7">
        <f ca="1"/>
      </c>
      <c r="AU1226">
        <f ca="1"/>
      </c>
      <c r="AV1226">
        <f ca="1"/>
      </c>
      <c r="AW1226">
        <f ca="1"/>
      </c>
      <c r="AX1226">
        <f ca="1"/>
      </c>
      <c r="AY1226">
        <f ca="1"/>
      </c>
      <c r="BA1226" s="7"/>
    </row>
    <row r="1227" spans="31:53" x14ac:dyDescent="0.55000000000000004">
      <c r="AE1227" s="7">
        <f ca="1"/>
      </c>
      <c r="AF1227">
        <f ca="1"/>
      </c>
      <c r="AG1227">
        <f ca="1"/>
      </c>
      <c r="AH1227">
        <f ca="1"/>
      </c>
      <c r="AI1227">
        <f ca="1"/>
      </c>
      <c r="AJ1227">
        <f ca="1"/>
      </c>
      <c r="AK1227">
        <f ca="1"/>
      </c>
      <c r="AL1227">
        <f ca="1"/>
      </c>
      <c r="AM1227">
        <f ca="1"/>
      </c>
      <c r="AN1227">
        <f ca="1"/>
      </c>
      <c r="AO1227">
        <f ca="1"/>
      </c>
      <c r="AP1227">
        <f ca="1"/>
      </c>
      <c r="AQ1227">
        <f ca="1"/>
      </c>
      <c r="AR1227">
        <f ca="1"/>
      </c>
      <c r="AT1227" s="7">
        <f ca="1"/>
      </c>
      <c r="AU1227">
        <f ca="1"/>
      </c>
      <c r="AV1227">
        <f ca="1"/>
      </c>
      <c r="AW1227">
        <f ca="1"/>
      </c>
      <c r="AX1227">
        <f ca="1"/>
      </c>
      <c r="AY1227">
        <f ca="1"/>
      </c>
      <c r="BA1227" s="7"/>
    </row>
    <row r="1228" spans="31:53" x14ac:dyDescent="0.55000000000000004">
      <c r="AE1228" s="7">
        <f ca="1"/>
      </c>
      <c r="AF1228">
        <f ca="1"/>
      </c>
      <c r="AG1228">
        <f ca="1"/>
      </c>
      <c r="AH1228">
        <f ca="1"/>
      </c>
      <c r="AI1228">
        <f ca="1"/>
      </c>
      <c r="AJ1228">
        <f ca="1"/>
      </c>
      <c r="AK1228">
        <f ca="1"/>
      </c>
      <c r="AL1228">
        <f ca="1"/>
      </c>
      <c r="AM1228">
        <f ca="1"/>
      </c>
      <c r="AN1228">
        <f ca="1"/>
      </c>
      <c r="AO1228">
        <f ca="1"/>
      </c>
      <c r="AP1228">
        <f ca="1"/>
      </c>
      <c r="AQ1228">
        <f ca="1"/>
      </c>
      <c r="AR1228">
        <f ca="1"/>
      </c>
      <c r="AT1228" s="7">
        <f ca="1"/>
      </c>
      <c r="AU1228">
        <f ca="1"/>
      </c>
      <c r="AV1228">
        <f ca="1"/>
      </c>
      <c r="AW1228">
        <f ca="1"/>
      </c>
      <c r="AX1228">
        <f ca="1"/>
      </c>
      <c r="AY1228">
        <f ca="1"/>
      </c>
      <c r="BA1228" s="7"/>
    </row>
    <row r="1229" spans="31:53" x14ac:dyDescent="0.55000000000000004">
      <c r="AE1229" s="7">
        <f ca="1"/>
      </c>
      <c r="AF1229">
        <f ca="1"/>
      </c>
      <c r="AG1229">
        <f ca="1"/>
      </c>
      <c r="AH1229">
        <f ca="1"/>
      </c>
      <c r="AI1229">
        <f ca="1"/>
      </c>
      <c r="AJ1229">
        <f ca="1"/>
      </c>
      <c r="AK1229">
        <f ca="1"/>
      </c>
      <c r="AL1229">
        <f ca="1"/>
      </c>
      <c r="AM1229">
        <f ca="1"/>
      </c>
      <c r="AN1229">
        <f ca="1"/>
      </c>
      <c r="AO1229">
        <f ca="1"/>
      </c>
      <c r="AP1229">
        <f ca="1"/>
      </c>
      <c r="AQ1229">
        <f ca="1"/>
      </c>
      <c r="AR1229">
        <f ca="1"/>
      </c>
      <c r="AT1229" s="7">
        <f ca="1"/>
      </c>
      <c r="AU1229">
        <f ca="1"/>
      </c>
      <c r="AV1229">
        <f ca="1"/>
      </c>
      <c r="AW1229">
        <f ca="1"/>
      </c>
      <c r="AX1229">
        <f ca="1"/>
      </c>
      <c r="AY1229">
        <f ca="1"/>
      </c>
      <c r="BA1229" s="7"/>
    </row>
    <row r="1230" spans="31:53" x14ac:dyDescent="0.55000000000000004">
      <c r="AE1230" s="7">
        <f ca="1"/>
      </c>
      <c r="AF1230">
        <f ca="1"/>
      </c>
      <c r="AG1230">
        <f ca="1"/>
      </c>
      <c r="AH1230">
        <f ca="1"/>
      </c>
      <c r="AI1230">
        <f ca="1"/>
      </c>
      <c r="AJ1230">
        <f ca="1"/>
      </c>
      <c r="AK1230">
        <f ca="1"/>
      </c>
      <c r="AL1230">
        <f ca="1"/>
      </c>
      <c r="AM1230">
        <f ca="1"/>
      </c>
      <c r="AN1230">
        <f ca="1"/>
      </c>
      <c r="AO1230">
        <f ca="1"/>
      </c>
      <c r="AP1230">
        <f ca="1"/>
      </c>
      <c r="AQ1230">
        <f ca="1"/>
      </c>
      <c r="AR1230">
        <f ca="1"/>
      </c>
      <c r="AT1230" s="7">
        <f ca="1"/>
      </c>
      <c r="AU1230">
        <f ca="1"/>
      </c>
      <c r="AV1230">
        <f ca="1"/>
      </c>
      <c r="AW1230">
        <f ca="1"/>
      </c>
      <c r="AX1230">
        <f ca="1"/>
      </c>
      <c r="AY1230">
        <f ca="1"/>
      </c>
      <c r="BA1230" s="7"/>
    </row>
    <row r="1231" spans="31:53" x14ac:dyDescent="0.55000000000000004">
      <c r="AE1231" s="7">
        <f ca="1"/>
      </c>
      <c r="AF1231">
        <f ca="1"/>
      </c>
      <c r="AG1231">
        <f ca="1"/>
      </c>
      <c r="AH1231">
        <f ca="1"/>
      </c>
      <c r="AI1231">
        <f ca="1"/>
      </c>
      <c r="AJ1231">
        <f ca="1"/>
      </c>
      <c r="AK1231">
        <f ca="1"/>
      </c>
      <c r="AL1231">
        <f ca="1"/>
      </c>
      <c r="AM1231">
        <f ca="1"/>
      </c>
      <c r="AN1231">
        <f ca="1"/>
      </c>
      <c r="AO1231">
        <f ca="1"/>
      </c>
      <c r="AP1231">
        <f ca="1"/>
      </c>
      <c r="AQ1231">
        <f ca="1"/>
      </c>
      <c r="AR1231">
        <f ca="1"/>
      </c>
      <c r="AT1231" s="7">
        <f ca="1"/>
      </c>
      <c r="AU1231">
        <f ca="1"/>
      </c>
      <c r="AV1231">
        <f ca="1"/>
      </c>
      <c r="AW1231">
        <f ca="1"/>
      </c>
      <c r="AX1231">
        <f ca="1"/>
      </c>
      <c r="AY1231">
        <f ca="1"/>
      </c>
      <c r="BA1231" s="7"/>
    </row>
    <row r="1232" spans="31:53" x14ac:dyDescent="0.55000000000000004">
      <c r="AE1232" s="7">
        <f ca="1"/>
      </c>
      <c r="AF1232">
        <f ca="1"/>
      </c>
      <c r="AG1232">
        <f ca="1"/>
      </c>
      <c r="AH1232">
        <f ca="1"/>
      </c>
      <c r="AI1232">
        <f ca="1"/>
      </c>
      <c r="AJ1232">
        <f ca="1"/>
      </c>
      <c r="AK1232">
        <f ca="1"/>
      </c>
      <c r="AL1232">
        <f ca="1"/>
      </c>
      <c r="AM1232">
        <f ca="1"/>
      </c>
      <c r="AN1232">
        <f ca="1"/>
      </c>
      <c r="AO1232">
        <f ca="1"/>
      </c>
      <c r="AP1232">
        <f ca="1"/>
      </c>
      <c r="AQ1232">
        <f ca="1"/>
      </c>
      <c r="AR1232">
        <f ca="1"/>
      </c>
      <c r="AT1232" s="7">
        <f ca="1"/>
      </c>
      <c r="AU1232">
        <f ca="1"/>
      </c>
      <c r="AV1232">
        <f ca="1"/>
      </c>
      <c r="AW1232">
        <f ca="1"/>
      </c>
      <c r="AX1232">
        <f ca="1"/>
      </c>
      <c r="AY1232">
        <f ca="1"/>
      </c>
      <c r="BA1232" s="7"/>
    </row>
    <row r="1233" spans="31:53" x14ac:dyDescent="0.55000000000000004">
      <c r="AE1233" s="7">
        <f ca="1"/>
      </c>
      <c r="AF1233">
        <f ca="1"/>
      </c>
      <c r="AG1233">
        <f ca="1"/>
      </c>
      <c r="AH1233">
        <f ca="1"/>
      </c>
      <c r="AI1233">
        <f ca="1"/>
      </c>
      <c r="AJ1233">
        <f ca="1"/>
      </c>
      <c r="AK1233">
        <f ca="1"/>
      </c>
      <c r="AL1233">
        <f ca="1"/>
      </c>
      <c r="AM1233">
        <f ca="1"/>
      </c>
      <c r="AN1233">
        <f ca="1"/>
      </c>
      <c r="AO1233">
        <f ca="1"/>
      </c>
      <c r="AP1233">
        <f ca="1"/>
      </c>
      <c r="AQ1233">
        <f ca="1"/>
      </c>
      <c r="AR1233">
        <f ca="1"/>
      </c>
      <c r="AT1233" s="7">
        <f ca="1"/>
      </c>
      <c r="AU1233">
        <f ca="1"/>
      </c>
      <c r="AV1233">
        <f ca="1"/>
      </c>
      <c r="AW1233">
        <f ca="1"/>
      </c>
      <c r="AX1233">
        <f ca="1"/>
      </c>
      <c r="AY1233">
        <f ca="1"/>
      </c>
      <c r="BA1233" s="7"/>
    </row>
    <row r="1234" spans="31:53" x14ac:dyDescent="0.55000000000000004">
      <c r="AE1234" s="7">
        <f ca="1"/>
      </c>
      <c r="AF1234">
        <f ca="1"/>
      </c>
      <c r="AG1234">
        <f ca="1"/>
      </c>
      <c r="AH1234">
        <f ca="1"/>
      </c>
      <c r="AI1234">
        <f ca="1"/>
      </c>
      <c r="AJ1234">
        <f ca="1"/>
      </c>
      <c r="AK1234">
        <f ca="1"/>
      </c>
      <c r="AL1234">
        <f ca="1"/>
      </c>
      <c r="AM1234">
        <f ca="1"/>
      </c>
      <c r="AN1234">
        <f ca="1"/>
      </c>
      <c r="AO1234">
        <f ca="1"/>
      </c>
      <c r="AP1234">
        <f ca="1"/>
      </c>
      <c r="AQ1234">
        <f ca="1"/>
      </c>
      <c r="AR1234">
        <f ca="1"/>
      </c>
      <c r="AT1234" s="7">
        <f ca="1"/>
      </c>
      <c r="AU1234">
        <f ca="1"/>
      </c>
      <c r="AV1234">
        <f ca="1"/>
      </c>
      <c r="AW1234">
        <f ca="1"/>
      </c>
      <c r="AX1234">
        <f ca="1"/>
      </c>
      <c r="AY1234">
        <f ca="1"/>
      </c>
      <c r="BA1234" s="7"/>
    </row>
    <row r="1235" spans="31:53" x14ac:dyDescent="0.55000000000000004">
      <c r="AE1235" s="7">
        <f ca="1"/>
      </c>
      <c r="AF1235">
        <f ca="1"/>
      </c>
      <c r="AG1235">
        <f ca="1"/>
      </c>
      <c r="AH1235">
        <f ca="1"/>
      </c>
      <c r="AI1235">
        <f ca="1"/>
      </c>
      <c r="AJ1235">
        <f ca="1"/>
      </c>
      <c r="AK1235">
        <f ca="1"/>
      </c>
      <c r="AL1235">
        <f ca="1"/>
      </c>
      <c r="AM1235">
        <f ca="1"/>
      </c>
      <c r="AN1235">
        <f ca="1"/>
      </c>
      <c r="AO1235">
        <f ca="1"/>
      </c>
      <c r="AP1235">
        <f ca="1"/>
      </c>
      <c r="AQ1235">
        <f ca="1"/>
      </c>
      <c r="AR1235">
        <f ca="1"/>
      </c>
      <c r="AT1235" s="7">
        <f ca="1"/>
      </c>
      <c r="AU1235">
        <f ca="1"/>
      </c>
      <c r="AV1235">
        <f ca="1"/>
      </c>
      <c r="AW1235">
        <f ca="1"/>
      </c>
      <c r="AX1235">
        <f ca="1"/>
      </c>
      <c r="AY1235">
        <f ca="1"/>
      </c>
      <c r="BA1235" s="7"/>
    </row>
    <row r="1236" spans="31:53" x14ac:dyDescent="0.55000000000000004">
      <c r="AE1236" s="7">
        <f ca="1"/>
      </c>
      <c r="AF1236">
        <f ca="1"/>
      </c>
      <c r="AG1236">
        <f ca="1"/>
      </c>
      <c r="AH1236">
        <f ca="1"/>
      </c>
      <c r="AI1236">
        <f ca="1"/>
      </c>
      <c r="AJ1236">
        <f ca="1"/>
      </c>
      <c r="AK1236">
        <f ca="1"/>
      </c>
      <c r="AL1236">
        <f ca="1"/>
      </c>
      <c r="AM1236">
        <f ca="1"/>
      </c>
      <c r="AN1236">
        <f ca="1"/>
      </c>
      <c r="AO1236">
        <f ca="1"/>
      </c>
      <c r="AP1236">
        <f ca="1"/>
      </c>
      <c r="AQ1236">
        <f ca="1"/>
      </c>
      <c r="AR1236">
        <f ca="1"/>
      </c>
      <c r="AT1236" s="7">
        <f ca="1"/>
      </c>
      <c r="AU1236">
        <f ca="1"/>
      </c>
      <c r="AV1236">
        <f ca="1"/>
      </c>
      <c r="AW1236">
        <f ca="1"/>
      </c>
      <c r="AX1236">
        <f ca="1"/>
      </c>
      <c r="AY1236">
        <f ca="1"/>
      </c>
      <c r="BA1236" s="7"/>
    </row>
    <row r="1237" spans="31:53" x14ac:dyDescent="0.55000000000000004">
      <c r="AE1237" s="7">
        <f ca="1"/>
      </c>
      <c r="AF1237">
        <f ca="1"/>
      </c>
      <c r="AG1237">
        <f ca="1"/>
      </c>
      <c r="AH1237">
        <f ca="1"/>
      </c>
      <c r="AI1237">
        <f ca="1"/>
      </c>
      <c r="AJ1237">
        <f ca="1"/>
      </c>
      <c r="AK1237">
        <f ca="1"/>
      </c>
      <c r="AL1237">
        <f ca="1"/>
      </c>
      <c r="AM1237">
        <f ca="1"/>
      </c>
      <c r="AN1237">
        <f ca="1"/>
      </c>
      <c r="AO1237">
        <f ca="1"/>
      </c>
      <c r="AP1237">
        <f ca="1"/>
      </c>
      <c r="AQ1237">
        <f ca="1"/>
      </c>
      <c r="AR1237">
        <f ca="1"/>
      </c>
      <c r="AT1237" s="7">
        <f ca="1"/>
      </c>
      <c r="AU1237">
        <f ca="1"/>
      </c>
      <c r="AV1237">
        <f ca="1"/>
      </c>
      <c r="AW1237">
        <f ca="1"/>
      </c>
      <c r="AX1237">
        <f ca="1"/>
      </c>
      <c r="AY1237">
        <f ca="1"/>
      </c>
      <c r="BA1237" s="7"/>
    </row>
    <row r="1238" spans="31:53" x14ac:dyDescent="0.55000000000000004">
      <c r="AE1238" s="7">
        <f ca="1"/>
      </c>
      <c r="AF1238">
        <f ca="1"/>
      </c>
      <c r="AG1238">
        <f ca="1"/>
      </c>
      <c r="AH1238">
        <f ca="1"/>
      </c>
      <c r="AI1238">
        <f ca="1"/>
      </c>
      <c r="AJ1238">
        <f ca="1"/>
      </c>
      <c r="AK1238">
        <f ca="1"/>
      </c>
      <c r="AL1238">
        <f ca="1"/>
      </c>
      <c r="AM1238">
        <f ca="1"/>
      </c>
      <c r="AN1238">
        <f ca="1"/>
      </c>
      <c r="AO1238">
        <f ca="1"/>
      </c>
      <c r="AP1238">
        <f ca="1"/>
      </c>
      <c r="AQ1238">
        <f ca="1"/>
      </c>
      <c r="AR1238">
        <f ca="1"/>
      </c>
      <c r="AT1238" s="7">
        <f ca="1"/>
      </c>
      <c r="AU1238">
        <f ca="1"/>
      </c>
      <c r="AV1238">
        <f ca="1"/>
      </c>
      <c r="AW1238">
        <f ca="1"/>
      </c>
      <c r="AX1238">
        <f ca="1"/>
      </c>
      <c r="AY1238">
        <f ca="1"/>
      </c>
      <c r="BA1238" s="7"/>
    </row>
    <row r="1239" spans="31:53" x14ac:dyDescent="0.55000000000000004">
      <c r="AE1239" s="7">
        <f ca="1"/>
      </c>
      <c r="AF1239">
        <f ca="1"/>
      </c>
      <c r="AG1239">
        <f ca="1"/>
      </c>
      <c r="AH1239">
        <f ca="1"/>
      </c>
      <c r="AI1239">
        <f ca="1"/>
      </c>
      <c r="AJ1239">
        <f ca="1"/>
      </c>
      <c r="AK1239">
        <f ca="1"/>
      </c>
      <c r="AL1239">
        <f ca="1"/>
      </c>
      <c r="AM1239">
        <f ca="1"/>
      </c>
      <c r="AN1239">
        <f ca="1"/>
      </c>
      <c r="AO1239">
        <f ca="1"/>
      </c>
      <c r="AP1239">
        <f ca="1"/>
      </c>
      <c r="AQ1239">
        <f ca="1"/>
      </c>
      <c r="AR1239">
        <f ca="1"/>
      </c>
      <c r="AT1239" s="7">
        <f ca="1"/>
      </c>
      <c r="AU1239">
        <f ca="1"/>
      </c>
      <c r="AV1239">
        <f ca="1"/>
      </c>
      <c r="AW1239">
        <f ca="1"/>
      </c>
      <c r="AX1239">
        <f ca="1"/>
      </c>
      <c r="AY1239">
        <f ca="1"/>
      </c>
      <c r="BA1239" s="7"/>
    </row>
    <row r="1240" spans="31:53" x14ac:dyDescent="0.55000000000000004">
      <c r="AE1240" s="7">
        <f ca="1"/>
      </c>
      <c r="AF1240">
        <f ca="1"/>
      </c>
      <c r="AG1240">
        <f ca="1"/>
      </c>
      <c r="AH1240">
        <f ca="1"/>
      </c>
      <c r="AI1240">
        <f ca="1"/>
      </c>
      <c r="AJ1240">
        <f ca="1"/>
      </c>
      <c r="AK1240">
        <f ca="1"/>
      </c>
      <c r="AL1240">
        <f ca="1"/>
      </c>
      <c r="AM1240">
        <f ca="1"/>
      </c>
      <c r="AN1240">
        <f ca="1"/>
      </c>
      <c r="AO1240">
        <f ca="1"/>
      </c>
      <c r="AP1240">
        <f ca="1"/>
      </c>
      <c r="AQ1240">
        <f ca="1"/>
      </c>
      <c r="AR1240">
        <f ca="1"/>
      </c>
      <c r="AT1240" s="7">
        <f ca="1"/>
      </c>
      <c r="AU1240">
        <f ca="1"/>
      </c>
      <c r="AV1240">
        <f ca="1"/>
      </c>
      <c r="AW1240">
        <f ca="1"/>
      </c>
      <c r="AX1240">
        <f ca="1"/>
      </c>
      <c r="AY1240">
        <f ca="1"/>
      </c>
      <c r="BA1240" s="7"/>
    </row>
    <row r="1241" spans="31:53" x14ac:dyDescent="0.55000000000000004">
      <c r="AE1241" s="7">
        <f ca="1"/>
      </c>
      <c r="AF1241">
        <f ca="1"/>
      </c>
      <c r="AG1241">
        <f ca="1"/>
      </c>
      <c r="AH1241">
        <f ca="1"/>
      </c>
      <c r="AI1241">
        <f ca="1"/>
      </c>
      <c r="AJ1241">
        <f ca="1"/>
      </c>
      <c r="AK1241">
        <f ca="1"/>
      </c>
      <c r="AL1241">
        <f ca="1"/>
      </c>
      <c r="AM1241">
        <f ca="1"/>
      </c>
      <c r="AN1241">
        <f ca="1"/>
      </c>
      <c r="AO1241">
        <f ca="1"/>
      </c>
      <c r="AP1241">
        <f ca="1"/>
      </c>
      <c r="AQ1241">
        <f ca="1"/>
      </c>
      <c r="AR1241">
        <f ca="1"/>
      </c>
      <c r="AT1241" s="7">
        <f ca="1"/>
      </c>
      <c r="AU1241">
        <f ca="1"/>
      </c>
      <c r="AV1241">
        <f ca="1"/>
      </c>
      <c r="AW1241">
        <f ca="1"/>
      </c>
      <c r="AX1241">
        <f ca="1"/>
      </c>
      <c r="AY1241">
        <f ca="1"/>
      </c>
      <c r="BA1241" s="7"/>
    </row>
    <row r="1242" spans="31:53" x14ac:dyDescent="0.55000000000000004">
      <c r="AE1242" s="7">
        <f ca="1"/>
      </c>
      <c r="AF1242">
        <f ca="1"/>
      </c>
      <c r="AG1242">
        <f ca="1"/>
      </c>
      <c r="AH1242">
        <f ca="1"/>
      </c>
      <c r="AI1242">
        <f ca="1"/>
      </c>
      <c r="AJ1242">
        <f ca="1"/>
      </c>
      <c r="AK1242">
        <f ca="1"/>
      </c>
      <c r="AL1242">
        <f ca="1"/>
      </c>
      <c r="AM1242">
        <f ca="1"/>
      </c>
      <c r="AN1242">
        <f ca="1"/>
      </c>
      <c r="AO1242">
        <f ca="1"/>
      </c>
      <c r="AP1242">
        <f ca="1"/>
      </c>
      <c r="AQ1242">
        <f ca="1"/>
      </c>
      <c r="AR1242">
        <f ca="1"/>
      </c>
      <c r="AT1242" s="7">
        <f ca="1"/>
      </c>
      <c r="AU1242">
        <f ca="1"/>
      </c>
      <c r="AV1242">
        <f ca="1"/>
      </c>
      <c r="AW1242">
        <f ca="1"/>
      </c>
      <c r="AX1242">
        <f ca="1"/>
      </c>
      <c r="AY1242">
        <f ca="1"/>
      </c>
      <c r="BA1242" s="7"/>
    </row>
    <row r="1243" spans="31:53" x14ac:dyDescent="0.55000000000000004">
      <c r="AE1243" s="7">
        <f ca="1"/>
      </c>
      <c r="AF1243">
        <f ca="1"/>
      </c>
      <c r="AG1243">
        <f ca="1"/>
      </c>
      <c r="AH1243">
        <f ca="1"/>
      </c>
      <c r="AI1243">
        <f ca="1"/>
      </c>
      <c r="AJ1243">
        <f ca="1"/>
      </c>
      <c r="AK1243">
        <f ca="1"/>
      </c>
      <c r="AL1243">
        <f ca="1"/>
      </c>
      <c r="AM1243">
        <f ca="1"/>
      </c>
      <c r="AN1243">
        <f ca="1"/>
      </c>
      <c r="AO1243">
        <f ca="1"/>
      </c>
      <c r="AP1243">
        <f ca="1"/>
      </c>
      <c r="AQ1243">
        <f ca="1"/>
      </c>
      <c r="AR1243">
        <f ca="1"/>
      </c>
      <c r="AT1243" s="7">
        <f ca="1"/>
      </c>
      <c r="AU1243">
        <f ca="1"/>
      </c>
      <c r="AV1243">
        <f ca="1"/>
      </c>
      <c r="AW1243">
        <f ca="1"/>
      </c>
      <c r="AX1243">
        <f ca="1"/>
      </c>
      <c r="AY1243">
        <f ca="1"/>
      </c>
      <c r="BA1243" s="7"/>
    </row>
    <row r="1244" spans="31:53" x14ac:dyDescent="0.55000000000000004">
      <c r="AE1244" s="7">
        <f ca="1"/>
      </c>
      <c r="AF1244">
        <f ca="1"/>
      </c>
      <c r="AG1244">
        <f ca="1"/>
      </c>
      <c r="AH1244">
        <f ca="1"/>
      </c>
      <c r="AI1244">
        <f ca="1"/>
      </c>
      <c r="AJ1244">
        <f ca="1"/>
      </c>
      <c r="AK1244">
        <f ca="1"/>
      </c>
      <c r="AL1244">
        <f ca="1"/>
      </c>
      <c r="AM1244">
        <f ca="1"/>
      </c>
      <c r="AN1244">
        <f ca="1"/>
      </c>
      <c r="AO1244">
        <f ca="1"/>
      </c>
      <c r="AP1244">
        <f ca="1"/>
      </c>
      <c r="AQ1244">
        <f ca="1"/>
      </c>
      <c r="AR1244">
        <f ca="1"/>
      </c>
      <c r="AT1244" s="7">
        <f ca="1"/>
      </c>
      <c r="AU1244">
        <f ca="1"/>
      </c>
      <c r="AV1244">
        <f ca="1"/>
      </c>
      <c r="AW1244">
        <f ca="1"/>
      </c>
      <c r="AX1244">
        <f ca="1"/>
      </c>
      <c r="AY1244">
        <f ca="1"/>
      </c>
      <c r="BA1244" s="7"/>
    </row>
    <row r="1245" spans="31:53" x14ac:dyDescent="0.55000000000000004">
      <c r="AE1245" s="7">
        <f ca="1"/>
      </c>
      <c r="AF1245">
        <f ca="1"/>
      </c>
      <c r="AG1245">
        <f ca="1"/>
      </c>
      <c r="AH1245">
        <f ca="1"/>
      </c>
      <c r="AI1245">
        <f ca="1"/>
      </c>
      <c r="AJ1245">
        <f ca="1"/>
      </c>
      <c r="AK1245">
        <f ca="1"/>
      </c>
      <c r="AL1245">
        <f ca="1"/>
      </c>
      <c r="AM1245">
        <f ca="1"/>
      </c>
      <c r="AN1245">
        <f ca="1"/>
      </c>
      <c r="AO1245">
        <f ca="1"/>
      </c>
      <c r="AP1245">
        <f ca="1"/>
      </c>
      <c r="AQ1245">
        <f ca="1"/>
      </c>
      <c r="AR1245">
        <f ca="1"/>
      </c>
      <c r="AT1245" s="7">
        <f ca="1"/>
      </c>
      <c r="AU1245">
        <f ca="1"/>
      </c>
      <c r="AV1245">
        <f ca="1"/>
      </c>
      <c r="AW1245">
        <f ca="1"/>
      </c>
      <c r="AX1245">
        <f ca="1"/>
      </c>
      <c r="AY1245">
        <f ca="1"/>
      </c>
      <c r="BA1245" s="7"/>
    </row>
    <row r="1246" spans="31:53" x14ac:dyDescent="0.55000000000000004">
      <c r="AE1246" s="7">
        <f ca="1"/>
      </c>
      <c r="AF1246">
        <f ca="1"/>
      </c>
      <c r="AG1246">
        <f ca="1"/>
      </c>
      <c r="AH1246">
        <f ca="1"/>
      </c>
      <c r="AI1246">
        <f ca="1"/>
      </c>
      <c r="AJ1246">
        <f ca="1"/>
      </c>
      <c r="AK1246">
        <f ca="1"/>
      </c>
      <c r="AL1246">
        <f ca="1"/>
      </c>
      <c r="AM1246">
        <f ca="1"/>
      </c>
      <c r="AN1246">
        <f ca="1"/>
      </c>
      <c r="AO1246">
        <f ca="1"/>
      </c>
      <c r="AP1246">
        <f ca="1"/>
      </c>
      <c r="AQ1246">
        <f ca="1"/>
      </c>
      <c r="AR1246">
        <f ca="1"/>
      </c>
      <c r="AT1246" s="7">
        <f ca="1"/>
      </c>
      <c r="AU1246">
        <f ca="1"/>
      </c>
      <c r="AV1246">
        <f ca="1"/>
      </c>
      <c r="AW1246">
        <f ca="1"/>
      </c>
      <c r="AX1246">
        <f ca="1"/>
      </c>
      <c r="AY1246">
        <f ca="1"/>
      </c>
      <c r="BA1246" s="7"/>
    </row>
    <row r="1247" spans="31:53" x14ac:dyDescent="0.55000000000000004">
      <c r="AE1247" s="7">
        <f ca="1"/>
      </c>
      <c r="AF1247">
        <f ca="1"/>
      </c>
      <c r="AG1247">
        <f ca="1"/>
      </c>
      <c r="AH1247">
        <f ca="1"/>
      </c>
      <c r="AI1247">
        <f ca="1"/>
      </c>
      <c r="AJ1247">
        <f ca="1"/>
      </c>
      <c r="AK1247">
        <f ca="1"/>
      </c>
      <c r="AL1247">
        <f ca="1"/>
      </c>
      <c r="AM1247">
        <f ca="1"/>
      </c>
      <c r="AN1247">
        <f ca="1"/>
      </c>
      <c r="AO1247">
        <f ca="1"/>
      </c>
      <c r="AP1247">
        <f ca="1"/>
      </c>
      <c r="AQ1247">
        <f ca="1"/>
      </c>
      <c r="AR1247">
        <f ca="1"/>
      </c>
      <c r="AT1247" s="7">
        <f ca="1"/>
      </c>
      <c r="AU1247">
        <f ca="1"/>
      </c>
      <c r="AV1247">
        <f ca="1"/>
      </c>
      <c r="AW1247">
        <f ca="1"/>
      </c>
      <c r="AX1247">
        <f ca="1"/>
      </c>
      <c r="AY1247">
        <f ca="1"/>
      </c>
      <c r="BA1247" s="7"/>
    </row>
    <row r="1248" spans="31:53" x14ac:dyDescent="0.55000000000000004">
      <c r="AE1248" s="7">
        <f ca="1"/>
      </c>
      <c r="AF1248">
        <f ca="1"/>
      </c>
      <c r="AG1248">
        <f ca="1"/>
      </c>
      <c r="AH1248">
        <f ca="1"/>
      </c>
      <c r="AI1248">
        <f ca="1"/>
      </c>
      <c r="AJ1248">
        <f ca="1"/>
      </c>
      <c r="AK1248">
        <f ca="1"/>
      </c>
      <c r="AL1248">
        <f ca="1"/>
      </c>
      <c r="AM1248">
        <f ca="1"/>
      </c>
      <c r="AN1248">
        <f ca="1"/>
      </c>
      <c r="AO1248">
        <f ca="1"/>
      </c>
      <c r="AP1248">
        <f ca="1"/>
      </c>
      <c r="AQ1248">
        <f ca="1"/>
      </c>
      <c r="AR1248">
        <f ca="1"/>
      </c>
      <c r="AT1248" s="7">
        <f ca="1"/>
      </c>
      <c r="AU1248">
        <f ca="1"/>
      </c>
      <c r="AV1248">
        <f ca="1"/>
      </c>
      <c r="AW1248">
        <f ca="1"/>
      </c>
      <c r="AX1248">
        <f ca="1"/>
      </c>
      <c r="AY1248">
        <f ca="1"/>
      </c>
      <c r="BA1248" s="7"/>
    </row>
    <row r="1249" spans="31:53" x14ac:dyDescent="0.55000000000000004">
      <c r="AE1249" s="7">
        <f ca="1"/>
      </c>
      <c r="AF1249">
        <f ca="1"/>
      </c>
      <c r="AG1249">
        <f ca="1"/>
      </c>
      <c r="AH1249">
        <f ca="1"/>
      </c>
      <c r="AI1249">
        <f ca="1"/>
      </c>
      <c r="AJ1249">
        <f ca="1"/>
      </c>
      <c r="AK1249">
        <f ca="1"/>
      </c>
      <c r="AL1249">
        <f ca="1"/>
      </c>
      <c r="AM1249">
        <f ca="1"/>
      </c>
      <c r="AN1249">
        <f ca="1"/>
      </c>
      <c r="AO1249">
        <f ca="1"/>
      </c>
      <c r="AP1249">
        <f ca="1"/>
      </c>
      <c r="AQ1249">
        <f ca="1"/>
      </c>
      <c r="AR1249">
        <f ca="1"/>
      </c>
      <c r="AT1249" s="7">
        <f ca="1"/>
      </c>
      <c r="AU1249">
        <f ca="1"/>
      </c>
      <c r="AV1249">
        <f ca="1"/>
      </c>
      <c r="AW1249">
        <f ca="1"/>
      </c>
      <c r="AX1249">
        <f ca="1"/>
      </c>
      <c r="AY1249">
        <f ca="1"/>
      </c>
      <c r="BA1249" s="7"/>
    </row>
    <row r="1250" spans="31:53" x14ac:dyDescent="0.55000000000000004">
      <c r="AE1250" s="7">
        <f ca="1"/>
      </c>
      <c r="AF1250">
        <f ca="1"/>
      </c>
      <c r="AG1250">
        <f ca="1"/>
      </c>
      <c r="AH1250">
        <f ca="1"/>
      </c>
      <c r="AI1250">
        <f ca="1"/>
      </c>
      <c r="AJ1250">
        <f ca="1"/>
      </c>
      <c r="AK1250">
        <f ca="1"/>
      </c>
      <c r="AL1250">
        <f ca="1"/>
      </c>
      <c r="AM1250">
        <f ca="1"/>
      </c>
      <c r="AN1250">
        <f ca="1"/>
      </c>
      <c r="AO1250">
        <f ca="1"/>
      </c>
      <c r="AP1250">
        <f ca="1"/>
      </c>
      <c r="AQ1250">
        <f ca="1"/>
      </c>
      <c r="AR1250">
        <f ca="1"/>
      </c>
      <c r="AT1250" s="7">
        <f ca="1"/>
      </c>
      <c r="AU1250">
        <f ca="1"/>
      </c>
      <c r="AV1250">
        <f ca="1"/>
      </c>
      <c r="AW1250">
        <f ca="1"/>
      </c>
      <c r="AX1250">
        <f ca="1"/>
      </c>
      <c r="AY1250">
        <f ca="1"/>
      </c>
      <c r="BA1250" s="7"/>
    </row>
    <row r="1251" spans="31:53" x14ac:dyDescent="0.55000000000000004">
      <c r="AE1251" s="7">
        <f ca="1"/>
      </c>
      <c r="AF1251">
        <f ca="1"/>
      </c>
      <c r="AG1251">
        <f ca="1"/>
      </c>
      <c r="AH1251">
        <f ca="1"/>
      </c>
      <c r="AI1251">
        <f ca="1"/>
      </c>
      <c r="AJ1251">
        <f ca="1"/>
      </c>
      <c r="AK1251">
        <f ca="1"/>
      </c>
      <c r="AL1251">
        <f ca="1"/>
      </c>
      <c r="AM1251">
        <f ca="1"/>
      </c>
      <c r="AN1251">
        <f ca="1"/>
      </c>
      <c r="AO1251">
        <f ca="1"/>
      </c>
      <c r="AP1251">
        <f ca="1"/>
      </c>
      <c r="AQ1251">
        <f ca="1"/>
      </c>
      <c r="AR1251">
        <f ca="1"/>
      </c>
      <c r="AT1251" s="7">
        <f ca="1"/>
      </c>
      <c r="AU1251">
        <f ca="1"/>
      </c>
      <c r="AV1251">
        <f ca="1"/>
      </c>
      <c r="AW1251">
        <f ca="1"/>
      </c>
      <c r="AX1251">
        <f ca="1"/>
      </c>
      <c r="AY1251">
        <f ca="1"/>
      </c>
      <c r="BA1251" s="7"/>
    </row>
    <row r="1252" spans="31:53" x14ac:dyDescent="0.55000000000000004">
      <c r="AE1252" s="7">
        <f ca="1"/>
      </c>
      <c r="AF1252">
        <f ca="1"/>
      </c>
      <c r="AG1252">
        <f ca="1"/>
      </c>
      <c r="AH1252">
        <f ca="1"/>
      </c>
      <c r="AI1252">
        <f ca="1"/>
      </c>
      <c r="AJ1252">
        <f ca="1"/>
      </c>
      <c r="AK1252">
        <f ca="1"/>
      </c>
      <c r="AL1252">
        <f ca="1"/>
      </c>
      <c r="AM1252">
        <f ca="1"/>
      </c>
      <c r="AN1252">
        <f ca="1"/>
      </c>
      <c r="AO1252">
        <f ca="1"/>
      </c>
      <c r="AP1252">
        <f ca="1"/>
      </c>
      <c r="AQ1252">
        <f ca="1"/>
      </c>
      <c r="AR1252">
        <f ca="1"/>
      </c>
      <c r="AT1252" s="7">
        <f ca="1"/>
      </c>
      <c r="AU1252">
        <f ca="1"/>
      </c>
      <c r="AV1252">
        <f ca="1"/>
      </c>
      <c r="AW1252">
        <f ca="1"/>
      </c>
      <c r="AX1252">
        <f ca="1"/>
      </c>
      <c r="AY1252">
        <f ca="1"/>
      </c>
      <c r="BA1252" s="7"/>
    </row>
    <row r="1253" spans="31:53" x14ac:dyDescent="0.55000000000000004">
      <c r="AE1253" s="7">
        <f ca="1"/>
      </c>
      <c r="AF1253">
        <f ca="1"/>
      </c>
      <c r="AG1253">
        <f ca="1"/>
      </c>
      <c r="AH1253">
        <f ca="1"/>
      </c>
      <c r="AI1253">
        <f ca="1"/>
      </c>
      <c r="AJ1253">
        <f ca="1"/>
      </c>
      <c r="AK1253">
        <f ca="1"/>
      </c>
      <c r="AL1253">
        <f ca="1"/>
      </c>
      <c r="AM1253">
        <f ca="1"/>
      </c>
      <c r="AN1253">
        <f ca="1"/>
      </c>
      <c r="AO1253">
        <f ca="1"/>
      </c>
      <c r="AP1253">
        <f ca="1"/>
      </c>
      <c r="AQ1253">
        <f ca="1"/>
      </c>
      <c r="AR1253">
        <f ca="1"/>
      </c>
      <c r="AT1253" s="7">
        <f ca="1"/>
      </c>
      <c r="AU1253">
        <f ca="1"/>
      </c>
      <c r="AV1253">
        <f ca="1"/>
      </c>
      <c r="AW1253">
        <f ca="1"/>
      </c>
      <c r="AX1253">
        <f ca="1"/>
      </c>
      <c r="AY1253">
        <f ca="1"/>
      </c>
      <c r="BA1253" s="7"/>
    </row>
    <row r="1254" spans="31:53" x14ac:dyDescent="0.55000000000000004">
      <c r="AE1254" s="7">
        <f ca="1"/>
      </c>
      <c r="AF1254">
        <f ca="1"/>
      </c>
      <c r="AG1254">
        <f ca="1"/>
      </c>
      <c r="AH1254">
        <f ca="1"/>
      </c>
      <c r="AI1254">
        <f ca="1"/>
      </c>
      <c r="AJ1254">
        <f ca="1"/>
      </c>
      <c r="AK1254">
        <f ca="1"/>
      </c>
      <c r="AL1254">
        <f ca="1"/>
      </c>
      <c r="AM1254">
        <f ca="1"/>
      </c>
      <c r="AN1254">
        <f ca="1"/>
      </c>
      <c r="AO1254">
        <f ca="1"/>
      </c>
      <c r="AP1254">
        <f ca="1"/>
      </c>
      <c r="AQ1254">
        <f ca="1"/>
      </c>
      <c r="AR1254">
        <f ca="1"/>
      </c>
      <c r="AT1254" s="7">
        <f ca="1"/>
      </c>
      <c r="AU1254">
        <f ca="1"/>
      </c>
      <c r="AV1254">
        <f ca="1"/>
      </c>
      <c r="AW1254">
        <f ca="1"/>
      </c>
      <c r="AX1254">
        <f ca="1"/>
      </c>
      <c r="AY1254">
        <f ca="1"/>
      </c>
      <c r="BA1254" s="7"/>
    </row>
    <row r="1255" spans="31:53" x14ac:dyDescent="0.55000000000000004">
      <c r="AE1255" s="7">
        <f ca="1"/>
      </c>
      <c r="AF1255">
        <f ca="1"/>
      </c>
      <c r="AG1255">
        <f ca="1"/>
      </c>
      <c r="AH1255">
        <f ca="1"/>
      </c>
      <c r="AI1255">
        <f ca="1"/>
      </c>
      <c r="AJ1255">
        <f ca="1"/>
      </c>
      <c r="AK1255">
        <f ca="1"/>
      </c>
      <c r="AL1255">
        <f ca="1"/>
      </c>
      <c r="AM1255">
        <f ca="1"/>
      </c>
      <c r="AN1255">
        <f ca="1"/>
      </c>
      <c r="AO1255">
        <f ca="1"/>
      </c>
      <c r="AP1255">
        <f ca="1"/>
      </c>
      <c r="AQ1255">
        <f ca="1"/>
      </c>
      <c r="AR1255">
        <f ca="1"/>
      </c>
      <c r="AT1255" s="7">
        <f ca="1"/>
      </c>
      <c r="AU1255">
        <f ca="1"/>
      </c>
      <c r="AV1255">
        <f ca="1"/>
      </c>
      <c r="AW1255">
        <f ca="1"/>
      </c>
      <c r="AX1255">
        <f ca="1"/>
      </c>
      <c r="AY1255">
        <f ca="1"/>
      </c>
      <c r="BA1255" s="7"/>
    </row>
    <row r="1256" spans="31:53" x14ac:dyDescent="0.55000000000000004">
      <c r="AE1256" s="7">
        <f ca="1"/>
      </c>
      <c r="AF1256">
        <f ca="1"/>
      </c>
      <c r="AG1256">
        <f ca="1"/>
      </c>
      <c r="AH1256">
        <f ca="1"/>
      </c>
      <c r="AI1256">
        <f ca="1"/>
      </c>
      <c r="AJ1256">
        <f ca="1"/>
      </c>
      <c r="AK1256">
        <f ca="1"/>
      </c>
      <c r="AL1256">
        <f ca="1"/>
      </c>
      <c r="AM1256">
        <f ca="1"/>
      </c>
      <c r="AN1256">
        <f ca="1"/>
      </c>
      <c r="AO1256">
        <f ca="1"/>
      </c>
      <c r="AP1256">
        <f ca="1"/>
      </c>
      <c r="AQ1256">
        <f ca="1"/>
      </c>
      <c r="AR1256">
        <f ca="1"/>
      </c>
      <c r="AT1256" s="7">
        <f ca="1"/>
      </c>
      <c r="AU1256">
        <f ca="1"/>
      </c>
      <c r="AV1256">
        <f ca="1"/>
      </c>
      <c r="AW1256">
        <f ca="1"/>
      </c>
      <c r="AX1256">
        <f ca="1"/>
      </c>
      <c r="AY1256">
        <f ca="1"/>
      </c>
      <c r="BA1256" s="7"/>
    </row>
    <row r="1257" spans="31:53" x14ac:dyDescent="0.55000000000000004">
      <c r="AE1257" s="7">
        <f ca="1"/>
      </c>
      <c r="AF1257">
        <f ca="1"/>
      </c>
      <c r="AG1257">
        <f ca="1"/>
      </c>
      <c r="AH1257">
        <f ca="1"/>
      </c>
      <c r="AI1257">
        <f ca="1"/>
      </c>
      <c r="AJ1257">
        <f ca="1"/>
      </c>
      <c r="AK1257">
        <f ca="1"/>
      </c>
      <c r="AL1257">
        <f ca="1"/>
      </c>
      <c r="AM1257">
        <f ca="1"/>
      </c>
      <c r="AN1257">
        <f ca="1"/>
      </c>
      <c r="AO1257">
        <f ca="1"/>
      </c>
      <c r="AP1257">
        <f ca="1"/>
      </c>
      <c r="AQ1257">
        <f ca="1"/>
      </c>
      <c r="AR1257">
        <f ca="1"/>
      </c>
      <c r="AT1257" s="7">
        <f ca="1"/>
      </c>
      <c r="AU1257">
        <f ca="1"/>
      </c>
      <c r="AV1257">
        <f ca="1"/>
      </c>
      <c r="AW1257">
        <f ca="1"/>
      </c>
      <c r="AX1257">
        <f ca="1"/>
      </c>
      <c r="AY1257">
        <f ca="1"/>
      </c>
      <c r="BA1257" s="7"/>
    </row>
    <row r="1258" spans="31:53" x14ac:dyDescent="0.55000000000000004">
      <c r="AE1258" s="7">
        <f ca="1"/>
      </c>
      <c r="AF1258">
        <f ca="1"/>
      </c>
      <c r="AG1258">
        <f ca="1"/>
      </c>
      <c r="AH1258">
        <f ca="1"/>
      </c>
      <c r="AI1258">
        <f ca="1"/>
      </c>
      <c r="AJ1258">
        <f ca="1"/>
      </c>
      <c r="AK1258">
        <f ca="1"/>
      </c>
      <c r="AL1258">
        <f ca="1"/>
      </c>
      <c r="AM1258">
        <f ca="1"/>
      </c>
      <c r="AN1258">
        <f ca="1"/>
      </c>
      <c r="AO1258">
        <f ca="1"/>
      </c>
      <c r="AP1258">
        <f ca="1"/>
      </c>
      <c r="AQ1258">
        <f ca="1"/>
      </c>
      <c r="AR1258">
        <f ca="1"/>
      </c>
      <c r="AT1258" s="7">
        <f ca="1"/>
      </c>
      <c r="AU1258">
        <f ca="1"/>
      </c>
      <c r="AV1258">
        <f ca="1"/>
      </c>
      <c r="AW1258">
        <f ca="1"/>
      </c>
      <c r="AX1258">
        <f ca="1"/>
      </c>
      <c r="AY1258">
        <f ca="1"/>
      </c>
      <c r="BA1258" s="7"/>
    </row>
    <row r="1259" spans="31:53" x14ac:dyDescent="0.55000000000000004">
      <c r="AE1259" s="7">
        <f ca="1"/>
      </c>
      <c r="AF1259">
        <f ca="1"/>
      </c>
      <c r="AG1259">
        <f ca="1"/>
      </c>
      <c r="AH1259">
        <f ca="1"/>
      </c>
      <c r="AI1259">
        <f ca="1"/>
      </c>
      <c r="AJ1259">
        <f ca="1"/>
      </c>
      <c r="AK1259">
        <f ca="1"/>
      </c>
      <c r="AL1259">
        <f ca="1"/>
      </c>
      <c r="AM1259">
        <f ca="1"/>
      </c>
      <c r="AN1259">
        <f ca="1"/>
      </c>
      <c r="AO1259">
        <f ca="1"/>
      </c>
      <c r="AP1259">
        <f ca="1"/>
      </c>
      <c r="AQ1259">
        <f ca="1"/>
      </c>
      <c r="AR1259">
        <f ca="1"/>
      </c>
      <c r="AT1259" s="7">
        <f ca="1"/>
      </c>
      <c r="AU1259">
        <f ca="1"/>
      </c>
      <c r="AV1259">
        <f ca="1"/>
      </c>
      <c r="AW1259">
        <f ca="1"/>
      </c>
      <c r="AX1259">
        <f ca="1"/>
      </c>
      <c r="AY1259">
        <f ca="1"/>
      </c>
      <c r="BA1259" s="7"/>
    </row>
    <row r="1260" spans="31:53" x14ac:dyDescent="0.55000000000000004">
      <c r="AE1260" s="7">
        <f ca="1"/>
      </c>
      <c r="AF1260">
        <f ca="1"/>
      </c>
      <c r="AG1260">
        <f ca="1"/>
      </c>
      <c r="AH1260">
        <f ca="1"/>
      </c>
      <c r="AI1260">
        <f ca="1"/>
      </c>
      <c r="AJ1260">
        <f ca="1"/>
      </c>
      <c r="AK1260">
        <f ca="1"/>
      </c>
      <c r="AL1260">
        <f ca="1"/>
      </c>
      <c r="AM1260">
        <f ca="1"/>
      </c>
      <c r="AN1260">
        <f ca="1"/>
      </c>
      <c r="AO1260">
        <f ca="1"/>
      </c>
      <c r="AP1260">
        <f ca="1"/>
      </c>
      <c r="AQ1260">
        <f ca="1"/>
      </c>
      <c r="AR1260">
        <f ca="1"/>
      </c>
      <c r="AT1260" s="7">
        <f ca="1"/>
      </c>
      <c r="AU1260">
        <f ca="1"/>
      </c>
      <c r="AV1260">
        <f ca="1"/>
      </c>
      <c r="AW1260">
        <f ca="1"/>
      </c>
      <c r="AX1260">
        <f ca="1"/>
      </c>
      <c r="AY1260">
        <f ca="1"/>
      </c>
      <c r="BA1260" s="7"/>
    </row>
    <row r="1261" spans="31:53" x14ac:dyDescent="0.55000000000000004">
      <c r="AE1261" s="7">
        <f ca="1"/>
      </c>
      <c r="AF1261">
        <f ca="1"/>
      </c>
      <c r="AG1261">
        <f ca="1"/>
      </c>
      <c r="AH1261">
        <f ca="1"/>
      </c>
      <c r="AI1261">
        <f ca="1"/>
      </c>
      <c r="AJ1261">
        <f ca="1"/>
      </c>
      <c r="AK1261">
        <f ca="1"/>
      </c>
      <c r="AL1261">
        <f ca="1"/>
      </c>
      <c r="AM1261">
        <f ca="1"/>
      </c>
      <c r="AN1261">
        <f ca="1"/>
      </c>
      <c r="AO1261">
        <f ca="1"/>
      </c>
      <c r="AP1261">
        <f ca="1"/>
      </c>
      <c r="AQ1261">
        <f ca="1"/>
      </c>
      <c r="AR1261">
        <f ca="1"/>
      </c>
      <c r="AT1261" s="7">
        <f ca="1"/>
      </c>
      <c r="AU1261">
        <f ca="1"/>
      </c>
      <c r="AV1261">
        <f ca="1"/>
      </c>
      <c r="AW1261">
        <f ca="1"/>
      </c>
      <c r="AX1261">
        <f ca="1"/>
      </c>
      <c r="AY1261">
        <f ca="1"/>
      </c>
      <c r="BA1261" s="7"/>
    </row>
    <row r="1262" spans="31:53" x14ac:dyDescent="0.55000000000000004">
      <c r="AE1262" s="7">
        <f ca="1"/>
      </c>
      <c r="AF1262">
        <f ca="1"/>
      </c>
      <c r="AG1262">
        <f ca="1"/>
      </c>
      <c r="AH1262">
        <f ca="1"/>
      </c>
      <c r="AI1262">
        <f ca="1"/>
      </c>
      <c r="AJ1262">
        <f ca="1"/>
      </c>
      <c r="AK1262">
        <f ca="1"/>
      </c>
      <c r="AL1262">
        <f ca="1"/>
      </c>
      <c r="AM1262">
        <f ca="1"/>
      </c>
      <c r="AN1262">
        <f ca="1"/>
      </c>
      <c r="AO1262">
        <f ca="1"/>
      </c>
      <c r="AP1262">
        <f ca="1"/>
      </c>
      <c r="AQ1262">
        <f ca="1"/>
      </c>
      <c r="AR1262">
        <f ca="1"/>
      </c>
      <c r="AT1262" s="7">
        <f ca="1"/>
      </c>
      <c r="AU1262">
        <f ca="1"/>
      </c>
      <c r="AV1262">
        <f ca="1"/>
      </c>
      <c r="AW1262">
        <f ca="1"/>
      </c>
      <c r="AX1262">
        <f ca="1"/>
      </c>
      <c r="AY1262">
        <f ca="1"/>
      </c>
      <c r="BA1262" s="7"/>
    </row>
    <row r="1263" spans="31:53" x14ac:dyDescent="0.55000000000000004">
      <c r="AE1263" s="7">
        <f ca="1"/>
      </c>
      <c r="AF1263">
        <f ca="1"/>
      </c>
      <c r="AG1263">
        <f ca="1"/>
      </c>
      <c r="AH1263">
        <f ca="1"/>
      </c>
      <c r="AI1263">
        <f ca="1"/>
      </c>
      <c r="AJ1263">
        <f ca="1"/>
      </c>
      <c r="AK1263">
        <f ca="1"/>
      </c>
      <c r="AL1263">
        <f ca="1"/>
      </c>
      <c r="AM1263">
        <f ca="1"/>
      </c>
      <c r="AN1263">
        <f ca="1"/>
      </c>
      <c r="AO1263">
        <f ca="1"/>
      </c>
      <c r="AP1263">
        <f ca="1"/>
      </c>
      <c r="AQ1263">
        <f ca="1"/>
      </c>
      <c r="AR1263">
        <f ca="1"/>
      </c>
      <c r="AT1263" s="7">
        <f ca="1"/>
      </c>
      <c r="AU1263">
        <f ca="1"/>
      </c>
      <c r="AV1263">
        <f ca="1"/>
      </c>
      <c r="AW1263">
        <f ca="1"/>
      </c>
      <c r="AX1263">
        <f ca="1"/>
      </c>
      <c r="AY1263">
        <f ca="1"/>
      </c>
      <c r="BA1263" s="7"/>
    </row>
    <row r="1264" spans="31:53" x14ac:dyDescent="0.55000000000000004">
      <c r="AE1264" s="7">
        <f ca="1"/>
      </c>
      <c r="AF1264">
        <f ca="1"/>
      </c>
      <c r="AG1264">
        <f ca="1"/>
      </c>
      <c r="AH1264">
        <f ca="1"/>
      </c>
      <c r="AI1264">
        <f ca="1"/>
      </c>
      <c r="AJ1264">
        <f ca="1"/>
      </c>
      <c r="AK1264">
        <f ca="1"/>
      </c>
      <c r="AL1264">
        <f ca="1"/>
      </c>
      <c r="AM1264">
        <f ca="1"/>
      </c>
      <c r="AN1264">
        <f ca="1"/>
      </c>
      <c r="AO1264">
        <f ca="1"/>
      </c>
      <c r="AP1264">
        <f ca="1"/>
      </c>
      <c r="AQ1264">
        <f ca="1"/>
      </c>
      <c r="AR1264">
        <f ca="1"/>
      </c>
      <c r="AT1264" s="7">
        <f ca="1"/>
      </c>
      <c r="AU1264">
        <f ca="1"/>
      </c>
      <c r="AV1264">
        <f ca="1"/>
      </c>
      <c r="AW1264">
        <f ca="1"/>
      </c>
      <c r="AX1264">
        <f ca="1"/>
      </c>
      <c r="AY1264">
        <f ca="1"/>
      </c>
      <c r="BA1264" s="7"/>
    </row>
    <row r="1265" spans="31:53" x14ac:dyDescent="0.55000000000000004">
      <c r="AE1265" s="7">
        <f ca="1"/>
      </c>
      <c r="AF1265">
        <f ca="1"/>
      </c>
      <c r="AG1265">
        <f ca="1"/>
      </c>
      <c r="AH1265">
        <f ca="1"/>
      </c>
      <c r="AI1265">
        <f ca="1"/>
      </c>
      <c r="AJ1265">
        <f ca="1"/>
      </c>
      <c r="AK1265">
        <f ca="1"/>
      </c>
      <c r="AL1265">
        <f ca="1"/>
      </c>
      <c r="AM1265">
        <f ca="1"/>
      </c>
      <c r="AN1265">
        <f ca="1"/>
      </c>
      <c r="AO1265">
        <f ca="1"/>
      </c>
      <c r="AP1265">
        <f ca="1"/>
      </c>
      <c r="AQ1265">
        <f ca="1"/>
      </c>
      <c r="AR1265">
        <f ca="1"/>
      </c>
      <c r="AT1265" s="7">
        <f ca="1"/>
      </c>
      <c r="AU1265">
        <f ca="1"/>
      </c>
      <c r="AV1265">
        <f ca="1"/>
      </c>
      <c r="AW1265">
        <f ca="1"/>
      </c>
      <c r="AX1265">
        <f ca="1"/>
      </c>
      <c r="AY1265">
        <f ca="1"/>
      </c>
      <c r="BA1265" s="7"/>
    </row>
    <row r="1266" spans="31:53" x14ac:dyDescent="0.55000000000000004">
      <c r="AE1266" s="7">
        <f ca="1"/>
      </c>
      <c r="AF1266">
        <f ca="1"/>
      </c>
      <c r="AG1266">
        <f ca="1"/>
      </c>
      <c r="AH1266">
        <f ca="1"/>
      </c>
      <c r="AI1266">
        <f ca="1"/>
      </c>
      <c r="AJ1266">
        <f ca="1"/>
      </c>
      <c r="AK1266">
        <f ca="1"/>
      </c>
      <c r="AL1266">
        <f ca="1"/>
      </c>
      <c r="AM1266">
        <f ca="1"/>
      </c>
      <c r="AN1266">
        <f ca="1"/>
      </c>
      <c r="AO1266">
        <f ca="1"/>
      </c>
      <c r="AP1266">
        <f ca="1"/>
      </c>
      <c r="AQ1266">
        <f ca="1"/>
      </c>
      <c r="AR1266">
        <f ca="1"/>
      </c>
      <c r="AT1266" s="7">
        <f ca="1"/>
      </c>
      <c r="AU1266">
        <f ca="1"/>
      </c>
      <c r="AV1266">
        <f ca="1"/>
      </c>
      <c r="AW1266">
        <f ca="1"/>
      </c>
      <c r="AX1266">
        <f ca="1"/>
      </c>
      <c r="AY1266">
        <f ca="1"/>
      </c>
      <c r="BA1266" s="7"/>
    </row>
    <row r="1267" spans="31:53" x14ac:dyDescent="0.55000000000000004">
      <c r="AE1267" s="7">
        <f ca="1"/>
      </c>
      <c r="AF1267">
        <f ca="1"/>
      </c>
      <c r="AG1267">
        <f ca="1"/>
      </c>
      <c r="AH1267">
        <f ca="1"/>
      </c>
      <c r="AI1267">
        <f ca="1"/>
      </c>
      <c r="AJ1267">
        <f ca="1"/>
      </c>
      <c r="AK1267">
        <f ca="1"/>
      </c>
      <c r="AL1267">
        <f ca="1"/>
      </c>
      <c r="AM1267">
        <f ca="1"/>
      </c>
      <c r="AN1267">
        <f ca="1"/>
      </c>
      <c r="AO1267">
        <f ca="1"/>
      </c>
      <c r="AP1267">
        <f ca="1"/>
      </c>
      <c r="AQ1267">
        <f ca="1"/>
      </c>
      <c r="AR1267">
        <f ca="1"/>
      </c>
      <c r="AT1267" s="7">
        <f ca="1"/>
      </c>
      <c r="AU1267">
        <f ca="1"/>
      </c>
      <c r="AV1267">
        <f ca="1"/>
      </c>
      <c r="AW1267">
        <f ca="1"/>
      </c>
      <c r="AX1267">
        <f ca="1"/>
      </c>
      <c r="AY1267">
        <f ca="1"/>
      </c>
      <c r="BA1267" s="7"/>
    </row>
    <row r="1268" spans="31:53" x14ac:dyDescent="0.55000000000000004">
      <c r="AE1268" s="7">
        <f ca="1"/>
      </c>
      <c r="AF1268">
        <f ca="1"/>
      </c>
      <c r="AG1268">
        <f ca="1"/>
      </c>
      <c r="AH1268">
        <f ca="1"/>
      </c>
      <c r="AI1268">
        <f ca="1"/>
      </c>
      <c r="AJ1268">
        <f ca="1"/>
      </c>
      <c r="AK1268">
        <f ca="1"/>
      </c>
      <c r="AL1268">
        <f ca="1"/>
      </c>
      <c r="AM1268">
        <f ca="1"/>
      </c>
      <c r="AN1268">
        <f ca="1"/>
      </c>
      <c r="AO1268">
        <f ca="1"/>
      </c>
      <c r="AP1268">
        <f ca="1"/>
      </c>
      <c r="AQ1268">
        <f ca="1"/>
      </c>
      <c r="AR1268">
        <f ca="1"/>
      </c>
      <c r="AT1268" s="7">
        <f ca="1"/>
      </c>
      <c r="AU1268">
        <f ca="1"/>
      </c>
      <c r="AV1268">
        <f ca="1"/>
      </c>
      <c r="AW1268">
        <f ca="1"/>
      </c>
      <c r="AX1268">
        <f ca="1"/>
      </c>
      <c r="AY1268">
        <f ca="1"/>
      </c>
      <c r="BA1268" s="7"/>
    </row>
    <row r="1269" spans="31:53" x14ac:dyDescent="0.55000000000000004">
      <c r="AE1269" s="7">
        <f ca="1"/>
      </c>
      <c r="AF1269">
        <f ca="1"/>
      </c>
      <c r="AG1269">
        <f ca="1"/>
      </c>
      <c r="AH1269">
        <f ca="1"/>
      </c>
      <c r="AI1269">
        <f ca="1"/>
      </c>
      <c r="AJ1269">
        <f ca="1"/>
      </c>
      <c r="AK1269">
        <f ca="1"/>
      </c>
      <c r="AL1269">
        <f ca="1"/>
      </c>
      <c r="AM1269">
        <f ca="1"/>
      </c>
      <c r="AN1269">
        <f ca="1"/>
      </c>
      <c r="AO1269">
        <f ca="1"/>
      </c>
      <c r="AP1269">
        <f ca="1"/>
      </c>
      <c r="AQ1269">
        <f ca="1"/>
      </c>
      <c r="AR1269">
        <f ca="1"/>
      </c>
      <c r="AT1269" s="7">
        <f ca="1"/>
      </c>
      <c r="AU1269">
        <f ca="1"/>
      </c>
      <c r="AV1269">
        <f ca="1"/>
      </c>
      <c r="AW1269">
        <f ca="1"/>
      </c>
      <c r="AX1269">
        <f ca="1"/>
      </c>
      <c r="AY1269">
        <f ca="1"/>
      </c>
      <c r="BA1269" s="7"/>
    </row>
    <row r="1270" spans="31:53" x14ac:dyDescent="0.55000000000000004">
      <c r="AE1270" s="7">
        <f ca="1"/>
      </c>
      <c r="AF1270">
        <f ca="1"/>
      </c>
      <c r="AG1270">
        <f ca="1"/>
      </c>
      <c r="AH1270">
        <f ca="1"/>
      </c>
      <c r="AI1270">
        <f ca="1"/>
      </c>
      <c r="AJ1270">
        <f ca="1"/>
      </c>
      <c r="AK1270">
        <f ca="1"/>
      </c>
      <c r="AL1270">
        <f ca="1"/>
      </c>
      <c r="AM1270">
        <f ca="1"/>
      </c>
      <c r="AN1270">
        <f ca="1"/>
      </c>
      <c r="AO1270">
        <f ca="1"/>
      </c>
      <c r="AP1270">
        <f ca="1"/>
      </c>
      <c r="AQ1270">
        <f ca="1"/>
      </c>
      <c r="AR1270">
        <f ca="1"/>
      </c>
      <c r="AT1270" s="7">
        <f ca="1"/>
      </c>
      <c r="AU1270">
        <f ca="1"/>
      </c>
      <c r="AV1270">
        <f ca="1"/>
      </c>
      <c r="AW1270">
        <f ca="1"/>
      </c>
      <c r="AX1270">
        <f ca="1"/>
      </c>
      <c r="AY1270">
        <f ca="1"/>
      </c>
      <c r="BA1270" s="7"/>
    </row>
    <row r="1271" spans="31:53" x14ac:dyDescent="0.55000000000000004">
      <c r="AE1271" s="7">
        <f ca="1"/>
      </c>
      <c r="AF1271">
        <f ca="1"/>
      </c>
      <c r="AG1271">
        <f ca="1"/>
      </c>
      <c r="AH1271">
        <f ca="1"/>
      </c>
      <c r="AI1271">
        <f ca="1"/>
      </c>
      <c r="AJ1271">
        <f ca="1"/>
      </c>
      <c r="AK1271">
        <f ca="1"/>
      </c>
      <c r="AL1271">
        <f ca="1"/>
      </c>
      <c r="AM1271">
        <f ca="1"/>
      </c>
      <c r="AN1271">
        <f ca="1"/>
      </c>
      <c r="AO1271">
        <f ca="1"/>
      </c>
      <c r="AP1271">
        <f ca="1"/>
      </c>
      <c r="AQ1271">
        <f ca="1"/>
      </c>
      <c r="AR1271">
        <f ca="1"/>
      </c>
      <c r="AT1271" s="7">
        <f ca="1"/>
      </c>
      <c r="AU1271">
        <f ca="1"/>
      </c>
      <c r="AV1271">
        <f ca="1"/>
      </c>
      <c r="AW1271">
        <f ca="1"/>
      </c>
      <c r="AX1271">
        <f ca="1"/>
      </c>
      <c r="AY1271">
        <f ca="1"/>
      </c>
      <c r="BA1271" s="7"/>
    </row>
    <row r="1272" spans="31:53" x14ac:dyDescent="0.55000000000000004">
      <c r="AE1272" s="7">
        <f ca="1"/>
      </c>
      <c r="AF1272">
        <f ca="1"/>
      </c>
      <c r="AG1272">
        <f ca="1"/>
      </c>
      <c r="AH1272">
        <f ca="1"/>
      </c>
      <c r="AI1272">
        <f ca="1"/>
      </c>
      <c r="AJ1272">
        <f ca="1"/>
      </c>
      <c r="AK1272">
        <f ca="1"/>
      </c>
      <c r="AL1272">
        <f ca="1"/>
      </c>
      <c r="AM1272">
        <f ca="1"/>
      </c>
      <c r="AN1272">
        <f ca="1"/>
      </c>
      <c r="AO1272">
        <f ca="1"/>
      </c>
      <c r="AP1272">
        <f ca="1"/>
      </c>
      <c r="AQ1272">
        <f ca="1"/>
      </c>
      <c r="AR1272">
        <f ca="1"/>
      </c>
      <c r="AT1272" s="7">
        <f ca="1"/>
      </c>
      <c r="AU1272">
        <f ca="1"/>
      </c>
      <c r="AV1272">
        <f ca="1"/>
      </c>
      <c r="AW1272">
        <f ca="1"/>
      </c>
      <c r="AX1272">
        <f ca="1"/>
      </c>
      <c r="AY1272">
        <f ca="1"/>
      </c>
      <c r="BA1272" s="7"/>
    </row>
    <row r="1273" spans="31:53" x14ac:dyDescent="0.55000000000000004">
      <c r="AE1273" s="7">
        <f ca="1"/>
      </c>
      <c r="AF1273">
        <f ca="1"/>
      </c>
      <c r="AG1273">
        <f ca="1"/>
      </c>
      <c r="AH1273">
        <f ca="1"/>
      </c>
      <c r="AI1273">
        <f ca="1"/>
      </c>
      <c r="AJ1273">
        <f ca="1"/>
      </c>
      <c r="AK1273">
        <f ca="1"/>
      </c>
      <c r="AL1273">
        <f ca="1"/>
      </c>
      <c r="AM1273">
        <f ca="1"/>
      </c>
      <c r="AN1273">
        <f ca="1"/>
      </c>
      <c r="AO1273">
        <f ca="1"/>
      </c>
      <c r="AP1273">
        <f ca="1"/>
      </c>
      <c r="AQ1273">
        <f ca="1"/>
      </c>
      <c r="AR1273">
        <f ca="1"/>
      </c>
      <c r="AT1273" s="7">
        <f ca="1"/>
      </c>
      <c r="AU1273">
        <f ca="1"/>
      </c>
      <c r="AV1273">
        <f ca="1"/>
      </c>
      <c r="AW1273">
        <f ca="1"/>
      </c>
      <c r="AX1273">
        <f ca="1"/>
      </c>
      <c r="AY1273">
        <f ca="1"/>
      </c>
      <c r="BA1273" s="7"/>
    </row>
    <row r="1274" spans="31:53" x14ac:dyDescent="0.55000000000000004">
      <c r="AE1274" s="7">
        <f ca="1"/>
      </c>
      <c r="AF1274">
        <f ca="1"/>
      </c>
      <c r="AG1274">
        <f ca="1"/>
      </c>
      <c r="AH1274">
        <f ca="1"/>
      </c>
      <c r="AI1274">
        <f ca="1"/>
      </c>
      <c r="AJ1274">
        <f ca="1"/>
      </c>
      <c r="AK1274">
        <f ca="1"/>
      </c>
      <c r="AL1274">
        <f ca="1"/>
      </c>
      <c r="AM1274">
        <f ca="1"/>
      </c>
      <c r="AN1274">
        <f ca="1"/>
      </c>
      <c r="AO1274">
        <f ca="1"/>
      </c>
      <c r="AP1274">
        <f ca="1"/>
      </c>
      <c r="AQ1274">
        <f ca="1"/>
      </c>
      <c r="AR1274">
        <f ca="1"/>
      </c>
      <c r="AT1274" s="7">
        <f ca="1"/>
      </c>
      <c r="AU1274">
        <f ca="1"/>
      </c>
      <c r="AV1274">
        <f ca="1"/>
      </c>
      <c r="AW1274">
        <f ca="1"/>
      </c>
      <c r="AX1274">
        <f ca="1"/>
      </c>
      <c r="AY1274">
        <f ca="1"/>
      </c>
      <c r="BA1274" s="7"/>
    </row>
    <row r="1275" spans="31:53" x14ac:dyDescent="0.55000000000000004">
      <c r="AE1275" s="7">
        <f ca="1"/>
      </c>
      <c r="AF1275">
        <f ca="1"/>
      </c>
      <c r="AG1275">
        <f ca="1"/>
      </c>
      <c r="AH1275">
        <f ca="1"/>
      </c>
      <c r="AI1275">
        <f ca="1"/>
      </c>
      <c r="AJ1275">
        <f ca="1"/>
      </c>
      <c r="AK1275">
        <f ca="1"/>
      </c>
      <c r="AL1275">
        <f ca="1"/>
      </c>
      <c r="AM1275">
        <f ca="1"/>
      </c>
      <c r="AN1275">
        <f ca="1"/>
      </c>
      <c r="AO1275">
        <f ca="1"/>
      </c>
      <c r="AP1275">
        <f ca="1"/>
      </c>
      <c r="AQ1275">
        <f ca="1"/>
      </c>
      <c r="AR1275">
        <f ca="1"/>
      </c>
      <c r="AT1275" s="7">
        <f ca="1"/>
      </c>
      <c r="AU1275">
        <f ca="1"/>
      </c>
      <c r="AV1275">
        <f ca="1"/>
      </c>
      <c r="AW1275">
        <f ca="1"/>
      </c>
      <c r="AX1275">
        <f ca="1"/>
      </c>
      <c r="AY1275">
        <f ca="1"/>
      </c>
      <c r="BA1275" s="7"/>
    </row>
    <row r="1276" spans="31:53" x14ac:dyDescent="0.55000000000000004">
      <c r="AE1276" s="7">
        <f ca="1"/>
      </c>
      <c r="AF1276">
        <f ca="1"/>
      </c>
      <c r="AG1276">
        <f ca="1"/>
      </c>
      <c r="AH1276">
        <f ca="1"/>
      </c>
      <c r="AI1276">
        <f ca="1"/>
      </c>
      <c r="AJ1276">
        <f ca="1"/>
      </c>
      <c r="AK1276">
        <f ca="1"/>
      </c>
      <c r="AL1276">
        <f ca="1"/>
      </c>
      <c r="AM1276">
        <f ca="1"/>
      </c>
      <c r="AN1276">
        <f ca="1"/>
      </c>
      <c r="AO1276">
        <f ca="1"/>
      </c>
      <c r="AP1276">
        <f ca="1"/>
      </c>
      <c r="AQ1276">
        <f ca="1"/>
      </c>
      <c r="AR1276">
        <f ca="1"/>
      </c>
      <c r="AT1276" s="7">
        <f ca="1"/>
      </c>
      <c r="AU1276">
        <f ca="1"/>
      </c>
      <c r="AV1276">
        <f ca="1"/>
      </c>
      <c r="AW1276">
        <f ca="1"/>
      </c>
      <c r="AX1276">
        <f ca="1"/>
      </c>
      <c r="AY1276">
        <f ca="1"/>
      </c>
      <c r="BA1276" s="7"/>
    </row>
    <row r="1277" spans="31:53" x14ac:dyDescent="0.55000000000000004">
      <c r="AE1277" s="7">
        <f ca="1"/>
      </c>
      <c r="AF1277">
        <f ca="1"/>
      </c>
      <c r="AG1277">
        <f ca="1"/>
      </c>
      <c r="AH1277">
        <f ca="1"/>
      </c>
      <c r="AI1277">
        <f ca="1"/>
      </c>
      <c r="AJ1277">
        <f ca="1"/>
      </c>
      <c r="AK1277">
        <f ca="1"/>
      </c>
      <c r="AL1277">
        <f ca="1"/>
      </c>
      <c r="AM1277">
        <f ca="1"/>
      </c>
      <c r="AN1277">
        <f ca="1"/>
      </c>
      <c r="AO1277">
        <f ca="1"/>
      </c>
      <c r="AP1277">
        <f ca="1"/>
      </c>
      <c r="AQ1277">
        <f ca="1"/>
      </c>
      <c r="AR1277">
        <f ca="1"/>
      </c>
      <c r="AT1277" s="7">
        <f ca="1"/>
      </c>
      <c r="AU1277">
        <f ca="1"/>
      </c>
      <c r="AV1277">
        <f ca="1"/>
      </c>
      <c r="AW1277">
        <f ca="1"/>
      </c>
      <c r="AX1277">
        <f ca="1"/>
      </c>
      <c r="AY1277">
        <f ca="1"/>
      </c>
      <c r="BA1277" s="7"/>
    </row>
    <row r="1278" spans="31:53" x14ac:dyDescent="0.55000000000000004">
      <c r="AE1278" s="7">
        <f ca="1"/>
      </c>
      <c r="AF1278">
        <f ca="1"/>
      </c>
      <c r="AG1278">
        <f ca="1"/>
      </c>
      <c r="AH1278">
        <f ca="1"/>
      </c>
      <c r="AI1278">
        <f ca="1"/>
      </c>
      <c r="AJ1278">
        <f ca="1"/>
      </c>
      <c r="AK1278">
        <f ca="1"/>
      </c>
      <c r="AL1278">
        <f ca="1"/>
      </c>
      <c r="AM1278">
        <f ca="1"/>
      </c>
      <c r="AN1278">
        <f ca="1"/>
      </c>
      <c r="AO1278">
        <f ca="1"/>
      </c>
      <c r="AP1278">
        <f ca="1"/>
      </c>
      <c r="AQ1278">
        <f ca="1"/>
      </c>
      <c r="AR1278">
        <f ca="1"/>
      </c>
      <c r="AT1278" s="7">
        <f ca="1"/>
      </c>
      <c r="AU1278">
        <f ca="1"/>
      </c>
      <c r="AV1278">
        <f ca="1"/>
      </c>
      <c r="AW1278">
        <f ca="1"/>
      </c>
      <c r="AX1278">
        <f ca="1"/>
      </c>
      <c r="AY1278">
        <f ca="1"/>
      </c>
      <c r="BA1278" s="7"/>
    </row>
    <row r="1279" spans="31:53" x14ac:dyDescent="0.55000000000000004">
      <c r="AE1279" s="7">
        <f ca="1"/>
      </c>
      <c r="AF1279">
        <f ca="1"/>
      </c>
      <c r="AG1279">
        <f ca="1"/>
      </c>
      <c r="AH1279">
        <f ca="1"/>
      </c>
      <c r="AI1279">
        <f ca="1"/>
      </c>
      <c r="AJ1279">
        <f ca="1"/>
      </c>
      <c r="AK1279">
        <f ca="1"/>
      </c>
      <c r="AL1279">
        <f ca="1"/>
      </c>
      <c r="AM1279">
        <f ca="1"/>
      </c>
      <c r="AN1279">
        <f ca="1"/>
      </c>
      <c r="AO1279">
        <f ca="1"/>
      </c>
      <c r="AP1279">
        <f ca="1"/>
      </c>
      <c r="AQ1279">
        <f ca="1"/>
      </c>
      <c r="AR1279">
        <f ca="1"/>
      </c>
      <c r="AT1279" s="7">
        <f ca="1"/>
      </c>
      <c r="AU1279">
        <f ca="1"/>
      </c>
      <c r="AV1279">
        <f ca="1"/>
      </c>
      <c r="AW1279">
        <f ca="1"/>
      </c>
      <c r="AX1279">
        <f ca="1"/>
      </c>
      <c r="AY1279">
        <f ca="1"/>
      </c>
      <c r="BA1279" s="7"/>
    </row>
    <row r="1280" spans="31:53" x14ac:dyDescent="0.55000000000000004">
      <c r="AE1280" s="7">
        <f ca="1"/>
      </c>
      <c r="AF1280">
        <f ca="1"/>
      </c>
      <c r="AG1280">
        <f ca="1"/>
      </c>
      <c r="AH1280">
        <f ca="1"/>
      </c>
      <c r="AI1280">
        <f ca="1"/>
      </c>
      <c r="AJ1280">
        <f ca="1"/>
      </c>
      <c r="AK1280">
        <f ca="1"/>
      </c>
      <c r="AL1280">
        <f ca="1"/>
      </c>
      <c r="AM1280">
        <f ca="1"/>
      </c>
      <c r="AN1280">
        <f ca="1"/>
      </c>
      <c r="AO1280">
        <f ca="1"/>
      </c>
      <c r="AP1280">
        <f ca="1"/>
      </c>
      <c r="AQ1280">
        <f ca="1"/>
      </c>
      <c r="AR1280">
        <f ca="1"/>
      </c>
      <c r="AT1280" s="7">
        <f ca="1"/>
      </c>
      <c r="AU1280">
        <f ca="1"/>
      </c>
      <c r="AV1280">
        <f ca="1"/>
      </c>
      <c r="AW1280">
        <f ca="1"/>
      </c>
      <c r="AX1280">
        <f ca="1"/>
      </c>
      <c r="AY1280">
        <f ca="1"/>
      </c>
      <c r="BA1280" s="7"/>
    </row>
    <row r="1281" spans="31:53" x14ac:dyDescent="0.55000000000000004">
      <c r="AE1281" s="7">
        <f ca="1"/>
      </c>
      <c r="AF1281">
        <f ca="1"/>
      </c>
      <c r="AG1281">
        <f ca="1"/>
      </c>
      <c r="AH1281">
        <f ca="1"/>
      </c>
      <c r="AI1281">
        <f ca="1"/>
      </c>
      <c r="AJ1281">
        <f ca="1"/>
      </c>
      <c r="AK1281">
        <f ca="1"/>
      </c>
      <c r="AL1281">
        <f ca="1"/>
      </c>
      <c r="AM1281">
        <f ca="1"/>
      </c>
      <c r="AN1281">
        <f ca="1"/>
      </c>
      <c r="AO1281">
        <f ca="1"/>
      </c>
      <c r="AP1281">
        <f ca="1"/>
      </c>
      <c r="AQ1281">
        <f ca="1"/>
      </c>
      <c r="AR1281">
        <f ca="1"/>
      </c>
      <c r="AT1281" s="7">
        <f ca="1"/>
      </c>
      <c r="AU1281">
        <f ca="1"/>
      </c>
      <c r="AV1281">
        <f ca="1"/>
      </c>
      <c r="AW1281">
        <f ca="1"/>
      </c>
      <c r="AX1281">
        <f ca="1"/>
      </c>
      <c r="AY1281">
        <f ca="1"/>
      </c>
      <c r="BA1281" s="7"/>
    </row>
    <row r="1282" spans="31:53" x14ac:dyDescent="0.55000000000000004">
      <c r="AE1282" s="7">
        <f ca="1"/>
      </c>
      <c r="AF1282">
        <f ca="1"/>
      </c>
      <c r="AG1282">
        <f ca="1"/>
      </c>
      <c r="AH1282">
        <f ca="1"/>
      </c>
      <c r="AI1282">
        <f ca="1"/>
      </c>
      <c r="AJ1282">
        <f ca="1"/>
      </c>
      <c r="AK1282">
        <f ca="1"/>
      </c>
      <c r="AL1282">
        <f ca="1"/>
      </c>
      <c r="AM1282">
        <f ca="1"/>
      </c>
      <c r="AN1282">
        <f ca="1"/>
      </c>
      <c r="AO1282">
        <f ca="1"/>
      </c>
      <c r="AP1282">
        <f ca="1"/>
      </c>
      <c r="AQ1282">
        <f ca="1"/>
      </c>
      <c r="AR1282">
        <f ca="1"/>
      </c>
      <c r="AT1282" s="7">
        <f ca="1"/>
      </c>
      <c r="AU1282">
        <f ca="1"/>
      </c>
      <c r="AV1282">
        <f ca="1"/>
      </c>
      <c r="AW1282">
        <f ca="1"/>
      </c>
      <c r="AX1282">
        <f ca="1"/>
      </c>
      <c r="AY1282">
        <f ca="1"/>
      </c>
      <c r="BA1282" s="7"/>
    </row>
    <row r="1283" spans="31:53" x14ac:dyDescent="0.55000000000000004">
      <c r="AE1283" s="7">
        <f ca="1"/>
      </c>
      <c r="AF1283">
        <f ca="1"/>
      </c>
      <c r="AG1283">
        <f ca="1"/>
      </c>
      <c r="AH1283">
        <f ca="1"/>
      </c>
      <c r="AI1283">
        <f ca="1"/>
      </c>
      <c r="AJ1283">
        <f ca="1"/>
      </c>
      <c r="AK1283">
        <f ca="1"/>
      </c>
      <c r="AL1283">
        <f ca="1"/>
      </c>
      <c r="AM1283">
        <f ca="1"/>
      </c>
      <c r="AN1283">
        <f ca="1"/>
      </c>
      <c r="AO1283">
        <f ca="1"/>
      </c>
      <c r="AP1283">
        <f ca="1"/>
      </c>
      <c r="AQ1283">
        <f ca="1"/>
      </c>
      <c r="AR1283">
        <f ca="1"/>
      </c>
      <c r="AT1283" s="7">
        <f ca="1"/>
      </c>
      <c r="AU1283">
        <f ca="1"/>
      </c>
      <c r="AV1283">
        <f ca="1"/>
      </c>
      <c r="AW1283">
        <f ca="1"/>
      </c>
      <c r="AX1283">
        <f ca="1"/>
      </c>
      <c r="AY1283">
        <f ca="1"/>
      </c>
      <c r="BA1283" s="7"/>
    </row>
    <row r="1284" spans="31:53" x14ac:dyDescent="0.55000000000000004">
      <c r="AE1284" s="7">
        <f ca="1"/>
      </c>
      <c r="AF1284">
        <f ca="1"/>
      </c>
      <c r="AG1284">
        <f ca="1"/>
      </c>
      <c r="AH1284">
        <f ca="1"/>
      </c>
      <c r="AI1284">
        <f ca="1"/>
      </c>
      <c r="AJ1284">
        <f ca="1"/>
      </c>
      <c r="AK1284">
        <f ca="1"/>
      </c>
      <c r="AL1284">
        <f ca="1"/>
      </c>
      <c r="AM1284">
        <f ca="1"/>
      </c>
      <c r="AN1284">
        <f ca="1"/>
      </c>
      <c r="AO1284">
        <f ca="1"/>
      </c>
      <c r="AP1284">
        <f ca="1"/>
      </c>
      <c r="AQ1284">
        <f ca="1"/>
      </c>
      <c r="AR1284">
        <f ca="1"/>
      </c>
      <c r="AT1284" s="7">
        <f ca="1"/>
      </c>
      <c r="AU1284">
        <f ca="1"/>
      </c>
      <c r="AV1284">
        <f ca="1"/>
      </c>
      <c r="AW1284">
        <f ca="1"/>
      </c>
      <c r="AX1284">
        <f ca="1"/>
      </c>
      <c r="AY1284">
        <f ca="1"/>
      </c>
      <c r="BA1284" s="7"/>
    </row>
    <row r="1285" spans="31:53" x14ac:dyDescent="0.55000000000000004">
      <c r="AE1285" s="7">
        <f ca="1"/>
      </c>
      <c r="AF1285">
        <f ca="1"/>
      </c>
      <c r="AG1285">
        <f ca="1"/>
      </c>
      <c r="AH1285">
        <f ca="1"/>
      </c>
      <c r="AI1285">
        <f ca="1"/>
      </c>
      <c r="AJ1285">
        <f ca="1"/>
      </c>
      <c r="AK1285">
        <f ca="1"/>
      </c>
      <c r="AL1285">
        <f ca="1"/>
      </c>
      <c r="AM1285">
        <f ca="1"/>
      </c>
      <c r="AN1285">
        <f ca="1"/>
      </c>
      <c r="AO1285">
        <f ca="1"/>
      </c>
      <c r="AP1285">
        <f ca="1"/>
      </c>
      <c r="AQ1285">
        <f ca="1"/>
      </c>
      <c r="AR1285">
        <f ca="1"/>
      </c>
      <c r="AT1285" s="7">
        <f ca="1"/>
      </c>
      <c r="AU1285">
        <f ca="1"/>
      </c>
      <c r="AV1285">
        <f ca="1"/>
      </c>
      <c r="AW1285">
        <f ca="1"/>
      </c>
      <c r="AX1285">
        <f ca="1"/>
      </c>
      <c r="AY1285">
        <f ca="1"/>
      </c>
      <c r="BA1285" s="7"/>
    </row>
    <row r="1286" spans="31:53" x14ac:dyDescent="0.55000000000000004">
      <c r="AE1286" s="7">
        <f ca="1"/>
      </c>
      <c r="AF1286">
        <f ca="1"/>
      </c>
      <c r="AG1286">
        <f ca="1"/>
      </c>
      <c r="AH1286">
        <f ca="1"/>
      </c>
      <c r="AI1286">
        <f ca="1"/>
      </c>
      <c r="AJ1286">
        <f ca="1"/>
      </c>
      <c r="AK1286">
        <f ca="1"/>
      </c>
      <c r="AL1286">
        <f ca="1"/>
      </c>
      <c r="AM1286">
        <f ca="1"/>
      </c>
      <c r="AN1286">
        <f ca="1"/>
      </c>
      <c r="AO1286">
        <f ca="1"/>
      </c>
      <c r="AP1286">
        <f ca="1"/>
      </c>
      <c r="AQ1286">
        <f ca="1"/>
      </c>
      <c r="AR1286">
        <f ca="1"/>
      </c>
      <c r="AT1286" s="7">
        <f ca="1"/>
      </c>
      <c r="AU1286">
        <f ca="1"/>
      </c>
      <c r="AV1286">
        <f ca="1"/>
      </c>
      <c r="AW1286">
        <f ca="1"/>
      </c>
      <c r="AX1286">
        <f ca="1"/>
      </c>
      <c r="AY1286">
        <f ca="1"/>
      </c>
      <c r="BA1286" s="7"/>
    </row>
    <row r="1287" spans="31:53" x14ac:dyDescent="0.55000000000000004">
      <c r="AE1287" s="7">
        <f ca="1"/>
      </c>
      <c r="AF1287">
        <f ca="1"/>
      </c>
      <c r="AG1287">
        <f ca="1"/>
      </c>
      <c r="AH1287">
        <f ca="1"/>
      </c>
      <c r="AI1287">
        <f ca="1"/>
      </c>
      <c r="AJ1287">
        <f ca="1"/>
      </c>
      <c r="AK1287">
        <f ca="1"/>
      </c>
      <c r="AL1287">
        <f ca="1"/>
      </c>
      <c r="AM1287">
        <f ca="1"/>
      </c>
      <c r="AN1287">
        <f ca="1"/>
      </c>
      <c r="AO1287">
        <f ca="1"/>
      </c>
      <c r="AP1287">
        <f ca="1"/>
      </c>
      <c r="AQ1287">
        <f ca="1"/>
      </c>
      <c r="AR1287">
        <f ca="1"/>
      </c>
      <c r="AT1287" s="7">
        <f ca="1"/>
      </c>
      <c r="AU1287">
        <f ca="1"/>
      </c>
      <c r="AV1287">
        <f ca="1"/>
      </c>
      <c r="AW1287">
        <f ca="1"/>
      </c>
      <c r="AX1287">
        <f ca="1"/>
      </c>
      <c r="AY1287">
        <f ca="1"/>
      </c>
      <c r="BA1287" s="7"/>
    </row>
    <row r="1288" spans="31:53" x14ac:dyDescent="0.55000000000000004">
      <c r="AE1288" s="7">
        <f ca="1"/>
      </c>
      <c r="AF1288">
        <f ca="1"/>
      </c>
      <c r="AG1288">
        <f ca="1"/>
      </c>
      <c r="AH1288">
        <f ca="1"/>
      </c>
      <c r="AI1288">
        <f ca="1"/>
      </c>
      <c r="AJ1288">
        <f ca="1"/>
      </c>
      <c r="AK1288">
        <f ca="1"/>
      </c>
      <c r="AL1288">
        <f ca="1"/>
      </c>
      <c r="AM1288">
        <f ca="1"/>
      </c>
      <c r="AN1288">
        <f ca="1"/>
      </c>
      <c r="AO1288">
        <f ca="1"/>
      </c>
      <c r="AP1288">
        <f ca="1"/>
      </c>
      <c r="AQ1288">
        <f ca="1"/>
      </c>
      <c r="AR1288">
        <f ca="1"/>
      </c>
      <c r="AT1288" s="7">
        <f ca="1"/>
      </c>
      <c r="AU1288">
        <f ca="1"/>
      </c>
      <c r="AV1288">
        <f ca="1"/>
      </c>
      <c r="AW1288">
        <f ca="1"/>
      </c>
      <c r="AX1288">
        <f ca="1"/>
      </c>
      <c r="AY1288">
        <f ca="1"/>
      </c>
      <c r="BA1288" s="7"/>
    </row>
    <row r="1289" spans="31:53" x14ac:dyDescent="0.55000000000000004">
      <c r="AE1289" s="7">
        <f ca="1"/>
      </c>
      <c r="AF1289">
        <f ca="1"/>
      </c>
      <c r="AG1289">
        <f ca="1"/>
      </c>
      <c r="AH1289">
        <f ca="1"/>
      </c>
      <c r="AI1289">
        <f ca="1"/>
      </c>
      <c r="AJ1289">
        <f ca="1"/>
      </c>
      <c r="AK1289">
        <f ca="1"/>
      </c>
      <c r="AL1289">
        <f ca="1"/>
      </c>
      <c r="AM1289">
        <f ca="1"/>
      </c>
      <c r="AN1289">
        <f ca="1"/>
      </c>
      <c r="AO1289">
        <f ca="1"/>
      </c>
      <c r="AP1289">
        <f ca="1"/>
      </c>
      <c r="AQ1289">
        <f ca="1"/>
      </c>
      <c r="AR1289">
        <f ca="1"/>
      </c>
      <c r="AT1289" s="7">
        <f ca="1"/>
      </c>
      <c r="AU1289">
        <f ca="1"/>
      </c>
      <c r="AV1289">
        <f ca="1"/>
      </c>
      <c r="AW1289">
        <f ca="1"/>
      </c>
      <c r="AX1289">
        <f ca="1"/>
      </c>
      <c r="AY1289">
        <f ca="1"/>
      </c>
      <c r="BA1289" s="7"/>
    </row>
    <row r="1290" spans="31:53" x14ac:dyDescent="0.55000000000000004">
      <c r="AE1290" s="7">
        <f ca="1"/>
      </c>
      <c r="AF1290">
        <f ca="1"/>
      </c>
      <c r="AG1290">
        <f ca="1"/>
      </c>
      <c r="AH1290">
        <f ca="1"/>
      </c>
      <c r="AI1290">
        <f ca="1"/>
      </c>
      <c r="AJ1290">
        <f ca="1"/>
      </c>
      <c r="AK1290">
        <f ca="1"/>
      </c>
      <c r="AL1290">
        <f ca="1"/>
      </c>
      <c r="AM1290">
        <f ca="1"/>
      </c>
      <c r="AN1290">
        <f ca="1"/>
      </c>
      <c r="AO1290">
        <f ca="1"/>
      </c>
      <c r="AP1290">
        <f ca="1"/>
      </c>
      <c r="AQ1290">
        <f ca="1"/>
      </c>
      <c r="AR1290">
        <f ca="1"/>
      </c>
      <c r="AT1290" s="7">
        <f ca="1"/>
      </c>
      <c r="AU1290">
        <f ca="1"/>
      </c>
      <c r="AV1290">
        <f ca="1"/>
      </c>
      <c r="AW1290">
        <f ca="1"/>
      </c>
      <c r="AX1290">
        <f ca="1"/>
      </c>
      <c r="AY1290">
        <f ca="1"/>
      </c>
      <c r="BA1290" s="7"/>
    </row>
    <row r="1291" spans="31:53" x14ac:dyDescent="0.55000000000000004">
      <c r="AE1291" s="7">
        <f ca="1"/>
      </c>
      <c r="AF1291">
        <f ca="1"/>
      </c>
      <c r="AG1291">
        <f ca="1"/>
      </c>
      <c r="AH1291">
        <f ca="1"/>
      </c>
      <c r="AI1291">
        <f ca="1"/>
      </c>
      <c r="AJ1291">
        <f ca="1"/>
      </c>
      <c r="AK1291">
        <f ca="1"/>
      </c>
      <c r="AL1291">
        <f ca="1"/>
      </c>
      <c r="AM1291">
        <f ca="1"/>
      </c>
      <c r="AN1291">
        <f ca="1"/>
      </c>
      <c r="AO1291">
        <f ca="1"/>
      </c>
      <c r="AP1291">
        <f ca="1"/>
      </c>
      <c r="AQ1291">
        <f ca="1"/>
      </c>
      <c r="AR1291">
        <f ca="1"/>
      </c>
      <c r="AT1291" s="7">
        <f ca="1"/>
      </c>
      <c r="AU1291">
        <f ca="1"/>
      </c>
      <c r="AV1291">
        <f ca="1"/>
      </c>
      <c r="AW1291">
        <f ca="1"/>
      </c>
      <c r="AX1291">
        <f ca="1"/>
      </c>
      <c r="AY1291">
        <f ca="1"/>
      </c>
      <c r="BA1291" s="7"/>
    </row>
    <row r="1292" spans="31:53" x14ac:dyDescent="0.55000000000000004">
      <c r="AE1292" s="7">
        <f ca="1"/>
      </c>
      <c r="AF1292">
        <f ca="1"/>
      </c>
      <c r="AG1292">
        <f ca="1"/>
      </c>
      <c r="AH1292">
        <f ca="1"/>
      </c>
      <c r="AI1292">
        <f ca="1"/>
      </c>
      <c r="AJ1292">
        <f ca="1"/>
      </c>
      <c r="AK1292">
        <f ca="1"/>
      </c>
      <c r="AL1292">
        <f ca="1"/>
      </c>
      <c r="AM1292">
        <f ca="1"/>
      </c>
      <c r="AN1292">
        <f ca="1"/>
      </c>
      <c r="AO1292">
        <f ca="1"/>
      </c>
      <c r="AP1292">
        <f ca="1"/>
      </c>
      <c r="AQ1292">
        <f ca="1"/>
      </c>
      <c r="AR1292">
        <f ca="1"/>
      </c>
      <c r="AT1292" s="7">
        <f ca="1"/>
      </c>
      <c r="AU1292">
        <f ca="1"/>
      </c>
      <c r="AV1292">
        <f ca="1"/>
      </c>
      <c r="AW1292">
        <f ca="1"/>
      </c>
      <c r="AX1292">
        <f ca="1"/>
      </c>
      <c r="AY1292">
        <f ca="1"/>
      </c>
      <c r="BA1292" s="7"/>
    </row>
    <row r="1293" spans="31:53" x14ac:dyDescent="0.55000000000000004">
      <c r="AE1293" s="7">
        <f ca="1"/>
      </c>
      <c r="AF1293">
        <f ca="1"/>
      </c>
      <c r="AG1293">
        <f ca="1"/>
      </c>
      <c r="AH1293">
        <f ca="1"/>
      </c>
      <c r="AI1293">
        <f ca="1"/>
      </c>
      <c r="AJ1293">
        <f ca="1"/>
      </c>
      <c r="AK1293">
        <f ca="1"/>
      </c>
      <c r="AL1293">
        <f ca="1"/>
      </c>
      <c r="AM1293">
        <f ca="1"/>
      </c>
      <c r="AN1293">
        <f ca="1"/>
      </c>
      <c r="AO1293">
        <f ca="1"/>
      </c>
      <c r="AP1293">
        <f ca="1"/>
      </c>
      <c r="AQ1293">
        <f ca="1"/>
      </c>
      <c r="AR1293">
        <f ca="1"/>
      </c>
      <c r="AT1293" s="7">
        <f ca="1"/>
      </c>
      <c r="AU1293">
        <f ca="1"/>
      </c>
      <c r="AV1293">
        <f ca="1"/>
      </c>
      <c r="AW1293">
        <f ca="1"/>
      </c>
      <c r="AX1293">
        <f ca="1"/>
      </c>
      <c r="AY1293">
        <f ca="1"/>
      </c>
      <c r="BA1293" s="7"/>
    </row>
    <row r="1294" spans="31:53" x14ac:dyDescent="0.55000000000000004">
      <c r="AE1294" s="7">
        <f ca="1"/>
      </c>
      <c r="AF1294">
        <f ca="1"/>
      </c>
      <c r="AG1294">
        <f ca="1"/>
      </c>
      <c r="AH1294">
        <f ca="1"/>
      </c>
      <c r="AI1294">
        <f ca="1"/>
      </c>
      <c r="AJ1294">
        <f ca="1"/>
      </c>
      <c r="AK1294">
        <f ca="1"/>
      </c>
      <c r="AL1294">
        <f ca="1"/>
      </c>
      <c r="AM1294">
        <f ca="1"/>
      </c>
      <c r="AN1294">
        <f ca="1"/>
      </c>
      <c r="AO1294">
        <f ca="1"/>
      </c>
      <c r="AP1294">
        <f ca="1"/>
      </c>
      <c r="AQ1294">
        <f ca="1"/>
      </c>
      <c r="AR1294">
        <f ca="1"/>
      </c>
      <c r="AT1294" s="7">
        <f ca="1"/>
      </c>
      <c r="AU1294">
        <f ca="1"/>
      </c>
      <c r="AV1294">
        <f ca="1"/>
      </c>
      <c r="AW1294">
        <f ca="1"/>
      </c>
      <c r="AX1294">
        <f ca="1"/>
      </c>
      <c r="AY1294">
        <f ca="1"/>
      </c>
      <c r="BA1294" s="7"/>
    </row>
    <row r="1295" spans="31:53" x14ac:dyDescent="0.55000000000000004">
      <c r="AE1295" s="7">
        <f ca="1"/>
      </c>
      <c r="AF1295">
        <f ca="1"/>
      </c>
      <c r="AG1295">
        <f ca="1"/>
      </c>
      <c r="AH1295">
        <f ca="1"/>
      </c>
      <c r="AI1295">
        <f ca="1"/>
      </c>
      <c r="AJ1295">
        <f ca="1"/>
      </c>
      <c r="AK1295">
        <f ca="1"/>
      </c>
      <c r="AL1295">
        <f ca="1"/>
      </c>
      <c r="AM1295">
        <f ca="1"/>
      </c>
      <c r="AN1295">
        <f ca="1"/>
      </c>
      <c r="AO1295">
        <f ca="1"/>
      </c>
      <c r="AP1295">
        <f ca="1"/>
      </c>
      <c r="AQ1295">
        <f ca="1"/>
      </c>
      <c r="AR1295">
        <f ca="1"/>
      </c>
      <c r="AT1295" s="7">
        <f ca="1"/>
      </c>
      <c r="AU1295">
        <f ca="1"/>
      </c>
      <c r="AV1295">
        <f ca="1"/>
      </c>
      <c r="AW1295">
        <f ca="1"/>
      </c>
      <c r="AX1295">
        <f ca="1"/>
      </c>
      <c r="AY1295">
        <f ca="1"/>
      </c>
      <c r="BA1295" s="7"/>
    </row>
    <row r="1296" spans="31:53" x14ac:dyDescent="0.55000000000000004">
      <c r="AE1296" s="7">
        <f ca="1"/>
      </c>
      <c r="AF1296">
        <f ca="1"/>
      </c>
      <c r="AG1296">
        <f ca="1"/>
      </c>
      <c r="AH1296">
        <f ca="1"/>
      </c>
      <c r="AI1296">
        <f ca="1"/>
      </c>
      <c r="AJ1296">
        <f ca="1"/>
      </c>
      <c r="AK1296">
        <f ca="1"/>
      </c>
      <c r="AL1296">
        <f ca="1"/>
      </c>
      <c r="AM1296">
        <f ca="1"/>
      </c>
      <c r="AN1296">
        <f ca="1"/>
      </c>
      <c r="AO1296">
        <f ca="1"/>
      </c>
      <c r="AP1296">
        <f ca="1"/>
      </c>
      <c r="AQ1296">
        <f ca="1"/>
      </c>
      <c r="AR1296">
        <f ca="1"/>
      </c>
      <c r="AT1296" s="7">
        <f ca="1"/>
      </c>
      <c r="AU1296">
        <f ca="1"/>
      </c>
      <c r="AV1296">
        <f ca="1"/>
      </c>
      <c r="AW1296">
        <f ca="1"/>
      </c>
      <c r="AX1296">
        <f ca="1"/>
      </c>
      <c r="AY1296">
        <f ca="1"/>
      </c>
      <c r="BA1296" s="7"/>
    </row>
    <row r="1297" spans="31:53" x14ac:dyDescent="0.55000000000000004">
      <c r="AE1297" s="7">
        <f ca="1"/>
      </c>
      <c r="AF1297">
        <f ca="1"/>
      </c>
      <c r="AG1297">
        <f ca="1"/>
      </c>
      <c r="AH1297">
        <f ca="1"/>
      </c>
      <c r="AI1297">
        <f ca="1"/>
      </c>
      <c r="AJ1297">
        <f ca="1"/>
      </c>
      <c r="AK1297">
        <f ca="1"/>
      </c>
      <c r="AL1297">
        <f ca="1"/>
      </c>
      <c r="AM1297">
        <f ca="1"/>
      </c>
      <c r="AN1297">
        <f ca="1"/>
      </c>
      <c r="AO1297">
        <f ca="1"/>
      </c>
      <c r="AP1297">
        <f ca="1"/>
      </c>
      <c r="AQ1297">
        <f ca="1"/>
      </c>
      <c r="AR1297">
        <f ca="1"/>
      </c>
      <c r="AT1297" s="7">
        <f ca="1"/>
      </c>
      <c r="AU1297">
        <f ca="1"/>
      </c>
      <c r="AV1297">
        <f ca="1"/>
      </c>
      <c r="AW1297">
        <f ca="1"/>
      </c>
      <c r="AX1297">
        <f ca="1"/>
      </c>
      <c r="AY1297">
        <f ca="1"/>
      </c>
      <c r="BA1297" s="7"/>
    </row>
    <row r="1298" spans="31:53" x14ac:dyDescent="0.55000000000000004">
      <c r="AE1298" s="7">
        <f ca="1"/>
      </c>
      <c r="AF1298">
        <f ca="1"/>
      </c>
      <c r="AG1298">
        <f ca="1"/>
      </c>
      <c r="AH1298">
        <f ca="1"/>
      </c>
      <c r="AI1298">
        <f ca="1"/>
      </c>
      <c r="AJ1298">
        <f ca="1"/>
      </c>
      <c r="AK1298">
        <f ca="1"/>
      </c>
      <c r="AL1298">
        <f ca="1"/>
      </c>
      <c r="AM1298">
        <f ca="1"/>
      </c>
      <c r="AN1298">
        <f ca="1"/>
      </c>
      <c r="AO1298">
        <f ca="1"/>
      </c>
      <c r="AP1298">
        <f ca="1"/>
      </c>
      <c r="AQ1298">
        <f ca="1"/>
      </c>
      <c r="AR1298">
        <f ca="1"/>
      </c>
      <c r="AT1298" s="7">
        <f ca="1"/>
      </c>
      <c r="AU1298">
        <f ca="1"/>
      </c>
      <c r="AV1298">
        <f ca="1"/>
      </c>
      <c r="AW1298">
        <f ca="1"/>
      </c>
      <c r="AX1298">
        <f ca="1"/>
      </c>
      <c r="AY1298">
        <f ca="1"/>
      </c>
      <c r="BA1298" s="7"/>
    </row>
    <row r="1299" spans="31:53" x14ac:dyDescent="0.55000000000000004">
      <c r="AE1299" s="7">
        <f ca="1"/>
      </c>
      <c r="AF1299">
        <f ca="1"/>
      </c>
      <c r="AG1299">
        <f ca="1"/>
      </c>
      <c r="AH1299">
        <f ca="1"/>
      </c>
      <c r="AI1299">
        <f ca="1"/>
      </c>
      <c r="AJ1299">
        <f ca="1"/>
      </c>
      <c r="AK1299">
        <f ca="1"/>
      </c>
      <c r="AL1299">
        <f ca="1"/>
      </c>
      <c r="AM1299">
        <f ca="1"/>
      </c>
      <c r="AN1299">
        <f ca="1"/>
      </c>
      <c r="AO1299">
        <f ca="1"/>
      </c>
      <c r="AP1299">
        <f ca="1"/>
      </c>
      <c r="AQ1299">
        <f ca="1"/>
      </c>
      <c r="AR1299">
        <f ca="1"/>
      </c>
      <c r="AT1299" s="7">
        <f ca="1"/>
      </c>
      <c r="AU1299">
        <f ca="1"/>
      </c>
      <c r="AV1299">
        <f ca="1"/>
      </c>
      <c r="AW1299">
        <f ca="1"/>
      </c>
      <c r="AX1299">
        <f ca="1"/>
      </c>
      <c r="AY1299">
        <f ca="1"/>
      </c>
      <c r="BA1299" s="7"/>
    </row>
    <row r="1300" spans="31:53" x14ac:dyDescent="0.55000000000000004">
      <c r="AE1300" s="7">
        <f ca="1"/>
      </c>
      <c r="AF1300">
        <f ca="1"/>
      </c>
      <c r="AG1300">
        <f ca="1"/>
      </c>
      <c r="AH1300">
        <f ca="1"/>
      </c>
      <c r="AI1300">
        <f ca="1"/>
      </c>
      <c r="AJ1300">
        <f ca="1"/>
      </c>
      <c r="AK1300">
        <f ca="1"/>
      </c>
      <c r="AL1300">
        <f ca="1"/>
      </c>
      <c r="AM1300">
        <f ca="1"/>
      </c>
      <c r="AN1300">
        <f ca="1"/>
      </c>
      <c r="AO1300">
        <f ca="1"/>
      </c>
      <c r="AP1300">
        <f ca="1"/>
      </c>
      <c r="AQ1300">
        <f ca="1"/>
      </c>
      <c r="AR1300">
        <f ca="1"/>
      </c>
      <c r="AT1300" s="7">
        <f ca="1"/>
      </c>
      <c r="AU1300">
        <f ca="1"/>
      </c>
      <c r="AV1300">
        <f ca="1"/>
      </c>
      <c r="AW1300">
        <f ca="1"/>
      </c>
      <c r="AX1300">
        <f ca="1"/>
      </c>
      <c r="AY1300">
        <f ca="1"/>
      </c>
      <c r="BA1300" s="7"/>
    </row>
    <row r="1301" spans="31:53" x14ac:dyDescent="0.55000000000000004">
      <c r="AE1301" s="7">
        <f ca="1"/>
      </c>
      <c r="AF1301">
        <f ca="1"/>
      </c>
      <c r="AG1301">
        <f ca="1"/>
      </c>
      <c r="AH1301">
        <f ca="1"/>
      </c>
      <c r="AI1301">
        <f ca="1"/>
      </c>
      <c r="AJ1301">
        <f ca="1"/>
      </c>
      <c r="AK1301">
        <f ca="1"/>
      </c>
      <c r="AL1301">
        <f ca="1"/>
      </c>
      <c r="AM1301">
        <f ca="1"/>
      </c>
      <c r="AN1301">
        <f ca="1"/>
      </c>
      <c r="AO1301">
        <f ca="1"/>
      </c>
      <c r="AP1301">
        <f ca="1"/>
      </c>
      <c r="AQ1301">
        <f ca="1"/>
      </c>
      <c r="AR1301">
        <f ca="1"/>
      </c>
      <c r="AT1301" s="7">
        <f ca="1"/>
      </c>
      <c r="AU1301">
        <f ca="1"/>
      </c>
      <c r="AV1301">
        <f ca="1"/>
      </c>
      <c r="AW1301">
        <f ca="1"/>
      </c>
      <c r="AX1301">
        <f ca="1"/>
      </c>
      <c r="AY1301">
        <f ca="1"/>
      </c>
      <c r="BA1301" s="7"/>
    </row>
    <row r="1302" spans="31:53" x14ac:dyDescent="0.55000000000000004">
      <c r="AE1302" s="7">
        <f ca="1"/>
      </c>
      <c r="AF1302">
        <f ca="1"/>
      </c>
      <c r="AG1302">
        <f ca="1"/>
      </c>
      <c r="AH1302">
        <f ca="1"/>
      </c>
      <c r="AI1302">
        <f ca="1"/>
      </c>
      <c r="AJ1302">
        <f ca="1"/>
      </c>
      <c r="AK1302">
        <f ca="1"/>
      </c>
      <c r="AL1302">
        <f ca="1"/>
      </c>
      <c r="AM1302">
        <f ca="1"/>
      </c>
      <c r="AN1302">
        <f ca="1"/>
      </c>
      <c r="AO1302">
        <f ca="1"/>
      </c>
      <c r="AP1302">
        <f ca="1"/>
      </c>
      <c r="AQ1302">
        <f ca="1"/>
      </c>
      <c r="AR1302">
        <f ca="1"/>
      </c>
      <c r="AT1302" s="7">
        <f ca="1"/>
      </c>
      <c r="AU1302">
        <f ca="1"/>
      </c>
      <c r="AV1302">
        <f ca="1"/>
      </c>
      <c r="AW1302">
        <f ca="1"/>
      </c>
      <c r="AX1302">
        <f ca="1"/>
      </c>
      <c r="AY1302">
        <f ca="1"/>
      </c>
      <c r="BA1302" s="7"/>
    </row>
    <row r="1303" spans="31:53" x14ac:dyDescent="0.55000000000000004">
      <c r="AE1303" s="7">
        <f ca="1"/>
      </c>
      <c r="AF1303">
        <f ca="1"/>
      </c>
      <c r="AG1303">
        <f ca="1"/>
      </c>
      <c r="AH1303">
        <f ca="1"/>
      </c>
      <c r="AI1303">
        <f ca="1"/>
      </c>
      <c r="AJ1303">
        <f ca="1"/>
      </c>
      <c r="AK1303">
        <f ca="1"/>
      </c>
      <c r="AL1303">
        <f ca="1"/>
      </c>
      <c r="AM1303">
        <f ca="1"/>
      </c>
      <c r="AN1303">
        <f ca="1"/>
      </c>
      <c r="AO1303">
        <f ca="1"/>
      </c>
      <c r="AP1303">
        <f ca="1"/>
      </c>
      <c r="AQ1303">
        <f ca="1"/>
      </c>
      <c r="AR1303">
        <f ca="1"/>
      </c>
      <c r="AT1303" s="7">
        <f ca="1"/>
      </c>
      <c r="AU1303">
        <f ca="1"/>
      </c>
      <c r="AV1303">
        <f ca="1"/>
      </c>
      <c r="AW1303">
        <f ca="1"/>
      </c>
      <c r="AX1303">
        <f ca="1"/>
      </c>
      <c r="AY1303">
        <f ca="1"/>
      </c>
      <c r="BA1303" s="7"/>
    </row>
    <row r="1304" spans="31:53" x14ac:dyDescent="0.55000000000000004">
      <c r="AE1304" s="7">
        <f ca="1"/>
      </c>
      <c r="AF1304">
        <f ca="1"/>
      </c>
      <c r="AG1304">
        <f ca="1"/>
      </c>
      <c r="AH1304">
        <f ca="1"/>
      </c>
      <c r="AI1304">
        <f ca="1"/>
      </c>
      <c r="AJ1304">
        <f ca="1"/>
      </c>
      <c r="AK1304">
        <f ca="1"/>
      </c>
      <c r="AL1304">
        <f ca="1"/>
      </c>
      <c r="AM1304">
        <f ca="1"/>
      </c>
      <c r="AN1304">
        <f ca="1"/>
      </c>
      <c r="AO1304">
        <f ca="1"/>
      </c>
      <c r="AP1304">
        <f ca="1"/>
      </c>
      <c r="AQ1304">
        <f ca="1"/>
      </c>
      <c r="AR1304">
        <f ca="1"/>
      </c>
      <c r="AT1304" s="7">
        <f ca="1"/>
      </c>
      <c r="AU1304">
        <f ca="1"/>
      </c>
      <c r="AV1304">
        <f ca="1"/>
      </c>
      <c r="AW1304">
        <f ca="1"/>
      </c>
      <c r="AX1304">
        <f ca="1"/>
      </c>
      <c r="AY1304">
        <f ca="1"/>
      </c>
      <c r="BA1304" s="7"/>
    </row>
    <row r="1305" spans="31:53" x14ac:dyDescent="0.55000000000000004">
      <c r="AE1305" s="7">
        <f ca="1"/>
      </c>
      <c r="AF1305">
        <f ca="1"/>
      </c>
      <c r="AG1305">
        <f ca="1"/>
      </c>
      <c r="AH1305">
        <f ca="1"/>
      </c>
      <c r="AI1305">
        <f ca="1"/>
      </c>
      <c r="AJ1305">
        <f ca="1"/>
      </c>
      <c r="AK1305">
        <f ca="1"/>
      </c>
      <c r="AL1305">
        <f ca="1"/>
      </c>
      <c r="AM1305">
        <f ca="1"/>
      </c>
      <c r="AN1305">
        <f ca="1"/>
      </c>
      <c r="AO1305">
        <f ca="1"/>
      </c>
      <c r="AP1305">
        <f ca="1"/>
      </c>
      <c r="AQ1305">
        <f ca="1"/>
      </c>
      <c r="AR1305">
        <f ca="1"/>
      </c>
      <c r="AT1305" s="7">
        <f ca="1"/>
      </c>
      <c r="AU1305">
        <f ca="1"/>
      </c>
      <c r="AV1305">
        <f ca="1"/>
      </c>
      <c r="AW1305">
        <f ca="1"/>
      </c>
      <c r="AX1305">
        <f ca="1"/>
      </c>
      <c r="AY1305">
        <f ca="1"/>
      </c>
      <c r="BA1305" s="7"/>
    </row>
    <row r="1306" spans="31:53" x14ac:dyDescent="0.55000000000000004">
      <c r="AE1306" s="7">
        <f ca="1"/>
      </c>
      <c r="AF1306">
        <f ca="1"/>
      </c>
      <c r="AG1306">
        <f ca="1"/>
      </c>
      <c r="AH1306">
        <f ca="1"/>
      </c>
      <c r="AI1306">
        <f ca="1"/>
      </c>
      <c r="AJ1306">
        <f ca="1"/>
      </c>
      <c r="AK1306">
        <f ca="1"/>
      </c>
      <c r="AL1306">
        <f ca="1"/>
      </c>
      <c r="AM1306">
        <f ca="1"/>
      </c>
      <c r="AN1306">
        <f ca="1"/>
      </c>
      <c r="AO1306">
        <f ca="1"/>
      </c>
      <c r="AP1306">
        <f ca="1"/>
      </c>
      <c r="AQ1306">
        <f ca="1"/>
      </c>
      <c r="AR1306">
        <f ca="1"/>
      </c>
      <c r="AT1306" s="7">
        <f ca="1"/>
      </c>
      <c r="AU1306">
        <f ca="1"/>
      </c>
      <c r="AV1306">
        <f ca="1"/>
      </c>
      <c r="AW1306">
        <f ca="1"/>
      </c>
      <c r="AX1306">
        <f ca="1"/>
      </c>
      <c r="AY1306">
        <f ca="1"/>
      </c>
      <c r="BA1306" s="7"/>
    </row>
    <row r="1307" spans="31:53" x14ac:dyDescent="0.55000000000000004">
      <c r="AE1307" s="7">
        <f ca="1"/>
      </c>
      <c r="AF1307">
        <f ca="1"/>
      </c>
      <c r="AG1307">
        <f ca="1"/>
      </c>
      <c r="AH1307">
        <f ca="1"/>
      </c>
      <c r="AI1307">
        <f ca="1"/>
      </c>
      <c r="AJ1307">
        <f ca="1"/>
      </c>
      <c r="AK1307">
        <f ca="1"/>
      </c>
      <c r="AL1307">
        <f ca="1"/>
      </c>
      <c r="AM1307">
        <f ca="1"/>
      </c>
      <c r="AN1307">
        <f ca="1"/>
      </c>
      <c r="AO1307">
        <f ca="1"/>
      </c>
      <c r="AP1307">
        <f ca="1"/>
      </c>
      <c r="AQ1307">
        <f ca="1"/>
      </c>
      <c r="AR1307">
        <f ca="1"/>
      </c>
      <c r="AT1307" s="7">
        <f ca="1"/>
      </c>
      <c r="AU1307">
        <f ca="1"/>
      </c>
      <c r="AV1307">
        <f ca="1"/>
      </c>
      <c r="AW1307">
        <f ca="1"/>
      </c>
      <c r="AX1307">
        <f ca="1"/>
      </c>
      <c r="AY1307">
        <f ca="1"/>
      </c>
      <c r="BA1307" s="7"/>
    </row>
    <row r="1308" spans="31:53" x14ac:dyDescent="0.55000000000000004">
      <c r="AE1308" s="7">
        <f ca="1"/>
      </c>
      <c r="AF1308">
        <f ca="1"/>
      </c>
      <c r="AG1308">
        <f ca="1"/>
      </c>
      <c r="AH1308">
        <f ca="1"/>
      </c>
      <c r="AI1308">
        <f ca="1"/>
      </c>
      <c r="AJ1308">
        <f ca="1"/>
      </c>
      <c r="AK1308">
        <f ca="1"/>
      </c>
      <c r="AL1308">
        <f ca="1"/>
      </c>
      <c r="AM1308">
        <f ca="1"/>
      </c>
      <c r="AN1308">
        <f ca="1"/>
      </c>
      <c r="AO1308">
        <f ca="1"/>
      </c>
      <c r="AP1308">
        <f ca="1"/>
      </c>
      <c r="AQ1308">
        <f ca="1"/>
      </c>
      <c r="AR1308">
        <f ca="1"/>
      </c>
      <c r="AT1308" s="7">
        <f ca="1"/>
      </c>
      <c r="AU1308">
        <f ca="1"/>
      </c>
      <c r="AV1308">
        <f ca="1"/>
      </c>
      <c r="AW1308">
        <f ca="1"/>
      </c>
      <c r="AX1308">
        <f ca="1"/>
      </c>
      <c r="AY1308">
        <f ca="1"/>
      </c>
      <c r="BA1308" s="7"/>
    </row>
    <row r="1309" spans="31:53" x14ac:dyDescent="0.55000000000000004">
      <c r="AE1309" s="7">
        <f ca="1"/>
      </c>
      <c r="AF1309">
        <f ca="1"/>
      </c>
      <c r="AG1309">
        <f ca="1"/>
      </c>
      <c r="AH1309">
        <f ca="1"/>
      </c>
      <c r="AI1309">
        <f ca="1"/>
      </c>
      <c r="AJ1309">
        <f ca="1"/>
      </c>
      <c r="AK1309">
        <f ca="1"/>
      </c>
      <c r="AL1309">
        <f ca="1"/>
      </c>
      <c r="AM1309">
        <f ca="1"/>
      </c>
      <c r="AN1309">
        <f ca="1"/>
      </c>
      <c r="AO1309">
        <f ca="1"/>
      </c>
      <c r="AP1309">
        <f ca="1"/>
      </c>
      <c r="AQ1309">
        <f ca="1"/>
      </c>
      <c r="AR1309">
        <f ca="1"/>
      </c>
      <c r="AT1309" s="7">
        <f ca="1"/>
      </c>
      <c r="AU1309">
        <f ca="1"/>
      </c>
      <c r="AV1309">
        <f ca="1"/>
      </c>
      <c r="AW1309">
        <f ca="1"/>
      </c>
      <c r="AX1309">
        <f ca="1"/>
      </c>
      <c r="AY1309">
        <f ca="1"/>
      </c>
      <c r="BA1309" s="7"/>
    </row>
    <row r="1310" spans="31:53" x14ac:dyDescent="0.55000000000000004">
      <c r="AE1310" s="7">
        <f ca="1"/>
      </c>
      <c r="AF1310">
        <f ca="1"/>
      </c>
      <c r="AG1310">
        <f ca="1"/>
      </c>
      <c r="AH1310">
        <f ca="1"/>
      </c>
      <c r="AI1310">
        <f ca="1"/>
      </c>
      <c r="AJ1310">
        <f ca="1"/>
      </c>
      <c r="AK1310">
        <f ca="1"/>
      </c>
      <c r="AL1310">
        <f ca="1"/>
      </c>
      <c r="AM1310">
        <f ca="1"/>
      </c>
      <c r="AN1310">
        <f ca="1"/>
      </c>
      <c r="AO1310">
        <f ca="1"/>
      </c>
      <c r="AP1310">
        <f ca="1"/>
      </c>
      <c r="AQ1310">
        <f ca="1"/>
      </c>
      <c r="AR1310">
        <f ca="1"/>
      </c>
      <c r="AT1310" s="7">
        <f ca="1"/>
      </c>
      <c r="AU1310">
        <f ca="1"/>
      </c>
      <c r="AV1310">
        <f ca="1"/>
      </c>
      <c r="AW1310">
        <f ca="1"/>
      </c>
      <c r="AX1310">
        <f ca="1"/>
      </c>
      <c r="AY1310">
        <f ca="1"/>
      </c>
      <c r="BA1310" s="7"/>
    </row>
    <row r="1311" spans="31:53" x14ac:dyDescent="0.55000000000000004">
      <c r="AE1311" s="7">
        <f ca="1"/>
      </c>
      <c r="AF1311">
        <f ca="1"/>
      </c>
      <c r="AG1311">
        <f ca="1"/>
      </c>
      <c r="AH1311">
        <f ca="1"/>
      </c>
      <c r="AI1311">
        <f ca="1"/>
      </c>
      <c r="AJ1311">
        <f ca="1"/>
      </c>
      <c r="AK1311">
        <f ca="1"/>
      </c>
      <c r="AL1311">
        <f ca="1"/>
      </c>
      <c r="AM1311">
        <f ca="1"/>
      </c>
      <c r="AN1311">
        <f ca="1"/>
      </c>
      <c r="AO1311">
        <f ca="1"/>
      </c>
      <c r="AP1311">
        <f ca="1"/>
      </c>
      <c r="AQ1311">
        <f ca="1"/>
      </c>
      <c r="AR1311">
        <f ca="1"/>
      </c>
      <c r="AT1311" s="7">
        <f ca="1"/>
      </c>
      <c r="AU1311">
        <f ca="1"/>
      </c>
      <c r="AV1311">
        <f ca="1"/>
      </c>
      <c r="AW1311">
        <f ca="1"/>
      </c>
      <c r="AX1311">
        <f ca="1"/>
      </c>
      <c r="AY1311">
        <f ca="1"/>
      </c>
      <c r="BA1311" s="7"/>
    </row>
    <row r="1312" spans="31:53" x14ac:dyDescent="0.55000000000000004">
      <c r="AE1312" s="7">
        <f ca="1"/>
      </c>
      <c r="AF1312">
        <f ca="1"/>
      </c>
      <c r="AG1312">
        <f ca="1"/>
      </c>
      <c r="AH1312">
        <f ca="1"/>
      </c>
      <c r="AI1312">
        <f ca="1"/>
      </c>
      <c r="AJ1312">
        <f ca="1"/>
      </c>
      <c r="AK1312">
        <f ca="1"/>
      </c>
      <c r="AL1312">
        <f ca="1"/>
      </c>
      <c r="AM1312">
        <f ca="1"/>
      </c>
      <c r="AN1312">
        <f ca="1"/>
      </c>
      <c r="AO1312">
        <f ca="1"/>
      </c>
      <c r="AP1312">
        <f ca="1"/>
      </c>
      <c r="AQ1312">
        <f ca="1"/>
      </c>
      <c r="AR1312">
        <f ca="1"/>
      </c>
      <c r="AT1312" s="7">
        <f ca="1"/>
      </c>
      <c r="AU1312">
        <f ca="1"/>
      </c>
      <c r="AV1312">
        <f ca="1"/>
      </c>
      <c r="AW1312">
        <f ca="1"/>
      </c>
      <c r="AX1312">
        <f ca="1"/>
      </c>
      <c r="AY1312">
        <f ca="1"/>
      </c>
      <c r="BA1312" s="7"/>
    </row>
    <row r="1313" spans="31:53" x14ac:dyDescent="0.55000000000000004">
      <c r="AE1313" s="7">
        <f ca="1"/>
      </c>
      <c r="AF1313">
        <f ca="1"/>
      </c>
      <c r="AG1313">
        <f ca="1"/>
      </c>
      <c r="AH1313">
        <f ca="1"/>
      </c>
      <c r="AI1313">
        <f ca="1"/>
      </c>
      <c r="AJ1313">
        <f ca="1"/>
      </c>
      <c r="AK1313">
        <f ca="1"/>
      </c>
      <c r="AL1313">
        <f ca="1"/>
      </c>
      <c r="AM1313">
        <f ca="1"/>
      </c>
      <c r="AN1313">
        <f ca="1"/>
      </c>
      <c r="AO1313">
        <f ca="1"/>
      </c>
      <c r="AP1313">
        <f ca="1"/>
      </c>
      <c r="AQ1313">
        <f ca="1"/>
      </c>
      <c r="AR1313">
        <f ca="1"/>
      </c>
      <c r="AT1313" s="7">
        <f ca="1"/>
      </c>
      <c r="AU1313">
        <f ca="1"/>
      </c>
      <c r="AV1313">
        <f ca="1"/>
      </c>
      <c r="AW1313">
        <f ca="1"/>
      </c>
      <c r="AX1313">
        <f ca="1"/>
      </c>
      <c r="AY1313">
        <f ca="1"/>
      </c>
      <c r="BA1313" s="7"/>
    </row>
    <row r="1314" spans="31:53" x14ac:dyDescent="0.55000000000000004">
      <c r="AE1314" s="7">
        <f ca="1"/>
      </c>
      <c r="AF1314">
        <f ca="1"/>
      </c>
      <c r="AG1314">
        <f ca="1"/>
      </c>
      <c r="AH1314">
        <f ca="1"/>
      </c>
      <c r="AI1314">
        <f ca="1"/>
      </c>
      <c r="AJ1314">
        <f ca="1"/>
      </c>
      <c r="AK1314">
        <f ca="1"/>
      </c>
      <c r="AL1314">
        <f ca="1"/>
      </c>
      <c r="AM1314">
        <f ca="1"/>
      </c>
      <c r="AN1314">
        <f ca="1"/>
      </c>
      <c r="AO1314">
        <f ca="1"/>
      </c>
      <c r="AP1314">
        <f ca="1"/>
      </c>
      <c r="AQ1314">
        <f ca="1"/>
      </c>
      <c r="AR1314">
        <f ca="1"/>
      </c>
      <c r="AT1314" s="7">
        <f ca="1"/>
      </c>
      <c r="AU1314">
        <f ca="1"/>
      </c>
      <c r="AV1314">
        <f ca="1"/>
      </c>
      <c r="AW1314">
        <f ca="1"/>
      </c>
      <c r="AX1314">
        <f ca="1"/>
      </c>
      <c r="AY1314">
        <f ca="1"/>
      </c>
      <c r="BA1314" s="7"/>
    </row>
    <row r="1315" spans="31:53" x14ac:dyDescent="0.55000000000000004">
      <c r="AE1315" s="7">
        <f ca="1"/>
      </c>
      <c r="AF1315">
        <f ca="1"/>
      </c>
      <c r="AG1315">
        <f ca="1"/>
      </c>
      <c r="AH1315">
        <f ca="1"/>
      </c>
      <c r="AI1315">
        <f ca="1"/>
      </c>
      <c r="AJ1315">
        <f ca="1"/>
      </c>
      <c r="AK1315">
        <f ca="1"/>
      </c>
      <c r="AL1315">
        <f ca="1"/>
      </c>
      <c r="AM1315">
        <f ca="1"/>
      </c>
      <c r="AN1315">
        <f ca="1"/>
      </c>
      <c r="AO1315">
        <f ca="1"/>
      </c>
      <c r="AP1315">
        <f ca="1"/>
      </c>
      <c r="AQ1315">
        <f ca="1"/>
      </c>
      <c r="AR1315">
        <f ca="1"/>
      </c>
      <c r="AT1315" s="7">
        <f ca="1"/>
      </c>
      <c r="AU1315">
        <f ca="1"/>
      </c>
      <c r="AV1315">
        <f ca="1"/>
      </c>
      <c r="AW1315">
        <f ca="1"/>
      </c>
      <c r="AX1315">
        <f ca="1"/>
      </c>
      <c r="AY1315">
        <f ca="1"/>
      </c>
      <c r="BA1315" s="7"/>
    </row>
    <row r="1316" spans="31:53" x14ac:dyDescent="0.55000000000000004">
      <c r="AE1316" s="7">
        <f ca="1"/>
      </c>
      <c r="AF1316">
        <f ca="1"/>
      </c>
      <c r="AG1316">
        <f ca="1"/>
      </c>
      <c r="AH1316">
        <f ca="1"/>
      </c>
      <c r="AI1316">
        <f ca="1"/>
      </c>
      <c r="AJ1316">
        <f ca="1"/>
      </c>
      <c r="AK1316">
        <f ca="1"/>
      </c>
      <c r="AL1316">
        <f ca="1"/>
      </c>
      <c r="AM1316">
        <f ca="1"/>
      </c>
      <c r="AN1316">
        <f ca="1"/>
      </c>
      <c r="AO1316">
        <f ca="1"/>
      </c>
      <c r="AP1316">
        <f ca="1"/>
      </c>
      <c r="AQ1316">
        <f ca="1"/>
      </c>
      <c r="AR1316">
        <f ca="1"/>
      </c>
      <c r="AT1316" s="7">
        <f ca="1"/>
      </c>
      <c r="AU1316">
        <f ca="1"/>
      </c>
      <c r="AV1316">
        <f ca="1"/>
      </c>
      <c r="AW1316">
        <f ca="1"/>
      </c>
      <c r="AX1316">
        <f ca="1"/>
      </c>
      <c r="AY1316">
        <f ca="1"/>
      </c>
      <c r="BA1316" s="7"/>
    </row>
    <row r="1317" spans="31:53" x14ac:dyDescent="0.55000000000000004">
      <c r="AE1317" s="7">
        <f ca="1"/>
      </c>
      <c r="AF1317">
        <f ca="1"/>
      </c>
      <c r="AG1317">
        <f ca="1"/>
      </c>
      <c r="AH1317">
        <f ca="1"/>
      </c>
      <c r="AI1317">
        <f ca="1"/>
      </c>
      <c r="AJ1317">
        <f ca="1"/>
      </c>
      <c r="AK1317">
        <f ca="1"/>
      </c>
      <c r="AL1317">
        <f ca="1"/>
      </c>
      <c r="AM1317">
        <f ca="1"/>
      </c>
      <c r="AN1317">
        <f ca="1"/>
      </c>
      <c r="AO1317">
        <f ca="1"/>
      </c>
      <c r="AP1317">
        <f ca="1"/>
      </c>
      <c r="AQ1317">
        <f ca="1"/>
      </c>
      <c r="AR1317">
        <f ca="1"/>
      </c>
      <c r="AT1317" s="7">
        <f ca="1"/>
      </c>
      <c r="AU1317">
        <f ca="1"/>
      </c>
      <c r="AV1317">
        <f ca="1"/>
      </c>
      <c r="AW1317">
        <f ca="1"/>
      </c>
      <c r="AX1317">
        <f ca="1"/>
      </c>
      <c r="AY1317">
        <f ca="1"/>
      </c>
      <c r="BA1317" s="7"/>
    </row>
    <row r="1318" spans="31:53" x14ac:dyDescent="0.55000000000000004">
      <c r="AE1318" s="7">
        <f ca="1"/>
      </c>
      <c r="AF1318">
        <f ca="1"/>
      </c>
      <c r="AG1318">
        <f ca="1"/>
      </c>
      <c r="AH1318">
        <f ca="1"/>
      </c>
      <c r="AI1318">
        <f ca="1"/>
      </c>
      <c r="AJ1318">
        <f ca="1"/>
      </c>
      <c r="AK1318">
        <f ca="1"/>
      </c>
      <c r="AL1318">
        <f ca="1"/>
      </c>
      <c r="AM1318">
        <f ca="1"/>
      </c>
      <c r="AN1318">
        <f ca="1"/>
      </c>
      <c r="AO1318">
        <f ca="1"/>
      </c>
      <c r="AP1318">
        <f ca="1"/>
      </c>
      <c r="AQ1318">
        <f ca="1"/>
      </c>
      <c r="AR1318">
        <f ca="1"/>
      </c>
      <c r="AT1318" s="7">
        <f ca="1"/>
      </c>
      <c r="AU1318">
        <f ca="1"/>
      </c>
      <c r="AV1318">
        <f ca="1"/>
      </c>
      <c r="AW1318">
        <f ca="1"/>
      </c>
      <c r="AX1318">
        <f ca="1"/>
      </c>
      <c r="AY1318">
        <f ca="1"/>
      </c>
      <c r="BA1318" s="7"/>
    </row>
    <row r="1319" spans="31:53" x14ac:dyDescent="0.55000000000000004">
      <c r="AE1319" s="7">
        <f ca="1"/>
      </c>
      <c r="AF1319">
        <f ca="1"/>
      </c>
      <c r="AG1319">
        <f ca="1"/>
      </c>
      <c r="AH1319">
        <f ca="1"/>
      </c>
      <c r="AI1319">
        <f ca="1"/>
      </c>
      <c r="AJ1319">
        <f ca="1"/>
      </c>
      <c r="AK1319">
        <f ca="1"/>
      </c>
      <c r="AL1319">
        <f ca="1"/>
      </c>
      <c r="AM1319">
        <f ca="1"/>
      </c>
      <c r="AN1319">
        <f ca="1"/>
      </c>
      <c r="AO1319">
        <f ca="1"/>
      </c>
      <c r="AP1319">
        <f ca="1"/>
      </c>
      <c r="AQ1319">
        <f ca="1"/>
      </c>
      <c r="AR1319">
        <f ca="1"/>
      </c>
      <c r="AT1319" s="7">
        <f ca="1"/>
      </c>
      <c r="AU1319">
        <f ca="1"/>
      </c>
      <c r="AV1319">
        <f ca="1"/>
      </c>
      <c r="AW1319">
        <f ca="1"/>
      </c>
      <c r="AX1319">
        <f ca="1"/>
      </c>
      <c r="AY1319">
        <f ca="1"/>
      </c>
      <c r="BA1319" s="7"/>
    </row>
    <row r="1320" spans="31:53" x14ac:dyDescent="0.55000000000000004">
      <c r="AE1320" s="7">
        <f ca="1"/>
      </c>
      <c r="AF1320">
        <f ca="1"/>
      </c>
      <c r="AG1320">
        <f ca="1"/>
      </c>
      <c r="AH1320">
        <f ca="1"/>
      </c>
      <c r="AI1320">
        <f ca="1"/>
      </c>
      <c r="AJ1320">
        <f ca="1"/>
      </c>
      <c r="AK1320">
        <f ca="1"/>
      </c>
      <c r="AL1320">
        <f ca="1"/>
      </c>
      <c r="AM1320">
        <f ca="1"/>
      </c>
      <c r="AN1320">
        <f ca="1"/>
      </c>
      <c r="AO1320">
        <f ca="1"/>
      </c>
      <c r="AP1320">
        <f ca="1"/>
      </c>
      <c r="AQ1320">
        <f ca="1"/>
      </c>
      <c r="AR1320">
        <f ca="1"/>
      </c>
      <c r="AT1320" s="7">
        <f ca="1"/>
      </c>
      <c r="AU1320">
        <f ca="1"/>
      </c>
      <c r="AV1320">
        <f ca="1"/>
      </c>
      <c r="AW1320">
        <f ca="1"/>
      </c>
      <c r="AX1320">
        <f ca="1"/>
      </c>
      <c r="AY1320">
        <f ca="1"/>
      </c>
      <c r="BA1320" s="7"/>
    </row>
    <row r="1321" spans="31:53" x14ac:dyDescent="0.55000000000000004">
      <c r="AE1321" s="7">
        <f ca="1"/>
      </c>
      <c r="AF1321">
        <f ca="1"/>
      </c>
      <c r="AG1321">
        <f ca="1"/>
      </c>
      <c r="AH1321">
        <f ca="1"/>
      </c>
      <c r="AI1321">
        <f ca="1"/>
      </c>
      <c r="AJ1321">
        <f ca="1"/>
      </c>
      <c r="AK1321">
        <f ca="1"/>
      </c>
      <c r="AL1321">
        <f ca="1"/>
      </c>
      <c r="AM1321">
        <f ca="1"/>
      </c>
      <c r="AN1321">
        <f ca="1"/>
      </c>
      <c r="AO1321">
        <f ca="1"/>
      </c>
      <c r="AP1321">
        <f ca="1"/>
      </c>
      <c r="AQ1321">
        <f ca="1"/>
      </c>
      <c r="AR1321">
        <f ca="1"/>
      </c>
      <c r="AT1321" s="7">
        <f ca="1"/>
      </c>
      <c r="AU1321">
        <f ca="1"/>
      </c>
      <c r="AV1321">
        <f ca="1"/>
      </c>
      <c r="AW1321">
        <f ca="1"/>
      </c>
      <c r="AX1321">
        <f ca="1"/>
      </c>
      <c r="AY1321">
        <f ca="1"/>
      </c>
      <c r="BA1321" s="7"/>
    </row>
    <row r="1322" spans="31:53" x14ac:dyDescent="0.55000000000000004">
      <c r="AE1322" s="7">
        <f ca="1"/>
      </c>
      <c r="AF1322">
        <f ca="1"/>
      </c>
      <c r="AG1322">
        <f ca="1"/>
      </c>
      <c r="AH1322">
        <f ca="1"/>
      </c>
      <c r="AI1322">
        <f ca="1"/>
      </c>
      <c r="AJ1322">
        <f ca="1"/>
      </c>
      <c r="AK1322">
        <f ca="1"/>
      </c>
      <c r="AL1322">
        <f ca="1"/>
      </c>
      <c r="AM1322">
        <f ca="1"/>
      </c>
      <c r="AN1322">
        <f ca="1"/>
      </c>
      <c r="AO1322">
        <f ca="1"/>
      </c>
      <c r="AP1322">
        <f ca="1"/>
      </c>
      <c r="AQ1322">
        <f ca="1"/>
      </c>
      <c r="AR1322">
        <f ca="1"/>
      </c>
      <c r="AT1322" s="7">
        <f ca="1"/>
      </c>
      <c r="AU1322">
        <f ca="1"/>
      </c>
      <c r="AV1322">
        <f ca="1"/>
      </c>
      <c r="AW1322">
        <f ca="1"/>
      </c>
      <c r="AX1322">
        <f ca="1"/>
      </c>
      <c r="AY1322">
        <f ca="1"/>
      </c>
      <c r="BA1322" s="7"/>
    </row>
    <row r="1323" spans="31:53" x14ac:dyDescent="0.55000000000000004">
      <c r="AE1323" s="7">
        <f ca="1"/>
      </c>
      <c r="AF1323">
        <f ca="1"/>
      </c>
      <c r="AG1323">
        <f ca="1"/>
      </c>
      <c r="AH1323">
        <f ca="1"/>
      </c>
      <c r="AI1323">
        <f ca="1"/>
      </c>
      <c r="AJ1323">
        <f ca="1"/>
      </c>
      <c r="AK1323">
        <f ca="1"/>
      </c>
      <c r="AL1323">
        <f ca="1"/>
      </c>
      <c r="AM1323">
        <f ca="1"/>
      </c>
      <c r="AN1323">
        <f ca="1"/>
      </c>
      <c r="AO1323">
        <f ca="1"/>
      </c>
      <c r="AP1323">
        <f ca="1"/>
      </c>
      <c r="AQ1323">
        <f ca="1"/>
      </c>
      <c r="AR1323">
        <f ca="1"/>
      </c>
      <c r="AT1323" s="7">
        <f ca="1"/>
      </c>
      <c r="AU1323">
        <f ca="1"/>
      </c>
      <c r="AV1323">
        <f ca="1"/>
      </c>
      <c r="AW1323">
        <f ca="1"/>
      </c>
      <c r="AX1323">
        <f ca="1"/>
      </c>
      <c r="AY1323">
        <f ca="1"/>
      </c>
      <c r="BA1323" s="7"/>
    </row>
    <row r="1324" spans="31:53" x14ac:dyDescent="0.55000000000000004">
      <c r="AE1324" s="7">
        <f ca="1"/>
      </c>
      <c r="AF1324">
        <f ca="1"/>
      </c>
      <c r="AG1324">
        <f ca="1"/>
      </c>
      <c r="AH1324">
        <f ca="1"/>
      </c>
      <c r="AI1324">
        <f ca="1"/>
      </c>
      <c r="AJ1324">
        <f ca="1"/>
      </c>
      <c r="AK1324">
        <f ca="1"/>
      </c>
      <c r="AL1324">
        <f ca="1"/>
      </c>
      <c r="AM1324">
        <f ca="1"/>
      </c>
      <c r="AN1324">
        <f ca="1"/>
      </c>
      <c r="AO1324">
        <f ca="1"/>
      </c>
      <c r="AP1324">
        <f ca="1"/>
      </c>
      <c r="AQ1324">
        <f ca="1"/>
      </c>
      <c r="AR1324">
        <f ca="1"/>
      </c>
      <c r="AT1324" s="7">
        <f ca="1"/>
      </c>
      <c r="AU1324">
        <f ca="1"/>
      </c>
      <c r="AV1324">
        <f ca="1"/>
      </c>
      <c r="AW1324">
        <f ca="1"/>
      </c>
      <c r="AX1324">
        <f ca="1"/>
      </c>
      <c r="AY1324">
        <f ca="1"/>
      </c>
      <c r="BA1324" s="7"/>
    </row>
    <row r="1325" spans="31:53" x14ac:dyDescent="0.55000000000000004">
      <c r="AE1325" s="7">
        <f ca="1"/>
      </c>
      <c r="AF1325">
        <f ca="1"/>
      </c>
      <c r="AG1325">
        <f ca="1"/>
      </c>
      <c r="AH1325">
        <f ca="1"/>
      </c>
      <c r="AI1325">
        <f ca="1"/>
      </c>
      <c r="AJ1325">
        <f ca="1"/>
      </c>
      <c r="AK1325">
        <f ca="1"/>
      </c>
      <c r="AL1325">
        <f ca="1"/>
      </c>
      <c r="AM1325">
        <f ca="1"/>
      </c>
      <c r="AN1325">
        <f ca="1"/>
      </c>
      <c r="AO1325">
        <f ca="1"/>
      </c>
      <c r="AP1325">
        <f ca="1"/>
      </c>
      <c r="AQ1325">
        <f ca="1"/>
      </c>
      <c r="AR1325">
        <f ca="1"/>
      </c>
      <c r="AT1325" s="7">
        <f ca="1"/>
      </c>
      <c r="AU1325">
        <f ca="1"/>
      </c>
      <c r="AV1325">
        <f ca="1"/>
      </c>
      <c r="AW1325">
        <f ca="1"/>
      </c>
      <c r="AX1325">
        <f ca="1"/>
      </c>
      <c r="AY1325">
        <f ca="1"/>
      </c>
      <c r="BA1325" s="7"/>
    </row>
    <row r="1326" spans="31:53" x14ac:dyDescent="0.55000000000000004">
      <c r="AE1326" s="7">
        <f ca="1"/>
      </c>
      <c r="AF1326">
        <f ca="1"/>
      </c>
      <c r="AG1326">
        <f ca="1"/>
      </c>
      <c r="AH1326">
        <f ca="1"/>
      </c>
      <c r="AI1326">
        <f ca="1"/>
      </c>
      <c r="AJ1326">
        <f ca="1"/>
      </c>
      <c r="AK1326">
        <f ca="1"/>
      </c>
      <c r="AL1326">
        <f ca="1"/>
      </c>
      <c r="AM1326">
        <f ca="1"/>
      </c>
      <c r="AN1326">
        <f ca="1"/>
      </c>
      <c r="AO1326">
        <f ca="1"/>
      </c>
      <c r="AP1326">
        <f ca="1"/>
      </c>
      <c r="AQ1326">
        <f ca="1"/>
      </c>
      <c r="AR1326">
        <f ca="1"/>
      </c>
      <c r="AT1326" s="7">
        <f ca="1"/>
      </c>
      <c r="AU1326">
        <f ca="1"/>
      </c>
      <c r="AV1326">
        <f ca="1"/>
      </c>
      <c r="AW1326">
        <f ca="1"/>
      </c>
      <c r="AX1326">
        <f ca="1"/>
      </c>
      <c r="AY1326">
        <f ca="1"/>
      </c>
      <c r="BA1326" s="7"/>
    </row>
    <row r="1327" spans="31:53" x14ac:dyDescent="0.55000000000000004">
      <c r="AE1327" s="7">
        <f ca="1"/>
      </c>
      <c r="AF1327">
        <f ca="1"/>
      </c>
      <c r="AG1327">
        <f ca="1"/>
      </c>
      <c r="AH1327">
        <f ca="1"/>
      </c>
      <c r="AI1327">
        <f ca="1"/>
      </c>
      <c r="AJ1327">
        <f ca="1"/>
      </c>
      <c r="AK1327">
        <f ca="1"/>
      </c>
      <c r="AL1327">
        <f ca="1"/>
      </c>
      <c r="AM1327">
        <f ca="1"/>
      </c>
      <c r="AN1327">
        <f ca="1"/>
      </c>
      <c r="AO1327">
        <f ca="1"/>
      </c>
      <c r="AP1327">
        <f ca="1"/>
      </c>
      <c r="AQ1327">
        <f ca="1"/>
      </c>
      <c r="AR1327">
        <f ca="1"/>
      </c>
      <c r="AT1327" s="7">
        <f ca="1"/>
      </c>
      <c r="AU1327">
        <f ca="1"/>
      </c>
      <c r="AV1327">
        <f ca="1"/>
      </c>
      <c r="AW1327">
        <f ca="1"/>
      </c>
      <c r="AX1327">
        <f ca="1"/>
      </c>
      <c r="AY1327">
        <f ca="1"/>
      </c>
      <c r="BA1327" s="7"/>
    </row>
    <row r="1328" spans="31:53" x14ac:dyDescent="0.55000000000000004">
      <c r="AE1328" s="7">
        <f ca="1"/>
      </c>
      <c r="AF1328">
        <f ca="1"/>
      </c>
      <c r="AG1328">
        <f ca="1"/>
      </c>
      <c r="AH1328">
        <f ca="1"/>
      </c>
      <c r="AI1328">
        <f ca="1"/>
      </c>
      <c r="AJ1328">
        <f ca="1"/>
      </c>
      <c r="AK1328">
        <f ca="1"/>
      </c>
      <c r="AL1328">
        <f ca="1"/>
      </c>
      <c r="AM1328">
        <f ca="1"/>
      </c>
      <c r="AN1328">
        <f ca="1"/>
      </c>
      <c r="AO1328">
        <f ca="1"/>
      </c>
      <c r="AP1328">
        <f ca="1"/>
      </c>
      <c r="AQ1328">
        <f ca="1"/>
      </c>
      <c r="AR1328">
        <f ca="1"/>
      </c>
      <c r="AT1328" s="7">
        <f ca="1"/>
      </c>
      <c r="AU1328">
        <f ca="1"/>
      </c>
      <c r="AV1328">
        <f ca="1"/>
      </c>
      <c r="AW1328">
        <f ca="1"/>
      </c>
      <c r="AX1328">
        <f ca="1"/>
      </c>
      <c r="AY1328">
        <f ca="1"/>
      </c>
      <c r="BA1328" s="7"/>
    </row>
    <row r="1329" spans="31:53" x14ac:dyDescent="0.55000000000000004">
      <c r="AE1329" s="7">
        <f ca="1"/>
      </c>
      <c r="AF1329">
        <f ca="1"/>
      </c>
      <c r="AG1329">
        <f ca="1"/>
      </c>
      <c r="AH1329">
        <f ca="1"/>
      </c>
      <c r="AI1329">
        <f ca="1"/>
      </c>
      <c r="AJ1329">
        <f ca="1"/>
      </c>
      <c r="AK1329">
        <f ca="1"/>
      </c>
      <c r="AL1329">
        <f ca="1"/>
      </c>
      <c r="AM1329">
        <f ca="1"/>
      </c>
      <c r="AN1329">
        <f ca="1"/>
      </c>
      <c r="AO1329">
        <f ca="1"/>
      </c>
      <c r="AP1329">
        <f ca="1"/>
      </c>
      <c r="AQ1329">
        <f ca="1"/>
      </c>
      <c r="AR1329">
        <f ca="1"/>
      </c>
      <c r="AT1329" s="7">
        <f ca="1"/>
      </c>
      <c r="AU1329">
        <f ca="1"/>
      </c>
      <c r="AV1329">
        <f ca="1"/>
      </c>
      <c r="AW1329">
        <f ca="1"/>
      </c>
      <c r="AX1329">
        <f ca="1"/>
      </c>
      <c r="AY1329">
        <f ca="1"/>
      </c>
      <c r="BA1329" s="7"/>
    </row>
    <row r="1330" spans="31:53" x14ac:dyDescent="0.55000000000000004">
      <c r="AE1330" s="7">
        <f ca="1"/>
      </c>
      <c r="AF1330">
        <f ca="1"/>
      </c>
      <c r="AG1330">
        <f ca="1"/>
      </c>
      <c r="AH1330">
        <f ca="1"/>
      </c>
      <c r="AI1330">
        <f ca="1"/>
      </c>
      <c r="AJ1330">
        <f ca="1"/>
      </c>
      <c r="AK1330">
        <f ca="1"/>
      </c>
      <c r="AL1330">
        <f ca="1"/>
      </c>
      <c r="AM1330">
        <f ca="1"/>
      </c>
      <c r="AN1330">
        <f ca="1"/>
      </c>
      <c r="AO1330">
        <f ca="1"/>
      </c>
      <c r="AP1330">
        <f ca="1"/>
      </c>
      <c r="AQ1330">
        <f ca="1"/>
      </c>
      <c r="AR1330">
        <f ca="1"/>
      </c>
      <c r="AT1330" s="7">
        <f ca="1"/>
      </c>
      <c r="AU1330">
        <f ca="1"/>
      </c>
      <c r="AV1330">
        <f ca="1"/>
      </c>
      <c r="AW1330">
        <f ca="1"/>
      </c>
      <c r="AX1330">
        <f ca="1"/>
      </c>
      <c r="AY1330">
        <f ca="1"/>
      </c>
      <c r="BA1330" s="7"/>
    </row>
    <row r="1331" spans="31:53" x14ac:dyDescent="0.55000000000000004">
      <c r="AE1331" s="7">
        <f ca="1"/>
      </c>
      <c r="AF1331">
        <f ca="1"/>
      </c>
      <c r="AG1331">
        <f ca="1"/>
      </c>
      <c r="AH1331">
        <f ca="1"/>
      </c>
      <c r="AI1331">
        <f ca="1"/>
      </c>
      <c r="AJ1331">
        <f ca="1"/>
      </c>
      <c r="AK1331">
        <f ca="1"/>
      </c>
      <c r="AL1331">
        <f ca="1"/>
      </c>
      <c r="AM1331">
        <f ca="1"/>
      </c>
      <c r="AN1331">
        <f ca="1"/>
      </c>
      <c r="AO1331">
        <f ca="1"/>
      </c>
      <c r="AP1331">
        <f ca="1"/>
      </c>
      <c r="AQ1331">
        <f ca="1"/>
      </c>
      <c r="AR1331">
        <f ca="1"/>
      </c>
      <c r="AT1331" s="7">
        <f ca="1"/>
      </c>
      <c r="AU1331">
        <f ca="1"/>
      </c>
      <c r="AV1331">
        <f ca="1"/>
      </c>
      <c r="AW1331">
        <f ca="1"/>
      </c>
      <c r="AX1331">
        <f ca="1"/>
      </c>
      <c r="AY1331">
        <f ca="1"/>
      </c>
      <c r="BA1331" s="7"/>
    </row>
    <row r="1332" spans="31:53" x14ac:dyDescent="0.55000000000000004">
      <c r="AE1332" s="7">
        <f ca="1"/>
      </c>
      <c r="AF1332">
        <f ca="1"/>
      </c>
      <c r="AG1332">
        <f ca="1"/>
      </c>
      <c r="AH1332">
        <f ca="1"/>
      </c>
      <c r="AI1332">
        <f ca="1"/>
      </c>
      <c r="AJ1332">
        <f ca="1"/>
      </c>
      <c r="AK1332">
        <f ca="1"/>
      </c>
      <c r="AL1332">
        <f ca="1"/>
      </c>
      <c r="AM1332">
        <f ca="1"/>
      </c>
      <c r="AN1332">
        <f ca="1"/>
      </c>
      <c r="AO1332">
        <f ca="1"/>
      </c>
      <c r="AP1332">
        <f ca="1"/>
      </c>
      <c r="AQ1332">
        <f ca="1"/>
      </c>
      <c r="AR1332">
        <f ca="1"/>
      </c>
      <c r="AT1332" s="7">
        <f ca="1"/>
      </c>
      <c r="AU1332">
        <f ca="1"/>
      </c>
      <c r="AV1332">
        <f ca="1"/>
      </c>
      <c r="AW1332">
        <f ca="1"/>
      </c>
      <c r="AX1332">
        <f ca="1"/>
      </c>
      <c r="AY1332">
        <f ca="1"/>
      </c>
      <c r="BA1332" s="7"/>
    </row>
    <row r="1333" spans="31:53" x14ac:dyDescent="0.55000000000000004">
      <c r="AE1333" s="7">
        <f ca="1"/>
      </c>
      <c r="AF1333">
        <f ca="1"/>
      </c>
      <c r="AG1333">
        <f ca="1"/>
      </c>
      <c r="AH1333">
        <f ca="1"/>
      </c>
      <c r="AI1333">
        <f ca="1"/>
      </c>
      <c r="AJ1333">
        <f ca="1"/>
      </c>
      <c r="AK1333">
        <f ca="1"/>
      </c>
      <c r="AL1333">
        <f ca="1"/>
      </c>
      <c r="AM1333">
        <f ca="1"/>
      </c>
      <c r="AN1333">
        <f ca="1"/>
      </c>
      <c r="AO1333">
        <f ca="1"/>
      </c>
      <c r="AP1333">
        <f ca="1"/>
      </c>
      <c r="AQ1333">
        <f ca="1"/>
      </c>
      <c r="AR1333">
        <f ca="1"/>
      </c>
      <c r="AT1333" s="7">
        <f ca="1"/>
      </c>
      <c r="AU1333">
        <f ca="1"/>
      </c>
      <c r="AV1333">
        <f ca="1"/>
      </c>
      <c r="AW1333">
        <f ca="1"/>
      </c>
      <c r="AX1333">
        <f ca="1"/>
      </c>
      <c r="AY1333">
        <f ca="1"/>
      </c>
      <c r="BA1333" s="7"/>
    </row>
    <row r="1334" spans="31:53" x14ac:dyDescent="0.55000000000000004">
      <c r="AE1334" s="7">
        <f ca="1"/>
      </c>
      <c r="AF1334">
        <f ca="1"/>
      </c>
      <c r="AG1334">
        <f ca="1"/>
      </c>
      <c r="AH1334">
        <f ca="1"/>
      </c>
      <c r="AI1334">
        <f ca="1"/>
      </c>
      <c r="AJ1334">
        <f ca="1"/>
      </c>
      <c r="AK1334">
        <f ca="1"/>
      </c>
      <c r="AL1334">
        <f ca="1"/>
      </c>
      <c r="AM1334">
        <f ca="1"/>
      </c>
      <c r="AN1334">
        <f ca="1"/>
      </c>
      <c r="AO1334">
        <f ca="1"/>
      </c>
      <c r="AP1334">
        <f ca="1"/>
      </c>
      <c r="AQ1334">
        <f ca="1"/>
      </c>
      <c r="AR1334">
        <f ca="1"/>
      </c>
      <c r="AT1334" s="7">
        <f ca="1"/>
      </c>
      <c r="AU1334">
        <f ca="1"/>
      </c>
      <c r="AV1334">
        <f ca="1"/>
      </c>
      <c r="AW1334">
        <f ca="1"/>
      </c>
      <c r="AX1334">
        <f ca="1"/>
      </c>
      <c r="AY1334">
        <f ca="1"/>
      </c>
      <c r="BA1334" s="7"/>
    </row>
    <row r="1335" spans="31:53" x14ac:dyDescent="0.55000000000000004">
      <c r="AE1335" s="7">
        <f ca="1"/>
      </c>
      <c r="AF1335">
        <f ca="1"/>
      </c>
      <c r="AG1335">
        <f ca="1"/>
      </c>
      <c r="AH1335">
        <f ca="1"/>
      </c>
      <c r="AI1335">
        <f ca="1"/>
      </c>
      <c r="AJ1335">
        <f ca="1"/>
      </c>
      <c r="AK1335">
        <f ca="1"/>
      </c>
      <c r="AL1335">
        <f ca="1"/>
      </c>
      <c r="AM1335">
        <f ca="1"/>
      </c>
      <c r="AN1335">
        <f ca="1"/>
      </c>
      <c r="AO1335">
        <f ca="1"/>
      </c>
      <c r="AP1335">
        <f ca="1"/>
      </c>
      <c r="AQ1335">
        <f ca="1"/>
      </c>
      <c r="AR1335">
        <f ca="1"/>
      </c>
      <c r="AT1335" s="7">
        <f ca="1"/>
      </c>
      <c r="AU1335">
        <f ca="1"/>
      </c>
      <c r="AV1335">
        <f ca="1"/>
      </c>
      <c r="AW1335">
        <f ca="1"/>
      </c>
      <c r="AX1335">
        <f ca="1"/>
      </c>
      <c r="AY1335">
        <f ca="1"/>
      </c>
      <c r="BA1335" s="7"/>
    </row>
    <row r="1336" spans="31:53" x14ac:dyDescent="0.55000000000000004">
      <c r="AE1336" s="7">
        <f ca="1"/>
      </c>
      <c r="AF1336">
        <f ca="1"/>
      </c>
      <c r="AG1336">
        <f ca="1"/>
      </c>
      <c r="AH1336">
        <f ca="1"/>
      </c>
      <c r="AI1336">
        <f ca="1"/>
      </c>
      <c r="AJ1336">
        <f ca="1"/>
      </c>
      <c r="AK1336">
        <f ca="1"/>
      </c>
      <c r="AL1336">
        <f ca="1"/>
      </c>
      <c r="AM1336">
        <f ca="1"/>
      </c>
      <c r="AN1336">
        <f ca="1"/>
      </c>
      <c r="AO1336">
        <f ca="1"/>
      </c>
      <c r="AP1336">
        <f ca="1"/>
      </c>
      <c r="AQ1336">
        <f ca="1"/>
      </c>
      <c r="AR1336">
        <f ca="1"/>
      </c>
      <c r="AT1336" s="7">
        <f ca="1"/>
      </c>
      <c r="AU1336">
        <f ca="1"/>
      </c>
      <c r="AV1336">
        <f ca="1"/>
      </c>
      <c r="AW1336">
        <f ca="1"/>
      </c>
      <c r="AX1336">
        <f ca="1"/>
      </c>
      <c r="AY1336">
        <f ca="1"/>
      </c>
      <c r="BA1336" s="7"/>
    </row>
    <row r="1337" spans="31:53" x14ac:dyDescent="0.55000000000000004">
      <c r="AE1337" s="7">
        <f ca="1"/>
      </c>
      <c r="AF1337">
        <f ca="1"/>
      </c>
      <c r="AG1337">
        <f ca="1"/>
      </c>
      <c r="AH1337">
        <f ca="1"/>
      </c>
      <c r="AI1337">
        <f ca="1"/>
      </c>
      <c r="AJ1337">
        <f ca="1"/>
      </c>
      <c r="AK1337">
        <f ca="1"/>
      </c>
      <c r="AL1337">
        <f ca="1"/>
      </c>
      <c r="AM1337">
        <f ca="1"/>
      </c>
      <c r="AN1337">
        <f ca="1"/>
      </c>
      <c r="AO1337">
        <f ca="1"/>
      </c>
      <c r="AP1337">
        <f ca="1"/>
      </c>
      <c r="AQ1337">
        <f ca="1"/>
      </c>
      <c r="AR1337">
        <f ca="1"/>
      </c>
      <c r="AT1337" s="7">
        <f ca="1"/>
      </c>
      <c r="AU1337">
        <f ca="1"/>
      </c>
      <c r="AV1337">
        <f ca="1"/>
      </c>
      <c r="AW1337">
        <f ca="1"/>
      </c>
      <c r="AX1337">
        <f ca="1"/>
      </c>
      <c r="AY1337">
        <f ca="1"/>
      </c>
      <c r="BA1337" s="7"/>
    </row>
    <row r="1338" spans="31:53" x14ac:dyDescent="0.55000000000000004">
      <c r="AE1338" s="7">
        <f ca="1"/>
      </c>
      <c r="AF1338">
        <f ca="1"/>
      </c>
      <c r="AG1338">
        <f ca="1"/>
      </c>
      <c r="AH1338">
        <f ca="1"/>
      </c>
      <c r="AI1338">
        <f ca="1"/>
      </c>
      <c r="AJ1338">
        <f ca="1"/>
      </c>
      <c r="AK1338">
        <f ca="1"/>
      </c>
      <c r="AL1338">
        <f ca="1"/>
      </c>
      <c r="AM1338">
        <f ca="1"/>
      </c>
      <c r="AN1338">
        <f ca="1"/>
      </c>
      <c r="AO1338">
        <f ca="1"/>
      </c>
      <c r="AP1338">
        <f ca="1"/>
      </c>
      <c r="AQ1338">
        <f ca="1"/>
      </c>
      <c r="AR1338">
        <f ca="1"/>
      </c>
      <c r="AT1338" s="7">
        <f ca="1"/>
      </c>
      <c r="AU1338">
        <f ca="1"/>
      </c>
      <c r="AV1338">
        <f ca="1"/>
      </c>
      <c r="AW1338">
        <f ca="1"/>
      </c>
      <c r="AX1338">
        <f ca="1"/>
      </c>
      <c r="AY1338">
        <f ca="1"/>
      </c>
      <c r="BA1338" s="7"/>
    </row>
    <row r="1339" spans="31:53" x14ac:dyDescent="0.55000000000000004">
      <c r="AE1339" s="7">
        <f ca="1"/>
      </c>
      <c r="AF1339">
        <f ca="1"/>
      </c>
      <c r="AG1339">
        <f ca="1"/>
      </c>
      <c r="AH1339">
        <f ca="1"/>
      </c>
      <c r="AI1339">
        <f ca="1"/>
      </c>
      <c r="AJ1339">
        <f ca="1"/>
      </c>
      <c r="AK1339">
        <f ca="1"/>
      </c>
      <c r="AL1339">
        <f ca="1"/>
      </c>
      <c r="AM1339">
        <f ca="1"/>
      </c>
      <c r="AN1339">
        <f ca="1"/>
      </c>
      <c r="AO1339">
        <f ca="1"/>
      </c>
      <c r="AP1339">
        <f ca="1"/>
      </c>
      <c r="AQ1339">
        <f ca="1"/>
      </c>
      <c r="AR1339">
        <f ca="1"/>
      </c>
      <c r="AT1339" s="7">
        <f ca="1"/>
      </c>
      <c r="AU1339">
        <f ca="1"/>
      </c>
      <c r="AV1339">
        <f ca="1"/>
      </c>
      <c r="AW1339">
        <f ca="1"/>
      </c>
      <c r="AX1339">
        <f ca="1"/>
      </c>
      <c r="AY1339">
        <f ca="1"/>
      </c>
      <c r="BA1339" s="7"/>
    </row>
    <row r="1340" spans="31:53" x14ac:dyDescent="0.55000000000000004">
      <c r="AE1340" s="7">
        <f ca="1"/>
      </c>
      <c r="AF1340">
        <f ca="1"/>
      </c>
      <c r="AG1340">
        <f ca="1"/>
      </c>
      <c r="AH1340">
        <f ca="1"/>
      </c>
      <c r="AI1340">
        <f ca="1"/>
      </c>
      <c r="AJ1340">
        <f ca="1"/>
      </c>
      <c r="AK1340">
        <f ca="1"/>
      </c>
      <c r="AL1340">
        <f ca="1"/>
      </c>
      <c r="AM1340">
        <f ca="1"/>
      </c>
      <c r="AN1340">
        <f ca="1"/>
      </c>
      <c r="AO1340">
        <f ca="1"/>
      </c>
      <c r="AP1340">
        <f ca="1"/>
      </c>
      <c r="AQ1340">
        <f ca="1"/>
      </c>
      <c r="AR1340">
        <f ca="1"/>
      </c>
      <c r="AT1340" s="7">
        <f ca="1"/>
      </c>
      <c r="AU1340">
        <f ca="1"/>
      </c>
      <c r="AV1340">
        <f ca="1"/>
      </c>
      <c r="AW1340">
        <f ca="1"/>
      </c>
      <c r="AX1340">
        <f ca="1"/>
      </c>
      <c r="AY1340">
        <f ca="1"/>
      </c>
      <c r="BA1340" s="7"/>
    </row>
    <row r="1341" spans="31:53" x14ac:dyDescent="0.55000000000000004">
      <c r="AE1341" s="7">
        <f ca="1"/>
      </c>
      <c r="AF1341">
        <f ca="1"/>
      </c>
      <c r="AG1341">
        <f ca="1"/>
      </c>
      <c r="AH1341">
        <f ca="1"/>
      </c>
      <c r="AI1341">
        <f ca="1"/>
      </c>
      <c r="AJ1341">
        <f ca="1"/>
      </c>
      <c r="AK1341">
        <f ca="1"/>
      </c>
      <c r="AL1341">
        <f ca="1"/>
      </c>
      <c r="AM1341">
        <f ca="1"/>
      </c>
      <c r="AN1341">
        <f ca="1"/>
      </c>
      <c r="AO1341">
        <f ca="1"/>
      </c>
      <c r="AP1341">
        <f ca="1"/>
      </c>
      <c r="AQ1341">
        <f ca="1"/>
      </c>
      <c r="AR1341">
        <f ca="1"/>
      </c>
      <c r="AT1341" s="7">
        <f ca="1"/>
      </c>
      <c r="AU1341">
        <f ca="1"/>
      </c>
      <c r="AV1341">
        <f ca="1"/>
      </c>
      <c r="AW1341">
        <f ca="1"/>
      </c>
      <c r="AX1341">
        <f ca="1"/>
      </c>
      <c r="AY1341">
        <f ca="1"/>
      </c>
      <c r="BA1341" s="7"/>
    </row>
    <row r="1342" spans="31:53" x14ac:dyDescent="0.55000000000000004">
      <c r="AE1342" s="7">
        <f ca="1"/>
      </c>
      <c r="AF1342">
        <f ca="1"/>
      </c>
      <c r="AG1342">
        <f ca="1"/>
      </c>
      <c r="AH1342">
        <f ca="1"/>
      </c>
      <c r="AI1342">
        <f ca="1"/>
      </c>
      <c r="AJ1342">
        <f ca="1"/>
      </c>
      <c r="AK1342">
        <f ca="1"/>
      </c>
      <c r="AL1342">
        <f ca="1"/>
      </c>
      <c r="AM1342">
        <f ca="1"/>
      </c>
      <c r="AN1342">
        <f ca="1"/>
      </c>
      <c r="AO1342">
        <f ca="1"/>
      </c>
      <c r="AP1342">
        <f ca="1"/>
      </c>
      <c r="AQ1342">
        <f ca="1"/>
      </c>
      <c r="AR1342">
        <f ca="1"/>
      </c>
      <c r="AT1342" s="7">
        <f ca="1"/>
      </c>
      <c r="AU1342">
        <f ca="1"/>
      </c>
      <c r="AV1342">
        <f ca="1"/>
      </c>
      <c r="AW1342">
        <f ca="1"/>
      </c>
      <c r="AX1342">
        <f ca="1"/>
      </c>
      <c r="AY1342">
        <f ca="1"/>
      </c>
      <c r="BA1342" s="7"/>
    </row>
    <row r="1343" spans="31:53" x14ac:dyDescent="0.55000000000000004">
      <c r="AE1343" s="7">
        <f ca="1"/>
      </c>
      <c r="AF1343">
        <f ca="1"/>
      </c>
      <c r="AG1343">
        <f ca="1"/>
      </c>
      <c r="AH1343">
        <f ca="1"/>
      </c>
      <c r="AI1343">
        <f ca="1"/>
      </c>
      <c r="AJ1343">
        <f ca="1"/>
      </c>
      <c r="AK1343">
        <f ca="1"/>
      </c>
      <c r="AL1343">
        <f ca="1"/>
      </c>
      <c r="AM1343">
        <f ca="1"/>
      </c>
      <c r="AN1343">
        <f ca="1"/>
      </c>
      <c r="AO1343">
        <f ca="1"/>
      </c>
      <c r="AP1343">
        <f ca="1"/>
      </c>
      <c r="AQ1343">
        <f ca="1"/>
      </c>
      <c r="AR1343">
        <f ca="1"/>
      </c>
      <c r="AT1343" s="7">
        <f ca="1"/>
      </c>
      <c r="AU1343">
        <f ca="1"/>
      </c>
      <c r="AV1343">
        <f ca="1"/>
      </c>
      <c r="AW1343">
        <f ca="1"/>
      </c>
      <c r="AX1343">
        <f ca="1"/>
      </c>
      <c r="AY1343">
        <f ca="1"/>
      </c>
      <c r="BA1343" s="7"/>
    </row>
    <row r="1344" spans="31:53" x14ac:dyDescent="0.55000000000000004">
      <c r="AE1344" s="7">
        <f ca="1"/>
      </c>
      <c r="AF1344">
        <f ca="1"/>
      </c>
      <c r="AG1344">
        <f ca="1"/>
      </c>
      <c r="AH1344">
        <f ca="1"/>
      </c>
      <c r="AI1344">
        <f ca="1"/>
      </c>
      <c r="AJ1344">
        <f ca="1"/>
      </c>
      <c r="AK1344">
        <f ca="1"/>
      </c>
      <c r="AL1344">
        <f ca="1"/>
      </c>
      <c r="AM1344">
        <f ca="1"/>
      </c>
      <c r="AN1344">
        <f ca="1"/>
      </c>
      <c r="AO1344">
        <f ca="1"/>
      </c>
      <c r="AP1344">
        <f ca="1"/>
      </c>
      <c r="AQ1344">
        <f ca="1"/>
      </c>
      <c r="AR1344">
        <f ca="1"/>
      </c>
      <c r="AT1344" s="7">
        <f ca="1"/>
      </c>
      <c r="AU1344">
        <f ca="1"/>
      </c>
      <c r="AV1344">
        <f ca="1"/>
      </c>
      <c r="AW1344">
        <f ca="1"/>
      </c>
      <c r="AX1344">
        <f ca="1"/>
      </c>
      <c r="AY1344">
        <f ca="1"/>
      </c>
      <c r="BA1344" s="7"/>
    </row>
    <row r="1345" spans="31:53" x14ac:dyDescent="0.55000000000000004">
      <c r="AE1345" s="7">
        <f ca="1"/>
      </c>
      <c r="AF1345">
        <f ca="1"/>
      </c>
      <c r="AG1345">
        <f ca="1"/>
      </c>
      <c r="AH1345">
        <f ca="1"/>
      </c>
      <c r="AI1345">
        <f ca="1"/>
      </c>
      <c r="AJ1345">
        <f ca="1"/>
      </c>
      <c r="AK1345">
        <f ca="1"/>
      </c>
      <c r="AL1345">
        <f ca="1"/>
      </c>
      <c r="AM1345">
        <f ca="1"/>
      </c>
      <c r="AN1345">
        <f ca="1"/>
      </c>
      <c r="AO1345">
        <f ca="1"/>
      </c>
      <c r="AP1345">
        <f ca="1"/>
      </c>
      <c r="AQ1345">
        <f ca="1"/>
      </c>
      <c r="AR1345">
        <f ca="1"/>
      </c>
      <c r="AT1345" s="7">
        <f ca="1"/>
      </c>
      <c r="AU1345">
        <f ca="1"/>
      </c>
      <c r="AV1345">
        <f ca="1"/>
      </c>
      <c r="AW1345">
        <f ca="1"/>
      </c>
      <c r="AX1345">
        <f ca="1"/>
      </c>
      <c r="AY1345">
        <f ca="1"/>
      </c>
      <c r="BA1345" s="7"/>
    </row>
    <row r="1346" spans="31:53" x14ac:dyDescent="0.55000000000000004">
      <c r="AE1346" s="7">
        <f ca="1"/>
      </c>
      <c r="AF1346">
        <f ca="1"/>
      </c>
      <c r="AG1346">
        <f ca="1"/>
      </c>
      <c r="AH1346">
        <f ca="1"/>
      </c>
      <c r="AI1346">
        <f ca="1"/>
      </c>
      <c r="AJ1346">
        <f ca="1"/>
      </c>
      <c r="AK1346">
        <f ca="1"/>
      </c>
      <c r="AL1346">
        <f ca="1"/>
      </c>
      <c r="AM1346">
        <f ca="1"/>
      </c>
      <c r="AN1346">
        <f ca="1"/>
      </c>
      <c r="AO1346">
        <f ca="1"/>
      </c>
      <c r="AP1346">
        <f ca="1"/>
      </c>
      <c r="AQ1346">
        <f ca="1"/>
      </c>
      <c r="AR1346">
        <f ca="1"/>
      </c>
      <c r="AT1346" s="7">
        <f ca="1"/>
      </c>
      <c r="AU1346">
        <f ca="1"/>
      </c>
      <c r="AV1346">
        <f ca="1"/>
      </c>
      <c r="AW1346">
        <f ca="1"/>
      </c>
      <c r="AX1346">
        <f ca="1"/>
      </c>
      <c r="AY1346">
        <f ca="1"/>
      </c>
      <c r="BA1346" s="7"/>
    </row>
    <row r="1347" spans="31:53" x14ac:dyDescent="0.55000000000000004">
      <c r="AE1347" s="7">
        <f ca="1"/>
      </c>
      <c r="AF1347">
        <f ca="1"/>
      </c>
      <c r="AG1347">
        <f ca="1"/>
      </c>
      <c r="AH1347">
        <f ca="1"/>
      </c>
      <c r="AI1347">
        <f ca="1"/>
      </c>
      <c r="AJ1347">
        <f ca="1"/>
      </c>
      <c r="AK1347">
        <f ca="1"/>
      </c>
      <c r="AL1347">
        <f ca="1"/>
      </c>
      <c r="AM1347">
        <f ca="1"/>
      </c>
      <c r="AN1347">
        <f ca="1"/>
      </c>
      <c r="AO1347">
        <f ca="1"/>
      </c>
      <c r="AP1347">
        <f ca="1"/>
      </c>
      <c r="AQ1347">
        <f ca="1"/>
      </c>
      <c r="AR1347">
        <f ca="1"/>
      </c>
      <c r="AT1347" s="7">
        <f ca="1"/>
      </c>
      <c r="AU1347">
        <f ca="1"/>
      </c>
      <c r="AV1347">
        <f ca="1"/>
      </c>
      <c r="AW1347">
        <f ca="1"/>
      </c>
      <c r="AX1347">
        <f ca="1"/>
      </c>
      <c r="AY1347">
        <f ca="1"/>
      </c>
      <c r="BA1347" s="7"/>
    </row>
    <row r="1348" spans="31:53" x14ac:dyDescent="0.55000000000000004">
      <c r="AE1348" s="7">
        <f ca="1"/>
      </c>
      <c r="AF1348">
        <f ca="1"/>
      </c>
      <c r="AG1348">
        <f ca="1"/>
      </c>
      <c r="AH1348">
        <f ca="1"/>
      </c>
      <c r="AI1348">
        <f ca="1"/>
      </c>
      <c r="AJ1348">
        <f ca="1"/>
      </c>
      <c r="AK1348">
        <f ca="1"/>
      </c>
      <c r="AL1348">
        <f ca="1"/>
      </c>
      <c r="AM1348">
        <f ca="1"/>
      </c>
      <c r="AN1348">
        <f ca="1"/>
      </c>
      <c r="AO1348">
        <f ca="1"/>
      </c>
      <c r="AP1348">
        <f ca="1"/>
      </c>
      <c r="AQ1348">
        <f ca="1"/>
      </c>
      <c r="AR1348">
        <f ca="1"/>
      </c>
      <c r="AT1348" s="7">
        <f ca="1"/>
      </c>
      <c r="AU1348">
        <f ca="1"/>
      </c>
      <c r="AV1348">
        <f ca="1"/>
      </c>
      <c r="AW1348">
        <f ca="1"/>
      </c>
      <c r="AX1348">
        <f ca="1"/>
      </c>
      <c r="AY1348">
        <f ca="1"/>
      </c>
      <c r="BA1348" s="7"/>
    </row>
    <row r="1349" spans="31:53" x14ac:dyDescent="0.55000000000000004">
      <c r="AE1349" s="7">
        <f ca="1"/>
      </c>
      <c r="AF1349">
        <f ca="1"/>
      </c>
      <c r="AG1349">
        <f ca="1"/>
      </c>
      <c r="AH1349">
        <f ca="1"/>
      </c>
      <c r="AI1349">
        <f ca="1"/>
      </c>
      <c r="AJ1349">
        <f ca="1"/>
      </c>
      <c r="AK1349">
        <f ca="1"/>
      </c>
      <c r="AL1349">
        <f ca="1"/>
      </c>
      <c r="AM1349">
        <f ca="1"/>
      </c>
      <c r="AN1349">
        <f ca="1"/>
      </c>
      <c r="AO1349">
        <f ca="1"/>
      </c>
      <c r="AP1349">
        <f ca="1"/>
      </c>
      <c r="AQ1349">
        <f ca="1"/>
      </c>
      <c r="AR1349">
        <f ca="1"/>
      </c>
      <c r="AT1349" s="7">
        <f ca="1"/>
      </c>
      <c r="AU1349">
        <f ca="1"/>
      </c>
      <c r="AV1349">
        <f ca="1"/>
      </c>
      <c r="AW1349">
        <f ca="1"/>
      </c>
      <c r="AX1349">
        <f ca="1"/>
      </c>
      <c r="AY1349">
        <f ca="1"/>
      </c>
      <c r="BA1349" s="7"/>
    </row>
    <row r="1350" spans="31:53" x14ac:dyDescent="0.55000000000000004">
      <c r="AE1350" s="7">
        <f ca="1"/>
      </c>
      <c r="AF1350">
        <f ca="1"/>
      </c>
      <c r="AG1350">
        <f ca="1"/>
      </c>
      <c r="AH1350">
        <f ca="1"/>
      </c>
      <c r="AI1350">
        <f ca="1"/>
      </c>
      <c r="AJ1350">
        <f ca="1"/>
      </c>
      <c r="AK1350">
        <f ca="1"/>
      </c>
      <c r="AL1350">
        <f ca="1"/>
      </c>
      <c r="AM1350">
        <f ca="1"/>
      </c>
      <c r="AN1350">
        <f ca="1"/>
      </c>
      <c r="AO1350">
        <f ca="1"/>
      </c>
      <c r="AP1350">
        <f ca="1"/>
      </c>
      <c r="AQ1350">
        <f ca="1"/>
      </c>
      <c r="AR1350">
        <f ca="1"/>
      </c>
      <c r="AT1350" s="7">
        <f ca="1"/>
      </c>
      <c r="AU1350">
        <f ca="1"/>
      </c>
      <c r="AV1350">
        <f ca="1"/>
      </c>
      <c r="AW1350">
        <f ca="1"/>
      </c>
      <c r="AX1350">
        <f ca="1"/>
      </c>
      <c r="AY1350">
        <f ca="1"/>
      </c>
      <c r="BA1350" s="7"/>
    </row>
    <row r="1351" spans="31:53" x14ac:dyDescent="0.55000000000000004">
      <c r="AE1351" s="7">
        <f ca="1"/>
      </c>
      <c r="AF1351">
        <f ca="1"/>
      </c>
      <c r="AG1351">
        <f ca="1"/>
      </c>
      <c r="AH1351">
        <f ca="1"/>
      </c>
      <c r="AI1351">
        <f ca="1"/>
      </c>
      <c r="AJ1351">
        <f ca="1"/>
      </c>
      <c r="AK1351">
        <f ca="1"/>
      </c>
      <c r="AL1351">
        <f ca="1"/>
      </c>
      <c r="AM1351">
        <f ca="1"/>
      </c>
      <c r="AN1351">
        <f ca="1"/>
      </c>
      <c r="AO1351">
        <f ca="1"/>
      </c>
      <c r="AP1351">
        <f ca="1"/>
      </c>
      <c r="AQ1351">
        <f ca="1"/>
      </c>
      <c r="AR1351">
        <f ca="1"/>
      </c>
      <c r="AT1351" s="7">
        <f ca="1"/>
      </c>
      <c r="AU1351">
        <f ca="1"/>
      </c>
      <c r="AV1351">
        <f ca="1"/>
      </c>
      <c r="AW1351">
        <f ca="1"/>
      </c>
      <c r="AX1351">
        <f ca="1"/>
      </c>
      <c r="AY1351">
        <f ca="1"/>
      </c>
      <c r="BA1351" s="7"/>
    </row>
    <row r="1352" spans="31:53" x14ac:dyDescent="0.55000000000000004">
      <c r="AE1352" s="7">
        <f ca="1"/>
      </c>
      <c r="AF1352">
        <f ca="1"/>
      </c>
      <c r="AG1352">
        <f ca="1"/>
      </c>
      <c r="AH1352">
        <f ca="1"/>
      </c>
      <c r="AI1352">
        <f ca="1"/>
      </c>
      <c r="AJ1352">
        <f ca="1"/>
      </c>
      <c r="AK1352">
        <f ca="1"/>
      </c>
      <c r="AL1352">
        <f ca="1"/>
      </c>
      <c r="AM1352">
        <f ca="1"/>
      </c>
      <c r="AN1352">
        <f ca="1"/>
      </c>
      <c r="AO1352">
        <f ca="1"/>
      </c>
      <c r="AP1352">
        <f ca="1"/>
      </c>
      <c r="AQ1352">
        <f ca="1"/>
      </c>
      <c r="AR1352">
        <f ca="1"/>
      </c>
      <c r="AT1352" s="7">
        <f ca="1"/>
      </c>
      <c r="AU1352">
        <f ca="1"/>
      </c>
      <c r="AV1352">
        <f ca="1"/>
      </c>
      <c r="AW1352">
        <f ca="1"/>
      </c>
      <c r="AX1352">
        <f ca="1"/>
      </c>
      <c r="AY1352">
        <f ca="1"/>
      </c>
      <c r="BA1352" s="7"/>
    </row>
    <row r="1353" spans="31:53" x14ac:dyDescent="0.55000000000000004">
      <c r="AE1353" s="7">
        <f ca="1"/>
      </c>
      <c r="AF1353">
        <f ca="1"/>
      </c>
      <c r="AG1353">
        <f ca="1"/>
      </c>
      <c r="AH1353">
        <f ca="1"/>
      </c>
      <c r="AI1353">
        <f ca="1"/>
      </c>
      <c r="AJ1353">
        <f ca="1"/>
      </c>
      <c r="AK1353">
        <f ca="1"/>
      </c>
      <c r="AL1353">
        <f ca="1"/>
      </c>
      <c r="AM1353">
        <f ca="1"/>
      </c>
      <c r="AN1353">
        <f ca="1"/>
      </c>
      <c r="AO1353">
        <f ca="1"/>
      </c>
      <c r="AP1353">
        <f ca="1"/>
      </c>
      <c r="AQ1353">
        <f ca="1"/>
      </c>
      <c r="AR1353">
        <f ca="1"/>
      </c>
      <c r="AT1353" s="7">
        <f ca="1"/>
      </c>
      <c r="AU1353">
        <f ca="1"/>
      </c>
      <c r="AV1353">
        <f ca="1"/>
      </c>
      <c r="AW1353">
        <f ca="1"/>
      </c>
      <c r="AX1353">
        <f ca="1"/>
      </c>
      <c r="AY1353">
        <f ca="1"/>
      </c>
      <c r="BA1353" s="7"/>
    </row>
    <row r="1354" spans="31:53" x14ac:dyDescent="0.55000000000000004">
      <c r="AE1354" s="7">
        <f ca="1"/>
      </c>
      <c r="AF1354">
        <f ca="1"/>
      </c>
      <c r="AG1354">
        <f ca="1"/>
      </c>
      <c r="AH1354">
        <f ca="1"/>
      </c>
      <c r="AI1354">
        <f ca="1"/>
      </c>
      <c r="AJ1354">
        <f ca="1"/>
      </c>
      <c r="AK1354">
        <f ca="1"/>
      </c>
      <c r="AL1354">
        <f ca="1"/>
      </c>
      <c r="AM1354">
        <f ca="1"/>
      </c>
      <c r="AN1354">
        <f ca="1"/>
      </c>
      <c r="AO1354">
        <f ca="1"/>
      </c>
      <c r="AP1354">
        <f ca="1"/>
      </c>
      <c r="AQ1354">
        <f ca="1"/>
      </c>
      <c r="AR1354">
        <f ca="1"/>
      </c>
      <c r="AT1354" s="7">
        <f ca="1"/>
      </c>
      <c r="AU1354">
        <f ca="1"/>
      </c>
      <c r="AV1354">
        <f ca="1"/>
      </c>
      <c r="AW1354">
        <f ca="1"/>
      </c>
      <c r="AX1354">
        <f ca="1"/>
      </c>
      <c r="AY1354">
        <f ca="1"/>
      </c>
      <c r="BA1354" s="7"/>
    </row>
    <row r="1355" spans="31:53" x14ac:dyDescent="0.55000000000000004">
      <c r="AE1355" s="7">
        <f ca="1"/>
      </c>
      <c r="AF1355">
        <f ca="1"/>
      </c>
      <c r="AG1355">
        <f ca="1"/>
      </c>
      <c r="AH1355">
        <f ca="1"/>
      </c>
      <c r="AI1355">
        <f ca="1"/>
      </c>
      <c r="AJ1355">
        <f ca="1"/>
      </c>
      <c r="AK1355">
        <f ca="1"/>
      </c>
      <c r="AL1355">
        <f ca="1"/>
      </c>
      <c r="AM1355">
        <f ca="1"/>
      </c>
      <c r="AN1355">
        <f ca="1"/>
      </c>
      <c r="AO1355">
        <f ca="1"/>
      </c>
      <c r="AP1355">
        <f ca="1"/>
      </c>
      <c r="AQ1355">
        <f ca="1"/>
      </c>
      <c r="AR1355">
        <f ca="1"/>
      </c>
      <c r="AT1355" s="7">
        <f ca="1"/>
      </c>
      <c r="AU1355">
        <f ca="1"/>
      </c>
      <c r="AV1355">
        <f ca="1"/>
      </c>
      <c r="AW1355">
        <f ca="1"/>
      </c>
      <c r="AX1355">
        <f ca="1"/>
      </c>
      <c r="AY1355">
        <f ca="1"/>
      </c>
      <c r="BA1355" s="7"/>
    </row>
    <row r="1356" spans="31:53" x14ac:dyDescent="0.55000000000000004">
      <c r="AE1356" s="7">
        <f ca="1"/>
      </c>
      <c r="AF1356">
        <f ca="1"/>
      </c>
      <c r="AG1356">
        <f ca="1"/>
      </c>
      <c r="AH1356">
        <f ca="1"/>
      </c>
      <c r="AI1356">
        <f ca="1"/>
      </c>
      <c r="AJ1356">
        <f ca="1"/>
      </c>
      <c r="AK1356">
        <f ca="1"/>
      </c>
      <c r="AL1356">
        <f ca="1"/>
      </c>
      <c r="AM1356">
        <f ca="1"/>
      </c>
      <c r="AN1356">
        <f ca="1"/>
      </c>
      <c r="AO1356">
        <f ca="1"/>
      </c>
      <c r="AP1356">
        <f ca="1"/>
      </c>
      <c r="AQ1356">
        <f ca="1"/>
      </c>
      <c r="AR1356">
        <f ca="1"/>
      </c>
      <c r="AT1356" s="7">
        <f ca="1"/>
      </c>
      <c r="AU1356">
        <f ca="1"/>
      </c>
      <c r="AV1356">
        <f ca="1"/>
      </c>
      <c r="AW1356">
        <f ca="1"/>
      </c>
      <c r="AX1356">
        <f ca="1"/>
      </c>
      <c r="AY1356">
        <f ca="1"/>
      </c>
      <c r="BA1356" s="7"/>
    </row>
    <row r="1357" spans="31:53" x14ac:dyDescent="0.55000000000000004">
      <c r="AE1357" s="7">
        <f ca="1"/>
      </c>
      <c r="AF1357">
        <f ca="1"/>
      </c>
      <c r="AG1357">
        <f ca="1"/>
      </c>
      <c r="AH1357">
        <f ca="1"/>
      </c>
      <c r="AI1357">
        <f ca="1"/>
      </c>
      <c r="AJ1357">
        <f ca="1"/>
      </c>
      <c r="AK1357">
        <f ca="1"/>
      </c>
      <c r="AL1357">
        <f ca="1"/>
      </c>
      <c r="AM1357">
        <f ca="1"/>
      </c>
      <c r="AN1357">
        <f ca="1"/>
      </c>
      <c r="AO1357">
        <f ca="1"/>
      </c>
      <c r="AP1357">
        <f ca="1"/>
      </c>
      <c r="AQ1357">
        <f ca="1"/>
      </c>
      <c r="AR1357">
        <f ca="1"/>
      </c>
      <c r="AT1357" s="7">
        <f ca="1"/>
      </c>
      <c r="AU1357">
        <f ca="1"/>
      </c>
      <c r="AV1357">
        <f ca="1"/>
      </c>
      <c r="AW1357">
        <f ca="1"/>
      </c>
      <c r="AX1357">
        <f ca="1"/>
      </c>
      <c r="AY1357">
        <f ca="1"/>
      </c>
      <c r="BA1357" s="7"/>
    </row>
    <row r="1358" spans="31:53" x14ac:dyDescent="0.55000000000000004">
      <c r="AE1358" s="7">
        <f ca="1"/>
      </c>
      <c r="AF1358">
        <f ca="1"/>
      </c>
      <c r="AG1358">
        <f ca="1"/>
      </c>
      <c r="AH1358">
        <f ca="1"/>
      </c>
      <c r="AI1358">
        <f ca="1"/>
      </c>
      <c r="AJ1358">
        <f ca="1"/>
      </c>
      <c r="AK1358">
        <f ca="1"/>
      </c>
      <c r="AL1358">
        <f ca="1"/>
      </c>
      <c r="AM1358">
        <f ca="1"/>
      </c>
      <c r="AN1358">
        <f ca="1"/>
      </c>
      <c r="AO1358">
        <f ca="1"/>
      </c>
      <c r="AP1358">
        <f ca="1"/>
      </c>
      <c r="AQ1358">
        <f ca="1"/>
      </c>
      <c r="AR1358">
        <f ca="1"/>
      </c>
      <c r="AT1358" s="7">
        <f ca="1"/>
      </c>
      <c r="AU1358">
        <f ca="1"/>
      </c>
      <c r="AV1358">
        <f ca="1"/>
      </c>
      <c r="AW1358">
        <f ca="1"/>
      </c>
      <c r="AX1358">
        <f ca="1"/>
      </c>
      <c r="AY1358">
        <f ca="1"/>
      </c>
      <c r="BA1358" s="7"/>
    </row>
    <row r="1359" spans="31:53" x14ac:dyDescent="0.55000000000000004">
      <c r="AE1359" s="7">
        <f ca="1"/>
      </c>
      <c r="AF1359">
        <f ca="1"/>
      </c>
      <c r="AG1359">
        <f ca="1"/>
      </c>
      <c r="AH1359">
        <f ca="1"/>
      </c>
      <c r="AI1359">
        <f ca="1"/>
      </c>
      <c r="AJ1359">
        <f ca="1"/>
      </c>
      <c r="AK1359">
        <f ca="1"/>
      </c>
      <c r="AL1359">
        <f ca="1"/>
      </c>
      <c r="AM1359">
        <f ca="1"/>
      </c>
      <c r="AN1359">
        <f ca="1"/>
      </c>
      <c r="AO1359">
        <f ca="1"/>
      </c>
      <c r="AP1359">
        <f ca="1"/>
      </c>
      <c r="AQ1359">
        <f ca="1"/>
      </c>
      <c r="AR1359">
        <f ca="1"/>
      </c>
      <c r="AT1359" s="7">
        <f ca="1"/>
      </c>
      <c r="AU1359">
        <f ca="1"/>
      </c>
      <c r="AV1359">
        <f ca="1"/>
      </c>
      <c r="AW1359">
        <f ca="1"/>
      </c>
      <c r="AX1359">
        <f ca="1"/>
      </c>
      <c r="AY1359">
        <f ca="1"/>
      </c>
      <c r="BA1359" s="7"/>
    </row>
    <row r="1360" spans="31:53" x14ac:dyDescent="0.55000000000000004">
      <c r="AE1360" s="7">
        <f ca="1"/>
      </c>
      <c r="AF1360">
        <f ca="1"/>
      </c>
      <c r="AG1360">
        <f ca="1"/>
      </c>
      <c r="AH1360">
        <f ca="1"/>
      </c>
      <c r="AI1360">
        <f ca="1"/>
      </c>
      <c r="AJ1360">
        <f ca="1"/>
      </c>
      <c r="AK1360">
        <f ca="1"/>
      </c>
      <c r="AL1360">
        <f ca="1"/>
      </c>
      <c r="AM1360">
        <f ca="1"/>
      </c>
      <c r="AN1360">
        <f ca="1"/>
      </c>
      <c r="AO1360">
        <f ca="1"/>
      </c>
      <c r="AP1360">
        <f ca="1"/>
      </c>
      <c r="AQ1360">
        <f ca="1"/>
      </c>
      <c r="AR1360">
        <f ca="1"/>
      </c>
      <c r="AT1360" s="7">
        <f ca="1"/>
      </c>
      <c r="AU1360">
        <f ca="1"/>
      </c>
      <c r="AV1360">
        <f ca="1"/>
      </c>
      <c r="AW1360">
        <f ca="1"/>
      </c>
      <c r="AX1360">
        <f ca="1"/>
      </c>
      <c r="AY1360">
        <f ca="1"/>
      </c>
      <c r="BA1360" s="7"/>
    </row>
    <row r="1361" spans="31:53" x14ac:dyDescent="0.55000000000000004">
      <c r="AE1361" s="7">
        <f ca="1"/>
      </c>
      <c r="AF1361">
        <f ca="1"/>
      </c>
      <c r="AG1361">
        <f ca="1"/>
      </c>
      <c r="AH1361">
        <f ca="1"/>
      </c>
      <c r="AI1361">
        <f ca="1"/>
      </c>
      <c r="AJ1361">
        <f ca="1"/>
      </c>
      <c r="AK1361">
        <f ca="1"/>
      </c>
      <c r="AL1361">
        <f ca="1"/>
      </c>
      <c r="AM1361">
        <f ca="1"/>
      </c>
      <c r="AN1361">
        <f ca="1"/>
      </c>
      <c r="AO1361">
        <f ca="1"/>
      </c>
      <c r="AP1361">
        <f ca="1"/>
      </c>
      <c r="AQ1361">
        <f ca="1"/>
      </c>
      <c r="AR1361">
        <f ca="1"/>
      </c>
      <c r="AT1361" s="7">
        <f ca="1"/>
      </c>
      <c r="AU1361">
        <f ca="1"/>
      </c>
      <c r="AV1361">
        <f ca="1"/>
      </c>
      <c r="AW1361">
        <f ca="1"/>
      </c>
      <c r="AX1361">
        <f ca="1"/>
      </c>
      <c r="AY1361">
        <f ca="1"/>
      </c>
      <c r="BA1361" s="7"/>
    </row>
    <row r="1362" spans="31:53" x14ac:dyDescent="0.55000000000000004">
      <c r="AE1362" s="7">
        <f ca="1"/>
      </c>
      <c r="AF1362">
        <f ca="1"/>
      </c>
      <c r="AG1362">
        <f ca="1"/>
      </c>
      <c r="AH1362">
        <f ca="1"/>
      </c>
      <c r="AI1362">
        <f ca="1"/>
      </c>
      <c r="AJ1362">
        <f ca="1"/>
      </c>
      <c r="AK1362">
        <f ca="1"/>
      </c>
      <c r="AL1362">
        <f ca="1"/>
      </c>
      <c r="AM1362">
        <f ca="1"/>
      </c>
      <c r="AN1362">
        <f ca="1"/>
      </c>
      <c r="AO1362">
        <f ca="1"/>
      </c>
      <c r="AP1362">
        <f ca="1"/>
      </c>
      <c r="AQ1362">
        <f ca="1"/>
      </c>
      <c r="AR1362">
        <f ca="1"/>
      </c>
      <c r="AT1362" s="7">
        <f ca="1"/>
      </c>
      <c r="AU1362">
        <f ca="1"/>
      </c>
      <c r="AV1362">
        <f ca="1"/>
      </c>
      <c r="AW1362">
        <f ca="1"/>
      </c>
      <c r="AX1362">
        <f ca="1"/>
      </c>
      <c r="AY1362">
        <f ca="1"/>
      </c>
      <c r="BA1362" s="7"/>
    </row>
    <row r="1363" spans="31:53" x14ac:dyDescent="0.55000000000000004">
      <c r="AE1363" s="7">
        <f ca="1"/>
      </c>
      <c r="AF1363">
        <f ca="1"/>
      </c>
      <c r="AG1363">
        <f ca="1"/>
      </c>
      <c r="AH1363">
        <f ca="1"/>
      </c>
      <c r="AI1363">
        <f ca="1"/>
      </c>
      <c r="AJ1363">
        <f ca="1"/>
      </c>
      <c r="AK1363">
        <f ca="1"/>
      </c>
      <c r="AL1363">
        <f ca="1"/>
      </c>
      <c r="AM1363">
        <f ca="1"/>
      </c>
      <c r="AN1363">
        <f ca="1"/>
      </c>
      <c r="AO1363">
        <f ca="1"/>
      </c>
      <c r="AP1363">
        <f ca="1"/>
      </c>
      <c r="AQ1363">
        <f ca="1"/>
      </c>
      <c r="AR1363">
        <f ca="1"/>
      </c>
      <c r="AT1363" s="7">
        <f ca="1"/>
      </c>
      <c r="AU1363">
        <f ca="1"/>
      </c>
      <c r="AV1363">
        <f ca="1"/>
      </c>
      <c r="AW1363">
        <f ca="1"/>
      </c>
      <c r="AX1363">
        <f ca="1"/>
      </c>
      <c r="AY1363">
        <f ca="1"/>
      </c>
      <c r="BA1363" s="7"/>
    </row>
    <row r="1364" spans="31:53" x14ac:dyDescent="0.55000000000000004">
      <c r="AE1364" s="7">
        <f ca="1"/>
      </c>
      <c r="AF1364">
        <f ca="1"/>
      </c>
      <c r="AG1364">
        <f ca="1"/>
      </c>
      <c r="AH1364">
        <f ca="1"/>
      </c>
      <c r="AI1364">
        <f ca="1"/>
      </c>
      <c r="AJ1364">
        <f ca="1"/>
      </c>
      <c r="AK1364">
        <f ca="1"/>
      </c>
      <c r="AL1364">
        <f ca="1"/>
      </c>
      <c r="AM1364">
        <f ca="1"/>
      </c>
      <c r="AN1364">
        <f ca="1"/>
      </c>
      <c r="AO1364">
        <f ca="1"/>
      </c>
      <c r="AP1364">
        <f ca="1"/>
      </c>
      <c r="AQ1364">
        <f ca="1"/>
      </c>
      <c r="AR1364">
        <f ca="1"/>
      </c>
      <c r="AT1364" s="7">
        <f ca="1"/>
      </c>
      <c r="AU1364">
        <f ca="1"/>
      </c>
      <c r="AV1364">
        <f ca="1"/>
      </c>
      <c r="AW1364">
        <f ca="1"/>
      </c>
      <c r="AX1364">
        <f ca="1"/>
      </c>
      <c r="AY1364">
        <f ca="1"/>
      </c>
      <c r="BA1364" s="7"/>
    </row>
    <row r="1365" spans="31:53" x14ac:dyDescent="0.55000000000000004">
      <c r="AE1365" s="7">
        <f ca="1"/>
      </c>
      <c r="AF1365">
        <f ca="1"/>
      </c>
      <c r="AG1365">
        <f ca="1"/>
      </c>
      <c r="AH1365">
        <f ca="1"/>
      </c>
      <c r="AI1365">
        <f ca="1"/>
      </c>
      <c r="AJ1365">
        <f ca="1"/>
      </c>
      <c r="AK1365">
        <f ca="1"/>
      </c>
      <c r="AL1365">
        <f ca="1"/>
      </c>
      <c r="AM1365">
        <f ca="1"/>
      </c>
      <c r="AN1365">
        <f ca="1"/>
      </c>
      <c r="AO1365">
        <f ca="1"/>
      </c>
      <c r="AP1365">
        <f ca="1"/>
      </c>
      <c r="AQ1365">
        <f ca="1"/>
      </c>
      <c r="AR1365">
        <f ca="1"/>
      </c>
      <c r="AT1365" s="7">
        <f ca="1"/>
      </c>
      <c r="AU1365">
        <f ca="1"/>
      </c>
      <c r="AV1365">
        <f ca="1"/>
      </c>
      <c r="AW1365">
        <f ca="1"/>
      </c>
      <c r="AX1365">
        <f ca="1"/>
      </c>
      <c r="AY1365">
        <f ca="1"/>
      </c>
      <c r="BA1365" s="7"/>
    </row>
    <row r="1366" spans="31:53" x14ac:dyDescent="0.55000000000000004">
      <c r="AE1366" s="7">
        <f ca="1"/>
      </c>
      <c r="AF1366">
        <f ca="1"/>
      </c>
      <c r="AG1366">
        <f ca="1"/>
      </c>
      <c r="AH1366">
        <f ca="1"/>
      </c>
      <c r="AI1366">
        <f ca="1"/>
      </c>
      <c r="AJ1366">
        <f ca="1"/>
      </c>
      <c r="AK1366">
        <f ca="1"/>
      </c>
      <c r="AL1366">
        <f ca="1"/>
      </c>
      <c r="AM1366">
        <f ca="1"/>
      </c>
      <c r="AN1366">
        <f ca="1"/>
      </c>
      <c r="AO1366">
        <f ca="1"/>
      </c>
      <c r="AP1366">
        <f ca="1"/>
      </c>
      <c r="AQ1366">
        <f ca="1"/>
      </c>
      <c r="AR1366">
        <f ca="1"/>
      </c>
      <c r="AT1366" s="7">
        <f ca="1"/>
      </c>
      <c r="AU1366">
        <f ca="1"/>
      </c>
      <c r="AV1366">
        <f ca="1"/>
      </c>
      <c r="AW1366">
        <f ca="1"/>
      </c>
      <c r="AX1366">
        <f ca="1"/>
      </c>
      <c r="AY1366">
        <f ca="1"/>
      </c>
      <c r="BA1366" s="7"/>
    </row>
    <row r="1367" spans="31:53" x14ac:dyDescent="0.55000000000000004">
      <c r="AE1367" s="7">
        <f ca="1"/>
      </c>
      <c r="AF1367">
        <f ca="1"/>
      </c>
      <c r="AG1367">
        <f ca="1"/>
      </c>
      <c r="AH1367">
        <f ca="1"/>
      </c>
      <c r="AI1367">
        <f ca="1"/>
      </c>
      <c r="AJ1367">
        <f ca="1"/>
      </c>
      <c r="AK1367">
        <f ca="1"/>
      </c>
      <c r="AL1367">
        <f ca="1"/>
      </c>
      <c r="AM1367">
        <f ca="1"/>
      </c>
      <c r="AN1367">
        <f ca="1"/>
      </c>
      <c r="AO1367">
        <f ca="1"/>
      </c>
      <c r="AP1367">
        <f ca="1"/>
      </c>
      <c r="AQ1367">
        <f ca="1"/>
      </c>
      <c r="AR1367">
        <f ca="1"/>
      </c>
      <c r="AT1367" s="7">
        <f ca="1"/>
      </c>
      <c r="AU1367">
        <f ca="1"/>
      </c>
      <c r="AV1367">
        <f ca="1"/>
      </c>
      <c r="AW1367">
        <f ca="1"/>
      </c>
      <c r="AX1367">
        <f ca="1"/>
      </c>
      <c r="AY1367">
        <f ca="1"/>
      </c>
      <c r="BA1367" s="7"/>
    </row>
    <row r="1368" spans="31:53" x14ac:dyDescent="0.55000000000000004">
      <c r="AE1368" s="7">
        <f ca="1"/>
      </c>
      <c r="AF1368">
        <f ca="1"/>
      </c>
      <c r="AG1368">
        <f ca="1"/>
      </c>
      <c r="AH1368">
        <f ca="1"/>
      </c>
      <c r="AI1368">
        <f ca="1"/>
      </c>
      <c r="AJ1368">
        <f ca="1"/>
      </c>
      <c r="AK1368">
        <f ca="1"/>
      </c>
      <c r="AL1368">
        <f ca="1"/>
      </c>
      <c r="AM1368">
        <f ca="1"/>
      </c>
      <c r="AN1368">
        <f ca="1"/>
      </c>
      <c r="AO1368">
        <f ca="1"/>
      </c>
      <c r="AP1368">
        <f ca="1"/>
      </c>
      <c r="AQ1368">
        <f ca="1"/>
      </c>
      <c r="AR1368">
        <f ca="1"/>
      </c>
      <c r="AT1368" s="7">
        <f ca="1"/>
      </c>
      <c r="AU1368">
        <f ca="1"/>
      </c>
      <c r="AV1368">
        <f ca="1"/>
      </c>
      <c r="AW1368">
        <f ca="1"/>
      </c>
      <c r="AX1368">
        <f ca="1"/>
      </c>
      <c r="AY1368">
        <f ca="1"/>
      </c>
      <c r="BA1368" s="7"/>
    </row>
    <row r="1369" spans="31:53" x14ac:dyDescent="0.55000000000000004">
      <c r="AE1369" s="7">
        <f ca="1"/>
      </c>
      <c r="AF1369">
        <f ca="1"/>
      </c>
      <c r="AG1369">
        <f ca="1"/>
      </c>
      <c r="AH1369">
        <f ca="1"/>
      </c>
      <c r="AI1369">
        <f ca="1"/>
      </c>
      <c r="AJ1369">
        <f ca="1"/>
      </c>
      <c r="AK1369">
        <f ca="1"/>
      </c>
      <c r="AL1369">
        <f ca="1"/>
      </c>
      <c r="AM1369">
        <f ca="1"/>
      </c>
      <c r="AN1369">
        <f ca="1"/>
      </c>
      <c r="AO1369">
        <f ca="1"/>
      </c>
      <c r="AP1369">
        <f ca="1"/>
      </c>
      <c r="AQ1369">
        <f ca="1"/>
      </c>
      <c r="AR1369">
        <f ca="1"/>
      </c>
      <c r="AT1369" s="7">
        <f ca="1"/>
      </c>
      <c r="AU1369">
        <f ca="1"/>
      </c>
      <c r="AV1369">
        <f ca="1"/>
      </c>
      <c r="AW1369">
        <f ca="1"/>
      </c>
      <c r="AX1369">
        <f ca="1"/>
      </c>
      <c r="AY1369">
        <f ca="1"/>
      </c>
      <c r="BA1369" s="7"/>
    </row>
    <row r="1370" spans="31:53" x14ac:dyDescent="0.55000000000000004">
      <c r="AE1370" s="7">
        <f ca="1"/>
      </c>
      <c r="AF1370">
        <f ca="1"/>
      </c>
      <c r="AG1370">
        <f ca="1"/>
      </c>
      <c r="AH1370">
        <f ca="1"/>
      </c>
      <c r="AI1370">
        <f ca="1"/>
      </c>
      <c r="AJ1370">
        <f ca="1"/>
      </c>
      <c r="AK1370">
        <f ca="1"/>
      </c>
      <c r="AL1370">
        <f ca="1"/>
      </c>
      <c r="AM1370">
        <f ca="1"/>
      </c>
      <c r="AN1370">
        <f ca="1"/>
      </c>
      <c r="AO1370">
        <f ca="1"/>
      </c>
      <c r="AP1370">
        <f ca="1"/>
      </c>
      <c r="AQ1370">
        <f ca="1"/>
      </c>
      <c r="AR1370">
        <f ca="1"/>
      </c>
      <c r="AT1370" s="7">
        <f ca="1"/>
      </c>
      <c r="AU1370">
        <f ca="1"/>
      </c>
      <c r="AV1370">
        <f ca="1"/>
      </c>
      <c r="AW1370">
        <f ca="1"/>
      </c>
      <c r="AX1370">
        <f ca="1"/>
      </c>
      <c r="AY1370">
        <f ca="1"/>
      </c>
      <c r="BA1370" s="7"/>
    </row>
    <row r="1371" spans="31:53" x14ac:dyDescent="0.55000000000000004">
      <c r="AE1371" s="7">
        <f ca="1"/>
      </c>
      <c r="AF1371">
        <f ca="1"/>
      </c>
      <c r="AG1371">
        <f ca="1"/>
      </c>
      <c r="AH1371">
        <f ca="1"/>
      </c>
      <c r="AI1371">
        <f ca="1"/>
      </c>
      <c r="AJ1371">
        <f ca="1"/>
      </c>
      <c r="AK1371">
        <f ca="1"/>
      </c>
      <c r="AL1371">
        <f ca="1"/>
      </c>
      <c r="AM1371">
        <f ca="1"/>
      </c>
      <c r="AN1371">
        <f ca="1"/>
      </c>
      <c r="AO1371">
        <f ca="1"/>
      </c>
      <c r="AP1371">
        <f ca="1"/>
      </c>
      <c r="AQ1371">
        <f ca="1"/>
      </c>
      <c r="AR1371">
        <f ca="1"/>
      </c>
      <c r="AT1371" s="7">
        <f ca="1"/>
      </c>
      <c r="AU1371">
        <f ca="1"/>
      </c>
      <c r="AV1371">
        <f ca="1"/>
      </c>
      <c r="AW1371">
        <f ca="1"/>
      </c>
      <c r="AX1371">
        <f ca="1"/>
      </c>
      <c r="AY1371">
        <f ca="1"/>
      </c>
      <c r="BA1371" s="7"/>
    </row>
    <row r="1372" spans="31:53" x14ac:dyDescent="0.55000000000000004">
      <c r="AE1372" s="7">
        <f ca="1"/>
      </c>
      <c r="AF1372">
        <f ca="1"/>
      </c>
      <c r="AG1372">
        <f ca="1"/>
      </c>
      <c r="AH1372">
        <f ca="1"/>
      </c>
      <c r="AI1372">
        <f ca="1"/>
      </c>
      <c r="AJ1372">
        <f ca="1"/>
      </c>
      <c r="AK1372">
        <f ca="1"/>
      </c>
      <c r="AL1372">
        <f ca="1"/>
      </c>
      <c r="AM1372">
        <f ca="1"/>
      </c>
      <c r="AN1372">
        <f ca="1"/>
      </c>
      <c r="AO1372">
        <f ca="1"/>
      </c>
      <c r="AP1372">
        <f ca="1"/>
      </c>
      <c r="AQ1372">
        <f ca="1"/>
      </c>
      <c r="AR1372">
        <f ca="1"/>
      </c>
      <c r="AT1372" s="7">
        <f ca="1"/>
      </c>
      <c r="AU1372">
        <f ca="1"/>
      </c>
      <c r="AV1372">
        <f ca="1"/>
      </c>
      <c r="AW1372">
        <f ca="1"/>
      </c>
      <c r="AX1372">
        <f ca="1"/>
      </c>
      <c r="AY1372">
        <f ca="1"/>
      </c>
      <c r="BA1372" s="7"/>
    </row>
    <row r="1373" spans="31:53" x14ac:dyDescent="0.55000000000000004">
      <c r="AE1373" s="7">
        <f ca="1"/>
      </c>
      <c r="AF1373">
        <f ca="1"/>
      </c>
      <c r="AG1373">
        <f ca="1"/>
      </c>
      <c r="AH1373">
        <f ca="1"/>
      </c>
      <c r="AI1373">
        <f ca="1"/>
      </c>
      <c r="AJ1373">
        <f ca="1"/>
      </c>
      <c r="AK1373">
        <f ca="1"/>
      </c>
      <c r="AL1373">
        <f ca="1"/>
      </c>
      <c r="AM1373">
        <f ca="1"/>
      </c>
      <c r="AN1373">
        <f ca="1"/>
      </c>
      <c r="AO1373">
        <f ca="1"/>
      </c>
      <c r="AP1373">
        <f ca="1"/>
      </c>
      <c r="AQ1373">
        <f ca="1"/>
      </c>
      <c r="AR1373">
        <f ca="1"/>
      </c>
      <c r="AT1373" s="7">
        <f ca="1"/>
      </c>
      <c r="AU1373">
        <f ca="1"/>
      </c>
      <c r="AV1373">
        <f ca="1"/>
      </c>
      <c r="AW1373">
        <f ca="1"/>
      </c>
      <c r="AX1373">
        <f ca="1"/>
      </c>
      <c r="AY1373">
        <f ca="1"/>
      </c>
      <c r="BA1373" s="7"/>
    </row>
    <row r="1374" spans="31:53" x14ac:dyDescent="0.55000000000000004">
      <c r="AE1374" s="7">
        <f ca="1"/>
      </c>
      <c r="AF1374">
        <f ca="1"/>
      </c>
      <c r="AG1374">
        <f ca="1"/>
      </c>
      <c r="AH1374">
        <f ca="1"/>
      </c>
      <c r="AI1374">
        <f ca="1"/>
      </c>
      <c r="AJ1374">
        <f ca="1"/>
      </c>
      <c r="AK1374">
        <f ca="1"/>
      </c>
      <c r="AL1374">
        <f ca="1"/>
      </c>
      <c r="AM1374">
        <f ca="1"/>
      </c>
      <c r="AN1374">
        <f ca="1"/>
      </c>
      <c r="AO1374">
        <f ca="1"/>
      </c>
      <c r="AP1374">
        <f ca="1"/>
      </c>
      <c r="AQ1374">
        <f ca="1"/>
      </c>
      <c r="AR1374">
        <f ca="1"/>
      </c>
      <c r="AT1374" s="7">
        <f ca="1"/>
      </c>
      <c r="AU1374">
        <f ca="1"/>
      </c>
      <c r="AV1374">
        <f ca="1"/>
      </c>
      <c r="AW1374">
        <f ca="1"/>
      </c>
      <c r="AX1374">
        <f ca="1"/>
      </c>
      <c r="AY1374">
        <f ca="1"/>
      </c>
      <c r="BA1374" s="7"/>
    </row>
    <row r="1375" spans="31:53" x14ac:dyDescent="0.55000000000000004">
      <c r="AE1375" s="7">
        <f ca="1"/>
      </c>
      <c r="AF1375">
        <f ca="1"/>
      </c>
      <c r="AG1375">
        <f ca="1"/>
      </c>
      <c r="AH1375">
        <f ca="1"/>
      </c>
      <c r="AI1375">
        <f ca="1"/>
      </c>
      <c r="AJ1375">
        <f ca="1"/>
      </c>
      <c r="AK1375">
        <f ca="1"/>
      </c>
      <c r="AL1375">
        <f ca="1"/>
      </c>
      <c r="AM1375">
        <f ca="1"/>
      </c>
      <c r="AN1375">
        <f ca="1"/>
      </c>
      <c r="AO1375">
        <f ca="1"/>
      </c>
      <c r="AP1375">
        <f ca="1"/>
      </c>
      <c r="AQ1375">
        <f ca="1"/>
      </c>
      <c r="AR1375">
        <f ca="1"/>
      </c>
      <c r="AT1375" s="7">
        <f ca="1"/>
      </c>
      <c r="AU1375">
        <f ca="1"/>
      </c>
      <c r="AV1375">
        <f ca="1"/>
      </c>
      <c r="AW1375">
        <f ca="1"/>
      </c>
      <c r="AX1375">
        <f ca="1"/>
      </c>
      <c r="AY1375">
        <f ca="1"/>
      </c>
      <c r="BA1375" s="7"/>
    </row>
    <row r="1376" spans="31:53" x14ac:dyDescent="0.55000000000000004">
      <c r="AE1376" s="7">
        <f ca="1"/>
      </c>
      <c r="AF1376">
        <f ca="1"/>
      </c>
      <c r="AG1376">
        <f ca="1"/>
      </c>
      <c r="AH1376">
        <f ca="1"/>
      </c>
      <c r="AI1376">
        <f ca="1"/>
      </c>
      <c r="AJ1376">
        <f ca="1"/>
      </c>
      <c r="AK1376">
        <f ca="1"/>
      </c>
      <c r="AL1376">
        <f ca="1"/>
      </c>
      <c r="AM1376">
        <f ca="1"/>
      </c>
      <c r="AN1376">
        <f ca="1"/>
      </c>
      <c r="AO1376">
        <f ca="1"/>
      </c>
      <c r="AP1376">
        <f ca="1"/>
      </c>
      <c r="AQ1376">
        <f ca="1"/>
      </c>
      <c r="AR1376">
        <f ca="1"/>
      </c>
      <c r="AT1376" s="7">
        <f ca="1"/>
      </c>
      <c r="AU1376">
        <f ca="1"/>
      </c>
      <c r="AV1376">
        <f ca="1"/>
      </c>
      <c r="AW1376">
        <f ca="1"/>
      </c>
      <c r="AX1376">
        <f ca="1"/>
      </c>
      <c r="AY1376">
        <f ca="1"/>
      </c>
      <c r="BA1376" s="7"/>
    </row>
    <row r="1377" spans="31:53" x14ac:dyDescent="0.55000000000000004">
      <c r="AE1377" s="7">
        <f ca="1"/>
      </c>
      <c r="AF1377">
        <f ca="1"/>
      </c>
      <c r="AG1377">
        <f ca="1"/>
      </c>
      <c r="AH1377">
        <f ca="1"/>
      </c>
      <c r="AI1377">
        <f ca="1"/>
      </c>
      <c r="AJ1377">
        <f ca="1"/>
      </c>
      <c r="AK1377">
        <f ca="1"/>
      </c>
      <c r="AL1377">
        <f ca="1"/>
      </c>
      <c r="AM1377">
        <f ca="1"/>
      </c>
      <c r="AN1377">
        <f ca="1"/>
      </c>
      <c r="AO1377">
        <f ca="1"/>
      </c>
      <c r="AP1377">
        <f ca="1"/>
      </c>
      <c r="AQ1377">
        <f ca="1"/>
      </c>
      <c r="AR1377">
        <f ca="1"/>
      </c>
      <c r="AT1377" s="7">
        <f ca="1"/>
      </c>
      <c r="AU1377">
        <f ca="1"/>
      </c>
      <c r="AV1377">
        <f ca="1"/>
      </c>
      <c r="AW1377">
        <f ca="1"/>
      </c>
      <c r="AX1377">
        <f ca="1"/>
      </c>
      <c r="AY1377">
        <f ca="1"/>
      </c>
      <c r="BA1377" s="7"/>
    </row>
    <row r="1378" spans="31:53" x14ac:dyDescent="0.55000000000000004">
      <c r="AE1378" s="7">
        <f ca="1"/>
      </c>
      <c r="AF1378">
        <f ca="1"/>
      </c>
      <c r="AG1378">
        <f ca="1"/>
      </c>
      <c r="AH1378">
        <f ca="1"/>
      </c>
      <c r="AI1378">
        <f ca="1"/>
      </c>
      <c r="AJ1378">
        <f ca="1"/>
      </c>
      <c r="AK1378">
        <f ca="1"/>
      </c>
      <c r="AL1378">
        <f ca="1"/>
      </c>
      <c r="AM1378">
        <f ca="1"/>
      </c>
      <c r="AN1378">
        <f ca="1"/>
      </c>
      <c r="AO1378">
        <f ca="1"/>
      </c>
      <c r="AP1378">
        <f ca="1"/>
      </c>
      <c r="AQ1378">
        <f ca="1"/>
      </c>
      <c r="AR1378">
        <f ca="1"/>
      </c>
      <c r="AT1378" s="7">
        <f ca="1"/>
      </c>
      <c r="AU1378">
        <f ca="1"/>
      </c>
      <c r="AV1378">
        <f ca="1"/>
      </c>
      <c r="AW1378">
        <f ca="1"/>
      </c>
      <c r="AX1378">
        <f ca="1"/>
      </c>
      <c r="AY1378">
        <f ca="1"/>
      </c>
      <c r="BA1378" s="7"/>
    </row>
    <row r="1379" spans="31:53" x14ac:dyDescent="0.55000000000000004">
      <c r="AE1379" s="7">
        <f ca="1"/>
      </c>
      <c r="AF1379">
        <f ca="1"/>
      </c>
      <c r="AG1379">
        <f ca="1"/>
      </c>
      <c r="AH1379">
        <f ca="1"/>
      </c>
      <c r="AI1379">
        <f ca="1"/>
      </c>
      <c r="AJ1379">
        <f ca="1"/>
      </c>
      <c r="AK1379">
        <f ca="1"/>
      </c>
      <c r="AL1379">
        <f ca="1"/>
      </c>
      <c r="AM1379">
        <f ca="1"/>
      </c>
      <c r="AN1379">
        <f ca="1"/>
      </c>
      <c r="AO1379">
        <f ca="1"/>
      </c>
      <c r="AP1379">
        <f ca="1"/>
      </c>
      <c r="AQ1379">
        <f ca="1"/>
      </c>
      <c r="AR1379">
        <f ca="1"/>
      </c>
      <c r="AT1379" s="7">
        <f ca="1"/>
      </c>
      <c r="AU1379">
        <f ca="1"/>
      </c>
      <c r="AV1379">
        <f ca="1"/>
      </c>
      <c r="AW1379">
        <f ca="1"/>
      </c>
      <c r="AX1379">
        <f ca="1"/>
      </c>
      <c r="AY1379">
        <f ca="1"/>
      </c>
      <c r="BA1379" s="7"/>
    </row>
    <row r="1380" spans="31:53" x14ac:dyDescent="0.55000000000000004">
      <c r="AE1380" s="7">
        <f ca="1"/>
      </c>
      <c r="AF1380">
        <f ca="1"/>
      </c>
      <c r="AG1380">
        <f ca="1"/>
      </c>
      <c r="AH1380">
        <f ca="1"/>
      </c>
      <c r="AI1380">
        <f ca="1"/>
      </c>
      <c r="AJ1380">
        <f ca="1"/>
      </c>
      <c r="AK1380">
        <f ca="1"/>
      </c>
      <c r="AL1380">
        <f ca="1"/>
      </c>
      <c r="AM1380">
        <f ca="1"/>
      </c>
      <c r="AN1380">
        <f ca="1"/>
      </c>
      <c r="AO1380">
        <f ca="1"/>
      </c>
      <c r="AP1380">
        <f ca="1"/>
      </c>
      <c r="AQ1380">
        <f ca="1"/>
      </c>
      <c r="AR1380">
        <f ca="1"/>
      </c>
      <c r="AT1380" s="7">
        <f ca="1"/>
      </c>
      <c r="AU1380">
        <f ca="1"/>
      </c>
      <c r="AV1380">
        <f ca="1"/>
      </c>
      <c r="AW1380">
        <f ca="1"/>
      </c>
      <c r="AX1380">
        <f ca="1"/>
      </c>
      <c r="AY1380">
        <f ca="1"/>
      </c>
      <c r="BA1380" s="7"/>
    </row>
    <row r="1381" spans="31:53" x14ac:dyDescent="0.55000000000000004">
      <c r="AE1381" s="7">
        <f ca="1"/>
      </c>
      <c r="AF1381">
        <f ca="1"/>
      </c>
      <c r="AG1381">
        <f ca="1"/>
      </c>
      <c r="AH1381">
        <f ca="1"/>
      </c>
      <c r="AI1381">
        <f ca="1"/>
      </c>
      <c r="AJ1381">
        <f ca="1"/>
      </c>
      <c r="AK1381">
        <f ca="1"/>
      </c>
      <c r="AL1381">
        <f ca="1"/>
      </c>
      <c r="AM1381">
        <f ca="1"/>
      </c>
      <c r="AN1381">
        <f ca="1"/>
      </c>
      <c r="AO1381">
        <f ca="1"/>
      </c>
      <c r="AP1381">
        <f ca="1"/>
      </c>
      <c r="AQ1381">
        <f ca="1"/>
      </c>
      <c r="AR1381">
        <f ca="1"/>
      </c>
      <c r="AT1381" s="7">
        <f ca="1"/>
      </c>
      <c r="AU1381">
        <f ca="1"/>
      </c>
      <c r="AV1381">
        <f ca="1"/>
      </c>
      <c r="AW1381">
        <f ca="1"/>
      </c>
      <c r="AX1381">
        <f ca="1"/>
      </c>
      <c r="AY1381">
        <f ca="1"/>
      </c>
      <c r="BA1381" s="7"/>
    </row>
    <row r="1382" spans="31:53" x14ac:dyDescent="0.55000000000000004">
      <c r="AE1382" s="7">
        <f ca="1"/>
      </c>
      <c r="AF1382">
        <f ca="1"/>
      </c>
      <c r="AG1382">
        <f ca="1"/>
      </c>
      <c r="AH1382">
        <f ca="1"/>
      </c>
      <c r="AI1382">
        <f ca="1"/>
      </c>
      <c r="AJ1382">
        <f ca="1"/>
      </c>
      <c r="AK1382">
        <f ca="1"/>
      </c>
      <c r="AL1382">
        <f ca="1"/>
      </c>
      <c r="AM1382">
        <f ca="1"/>
      </c>
      <c r="AN1382">
        <f ca="1"/>
      </c>
      <c r="AO1382">
        <f ca="1"/>
      </c>
      <c r="AP1382">
        <f ca="1"/>
      </c>
      <c r="AQ1382">
        <f ca="1"/>
      </c>
      <c r="AR1382">
        <f ca="1"/>
      </c>
      <c r="AT1382" s="7">
        <f ca="1"/>
      </c>
      <c r="AU1382">
        <f ca="1"/>
      </c>
      <c r="AV1382">
        <f ca="1"/>
      </c>
      <c r="AW1382">
        <f ca="1"/>
      </c>
      <c r="AX1382">
        <f ca="1"/>
      </c>
      <c r="AY1382">
        <f ca="1"/>
      </c>
      <c r="BA1382" s="7"/>
    </row>
    <row r="1383" spans="31:53" x14ac:dyDescent="0.55000000000000004">
      <c r="AE1383" s="7">
        <f ca="1"/>
      </c>
      <c r="AF1383">
        <f ca="1"/>
      </c>
      <c r="AG1383">
        <f ca="1"/>
      </c>
      <c r="AH1383">
        <f ca="1"/>
      </c>
      <c r="AI1383">
        <f ca="1"/>
      </c>
      <c r="AJ1383">
        <f ca="1"/>
      </c>
      <c r="AK1383">
        <f ca="1"/>
      </c>
      <c r="AL1383">
        <f ca="1"/>
      </c>
      <c r="AM1383">
        <f ca="1"/>
      </c>
      <c r="AN1383">
        <f ca="1"/>
      </c>
      <c r="AO1383">
        <f ca="1"/>
      </c>
      <c r="AP1383">
        <f ca="1"/>
      </c>
      <c r="AQ1383">
        <f ca="1"/>
      </c>
      <c r="AR1383">
        <f ca="1"/>
      </c>
      <c r="AT1383" s="7">
        <f ca="1"/>
      </c>
      <c r="AU1383">
        <f ca="1"/>
      </c>
      <c r="AV1383">
        <f ca="1"/>
      </c>
      <c r="AW1383">
        <f ca="1"/>
      </c>
      <c r="AX1383">
        <f ca="1"/>
      </c>
      <c r="AY1383">
        <f ca="1"/>
      </c>
      <c r="BA1383" s="7"/>
    </row>
    <row r="1384" spans="31:53" x14ac:dyDescent="0.55000000000000004">
      <c r="AE1384" s="7">
        <f ca="1"/>
      </c>
      <c r="AF1384">
        <f ca="1"/>
      </c>
      <c r="AG1384">
        <f ca="1"/>
      </c>
      <c r="AH1384">
        <f ca="1"/>
      </c>
      <c r="AI1384">
        <f ca="1"/>
      </c>
      <c r="AJ1384">
        <f ca="1"/>
      </c>
      <c r="AK1384">
        <f ca="1"/>
      </c>
      <c r="AL1384">
        <f ca="1"/>
      </c>
      <c r="AM1384">
        <f ca="1"/>
      </c>
      <c r="AN1384">
        <f ca="1"/>
      </c>
      <c r="AO1384">
        <f ca="1"/>
      </c>
      <c r="AP1384">
        <f ca="1"/>
      </c>
      <c r="AQ1384">
        <f ca="1"/>
      </c>
      <c r="AR1384">
        <f ca="1"/>
      </c>
      <c r="AT1384" s="7">
        <f ca="1"/>
      </c>
      <c r="AU1384">
        <f ca="1"/>
      </c>
      <c r="AV1384">
        <f ca="1"/>
      </c>
      <c r="AW1384">
        <f ca="1"/>
      </c>
      <c r="AX1384">
        <f ca="1"/>
      </c>
      <c r="AY1384">
        <f ca="1"/>
      </c>
      <c r="BA1384" s="7"/>
    </row>
    <row r="1385" spans="31:53" x14ac:dyDescent="0.55000000000000004">
      <c r="AE1385" s="7">
        <f ca="1"/>
      </c>
      <c r="AF1385">
        <f ca="1"/>
      </c>
      <c r="AG1385">
        <f ca="1"/>
      </c>
      <c r="AH1385">
        <f ca="1"/>
      </c>
      <c r="AI1385">
        <f ca="1"/>
      </c>
      <c r="AJ1385">
        <f ca="1"/>
      </c>
      <c r="AK1385">
        <f ca="1"/>
      </c>
      <c r="AL1385">
        <f ca="1"/>
      </c>
      <c r="AM1385">
        <f ca="1"/>
      </c>
      <c r="AN1385">
        <f ca="1"/>
      </c>
      <c r="AO1385">
        <f ca="1"/>
      </c>
      <c r="AP1385">
        <f ca="1"/>
      </c>
      <c r="AQ1385">
        <f ca="1"/>
      </c>
      <c r="AR1385">
        <f ca="1"/>
      </c>
      <c r="AT1385" s="7">
        <f ca="1"/>
      </c>
      <c r="AU1385">
        <f ca="1"/>
      </c>
      <c r="AV1385">
        <f ca="1"/>
      </c>
      <c r="AW1385">
        <f ca="1"/>
      </c>
      <c r="AX1385">
        <f ca="1"/>
      </c>
      <c r="AY1385">
        <f ca="1"/>
      </c>
      <c r="BA1385" s="7"/>
    </row>
    <row r="1386" spans="31:53" x14ac:dyDescent="0.55000000000000004">
      <c r="AE1386" s="7">
        <f ca="1"/>
      </c>
      <c r="AF1386">
        <f ca="1"/>
      </c>
      <c r="AG1386">
        <f ca="1"/>
      </c>
      <c r="AH1386">
        <f ca="1"/>
      </c>
      <c r="AI1386">
        <f ca="1"/>
      </c>
      <c r="AJ1386">
        <f ca="1"/>
      </c>
      <c r="AK1386">
        <f ca="1"/>
      </c>
      <c r="AL1386">
        <f ca="1"/>
      </c>
      <c r="AM1386">
        <f ca="1"/>
      </c>
      <c r="AN1386">
        <f ca="1"/>
      </c>
      <c r="AO1386">
        <f ca="1"/>
      </c>
      <c r="AP1386">
        <f ca="1"/>
      </c>
      <c r="AQ1386">
        <f ca="1"/>
      </c>
      <c r="AR1386">
        <f ca="1"/>
      </c>
      <c r="AT1386" s="7">
        <f ca="1"/>
      </c>
      <c r="AU1386">
        <f ca="1"/>
      </c>
      <c r="AV1386">
        <f ca="1"/>
      </c>
      <c r="AW1386">
        <f ca="1"/>
      </c>
      <c r="AX1386">
        <f ca="1"/>
      </c>
      <c r="AY1386">
        <f ca="1"/>
      </c>
      <c r="BA1386" s="7"/>
    </row>
    <row r="1387" spans="31:53" x14ac:dyDescent="0.55000000000000004">
      <c r="AE1387" s="7">
        <f ca="1"/>
      </c>
      <c r="AF1387">
        <f ca="1"/>
      </c>
      <c r="AG1387">
        <f ca="1"/>
      </c>
      <c r="AH1387">
        <f ca="1"/>
      </c>
      <c r="AI1387">
        <f ca="1"/>
      </c>
      <c r="AJ1387">
        <f ca="1"/>
      </c>
      <c r="AK1387">
        <f ca="1"/>
      </c>
      <c r="AL1387">
        <f ca="1"/>
      </c>
      <c r="AM1387">
        <f ca="1"/>
      </c>
      <c r="AN1387">
        <f ca="1"/>
      </c>
      <c r="AO1387">
        <f ca="1"/>
      </c>
      <c r="AP1387">
        <f ca="1"/>
      </c>
      <c r="AQ1387">
        <f ca="1"/>
      </c>
      <c r="AR1387">
        <f ca="1"/>
      </c>
      <c r="AT1387" s="7">
        <f ca="1"/>
      </c>
      <c r="AU1387">
        <f ca="1"/>
      </c>
      <c r="AV1387">
        <f ca="1"/>
      </c>
      <c r="AW1387">
        <f ca="1"/>
      </c>
      <c r="AX1387">
        <f ca="1"/>
      </c>
      <c r="AY1387">
        <f ca="1"/>
      </c>
      <c r="BA1387" s="7"/>
    </row>
    <row r="1388" spans="31:53" x14ac:dyDescent="0.55000000000000004">
      <c r="AE1388" s="7">
        <f ca="1"/>
      </c>
      <c r="AF1388">
        <f ca="1"/>
      </c>
      <c r="AG1388">
        <f ca="1"/>
      </c>
      <c r="AH1388">
        <f ca="1"/>
      </c>
      <c r="AI1388">
        <f ca="1"/>
      </c>
      <c r="AJ1388">
        <f ca="1"/>
      </c>
      <c r="AK1388">
        <f ca="1"/>
      </c>
      <c r="AL1388">
        <f ca="1"/>
      </c>
      <c r="AM1388">
        <f ca="1"/>
      </c>
      <c r="AN1388">
        <f ca="1"/>
      </c>
      <c r="AO1388">
        <f ca="1"/>
      </c>
      <c r="AP1388">
        <f ca="1"/>
      </c>
      <c r="AQ1388">
        <f ca="1"/>
      </c>
      <c r="AR1388">
        <f ca="1"/>
      </c>
      <c r="AT1388" s="7">
        <f ca="1"/>
      </c>
      <c r="AU1388">
        <f ca="1"/>
      </c>
      <c r="AV1388">
        <f ca="1"/>
      </c>
      <c r="AW1388">
        <f ca="1"/>
      </c>
      <c r="AX1388">
        <f ca="1"/>
      </c>
      <c r="AY1388">
        <f ca="1"/>
      </c>
      <c r="BA1388" s="7"/>
    </row>
    <row r="1389" spans="31:53" x14ac:dyDescent="0.55000000000000004">
      <c r="AE1389" s="7">
        <f ca="1"/>
      </c>
      <c r="AF1389">
        <f ca="1"/>
      </c>
      <c r="AG1389">
        <f ca="1"/>
      </c>
      <c r="AH1389">
        <f ca="1"/>
      </c>
      <c r="AI1389">
        <f ca="1"/>
      </c>
      <c r="AJ1389">
        <f ca="1"/>
      </c>
      <c r="AK1389">
        <f ca="1"/>
      </c>
      <c r="AL1389">
        <f ca="1"/>
      </c>
      <c r="AM1389">
        <f ca="1"/>
      </c>
      <c r="AN1389">
        <f ca="1"/>
      </c>
      <c r="AO1389">
        <f ca="1"/>
      </c>
      <c r="AP1389">
        <f ca="1"/>
      </c>
      <c r="AQ1389">
        <f ca="1"/>
      </c>
      <c r="AR1389">
        <f ca="1"/>
      </c>
      <c r="AT1389" s="7">
        <f ca="1"/>
      </c>
      <c r="AU1389">
        <f ca="1"/>
      </c>
      <c r="AV1389">
        <f ca="1"/>
      </c>
      <c r="AW1389">
        <f ca="1"/>
      </c>
      <c r="AX1389">
        <f ca="1"/>
      </c>
      <c r="AY1389">
        <f ca="1"/>
      </c>
      <c r="BA1389" s="7"/>
    </row>
    <row r="1390" spans="31:53" x14ac:dyDescent="0.55000000000000004">
      <c r="AE1390" s="7">
        <f ca="1"/>
      </c>
      <c r="AF1390">
        <f ca="1"/>
      </c>
      <c r="AG1390">
        <f ca="1"/>
      </c>
      <c r="AH1390">
        <f ca="1"/>
      </c>
      <c r="AI1390">
        <f ca="1"/>
      </c>
      <c r="AJ1390">
        <f ca="1"/>
      </c>
      <c r="AK1390">
        <f ca="1"/>
      </c>
      <c r="AL1390">
        <f ca="1"/>
      </c>
      <c r="AM1390">
        <f ca="1"/>
      </c>
      <c r="AN1390">
        <f ca="1"/>
      </c>
      <c r="AO1390">
        <f ca="1"/>
      </c>
      <c r="AP1390">
        <f ca="1"/>
      </c>
      <c r="AQ1390">
        <f ca="1"/>
      </c>
      <c r="AR1390">
        <f ca="1"/>
      </c>
      <c r="AT1390" s="7">
        <f ca="1"/>
      </c>
      <c r="AU1390">
        <f ca="1"/>
      </c>
      <c r="AV1390">
        <f ca="1"/>
      </c>
      <c r="AW1390">
        <f ca="1"/>
      </c>
      <c r="AX1390">
        <f ca="1"/>
      </c>
      <c r="AY1390">
        <f ca="1"/>
      </c>
      <c r="BA1390" s="7"/>
    </row>
    <row r="1391" spans="31:53" x14ac:dyDescent="0.55000000000000004">
      <c r="AE1391" s="7">
        <f ca="1"/>
      </c>
      <c r="AF1391">
        <f ca="1"/>
      </c>
      <c r="AG1391">
        <f ca="1"/>
      </c>
      <c r="AH1391">
        <f ca="1"/>
      </c>
      <c r="AI1391">
        <f ca="1"/>
      </c>
      <c r="AJ1391">
        <f ca="1"/>
      </c>
      <c r="AK1391">
        <f ca="1"/>
      </c>
      <c r="AL1391">
        <f ca="1"/>
      </c>
      <c r="AM1391">
        <f ca="1"/>
      </c>
      <c r="AN1391">
        <f ca="1"/>
      </c>
      <c r="AO1391">
        <f ca="1"/>
      </c>
      <c r="AP1391">
        <f ca="1"/>
      </c>
      <c r="AQ1391">
        <f ca="1"/>
      </c>
      <c r="AR1391">
        <f ca="1"/>
      </c>
      <c r="AT1391" s="7">
        <f ca="1"/>
      </c>
      <c r="AU1391">
        <f ca="1"/>
      </c>
      <c r="AV1391">
        <f ca="1"/>
      </c>
      <c r="AW1391">
        <f ca="1"/>
      </c>
      <c r="AX1391">
        <f ca="1"/>
      </c>
      <c r="AY1391">
        <f ca="1"/>
      </c>
      <c r="BA1391" s="7"/>
    </row>
    <row r="1392" spans="31:53" x14ac:dyDescent="0.55000000000000004">
      <c r="AE1392" s="7">
        <f ca="1"/>
      </c>
      <c r="AF1392">
        <f ca="1"/>
      </c>
      <c r="AG1392">
        <f ca="1"/>
      </c>
      <c r="AH1392">
        <f ca="1"/>
      </c>
      <c r="AI1392">
        <f ca="1"/>
      </c>
      <c r="AJ1392">
        <f ca="1"/>
      </c>
      <c r="AK1392">
        <f ca="1"/>
      </c>
      <c r="AL1392">
        <f ca="1"/>
      </c>
      <c r="AM1392">
        <f ca="1"/>
      </c>
      <c r="AN1392">
        <f ca="1"/>
      </c>
      <c r="AO1392">
        <f ca="1"/>
      </c>
      <c r="AP1392">
        <f ca="1"/>
      </c>
      <c r="AQ1392">
        <f ca="1"/>
      </c>
      <c r="AR1392">
        <f ca="1"/>
      </c>
      <c r="AT1392" s="7">
        <f ca="1"/>
      </c>
      <c r="AU1392">
        <f ca="1"/>
      </c>
      <c r="AV1392">
        <f ca="1"/>
      </c>
      <c r="AW1392">
        <f ca="1"/>
      </c>
      <c r="AX1392">
        <f ca="1"/>
      </c>
      <c r="AY1392">
        <f ca="1"/>
      </c>
      <c r="BA1392" s="7"/>
    </row>
    <row r="1393" spans="31:53" x14ac:dyDescent="0.55000000000000004">
      <c r="AE1393" s="7">
        <f ca="1"/>
      </c>
      <c r="AF1393">
        <f ca="1"/>
      </c>
      <c r="AG1393">
        <f ca="1"/>
      </c>
      <c r="AH1393">
        <f ca="1"/>
      </c>
      <c r="AI1393">
        <f ca="1"/>
      </c>
      <c r="AJ1393">
        <f ca="1"/>
      </c>
      <c r="AK1393">
        <f ca="1"/>
      </c>
      <c r="AL1393">
        <f ca="1"/>
      </c>
      <c r="AM1393">
        <f ca="1"/>
      </c>
      <c r="AN1393">
        <f ca="1"/>
      </c>
      <c r="AO1393">
        <f ca="1"/>
      </c>
      <c r="AP1393">
        <f ca="1"/>
      </c>
      <c r="AQ1393">
        <f ca="1"/>
      </c>
      <c r="AR1393">
        <f ca="1"/>
      </c>
      <c r="AT1393" s="7">
        <f ca="1"/>
      </c>
      <c r="AU1393">
        <f ca="1"/>
      </c>
      <c r="AV1393">
        <f ca="1"/>
      </c>
      <c r="AW1393">
        <f ca="1"/>
      </c>
      <c r="AX1393">
        <f ca="1"/>
      </c>
      <c r="AY1393">
        <f ca="1"/>
      </c>
      <c r="BA1393" s="7"/>
    </row>
    <row r="1394" spans="31:53" x14ac:dyDescent="0.55000000000000004">
      <c r="AE1394" s="7">
        <f ca="1"/>
      </c>
      <c r="AF1394">
        <f ca="1"/>
      </c>
      <c r="AG1394">
        <f ca="1"/>
      </c>
      <c r="AH1394">
        <f ca="1"/>
      </c>
      <c r="AI1394">
        <f ca="1"/>
      </c>
      <c r="AJ1394">
        <f ca="1"/>
      </c>
      <c r="AK1394">
        <f ca="1"/>
      </c>
      <c r="AL1394">
        <f ca="1"/>
      </c>
      <c r="AM1394">
        <f ca="1"/>
      </c>
      <c r="AN1394">
        <f ca="1"/>
      </c>
      <c r="AO1394">
        <f ca="1"/>
      </c>
      <c r="AP1394">
        <f ca="1"/>
      </c>
      <c r="AQ1394">
        <f ca="1"/>
      </c>
      <c r="AR1394">
        <f ca="1"/>
      </c>
      <c r="AT1394" s="7">
        <f ca="1"/>
      </c>
      <c r="AU1394">
        <f ca="1"/>
      </c>
      <c r="AV1394">
        <f ca="1"/>
      </c>
      <c r="AW1394">
        <f ca="1"/>
      </c>
      <c r="AX1394">
        <f ca="1"/>
      </c>
      <c r="AY1394">
        <f ca="1"/>
      </c>
      <c r="BA1394" s="7"/>
    </row>
    <row r="1395" spans="31:53" x14ac:dyDescent="0.55000000000000004">
      <c r="AE1395" s="7">
        <f ca="1"/>
      </c>
      <c r="AF1395">
        <f ca="1"/>
      </c>
      <c r="AG1395">
        <f ca="1"/>
      </c>
      <c r="AH1395">
        <f ca="1"/>
      </c>
      <c r="AI1395">
        <f ca="1"/>
      </c>
      <c r="AJ1395">
        <f ca="1"/>
      </c>
      <c r="AK1395">
        <f ca="1"/>
      </c>
      <c r="AL1395">
        <f ca="1"/>
      </c>
      <c r="AM1395">
        <f ca="1"/>
      </c>
      <c r="AN1395">
        <f ca="1"/>
      </c>
      <c r="AO1395">
        <f ca="1"/>
      </c>
      <c r="AP1395">
        <f ca="1"/>
      </c>
      <c r="AQ1395">
        <f ca="1"/>
      </c>
      <c r="AR1395">
        <f ca="1"/>
      </c>
      <c r="AT1395" s="7">
        <f ca="1"/>
      </c>
      <c r="AU1395">
        <f ca="1"/>
      </c>
      <c r="AV1395">
        <f ca="1"/>
      </c>
      <c r="AW1395">
        <f ca="1"/>
      </c>
      <c r="AX1395">
        <f ca="1"/>
      </c>
      <c r="AY1395">
        <f ca="1"/>
      </c>
      <c r="BA1395" s="7"/>
    </row>
    <row r="1396" spans="31:53" x14ac:dyDescent="0.55000000000000004">
      <c r="AE1396" s="7">
        <f ca="1"/>
      </c>
      <c r="AF1396">
        <f ca="1"/>
      </c>
      <c r="AG1396">
        <f ca="1"/>
      </c>
      <c r="AH1396">
        <f ca="1"/>
      </c>
      <c r="AI1396">
        <f ca="1"/>
      </c>
      <c r="AJ1396">
        <f ca="1"/>
      </c>
      <c r="AK1396">
        <f ca="1"/>
      </c>
      <c r="AL1396">
        <f ca="1"/>
      </c>
      <c r="AM1396">
        <f ca="1"/>
      </c>
      <c r="AN1396">
        <f ca="1"/>
      </c>
      <c r="AO1396">
        <f ca="1"/>
      </c>
      <c r="AP1396">
        <f ca="1"/>
      </c>
      <c r="AQ1396">
        <f ca="1"/>
      </c>
      <c r="AR1396">
        <f ca="1"/>
      </c>
      <c r="AT1396" s="7">
        <f ca="1"/>
      </c>
      <c r="AU1396">
        <f ca="1"/>
      </c>
      <c r="AV1396">
        <f ca="1"/>
      </c>
      <c r="AW1396">
        <f ca="1"/>
      </c>
      <c r="AX1396">
        <f ca="1"/>
      </c>
      <c r="AY1396">
        <f ca="1"/>
      </c>
      <c r="BA1396" s="7"/>
    </row>
    <row r="1397" spans="31:53" x14ac:dyDescent="0.55000000000000004">
      <c r="AE1397" s="7">
        <f ca="1"/>
      </c>
      <c r="AF1397">
        <f ca="1"/>
      </c>
      <c r="AG1397">
        <f ca="1"/>
      </c>
      <c r="AH1397">
        <f ca="1"/>
      </c>
      <c r="AI1397">
        <f ca="1"/>
      </c>
      <c r="AJ1397">
        <f ca="1"/>
      </c>
      <c r="AK1397">
        <f ca="1"/>
      </c>
      <c r="AL1397">
        <f ca="1"/>
      </c>
      <c r="AM1397">
        <f ca="1"/>
      </c>
      <c r="AN1397">
        <f ca="1"/>
      </c>
      <c r="AO1397">
        <f ca="1"/>
      </c>
      <c r="AP1397">
        <f ca="1"/>
      </c>
      <c r="AQ1397">
        <f ca="1"/>
      </c>
      <c r="AR1397">
        <f ca="1"/>
      </c>
      <c r="AT1397" s="7">
        <f ca="1"/>
      </c>
      <c r="AU1397">
        <f ca="1"/>
      </c>
      <c r="AV1397">
        <f ca="1"/>
      </c>
      <c r="AW1397">
        <f ca="1"/>
      </c>
      <c r="AX1397">
        <f ca="1"/>
      </c>
      <c r="AY1397">
        <f ca="1"/>
      </c>
      <c r="BA1397" s="7"/>
    </row>
    <row r="1398" spans="31:53" x14ac:dyDescent="0.55000000000000004">
      <c r="AE1398" s="7">
        <f ca="1"/>
      </c>
      <c r="AF1398">
        <f ca="1"/>
      </c>
      <c r="AG1398">
        <f ca="1"/>
      </c>
      <c r="AH1398">
        <f ca="1"/>
      </c>
      <c r="AI1398">
        <f ca="1"/>
      </c>
      <c r="AJ1398">
        <f ca="1"/>
      </c>
      <c r="AK1398">
        <f ca="1"/>
      </c>
      <c r="AL1398">
        <f ca="1"/>
      </c>
      <c r="AM1398">
        <f ca="1"/>
      </c>
      <c r="AN1398">
        <f ca="1"/>
      </c>
      <c r="AO1398">
        <f ca="1"/>
      </c>
      <c r="AP1398">
        <f ca="1"/>
      </c>
      <c r="AQ1398">
        <f ca="1"/>
      </c>
      <c r="AR1398">
        <f ca="1"/>
      </c>
      <c r="AT1398" s="7">
        <f ca="1"/>
      </c>
      <c r="AU1398">
        <f ca="1"/>
      </c>
      <c r="AV1398">
        <f ca="1"/>
      </c>
      <c r="AW1398">
        <f ca="1"/>
      </c>
      <c r="AX1398">
        <f ca="1"/>
      </c>
      <c r="AY1398">
        <f ca="1"/>
      </c>
      <c r="BA1398" s="7"/>
    </row>
    <row r="1399" spans="31:53" x14ac:dyDescent="0.55000000000000004">
      <c r="AE1399" s="7">
        <f ca="1"/>
      </c>
      <c r="AF1399">
        <f ca="1"/>
      </c>
      <c r="AG1399">
        <f ca="1"/>
      </c>
      <c r="AH1399">
        <f ca="1"/>
      </c>
      <c r="AI1399">
        <f ca="1"/>
      </c>
      <c r="AJ1399">
        <f ca="1"/>
      </c>
      <c r="AK1399">
        <f ca="1"/>
      </c>
      <c r="AL1399">
        <f ca="1"/>
      </c>
      <c r="AM1399">
        <f ca="1"/>
      </c>
      <c r="AN1399">
        <f ca="1"/>
      </c>
      <c r="AO1399">
        <f ca="1"/>
      </c>
      <c r="AP1399">
        <f ca="1"/>
      </c>
      <c r="AQ1399">
        <f ca="1"/>
      </c>
      <c r="AR1399">
        <f ca="1"/>
      </c>
      <c r="AT1399" s="7">
        <f ca="1"/>
      </c>
      <c r="AU1399">
        <f ca="1"/>
      </c>
      <c r="AV1399">
        <f ca="1"/>
      </c>
      <c r="AW1399">
        <f ca="1"/>
      </c>
      <c r="AX1399">
        <f ca="1"/>
      </c>
      <c r="AY1399">
        <f ca="1"/>
      </c>
      <c r="BA1399" s="7"/>
    </row>
    <row r="1400" spans="31:53" x14ac:dyDescent="0.55000000000000004">
      <c r="AE1400" s="7">
        <f ca="1"/>
      </c>
      <c r="AF1400">
        <f ca="1"/>
      </c>
      <c r="AG1400">
        <f ca="1"/>
      </c>
      <c r="AH1400">
        <f ca="1"/>
      </c>
      <c r="AI1400">
        <f ca="1"/>
      </c>
      <c r="AJ1400">
        <f ca="1"/>
      </c>
      <c r="AK1400">
        <f ca="1"/>
      </c>
      <c r="AL1400">
        <f ca="1"/>
      </c>
      <c r="AM1400">
        <f ca="1"/>
      </c>
      <c r="AN1400">
        <f ca="1"/>
      </c>
      <c r="AO1400">
        <f ca="1"/>
      </c>
      <c r="AP1400">
        <f ca="1"/>
      </c>
      <c r="AQ1400">
        <f ca="1"/>
      </c>
      <c r="AR1400">
        <f ca="1"/>
      </c>
      <c r="AT1400" s="7">
        <f ca="1"/>
      </c>
      <c r="AU1400">
        <f ca="1"/>
      </c>
      <c r="AV1400">
        <f ca="1"/>
      </c>
      <c r="AW1400">
        <f ca="1"/>
      </c>
      <c r="AX1400">
        <f ca="1"/>
      </c>
      <c r="AY1400">
        <f ca="1"/>
      </c>
      <c r="BA1400" s="7"/>
    </row>
    <row r="1401" spans="31:53" x14ac:dyDescent="0.55000000000000004">
      <c r="AE1401" s="7">
        <f ca="1"/>
      </c>
      <c r="AF1401">
        <f ca="1"/>
      </c>
      <c r="AG1401">
        <f ca="1"/>
      </c>
      <c r="AH1401">
        <f ca="1"/>
      </c>
      <c r="AI1401">
        <f ca="1"/>
      </c>
      <c r="AJ1401">
        <f ca="1"/>
      </c>
      <c r="AK1401">
        <f ca="1"/>
      </c>
      <c r="AL1401">
        <f ca="1"/>
      </c>
      <c r="AM1401">
        <f ca="1"/>
      </c>
      <c r="AN1401">
        <f ca="1"/>
      </c>
      <c r="AO1401">
        <f ca="1"/>
      </c>
      <c r="AP1401">
        <f ca="1"/>
      </c>
      <c r="AQ1401">
        <f ca="1"/>
      </c>
      <c r="AR1401">
        <f ca="1"/>
      </c>
      <c r="AT1401" s="7">
        <f ca="1"/>
      </c>
      <c r="AU1401">
        <f ca="1"/>
      </c>
      <c r="AV1401">
        <f ca="1"/>
      </c>
      <c r="AW1401">
        <f ca="1"/>
      </c>
      <c r="AX1401">
        <f ca="1"/>
      </c>
      <c r="AY1401">
        <f ca="1"/>
      </c>
      <c r="BA1401" s="7"/>
    </row>
    <row r="1402" spans="31:53" x14ac:dyDescent="0.55000000000000004">
      <c r="AE1402" s="7">
        <f ca="1"/>
      </c>
      <c r="AF1402">
        <f ca="1"/>
      </c>
      <c r="AG1402">
        <f ca="1"/>
      </c>
      <c r="AH1402">
        <f ca="1"/>
      </c>
      <c r="AI1402">
        <f ca="1"/>
      </c>
      <c r="AJ1402">
        <f ca="1"/>
      </c>
      <c r="AK1402">
        <f ca="1"/>
      </c>
      <c r="AL1402">
        <f ca="1"/>
      </c>
      <c r="AM1402">
        <f ca="1"/>
      </c>
      <c r="AN1402">
        <f ca="1"/>
      </c>
      <c r="AO1402">
        <f ca="1"/>
      </c>
      <c r="AP1402">
        <f ca="1"/>
      </c>
      <c r="AQ1402">
        <f ca="1"/>
      </c>
      <c r="AR1402">
        <f ca="1"/>
      </c>
      <c r="AT1402" s="7">
        <f ca="1"/>
      </c>
      <c r="AU1402">
        <f ca="1"/>
      </c>
      <c r="AV1402">
        <f ca="1"/>
      </c>
      <c r="AW1402">
        <f ca="1"/>
      </c>
      <c r="AX1402">
        <f ca="1"/>
      </c>
      <c r="AY1402">
        <f ca="1"/>
      </c>
      <c r="BA1402" s="7"/>
    </row>
    <row r="1403" spans="31:53" x14ac:dyDescent="0.55000000000000004">
      <c r="AE1403" s="7">
        <f ca="1"/>
      </c>
      <c r="AF1403">
        <f ca="1"/>
      </c>
      <c r="AG1403">
        <f ca="1"/>
      </c>
      <c r="AH1403">
        <f ca="1"/>
      </c>
      <c r="AI1403">
        <f ca="1"/>
      </c>
      <c r="AJ1403">
        <f ca="1"/>
      </c>
      <c r="AK1403">
        <f ca="1"/>
      </c>
      <c r="AL1403">
        <f ca="1"/>
      </c>
      <c r="AM1403">
        <f ca="1"/>
      </c>
      <c r="AN1403">
        <f ca="1"/>
      </c>
      <c r="AO1403">
        <f ca="1"/>
      </c>
      <c r="AP1403">
        <f ca="1"/>
      </c>
      <c r="AQ1403">
        <f ca="1"/>
      </c>
      <c r="AR1403">
        <f ca="1"/>
      </c>
      <c r="AT1403" s="7">
        <f ca="1"/>
      </c>
      <c r="AU1403">
        <f ca="1"/>
      </c>
      <c r="AV1403">
        <f ca="1"/>
      </c>
      <c r="AW1403">
        <f ca="1"/>
      </c>
      <c r="AX1403">
        <f ca="1"/>
      </c>
      <c r="AY1403">
        <f ca="1"/>
      </c>
      <c r="BA1403" s="7"/>
    </row>
    <row r="1404" spans="31:53" x14ac:dyDescent="0.55000000000000004">
      <c r="AE1404" s="7">
        <f ca="1"/>
      </c>
      <c r="AF1404">
        <f ca="1"/>
      </c>
      <c r="AG1404">
        <f ca="1"/>
      </c>
      <c r="AH1404">
        <f ca="1"/>
      </c>
      <c r="AI1404">
        <f ca="1"/>
      </c>
      <c r="AJ1404">
        <f ca="1"/>
      </c>
      <c r="AK1404">
        <f ca="1"/>
      </c>
      <c r="AL1404">
        <f ca="1"/>
      </c>
      <c r="AM1404">
        <f ca="1"/>
      </c>
      <c r="AN1404">
        <f ca="1"/>
      </c>
      <c r="AO1404">
        <f ca="1"/>
      </c>
      <c r="AP1404">
        <f ca="1"/>
      </c>
      <c r="AQ1404">
        <f ca="1"/>
      </c>
      <c r="AR1404">
        <f ca="1"/>
      </c>
      <c r="AT1404" s="7">
        <f ca="1"/>
      </c>
      <c r="AU1404">
        <f ca="1"/>
      </c>
      <c r="AV1404">
        <f ca="1"/>
      </c>
      <c r="AW1404">
        <f ca="1"/>
      </c>
      <c r="AX1404">
        <f ca="1"/>
      </c>
      <c r="AY1404">
        <f ca="1"/>
      </c>
      <c r="BA1404" s="7"/>
    </row>
    <row r="1405" spans="31:53" x14ac:dyDescent="0.55000000000000004">
      <c r="AE1405" s="7">
        <f ca="1"/>
      </c>
      <c r="AF1405">
        <f ca="1"/>
      </c>
      <c r="AG1405">
        <f ca="1"/>
      </c>
      <c r="AH1405">
        <f ca="1"/>
      </c>
      <c r="AI1405">
        <f ca="1"/>
      </c>
      <c r="AJ1405">
        <f ca="1"/>
      </c>
      <c r="AK1405">
        <f ca="1"/>
      </c>
      <c r="AL1405">
        <f ca="1"/>
      </c>
      <c r="AM1405">
        <f ca="1"/>
      </c>
      <c r="AN1405">
        <f ca="1"/>
      </c>
      <c r="AO1405">
        <f ca="1"/>
      </c>
      <c r="AP1405">
        <f ca="1"/>
      </c>
      <c r="AQ1405">
        <f ca="1"/>
      </c>
      <c r="AR1405">
        <f ca="1"/>
      </c>
      <c r="AT1405" s="7">
        <f ca="1"/>
      </c>
      <c r="AU1405">
        <f ca="1"/>
      </c>
      <c r="AV1405">
        <f ca="1"/>
      </c>
      <c r="AW1405">
        <f ca="1"/>
      </c>
      <c r="AX1405">
        <f ca="1"/>
      </c>
      <c r="AY1405">
        <f ca="1"/>
      </c>
      <c r="BA1405" s="7"/>
    </row>
    <row r="1406" spans="31:53" x14ac:dyDescent="0.55000000000000004">
      <c r="AE1406" s="7">
        <f ca="1"/>
      </c>
      <c r="AF1406">
        <f ca="1"/>
      </c>
      <c r="AG1406">
        <f ca="1"/>
      </c>
      <c r="AH1406">
        <f ca="1"/>
      </c>
      <c r="AI1406">
        <f ca="1"/>
      </c>
      <c r="AJ1406">
        <f ca="1"/>
      </c>
      <c r="AK1406">
        <f ca="1"/>
      </c>
      <c r="AL1406">
        <f ca="1"/>
      </c>
      <c r="AM1406">
        <f ca="1"/>
      </c>
      <c r="AN1406">
        <f ca="1"/>
      </c>
      <c r="AO1406">
        <f ca="1"/>
      </c>
      <c r="AP1406">
        <f ca="1"/>
      </c>
      <c r="AQ1406">
        <f ca="1"/>
      </c>
      <c r="AR1406">
        <f ca="1"/>
      </c>
      <c r="AT1406" s="7">
        <f ca="1"/>
      </c>
      <c r="AU1406">
        <f ca="1"/>
      </c>
      <c r="AV1406">
        <f ca="1"/>
      </c>
      <c r="AW1406">
        <f ca="1"/>
      </c>
      <c r="AX1406">
        <f ca="1"/>
      </c>
      <c r="AY1406">
        <f ca="1"/>
      </c>
      <c r="BA1406" s="7"/>
    </row>
    <row r="1407" spans="31:53" x14ac:dyDescent="0.55000000000000004">
      <c r="AE1407" s="7">
        <f ca="1"/>
      </c>
      <c r="AF1407">
        <f ca="1"/>
      </c>
      <c r="AG1407">
        <f ca="1"/>
      </c>
      <c r="AH1407">
        <f ca="1"/>
      </c>
      <c r="AI1407">
        <f ca="1"/>
      </c>
      <c r="AJ1407">
        <f ca="1"/>
      </c>
      <c r="AK1407">
        <f ca="1"/>
      </c>
      <c r="AL1407">
        <f ca="1"/>
      </c>
      <c r="AM1407">
        <f ca="1"/>
      </c>
      <c r="AN1407">
        <f ca="1"/>
      </c>
      <c r="AO1407">
        <f ca="1"/>
      </c>
      <c r="AP1407">
        <f ca="1"/>
      </c>
      <c r="AQ1407">
        <f ca="1"/>
      </c>
      <c r="AR1407">
        <f ca="1"/>
      </c>
      <c r="AT1407" s="7">
        <f ca="1"/>
      </c>
      <c r="AU1407">
        <f ca="1"/>
      </c>
      <c r="AV1407">
        <f ca="1"/>
      </c>
      <c r="AW1407">
        <f ca="1"/>
      </c>
      <c r="AX1407">
        <f ca="1"/>
      </c>
      <c r="AY1407">
        <f ca="1"/>
      </c>
      <c r="BA1407" s="7"/>
    </row>
    <row r="1408" spans="31:53" x14ac:dyDescent="0.55000000000000004">
      <c r="AE1408" s="7">
        <f ca="1"/>
      </c>
      <c r="AF1408">
        <f ca="1"/>
      </c>
      <c r="AG1408">
        <f ca="1"/>
      </c>
      <c r="AH1408">
        <f ca="1"/>
      </c>
      <c r="AI1408">
        <f ca="1"/>
      </c>
      <c r="AJ1408">
        <f ca="1"/>
      </c>
      <c r="AK1408">
        <f ca="1"/>
      </c>
      <c r="AL1408">
        <f ca="1"/>
      </c>
      <c r="AM1408">
        <f ca="1"/>
      </c>
      <c r="AN1408">
        <f ca="1"/>
      </c>
      <c r="AO1408">
        <f ca="1"/>
      </c>
      <c r="AP1408">
        <f ca="1"/>
      </c>
      <c r="AQ1408">
        <f ca="1"/>
      </c>
      <c r="AR1408">
        <f ca="1"/>
      </c>
      <c r="AT1408" s="7">
        <f ca="1"/>
      </c>
      <c r="AU1408">
        <f ca="1"/>
      </c>
      <c r="AV1408">
        <f ca="1"/>
      </c>
      <c r="AW1408">
        <f ca="1"/>
      </c>
      <c r="AX1408">
        <f ca="1"/>
      </c>
      <c r="AY1408">
        <f ca="1"/>
      </c>
      <c r="BA1408" s="7"/>
    </row>
    <row r="1409" spans="31:53" x14ac:dyDescent="0.55000000000000004">
      <c r="AE1409" s="7">
        <f ca="1"/>
      </c>
      <c r="AF1409">
        <f ca="1"/>
      </c>
      <c r="AG1409">
        <f ca="1"/>
      </c>
      <c r="AH1409">
        <f ca="1"/>
      </c>
      <c r="AI1409">
        <f ca="1"/>
      </c>
      <c r="AJ1409">
        <f ca="1"/>
      </c>
      <c r="AK1409">
        <f ca="1"/>
      </c>
      <c r="AL1409">
        <f ca="1"/>
      </c>
      <c r="AM1409">
        <f ca="1"/>
      </c>
      <c r="AN1409">
        <f ca="1"/>
      </c>
      <c r="AO1409">
        <f ca="1"/>
      </c>
      <c r="AP1409">
        <f ca="1"/>
      </c>
      <c r="AQ1409">
        <f ca="1"/>
      </c>
      <c r="AR1409">
        <f ca="1"/>
      </c>
      <c r="AT1409" s="7">
        <f ca="1"/>
      </c>
      <c r="AU1409">
        <f ca="1"/>
      </c>
      <c r="AV1409">
        <f ca="1"/>
      </c>
      <c r="AW1409">
        <f ca="1"/>
      </c>
      <c r="AX1409">
        <f ca="1"/>
      </c>
      <c r="AY1409">
        <f ca="1"/>
      </c>
      <c r="BA1409" s="7"/>
    </row>
    <row r="1410" spans="31:53" x14ac:dyDescent="0.55000000000000004">
      <c r="AE1410" s="7">
        <f ca="1"/>
      </c>
      <c r="AF1410">
        <f ca="1"/>
      </c>
      <c r="AG1410">
        <f ca="1"/>
      </c>
      <c r="AH1410">
        <f ca="1"/>
      </c>
      <c r="AI1410">
        <f ca="1"/>
      </c>
      <c r="AJ1410">
        <f ca="1"/>
      </c>
      <c r="AK1410">
        <f ca="1"/>
      </c>
      <c r="AL1410">
        <f ca="1"/>
      </c>
      <c r="AM1410">
        <f ca="1"/>
      </c>
      <c r="AN1410">
        <f ca="1"/>
      </c>
      <c r="AO1410">
        <f ca="1"/>
      </c>
      <c r="AP1410">
        <f ca="1"/>
      </c>
      <c r="AQ1410">
        <f ca="1"/>
      </c>
      <c r="AR1410">
        <f ca="1"/>
      </c>
      <c r="AT1410" s="7">
        <f ca="1"/>
      </c>
      <c r="AU1410">
        <f ca="1"/>
      </c>
      <c r="AV1410">
        <f ca="1"/>
      </c>
      <c r="AW1410">
        <f ca="1"/>
      </c>
      <c r="AX1410">
        <f ca="1"/>
      </c>
      <c r="AY1410">
        <f ca="1"/>
      </c>
      <c r="BA1410" s="7"/>
    </row>
    <row r="1411" spans="31:53" x14ac:dyDescent="0.55000000000000004">
      <c r="AE1411" s="7">
        <f ca="1"/>
      </c>
      <c r="AF1411">
        <f ca="1"/>
      </c>
      <c r="AG1411">
        <f ca="1"/>
      </c>
      <c r="AH1411">
        <f ca="1"/>
      </c>
      <c r="AI1411">
        <f ca="1"/>
      </c>
      <c r="AJ1411">
        <f ca="1"/>
      </c>
      <c r="AK1411">
        <f ca="1"/>
      </c>
      <c r="AL1411">
        <f ca="1"/>
      </c>
      <c r="AM1411">
        <f ca="1"/>
      </c>
      <c r="AN1411">
        <f ca="1"/>
      </c>
      <c r="AO1411">
        <f ca="1"/>
      </c>
      <c r="AP1411">
        <f ca="1"/>
      </c>
      <c r="AQ1411">
        <f ca="1"/>
      </c>
      <c r="AR1411">
        <f ca="1"/>
      </c>
      <c r="AT1411" s="7">
        <f ca="1"/>
      </c>
      <c r="AU1411">
        <f ca="1"/>
      </c>
      <c r="AV1411">
        <f ca="1"/>
      </c>
      <c r="AW1411">
        <f ca="1"/>
      </c>
      <c r="AX1411">
        <f ca="1"/>
      </c>
      <c r="AY1411">
        <f ca="1"/>
      </c>
      <c r="BA1411" s="7"/>
    </row>
    <row r="1412" spans="31:53" x14ac:dyDescent="0.55000000000000004">
      <c r="AE1412" s="7">
        <f ca="1"/>
      </c>
      <c r="AF1412">
        <f ca="1"/>
      </c>
      <c r="AG1412">
        <f ca="1"/>
      </c>
      <c r="AH1412">
        <f ca="1"/>
      </c>
      <c r="AI1412">
        <f ca="1"/>
      </c>
      <c r="AJ1412">
        <f ca="1"/>
      </c>
      <c r="AK1412">
        <f ca="1"/>
      </c>
      <c r="AL1412">
        <f ca="1"/>
      </c>
      <c r="AM1412">
        <f ca="1"/>
      </c>
      <c r="AN1412">
        <f ca="1"/>
      </c>
      <c r="AO1412">
        <f ca="1"/>
      </c>
      <c r="AP1412">
        <f ca="1"/>
      </c>
      <c r="AQ1412">
        <f ca="1"/>
      </c>
      <c r="AR1412">
        <f ca="1"/>
      </c>
      <c r="AT1412" s="7">
        <f ca="1"/>
      </c>
      <c r="AU1412">
        <f ca="1"/>
      </c>
      <c r="AV1412">
        <f ca="1"/>
      </c>
      <c r="AW1412">
        <f ca="1"/>
      </c>
      <c r="AX1412">
        <f ca="1"/>
      </c>
      <c r="AY1412">
        <f ca="1"/>
      </c>
      <c r="BA1412" s="7"/>
    </row>
    <row r="1413" spans="31:53" x14ac:dyDescent="0.55000000000000004">
      <c r="AE1413" s="7">
        <f ca="1"/>
      </c>
      <c r="AF1413">
        <f ca="1"/>
      </c>
      <c r="AG1413">
        <f ca="1"/>
      </c>
      <c r="AH1413">
        <f ca="1"/>
      </c>
      <c r="AI1413">
        <f ca="1"/>
      </c>
      <c r="AJ1413">
        <f ca="1"/>
      </c>
      <c r="AK1413">
        <f ca="1"/>
      </c>
      <c r="AL1413">
        <f ca="1"/>
      </c>
      <c r="AM1413">
        <f ca="1"/>
      </c>
      <c r="AN1413">
        <f ca="1"/>
      </c>
      <c r="AO1413">
        <f ca="1"/>
      </c>
      <c r="AP1413">
        <f ca="1"/>
      </c>
      <c r="AQ1413">
        <f ca="1"/>
      </c>
      <c r="AR1413">
        <f ca="1"/>
      </c>
      <c r="AT1413" s="7">
        <f ca="1"/>
      </c>
      <c r="AU1413">
        <f ca="1"/>
      </c>
      <c r="AV1413">
        <f ca="1"/>
      </c>
      <c r="AW1413">
        <f ca="1"/>
      </c>
      <c r="AX1413">
        <f ca="1"/>
      </c>
      <c r="AY1413">
        <f ca="1"/>
      </c>
      <c r="BA1413" s="7"/>
    </row>
    <row r="1414" spans="31:53" x14ac:dyDescent="0.55000000000000004">
      <c r="AE1414" s="7">
        <f ca="1"/>
      </c>
      <c r="AF1414">
        <f ca="1"/>
      </c>
      <c r="AG1414">
        <f ca="1"/>
      </c>
      <c r="AH1414">
        <f ca="1"/>
      </c>
      <c r="AI1414">
        <f ca="1"/>
      </c>
      <c r="AJ1414">
        <f ca="1"/>
      </c>
      <c r="AK1414">
        <f ca="1"/>
      </c>
      <c r="AL1414">
        <f ca="1"/>
      </c>
      <c r="AM1414">
        <f ca="1"/>
      </c>
      <c r="AN1414">
        <f ca="1"/>
      </c>
      <c r="AO1414">
        <f ca="1"/>
      </c>
      <c r="AP1414">
        <f ca="1"/>
      </c>
      <c r="AQ1414">
        <f ca="1"/>
      </c>
      <c r="AR1414">
        <f ca="1"/>
      </c>
      <c r="AT1414" s="7">
        <f ca="1"/>
      </c>
      <c r="AU1414">
        <f ca="1"/>
      </c>
      <c r="AV1414">
        <f ca="1"/>
      </c>
      <c r="AW1414">
        <f ca="1"/>
      </c>
      <c r="AX1414">
        <f ca="1"/>
      </c>
      <c r="AY1414">
        <f ca="1"/>
      </c>
      <c r="BA1414" s="7"/>
    </row>
    <row r="1415" spans="31:53" x14ac:dyDescent="0.55000000000000004">
      <c r="AE1415" s="7">
        <f ca="1"/>
      </c>
      <c r="AF1415">
        <f ca="1"/>
      </c>
      <c r="AG1415">
        <f ca="1"/>
      </c>
      <c r="AH1415">
        <f ca="1"/>
      </c>
      <c r="AI1415">
        <f ca="1"/>
      </c>
      <c r="AJ1415">
        <f ca="1"/>
      </c>
      <c r="AK1415">
        <f ca="1"/>
      </c>
      <c r="AL1415">
        <f ca="1"/>
      </c>
      <c r="AM1415">
        <f ca="1"/>
      </c>
      <c r="AN1415">
        <f ca="1"/>
      </c>
      <c r="AO1415">
        <f ca="1"/>
      </c>
      <c r="AP1415">
        <f ca="1"/>
      </c>
      <c r="AQ1415">
        <f ca="1"/>
      </c>
      <c r="AR1415">
        <f ca="1"/>
      </c>
      <c r="AT1415" s="7">
        <f ca="1"/>
      </c>
      <c r="AU1415">
        <f ca="1"/>
      </c>
      <c r="AV1415">
        <f ca="1"/>
      </c>
      <c r="AW1415">
        <f ca="1"/>
      </c>
      <c r="AX1415">
        <f ca="1"/>
      </c>
      <c r="AY1415">
        <f ca="1"/>
      </c>
      <c r="BA1415" s="7"/>
    </row>
    <row r="1416" spans="31:53" x14ac:dyDescent="0.55000000000000004">
      <c r="AE1416" s="7">
        <f ca="1"/>
      </c>
      <c r="AF1416">
        <f ca="1"/>
      </c>
      <c r="AG1416">
        <f ca="1"/>
      </c>
      <c r="AH1416">
        <f ca="1"/>
      </c>
      <c r="AI1416">
        <f ca="1"/>
      </c>
      <c r="AJ1416">
        <f ca="1"/>
      </c>
      <c r="AK1416">
        <f ca="1"/>
      </c>
      <c r="AL1416">
        <f ca="1"/>
      </c>
      <c r="AM1416">
        <f ca="1"/>
      </c>
      <c r="AN1416">
        <f ca="1"/>
      </c>
      <c r="AO1416">
        <f ca="1"/>
      </c>
      <c r="AP1416">
        <f ca="1"/>
      </c>
      <c r="AQ1416">
        <f ca="1"/>
      </c>
      <c r="AR1416">
        <f ca="1"/>
      </c>
      <c r="AT1416" s="7">
        <f ca="1"/>
      </c>
      <c r="AU1416">
        <f ca="1"/>
      </c>
      <c r="AV1416">
        <f ca="1"/>
      </c>
      <c r="AW1416">
        <f ca="1"/>
      </c>
      <c r="AX1416">
        <f ca="1"/>
      </c>
      <c r="AY1416">
        <f ca="1"/>
      </c>
      <c r="BA1416" s="7"/>
    </row>
    <row r="1417" spans="31:53" x14ac:dyDescent="0.55000000000000004">
      <c r="AE1417" s="7">
        <f ca="1"/>
      </c>
      <c r="AF1417">
        <f ca="1"/>
      </c>
      <c r="AG1417">
        <f ca="1"/>
      </c>
      <c r="AH1417">
        <f ca="1"/>
      </c>
      <c r="AI1417">
        <f ca="1"/>
      </c>
      <c r="AJ1417">
        <f ca="1"/>
      </c>
      <c r="AK1417">
        <f ca="1"/>
      </c>
      <c r="AL1417">
        <f ca="1"/>
      </c>
      <c r="AM1417">
        <f ca="1"/>
      </c>
      <c r="AN1417">
        <f ca="1"/>
      </c>
      <c r="AO1417">
        <f ca="1"/>
      </c>
      <c r="AP1417">
        <f ca="1"/>
      </c>
      <c r="AQ1417">
        <f ca="1"/>
      </c>
      <c r="AR1417">
        <f ca="1"/>
      </c>
      <c r="AT1417" s="7">
        <f ca="1"/>
      </c>
      <c r="AU1417">
        <f ca="1"/>
      </c>
      <c r="AV1417">
        <f ca="1"/>
      </c>
      <c r="AW1417">
        <f ca="1"/>
      </c>
      <c r="AX1417">
        <f ca="1"/>
      </c>
      <c r="AY1417">
        <f ca="1"/>
      </c>
      <c r="BA1417" s="7"/>
    </row>
    <row r="1418" spans="31:53" x14ac:dyDescent="0.55000000000000004">
      <c r="AE1418" s="7">
        <f ca="1"/>
      </c>
      <c r="AF1418">
        <f ca="1"/>
      </c>
      <c r="AG1418">
        <f ca="1"/>
      </c>
      <c r="AH1418">
        <f ca="1"/>
      </c>
      <c r="AI1418">
        <f ca="1"/>
      </c>
      <c r="AJ1418">
        <f ca="1"/>
      </c>
      <c r="AK1418">
        <f ca="1"/>
      </c>
      <c r="AL1418">
        <f ca="1"/>
      </c>
      <c r="AM1418">
        <f ca="1"/>
      </c>
      <c r="AN1418">
        <f ca="1"/>
      </c>
      <c r="AO1418">
        <f ca="1"/>
      </c>
      <c r="AP1418">
        <f ca="1"/>
      </c>
      <c r="AQ1418">
        <f ca="1"/>
      </c>
      <c r="AR1418">
        <f ca="1"/>
      </c>
      <c r="AT1418" s="7">
        <f ca="1"/>
      </c>
      <c r="AU1418">
        <f ca="1"/>
      </c>
      <c r="AV1418">
        <f ca="1"/>
      </c>
      <c r="AW1418">
        <f ca="1"/>
      </c>
      <c r="AX1418">
        <f ca="1"/>
      </c>
      <c r="AY1418">
        <f ca="1"/>
      </c>
      <c r="BA1418" s="7"/>
    </row>
    <row r="1419" spans="31:53" x14ac:dyDescent="0.55000000000000004">
      <c r="AE1419" s="7">
        <f ca="1"/>
      </c>
      <c r="AF1419">
        <f ca="1"/>
      </c>
      <c r="AG1419">
        <f ca="1"/>
      </c>
      <c r="AH1419">
        <f ca="1"/>
      </c>
      <c r="AI1419">
        <f ca="1"/>
      </c>
      <c r="AJ1419">
        <f ca="1"/>
      </c>
      <c r="AK1419">
        <f ca="1"/>
      </c>
      <c r="AL1419">
        <f ca="1"/>
      </c>
      <c r="AM1419">
        <f ca="1"/>
      </c>
      <c r="AN1419">
        <f ca="1"/>
      </c>
      <c r="AO1419">
        <f ca="1"/>
      </c>
      <c r="AP1419">
        <f ca="1"/>
      </c>
      <c r="AQ1419">
        <f ca="1"/>
      </c>
      <c r="AR1419">
        <f ca="1"/>
      </c>
      <c r="AT1419" s="7">
        <f ca="1"/>
      </c>
      <c r="AU1419">
        <f ca="1"/>
      </c>
      <c r="AV1419">
        <f ca="1"/>
      </c>
      <c r="AW1419">
        <f ca="1"/>
      </c>
      <c r="AX1419">
        <f ca="1"/>
      </c>
      <c r="AY1419">
        <f ca="1"/>
      </c>
      <c r="BA1419" s="7"/>
    </row>
    <row r="1420" spans="31:53" x14ac:dyDescent="0.55000000000000004">
      <c r="AE1420" s="7">
        <f ca="1"/>
      </c>
      <c r="AF1420">
        <f ca="1"/>
      </c>
      <c r="AG1420">
        <f ca="1"/>
      </c>
      <c r="AH1420">
        <f ca="1"/>
      </c>
      <c r="AI1420">
        <f ca="1"/>
      </c>
      <c r="AJ1420">
        <f ca="1"/>
      </c>
      <c r="AK1420">
        <f ca="1"/>
      </c>
      <c r="AL1420">
        <f ca="1"/>
      </c>
      <c r="AM1420">
        <f ca="1"/>
      </c>
      <c r="AN1420">
        <f ca="1"/>
      </c>
      <c r="AO1420">
        <f ca="1"/>
      </c>
      <c r="AP1420">
        <f ca="1"/>
      </c>
      <c r="AQ1420">
        <f ca="1"/>
      </c>
      <c r="AR1420">
        <f ca="1"/>
      </c>
      <c r="AT1420" s="7">
        <f ca="1"/>
      </c>
      <c r="AU1420">
        <f ca="1"/>
      </c>
      <c r="AV1420">
        <f ca="1"/>
      </c>
      <c r="AW1420">
        <f ca="1"/>
      </c>
      <c r="AX1420">
        <f ca="1"/>
      </c>
      <c r="AY1420">
        <f ca="1"/>
      </c>
      <c r="BA1420" s="7"/>
    </row>
    <row r="1421" spans="31:53" x14ac:dyDescent="0.55000000000000004">
      <c r="AE1421" s="7">
        <f ca="1"/>
      </c>
      <c r="AF1421">
        <f ca="1"/>
      </c>
      <c r="AG1421">
        <f ca="1"/>
      </c>
      <c r="AH1421">
        <f ca="1"/>
      </c>
      <c r="AI1421">
        <f ca="1"/>
      </c>
      <c r="AJ1421">
        <f ca="1"/>
      </c>
      <c r="AK1421">
        <f ca="1"/>
      </c>
      <c r="AL1421">
        <f ca="1"/>
      </c>
      <c r="AM1421">
        <f ca="1"/>
      </c>
      <c r="AN1421">
        <f ca="1"/>
      </c>
      <c r="AO1421">
        <f ca="1"/>
      </c>
      <c r="AP1421">
        <f ca="1"/>
      </c>
      <c r="AQ1421">
        <f ca="1"/>
      </c>
      <c r="AR1421">
        <f ca="1"/>
      </c>
      <c r="AT1421" s="7">
        <f ca="1"/>
      </c>
      <c r="AU1421">
        <f ca="1"/>
      </c>
      <c r="AV1421">
        <f ca="1"/>
      </c>
      <c r="AW1421">
        <f ca="1"/>
      </c>
      <c r="AX1421">
        <f ca="1"/>
      </c>
      <c r="AY1421">
        <f ca="1"/>
      </c>
      <c r="BA1421" s="7"/>
    </row>
    <row r="1422" spans="31:53" x14ac:dyDescent="0.55000000000000004">
      <c r="AE1422" s="7">
        <f ca="1"/>
      </c>
      <c r="AF1422">
        <f ca="1"/>
      </c>
      <c r="AG1422">
        <f ca="1"/>
      </c>
      <c r="AH1422">
        <f ca="1"/>
      </c>
      <c r="AI1422">
        <f ca="1"/>
      </c>
      <c r="AJ1422">
        <f ca="1"/>
      </c>
      <c r="AK1422">
        <f ca="1"/>
      </c>
      <c r="AL1422">
        <f ca="1"/>
      </c>
      <c r="AM1422">
        <f ca="1"/>
      </c>
      <c r="AN1422">
        <f ca="1"/>
      </c>
      <c r="AO1422">
        <f ca="1"/>
      </c>
      <c r="AP1422">
        <f ca="1"/>
      </c>
      <c r="AQ1422">
        <f ca="1"/>
      </c>
      <c r="AR1422">
        <f ca="1"/>
      </c>
      <c r="AT1422" s="7">
        <f ca="1"/>
      </c>
      <c r="AU1422">
        <f ca="1"/>
      </c>
      <c r="AV1422">
        <f ca="1"/>
      </c>
      <c r="AW1422">
        <f ca="1"/>
      </c>
      <c r="AX1422">
        <f ca="1"/>
      </c>
      <c r="AY1422">
        <f ca="1"/>
      </c>
      <c r="BA1422" s="7"/>
    </row>
    <row r="1423" spans="31:53" x14ac:dyDescent="0.55000000000000004">
      <c r="AE1423" s="7">
        <f ca="1"/>
      </c>
      <c r="AF1423">
        <f ca="1"/>
      </c>
      <c r="AG1423">
        <f ca="1"/>
      </c>
      <c r="AH1423">
        <f ca="1"/>
      </c>
      <c r="AI1423">
        <f ca="1"/>
      </c>
      <c r="AJ1423">
        <f ca="1"/>
      </c>
      <c r="AK1423">
        <f ca="1"/>
      </c>
      <c r="AL1423">
        <f ca="1"/>
      </c>
      <c r="AM1423">
        <f ca="1"/>
      </c>
      <c r="AN1423">
        <f ca="1"/>
      </c>
      <c r="AO1423">
        <f ca="1"/>
      </c>
      <c r="AP1423">
        <f ca="1"/>
      </c>
      <c r="AQ1423">
        <f ca="1"/>
      </c>
      <c r="AR1423">
        <f ca="1"/>
      </c>
      <c r="AT1423" s="7">
        <f ca="1"/>
      </c>
      <c r="AU1423">
        <f ca="1"/>
      </c>
      <c r="AV1423">
        <f ca="1"/>
      </c>
      <c r="AW1423">
        <f ca="1"/>
      </c>
      <c r="AX1423">
        <f ca="1"/>
      </c>
      <c r="AY1423">
        <f ca="1"/>
      </c>
      <c r="BA1423" s="7"/>
    </row>
    <row r="1424" spans="31:53" x14ac:dyDescent="0.55000000000000004">
      <c r="AE1424" s="7">
        <f ca="1"/>
      </c>
      <c r="AF1424">
        <f ca="1"/>
      </c>
      <c r="AG1424">
        <f ca="1"/>
      </c>
      <c r="AH1424">
        <f ca="1"/>
      </c>
      <c r="AI1424">
        <f ca="1"/>
      </c>
      <c r="AJ1424">
        <f ca="1"/>
      </c>
      <c r="AK1424">
        <f ca="1"/>
      </c>
      <c r="AL1424">
        <f ca="1"/>
      </c>
      <c r="AM1424">
        <f ca="1"/>
      </c>
      <c r="AN1424">
        <f ca="1"/>
      </c>
      <c r="AO1424">
        <f ca="1"/>
      </c>
      <c r="AP1424">
        <f ca="1"/>
      </c>
      <c r="AQ1424">
        <f ca="1"/>
      </c>
      <c r="AR1424">
        <f ca="1"/>
      </c>
      <c r="AT1424" s="7">
        <f ca="1"/>
      </c>
      <c r="AU1424">
        <f ca="1"/>
      </c>
      <c r="AV1424">
        <f ca="1"/>
      </c>
      <c r="AW1424">
        <f ca="1"/>
      </c>
      <c r="AX1424">
        <f ca="1"/>
      </c>
      <c r="AY1424">
        <f ca="1"/>
      </c>
      <c r="BA1424" s="7"/>
    </row>
    <row r="1425" spans="31:53" x14ac:dyDescent="0.55000000000000004">
      <c r="AE1425" s="7">
        <f ca="1"/>
      </c>
      <c r="AF1425">
        <f ca="1"/>
      </c>
      <c r="AG1425">
        <f ca="1"/>
      </c>
      <c r="AH1425">
        <f ca="1"/>
      </c>
      <c r="AI1425">
        <f ca="1"/>
      </c>
      <c r="AJ1425">
        <f ca="1"/>
      </c>
      <c r="AK1425">
        <f ca="1"/>
      </c>
      <c r="AL1425">
        <f ca="1"/>
      </c>
      <c r="AM1425">
        <f ca="1"/>
      </c>
      <c r="AN1425">
        <f ca="1"/>
      </c>
      <c r="AO1425">
        <f ca="1"/>
      </c>
      <c r="AP1425">
        <f ca="1"/>
      </c>
      <c r="AQ1425">
        <f ca="1"/>
      </c>
      <c r="AR1425">
        <f ca="1"/>
      </c>
      <c r="AT1425" s="7">
        <f ca="1"/>
      </c>
      <c r="AU1425">
        <f ca="1"/>
      </c>
      <c r="AV1425">
        <f ca="1"/>
      </c>
      <c r="AW1425">
        <f ca="1"/>
      </c>
      <c r="AX1425">
        <f ca="1"/>
      </c>
      <c r="AY1425">
        <f ca="1"/>
      </c>
      <c r="BA1425" s="7"/>
    </row>
    <row r="1426" spans="31:53" x14ac:dyDescent="0.55000000000000004">
      <c r="AE1426" s="7">
        <f ca="1"/>
      </c>
      <c r="AF1426">
        <f ca="1"/>
      </c>
      <c r="AG1426">
        <f ca="1"/>
      </c>
      <c r="AH1426">
        <f ca="1"/>
      </c>
      <c r="AI1426">
        <f ca="1"/>
      </c>
      <c r="AJ1426">
        <f ca="1"/>
      </c>
      <c r="AK1426">
        <f ca="1"/>
      </c>
      <c r="AL1426">
        <f ca="1"/>
      </c>
      <c r="AM1426">
        <f ca="1"/>
      </c>
      <c r="AN1426">
        <f ca="1"/>
      </c>
      <c r="AO1426">
        <f ca="1"/>
      </c>
      <c r="AP1426">
        <f ca="1"/>
      </c>
      <c r="AQ1426">
        <f ca="1"/>
      </c>
      <c r="AR1426">
        <f ca="1"/>
      </c>
      <c r="AT1426" s="7">
        <f ca="1"/>
      </c>
      <c r="AU1426">
        <f ca="1"/>
      </c>
      <c r="AV1426">
        <f ca="1"/>
      </c>
      <c r="AW1426">
        <f ca="1"/>
      </c>
      <c r="AX1426">
        <f ca="1"/>
      </c>
      <c r="AY1426">
        <f ca="1"/>
      </c>
      <c r="BA1426" s="7"/>
    </row>
    <row r="1427" spans="31:53" x14ac:dyDescent="0.55000000000000004">
      <c r="AE1427" s="7">
        <f ca="1"/>
      </c>
      <c r="AF1427">
        <f ca="1"/>
      </c>
      <c r="AG1427">
        <f ca="1"/>
      </c>
      <c r="AH1427">
        <f ca="1"/>
      </c>
      <c r="AI1427">
        <f ca="1"/>
      </c>
      <c r="AJ1427">
        <f ca="1"/>
      </c>
      <c r="AK1427">
        <f ca="1"/>
      </c>
      <c r="AL1427">
        <f ca="1"/>
      </c>
      <c r="AM1427">
        <f ca="1"/>
      </c>
      <c r="AN1427">
        <f ca="1"/>
      </c>
      <c r="AO1427">
        <f ca="1"/>
      </c>
      <c r="AP1427">
        <f ca="1"/>
      </c>
      <c r="AQ1427">
        <f ca="1"/>
      </c>
      <c r="AR1427">
        <f ca="1"/>
      </c>
      <c r="AT1427" s="7">
        <f ca="1"/>
      </c>
      <c r="AU1427">
        <f ca="1"/>
      </c>
      <c r="AV1427">
        <f ca="1"/>
      </c>
      <c r="AW1427">
        <f ca="1"/>
      </c>
      <c r="AX1427">
        <f ca="1"/>
      </c>
      <c r="AY1427">
        <f ca="1"/>
      </c>
      <c r="BA1427" s="7"/>
    </row>
    <row r="1428" spans="31:53" x14ac:dyDescent="0.55000000000000004">
      <c r="AE1428" s="7">
        <f ca="1"/>
      </c>
      <c r="AF1428">
        <f ca="1"/>
      </c>
      <c r="AG1428">
        <f ca="1"/>
      </c>
      <c r="AH1428">
        <f ca="1"/>
      </c>
      <c r="AI1428">
        <f ca="1"/>
      </c>
      <c r="AJ1428">
        <f ca="1"/>
      </c>
      <c r="AK1428">
        <f ca="1"/>
      </c>
      <c r="AL1428">
        <f ca="1"/>
      </c>
      <c r="AM1428">
        <f ca="1"/>
      </c>
      <c r="AN1428">
        <f ca="1"/>
      </c>
      <c r="AO1428">
        <f ca="1"/>
      </c>
      <c r="AP1428">
        <f ca="1"/>
      </c>
      <c r="AQ1428">
        <f ca="1"/>
      </c>
      <c r="AR1428">
        <f ca="1"/>
      </c>
      <c r="AT1428" s="7">
        <f ca="1"/>
      </c>
      <c r="AU1428">
        <f ca="1"/>
      </c>
      <c r="AV1428">
        <f ca="1"/>
      </c>
      <c r="AW1428">
        <f ca="1"/>
      </c>
      <c r="AX1428">
        <f ca="1"/>
      </c>
      <c r="AY1428">
        <f ca="1"/>
      </c>
      <c r="BA1428" s="7"/>
    </row>
    <row r="1429" spans="31:53" x14ac:dyDescent="0.55000000000000004">
      <c r="AE1429" s="7">
        <f ca="1"/>
      </c>
      <c r="AF1429">
        <f ca="1"/>
      </c>
      <c r="AG1429">
        <f ca="1"/>
      </c>
      <c r="AH1429">
        <f ca="1"/>
      </c>
      <c r="AI1429">
        <f ca="1"/>
      </c>
      <c r="AJ1429">
        <f ca="1"/>
      </c>
      <c r="AK1429">
        <f ca="1"/>
      </c>
      <c r="AL1429">
        <f ca="1"/>
      </c>
      <c r="AM1429">
        <f ca="1"/>
      </c>
      <c r="AN1429">
        <f ca="1"/>
      </c>
      <c r="AO1429">
        <f ca="1"/>
      </c>
      <c r="AP1429">
        <f ca="1"/>
      </c>
      <c r="AQ1429">
        <f ca="1"/>
      </c>
      <c r="AR1429">
        <f ca="1"/>
      </c>
      <c r="AT1429" s="7">
        <f ca="1"/>
      </c>
      <c r="AU1429">
        <f ca="1"/>
      </c>
      <c r="AV1429">
        <f ca="1"/>
      </c>
      <c r="AW1429">
        <f ca="1"/>
      </c>
      <c r="AX1429">
        <f ca="1"/>
      </c>
      <c r="AY1429">
        <f ca="1"/>
      </c>
      <c r="BA1429" s="7"/>
    </row>
    <row r="1430" spans="31:53" x14ac:dyDescent="0.55000000000000004">
      <c r="AE1430" s="7">
        <f ca="1"/>
      </c>
      <c r="AF1430">
        <f ca="1"/>
      </c>
      <c r="AG1430">
        <f ca="1"/>
      </c>
      <c r="AH1430">
        <f ca="1"/>
      </c>
      <c r="AI1430">
        <f ca="1"/>
      </c>
      <c r="AJ1430">
        <f ca="1"/>
      </c>
      <c r="AK1430">
        <f ca="1"/>
      </c>
      <c r="AL1430">
        <f ca="1"/>
      </c>
      <c r="AM1430">
        <f ca="1"/>
      </c>
      <c r="AN1430">
        <f ca="1"/>
      </c>
      <c r="AO1430">
        <f ca="1"/>
      </c>
      <c r="AP1430">
        <f ca="1"/>
      </c>
      <c r="AQ1430">
        <f ca="1"/>
      </c>
      <c r="AR1430">
        <f ca="1"/>
      </c>
      <c r="AT1430" s="7">
        <f ca="1"/>
      </c>
      <c r="AU1430">
        <f ca="1"/>
      </c>
      <c r="AV1430">
        <f ca="1"/>
      </c>
      <c r="AW1430">
        <f ca="1"/>
      </c>
      <c r="AX1430">
        <f ca="1"/>
      </c>
      <c r="AY1430">
        <f ca="1"/>
      </c>
      <c r="BA1430" s="7"/>
    </row>
    <row r="1431" spans="31:53" x14ac:dyDescent="0.55000000000000004">
      <c r="AE1431" s="7">
        <f ca="1"/>
      </c>
      <c r="AF1431">
        <f ca="1"/>
      </c>
      <c r="AG1431">
        <f ca="1"/>
      </c>
      <c r="AH1431">
        <f ca="1"/>
      </c>
      <c r="AI1431">
        <f ca="1"/>
      </c>
      <c r="AJ1431">
        <f ca="1"/>
      </c>
      <c r="AK1431">
        <f ca="1"/>
      </c>
      <c r="AL1431">
        <f ca="1"/>
      </c>
      <c r="AM1431">
        <f ca="1"/>
      </c>
      <c r="AN1431">
        <f ca="1"/>
      </c>
      <c r="AO1431">
        <f ca="1"/>
      </c>
      <c r="AP1431">
        <f ca="1"/>
      </c>
      <c r="AQ1431">
        <f ca="1"/>
      </c>
      <c r="AR1431">
        <f ca="1"/>
      </c>
      <c r="AT1431" s="7">
        <f ca="1"/>
      </c>
      <c r="AU1431">
        <f ca="1"/>
      </c>
      <c r="AV1431">
        <f ca="1"/>
      </c>
      <c r="AW1431">
        <f ca="1"/>
      </c>
      <c r="AX1431">
        <f ca="1"/>
      </c>
      <c r="AY1431">
        <f ca="1"/>
      </c>
      <c r="BA1431" s="7"/>
    </row>
    <row r="1432" spans="31:53" x14ac:dyDescent="0.55000000000000004">
      <c r="AE1432" s="7">
        <f ca="1"/>
      </c>
      <c r="AF1432">
        <f ca="1"/>
      </c>
      <c r="AG1432">
        <f ca="1"/>
      </c>
      <c r="AH1432">
        <f ca="1"/>
      </c>
      <c r="AI1432">
        <f ca="1"/>
      </c>
      <c r="AJ1432">
        <f ca="1"/>
      </c>
      <c r="AK1432">
        <f ca="1"/>
      </c>
      <c r="AL1432">
        <f ca="1"/>
      </c>
      <c r="AM1432">
        <f ca="1"/>
      </c>
      <c r="AN1432">
        <f ca="1"/>
      </c>
      <c r="AO1432">
        <f ca="1"/>
      </c>
      <c r="AP1432">
        <f ca="1"/>
      </c>
      <c r="AQ1432">
        <f ca="1"/>
      </c>
      <c r="AR1432">
        <f ca="1"/>
      </c>
      <c r="AT1432" s="7">
        <f ca="1"/>
      </c>
      <c r="AU1432">
        <f ca="1"/>
      </c>
      <c r="AV1432">
        <f ca="1"/>
      </c>
      <c r="AW1432">
        <f ca="1"/>
      </c>
      <c r="AX1432">
        <f ca="1"/>
      </c>
      <c r="AY1432">
        <f ca="1"/>
      </c>
      <c r="BA1432" s="7"/>
    </row>
    <row r="1433" spans="31:53" x14ac:dyDescent="0.55000000000000004">
      <c r="AE1433" s="7">
        <f ca="1"/>
      </c>
      <c r="AF1433">
        <f ca="1"/>
      </c>
      <c r="AG1433">
        <f ca="1"/>
      </c>
      <c r="AH1433">
        <f ca="1"/>
      </c>
      <c r="AI1433">
        <f ca="1"/>
      </c>
      <c r="AJ1433">
        <f ca="1"/>
      </c>
      <c r="AK1433">
        <f ca="1"/>
      </c>
      <c r="AL1433">
        <f ca="1"/>
      </c>
      <c r="AM1433">
        <f ca="1"/>
      </c>
      <c r="AN1433">
        <f ca="1"/>
      </c>
      <c r="AO1433">
        <f ca="1"/>
      </c>
      <c r="AP1433">
        <f ca="1"/>
      </c>
      <c r="AQ1433">
        <f ca="1"/>
      </c>
      <c r="AR1433">
        <f ca="1"/>
      </c>
      <c r="AT1433" s="7">
        <f ca="1"/>
      </c>
      <c r="AU1433">
        <f ca="1"/>
      </c>
      <c r="AV1433">
        <f ca="1"/>
      </c>
      <c r="AW1433">
        <f ca="1"/>
      </c>
      <c r="AX1433">
        <f ca="1"/>
      </c>
      <c r="AY1433">
        <f ca="1"/>
      </c>
      <c r="BA1433" s="7"/>
    </row>
    <row r="1434" spans="31:53" x14ac:dyDescent="0.55000000000000004">
      <c r="AE1434" s="7">
        <f ca="1"/>
      </c>
      <c r="AF1434">
        <f ca="1"/>
      </c>
      <c r="AG1434">
        <f ca="1"/>
      </c>
      <c r="AH1434">
        <f ca="1"/>
      </c>
      <c r="AI1434">
        <f ca="1"/>
      </c>
      <c r="AJ1434">
        <f ca="1"/>
      </c>
      <c r="AK1434">
        <f ca="1"/>
      </c>
      <c r="AL1434">
        <f ca="1"/>
      </c>
      <c r="AM1434">
        <f ca="1"/>
      </c>
      <c r="AN1434">
        <f ca="1"/>
      </c>
      <c r="AO1434">
        <f ca="1"/>
      </c>
      <c r="AP1434">
        <f ca="1"/>
      </c>
      <c r="AQ1434">
        <f ca="1"/>
      </c>
      <c r="AR1434">
        <f ca="1"/>
      </c>
      <c r="AT1434" s="7">
        <f ca="1"/>
      </c>
      <c r="AU1434">
        <f ca="1"/>
      </c>
      <c r="AV1434">
        <f ca="1"/>
      </c>
      <c r="AW1434">
        <f ca="1"/>
      </c>
      <c r="AX1434">
        <f ca="1"/>
      </c>
      <c r="AY1434">
        <f ca="1"/>
      </c>
      <c r="BA1434" s="7"/>
    </row>
    <row r="1435" spans="31:53" x14ac:dyDescent="0.55000000000000004">
      <c r="AE1435" s="7">
        <f ca="1"/>
      </c>
      <c r="AF1435">
        <f ca="1"/>
      </c>
      <c r="AG1435">
        <f ca="1"/>
      </c>
      <c r="AH1435">
        <f ca="1"/>
      </c>
      <c r="AI1435">
        <f ca="1"/>
      </c>
      <c r="AJ1435">
        <f ca="1"/>
      </c>
      <c r="AK1435">
        <f ca="1"/>
      </c>
      <c r="AL1435">
        <f ca="1"/>
      </c>
      <c r="AM1435">
        <f ca="1"/>
      </c>
      <c r="AN1435">
        <f ca="1"/>
      </c>
      <c r="AO1435">
        <f ca="1"/>
      </c>
      <c r="AP1435">
        <f ca="1"/>
      </c>
      <c r="AQ1435">
        <f ca="1"/>
      </c>
      <c r="AR1435">
        <f ca="1"/>
      </c>
      <c r="AT1435" s="7">
        <f ca="1"/>
      </c>
      <c r="AU1435">
        <f ca="1"/>
      </c>
      <c r="AV1435">
        <f ca="1"/>
      </c>
      <c r="AW1435">
        <f ca="1"/>
      </c>
      <c r="AX1435">
        <f ca="1"/>
      </c>
      <c r="AY1435">
        <f ca="1"/>
      </c>
      <c r="BA1435" s="7"/>
    </row>
    <row r="1436" spans="31:53" x14ac:dyDescent="0.55000000000000004">
      <c r="AE1436" s="7">
        <f ca="1"/>
      </c>
      <c r="AF1436">
        <f ca="1"/>
      </c>
      <c r="AG1436">
        <f ca="1"/>
      </c>
      <c r="AH1436">
        <f ca="1"/>
      </c>
      <c r="AI1436">
        <f ca="1"/>
      </c>
      <c r="AJ1436">
        <f ca="1"/>
      </c>
      <c r="AK1436">
        <f ca="1"/>
      </c>
      <c r="AL1436">
        <f ca="1"/>
      </c>
      <c r="AM1436">
        <f ca="1"/>
      </c>
      <c r="AN1436">
        <f ca="1"/>
      </c>
      <c r="AO1436">
        <f ca="1"/>
      </c>
      <c r="AP1436">
        <f ca="1"/>
      </c>
      <c r="AQ1436">
        <f ca="1"/>
      </c>
      <c r="AR1436">
        <f ca="1"/>
      </c>
      <c r="AT1436" s="7">
        <f ca="1"/>
      </c>
      <c r="AU1436">
        <f ca="1"/>
      </c>
      <c r="AV1436">
        <f ca="1"/>
      </c>
      <c r="AW1436">
        <f ca="1"/>
      </c>
      <c r="AX1436">
        <f ca="1"/>
      </c>
      <c r="AY1436">
        <f ca="1"/>
      </c>
      <c r="BA1436" s="7"/>
    </row>
    <row r="1437" spans="31:53" x14ac:dyDescent="0.55000000000000004">
      <c r="AE1437" s="7">
        <f ca="1"/>
      </c>
      <c r="AF1437">
        <f ca="1"/>
      </c>
      <c r="AG1437">
        <f ca="1"/>
      </c>
      <c r="AH1437">
        <f ca="1"/>
      </c>
      <c r="AI1437">
        <f ca="1"/>
      </c>
      <c r="AJ1437">
        <f ca="1"/>
      </c>
      <c r="AK1437">
        <f ca="1"/>
      </c>
      <c r="AL1437">
        <f ca="1"/>
      </c>
      <c r="AM1437">
        <f ca="1"/>
      </c>
      <c r="AN1437">
        <f ca="1"/>
      </c>
      <c r="AO1437">
        <f ca="1"/>
      </c>
      <c r="AP1437">
        <f ca="1"/>
      </c>
      <c r="AQ1437">
        <f ca="1"/>
      </c>
      <c r="AR1437">
        <f ca="1"/>
      </c>
      <c r="AT1437" s="7">
        <f ca="1"/>
      </c>
      <c r="AU1437">
        <f ca="1"/>
      </c>
      <c r="AV1437">
        <f ca="1"/>
      </c>
      <c r="AW1437">
        <f ca="1"/>
      </c>
      <c r="AX1437">
        <f ca="1"/>
      </c>
      <c r="AY1437">
        <f ca="1"/>
      </c>
      <c r="BA1437" s="7"/>
    </row>
    <row r="1438" spans="31:53" x14ac:dyDescent="0.55000000000000004">
      <c r="AE1438" s="7">
        <f ca="1"/>
      </c>
      <c r="AF1438">
        <f ca="1"/>
      </c>
      <c r="AG1438">
        <f ca="1"/>
      </c>
      <c r="AH1438">
        <f ca="1"/>
      </c>
      <c r="AI1438">
        <f ca="1"/>
      </c>
      <c r="AJ1438">
        <f ca="1"/>
      </c>
      <c r="AK1438">
        <f ca="1"/>
      </c>
      <c r="AL1438">
        <f ca="1"/>
      </c>
      <c r="AM1438">
        <f ca="1"/>
      </c>
      <c r="AN1438">
        <f ca="1"/>
      </c>
      <c r="AO1438">
        <f ca="1"/>
      </c>
      <c r="AP1438">
        <f ca="1"/>
      </c>
      <c r="AQ1438">
        <f ca="1"/>
      </c>
      <c r="AR1438">
        <f ca="1"/>
      </c>
      <c r="AT1438" s="7">
        <f ca="1"/>
      </c>
      <c r="AU1438">
        <f ca="1"/>
      </c>
      <c r="AV1438">
        <f ca="1"/>
      </c>
      <c r="AW1438">
        <f ca="1"/>
      </c>
      <c r="AX1438">
        <f ca="1"/>
      </c>
      <c r="AY1438">
        <f ca="1"/>
      </c>
      <c r="BA1438" s="7"/>
    </row>
    <row r="1439" spans="31:53" x14ac:dyDescent="0.55000000000000004">
      <c r="AE1439" s="7">
        <f ca="1"/>
      </c>
      <c r="AF1439">
        <f ca="1"/>
      </c>
      <c r="AG1439">
        <f ca="1"/>
      </c>
      <c r="AH1439">
        <f ca="1"/>
      </c>
      <c r="AI1439">
        <f ca="1"/>
      </c>
      <c r="AJ1439">
        <f ca="1"/>
      </c>
      <c r="AK1439">
        <f ca="1"/>
      </c>
      <c r="AL1439">
        <f ca="1"/>
      </c>
      <c r="AM1439">
        <f ca="1"/>
      </c>
      <c r="AN1439">
        <f ca="1"/>
      </c>
      <c r="AO1439">
        <f ca="1"/>
      </c>
      <c r="AP1439">
        <f ca="1"/>
      </c>
      <c r="AQ1439">
        <f ca="1"/>
      </c>
      <c r="AR1439">
        <f ca="1"/>
      </c>
      <c r="AT1439" s="7">
        <f ca="1"/>
      </c>
      <c r="AU1439">
        <f ca="1"/>
      </c>
      <c r="AV1439">
        <f ca="1"/>
      </c>
      <c r="AW1439">
        <f ca="1"/>
      </c>
      <c r="AX1439">
        <f ca="1"/>
      </c>
      <c r="AY1439">
        <f ca="1"/>
      </c>
      <c r="BA1439" s="7"/>
    </row>
    <row r="1440" spans="31:53" x14ac:dyDescent="0.55000000000000004">
      <c r="AE1440" s="7">
        <f ca="1"/>
      </c>
      <c r="AF1440">
        <f ca="1"/>
      </c>
      <c r="AG1440">
        <f ca="1"/>
      </c>
      <c r="AH1440">
        <f ca="1"/>
      </c>
      <c r="AI1440">
        <f ca="1"/>
      </c>
      <c r="AJ1440">
        <f ca="1"/>
      </c>
      <c r="AK1440">
        <f ca="1"/>
      </c>
      <c r="AL1440">
        <f ca="1"/>
      </c>
      <c r="AM1440">
        <f ca="1"/>
      </c>
      <c r="AN1440">
        <f ca="1"/>
      </c>
      <c r="AO1440">
        <f ca="1"/>
      </c>
      <c r="AP1440">
        <f ca="1"/>
      </c>
      <c r="AQ1440">
        <f ca="1"/>
      </c>
      <c r="AR1440">
        <f ca="1"/>
      </c>
      <c r="AT1440" s="7">
        <f ca="1"/>
      </c>
      <c r="AU1440">
        <f ca="1"/>
      </c>
      <c r="AV1440">
        <f ca="1"/>
      </c>
      <c r="AW1440">
        <f ca="1"/>
      </c>
      <c r="AX1440">
        <f ca="1"/>
      </c>
      <c r="AY1440">
        <f ca="1"/>
      </c>
      <c r="BA1440" s="7"/>
    </row>
    <row r="1441" spans="31:53" x14ac:dyDescent="0.55000000000000004">
      <c r="AE1441" s="7">
        <f ca="1"/>
      </c>
      <c r="AF1441">
        <f ca="1"/>
      </c>
      <c r="AG1441">
        <f ca="1"/>
      </c>
      <c r="AH1441">
        <f ca="1"/>
      </c>
      <c r="AI1441">
        <f ca="1"/>
      </c>
      <c r="AJ1441">
        <f ca="1"/>
      </c>
      <c r="AK1441">
        <f ca="1"/>
      </c>
      <c r="AL1441">
        <f ca="1"/>
      </c>
      <c r="AM1441">
        <f ca="1"/>
      </c>
      <c r="AN1441">
        <f ca="1"/>
      </c>
      <c r="AO1441">
        <f ca="1"/>
      </c>
      <c r="AP1441">
        <f ca="1"/>
      </c>
      <c r="AQ1441">
        <f ca="1"/>
      </c>
      <c r="AR1441">
        <f ca="1"/>
      </c>
      <c r="AT1441" s="7">
        <f ca="1"/>
      </c>
      <c r="AU1441">
        <f ca="1"/>
      </c>
      <c r="AV1441">
        <f ca="1"/>
      </c>
      <c r="AW1441">
        <f ca="1"/>
      </c>
      <c r="AX1441">
        <f ca="1"/>
      </c>
      <c r="AY1441">
        <f ca="1"/>
      </c>
      <c r="BA1441" s="7"/>
    </row>
    <row r="1442" spans="31:53" x14ac:dyDescent="0.55000000000000004">
      <c r="AE1442" s="7">
        <f ca="1"/>
      </c>
      <c r="AF1442">
        <f ca="1"/>
      </c>
      <c r="AG1442">
        <f ca="1"/>
      </c>
      <c r="AH1442">
        <f ca="1"/>
      </c>
      <c r="AI1442">
        <f ca="1"/>
      </c>
      <c r="AJ1442">
        <f ca="1"/>
      </c>
      <c r="AK1442">
        <f ca="1"/>
      </c>
      <c r="AL1442">
        <f ca="1"/>
      </c>
      <c r="AM1442">
        <f ca="1"/>
      </c>
      <c r="AN1442">
        <f ca="1"/>
      </c>
      <c r="AO1442">
        <f ca="1"/>
      </c>
      <c r="AP1442">
        <f ca="1"/>
      </c>
      <c r="AQ1442">
        <f ca="1"/>
      </c>
      <c r="AR1442">
        <f ca="1"/>
      </c>
      <c r="AT1442" s="7">
        <f ca="1"/>
      </c>
      <c r="AU1442">
        <f ca="1"/>
      </c>
      <c r="AV1442">
        <f ca="1"/>
      </c>
      <c r="AW1442">
        <f ca="1"/>
      </c>
      <c r="AX1442">
        <f ca="1"/>
      </c>
      <c r="AY1442">
        <f ca="1"/>
      </c>
      <c r="BA1442" s="7"/>
    </row>
    <row r="1443" spans="31:53" x14ac:dyDescent="0.55000000000000004">
      <c r="AE1443" s="7">
        <f ca="1"/>
      </c>
      <c r="AF1443">
        <f ca="1"/>
      </c>
      <c r="AG1443">
        <f ca="1"/>
      </c>
      <c r="AH1443">
        <f ca="1"/>
      </c>
      <c r="AI1443">
        <f ca="1"/>
      </c>
      <c r="AJ1443">
        <f ca="1"/>
      </c>
      <c r="AK1443">
        <f ca="1"/>
      </c>
      <c r="AL1443">
        <f ca="1"/>
      </c>
      <c r="AM1443">
        <f ca="1"/>
      </c>
      <c r="AN1443">
        <f ca="1"/>
      </c>
      <c r="AO1443">
        <f ca="1"/>
      </c>
      <c r="AP1443">
        <f ca="1"/>
      </c>
      <c r="AQ1443">
        <f ca="1"/>
      </c>
      <c r="AR1443">
        <f ca="1"/>
      </c>
      <c r="AT1443" s="7">
        <f ca="1"/>
      </c>
      <c r="AU1443">
        <f ca="1"/>
      </c>
      <c r="AV1443">
        <f ca="1"/>
      </c>
      <c r="AW1443">
        <f ca="1"/>
      </c>
      <c r="AX1443">
        <f ca="1"/>
      </c>
      <c r="AY1443">
        <f ca="1"/>
      </c>
      <c r="BA1443" s="7"/>
    </row>
    <row r="1444" spans="31:53" x14ac:dyDescent="0.55000000000000004">
      <c r="AE1444" s="7">
        <f ca="1"/>
      </c>
      <c r="AF1444">
        <f ca="1"/>
      </c>
      <c r="AG1444">
        <f ca="1"/>
      </c>
      <c r="AH1444">
        <f ca="1"/>
      </c>
      <c r="AI1444">
        <f ca="1"/>
      </c>
      <c r="AJ1444">
        <f ca="1"/>
      </c>
      <c r="AK1444">
        <f ca="1"/>
      </c>
      <c r="AL1444">
        <f ca="1"/>
      </c>
      <c r="AM1444">
        <f ca="1"/>
      </c>
      <c r="AN1444">
        <f ca="1"/>
      </c>
      <c r="AO1444">
        <f ca="1"/>
      </c>
      <c r="AP1444">
        <f ca="1"/>
      </c>
      <c r="AQ1444">
        <f ca="1"/>
      </c>
      <c r="AR1444">
        <f ca="1"/>
      </c>
      <c r="AT1444" s="7">
        <f ca="1"/>
      </c>
      <c r="AU1444">
        <f ca="1"/>
      </c>
      <c r="AV1444">
        <f ca="1"/>
      </c>
      <c r="AW1444">
        <f ca="1"/>
      </c>
      <c r="AX1444">
        <f ca="1"/>
      </c>
      <c r="AY1444">
        <f ca="1"/>
      </c>
      <c r="BA1444" s="7"/>
    </row>
    <row r="1445" spans="31:53" x14ac:dyDescent="0.55000000000000004">
      <c r="AE1445" s="7">
        <f ca="1"/>
      </c>
      <c r="AF1445">
        <f ca="1"/>
      </c>
      <c r="AG1445">
        <f ca="1"/>
      </c>
      <c r="AH1445">
        <f ca="1"/>
      </c>
      <c r="AI1445">
        <f ca="1"/>
      </c>
      <c r="AJ1445">
        <f ca="1"/>
      </c>
      <c r="AK1445">
        <f ca="1"/>
      </c>
      <c r="AL1445">
        <f ca="1"/>
      </c>
      <c r="AM1445">
        <f ca="1"/>
      </c>
      <c r="AN1445">
        <f ca="1"/>
      </c>
      <c r="AO1445">
        <f ca="1"/>
      </c>
      <c r="AP1445">
        <f ca="1"/>
      </c>
      <c r="AQ1445">
        <f ca="1"/>
      </c>
      <c r="AR1445">
        <f ca="1"/>
      </c>
      <c r="AT1445" s="7">
        <f ca="1"/>
      </c>
      <c r="AU1445">
        <f ca="1"/>
      </c>
      <c r="AV1445">
        <f ca="1"/>
      </c>
      <c r="AW1445">
        <f ca="1"/>
      </c>
      <c r="AX1445">
        <f ca="1"/>
      </c>
      <c r="AY1445">
        <f ca="1"/>
      </c>
      <c r="BA1445" s="7"/>
    </row>
    <row r="1446" spans="31:53" x14ac:dyDescent="0.55000000000000004">
      <c r="AE1446" s="7">
        <f ca="1"/>
      </c>
      <c r="AF1446">
        <f ca="1"/>
      </c>
      <c r="AG1446">
        <f ca="1"/>
      </c>
      <c r="AH1446">
        <f ca="1"/>
      </c>
      <c r="AI1446">
        <f ca="1"/>
      </c>
      <c r="AJ1446">
        <f ca="1"/>
      </c>
      <c r="AK1446">
        <f ca="1"/>
      </c>
      <c r="AL1446">
        <f ca="1"/>
      </c>
      <c r="AM1446">
        <f ca="1"/>
      </c>
      <c r="AN1446">
        <f ca="1"/>
      </c>
      <c r="AO1446">
        <f ca="1"/>
      </c>
      <c r="AP1446">
        <f ca="1"/>
      </c>
      <c r="AQ1446">
        <f ca="1"/>
      </c>
      <c r="AR1446">
        <f ca="1"/>
      </c>
      <c r="AT1446" s="7">
        <f ca="1"/>
      </c>
      <c r="AU1446">
        <f ca="1"/>
      </c>
      <c r="AV1446">
        <f ca="1"/>
      </c>
      <c r="AW1446">
        <f ca="1"/>
      </c>
      <c r="AX1446">
        <f ca="1"/>
      </c>
      <c r="AY1446">
        <f ca="1"/>
      </c>
      <c r="BA1446" s="7"/>
    </row>
    <row r="1447" spans="31:53" x14ac:dyDescent="0.55000000000000004">
      <c r="AE1447" s="7">
        <f ca="1"/>
      </c>
      <c r="AF1447">
        <f ca="1"/>
      </c>
      <c r="AG1447">
        <f ca="1"/>
      </c>
      <c r="AH1447">
        <f ca="1"/>
      </c>
      <c r="AI1447">
        <f ca="1"/>
      </c>
      <c r="AJ1447">
        <f ca="1"/>
      </c>
      <c r="AK1447">
        <f ca="1"/>
      </c>
      <c r="AL1447">
        <f ca="1"/>
      </c>
      <c r="AM1447">
        <f ca="1"/>
      </c>
      <c r="AN1447">
        <f ca="1"/>
      </c>
      <c r="AO1447">
        <f ca="1"/>
      </c>
      <c r="AP1447">
        <f ca="1"/>
      </c>
      <c r="AQ1447">
        <f ca="1"/>
      </c>
      <c r="AR1447">
        <f ca="1"/>
      </c>
      <c r="AT1447" s="7">
        <f ca="1"/>
      </c>
      <c r="AU1447">
        <f ca="1"/>
      </c>
      <c r="AV1447">
        <f ca="1"/>
      </c>
      <c r="AW1447">
        <f ca="1"/>
      </c>
      <c r="AX1447">
        <f ca="1"/>
      </c>
      <c r="AY1447">
        <f ca="1"/>
      </c>
      <c r="BA1447" s="7"/>
    </row>
    <row r="1448" spans="31:53" x14ac:dyDescent="0.55000000000000004">
      <c r="AE1448" s="7">
        <f ca="1"/>
      </c>
      <c r="AF1448">
        <f ca="1"/>
      </c>
      <c r="AG1448">
        <f ca="1"/>
      </c>
      <c r="AH1448">
        <f ca="1"/>
      </c>
      <c r="AI1448">
        <f ca="1"/>
      </c>
      <c r="AJ1448">
        <f ca="1"/>
      </c>
      <c r="AK1448">
        <f ca="1"/>
      </c>
      <c r="AL1448">
        <f ca="1"/>
      </c>
      <c r="AM1448">
        <f ca="1"/>
      </c>
      <c r="AN1448">
        <f ca="1"/>
      </c>
      <c r="AO1448">
        <f ca="1"/>
      </c>
      <c r="AP1448">
        <f ca="1"/>
      </c>
      <c r="AQ1448">
        <f ca="1"/>
      </c>
      <c r="AR1448">
        <f ca="1"/>
      </c>
      <c r="AT1448" s="7">
        <f ca="1"/>
      </c>
      <c r="AU1448">
        <f ca="1"/>
      </c>
      <c r="AV1448">
        <f ca="1"/>
      </c>
      <c r="AW1448">
        <f ca="1"/>
      </c>
      <c r="AX1448">
        <f ca="1"/>
      </c>
      <c r="AY1448">
        <f ca="1"/>
      </c>
      <c r="BA1448" s="7"/>
    </row>
    <row r="1449" spans="31:53" x14ac:dyDescent="0.55000000000000004">
      <c r="AE1449" s="7">
        <f ca="1"/>
      </c>
      <c r="AF1449">
        <f ca="1"/>
      </c>
      <c r="AG1449">
        <f ca="1"/>
      </c>
      <c r="AH1449">
        <f ca="1"/>
      </c>
      <c r="AI1449">
        <f ca="1"/>
      </c>
      <c r="AJ1449">
        <f ca="1"/>
      </c>
      <c r="AK1449">
        <f ca="1"/>
      </c>
      <c r="AL1449">
        <f ca="1"/>
      </c>
      <c r="AM1449">
        <f ca="1"/>
      </c>
      <c r="AN1449">
        <f ca="1"/>
      </c>
      <c r="AO1449">
        <f ca="1"/>
      </c>
      <c r="AP1449">
        <f ca="1"/>
      </c>
      <c r="AQ1449">
        <f ca="1"/>
      </c>
      <c r="AR1449">
        <f ca="1"/>
      </c>
      <c r="AT1449" s="7">
        <f ca="1"/>
      </c>
      <c r="AU1449">
        <f ca="1"/>
      </c>
      <c r="AV1449">
        <f ca="1"/>
      </c>
      <c r="AW1449">
        <f ca="1"/>
      </c>
      <c r="AX1449">
        <f ca="1"/>
      </c>
      <c r="AY1449">
        <f ca="1"/>
      </c>
      <c r="BA1449" s="7"/>
    </row>
    <row r="1450" spans="31:53" x14ac:dyDescent="0.55000000000000004">
      <c r="AE1450" s="7">
        <f ca="1"/>
      </c>
      <c r="AF1450">
        <f ca="1"/>
      </c>
      <c r="AG1450">
        <f ca="1"/>
      </c>
      <c r="AH1450">
        <f ca="1"/>
      </c>
      <c r="AI1450">
        <f ca="1"/>
      </c>
      <c r="AJ1450">
        <f ca="1"/>
      </c>
      <c r="AK1450">
        <f ca="1"/>
      </c>
      <c r="AL1450">
        <f ca="1"/>
      </c>
      <c r="AM1450">
        <f ca="1"/>
      </c>
      <c r="AN1450">
        <f ca="1"/>
      </c>
      <c r="AO1450">
        <f ca="1"/>
      </c>
      <c r="AP1450">
        <f ca="1"/>
      </c>
      <c r="AQ1450">
        <f ca="1"/>
      </c>
      <c r="AR1450">
        <f ca="1"/>
      </c>
      <c r="AT1450" s="7">
        <f ca="1"/>
      </c>
      <c r="AU1450">
        <f ca="1"/>
      </c>
      <c r="AV1450">
        <f ca="1"/>
      </c>
      <c r="AW1450">
        <f ca="1"/>
      </c>
      <c r="AX1450">
        <f ca="1"/>
      </c>
      <c r="AY1450">
        <f ca="1"/>
      </c>
      <c r="BA1450" s="7"/>
    </row>
    <row r="1451" spans="31:53" x14ac:dyDescent="0.55000000000000004">
      <c r="AE1451" s="7">
        <f ca="1"/>
      </c>
      <c r="AF1451">
        <f ca="1"/>
      </c>
      <c r="AG1451">
        <f ca="1"/>
      </c>
      <c r="AH1451">
        <f ca="1"/>
      </c>
      <c r="AI1451">
        <f ca="1"/>
      </c>
      <c r="AJ1451">
        <f ca="1"/>
      </c>
      <c r="AK1451">
        <f ca="1"/>
      </c>
      <c r="AL1451">
        <f ca="1"/>
      </c>
      <c r="AM1451">
        <f ca="1"/>
      </c>
      <c r="AN1451">
        <f ca="1"/>
      </c>
      <c r="AO1451">
        <f ca="1"/>
      </c>
      <c r="AP1451">
        <f ca="1"/>
      </c>
      <c r="AQ1451">
        <f ca="1"/>
      </c>
      <c r="AR1451">
        <f ca="1"/>
      </c>
      <c r="AT1451" s="7">
        <f ca="1"/>
      </c>
      <c r="AU1451">
        <f ca="1"/>
      </c>
      <c r="AV1451">
        <f ca="1"/>
      </c>
      <c r="AW1451">
        <f ca="1"/>
      </c>
      <c r="AX1451">
        <f ca="1"/>
      </c>
      <c r="AY1451">
        <f ca="1"/>
      </c>
      <c r="BA1451" s="7"/>
    </row>
    <row r="1452" spans="31:53" x14ac:dyDescent="0.55000000000000004">
      <c r="AE1452" s="7">
        <f ca="1"/>
      </c>
      <c r="AF1452">
        <f ca="1"/>
      </c>
      <c r="AG1452">
        <f ca="1"/>
      </c>
      <c r="AH1452">
        <f ca="1"/>
      </c>
      <c r="AI1452">
        <f ca="1"/>
      </c>
      <c r="AJ1452">
        <f ca="1"/>
      </c>
      <c r="AK1452">
        <f ca="1"/>
      </c>
      <c r="AL1452">
        <f ca="1"/>
      </c>
      <c r="AM1452">
        <f ca="1"/>
      </c>
      <c r="AN1452">
        <f ca="1"/>
      </c>
      <c r="AO1452">
        <f ca="1"/>
      </c>
      <c r="AP1452">
        <f ca="1"/>
      </c>
      <c r="AQ1452">
        <f ca="1"/>
      </c>
      <c r="AR1452">
        <f ca="1"/>
      </c>
      <c r="AT1452" s="7">
        <f ca="1"/>
      </c>
      <c r="AU1452">
        <f ca="1"/>
      </c>
      <c r="AV1452">
        <f ca="1"/>
      </c>
      <c r="AW1452">
        <f ca="1"/>
      </c>
      <c r="AX1452">
        <f ca="1"/>
      </c>
      <c r="AY1452">
        <f ca="1"/>
      </c>
      <c r="BA1452" s="7"/>
    </row>
    <row r="1453" spans="31:53" x14ac:dyDescent="0.55000000000000004">
      <c r="AE1453" s="7">
        <f ca="1"/>
      </c>
      <c r="AF1453">
        <f ca="1"/>
      </c>
      <c r="AG1453">
        <f ca="1"/>
      </c>
      <c r="AH1453">
        <f ca="1"/>
      </c>
      <c r="AI1453">
        <f ca="1"/>
      </c>
      <c r="AJ1453">
        <f ca="1"/>
      </c>
      <c r="AK1453">
        <f ca="1"/>
      </c>
      <c r="AL1453">
        <f ca="1"/>
      </c>
      <c r="AM1453">
        <f ca="1"/>
      </c>
      <c r="AN1453">
        <f ca="1"/>
      </c>
      <c r="AO1453">
        <f ca="1"/>
      </c>
      <c r="AP1453">
        <f ca="1"/>
      </c>
      <c r="AQ1453">
        <f ca="1"/>
      </c>
      <c r="AR1453">
        <f ca="1"/>
      </c>
      <c r="AT1453" s="7">
        <f ca="1"/>
      </c>
      <c r="AU1453">
        <f ca="1"/>
      </c>
      <c r="AV1453">
        <f ca="1"/>
      </c>
      <c r="AW1453">
        <f ca="1"/>
      </c>
      <c r="AX1453">
        <f ca="1"/>
      </c>
      <c r="AY1453">
        <f ca="1"/>
      </c>
      <c r="BA1453" s="7"/>
    </row>
    <row r="1454" spans="31:53" x14ac:dyDescent="0.55000000000000004">
      <c r="AE1454" s="7">
        <f ca="1"/>
      </c>
      <c r="AF1454">
        <f ca="1"/>
      </c>
      <c r="AG1454">
        <f ca="1"/>
      </c>
      <c r="AH1454">
        <f ca="1"/>
      </c>
      <c r="AI1454">
        <f ca="1"/>
      </c>
      <c r="AJ1454">
        <f ca="1"/>
      </c>
      <c r="AK1454">
        <f ca="1"/>
      </c>
      <c r="AL1454">
        <f ca="1"/>
      </c>
      <c r="AM1454">
        <f ca="1"/>
      </c>
      <c r="AN1454">
        <f ca="1"/>
      </c>
      <c r="AO1454">
        <f ca="1"/>
      </c>
      <c r="AP1454">
        <f ca="1"/>
      </c>
      <c r="AQ1454">
        <f ca="1"/>
      </c>
      <c r="AR1454">
        <f ca="1"/>
      </c>
      <c r="AT1454" s="7">
        <f ca="1"/>
      </c>
      <c r="AU1454">
        <f ca="1"/>
      </c>
      <c r="AV1454">
        <f ca="1"/>
      </c>
      <c r="AW1454">
        <f ca="1"/>
      </c>
      <c r="AX1454">
        <f ca="1"/>
      </c>
      <c r="AY1454">
        <f ca="1"/>
      </c>
      <c r="BA1454" s="7"/>
    </row>
    <row r="1455" spans="31:53" x14ac:dyDescent="0.55000000000000004">
      <c r="AE1455" s="7">
        <f ca="1"/>
      </c>
      <c r="AF1455">
        <f ca="1"/>
      </c>
      <c r="AG1455">
        <f ca="1"/>
      </c>
      <c r="AH1455">
        <f ca="1"/>
      </c>
      <c r="AI1455">
        <f ca="1"/>
      </c>
      <c r="AJ1455">
        <f ca="1"/>
      </c>
      <c r="AK1455">
        <f ca="1"/>
      </c>
      <c r="AL1455">
        <f ca="1"/>
      </c>
      <c r="AM1455">
        <f ca="1"/>
      </c>
      <c r="AN1455">
        <f ca="1"/>
      </c>
      <c r="AO1455">
        <f ca="1"/>
      </c>
      <c r="AP1455">
        <f ca="1"/>
      </c>
      <c r="AQ1455">
        <f ca="1"/>
      </c>
      <c r="AR1455">
        <f ca="1"/>
      </c>
      <c r="AT1455" s="7">
        <f ca="1"/>
      </c>
      <c r="AU1455">
        <f ca="1"/>
      </c>
      <c r="AV1455">
        <f ca="1"/>
      </c>
      <c r="AW1455">
        <f ca="1"/>
      </c>
      <c r="AX1455">
        <f ca="1"/>
      </c>
      <c r="AY1455">
        <f ca="1"/>
      </c>
      <c r="BA1455" s="7"/>
    </row>
    <row r="1456" spans="31:53" x14ac:dyDescent="0.55000000000000004">
      <c r="AE1456" s="7">
        <f ca="1"/>
      </c>
      <c r="AF1456">
        <f ca="1"/>
      </c>
      <c r="AG1456">
        <f ca="1"/>
      </c>
      <c r="AH1456">
        <f ca="1"/>
      </c>
      <c r="AI1456">
        <f ca="1"/>
      </c>
      <c r="AJ1456">
        <f ca="1"/>
      </c>
      <c r="AK1456">
        <f ca="1"/>
      </c>
      <c r="AL1456">
        <f ca="1"/>
      </c>
      <c r="AM1456">
        <f ca="1"/>
      </c>
      <c r="AN1456">
        <f ca="1"/>
      </c>
      <c r="AO1456">
        <f ca="1"/>
      </c>
      <c r="AP1456">
        <f ca="1"/>
      </c>
      <c r="AQ1456">
        <f ca="1"/>
      </c>
      <c r="AR1456">
        <f ca="1"/>
      </c>
      <c r="AT1456" s="7">
        <f ca="1"/>
      </c>
      <c r="AU1456">
        <f ca="1"/>
      </c>
      <c r="AV1456">
        <f ca="1"/>
      </c>
      <c r="AW1456">
        <f ca="1"/>
      </c>
      <c r="AX1456">
        <f ca="1"/>
      </c>
      <c r="AY1456">
        <f ca="1"/>
      </c>
      <c r="BA1456" s="7"/>
    </row>
    <row r="1457" spans="31:53" x14ac:dyDescent="0.55000000000000004">
      <c r="AE1457" s="7">
        <f ca="1"/>
      </c>
      <c r="AF1457">
        <f ca="1"/>
      </c>
      <c r="AG1457">
        <f ca="1"/>
      </c>
      <c r="AH1457">
        <f ca="1"/>
      </c>
      <c r="AI1457">
        <f ca="1"/>
      </c>
      <c r="AJ1457">
        <f ca="1"/>
      </c>
      <c r="AK1457">
        <f ca="1"/>
      </c>
      <c r="AL1457">
        <f ca="1"/>
      </c>
      <c r="AM1457">
        <f ca="1"/>
      </c>
      <c r="AN1457">
        <f ca="1"/>
      </c>
      <c r="AO1457">
        <f ca="1"/>
      </c>
      <c r="AP1457">
        <f ca="1"/>
      </c>
      <c r="AQ1457">
        <f ca="1"/>
      </c>
      <c r="AR1457">
        <f ca="1"/>
      </c>
      <c r="AT1457" s="7">
        <f ca="1"/>
      </c>
      <c r="AU1457">
        <f ca="1"/>
      </c>
      <c r="AV1457">
        <f ca="1"/>
      </c>
      <c r="AW1457">
        <f ca="1"/>
      </c>
      <c r="AX1457">
        <f ca="1"/>
      </c>
      <c r="AY1457">
        <f ca="1"/>
      </c>
      <c r="BA1457" s="7"/>
    </row>
    <row r="1458" spans="31:53" x14ac:dyDescent="0.55000000000000004">
      <c r="AE1458" s="7">
        <f ca="1"/>
      </c>
      <c r="AF1458">
        <f ca="1"/>
      </c>
      <c r="AG1458">
        <f ca="1"/>
      </c>
      <c r="AH1458">
        <f ca="1"/>
      </c>
      <c r="AI1458">
        <f ca="1"/>
      </c>
      <c r="AJ1458">
        <f ca="1"/>
      </c>
      <c r="AK1458">
        <f ca="1"/>
      </c>
      <c r="AL1458">
        <f ca="1"/>
      </c>
      <c r="AM1458">
        <f ca="1"/>
      </c>
      <c r="AN1458">
        <f ca="1"/>
      </c>
      <c r="AO1458">
        <f ca="1"/>
      </c>
      <c r="AP1458">
        <f ca="1"/>
      </c>
      <c r="AQ1458">
        <f ca="1"/>
      </c>
      <c r="AR1458">
        <f ca="1"/>
      </c>
      <c r="AT1458" s="7">
        <f ca="1"/>
      </c>
      <c r="AU1458">
        <f ca="1"/>
      </c>
      <c r="AV1458">
        <f ca="1"/>
      </c>
      <c r="AW1458">
        <f ca="1"/>
      </c>
      <c r="AX1458">
        <f ca="1"/>
      </c>
      <c r="AY1458">
        <f ca="1"/>
      </c>
      <c r="BA1458" s="7"/>
    </row>
    <row r="1459" spans="31:53" x14ac:dyDescent="0.55000000000000004">
      <c r="AE1459" s="7">
        <f ca="1"/>
      </c>
      <c r="AF1459">
        <f ca="1"/>
      </c>
      <c r="AG1459">
        <f ca="1"/>
      </c>
      <c r="AH1459">
        <f ca="1"/>
      </c>
      <c r="AI1459">
        <f ca="1"/>
      </c>
      <c r="AJ1459">
        <f ca="1"/>
      </c>
      <c r="AK1459">
        <f ca="1"/>
      </c>
      <c r="AL1459">
        <f ca="1"/>
      </c>
      <c r="AM1459">
        <f ca="1"/>
      </c>
      <c r="AN1459">
        <f ca="1"/>
      </c>
      <c r="AO1459">
        <f ca="1"/>
      </c>
      <c r="AP1459">
        <f ca="1"/>
      </c>
      <c r="AQ1459">
        <f ca="1"/>
      </c>
      <c r="AR1459">
        <f ca="1"/>
      </c>
      <c r="AT1459" s="7">
        <f ca="1"/>
      </c>
      <c r="AU1459">
        <f ca="1"/>
      </c>
      <c r="AV1459">
        <f ca="1"/>
      </c>
      <c r="AW1459">
        <f ca="1"/>
      </c>
      <c r="AX1459">
        <f ca="1"/>
      </c>
      <c r="AY1459">
        <f ca="1"/>
      </c>
      <c r="BA1459" s="7"/>
    </row>
    <row r="1460" spans="31:53" x14ac:dyDescent="0.55000000000000004">
      <c r="AE1460" s="7">
        <f ca="1"/>
      </c>
      <c r="AF1460">
        <f ca="1"/>
      </c>
      <c r="AG1460">
        <f ca="1"/>
      </c>
      <c r="AH1460">
        <f ca="1"/>
      </c>
      <c r="AI1460">
        <f ca="1"/>
      </c>
      <c r="AJ1460">
        <f ca="1"/>
      </c>
      <c r="AK1460">
        <f ca="1"/>
      </c>
      <c r="AL1460">
        <f ca="1"/>
      </c>
      <c r="AM1460">
        <f ca="1"/>
      </c>
      <c r="AN1460">
        <f ca="1"/>
      </c>
      <c r="AO1460">
        <f ca="1"/>
      </c>
      <c r="AP1460">
        <f ca="1"/>
      </c>
      <c r="AQ1460">
        <f ca="1"/>
      </c>
      <c r="AR1460">
        <f ca="1"/>
      </c>
      <c r="AT1460" s="7">
        <f ca="1"/>
      </c>
      <c r="AU1460">
        <f ca="1"/>
      </c>
      <c r="AV1460">
        <f ca="1"/>
      </c>
      <c r="AW1460">
        <f ca="1"/>
      </c>
      <c r="AX1460">
        <f ca="1"/>
      </c>
      <c r="AY1460">
        <f ca="1"/>
      </c>
      <c r="BA1460" s="7"/>
    </row>
    <row r="1461" spans="31:53" x14ac:dyDescent="0.55000000000000004">
      <c r="AE1461" s="7">
        <f ca="1"/>
      </c>
      <c r="AF1461">
        <f ca="1"/>
      </c>
      <c r="AG1461">
        <f ca="1"/>
      </c>
      <c r="AH1461">
        <f ca="1"/>
      </c>
      <c r="AI1461">
        <f ca="1"/>
      </c>
      <c r="AJ1461">
        <f ca="1"/>
      </c>
      <c r="AK1461">
        <f ca="1"/>
      </c>
      <c r="AL1461">
        <f ca="1"/>
      </c>
      <c r="AM1461">
        <f ca="1"/>
      </c>
      <c r="AN1461">
        <f ca="1"/>
      </c>
      <c r="AO1461">
        <f ca="1"/>
      </c>
      <c r="AP1461">
        <f ca="1"/>
      </c>
      <c r="AQ1461">
        <f ca="1"/>
      </c>
      <c r="AR1461">
        <f ca="1"/>
      </c>
      <c r="AT1461" s="7">
        <f ca="1"/>
      </c>
      <c r="AU1461">
        <f ca="1"/>
      </c>
      <c r="AV1461">
        <f ca="1"/>
      </c>
      <c r="AW1461">
        <f ca="1"/>
      </c>
      <c r="AX1461">
        <f ca="1"/>
      </c>
      <c r="AY1461">
        <f ca="1"/>
      </c>
      <c r="BA1461" s="7"/>
    </row>
    <row r="1462" spans="31:53" x14ac:dyDescent="0.55000000000000004">
      <c r="AE1462" s="7">
        <f ca="1"/>
      </c>
      <c r="AF1462">
        <f ca="1"/>
      </c>
      <c r="AG1462">
        <f ca="1"/>
      </c>
      <c r="AH1462">
        <f ca="1"/>
      </c>
      <c r="AI1462">
        <f ca="1"/>
      </c>
      <c r="AJ1462">
        <f ca="1"/>
      </c>
      <c r="AK1462">
        <f ca="1"/>
      </c>
      <c r="AL1462">
        <f ca="1"/>
      </c>
      <c r="AM1462">
        <f ca="1"/>
      </c>
      <c r="AN1462">
        <f ca="1"/>
      </c>
      <c r="AO1462">
        <f ca="1"/>
      </c>
      <c r="AP1462">
        <f ca="1"/>
      </c>
      <c r="AQ1462">
        <f ca="1"/>
      </c>
      <c r="AR1462">
        <f ca="1"/>
      </c>
      <c r="AT1462" s="7">
        <f ca="1"/>
      </c>
      <c r="AU1462">
        <f ca="1"/>
      </c>
      <c r="AV1462">
        <f ca="1"/>
      </c>
      <c r="AW1462">
        <f ca="1"/>
      </c>
      <c r="AX1462">
        <f ca="1"/>
      </c>
      <c r="AY1462">
        <f ca="1"/>
      </c>
      <c r="BA1462" s="7"/>
    </row>
    <row r="1463" spans="31:53" x14ac:dyDescent="0.55000000000000004">
      <c r="AE1463" s="7">
        <f ca="1"/>
      </c>
      <c r="AF1463">
        <f ca="1"/>
      </c>
      <c r="AG1463">
        <f ca="1"/>
      </c>
      <c r="AH1463">
        <f ca="1"/>
      </c>
      <c r="AI1463">
        <f ca="1"/>
      </c>
      <c r="AJ1463">
        <f ca="1"/>
      </c>
      <c r="AK1463">
        <f ca="1"/>
      </c>
      <c r="AL1463">
        <f ca="1"/>
      </c>
      <c r="AM1463">
        <f ca="1"/>
      </c>
      <c r="AN1463">
        <f ca="1"/>
      </c>
      <c r="AO1463">
        <f ca="1"/>
      </c>
      <c r="AP1463">
        <f ca="1"/>
      </c>
      <c r="AQ1463">
        <f ca="1"/>
      </c>
      <c r="AR1463">
        <f ca="1"/>
      </c>
      <c r="AT1463" s="7">
        <f ca="1"/>
      </c>
      <c r="AU1463">
        <f ca="1"/>
      </c>
      <c r="AV1463">
        <f ca="1"/>
      </c>
      <c r="AW1463">
        <f ca="1"/>
      </c>
      <c r="AX1463">
        <f ca="1"/>
      </c>
      <c r="AY1463">
        <f ca="1"/>
      </c>
      <c r="BA1463" s="7"/>
    </row>
    <row r="1464" spans="31:53" x14ac:dyDescent="0.55000000000000004">
      <c r="AE1464" s="7">
        <f ca="1"/>
      </c>
      <c r="AF1464">
        <f ca="1"/>
      </c>
      <c r="AG1464">
        <f ca="1"/>
      </c>
      <c r="AH1464">
        <f ca="1"/>
      </c>
      <c r="AI1464">
        <f ca="1"/>
      </c>
      <c r="AJ1464">
        <f ca="1"/>
      </c>
      <c r="AK1464">
        <f ca="1"/>
      </c>
      <c r="AL1464">
        <f ca="1"/>
      </c>
      <c r="AM1464">
        <f ca="1"/>
      </c>
      <c r="AN1464">
        <f ca="1"/>
      </c>
      <c r="AO1464">
        <f ca="1"/>
      </c>
      <c r="AP1464">
        <f ca="1"/>
      </c>
      <c r="AQ1464">
        <f ca="1"/>
      </c>
      <c r="AR1464">
        <f ca="1"/>
      </c>
      <c r="AT1464" s="7">
        <f ca="1"/>
      </c>
      <c r="AU1464">
        <f ca="1"/>
      </c>
      <c r="AV1464">
        <f ca="1"/>
      </c>
      <c r="AW1464">
        <f ca="1"/>
      </c>
      <c r="AX1464">
        <f ca="1"/>
      </c>
      <c r="AY1464">
        <f ca="1"/>
      </c>
      <c r="BA1464" s="7"/>
    </row>
    <row r="1465" spans="31:53" x14ac:dyDescent="0.55000000000000004">
      <c r="AE1465" s="7">
        <f ca="1"/>
      </c>
      <c r="AF1465">
        <f ca="1"/>
      </c>
      <c r="AG1465">
        <f ca="1"/>
      </c>
      <c r="AH1465">
        <f ca="1"/>
      </c>
      <c r="AI1465">
        <f ca="1"/>
      </c>
      <c r="AJ1465">
        <f ca="1"/>
      </c>
      <c r="AK1465">
        <f ca="1"/>
      </c>
      <c r="AL1465">
        <f ca="1"/>
      </c>
      <c r="AM1465">
        <f ca="1"/>
      </c>
      <c r="AN1465">
        <f ca="1"/>
      </c>
      <c r="AO1465">
        <f ca="1"/>
      </c>
      <c r="AP1465">
        <f ca="1"/>
      </c>
      <c r="AQ1465">
        <f ca="1"/>
      </c>
      <c r="AR1465">
        <f ca="1"/>
      </c>
      <c r="AT1465" s="7">
        <f ca="1"/>
      </c>
      <c r="AU1465">
        <f ca="1"/>
      </c>
      <c r="AV1465">
        <f ca="1"/>
      </c>
      <c r="AW1465">
        <f ca="1"/>
      </c>
      <c r="AX1465">
        <f ca="1"/>
      </c>
      <c r="AY1465">
        <f ca="1"/>
      </c>
      <c r="BA1465" s="7"/>
    </row>
    <row r="1466" spans="31:53" x14ac:dyDescent="0.55000000000000004">
      <c r="AE1466" s="7">
        <f ca="1"/>
      </c>
      <c r="AF1466">
        <f ca="1"/>
      </c>
      <c r="AG1466">
        <f ca="1"/>
      </c>
      <c r="AH1466">
        <f ca="1"/>
      </c>
      <c r="AI1466">
        <f ca="1"/>
      </c>
      <c r="AJ1466">
        <f ca="1"/>
      </c>
      <c r="AK1466">
        <f ca="1"/>
      </c>
      <c r="AL1466">
        <f ca="1"/>
      </c>
      <c r="AM1466">
        <f ca="1"/>
      </c>
      <c r="AN1466">
        <f ca="1"/>
      </c>
      <c r="AO1466">
        <f ca="1"/>
      </c>
      <c r="AP1466">
        <f ca="1"/>
      </c>
      <c r="AQ1466">
        <f ca="1"/>
      </c>
      <c r="AR1466">
        <f ca="1"/>
      </c>
      <c r="AT1466" s="7">
        <f ca="1"/>
      </c>
      <c r="AU1466">
        <f ca="1"/>
      </c>
      <c r="AV1466">
        <f ca="1"/>
      </c>
      <c r="AW1466">
        <f ca="1"/>
      </c>
      <c r="AX1466">
        <f ca="1"/>
      </c>
      <c r="AY1466">
        <f ca="1"/>
      </c>
      <c r="BA1466" s="7"/>
    </row>
    <row r="1467" spans="31:53" x14ac:dyDescent="0.55000000000000004">
      <c r="AE1467" s="7">
        <f ca="1"/>
      </c>
      <c r="AF1467">
        <f ca="1"/>
      </c>
      <c r="AG1467">
        <f ca="1"/>
      </c>
      <c r="AH1467">
        <f ca="1"/>
      </c>
      <c r="AI1467">
        <f ca="1"/>
      </c>
      <c r="AJ1467">
        <f ca="1"/>
      </c>
      <c r="AK1467">
        <f ca="1"/>
      </c>
      <c r="AL1467">
        <f ca="1"/>
      </c>
      <c r="AM1467">
        <f ca="1"/>
      </c>
      <c r="AN1467">
        <f ca="1"/>
      </c>
      <c r="AO1467">
        <f ca="1"/>
      </c>
      <c r="AP1467">
        <f ca="1"/>
      </c>
      <c r="AQ1467">
        <f ca="1"/>
      </c>
      <c r="AR1467">
        <f ca="1"/>
      </c>
      <c r="AT1467" s="7">
        <f ca="1"/>
      </c>
      <c r="AU1467">
        <f ca="1"/>
      </c>
      <c r="AV1467">
        <f ca="1"/>
      </c>
      <c r="AW1467">
        <f ca="1"/>
      </c>
      <c r="AX1467">
        <f ca="1"/>
      </c>
      <c r="AY1467">
        <f ca="1"/>
      </c>
      <c r="BA1467" s="7"/>
    </row>
    <row r="1468" spans="31:53" x14ac:dyDescent="0.55000000000000004">
      <c r="AE1468" s="7">
        <f ca="1"/>
      </c>
      <c r="AF1468">
        <f ca="1"/>
      </c>
      <c r="AG1468">
        <f ca="1"/>
      </c>
      <c r="AH1468">
        <f ca="1"/>
      </c>
      <c r="AI1468">
        <f ca="1"/>
      </c>
      <c r="AJ1468">
        <f ca="1"/>
      </c>
      <c r="AK1468">
        <f ca="1"/>
      </c>
      <c r="AL1468">
        <f ca="1"/>
      </c>
      <c r="AM1468">
        <f ca="1"/>
      </c>
      <c r="AN1468">
        <f ca="1"/>
      </c>
      <c r="AO1468">
        <f ca="1"/>
      </c>
      <c r="AP1468">
        <f ca="1"/>
      </c>
      <c r="AQ1468">
        <f ca="1"/>
      </c>
      <c r="AR1468">
        <f ca="1"/>
      </c>
      <c r="AT1468" s="7">
        <f ca="1"/>
      </c>
      <c r="AU1468">
        <f ca="1"/>
      </c>
      <c r="AV1468">
        <f ca="1"/>
      </c>
      <c r="AW1468">
        <f ca="1"/>
      </c>
      <c r="AX1468">
        <f ca="1"/>
      </c>
      <c r="AY1468">
        <f ca="1"/>
      </c>
      <c r="BA1468" s="7"/>
    </row>
    <row r="1469" spans="31:53" x14ac:dyDescent="0.55000000000000004">
      <c r="AE1469" s="7">
        <f ca="1"/>
      </c>
      <c r="AF1469">
        <f ca="1"/>
      </c>
      <c r="AG1469">
        <f ca="1"/>
      </c>
      <c r="AH1469">
        <f ca="1"/>
      </c>
      <c r="AI1469">
        <f ca="1"/>
      </c>
      <c r="AJ1469">
        <f ca="1"/>
      </c>
      <c r="AK1469">
        <f ca="1"/>
      </c>
      <c r="AL1469">
        <f ca="1"/>
      </c>
      <c r="AM1469">
        <f ca="1"/>
      </c>
      <c r="AN1469">
        <f ca="1"/>
      </c>
      <c r="AO1469">
        <f ca="1"/>
      </c>
      <c r="AP1469">
        <f ca="1"/>
      </c>
      <c r="AQ1469">
        <f ca="1"/>
      </c>
      <c r="AR1469">
        <f ca="1"/>
      </c>
      <c r="AT1469" s="7">
        <f ca="1"/>
      </c>
      <c r="AU1469">
        <f ca="1"/>
      </c>
      <c r="AV1469">
        <f ca="1"/>
      </c>
      <c r="AW1469">
        <f ca="1"/>
      </c>
      <c r="AX1469">
        <f ca="1"/>
      </c>
      <c r="AY1469">
        <f ca="1"/>
      </c>
      <c r="BA1469" s="7"/>
    </row>
    <row r="1470" spans="31:53" x14ac:dyDescent="0.55000000000000004">
      <c r="AE1470" s="7">
        <f ca="1"/>
      </c>
      <c r="AF1470">
        <f ca="1"/>
      </c>
      <c r="AG1470">
        <f ca="1"/>
      </c>
      <c r="AH1470">
        <f ca="1"/>
      </c>
      <c r="AI1470">
        <f ca="1"/>
      </c>
      <c r="AJ1470">
        <f ca="1"/>
      </c>
      <c r="AK1470">
        <f ca="1"/>
      </c>
      <c r="AL1470">
        <f ca="1"/>
      </c>
      <c r="AM1470">
        <f ca="1"/>
      </c>
      <c r="AN1470">
        <f ca="1"/>
      </c>
      <c r="AO1470">
        <f ca="1"/>
      </c>
      <c r="AP1470">
        <f ca="1"/>
      </c>
      <c r="AQ1470">
        <f ca="1"/>
      </c>
      <c r="AR1470">
        <f ca="1"/>
      </c>
      <c r="AT1470" s="7">
        <f ca="1"/>
      </c>
      <c r="AU1470">
        <f ca="1"/>
      </c>
      <c r="AV1470">
        <f ca="1"/>
      </c>
      <c r="AW1470">
        <f ca="1"/>
      </c>
      <c r="AX1470">
        <f ca="1"/>
      </c>
      <c r="AY1470">
        <f ca="1"/>
      </c>
      <c r="BA1470" s="7"/>
    </row>
    <row r="1471" spans="31:53" x14ac:dyDescent="0.55000000000000004">
      <c r="AE1471" s="7">
        <f ca="1"/>
      </c>
      <c r="AF1471">
        <f ca="1"/>
      </c>
      <c r="AG1471">
        <f ca="1"/>
      </c>
      <c r="AH1471">
        <f ca="1"/>
      </c>
      <c r="AI1471">
        <f ca="1"/>
      </c>
      <c r="AJ1471">
        <f ca="1"/>
      </c>
      <c r="AK1471">
        <f ca="1"/>
      </c>
      <c r="AL1471">
        <f ca="1"/>
      </c>
      <c r="AM1471">
        <f ca="1"/>
      </c>
      <c r="AN1471">
        <f ca="1"/>
      </c>
      <c r="AO1471">
        <f ca="1"/>
      </c>
      <c r="AP1471">
        <f ca="1"/>
      </c>
      <c r="AQ1471">
        <f ca="1"/>
      </c>
      <c r="AR1471">
        <f ca="1"/>
      </c>
      <c r="AT1471" s="7">
        <f ca="1"/>
      </c>
      <c r="AU1471">
        <f ca="1"/>
      </c>
      <c r="AV1471">
        <f ca="1"/>
      </c>
      <c r="AW1471">
        <f ca="1"/>
      </c>
      <c r="AX1471">
        <f ca="1"/>
      </c>
      <c r="AY1471">
        <f ca="1"/>
      </c>
      <c r="BA1471" s="7"/>
    </row>
    <row r="1472" spans="31:53" x14ac:dyDescent="0.55000000000000004">
      <c r="AE1472" s="7">
        <f ca="1"/>
      </c>
      <c r="AF1472">
        <f ca="1"/>
      </c>
      <c r="AG1472">
        <f ca="1"/>
      </c>
      <c r="AH1472">
        <f ca="1"/>
      </c>
      <c r="AI1472">
        <f ca="1"/>
      </c>
      <c r="AJ1472">
        <f ca="1"/>
      </c>
      <c r="AK1472">
        <f ca="1"/>
      </c>
      <c r="AL1472">
        <f ca="1"/>
      </c>
      <c r="AM1472">
        <f ca="1"/>
      </c>
      <c r="AN1472">
        <f ca="1"/>
      </c>
      <c r="AO1472">
        <f ca="1"/>
      </c>
      <c r="AP1472">
        <f ca="1"/>
      </c>
      <c r="AQ1472">
        <f ca="1"/>
      </c>
      <c r="AR1472">
        <f ca="1"/>
      </c>
      <c r="AT1472" s="7">
        <f ca="1"/>
      </c>
      <c r="AU1472">
        <f ca="1"/>
      </c>
      <c r="AV1472">
        <f ca="1"/>
      </c>
      <c r="AW1472">
        <f ca="1"/>
      </c>
      <c r="AX1472">
        <f ca="1"/>
      </c>
      <c r="AY1472">
        <f ca="1"/>
      </c>
      <c r="BA1472" s="7"/>
    </row>
    <row r="1473" spans="31:53" x14ac:dyDescent="0.55000000000000004">
      <c r="AE1473" s="7">
        <f ca="1"/>
      </c>
      <c r="AF1473">
        <f ca="1"/>
      </c>
      <c r="AG1473">
        <f ca="1"/>
      </c>
      <c r="AH1473">
        <f ca="1"/>
      </c>
      <c r="AI1473">
        <f ca="1"/>
      </c>
      <c r="AJ1473">
        <f ca="1"/>
      </c>
      <c r="AK1473">
        <f ca="1"/>
      </c>
      <c r="AL1473">
        <f ca="1"/>
      </c>
      <c r="AM1473">
        <f ca="1"/>
      </c>
      <c r="AN1473">
        <f ca="1"/>
      </c>
      <c r="AO1473">
        <f ca="1"/>
      </c>
      <c r="AP1473">
        <f ca="1"/>
      </c>
      <c r="AQ1473">
        <f ca="1"/>
      </c>
      <c r="AR1473">
        <f ca="1"/>
      </c>
      <c r="AT1473" s="7">
        <f ca="1"/>
      </c>
      <c r="AU1473">
        <f ca="1"/>
      </c>
      <c r="AV1473">
        <f ca="1"/>
      </c>
      <c r="AW1473">
        <f ca="1"/>
      </c>
      <c r="AX1473">
        <f ca="1"/>
      </c>
      <c r="AY1473">
        <f ca="1"/>
      </c>
      <c r="BA1473" s="7"/>
    </row>
    <row r="1474" spans="31:53" x14ac:dyDescent="0.55000000000000004">
      <c r="AE1474" s="7">
        <f ca="1"/>
      </c>
      <c r="AF1474">
        <f ca="1"/>
      </c>
      <c r="AG1474">
        <f ca="1"/>
      </c>
      <c r="AH1474">
        <f ca="1"/>
      </c>
      <c r="AI1474">
        <f ca="1"/>
      </c>
      <c r="AJ1474">
        <f ca="1"/>
      </c>
      <c r="AK1474">
        <f ca="1"/>
      </c>
      <c r="AL1474">
        <f ca="1"/>
      </c>
      <c r="AM1474">
        <f ca="1"/>
      </c>
      <c r="AN1474">
        <f ca="1"/>
      </c>
      <c r="AO1474">
        <f ca="1"/>
      </c>
      <c r="AP1474">
        <f ca="1"/>
      </c>
      <c r="AQ1474">
        <f ca="1"/>
      </c>
      <c r="AR1474">
        <f ca="1"/>
      </c>
      <c r="AT1474" s="7">
        <f ca="1"/>
      </c>
      <c r="AU1474">
        <f ca="1"/>
      </c>
      <c r="AV1474">
        <f ca="1"/>
      </c>
      <c r="AW1474">
        <f ca="1"/>
      </c>
      <c r="AX1474">
        <f ca="1"/>
      </c>
      <c r="AY1474">
        <f ca="1"/>
      </c>
      <c r="BA1474" s="7"/>
    </row>
    <row r="1475" spans="31:53" x14ac:dyDescent="0.55000000000000004">
      <c r="AE1475" s="7">
        <f ca="1"/>
      </c>
      <c r="AF1475">
        <f ca="1"/>
      </c>
      <c r="AG1475">
        <f ca="1"/>
      </c>
      <c r="AH1475">
        <f ca="1"/>
      </c>
      <c r="AI1475">
        <f ca="1"/>
      </c>
      <c r="AJ1475">
        <f ca="1"/>
      </c>
      <c r="AK1475">
        <f ca="1"/>
      </c>
      <c r="AL1475">
        <f ca="1"/>
      </c>
      <c r="AM1475">
        <f ca="1"/>
      </c>
      <c r="AN1475">
        <f ca="1"/>
      </c>
      <c r="AO1475">
        <f ca="1"/>
      </c>
      <c r="AP1475">
        <f ca="1"/>
      </c>
      <c r="AQ1475">
        <f ca="1"/>
      </c>
      <c r="AR1475">
        <f ca="1"/>
      </c>
      <c r="AT1475" s="7">
        <f ca="1"/>
      </c>
      <c r="AU1475">
        <f ca="1"/>
      </c>
      <c r="AV1475">
        <f ca="1"/>
      </c>
      <c r="AW1475">
        <f ca="1"/>
      </c>
      <c r="AX1475">
        <f ca="1"/>
      </c>
      <c r="AY1475">
        <f ca="1"/>
      </c>
      <c r="BA1475" s="7"/>
    </row>
    <row r="1476" spans="31:53" x14ac:dyDescent="0.55000000000000004">
      <c r="AE1476" s="7">
        <f ca="1"/>
      </c>
      <c r="AF1476">
        <f ca="1"/>
      </c>
      <c r="AG1476">
        <f ca="1"/>
      </c>
      <c r="AH1476">
        <f ca="1"/>
      </c>
      <c r="AI1476">
        <f ca="1"/>
      </c>
      <c r="AJ1476">
        <f ca="1"/>
      </c>
      <c r="AK1476">
        <f ca="1"/>
      </c>
      <c r="AL1476">
        <f ca="1"/>
      </c>
      <c r="AM1476">
        <f ca="1"/>
      </c>
      <c r="AN1476">
        <f ca="1"/>
      </c>
      <c r="AO1476">
        <f ca="1"/>
      </c>
      <c r="AP1476">
        <f ca="1"/>
      </c>
      <c r="AQ1476">
        <f ca="1"/>
      </c>
      <c r="AR1476">
        <f ca="1"/>
      </c>
      <c r="AT1476" s="7">
        <f ca="1"/>
      </c>
      <c r="AU1476">
        <f ca="1"/>
      </c>
      <c r="AV1476">
        <f ca="1"/>
      </c>
      <c r="AW1476">
        <f ca="1"/>
      </c>
      <c r="AX1476">
        <f ca="1"/>
      </c>
      <c r="AY1476">
        <f ca="1"/>
      </c>
      <c r="BA1476" s="7"/>
    </row>
    <row r="1477" spans="31:53" x14ac:dyDescent="0.55000000000000004">
      <c r="AE1477" s="7">
        <f ca="1"/>
      </c>
      <c r="AF1477">
        <f ca="1"/>
      </c>
      <c r="AG1477">
        <f ca="1"/>
      </c>
      <c r="AH1477">
        <f ca="1"/>
      </c>
      <c r="AI1477">
        <f ca="1"/>
      </c>
      <c r="AJ1477">
        <f ca="1"/>
      </c>
      <c r="AK1477">
        <f ca="1"/>
      </c>
      <c r="AL1477">
        <f ca="1"/>
      </c>
      <c r="AM1477">
        <f ca="1"/>
      </c>
      <c r="AN1477">
        <f ca="1"/>
      </c>
      <c r="AO1477">
        <f ca="1"/>
      </c>
      <c r="AP1477">
        <f ca="1"/>
      </c>
      <c r="AQ1477">
        <f ca="1"/>
      </c>
      <c r="AR1477">
        <f ca="1"/>
      </c>
      <c r="AT1477" s="7">
        <f ca="1"/>
      </c>
      <c r="AU1477">
        <f ca="1"/>
      </c>
      <c r="AV1477">
        <f ca="1"/>
      </c>
      <c r="AW1477">
        <f ca="1"/>
      </c>
      <c r="AX1477">
        <f ca="1"/>
      </c>
      <c r="AY1477">
        <f ca="1"/>
      </c>
      <c r="BA1477" s="7"/>
    </row>
    <row r="1478" spans="31:53" x14ac:dyDescent="0.55000000000000004">
      <c r="AE1478" s="7">
        <f ca="1"/>
      </c>
      <c r="AF1478">
        <f ca="1"/>
      </c>
      <c r="AG1478">
        <f ca="1"/>
      </c>
      <c r="AH1478">
        <f ca="1"/>
      </c>
      <c r="AI1478">
        <f ca="1"/>
      </c>
      <c r="AJ1478">
        <f ca="1"/>
      </c>
      <c r="AK1478">
        <f ca="1"/>
      </c>
      <c r="AL1478">
        <f ca="1"/>
      </c>
      <c r="AM1478">
        <f ca="1"/>
      </c>
      <c r="AN1478">
        <f ca="1"/>
      </c>
      <c r="AO1478">
        <f ca="1"/>
      </c>
      <c r="AP1478">
        <f ca="1"/>
      </c>
      <c r="AQ1478">
        <f ca="1"/>
      </c>
      <c r="AR1478">
        <f ca="1"/>
      </c>
      <c r="AT1478" s="7">
        <f ca="1"/>
      </c>
      <c r="AU1478">
        <f ca="1"/>
      </c>
      <c r="AV1478">
        <f ca="1"/>
      </c>
      <c r="AW1478">
        <f ca="1"/>
      </c>
      <c r="AX1478">
        <f ca="1"/>
      </c>
      <c r="AY1478">
        <f ca="1"/>
      </c>
      <c r="BA1478" s="7"/>
    </row>
    <row r="1479" spans="31:53" x14ac:dyDescent="0.55000000000000004">
      <c r="AE1479" s="7">
        <f ca="1"/>
      </c>
      <c r="AF1479">
        <f ca="1"/>
      </c>
      <c r="AG1479">
        <f ca="1"/>
      </c>
      <c r="AH1479">
        <f ca="1"/>
      </c>
      <c r="AI1479">
        <f ca="1"/>
      </c>
      <c r="AJ1479">
        <f ca="1"/>
      </c>
      <c r="AK1479">
        <f ca="1"/>
      </c>
      <c r="AL1479">
        <f ca="1"/>
      </c>
      <c r="AM1479">
        <f ca="1"/>
      </c>
      <c r="AN1479">
        <f ca="1"/>
      </c>
      <c r="AO1479">
        <f ca="1"/>
      </c>
      <c r="AP1479">
        <f ca="1"/>
      </c>
      <c r="AQ1479">
        <f ca="1"/>
      </c>
      <c r="AR1479">
        <f ca="1"/>
      </c>
      <c r="AT1479" s="7">
        <f ca="1"/>
      </c>
      <c r="AU1479">
        <f ca="1"/>
      </c>
      <c r="AV1479">
        <f ca="1"/>
      </c>
      <c r="AW1479">
        <f ca="1"/>
      </c>
      <c r="AX1479">
        <f ca="1"/>
      </c>
      <c r="AY1479">
        <f ca="1"/>
      </c>
      <c r="BA1479" s="7"/>
    </row>
    <row r="1480" spans="31:53" x14ac:dyDescent="0.55000000000000004">
      <c r="AE1480" s="7">
        <f ca="1"/>
      </c>
      <c r="AF1480">
        <f ca="1"/>
      </c>
      <c r="AG1480">
        <f ca="1"/>
      </c>
      <c r="AH1480">
        <f ca="1"/>
      </c>
      <c r="AI1480">
        <f ca="1"/>
      </c>
      <c r="AJ1480">
        <f ca="1"/>
      </c>
      <c r="AK1480">
        <f ca="1"/>
      </c>
      <c r="AL1480">
        <f ca="1"/>
      </c>
      <c r="AM1480">
        <f ca="1"/>
      </c>
      <c r="AN1480">
        <f ca="1"/>
      </c>
      <c r="AO1480">
        <f ca="1"/>
      </c>
      <c r="AP1480">
        <f ca="1"/>
      </c>
      <c r="AQ1480">
        <f ca="1"/>
      </c>
      <c r="AR1480">
        <f ca="1"/>
      </c>
      <c r="AT1480" s="7">
        <f ca="1"/>
      </c>
      <c r="AU1480">
        <f ca="1"/>
      </c>
      <c r="AV1480">
        <f ca="1"/>
      </c>
      <c r="AW1480">
        <f ca="1"/>
      </c>
      <c r="AX1480">
        <f ca="1"/>
      </c>
      <c r="AY1480">
        <f ca="1"/>
      </c>
      <c r="BA1480" s="7"/>
    </row>
    <row r="1481" spans="31:53" x14ac:dyDescent="0.55000000000000004">
      <c r="AE1481" s="7">
        <f ca="1"/>
      </c>
      <c r="AF1481">
        <f ca="1"/>
      </c>
      <c r="AG1481">
        <f ca="1"/>
      </c>
      <c r="AH1481">
        <f ca="1"/>
      </c>
      <c r="AI1481">
        <f ca="1"/>
      </c>
      <c r="AJ1481">
        <f ca="1"/>
      </c>
      <c r="AK1481">
        <f ca="1"/>
      </c>
      <c r="AL1481">
        <f ca="1"/>
      </c>
      <c r="AM1481">
        <f ca="1"/>
      </c>
      <c r="AN1481">
        <f ca="1"/>
      </c>
      <c r="AO1481">
        <f ca="1"/>
      </c>
      <c r="AP1481">
        <f ca="1"/>
      </c>
      <c r="AQ1481">
        <f ca="1"/>
      </c>
      <c r="AR1481">
        <f ca="1"/>
      </c>
      <c r="AT1481" s="7">
        <f ca="1"/>
      </c>
      <c r="AU1481">
        <f ca="1"/>
      </c>
      <c r="AV1481">
        <f ca="1"/>
      </c>
      <c r="AW1481">
        <f ca="1"/>
      </c>
      <c r="AX1481">
        <f ca="1"/>
      </c>
      <c r="AY1481">
        <f ca="1"/>
      </c>
      <c r="BA1481" s="7"/>
    </row>
    <row r="1482" spans="31:53" x14ac:dyDescent="0.55000000000000004">
      <c r="AE1482" s="7">
        <f ca="1"/>
      </c>
      <c r="AF1482">
        <f ca="1"/>
      </c>
      <c r="AG1482">
        <f ca="1"/>
      </c>
      <c r="AH1482">
        <f ca="1"/>
      </c>
      <c r="AI1482">
        <f ca="1"/>
      </c>
      <c r="AJ1482">
        <f ca="1"/>
      </c>
      <c r="AK1482">
        <f ca="1"/>
      </c>
      <c r="AL1482">
        <f ca="1"/>
      </c>
      <c r="AM1482">
        <f ca="1"/>
      </c>
      <c r="AN1482">
        <f ca="1"/>
      </c>
      <c r="AO1482">
        <f ca="1"/>
      </c>
      <c r="AP1482">
        <f ca="1"/>
      </c>
      <c r="AQ1482">
        <f ca="1"/>
      </c>
      <c r="AR1482">
        <f ca="1"/>
      </c>
      <c r="AT1482" s="7">
        <f ca="1"/>
      </c>
      <c r="AU1482">
        <f ca="1"/>
      </c>
      <c r="AV1482">
        <f ca="1"/>
      </c>
      <c r="AW1482">
        <f ca="1"/>
      </c>
      <c r="AX1482">
        <f ca="1"/>
      </c>
      <c r="AY1482">
        <f ca="1"/>
      </c>
      <c r="BA1482" s="7"/>
    </row>
    <row r="1483" spans="31:53" x14ac:dyDescent="0.55000000000000004">
      <c r="AE1483" s="7">
        <f ca="1"/>
      </c>
      <c r="AF1483">
        <f ca="1"/>
      </c>
      <c r="AG1483">
        <f ca="1"/>
      </c>
      <c r="AH1483">
        <f ca="1"/>
      </c>
      <c r="AI1483">
        <f ca="1"/>
      </c>
      <c r="AJ1483">
        <f ca="1"/>
      </c>
      <c r="AK1483">
        <f ca="1"/>
      </c>
      <c r="AL1483">
        <f ca="1"/>
      </c>
      <c r="AM1483">
        <f ca="1"/>
      </c>
      <c r="AN1483">
        <f ca="1"/>
      </c>
      <c r="AO1483">
        <f ca="1"/>
      </c>
      <c r="AP1483">
        <f ca="1"/>
      </c>
      <c r="AQ1483">
        <f ca="1"/>
      </c>
      <c r="AR1483">
        <f ca="1"/>
      </c>
      <c r="AT1483" s="7">
        <f ca="1"/>
      </c>
      <c r="AU1483">
        <f ca="1"/>
      </c>
      <c r="AV1483">
        <f ca="1"/>
      </c>
      <c r="AW1483">
        <f ca="1"/>
      </c>
      <c r="AX1483">
        <f ca="1"/>
      </c>
      <c r="AY1483">
        <f ca="1"/>
      </c>
      <c r="BA1483" s="7"/>
    </row>
    <row r="1484" spans="31:53" x14ac:dyDescent="0.55000000000000004">
      <c r="AE1484" s="7">
        <f ca="1"/>
      </c>
      <c r="AF1484">
        <f ca="1"/>
      </c>
      <c r="AG1484">
        <f ca="1"/>
      </c>
      <c r="AH1484">
        <f ca="1"/>
      </c>
      <c r="AI1484">
        <f ca="1"/>
      </c>
      <c r="AJ1484">
        <f ca="1"/>
      </c>
      <c r="AK1484">
        <f ca="1"/>
      </c>
      <c r="AL1484">
        <f ca="1"/>
      </c>
      <c r="AM1484">
        <f ca="1"/>
      </c>
      <c r="AN1484">
        <f ca="1"/>
      </c>
      <c r="AO1484">
        <f ca="1"/>
      </c>
      <c r="AP1484">
        <f ca="1"/>
      </c>
      <c r="AQ1484">
        <f ca="1"/>
      </c>
      <c r="AR1484">
        <f ca="1"/>
      </c>
      <c r="AT1484" s="7">
        <f ca="1"/>
      </c>
      <c r="AU1484">
        <f ca="1"/>
      </c>
      <c r="AV1484">
        <f ca="1"/>
      </c>
      <c r="AW1484">
        <f ca="1"/>
      </c>
      <c r="AX1484">
        <f ca="1"/>
      </c>
      <c r="AY1484">
        <f ca="1"/>
      </c>
      <c r="BA1484" s="7"/>
    </row>
    <row r="1485" spans="31:53" x14ac:dyDescent="0.55000000000000004">
      <c r="AE1485" s="7">
        <f ca="1"/>
      </c>
      <c r="AF1485">
        <f ca="1"/>
      </c>
      <c r="AG1485">
        <f ca="1"/>
      </c>
      <c r="AH1485">
        <f ca="1"/>
      </c>
      <c r="AI1485">
        <f ca="1"/>
      </c>
      <c r="AJ1485">
        <f ca="1"/>
      </c>
      <c r="AK1485">
        <f ca="1"/>
      </c>
      <c r="AL1485">
        <f ca="1"/>
      </c>
      <c r="AM1485">
        <f ca="1"/>
      </c>
      <c r="AN1485">
        <f ca="1"/>
      </c>
      <c r="AO1485">
        <f ca="1"/>
      </c>
      <c r="AP1485">
        <f ca="1"/>
      </c>
      <c r="AQ1485">
        <f ca="1"/>
      </c>
      <c r="AR1485">
        <f ca="1"/>
      </c>
      <c r="AT1485" s="7">
        <f ca="1"/>
      </c>
      <c r="AU1485">
        <f ca="1"/>
      </c>
      <c r="AV1485">
        <f ca="1"/>
      </c>
      <c r="AW1485">
        <f ca="1"/>
      </c>
      <c r="AX1485">
        <f ca="1"/>
      </c>
      <c r="AY1485">
        <f ca="1"/>
      </c>
      <c r="BA1485" s="7"/>
    </row>
    <row r="1486" spans="31:53" x14ac:dyDescent="0.55000000000000004">
      <c r="AE1486" s="7">
        <f ca="1"/>
      </c>
      <c r="AF1486">
        <f ca="1"/>
      </c>
      <c r="AG1486">
        <f ca="1"/>
      </c>
      <c r="AH1486">
        <f ca="1"/>
      </c>
      <c r="AI1486">
        <f ca="1"/>
      </c>
      <c r="AJ1486">
        <f ca="1"/>
      </c>
      <c r="AK1486">
        <f ca="1"/>
      </c>
      <c r="AL1486">
        <f ca="1"/>
      </c>
      <c r="AM1486">
        <f ca="1"/>
      </c>
      <c r="AN1486">
        <f ca="1"/>
      </c>
      <c r="AO1486">
        <f ca="1"/>
      </c>
      <c r="AP1486">
        <f ca="1"/>
      </c>
      <c r="AQ1486">
        <f ca="1"/>
      </c>
      <c r="AR1486">
        <f ca="1"/>
      </c>
      <c r="AT1486" s="7">
        <f ca="1"/>
      </c>
      <c r="AU1486">
        <f ca="1"/>
      </c>
      <c r="AV1486">
        <f ca="1"/>
      </c>
      <c r="AW1486">
        <f ca="1"/>
      </c>
      <c r="AX1486">
        <f ca="1"/>
      </c>
      <c r="AY1486">
        <f ca="1"/>
      </c>
      <c r="BA1486" s="7"/>
    </row>
    <row r="1487" spans="31:53" x14ac:dyDescent="0.55000000000000004">
      <c r="AE1487" s="7">
        <f ca="1"/>
      </c>
      <c r="AF1487">
        <f ca="1"/>
      </c>
      <c r="AG1487">
        <f ca="1"/>
      </c>
      <c r="AH1487">
        <f ca="1"/>
      </c>
      <c r="AI1487">
        <f ca="1"/>
      </c>
      <c r="AJ1487">
        <f ca="1"/>
      </c>
      <c r="AK1487">
        <f ca="1"/>
      </c>
      <c r="AL1487">
        <f ca="1"/>
      </c>
      <c r="AM1487">
        <f ca="1"/>
      </c>
      <c r="AN1487">
        <f ca="1"/>
      </c>
      <c r="AO1487">
        <f ca="1"/>
      </c>
      <c r="AP1487">
        <f ca="1"/>
      </c>
      <c r="AQ1487">
        <f ca="1"/>
      </c>
      <c r="AR1487">
        <f ca="1"/>
      </c>
      <c r="AT1487" s="7">
        <f ca="1"/>
      </c>
      <c r="AU1487">
        <f ca="1"/>
      </c>
      <c r="AV1487">
        <f ca="1"/>
      </c>
      <c r="AW1487">
        <f ca="1"/>
      </c>
      <c r="AX1487">
        <f ca="1"/>
      </c>
      <c r="AY1487">
        <f ca="1"/>
      </c>
      <c r="BA1487" s="7"/>
    </row>
    <row r="1488" spans="31:53" x14ac:dyDescent="0.55000000000000004">
      <c r="AE1488" s="7">
        <f ca="1"/>
      </c>
      <c r="AF1488">
        <f ca="1"/>
      </c>
      <c r="AG1488">
        <f ca="1"/>
      </c>
      <c r="AH1488">
        <f ca="1"/>
      </c>
      <c r="AI1488">
        <f ca="1"/>
      </c>
      <c r="AJ1488">
        <f ca="1"/>
      </c>
      <c r="AK1488">
        <f ca="1"/>
      </c>
      <c r="AL1488">
        <f ca="1"/>
      </c>
      <c r="AM1488">
        <f ca="1"/>
      </c>
      <c r="AN1488">
        <f ca="1"/>
      </c>
      <c r="AO1488">
        <f ca="1"/>
      </c>
      <c r="AP1488">
        <f ca="1"/>
      </c>
      <c r="AQ1488">
        <f ca="1"/>
      </c>
      <c r="AR1488">
        <f ca="1"/>
      </c>
      <c r="AT1488" s="7">
        <f ca="1"/>
      </c>
      <c r="AU1488">
        <f ca="1"/>
      </c>
      <c r="AV1488">
        <f ca="1"/>
      </c>
      <c r="AW1488">
        <f ca="1"/>
      </c>
      <c r="AX1488">
        <f ca="1"/>
      </c>
      <c r="AY1488">
        <f ca="1"/>
      </c>
      <c r="BA1488" s="7"/>
    </row>
    <row r="1489" spans="31:53" x14ac:dyDescent="0.55000000000000004">
      <c r="AE1489" s="7">
        <f ca="1"/>
      </c>
      <c r="AF1489">
        <f ca="1"/>
      </c>
      <c r="AG1489">
        <f ca="1"/>
      </c>
      <c r="AH1489">
        <f ca="1"/>
      </c>
      <c r="AI1489">
        <f ca="1"/>
      </c>
      <c r="AJ1489">
        <f ca="1"/>
      </c>
      <c r="AK1489">
        <f ca="1"/>
      </c>
      <c r="AL1489">
        <f ca="1"/>
      </c>
      <c r="AM1489">
        <f ca="1"/>
      </c>
      <c r="AN1489">
        <f ca="1"/>
      </c>
      <c r="AO1489">
        <f ca="1"/>
      </c>
      <c r="AP1489">
        <f ca="1"/>
      </c>
      <c r="AQ1489">
        <f ca="1"/>
      </c>
      <c r="AR1489">
        <f ca="1"/>
      </c>
      <c r="AT1489" s="7">
        <f ca="1"/>
      </c>
      <c r="AU1489">
        <f ca="1"/>
      </c>
      <c r="AV1489">
        <f ca="1"/>
      </c>
      <c r="AW1489">
        <f ca="1"/>
      </c>
      <c r="AX1489">
        <f ca="1"/>
      </c>
      <c r="AY1489">
        <f ca="1"/>
      </c>
      <c r="BA1489" s="7"/>
    </row>
    <row r="1490" spans="31:53" x14ac:dyDescent="0.55000000000000004">
      <c r="AE1490" s="7">
        <f ca="1"/>
      </c>
      <c r="AF1490">
        <f ca="1"/>
      </c>
      <c r="AG1490">
        <f ca="1"/>
      </c>
      <c r="AH1490">
        <f ca="1"/>
      </c>
      <c r="AI1490">
        <f ca="1"/>
      </c>
      <c r="AJ1490">
        <f ca="1"/>
      </c>
      <c r="AK1490">
        <f ca="1"/>
      </c>
      <c r="AL1490">
        <f ca="1"/>
      </c>
      <c r="AM1490">
        <f ca="1"/>
      </c>
      <c r="AN1490">
        <f ca="1"/>
      </c>
      <c r="AO1490">
        <f ca="1"/>
      </c>
      <c r="AP1490">
        <f ca="1"/>
      </c>
      <c r="AQ1490">
        <f ca="1"/>
      </c>
      <c r="AR1490">
        <f ca="1"/>
      </c>
      <c r="AT1490" s="7">
        <f ca="1"/>
      </c>
      <c r="AU1490">
        <f ca="1"/>
      </c>
      <c r="AV1490">
        <f ca="1"/>
      </c>
      <c r="AW1490">
        <f ca="1"/>
      </c>
      <c r="AX1490">
        <f ca="1"/>
      </c>
      <c r="AY1490">
        <f ca="1"/>
      </c>
      <c r="BA1490" s="7"/>
    </row>
    <row r="1491" spans="31:53" x14ac:dyDescent="0.55000000000000004">
      <c r="AE1491" s="7">
        <f ca="1"/>
      </c>
      <c r="AF1491">
        <f ca="1"/>
      </c>
      <c r="AG1491">
        <f ca="1"/>
      </c>
      <c r="AH1491">
        <f ca="1"/>
      </c>
      <c r="AI1491">
        <f ca="1"/>
      </c>
      <c r="AJ1491">
        <f ca="1"/>
      </c>
      <c r="AK1491">
        <f ca="1"/>
      </c>
      <c r="AL1491">
        <f ca="1"/>
      </c>
      <c r="AM1491">
        <f ca="1"/>
      </c>
      <c r="AN1491">
        <f ca="1"/>
      </c>
      <c r="AO1491">
        <f ca="1"/>
      </c>
      <c r="AP1491">
        <f ca="1"/>
      </c>
      <c r="AQ1491">
        <f ca="1"/>
      </c>
      <c r="AR1491">
        <f ca="1"/>
      </c>
      <c r="AT1491" s="7">
        <f ca="1"/>
      </c>
      <c r="AU1491">
        <f ca="1"/>
      </c>
      <c r="AV1491">
        <f ca="1"/>
      </c>
      <c r="AW1491">
        <f ca="1"/>
      </c>
      <c r="AX1491">
        <f ca="1"/>
      </c>
      <c r="AY1491">
        <f ca="1"/>
      </c>
      <c r="BA1491" s="7"/>
    </row>
    <row r="1492" spans="31:53" x14ac:dyDescent="0.55000000000000004">
      <c r="AE1492" s="7">
        <f ca="1"/>
      </c>
      <c r="AF1492">
        <f ca="1"/>
      </c>
      <c r="AG1492">
        <f ca="1"/>
      </c>
      <c r="AH1492">
        <f ca="1"/>
      </c>
      <c r="AI1492">
        <f ca="1"/>
      </c>
      <c r="AJ1492">
        <f ca="1"/>
      </c>
      <c r="AK1492">
        <f ca="1"/>
      </c>
      <c r="AL1492">
        <f ca="1"/>
      </c>
      <c r="AM1492">
        <f ca="1"/>
      </c>
      <c r="AN1492">
        <f ca="1"/>
      </c>
      <c r="AO1492">
        <f ca="1"/>
      </c>
      <c r="AP1492">
        <f ca="1"/>
      </c>
      <c r="AQ1492">
        <f ca="1"/>
      </c>
      <c r="AR1492">
        <f ca="1"/>
      </c>
      <c r="AT1492" s="7">
        <f ca="1"/>
      </c>
      <c r="AU1492">
        <f ca="1"/>
      </c>
      <c r="AV1492">
        <f ca="1"/>
      </c>
      <c r="AW1492">
        <f ca="1"/>
      </c>
      <c r="AX1492">
        <f ca="1"/>
      </c>
      <c r="AY1492">
        <f ca="1"/>
      </c>
      <c r="BA1492" s="7"/>
    </row>
    <row r="1493" spans="31:53" x14ac:dyDescent="0.55000000000000004">
      <c r="AE1493" s="7">
        <f ca="1"/>
      </c>
      <c r="AF1493">
        <f ca="1"/>
      </c>
      <c r="AG1493">
        <f ca="1"/>
      </c>
      <c r="AH1493">
        <f ca="1"/>
      </c>
      <c r="AI1493">
        <f ca="1"/>
      </c>
      <c r="AJ1493">
        <f ca="1"/>
      </c>
      <c r="AK1493">
        <f ca="1"/>
      </c>
      <c r="AL1493">
        <f ca="1"/>
      </c>
      <c r="AM1493">
        <f ca="1"/>
      </c>
      <c r="AN1493">
        <f ca="1"/>
      </c>
      <c r="AO1493">
        <f ca="1"/>
      </c>
      <c r="AP1493">
        <f ca="1"/>
      </c>
      <c r="AQ1493">
        <f ca="1"/>
      </c>
      <c r="AR1493">
        <f ca="1"/>
      </c>
      <c r="AT1493" s="7">
        <f ca="1"/>
      </c>
      <c r="AU1493">
        <f ca="1"/>
      </c>
      <c r="AV1493">
        <f ca="1"/>
      </c>
      <c r="AW1493">
        <f ca="1"/>
      </c>
      <c r="AX1493">
        <f ca="1"/>
      </c>
      <c r="AY1493">
        <f ca="1"/>
      </c>
      <c r="BA1493" s="7"/>
    </row>
    <row r="1494" spans="31:53" x14ac:dyDescent="0.55000000000000004">
      <c r="AE1494" s="7">
        <f ca="1"/>
      </c>
      <c r="AF1494">
        <f ca="1"/>
      </c>
      <c r="AG1494">
        <f ca="1"/>
      </c>
      <c r="AH1494">
        <f ca="1"/>
      </c>
      <c r="AI1494">
        <f ca="1"/>
      </c>
      <c r="AJ1494">
        <f ca="1"/>
      </c>
      <c r="AK1494">
        <f ca="1"/>
      </c>
      <c r="AL1494">
        <f ca="1"/>
      </c>
      <c r="AM1494">
        <f ca="1"/>
      </c>
      <c r="AN1494">
        <f ca="1"/>
      </c>
      <c r="AO1494">
        <f ca="1"/>
      </c>
      <c r="AP1494">
        <f ca="1"/>
      </c>
      <c r="AQ1494">
        <f ca="1"/>
      </c>
      <c r="AR1494">
        <f ca="1"/>
      </c>
      <c r="AT1494" s="7">
        <f ca="1"/>
      </c>
      <c r="AU1494">
        <f ca="1"/>
      </c>
      <c r="AV1494">
        <f ca="1"/>
      </c>
      <c r="AW1494">
        <f ca="1"/>
      </c>
      <c r="AX1494">
        <f ca="1"/>
      </c>
      <c r="AY1494">
        <f ca="1"/>
      </c>
      <c r="BA1494" s="7"/>
    </row>
    <row r="1495" spans="31:53" x14ac:dyDescent="0.55000000000000004">
      <c r="AE1495" s="7">
        <f ca="1"/>
      </c>
      <c r="AF1495">
        <f ca="1"/>
      </c>
      <c r="AG1495">
        <f ca="1"/>
      </c>
      <c r="AH1495">
        <f ca="1"/>
      </c>
      <c r="AI1495">
        <f ca="1"/>
      </c>
      <c r="AJ1495">
        <f ca="1"/>
      </c>
      <c r="AK1495">
        <f ca="1"/>
      </c>
      <c r="AL1495">
        <f ca="1"/>
      </c>
      <c r="AM1495">
        <f ca="1"/>
      </c>
      <c r="AN1495">
        <f ca="1"/>
      </c>
      <c r="AO1495">
        <f ca="1"/>
      </c>
      <c r="AP1495">
        <f ca="1"/>
      </c>
      <c r="AQ1495">
        <f ca="1"/>
      </c>
      <c r="AR1495">
        <f ca="1"/>
      </c>
      <c r="AT1495" s="7">
        <f ca="1"/>
      </c>
      <c r="AU1495">
        <f ca="1"/>
      </c>
      <c r="AV1495">
        <f ca="1"/>
      </c>
      <c r="AW1495">
        <f ca="1"/>
      </c>
      <c r="AX1495">
        <f ca="1"/>
      </c>
      <c r="AY1495">
        <f ca="1"/>
      </c>
      <c r="BA1495" s="7"/>
    </row>
    <row r="1496" spans="31:53" x14ac:dyDescent="0.55000000000000004">
      <c r="AE1496" s="7">
        <f ca="1"/>
      </c>
      <c r="AF1496">
        <f ca="1"/>
      </c>
      <c r="AG1496">
        <f ca="1"/>
      </c>
      <c r="AH1496">
        <f ca="1"/>
      </c>
      <c r="AI1496">
        <f ca="1"/>
      </c>
      <c r="AJ1496">
        <f ca="1"/>
      </c>
      <c r="AK1496">
        <f ca="1"/>
      </c>
      <c r="AL1496">
        <f ca="1"/>
      </c>
      <c r="AM1496">
        <f ca="1"/>
      </c>
      <c r="AN1496">
        <f ca="1"/>
      </c>
      <c r="AO1496">
        <f ca="1"/>
      </c>
      <c r="AP1496">
        <f ca="1"/>
      </c>
      <c r="AQ1496">
        <f ca="1"/>
      </c>
      <c r="AR1496">
        <f ca="1"/>
      </c>
      <c r="AT1496" s="7">
        <f ca="1"/>
      </c>
      <c r="AU1496">
        <f ca="1"/>
      </c>
      <c r="AV1496">
        <f ca="1"/>
      </c>
      <c r="AW1496">
        <f ca="1"/>
      </c>
      <c r="AX1496">
        <f ca="1"/>
      </c>
      <c r="AY1496">
        <f ca="1"/>
      </c>
      <c r="BA1496" s="7"/>
    </row>
    <row r="1497" spans="31:53" x14ac:dyDescent="0.55000000000000004">
      <c r="AE1497" s="7">
        <f ca="1"/>
      </c>
      <c r="AF1497">
        <f ca="1"/>
      </c>
      <c r="AG1497">
        <f ca="1"/>
      </c>
      <c r="AH1497">
        <f ca="1"/>
      </c>
      <c r="AI1497">
        <f ca="1"/>
      </c>
      <c r="AJ1497">
        <f ca="1"/>
      </c>
      <c r="AK1497">
        <f ca="1"/>
      </c>
      <c r="AL1497">
        <f ca="1"/>
      </c>
      <c r="AM1497">
        <f ca="1"/>
      </c>
      <c r="AN1497">
        <f ca="1"/>
      </c>
      <c r="AO1497">
        <f ca="1"/>
      </c>
      <c r="AP1497">
        <f ca="1"/>
      </c>
      <c r="AQ1497">
        <f ca="1"/>
      </c>
      <c r="AR1497">
        <f ca="1"/>
      </c>
      <c r="AT1497" s="7">
        <f ca="1"/>
      </c>
      <c r="AU1497">
        <f ca="1"/>
      </c>
      <c r="AV1497">
        <f ca="1"/>
      </c>
      <c r="AW1497">
        <f ca="1"/>
      </c>
      <c r="AX1497">
        <f ca="1"/>
      </c>
      <c r="AY1497">
        <f ca="1"/>
      </c>
      <c r="BA1497" s="7"/>
    </row>
    <row r="1498" spans="31:53" x14ac:dyDescent="0.55000000000000004">
      <c r="AE1498" s="7">
        <f ca="1"/>
      </c>
      <c r="AF1498">
        <f ca="1"/>
      </c>
      <c r="AG1498">
        <f ca="1"/>
      </c>
      <c r="AH1498">
        <f ca="1"/>
      </c>
      <c r="AI1498">
        <f ca="1"/>
      </c>
      <c r="AJ1498">
        <f ca="1"/>
      </c>
      <c r="AK1498">
        <f ca="1"/>
      </c>
      <c r="AL1498">
        <f ca="1"/>
      </c>
      <c r="AM1498">
        <f ca="1"/>
      </c>
      <c r="AN1498">
        <f ca="1"/>
      </c>
      <c r="AO1498">
        <f ca="1"/>
      </c>
      <c r="AP1498">
        <f ca="1"/>
      </c>
      <c r="AQ1498">
        <f ca="1"/>
      </c>
      <c r="AR1498">
        <f ca="1"/>
      </c>
      <c r="AT1498" s="7">
        <f ca="1"/>
      </c>
      <c r="AU1498">
        <f ca="1"/>
      </c>
      <c r="AV1498">
        <f ca="1"/>
      </c>
      <c r="AW1498">
        <f ca="1"/>
      </c>
      <c r="AX1498">
        <f ca="1"/>
      </c>
      <c r="AY1498">
        <f ca="1"/>
      </c>
      <c r="BA1498" s="7"/>
    </row>
    <row r="1499" spans="31:53" x14ac:dyDescent="0.55000000000000004">
      <c r="AE1499" s="7">
        <f ca="1"/>
      </c>
      <c r="AF1499">
        <f ca="1"/>
      </c>
      <c r="AG1499">
        <f ca="1"/>
      </c>
      <c r="AH1499">
        <f ca="1"/>
      </c>
      <c r="AI1499">
        <f ca="1"/>
      </c>
      <c r="AJ1499">
        <f ca="1"/>
      </c>
      <c r="AK1499">
        <f ca="1"/>
      </c>
      <c r="AL1499">
        <f ca="1"/>
      </c>
      <c r="AM1499">
        <f ca="1"/>
      </c>
      <c r="AN1499">
        <f ca="1"/>
      </c>
      <c r="AO1499">
        <f ca="1"/>
      </c>
      <c r="AP1499">
        <f ca="1"/>
      </c>
      <c r="AQ1499">
        <f ca="1"/>
      </c>
      <c r="AR1499">
        <f ca="1"/>
      </c>
      <c r="AT1499" s="7">
        <f ca="1"/>
      </c>
      <c r="AU1499">
        <f ca="1"/>
      </c>
      <c r="AV1499">
        <f ca="1"/>
      </c>
      <c r="AW1499">
        <f ca="1"/>
      </c>
      <c r="AX1499">
        <f ca="1"/>
      </c>
      <c r="AY1499">
        <f ca="1"/>
      </c>
      <c r="BA1499" s="7"/>
    </row>
    <row r="1500" spans="31:53" x14ac:dyDescent="0.55000000000000004">
      <c r="AE1500" s="7">
        <f ca="1"/>
      </c>
      <c r="AF1500">
        <f ca="1"/>
      </c>
      <c r="AG1500">
        <f ca="1"/>
      </c>
      <c r="AH1500">
        <f ca="1"/>
      </c>
      <c r="AI1500">
        <f ca="1"/>
      </c>
      <c r="AJ1500">
        <f ca="1"/>
      </c>
      <c r="AK1500">
        <f ca="1"/>
      </c>
      <c r="AL1500">
        <f ca="1"/>
      </c>
      <c r="AM1500">
        <f ca="1"/>
      </c>
      <c r="AN1500">
        <f ca="1"/>
      </c>
      <c r="AO1500">
        <f ca="1"/>
      </c>
      <c r="AP1500">
        <f ca="1"/>
      </c>
      <c r="AQ1500">
        <f ca="1"/>
      </c>
      <c r="AR1500">
        <f ca="1"/>
      </c>
      <c r="AT1500" s="7">
        <f ca="1"/>
      </c>
      <c r="AU1500">
        <f ca="1"/>
      </c>
      <c r="AV1500">
        <f ca="1"/>
      </c>
      <c r="AW1500">
        <f ca="1"/>
      </c>
      <c r="AX1500">
        <f ca="1"/>
      </c>
      <c r="AY1500">
        <f ca="1"/>
      </c>
      <c r="BA1500" s="7"/>
    </row>
    <row r="1501" spans="31:53" x14ac:dyDescent="0.55000000000000004">
      <c r="AE1501" s="7">
        <f ca="1"/>
      </c>
      <c r="AF1501">
        <f ca="1"/>
      </c>
      <c r="AG1501">
        <f ca="1"/>
      </c>
      <c r="AH1501">
        <f ca="1"/>
      </c>
      <c r="AI1501">
        <f ca="1"/>
      </c>
      <c r="AJ1501">
        <f ca="1"/>
      </c>
      <c r="AK1501">
        <f ca="1"/>
      </c>
      <c r="AL1501">
        <f ca="1"/>
      </c>
      <c r="AM1501">
        <f ca="1"/>
      </c>
      <c r="AN1501">
        <f ca="1"/>
      </c>
      <c r="AO1501">
        <f ca="1"/>
      </c>
      <c r="AP1501">
        <f ca="1"/>
      </c>
      <c r="AQ1501">
        <f ca="1"/>
      </c>
      <c r="AR1501">
        <f ca="1"/>
      </c>
      <c r="AT1501" s="7">
        <f ca="1"/>
      </c>
      <c r="AU1501">
        <f ca="1"/>
      </c>
      <c r="AV1501">
        <f ca="1"/>
      </c>
      <c r="AW1501">
        <f ca="1"/>
      </c>
      <c r="AX1501">
        <f ca="1"/>
      </c>
      <c r="AY1501">
        <f ca="1"/>
      </c>
      <c r="BA1501" s="7"/>
    </row>
    <row r="1502" spans="31:53" x14ac:dyDescent="0.55000000000000004">
      <c r="AE1502" s="7">
        <f ca="1"/>
      </c>
      <c r="AF1502">
        <f ca="1"/>
      </c>
      <c r="AG1502">
        <f ca="1"/>
      </c>
      <c r="AH1502">
        <f ca="1"/>
      </c>
      <c r="AI1502">
        <f ca="1"/>
      </c>
      <c r="AJ1502">
        <f ca="1"/>
      </c>
      <c r="AK1502">
        <f ca="1"/>
      </c>
      <c r="AL1502">
        <f ca="1"/>
      </c>
      <c r="AM1502">
        <f ca="1"/>
      </c>
      <c r="AN1502">
        <f ca="1"/>
      </c>
      <c r="AO1502">
        <f ca="1"/>
      </c>
      <c r="AP1502">
        <f ca="1"/>
      </c>
      <c r="AQ1502">
        <f ca="1"/>
      </c>
      <c r="AR1502">
        <f ca="1"/>
      </c>
      <c r="AT1502" s="7">
        <f ca="1"/>
      </c>
      <c r="AU1502">
        <f ca="1"/>
      </c>
      <c r="AV1502">
        <f ca="1"/>
      </c>
      <c r="AW1502">
        <f ca="1"/>
      </c>
      <c r="AX1502">
        <f ca="1"/>
      </c>
      <c r="AY1502">
        <f ca="1"/>
      </c>
      <c r="BA1502" s="7"/>
    </row>
    <row r="1503" spans="31:53" x14ac:dyDescent="0.55000000000000004">
      <c r="AE1503" s="7">
        <f ca="1"/>
      </c>
      <c r="AF1503">
        <f ca="1"/>
      </c>
      <c r="AG1503">
        <f ca="1"/>
      </c>
      <c r="AH1503">
        <f ca="1"/>
      </c>
      <c r="AI1503">
        <f ca="1"/>
      </c>
      <c r="AJ1503">
        <f ca="1"/>
      </c>
      <c r="AK1503">
        <f ca="1"/>
      </c>
      <c r="AL1503">
        <f ca="1"/>
      </c>
      <c r="AM1503">
        <f ca="1"/>
      </c>
      <c r="AN1503">
        <f ca="1"/>
      </c>
      <c r="AO1503">
        <f ca="1"/>
      </c>
      <c r="AP1503">
        <f ca="1"/>
      </c>
      <c r="AQ1503">
        <f ca="1"/>
      </c>
      <c r="AR1503">
        <f ca="1"/>
      </c>
      <c r="AT1503" s="7">
        <f ca="1"/>
      </c>
      <c r="AU1503">
        <f ca="1"/>
      </c>
      <c r="AV1503">
        <f ca="1"/>
      </c>
      <c r="AW1503">
        <f ca="1"/>
      </c>
      <c r="AX1503">
        <f ca="1"/>
      </c>
      <c r="AY1503">
        <f ca="1"/>
      </c>
      <c r="BA1503" s="7"/>
    </row>
    <row r="1504" spans="31:53" x14ac:dyDescent="0.55000000000000004">
      <c r="AE1504" s="7">
        <f ca="1"/>
      </c>
      <c r="AF1504">
        <f ca="1"/>
      </c>
      <c r="AG1504">
        <f ca="1"/>
      </c>
      <c r="AH1504">
        <f ca="1"/>
      </c>
      <c r="AI1504">
        <f ca="1"/>
      </c>
      <c r="AJ1504">
        <f ca="1"/>
      </c>
      <c r="AK1504">
        <f ca="1"/>
      </c>
      <c r="AL1504">
        <f ca="1"/>
      </c>
      <c r="AM1504">
        <f ca="1"/>
      </c>
      <c r="AN1504">
        <f ca="1"/>
      </c>
      <c r="AO1504">
        <f ca="1"/>
      </c>
      <c r="AP1504">
        <f ca="1"/>
      </c>
      <c r="AQ1504">
        <f ca="1"/>
      </c>
      <c r="AR1504">
        <f ca="1"/>
      </c>
      <c r="AT1504" s="7">
        <f ca="1"/>
      </c>
      <c r="AU1504">
        <f ca="1"/>
      </c>
      <c r="AV1504">
        <f ca="1"/>
      </c>
      <c r="AW1504">
        <f ca="1"/>
      </c>
      <c r="AX1504">
        <f ca="1"/>
      </c>
      <c r="AY1504">
        <f ca="1"/>
      </c>
      <c r="BA1504" s="7"/>
    </row>
    <row r="1505" spans="31:53" x14ac:dyDescent="0.55000000000000004">
      <c r="AE1505" s="7">
        <f ca="1"/>
      </c>
      <c r="AF1505">
        <f ca="1"/>
      </c>
      <c r="AG1505">
        <f ca="1"/>
      </c>
      <c r="AH1505">
        <f ca="1"/>
      </c>
      <c r="AI1505">
        <f ca="1"/>
      </c>
      <c r="AJ1505">
        <f ca="1"/>
      </c>
      <c r="AK1505">
        <f ca="1"/>
      </c>
      <c r="AL1505">
        <f ca="1"/>
      </c>
      <c r="AM1505">
        <f ca="1"/>
      </c>
      <c r="AN1505">
        <f ca="1"/>
      </c>
      <c r="AO1505">
        <f ca="1"/>
      </c>
      <c r="AP1505">
        <f ca="1"/>
      </c>
      <c r="AQ1505">
        <f ca="1"/>
      </c>
      <c r="AR1505">
        <f ca="1"/>
      </c>
      <c r="AT1505" s="7">
        <f ca="1"/>
      </c>
      <c r="AU1505">
        <f ca="1"/>
      </c>
      <c r="AV1505">
        <f ca="1"/>
      </c>
      <c r="AW1505">
        <f ca="1"/>
      </c>
      <c r="AX1505">
        <f ca="1"/>
      </c>
      <c r="AY1505">
        <f ca="1"/>
      </c>
      <c r="BA1505" s="7"/>
    </row>
    <row r="1506" spans="31:53" x14ac:dyDescent="0.55000000000000004">
      <c r="AE1506" s="7">
        <f ca="1"/>
      </c>
      <c r="AF1506">
        <f ca="1"/>
      </c>
      <c r="AG1506">
        <f ca="1"/>
      </c>
      <c r="AH1506">
        <f ca="1"/>
      </c>
      <c r="AI1506">
        <f ca="1"/>
      </c>
      <c r="AJ1506">
        <f ca="1"/>
      </c>
      <c r="AK1506">
        <f ca="1"/>
      </c>
      <c r="AL1506">
        <f ca="1"/>
      </c>
      <c r="AM1506">
        <f ca="1"/>
      </c>
      <c r="AN1506">
        <f ca="1"/>
      </c>
      <c r="AO1506">
        <f ca="1"/>
      </c>
      <c r="AP1506">
        <f ca="1"/>
      </c>
      <c r="AQ1506">
        <f ca="1"/>
      </c>
      <c r="AR1506">
        <f ca="1"/>
      </c>
      <c r="AT1506" s="7">
        <f ca="1"/>
      </c>
      <c r="AU1506">
        <f ca="1"/>
      </c>
      <c r="AV1506">
        <f ca="1"/>
      </c>
      <c r="AW1506">
        <f ca="1"/>
      </c>
      <c r="AX1506">
        <f ca="1"/>
      </c>
      <c r="AY1506">
        <f ca="1"/>
      </c>
      <c r="BA1506" s="7"/>
    </row>
    <row r="1507" spans="31:53" x14ac:dyDescent="0.55000000000000004">
      <c r="AE1507" s="7">
        <f ca="1"/>
      </c>
      <c r="AF1507">
        <f ca="1"/>
      </c>
      <c r="AG1507">
        <f ca="1"/>
      </c>
      <c r="AH1507">
        <f ca="1"/>
      </c>
      <c r="AI1507">
        <f ca="1"/>
      </c>
      <c r="AJ1507">
        <f ca="1"/>
      </c>
      <c r="AK1507">
        <f ca="1"/>
      </c>
      <c r="AL1507">
        <f ca="1"/>
      </c>
      <c r="AM1507">
        <f ca="1"/>
      </c>
      <c r="AN1507">
        <f ca="1"/>
      </c>
      <c r="AO1507">
        <f ca="1"/>
      </c>
      <c r="AP1507">
        <f ca="1"/>
      </c>
      <c r="AQ1507">
        <f ca="1"/>
      </c>
      <c r="AR1507">
        <f ca="1"/>
      </c>
      <c r="AT1507" s="7">
        <f ca="1"/>
      </c>
      <c r="AU1507">
        <f ca="1"/>
      </c>
      <c r="AV1507">
        <f ca="1"/>
      </c>
      <c r="AW1507">
        <f ca="1"/>
      </c>
      <c r="AX1507">
        <f ca="1"/>
      </c>
      <c r="AY1507">
        <f ca="1"/>
      </c>
      <c r="BA1507" s="7"/>
    </row>
    <row r="1508" spans="31:53" x14ac:dyDescent="0.55000000000000004">
      <c r="AE1508" s="7">
        <f ca="1"/>
      </c>
      <c r="AF1508">
        <f ca="1"/>
      </c>
      <c r="AG1508">
        <f ca="1"/>
      </c>
      <c r="AH1508">
        <f ca="1"/>
      </c>
      <c r="AI1508">
        <f ca="1"/>
      </c>
      <c r="AJ1508">
        <f ca="1"/>
      </c>
      <c r="AK1508">
        <f ca="1"/>
      </c>
      <c r="AL1508">
        <f ca="1"/>
      </c>
      <c r="AM1508">
        <f ca="1"/>
      </c>
      <c r="AN1508">
        <f ca="1"/>
      </c>
      <c r="AO1508">
        <f ca="1"/>
      </c>
      <c r="AP1508">
        <f ca="1"/>
      </c>
      <c r="AQ1508">
        <f ca="1"/>
      </c>
      <c r="AR1508">
        <f ca="1"/>
      </c>
      <c r="AT1508" s="7">
        <f ca="1"/>
      </c>
      <c r="AU1508">
        <f ca="1"/>
      </c>
      <c r="AV1508">
        <f ca="1"/>
      </c>
      <c r="AW1508">
        <f ca="1"/>
      </c>
      <c r="AX1508">
        <f ca="1"/>
      </c>
      <c r="AY1508">
        <f ca="1"/>
      </c>
      <c r="BA1508" s="7"/>
    </row>
    <row r="1509" spans="31:53" x14ac:dyDescent="0.55000000000000004">
      <c r="AE1509" s="7">
        <f ca="1"/>
      </c>
      <c r="AF1509">
        <f ca="1"/>
      </c>
      <c r="AG1509">
        <f ca="1"/>
      </c>
      <c r="AH1509">
        <f ca="1"/>
      </c>
      <c r="AI1509">
        <f ca="1"/>
      </c>
      <c r="AJ1509">
        <f ca="1"/>
      </c>
      <c r="AK1509">
        <f ca="1"/>
      </c>
      <c r="AL1509">
        <f ca="1"/>
      </c>
      <c r="AM1509">
        <f ca="1"/>
      </c>
      <c r="AN1509">
        <f ca="1"/>
      </c>
      <c r="AO1509">
        <f ca="1"/>
      </c>
      <c r="AP1509">
        <f ca="1"/>
      </c>
      <c r="AQ1509">
        <f ca="1"/>
      </c>
      <c r="AR1509">
        <f ca="1"/>
      </c>
      <c r="AT1509" s="7">
        <f ca="1"/>
      </c>
      <c r="AU1509">
        <f ca="1"/>
      </c>
      <c r="AV1509">
        <f ca="1"/>
      </c>
      <c r="AW1509">
        <f ca="1"/>
      </c>
      <c r="AX1509">
        <f ca="1"/>
      </c>
      <c r="AY1509">
        <f ca="1"/>
      </c>
      <c r="BA1509" s="7"/>
    </row>
    <row r="1510" spans="31:53" x14ac:dyDescent="0.55000000000000004">
      <c r="AE1510" s="7">
        <f ca="1"/>
      </c>
      <c r="AF1510">
        <f ca="1"/>
      </c>
      <c r="AG1510">
        <f ca="1"/>
      </c>
      <c r="AH1510">
        <f ca="1"/>
      </c>
      <c r="AI1510">
        <f ca="1"/>
      </c>
      <c r="AJ1510">
        <f ca="1"/>
      </c>
      <c r="AK1510">
        <f ca="1"/>
      </c>
      <c r="AL1510">
        <f ca="1"/>
      </c>
      <c r="AM1510">
        <f ca="1"/>
      </c>
      <c r="AN1510">
        <f ca="1"/>
      </c>
      <c r="AO1510">
        <f ca="1"/>
      </c>
      <c r="AP1510">
        <f ca="1"/>
      </c>
      <c r="AQ1510">
        <f ca="1"/>
      </c>
      <c r="AR1510">
        <f ca="1"/>
      </c>
      <c r="AT1510" s="7">
        <f ca="1"/>
      </c>
      <c r="AU1510">
        <f ca="1"/>
      </c>
      <c r="AV1510">
        <f ca="1"/>
      </c>
      <c r="AW1510">
        <f ca="1"/>
      </c>
      <c r="AX1510">
        <f ca="1"/>
      </c>
      <c r="AY1510">
        <f ca="1"/>
      </c>
      <c r="BA1510" s="7"/>
    </row>
    <row r="1511" spans="31:53" x14ac:dyDescent="0.55000000000000004">
      <c r="AE1511" s="7">
        <f ca="1"/>
      </c>
      <c r="AF1511">
        <f ca="1"/>
      </c>
      <c r="AG1511">
        <f ca="1"/>
      </c>
      <c r="AH1511">
        <f ca="1"/>
      </c>
      <c r="AI1511">
        <f ca="1"/>
      </c>
      <c r="AJ1511">
        <f ca="1"/>
      </c>
      <c r="AK1511">
        <f ca="1"/>
      </c>
      <c r="AL1511">
        <f ca="1"/>
      </c>
      <c r="AM1511">
        <f ca="1"/>
      </c>
      <c r="AN1511">
        <f ca="1"/>
      </c>
      <c r="AO1511">
        <f ca="1"/>
      </c>
      <c r="AP1511">
        <f ca="1"/>
      </c>
      <c r="AQ1511">
        <f ca="1"/>
      </c>
      <c r="AR1511">
        <f ca="1"/>
      </c>
      <c r="AT1511" s="7">
        <f ca="1"/>
      </c>
      <c r="AU1511">
        <f ca="1"/>
      </c>
      <c r="AV1511">
        <f ca="1"/>
      </c>
      <c r="AW1511">
        <f ca="1"/>
      </c>
      <c r="AX1511">
        <f ca="1"/>
      </c>
      <c r="AY1511">
        <f ca="1"/>
      </c>
      <c r="BA1511" s="7"/>
    </row>
    <row r="1512" spans="31:53" x14ac:dyDescent="0.55000000000000004">
      <c r="AE1512" s="7">
        <f ca="1"/>
      </c>
      <c r="AF1512">
        <f ca="1"/>
      </c>
      <c r="AG1512">
        <f ca="1"/>
      </c>
      <c r="AH1512">
        <f ca="1"/>
      </c>
      <c r="AI1512">
        <f ca="1"/>
      </c>
      <c r="AJ1512">
        <f ca="1"/>
      </c>
      <c r="AK1512">
        <f ca="1"/>
      </c>
      <c r="AL1512">
        <f ca="1"/>
      </c>
      <c r="AM1512">
        <f ca="1"/>
      </c>
      <c r="AN1512">
        <f ca="1"/>
      </c>
      <c r="AO1512">
        <f ca="1"/>
      </c>
      <c r="AP1512">
        <f ca="1"/>
      </c>
      <c r="AQ1512">
        <f ca="1"/>
      </c>
      <c r="AR1512">
        <f ca="1"/>
      </c>
      <c r="AT1512" s="7">
        <f ca="1"/>
      </c>
      <c r="AU1512">
        <f ca="1"/>
      </c>
      <c r="AV1512">
        <f ca="1"/>
      </c>
      <c r="AW1512">
        <f ca="1"/>
      </c>
      <c r="AX1512">
        <f ca="1"/>
      </c>
      <c r="AY1512">
        <f ca="1"/>
      </c>
      <c r="BA1512" s="7"/>
    </row>
    <row r="1513" spans="31:53" x14ac:dyDescent="0.55000000000000004">
      <c r="AE1513" s="7">
        <f ca="1"/>
      </c>
      <c r="AF1513">
        <f ca="1"/>
      </c>
      <c r="AG1513">
        <f ca="1"/>
      </c>
      <c r="AH1513">
        <f ca="1"/>
      </c>
      <c r="AI1513">
        <f ca="1"/>
      </c>
      <c r="AJ1513">
        <f ca="1"/>
      </c>
      <c r="AK1513">
        <f ca="1"/>
      </c>
      <c r="AL1513">
        <f ca="1"/>
      </c>
      <c r="AM1513">
        <f ca="1"/>
      </c>
      <c r="AN1513">
        <f ca="1"/>
      </c>
      <c r="AO1513">
        <f ca="1"/>
      </c>
      <c r="AP1513">
        <f ca="1"/>
      </c>
      <c r="AQ1513">
        <f ca="1"/>
      </c>
      <c r="AR1513">
        <f ca="1"/>
      </c>
      <c r="AT1513" s="7">
        <f ca="1"/>
      </c>
      <c r="AU1513">
        <f ca="1"/>
      </c>
      <c r="AV1513">
        <f ca="1"/>
      </c>
      <c r="AW1513">
        <f ca="1"/>
      </c>
      <c r="AX1513">
        <f ca="1"/>
      </c>
      <c r="AY1513">
        <f ca="1"/>
      </c>
      <c r="BA1513" s="7"/>
    </row>
    <row r="1514" spans="31:53" x14ac:dyDescent="0.55000000000000004">
      <c r="AE1514" s="7">
        <f ca="1"/>
      </c>
      <c r="AF1514">
        <f ca="1"/>
      </c>
      <c r="AG1514">
        <f ca="1"/>
      </c>
      <c r="AH1514">
        <f ca="1"/>
      </c>
      <c r="AI1514">
        <f ca="1"/>
      </c>
      <c r="AJ1514">
        <f ca="1"/>
      </c>
      <c r="AK1514">
        <f ca="1"/>
      </c>
      <c r="AL1514">
        <f ca="1"/>
      </c>
      <c r="AM1514">
        <f ca="1"/>
      </c>
      <c r="AN1514">
        <f ca="1"/>
      </c>
      <c r="AO1514">
        <f ca="1"/>
      </c>
      <c r="AP1514">
        <f ca="1"/>
      </c>
      <c r="AQ1514">
        <f ca="1"/>
      </c>
      <c r="AR1514">
        <f ca="1"/>
      </c>
      <c r="AT1514" s="7">
        <f ca="1"/>
      </c>
      <c r="AU1514">
        <f ca="1"/>
      </c>
      <c r="AV1514">
        <f ca="1"/>
      </c>
      <c r="AW1514">
        <f ca="1"/>
      </c>
      <c r="AX1514">
        <f ca="1"/>
      </c>
      <c r="AY1514">
        <f ca="1"/>
      </c>
      <c r="BA1514" s="7"/>
    </row>
    <row r="1515" spans="31:53" x14ac:dyDescent="0.55000000000000004">
      <c r="AE1515" s="7">
        <f ca="1"/>
      </c>
      <c r="AF1515">
        <f ca="1"/>
      </c>
      <c r="AG1515">
        <f ca="1"/>
      </c>
      <c r="AH1515">
        <f ca="1"/>
      </c>
      <c r="AI1515">
        <f ca="1"/>
      </c>
      <c r="AJ1515">
        <f ca="1"/>
      </c>
      <c r="AK1515">
        <f ca="1"/>
      </c>
      <c r="AL1515">
        <f ca="1"/>
      </c>
      <c r="AM1515">
        <f ca="1"/>
      </c>
      <c r="AN1515">
        <f ca="1"/>
      </c>
      <c r="AO1515">
        <f ca="1"/>
      </c>
      <c r="AP1515">
        <f ca="1"/>
      </c>
      <c r="AQ1515">
        <f ca="1"/>
      </c>
      <c r="AR1515">
        <f ca="1"/>
      </c>
      <c r="AT1515" s="7">
        <f ca="1"/>
      </c>
      <c r="AU1515">
        <f ca="1"/>
      </c>
      <c r="AV1515">
        <f ca="1"/>
      </c>
      <c r="AW1515">
        <f ca="1"/>
      </c>
      <c r="AX1515">
        <f ca="1"/>
      </c>
      <c r="AY1515">
        <f ca="1"/>
      </c>
      <c r="BA1515" s="7"/>
    </row>
    <row r="1516" spans="31:53" x14ac:dyDescent="0.55000000000000004">
      <c r="AE1516" s="7">
        <f ca="1"/>
      </c>
      <c r="AF1516">
        <f ca="1"/>
      </c>
      <c r="AG1516">
        <f ca="1"/>
      </c>
      <c r="AH1516">
        <f ca="1"/>
      </c>
      <c r="AI1516">
        <f ca="1"/>
      </c>
      <c r="AJ1516">
        <f ca="1"/>
      </c>
      <c r="AK1516">
        <f ca="1"/>
      </c>
      <c r="AL1516">
        <f ca="1"/>
      </c>
      <c r="AM1516">
        <f ca="1"/>
      </c>
      <c r="AN1516">
        <f ca="1"/>
      </c>
      <c r="AO1516">
        <f ca="1"/>
      </c>
      <c r="AP1516">
        <f ca="1"/>
      </c>
      <c r="AQ1516">
        <f ca="1"/>
      </c>
      <c r="AR1516">
        <f ca="1"/>
      </c>
      <c r="AT1516" s="7">
        <f ca="1"/>
      </c>
      <c r="AU1516">
        <f ca="1"/>
      </c>
      <c r="AV1516">
        <f ca="1"/>
      </c>
      <c r="AW1516">
        <f ca="1"/>
      </c>
      <c r="AX1516">
        <f ca="1"/>
      </c>
      <c r="AY1516">
        <f ca="1"/>
      </c>
      <c r="BA1516" s="7"/>
    </row>
    <row r="1517" spans="31:53" x14ac:dyDescent="0.55000000000000004">
      <c r="AE1517" s="7">
        <f ca="1"/>
      </c>
      <c r="AF1517">
        <f ca="1"/>
      </c>
      <c r="AG1517">
        <f ca="1"/>
      </c>
      <c r="AH1517">
        <f ca="1"/>
      </c>
      <c r="AI1517">
        <f ca="1"/>
      </c>
      <c r="AJ1517">
        <f ca="1"/>
      </c>
      <c r="AK1517">
        <f ca="1"/>
      </c>
      <c r="AL1517">
        <f ca="1"/>
      </c>
      <c r="AM1517">
        <f ca="1"/>
      </c>
      <c r="AN1517">
        <f ca="1"/>
      </c>
      <c r="AO1517">
        <f ca="1"/>
      </c>
      <c r="AP1517">
        <f ca="1"/>
      </c>
      <c r="AQ1517">
        <f ca="1"/>
      </c>
      <c r="AR1517">
        <f ca="1"/>
      </c>
      <c r="AT1517" s="7">
        <f ca="1"/>
      </c>
      <c r="AU1517">
        <f ca="1"/>
      </c>
      <c r="AV1517">
        <f ca="1"/>
      </c>
      <c r="AW1517">
        <f ca="1"/>
      </c>
      <c r="AX1517">
        <f ca="1"/>
      </c>
      <c r="AY1517">
        <f ca="1"/>
      </c>
      <c r="BA1517" s="7"/>
    </row>
    <row r="1518" spans="31:53" x14ac:dyDescent="0.55000000000000004">
      <c r="AE1518" s="7">
        <f ca="1"/>
      </c>
      <c r="AF1518">
        <f ca="1"/>
      </c>
      <c r="AG1518">
        <f ca="1"/>
      </c>
      <c r="AH1518">
        <f ca="1"/>
      </c>
      <c r="AI1518">
        <f ca="1"/>
      </c>
      <c r="AJ1518">
        <f ca="1"/>
      </c>
      <c r="AK1518">
        <f ca="1"/>
      </c>
      <c r="AL1518">
        <f ca="1"/>
      </c>
      <c r="AM1518">
        <f ca="1"/>
      </c>
      <c r="AN1518">
        <f ca="1"/>
      </c>
      <c r="AO1518">
        <f ca="1"/>
      </c>
      <c r="AP1518">
        <f ca="1"/>
      </c>
      <c r="AQ1518">
        <f ca="1"/>
      </c>
      <c r="AR1518">
        <f ca="1"/>
      </c>
      <c r="AT1518" s="7">
        <f ca="1"/>
      </c>
      <c r="AU1518">
        <f ca="1"/>
      </c>
      <c r="AV1518">
        <f ca="1"/>
      </c>
      <c r="AW1518">
        <f ca="1"/>
      </c>
      <c r="AX1518">
        <f ca="1"/>
      </c>
      <c r="AY1518">
        <f ca="1"/>
      </c>
      <c r="BA1518" s="7"/>
    </row>
    <row r="1519" spans="31:53" x14ac:dyDescent="0.55000000000000004">
      <c r="AE1519" s="7">
        <f ca="1"/>
      </c>
      <c r="AF1519">
        <f ca="1"/>
      </c>
      <c r="AG1519">
        <f ca="1"/>
      </c>
      <c r="AH1519">
        <f ca="1"/>
      </c>
      <c r="AI1519">
        <f ca="1"/>
      </c>
      <c r="AJ1519">
        <f ca="1"/>
      </c>
      <c r="AK1519">
        <f ca="1"/>
      </c>
      <c r="AL1519">
        <f ca="1"/>
      </c>
      <c r="AM1519">
        <f ca="1"/>
      </c>
      <c r="AN1519">
        <f ca="1"/>
      </c>
      <c r="AO1519">
        <f ca="1"/>
      </c>
      <c r="AP1519">
        <f ca="1"/>
      </c>
      <c r="AQ1519">
        <f ca="1"/>
      </c>
      <c r="AR1519">
        <f ca="1"/>
      </c>
      <c r="AT1519" s="7">
        <f ca="1"/>
      </c>
      <c r="AU1519">
        <f ca="1"/>
      </c>
      <c r="AV1519">
        <f ca="1"/>
      </c>
      <c r="AW1519">
        <f ca="1"/>
      </c>
      <c r="AX1519">
        <f ca="1"/>
      </c>
      <c r="AY1519">
        <f ca="1"/>
      </c>
      <c r="BA1519" s="7"/>
    </row>
    <row r="1520" spans="31:53" x14ac:dyDescent="0.55000000000000004">
      <c r="AE1520" s="7">
        <f ca="1"/>
      </c>
      <c r="AF1520">
        <f ca="1"/>
      </c>
      <c r="AG1520">
        <f ca="1"/>
      </c>
      <c r="AH1520">
        <f ca="1"/>
      </c>
      <c r="AI1520">
        <f ca="1"/>
      </c>
      <c r="AJ1520">
        <f ca="1"/>
      </c>
      <c r="AK1520">
        <f ca="1"/>
      </c>
      <c r="AL1520">
        <f ca="1"/>
      </c>
      <c r="AM1520">
        <f ca="1"/>
      </c>
      <c r="AN1520">
        <f ca="1"/>
      </c>
      <c r="AO1520">
        <f ca="1"/>
      </c>
      <c r="AP1520">
        <f ca="1"/>
      </c>
      <c r="AQ1520">
        <f ca="1"/>
      </c>
      <c r="AR1520">
        <f ca="1"/>
      </c>
      <c r="AT1520" s="7">
        <f ca="1"/>
      </c>
      <c r="AU1520">
        <f ca="1"/>
      </c>
      <c r="AV1520">
        <f ca="1"/>
      </c>
      <c r="AW1520">
        <f ca="1"/>
      </c>
      <c r="AX1520">
        <f ca="1"/>
      </c>
      <c r="AY1520">
        <f ca="1"/>
      </c>
      <c r="BA1520" s="7"/>
    </row>
    <row r="1521" spans="31:53" x14ac:dyDescent="0.55000000000000004">
      <c r="AE1521" s="7">
        <f ca="1"/>
      </c>
      <c r="AF1521">
        <f ca="1"/>
      </c>
      <c r="AG1521">
        <f ca="1"/>
      </c>
      <c r="AH1521">
        <f ca="1"/>
      </c>
      <c r="AI1521">
        <f ca="1"/>
      </c>
      <c r="AJ1521">
        <f ca="1"/>
      </c>
      <c r="AK1521">
        <f ca="1"/>
      </c>
      <c r="AL1521">
        <f ca="1"/>
      </c>
      <c r="AM1521">
        <f ca="1"/>
      </c>
      <c r="AN1521">
        <f ca="1"/>
      </c>
      <c r="AO1521">
        <f ca="1"/>
      </c>
      <c r="AP1521">
        <f ca="1"/>
      </c>
      <c r="AQ1521">
        <f ca="1"/>
      </c>
      <c r="AR1521">
        <f ca="1"/>
      </c>
      <c r="AT1521" s="7">
        <f ca="1"/>
      </c>
      <c r="AU1521">
        <f ca="1"/>
      </c>
      <c r="AV1521">
        <f ca="1"/>
      </c>
      <c r="AW1521">
        <f ca="1"/>
      </c>
      <c r="AX1521">
        <f ca="1"/>
      </c>
      <c r="AY1521">
        <f ca="1"/>
      </c>
      <c r="BA1521" s="7"/>
    </row>
    <row r="1522" spans="31:53" x14ac:dyDescent="0.55000000000000004">
      <c r="AE1522" s="7">
        <f ca="1"/>
      </c>
      <c r="AF1522">
        <f ca="1"/>
      </c>
      <c r="AG1522">
        <f ca="1"/>
      </c>
      <c r="AH1522">
        <f ca="1"/>
      </c>
      <c r="AI1522">
        <f ca="1"/>
      </c>
      <c r="AJ1522">
        <f ca="1"/>
      </c>
      <c r="AK1522">
        <f ca="1"/>
      </c>
      <c r="AL1522">
        <f ca="1"/>
      </c>
      <c r="AM1522">
        <f ca="1"/>
      </c>
      <c r="AN1522">
        <f ca="1"/>
      </c>
      <c r="AO1522">
        <f ca="1"/>
      </c>
      <c r="AP1522">
        <f ca="1"/>
      </c>
      <c r="AQ1522">
        <f ca="1"/>
      </c>
      <c r="AR1522">
        <f ca="1"/>
      </c>
      <c r="AT1522" s="7">
        <f ca="1"/>
      </c>
      <c r="AU1522">
        <f ca="1"/>
      </c>
      <c r="AV1522">
        <f ca="1"/>
      </c>
      <c r="AW1522">
        <f ca="1"/>
      </c>
      <c r="AX1522">
        <f ca="1"/>
      </c>
      <c r="AY1522">
        <f ca="1"/>
      </c>
      <c r="BA1522" s="7"/>
    </row>
    <row r="1523" spans="31:53" x14ac:dyDescent="0.55000000000000004">
      <c r="AE1523" s="7">
        <f ca="1"/>
      </c>
      <c r="AF1523">
        <f ca="1"/>
      </c>
      <c r="AG1523">
        <f ca="1"/>
      </c>
      <c r="AH1523">
        <f ca="1"/>
      </c>
      <c r="AI1523">
        <f ca="1"/>
      </c>
      <c r="AJ1523">
        <f ca="1"/>
      </c>
      <c r="AK1523">
        <f ca="1"/>
      </c>
      <c r="AL1523">
        <f ca="1"/>
      </c>
      <c r="AM1523">
        <f ca="1"/>
      </c>
      <c r="AN1523">
        <f ca="1"/>
      </c>
      <c r="AO1523">
        <f ca="1"/>
      </c>
      <c r="AP1523">
        <f ca="1"/>
      </c>
      <c r="AQ1523">
        <f ca="1"/>
      </c>
      <c r="AR1523">
        <f ca="1"/>
      </c>
      <c r="AT1523" s="7">
        <f ca="1"/>
      </c>
      <c r="AU1523">
        <f ca="1"/>
      </c>
      <c r="AV1523">
        <f ca="1"/>
      </c>
      <c r="AW1523">
        <f ca="1"/>
      </c>
      <c r="AX1523">
        <f ca="1"/>
      </c>
      <c r="AY1523">
        <f ca="1"/>
      </c>
      <c r="BA1523" s="7"/>
    </row>
    <row r="1524" spans="31:53" x14ac:dyDescent="0.55000000000000004">
      <c r="AE1524" s="7">
        <f ca="1"/>
      </c>
      <c r="AF1524">
        <f ca="1"/>
      </c>
      <c r="AG1524">
        <f ca="1"/>
      </c>
      <c r="AH1524">
        <f ca="1"/>
      </c>
      <c r="AI1524">
        <f ca="1"/>
      </c>
      <c r="AJ1524">
        <f ca="1"/>
      </c>
      <c r="AK1524">
        <f ca="1"/>
      </c>
      <c r="AL1524">
        <f ca="1"/>
      </c>
      <c r="AM1524">
        <f ca="1"/>
      </c>
      <c r="AN1524">
        <f ca="1"/>
      </c>
      <c r="AO1524">
        <f ca="1"/>
      </c>
      <c r="AP1524">
        <f ca="1"/>
      </c>
      <c r="AQ1524">
        <f ca="1"/>
      </c>
      <c r="AR1524">
        <f ca="1"/>
      </c>
      <c r="AT1524" s="7">
        <f ca="1"/>
      </c>
      <c r="AU1524">
        <f ca="1"/>
      </c>
      <c r="AV1524">
        <f ca="1"/>
      </c>
      <c r="AW1524">
        <f ca="1"/>
      </c>
      <c r="AX1524">
        <f ca="1"/>
      </c>
      <c r="AY1524">
        <f ca="1"/>
      </c>
      <c r="BA1524" s="7"/>
    </row>
    <row r="1525" spans="31:53" x14ac:dyDescent="0.55000000000000004">
      <c r="AE1525" s="7">
        <f ca="1"/>
      </c>
      <c r="AF1525">
        <f ca="1"/>
      </c>
      <c r="AG1525">
        <f ca="1"/>
      </c>
      <c r="AH1525">
        <f ca="1"/>
      </c>
      <c r="AI1525">
        <f ca="1"/>
      </c>
      <c r="AJ1525">
        <f ca="1"/>
      </c>
      <c r="AK1525">
        <f ca="1"/>
      </c>
      <c r="AL1525">
        <f ca="1"/>
      </c>
      <c r="AM1525">
        <f ca="1"/>
      </c>
      <c r="AN1525">
        <f ca="1"/>
      </c>
      <c r="AO1525">
        <f ca="1"/>
      </c>
      <c r="AP1525">
        <f ca="1"/>
      </c>
      <c r="AQ1525">
        <f ca="1"/>
      </c>
      <c r="AR1525">
        <f ca="1"/>
      </c>
      <c r="AT1525" s="7">
        <f ca="1"/>
      </c>
      <c r="AU1525">
        <f ca="1"/>
      </c>
      <c r="AV1525">
        <f ca="1"/>
      </c>
      <c r="AW1525">
        <f ca="1"/>
      </c>
      <c r="AX1525">
        <f ca="1"/>
      </c>
      <c r="AY1525">
        <f ca="1"/>
      </c>
      <c r="BA1525" s="7"/>
    </row>
    <row r="1526" spans="31:53" x14ac:dyDescent="0.55000000000000004">
      <c r="AE1526" s="7">
        <f ca="1"/>
      </c>
      <c r="AF1526">
        <f ca="1"/>
      </c>
      <c r="AG1526">
        <f ca="1"/>
      </c>
      <c r="AH1526">
        <f ca="1"/>
      </c>
      <c r="AI1526">
        <f ca="1"/>
      </c>
      <c r="AJ1526">
        <f ca="1"/>
      </c>
      <c r="AK1526">
        <f ca="1"/>
      </c>
      <c r="AL1526">
        <f ca="1"/>
      </c>
      <c r="AM1526">
        <f ca="1"/>
      </c>
      <c r="AN1526">
        <f ca="1"/>
      </c>
      <c r="AO1526">
        <f ca="1"/>
      </c>
      <c r="AP1526">
        <f ca="1"/>
      </c>
      <c r="AQ1526">
        <f ca="1"/>
      </c>
      <c r="AR1526">
        <f ca="1"/>
      </c>
      <c r="AT1526" s="7">
        <f ca="1"/>
      </c>
      <c r="AU1526">
        <f ca="1"/>
      </c>
      <c r="AV1526">
        <f ca="1"/>
      </c>
      <c r="AW1526">
        <f ca="1"/>
      </c>
      <c r="AX1526">
        <f ca="1"/>
      </c>
      <c r="AY1526">
        <f ca="1"/>
      </c>
      <c r="BA1526" s="7"/>
    </row>
    <row r="1527" spans="31:53" x14ac:dyDescent="0.55000000000000004">
      <c r="AE1527" s="7">
        <f ca="1"/>
      </c>
      <c r="AF1527">
        <f ca="1"/>
      </c>
      <c r="AG1527">
        <f ca="1"/>
      </c>
      <c r="AH1527">
        <f ca="1"/>
      </c>
      <c r="AI1527">
        <f ca="1"/>
      </c>
      <c r="AJ1527">
        <f ca="1"/>
      </c>
      <c r="AK1527">
        <f ca="1"/>
      </c>
      <c r="AL1527">
        <f ca="1"/>
      </c>
      <c r="AM1527">
        <f ca="1"/>
      </c>
      <c r="AN1527">
        <f ca="1"/>
      </c>
      <c r="AO1527">
        <f ca="1"/>
      </c>
      <c r="AP1527">
        <f ca="1"/>
      </c>
      <c r="AQ1527">
        <f ca="1"/>
      </c>
      <c r="AR1527">
        <f ca="1"/>
      </c>
      <c r="AT1527" s="7">
        <f ca="1"/>
      </c>
      <c r="AU1527">
        <f ca="1"/>
      </c>
      <c r="AV1527">
        <f ca="1"/>
      </c>
      <c r="AW1527">
        <f ca="1"/>
      </c>
      <c r="AX1527">
        <f ca="1"/>
      </c>
      <c r="AY1527">
        <f ca="1"/>
      </c>
      <c r="BA1527" s="7"/>
    </row>
    <row r="1528" spans="31:53" x14ac:dyDescent="0.55000000000000004">
      <c r="AE1528" s="7">
        <f ca="1"/>
      </c>
      <c r="AF1528">
        <f ca="1"/>
      </c>
      <c r="AG1528">
        <f ca="1"/>
      </c>
      <c r="AH1528">
        <f ca="1"/>
      </c>
      <c r="AI1528">
        <f ca="1"/>
      </c>
      <c r="AJ1528">
        <f ca="1"/>
      </c>
      <c r="AK1528">
        <f ca="1"/>
      </c>
      <c r="AL1528">
        <f ca="1"/>
      </c>
      <c r="AM1528">
        <f ca="1"/>
      </c>
      <c r="AN1528">
        <f ca="1"/>
      </c>
      <c r="AO1528">
        <f ca="1"/>
      </c>
      <c r="AP1528">
        <f ca="1"/>
      </c>
      <c r="AQ1528">
        <f ca="1"/>
      </c>
      <c r="AR1528">
        <f ca="1"/>
      </c>
      <c r="AT1528" s="7">
        <f ca="1"/>
      </c>
      <c r="AU1528">
        <f ca="1"/>
      </c>
      <c r="AV1528">
        <f ca="1"/>
      </c>
      <c r="AW1528">
        <f ca="1"/>
      </c>
      <c r="AX1528">
        <f ca="1"/>
      </c>
      <c r="AY1528">
        <f ca="1"/>
      </c>
      <c r="BA1528" s="7"/>
    </row>
    <row r="1529" spans="31:53" x14ac:dyDescent="0.55000000000000004">
      <c r="AE1529" s="7">
        <f ca="1"/>
      </c>
      <c r="AF1529">
        <f ca="1"/>
      </c>
      <c r="AG1529">
        <f ca="1"/>
      </c>
      <c r="AH1529">
        <f ca="1"/>
      </c>
      <c r="AI1529">
        <f ca="1"/>
      </c>
      <c r="AJ1529">
        <f ca="1"/>
      </c>
      <c r="AK1529">
        <f ca="1"/>
      </c>
      <c r="AL1529">
        <f ca="1"/>
      </c>
      <c r="AM1529">
        <f ca="1"/>
      </c>
      <c r="AN1529">
        <f ca="1"/>
      </c>
      <c r="AO1529">
        <f ca="1"/>
      </c>
      <c r="AP1529">
        <f ca="1"/>
      </c>
      <c r="AQ1529">
        <f ca="1"/>
      </c>
      <c r="AR1529">
        <f ca="1"/>
      </c>
      <c r="AT1529" s="7">
        <f ca="1"/>
      </c>
      <c r="AU1529">
        <f ca="1"/>
      </c>
      <c r="AV1529">
        <f ca="1"/>
      </c>
      <c r="AW1529">
        <f ca="1"/>
      </c>
      <c r="AX1529">
        <f ca="1"/>
      </c>
      <c r="AY1529">
        <f ca="1"/>
      </c>
      <c r="BA1529" s="7"/>
    </row>
    <row r="1530" spans="31:53" x14ac:dyDescent="0.55000000000000004">
      <c r="AE1530" s="7">
        <f ca="1"/>
      </c>
      <c r="AF1530">
        <f ca="1"/>
      </c>
      <c r="AG1530">
        <f ca="1"/>
      </c>
      <c r="AH1530">
        <f ca="1"/>
      </c>
      <c r="AI1530">
        <f ca="1"/>
      </c>
      <c r="AJ1530">
        <f ca="1"/>
      </c>
      <c r="AK1530">
        <f ca="1"/>
      </c>
      <c r="AL1530">
        <f ca="1"/>
      </c>
      <c r="AM1530">
        <f ca="1"/>
      </c>
      <c r="AN1530">
        <f ca="1"/>
      </c>
      <c r="AO1530">
        <f ca="1"/>
      </c>
      <c r="AP1530">
        <f ca="1"/>
      </c>
      <c r="AQ1530">
        <f ca="1"/>
      </c>
      <c r="AR1530">
        <f ca="1"/>
      </c>
      <c r="AT1530" s="7">
        <f ca="1"/>
      </c>
      <c r="AU1530">
        <f ca="1"/>
      </c>
      <c r="AV1530">
        <f ca="1"/>
      </c>
      <c r="AW1530">
        <f ca="1"/>
      </c>
      <c r="AX1530">
        <f ca="1"/>
      </c>
      <c r="AY1530">
        <f ca="1"/>
      </c>
      <c r="BA1530" s="7"/>
    </row>
    <row r="1531" spans="31:53" x14ac:dyDescent="0.55000000000000004">
      <c r="AE1531" s="7">
        <f ca="1"/>
      </c>
      <c r="AF1531">
        <f ca="1"/>
      </c>
      <c r="AG1531">
        <f ca="1"/>
      </c>
      <c r="AH1531">
        <f ca="1"/>
      </c>
      <c r="AI1531">
        <f ca="1"/>
      </c>
      <c r="AJ1531">
        <f ca="1"/>
      </c>
      <c r="AK1531">
        <f ca="1"/>
      </c>
      <c r="AL1531">
        <f ca="1"/>
      </c>
      <c r="AM1531">
        <f ca="1"/>
      </c>
      <c r="AN1531">
        <f ca="1"/>
      </c>
      <c r="AO1531">
        <f ca="1"/>
      </c>
      <c r="AP1531">
        <f ca="1"/>
      </c>
      <c r="AQ1531">
        <f ca="1"/>
      </c>
      <c r="AR1531">
        <f ca="1"/>
      </c>
      <c r="AT1531" s="7">
        <f ca="1"/>
      </c>
      <c r="AU1531">
        <f ca="1"/>
      </c>
      <c r="AV1531">
        <f ca="1"/>
      </c>
      <c r="AW1531">
        <f ca="1"/>
      </c>
      <c r="AX1531">
        <f ca="1"/>
      </c>
      <c r="AY1531">
        <f ca="1"/>
      </c>
      <c r="BA1531" s="7"/>
    </row>
    <row r="1532" spans="31:53" x14ac:dyDescent="0.55000000000000004">
      <c r="AE1532" s="7">
        <f ca="1"/>
      </c>
      <c r="AF1532">
        <f ca="1"/>
      </c>
      <c r="AG1532">
        <f ca="1"/>
      </c>
      <c r="AH1532">
        <f ca="1"/>
      </c>
      <c r="AI1532">
        <f ca="1"/>
      </c>
      <c r="AJ1532">
        <f ca="1"/>
      </c>
      <c r="AK1532">
        <f ca="1"/>
      </c>
      <c r="AL1532">
        <f ca="1"/>
      </c>
      <c r="AM1532">
        <f ca="1"/>
      </c>
      <c r="AN1532">
        <f ca="1"/>
      </c>
      <c r="AO1532">
        <f ca="1"/>
      </c>
      <c r="AP1532">
        <f ca="1"/>
      </c>
      <c r="AQ1532">
        <f ca="1"/>
      </c>
      <c r="AR1532">
        <f ca="1"/>
      </c>
      <c r="AT1532" s="7">
        <f ca="1"/>
      </c>
      <c r="AU1532">
        <f ca="1"/>
      </c>
      <c r="AV1532">
        <f ca="1"/>
      </c>
      <c r="AW1532">
        <f ca="1"/>
      </c>
      <c r="AX1532">
        <f ca="1"/>
      </c>
      <c r="AY1532">
        <f ca="1"/>
      </c>
      <c r="BA1532" s="7"/>
    </row>
    <row r="1533" spans="31:53" x14ac:dyDescent="0.55000000000000004">
      <c r="AE1533" s="7">
        <f ca="1"/>
      </c>
      <c r="AF1533">
        <f ca="1"/>
      </c>
      <c r="AG1533">
        <f ca="1"/>
      </c>
      <c r="AH1533">
        <f ca="1"/>
      </c>
      <c r="AI1533">
        <f ca="1"/>
      </c>
      <c r="AJ1533">
        <f ca="1"/>
      </c>
      <c r="AK1533">
        <f ca="1"/>
      </c>
      <c r="AL1533">
        <f ca="1"/>
      </c>
      <c r="AM1533">
        <f ca="1"/>
      </c>
      <c r="AN1533">
        <f ca="1"/>
      </c>
      <c r="AO1533">
        <f ca="1"/>
      </c>
      <c r="AP1533">
        <f ca="1"/>
      </c>
      <c r="AQ1533">
        <f ca="1"/>
      </c>
      <c r="AR1533">
        <f ca="1"/>
      </c>
      <c r="AT1533" s="7">
        <f ca="1"/>
      </c>
      <c r="AU1533">
        <f ca="1"/>
      </c>
      <c r="AV1533">
        <f ca="1"/>
      </c>
      <c r="AW1533">
        <f ca="1"/>
      </c>
      <c r="AX1533">
        <f ca="1"/>
      </c>
      <c r="AY1533">
        <f ca="1"/>
      </c>
      <c r="BA1533" s="7"/>
    </row>
    <row r="1534" spans="31:53" x14ac:dyDescent="0.55000000000000004">
      <c r="AE1534" s="7">
        <f ca="1"/>
      </c>
      <c r="AF1534">
        <f ca="1"/>
      </c>
      <c r="AG1534">
        <f ca="1"/>
      </c>
      <c r="AH1534">
        <f ca="1"/>
      </c>
      <c r="AI1534">
        <f ca="1"/>
      </c>
      <c r="AJ1534">
        <f ca="1"/>
      </c>
      <c r="AK1534">
        <f ca="1"/>
      </c>
      <c r="AL1534">
        <f ca="1"/>
      </c>
      <c r="AM1534">
        <f ca="1"/>
      </c>
      <c r="AN1534">
        <f ca="1"/>
      </c>
      <c r="AO1534">
        <f ca="1"/>
      </c>
      <c r="AP1534">
        <f ca="1"/>
      </c>
      <c r="AQ1534">
        <f ca="1"/>
      </c>
      <c r="AR1534">
        <f ca="1"/>
      </c>
      <c r="AT1534" s="7">
        <f ca="1"/>
      </c>
      <c r="AU1534">
        <f ca="1"/>
      </c>
      <c r="AV1534">
        <f ca="1"/>
      </c>
      <c r="AW1534">
        <f ca="1"/>
      </c>
      <c r="AX1534">
        <f ca="1"/>
      </c>
      <c r="AY1534">
        <f ca="1"/>
      </c>
      <c r="BA1534" s="7"/>
    </row>
    <row r="1535" spans="31:53" x14ac:dyDescent="0.55000000000000004">
      <c r="AE1535" s="7">
        <f ca="1"/>
      </c>
      <c r="AF1535">
        <f ca="1"/>
      </c>
      <c r="AG1535">
        <f ca="1"/>
      </c>
      <c r="AH1535">
        <f ca="1"/>
      </c>
      <c r="AI1535">
        <f ca="1"/>
      </c>
      <c r="AJ1535">
        <f ca="1"/>
      </c>
      <c r="AK1535">
        <f ca="1"/>
      </c>
      <c r="AL1535">
        <f ca="1"/>
      </c>
      <c r="AM1535">
        <f ca="1"/>
      </c>
      <c r="AN1535">
        <f ca="1"/>
      </c>
      <c r="AO1535">
        <f ca="1"/>
      </c>
      <c r="AP1535">
        <f ca="1"/>
      </c>
      <c r="AQ1535">
        <f ca="1"/>
      </c>
      <c r="AR1535">
        <f ca="1"/>
      </c>
      <c r="AT1535" s="7">
        <f ca="1"/>
      </c>
      <c r="AU1535">
        <f ca="1"/>
      </c>
      <c r="AV1535">
        <f ca="1"/>
      </c>
      <c r="AW1535">
        <f ca="1"/>
      </c>
      <c r="AX1535">
        <f ca="1"/>
      </c>
      <c r="AY1535">
        <f ca="1"/>
      </c>
      <c r="BA1535" s="7"/>
    </row>
    <row r="1536" spans="31:53" x14ac:dyDescent="0.55000000000000004">
      <c r="AE1536" s="7">
        <f ca="1"/>
      </c>
      <c r="AF1536">
        <f ca="1"/>
      </c>
      <c r="AG1536">
        <f ca="1"/>
      </c>
      <c r="AH1536">
        <f ca="1"/>
      </c>
      <c r="AI1536">
        <f ca="1"/>
      </c>
      <c r="AJ1536">
        <f ca="1"/>
      </c>
      <c r="AK1536">
        <f ca="1"/>
      </c>
      <c r="AL1536">
        <f ca="1"/>
      </c>
      <c r="AM1536">
        <f ca="1"/>
      </c>
      <c r="AN1536">
        <f ca="1"/>
      </c>
      <c r="AO1536">
        <f ca="1"/>
      </c>
      <c r="AP1536">
        <f ca="1"/>
      </c>
      <c r="AQ1536">
        <f ca="1"/>
      </c>
      <c r="AR1536">
        <f ca="1"/>
      </c>
      <c r="AT1536" s="7">
        <f ca="1"/>
      </c>
      <c r="AU1536">
        <f ca="1"/>
      </c>
      <c r="AV1536">
        <f ca="1"/>
      </c>
      <c r="AW1536">
        <f ca="1"/>
      </c>
      <c r="AX1536">
        <f ca="1"/>
      </c>
      <c r="AY1536">
        <f ca="1"/>
      </c>
      <c r="BA1536" s="7"/>
    </row>
    <row r="1537" spans="31:53" x14ac:dyDescent="0.55000000000000004">
      <c r="AE1537" s="7">
        <f ca="1"/>
      </c>
      <c r="AF1537">
        <f ca="1"/>
      </c>
      <c r="AG1537">
        <f ca="1"/>
      </c>
      <c r="AH1537">
        <f ca="1"/>
      </c>
      <c r="AI1537">
        <f ca="1"/>
      </c>
      <c r="AJ1537">
        <f ca="1"/>
      </c>
      <c r="AK1537">
        <f ca="1"/>
      </c>
      <c r="AL1537">
        <f ca="1"/>
      </c>
      <c r="AM1537">
        <f ca="1"/>
      </c>
      <c r="AN1537">
        <f ca="1"/>
      </c>
      <c r="AO1537">
        <f ca="1"/>
      </c>
      <c r="AP1537">
        <f ca="1"/>
      </c>
      <c r="AQ1537">
        <f ca="1"/>
      </c>
      <c r="AR1537">
        <f ca="1"/>
      </c>
      <c r="AT1537" s="7">
        <f ca="1"/>
      </c>
      <c r="AU1537">
        <f ca="1"/>
      </c>
      <c r="AV1537">
        <f ca="1"/>
      </c>
      <c r="AW1537">
        <f ca="1"/>
      </c>
      <c r="AX1537">
        <f ca="1"/>
      </c>
      <c r="AY1537">
        <f ca="1"/>
      </c>
      <c r="BA1537" s="7"/>
    </row>
    <row r="1538" spans="31:53" x14ac:dyDescent="0.55000000000000004">
      <c r="AE1538" s="7">
        <f ca="1"/>
      </c>
      <c r="AF1538">
        <f ca="1"/>
      </c>
      <c r="AG1538">
        <f ca="1"/>
      </c>
      <c r="AH1538">
        <f ca="1"/>
      </c>
      <c r="AI1538">
        <f ca="1"/>
      </c>
      <c r="AJ1538">
        <f ca="1"/>
      </c>
      <c r="AK1538">
        <f ca="1"/>
      </c>
      <c r="AL1538">
        <f ca="1"/>
      </c>
      <c r="AM1538">
        <f ca="1"/>
      </c>
      <c r="AN1538">
        <f ca="1"/>
      </c>
      <c r="AO1538">
        <f ca="1"/>
      </c>
      <c r="AP1538">
        <f ca="1"/>
      </c>
      <c r="AQ1538">
        <f ca="1"/>
      </c>
      <c r="AR1538">
        <f ca="1"/>
      </c>
      <c r="AT1538" s="7">
        <f ca="1"/>
      </c>
      <c r="AU1538">
        <f ca="1"/>
      </c>
      <c r="AV1538">
        <f ca="1"/>
      </c>
      <c r="AW1538">
        <f ca="1"/>
      </c>
      <c r="AX1538">
        <f ca="1"/>
      </c>
      <c r="AY1538">
        <f ca="1"/>
      </c>
      <c r="BA1538" s="7"/>
    </row>
    <row r="1539" spans="31:53" x14ac:dyDescent="0.55000000000000004">
      <c r="AE1539" s="7">
        <f ca="1"/>
      </c>
      <c r="AF1539">
        <f ca="1"/>
      </c>
      <c r="AG1539">
        <f ca="1"/>
      </c>
      <c r="AH1539">
        <f ca="1"/>
      </c>
      <c r="AI1539">
        <f ca="1"/>
      </c>
      <c r="AJ1539">
        <f ca="1"/>
      </c>
      <c r="AK1539">
        <f ca="1"/>
      </c>
      <c r="AL1539">
        <f ca="1"/>
      </c>
      <c r="AM1539">
        <f ca="1"/>
      </c>
      <c r="AN1539">
        <f ca="1"/>
      </c>
      <c r="AO1539">
        <f ca="1"/>
      </c>
      <c r="AP1539">
        <f ca="1"/>
      </c>
      <c r="AQ1539">
        <f ca="1"/>
      </c>
      <c r="AR1539">
        <f ca="1"/>
      </c>
      <c r="AT1539" s="7">
        <f ca="1"/>
      </c>
      <c r="AU1539">
        <f ca="1"/>
      </c>
      <c r="AV1539">
        <f ca="1"/>
      </c>
      <c r="AW1539">
        <f ca="1"/>
      </c>
      <c r="AX1539">
        <f ca="1"/>
      </c>
      <c r="AY1539">
        <f ca="1"/>
      </c>
      <c r="BA1539" s="7"/>
    </row>
    <row r="1540" spans="31:53" x14ac:dyDescent="0.55000000000000004">
      <c r="AE1540" s="7">
        <f ca="1"/>
      </c>
      <c r="AF1540">
        <f ca="1"/>
      </c>
      <c r="AG1540">
        <f ca="1"/>
      </c>
      <c r="AH1540">
        <f ca="1"/>
      </c>
      <c r="AI1540">
        <f ca="1"/>
      </c>
      <c r="AJ1540">
        <f ca="1"/>
      </c>
      <c r="AK1540">
        <f ca="1"/>
      </c>
      <c r="AL1540">
        <f ca="1"/>
      </c>
      <c r="AM1540">
        <f ca="1"/>
      </c>
      <c r="AN1540">
        <f ca="1"/>
      </c>
      <c r="AO1540">
        <f ca="1"/>
      </c>
      <c r="AP1540">
        <f ca="1"/>
      </c>
      <c r="AQ1540">
        <f ca="1"/>
      </c>
      <c r="AR1540">
        <f ca="1"/>
      </c>
      <c r="AT1540" s="7">
        <f ca="1"/>
      </c>
      <c r="AU1540">
        <f ca="1"/>
      </c>
      <c r="AV1540">
        <f ca="1"/>
      </c>
      <c r="AW1540">
        <f ca="1"/>
      </c>
      <c r="AX1540">
        <f ca="1"/>
      </c>
      <c r="AY1540">
        <f ca="1"/>
      </c>
      <c r="BA1540" s="7"/>
    </row>
    <row r="1541" spans="31:53" x14ac:dyDescent="0.55000000000000004">
      <c r="AE1541" s="7">
        <f ca="1"/>
      </c>
      <c r="AF1541">
        <f ca="1"/>
      </c>
      <c r="AG1541">
        <f ca="1"/>
      </c>
      <c r="AH1541">
        <f ca="1"/>
      </c>
      <c r="AI1541">
        <f ca="1"/>
      </c>
      <c r="AJ1541">
        <f ca="1"/>
      </c>
      <c r="AK1541">
        <f ca="1"/>
      </c>
      <c r="AL1541">
        <f ca="1"/>
      </c>
      <c r="AM1541">
        <f ca="1"/>
      </c>
      <c r="AN1541">
        <f ca="1"/>
      </c>
      <c r="AO1541">
        <f ca="1"/>
      </c>
      <c r="AP1541">
        <f ca="1"/>
      </c>
      <c r="AQ1541">
        <f ca="1"/>
      </c>
      <c r="AR1541">
        <f ca="1"/>
      </c>
      <c r="AT1541" s="7">
        <f ca="1"/>
      </c>
      <c r="AU1541">
        <f ca="1"/>
      </c>
      <c r="AV1541">
        <f ca="1"/>
      </c>
      <c r="AW1541">
        <f ca="1"/>
      </c>
      <c r="AX1541">
        <f ca="1"/>
      </c>
      <c r="AY1541">
        <f ca="1"/>
      </c>
      <c r="BA1541" s="7"/>
    </row>
    <row r="1542" spans="31:53" x14ac:dyDescent="0.55000000000000004">
      <c r="AE1542" s="7">
        <f ca="1"/>
      </c>
      <c r="AF1542">
        <f ca="1"/>
      </c>
      <c r="AG1542">
        <f ca="1"/>
      </c>
      <c r="AH1542">
        <f ca="1"/>
      </c>
      <c r="AI1542">
        <f ca="1"/>
      </c>
      <c r="AJ1542">
        <f ca="1"/>
      </c>
      <c r="AK1542">
        <f ca="1"/>
      </c>
      <c r="AL1542">
        <f ca="1"/>
      </c>
      <c r="AM1542">
        <f ca="1"/>
      </c>
      <c r="AN1542">
        <f ca="1"/>
      </c>
      <c r="AO1542">
        <f ca="1"/>
      </c>
      <c r="AP1542">
        <f ca="1"/>
      </c>
      <c r="AQ1542">
        <f ca="1"/>
      </c>
      <c r="AR1542">
        <f ca="1"/>
      </c>
      <c r="AT1542" s="7">
        <f ca="1"/>
      </c>
      <c r="AU1542">
        <f ca="1"/>
      </c>
      <c r="AV1542">
        <f ca="1"/>
      </c>
      <c r="AW1542">
        <f ca="1"/>
      </c>
      <c r="AX1542">
        <f ca="1"/>
      </c>
      <c r="AY1542">
        <f ca="1"/>
      </c>
      <c r="BA1542" s="7"/>
    </row>
    <row r="1543" spans="31:53" x14ac:dyDescent="0.55000000000000004">
      <c r="AE1543" s="7">
        <f ca="1"/>
      </c>
      <c r="AF1543">
        <f ca="1"/>
      </c>
      <c r="AG1543">
        <f ca="1"/>
      </c>
      <c r="AH1543">
        <f ca="1"/>
      </c>
      <c r="AI1543">
        <f ca="1"/>
      </c>
      <c r="AJ1543">
        <f ca="1"/>
      </c>
      <c r="AK1543">
        <f ca="1"/>
      </c>
      <c r="AL1543">
        <f ca="1"/>
      </c>
      <c r="AM1543">
        <f ca="1"/>
      </c>
      <c r="AN1543">
        <f ca="1"/>
      </c>
      <c r="AO1543">
        <f ca="1"/>
      </c>
      <c r="AP1543">
        <f ca="1"/>
      </c>
      <c r="AQ1543">
        <f ca="1"/>
      </c>
      <c r="AR1543">
        <f ca="1"/>
      </c>
      <c r="AT1543" s="7">
        <f ca="1"/>
      </c>
      <c r="AU1543">
        <f ca="1"/>
      </c>
      <c r="AV1543">
        <f ca="1"/>
      </c>
      <c r="AW1543">
        <f ca="1"/>
      </c>
      <c r="AX1543">
        <f ca="1"/>
      </c>
      <c r="AY1543">
        <f ca="1"/>
      </c>
      <c r="BA1543" s="7"/>
    </row>
    <row r="1544" spans="31:53" x14ac:dyDescent="0.55000000000000004">
      <c r="AE1544" s="7">
        <f ca="1"/>
      </c>
      <c r="AF1544">
        <f ca="1"/>
      </c>
      <c r="AG1544">
        <f ca="1"/>
      </c>
      <c r="AH1544">
        <f ca="1"/>
      </c>
      <c r="AI1544">
        <f ca="1"/>
      </c>
      <c r="AJ1544">
        <f ca="1"/>
      </c>
      <c r="AK1544">
        <f ca="1"/>
      </c>
      <c r="AL1544">
        <f ca="1"/>
      </c>
      <c r="AM1544">
        <f ca="1"/>
      </c>
      <c r="AN1544">
        <f ca="1"/>
      </c>
      <c r="AO1544">
        <f ca="1"/>
      </c>
      <c r="AP1544">
        <f ca="1"/>
      </c>
      <c r="AQ1544">
        <f ca="1"/>
      </c>
      <c r="AR1544">
        <f ca="1"/>
      </c>
      <c r="AT1544" s="7">
        <f ca="1"/>
      </c>
      <c r="AU1544">
        <f ca="1"/>
      </c>
      <c r="AV1544">
        <f ca="1"/>
      </c>
      <c r="AW1544">
        <f ca="1"/>
      </c>
      <c r="AX1544">
        <f ca="1"/>
      </c>
      <c r="AY1544">
        <f ca="1"/>
      </c>
      <c r="BA1544" s="7"/>
    </row>
    <row r="1545" spans="31:53" x14ac:dyDescent="0.55000000000000004">
      <c r="AE1545" s="7">
        <f ca="1"/>
      </c>
      <c r="AF1545">
        <f ca="1"/>
      </c>
      <c r="AG1545">
        <f ca="1"/>
      </c>
      <c r="AH1545">
        <f ca="1"/>
      </c>
      <c r="AI1545">
        <f ca="1"/>
      </c>
      <c r="AJ1545">
        <f ca="1"/>
      </c>
      <c r="AK1545">
        <f ca="1"/>
      </c>
      <c r="AL1545">
        <f ca="1"/>
      </c>
      <c r="AM1545">
        <f ca="1"/>
      </c>
      <c r="AN1545">
        <f ca="1"/>
      </c>
      <c r="AO1545">
        <f ca="1"/>
      </c>
      <c r="AP1545">
        <f ca="1"/>
      </c>
      <c r="AQ1545">
        <f ca="1"/>
      </c>
      <c r="AR1545">
        <f ca="1"/>
      </c>
      <c r="AT1545" s="7">
        <f ca="1"/>
      </c>
      <c r="AU1545">
        <f ca="1"/>
      </c>
      <c r="AV1545">
        <f ca="1"/>
      </c>
      <c r="AW1545">
        <f ca="1"/>
      </c>
      <c r="AX1545">
        <f ca="1"/>
      </c>
      <c r="AY1545">
        <f ca="1"/>
      </c>
      <c r="BA1545" s="7"/>
    </row>
    <row r="1546" spans="31:53" x14ac:dyDescent="0.55000000000000004">
      <c r="AE1546" s="7">
        <f ca="1"/>
      </c>
      <c r="AF1546">
        <f ca="1"/>
      </c>
      <c r="AG1546">
        <f ca="1"/>
      </c>
      <c r="AH1546">
        <f ca="1"/>
      </c>
      <c r="AI1546">
        <f ca="1"/>
      </c>
      <c r="AJ1546">
        <f ca="1"/>
      </c>
      <c r="AK1546">
        <f ca="1"/>
      </c>
      <c r="AL1546">
        <f ca="1"/>
      </c>
      <c r="AM1546">
        <f ca="1"/>
      </c>
      <c r="AN1546">
        <f ca="1"/>
      </c>
      <c r="AO1546">
        <f ca="1"/>
      </c>
      <c r="AP1546">
        <f ca="1"/>
      </c>
      <c r="AQ1546">
        <f ca="1"/>
      </c>
      <c r="AR1546">
        <f ca="1"/>
      </c>
      <c r="AT1546" s="7">
        <f ca="1"/>
      </c>
      <c r="AU1546">
        <f ca="1"/>
      </c>
      <c r="AV1546">
        <f ca="1"/>
      </c>
      <c r="AW1546">
        <f ca="1"/>
      </c>
      <c r="AX1546">
        <f ca="1"/>
      </c>
      <c r="AY1546">
        <f ca="1"/>
      </c>
      <c r="BA1546" s="7"/>
    </row>
    <row r="1547" spans="31:53" x14ac:dyDescent="0.55000000000000004">
      <c r="AE1547" s="7">
        <f ca="1"/>
      </c>
      <c r="AF1547">
        <f ca="1"/>
      </c>
      <c r="AG1547">
        <f ca="1"/>
      </c>
      <c r="AH1547">
        <f ca="1"/>
      </c>
      <c r="AI1547">
        <f ca="1"/>
      </c>
      <c r="AJ1547">
        <f ca="1"/>
      </c>
      <c r="AK1547">
        <f ca="1"/>
      </c>
      <c r="AL1547">
        <f ca="1"/>
      </c>
      <c r="AM1547">
        <f ca="1"/>
      </c>
      <c r="AN1547">
        <f ca="1"/>
      </c>
      <c r="AO1547">
        <f ca="1"/>
      </c>
      <c r="AP1547">
        <f ca="1"/>
      </c>
      <c r="AQ1547">
        <f ca="1"/>
      </c>
      <c r="AR1547">
        <f ca="1"/>
      </c>
      <c r="AT1547" s="7">
        <f ca="1"/>
      </c>
      <c r="AU1547">
        <f ca="1"/>
      </c>
      <c r="AV1547">
        <f ca="1"/>
      </c>
      <c r="AW1547">
        <f ca="1"/>
      </c>
      <c r="AX1547">
        <f ca="1"/>
      </c>
      <c r="AY1547">
        <f ca="1"/>
      </c>
      <c r="BA1547" s="7"/>
    </row>
    <row r="1548" spans="31:53" x14ac:dyDescent="0.55000000000000004">
      <c r="AE1548" s="7">
        <f ca="1"/>
      </c>
      <c r="AF1548">
        <f ca="1"/>
      </c>
      <c r="AG1548">
        <f ca="1"/>
      </c>
      <c r="AH1548">
        <f ca="1"/>
      </c>
      <c r="AI1548">
        <f ca="1"/>
      </c>
      <c r="AJ1548">
        <f ca="1"/>
      </c>
      <c r="AK1548">
        <f ca="1"/>
      </c>
      <c r="AL1548">
        <f ca="1"/>
      </c>
      <c r="AM1548">
        <f ca="1"/>
      </c>
      <c r="AN1548">
        <f ca="1"/>
      </c>
      <c r="AO1548">
        <f ca="1"/>
      </c>
      <c r="AP1548">
        <f ca="1"/>
      </c>
      <c r="AQ1548">
        <f ca="1"/>
      </c>
      <c r="AR1548">
        <f ca="1"/>
      </c>
      <c r="AT1548" s="7">
        <f ca="1"/>
      </c>
      <c r="AU1548">
        <f ca="1"/>
      </c>
      <c r="AV1548">
        <f ca="1"/>
      </c>
      <c r="AW1548">
        <f ca="1"/>
      </c>
      <c r="AX1548">
        <f ca="1"/>
      </c>
      <c r="AY1548">
        <f ca="1"/>
      </c>
      <c r="BA1548" s="7"/>
    </row>
    <row r="1549" spans="31:53" x14ac:dyDescent="0.55000000000000004">
      <c r="AE1549" s="7">
        <f ca="1"/>
      </c>
      <c r="AF1549">
        <f ca="1"/>
      </c>
      <c r="AG1549">
        <f ca="1"/>
      </c>
      <c r="AH1549">
        <f ca="1"/>
      </c>
      <c r="AI1549">
        <f ca="1"/>
      </c>
      <c r="AJ1549">
        <f ca="1"/>
      </c>
      <c r="AK1549">
        <f ca="1"/>
      </c>
      <c r="AL1549">
        <f ca="1"/>
      </c>
      <c r="AM1549">
        <f ca="1"/>
      </c>
      <c r="AN1549">
        <f ca="1"/>
      </c>
      <c r="AO1549">
        <f ca="1"/>
      </c>
      <c r="AP1549">
        <f ca="1"/>
      </c>
      <c r="AQ1549">
        <f ca="1"/>
      </c>
      <c r="AR1549">
        <f ca="1"/>
      </c>
      <c r="AT1549" s="7">
        <f ca="1"/>
      </c>
      <c r="AU1549">
        <f ca="1"/>
      </c>
      <c r="AV1549">
        <f ca="1"/>
      </c>
      <c r="AW1549">
        <f ca="1"/>
      </c>
      <c r="AX1549">
        <f ca="1"/>
      </c>
      <c r="AY1549">
        <f ca="1"/>
      </c>
      <c r="BA1549" s="7"/>
    </row>
    <row r="1550" spans="31:53" x14ac:dyDescent="0.55000000000000004">
      <c r="AE1550" s="7">
        <f ca="1"/>
      </c>
      <c r="AF1550">
        <f ca="1"/>
      </c>
      <c r="AG1550">
        <f ca="1"/>
      </c>
      <c r="AH1550">
        <f ca="1"/>
      </c>
      <c r="AI1550">
        <f ca="1"/>
      </c>
      <c r="AJ1550">
        <f ca="1"/>
      </c>
      <c r="AK1550">
        <f ca="1"/>
      </c>
      <c r="AL1550">
        <f ca="1"/>
      </c>
      <c r="AM1550">
        <f ca="1"/>
      </c>
      <c r="AN1550">
        <f ca="1"/>
      </c>
      <c r="AO1550">
        <f ca="1"/>
      </c>
      <c r="AP1550">
        <f ca="1"/>
      </c>
      <c r="AQ1550">
        <f ca="1"/>
      </c>
      <c r="AR1550">
        <f ca="1"/>
      </c>
      <c r="AT1550" s="7">
        <f ca="1"/>
      </c>
      <c r="AU1550">
        <f ca="1"/>
      </c>
      <c r="AV1550">
        <f ca="1"/>
      </c>
      <c r="AW1550">
        <f ca="1"/>
      </c>
      <c r="AX1550">
        <f ca="1"/>
      </c>
      <c r="AY1550">
        <f ca="1"/>
      </c>
      <c r="BA1550" s="7"/>
    </row>
    <row r="1551" spans="31:53" x14ac:dyDescent="0.55000000000000004">
      <c r="AE1551" s="7">
        <f ca="1"/>
      </c>
      <c r="AF1551">
        <f ca="1"/>
      </c>
      <c r="AG1551">
        <f ca="1"/>
      </c>
      <c r="AH1551">
        <f ca="1"/>
      </c>
      <c r="AI1551">
        <f ca="1"/>
      </c>
      <c r="AJ1551">
        <f ca="1"/>
      </c>
      <c r="AK1551">
        <f ca="1"/>
      </c>
      <c r="AL1551">
        <f ca="1"/>
      </c>
      <c r="AM1551">
        <f ca="1"/>
      </c>
      <c r="AN1551">
        <f ca="1"/>
      </c>
      <c r="AO1551">
        <f ca="1"/>
      </c>
      <c r="AP1551">
        <f ca="1"/>
      </c>
      <c r="AQ1551">
        <f ca="1"/>
      </c>
      <c r="AR1551">
        <f ca="1"/>
      </c>
      <c r="AT1551" s="7">
        <f ca="1"/>
      </c>
      <c r="AU1551">
        <f ca="1"/>
      </c>
      <c r="AV1551">
        <f ca="1"/>
      </c>
      <c r="AW1551">
        <f ca="1"/>
      </c>
      <c r="AX1551">
        <f ca="1"/>
      </c>
      <c r="AY1551">
        <f ca="1"/>
      </c>
      <c r="BA1551" s="7"/>
    </row>
    <row r="1552" spans="31:53" x14ac:dyDescent="0.55000000000000004">
      <c r="AE1552" s="7">
        <f ca="1"/>
      </c>
      <c r="AF1552">
        <f ca="1"/>
      </c>
      <c r="AG1552">
        <f ca="1"/>
      </c>
      <c r="AH1552">
        <f ca="1"/>
      </c>
      <c r="AI1552">
        <f ca="1"/>
      </c>
      <c r="AJ1552">
        <f ca="1"/>
      </c>
      <c r="AK1552">
        <f ca="1"/>
      </c>
      <c r="AL1552">
        <f ca="1"/>
      </c>
      <c r="AM1552">
        <f ca="1"/>
      </c>
      <c r="AN1552">
        <f ca="1"/>
      </c>
      <c r="AO1552">
        <f ca="1"/>
      </c>
      <c r="AP1552">
        <f ca="1"/>
      </c>
      <c r="AQ1552">
        <f ca="1"/>
      </c>
      <c r="AR1552">
        <f ca="1"/>
      </c>
      <c r="AT1552" s="7">
        <f ca="1"/>
      </c>
      <c r="AU1552">
        <f ca="1"/>
      </c>
      <c r="AV1552">
        <f ca="1"/>
      </c>
      <c r="AW1552">
        <f ca="1"/>
      </c>
      <c r="AX1552">
        <f ca="1"/>
      </c>
      <c r="AY1552">
        <f ca="1"/>
      </c>
      <c r="BA1552" s="7"/>
    </row>
    <row r="1553" spans="31:53" x14ac:dyDescent="0.55000000000000004">
      <c r="AE1553" s="7">
        <f ca="1"/>
      </c>
      <c r="AF1553">
        <f ca="1"/>
      </c>
      <c r="AG1553">
        <f ca="1"/>
      </c>
      <c r="AH1553">
        <f ca="1"/>
      </c>
      <c r="AI1553">
        <f ca="1"/>
      </c>
      <c r="AJ1553">
        <f ca="1"/>
      </c>
      <c r="AK1553">
        <f ca="1"/>
      </c>
      <c r="AL1553">
        <f ca="1"/>
      </c>
      <c r="AM1553">
        <f ca="1"/>
      </c>
      <c r="AN1553">
        <f ca="1"/>
      </c>
      <c r="AO1553">
        <f ca="1"/>
      </c>
      <c r="AP1553">
        <f ca="1"/>
      </c>
      <c r="AQ1553">
        <f ca="1"/>
      </c>
      <c r="AR1553">
        <f ca="1"/>
      </c>
      <c r="AT1553" s="7">
        <f ca="1"/>
      </c>
      <c r="AU1553">
        <f ca="1"/>
      </c>
      <c r="AV1553">
        <f ca="1"/>
      </c>
      <c r="AW1553">
        <f ca="1"/>
      </c>
      <c r="AX1553">
        <f ca="1"/>
      </c>
      <c r="AY1553">
        <f ca="1"/>
      </c>
      <c r="BA1553" s="7"/>
    </row>
    <row r="1554" spans="31:53" x14ac:dyDescent="0.55000000000000004">
      <c r="AE1554" s="7">
        <f ca="1"/>
      </c>
      <c r="AF1554">
        <f ca="1"/>
      </c>
      <c r="AG1554">
        <f ca="1"/>
      </c>
      <c r="AH1554">
        <f ca="1"/>
      </c>
      <c r="AI1554">
        <f ca="1"/>
      </c>
      <c r="AJ1554">
        <f ca="1"/>
      </c>
      <c r="AK1554">
        <f ca="1"/>
      </c>
      <c r="AL1554">
        <f ca="1"/>
      </c>
      <c r="AM1554">
        <f ca="1"/>
      </c>
      <c r="AN1554">
        <f ca="1"/>
      </c>
      <c r="AO1554">
        <f ca="1"/>
      </c>
      <c r="AP1554">
        <f ca="1"/>
      </c>
      <c r="AQ1554">
        <f ca="1"/>
      </c>
      <c r="AR1554">
        <f ca="1"/>
      </c>
      <c r="AT1554" s="7">
        <f ca="1"/>
      </c>
      <c r="AU1554">
        <f ca="1"/>
      </c>
      <c r="AV1554">
        <f ca="1"/>
      </c>
      <c r="AW1554">
        <f ca="1"/>
      </c>
      <c r="AX1554">
        <f ca="1"/>
      </c>
      <c r="AY1554">
        <f ca="1"/>
      </c>
      <c r="BA1554" s="7"/>
    </row>
    <row r="1555" spans="31:53" x14ac:dyDescent="0.55000000000000004">
      <c r="AE1555" s="7">
        <f ca="1"/>
      </c>
      <c r="AF1555">
        <f ca="1"/>
      </c>
      <c r="AG1555">
        <f ca="1"/>
      </c>
      <c r="AH1555">
        <f ca="1"/>
      </c>
      <c r="AI1555">
        <f ca="1"/>
      </c>
      <c r="AJ1555">
        <f ca="1"/>
      </c>
      <c r="AK1555">
        <f ca="1"/>
      </c>
      <c r="AL1555">
        <f ca="1"/>
      </c>
      <c r="AM1555">
        <f ca="1"/>
      </c>
      <c r="AN1555">
        <f ca="1"/>
      </c>
      <c r="AO1555">
        <f ca="1"/>
      </c>
      <c r="AP1555">
        <f ca="1"/>
      </c>
      <c r="AQ1555">
        <f ca="1"/>
      </c>
      <c r="AR1555">
        <f ca="1"/>
      </c>
      <c r="AT1555" s="7">
        <f ca="1"/>
      </c>
      <c r="AU1555">
        <f ca="1"/>
      </c>
      <c r="AV1555">
        <f ca="1"/>
      </c>
      <c r="AW1555">
        <f ca="1"/>
      </c>
      <c r="AX1555">
        <f ca="1"/>
      </c>
      <c r="AY1555">
        <f ca="1"/>
      </c>
      <c r="BA1555" s="7"/>
    </row>
    <row r="1556" spans="31:53" x14ac:dyDescent="0.55000000000000004">
      <c r="AE1556" s="7">
        <f ca="1"/>
      </c>
      <c r="AF1556">
        <f ca="1"/>
      </c>
      <c r="AG1556">
        <f ca="1"/>
      </c>
      <c r="AH1556">
        <f ca="1"/>
      </c>
      <c r="AI1556">
        <f ca="1"/>
      </c>
      <c r="AJ1556">
        <f ca="1"/>
      </c>
      <c r="AK1556">
        <f ca="1"/>
      </c>
      <c r="AL1556">
        <f ca="1"/>
      </c>
      <c r="AM1556">
        <f ca="1"/>
      </c>
      <c r="AN1556">
        <f ca="1"/>
      </c>
      <c r="AO1556">
        <f ca="1"/>
      </c>
      <c r="AP1556">
        <f ca="1"/>
      </c>
      <c r="AQ1556">
        <f ca="1"/>
      </c>
      <c r="AR1556">
        <f ca="1"/>
      </c>
      <c r="AT1556" s="7">
        <f ca="1"/>
      </c>
      <c r="AU1556">
        <f ca="1"/>
      </c>
      <c r="AV1556">
        <f ca="1"/>
      </c>
      <c r="AW1556">
        <f ca="1"/>
      </c>
      <c r="AX1556">
        <f ca="1"/>
      </c>
      <c r="AY1556">
        <f ca="1"/>
      </c>
      <c r="BA1556" s="7"/>
    </row>
    <row r="1557" spans="31:53" x14ac:dyDescent="0.55000000000000004">
      <c r="AE1557" s="7">
        <f ca="1"/>
      </c>
      <c r="AF1557">
        <f ca="1"/>
      </c>
      <c r="AG1557">
        <f ca="1"/>
      </c>
      <c r="AH1557">
        <f ca="1"/>
      </c>
      <c r="AI1557">
        <f ca="1"/>
      </c>
      <c r="AJ1557">
        <f ca="1"/>
      </c>
      <c r="AK1557">
        <f ca="1"/>
      </c>
      <c r="AL1557">
        <f ca="1"/>
      </c>
      <c r="AM1557">
        <f ca="1"/>
      </c>
      <c r="AN1557">
        <f ca="1"/>
      </c>
      <c r="AO1557">
        <f ca="1"/>
      </c>
      <c r="AP1557">
        <f ca="1"/>
      </c>
      <c r="AQ1557">
        <f ca="1"/>
      </c>
      <c r="AR1557">
        <f ca="1"/>
      </c>
      <c r="AT1557" s="7">
        <f ca="1"/>
      </c>
      <c r="AU1557">
        <f ca="1"/>
      </c>
      <c r="AV1557">
        <f ca="1"/>
      </c>
      <c r="AW1557">
        <f ca="1"/>
      </c>
      <c r="AX1557">
        <f ca="1"/>
      </c>
      <c r="AY1557">
        <f ca="1"/>
      </c>
      <c r="BA1557" s="7"/>
    </row>
    <row r="1558" spans="31:53" x14ac:dyDescent="0.55000000000000004">
      <c r="AE1558" s="7">
        <f ca="1"/>
      </c>
      <c r="AF1558">
        <f ca="1"/>
      </c>
      <c r="AG1558">
        <f ca="1"/>
      </c>
      <c r="AH1558">
        <f ca="1"/>
      </c>
      <c r="AI1558">
        <f ca="1"/>
      </c>
      <c r="AJ1558">
        <f ca="1"/>
      </c>
      <c r="AK1558">
        <f ca="1"/>
      </c>
      <c r="AL1558">
        <f ca="1"/>
      </c>
      <c r="AM1558">
        <f ca="1"/>
      </c>
      <c r="AN1558">
        <f ca="1"/>
      </c>
      <c r="AO1558">
        <f ca="1"/>
      </c>
      <c r="AP1558">
        <f ca="1"/>
      </c>
      <c r="AQ1558">
        <f ca="1"/>
      </c>
      <c r="AR1558">
        <f ca="1"/>
      </c>
      <c r="AT1558" s="7">
        <f ca="1"/>
      </c>
      <c r="AU1558">
        <f ca="1"/>
      </c>
      <c r="AV1558">
        <f ca="1"/>
      </c>
      <c r="AW1558">
        <f ca="1"/>
      </c>
      <c r="AX1558">
        <f ca="1"/>
      </c>
      <c r="AY1558">
        <f ca="1"/>
      </c>
      <c r="BA1558" s="7"/>
    </row>
    <row r="1559" spans="31:53" x14ac:dyDescent="0.55000000000000004">
      <c r="AE1559" s="7">
        <f ca="1"/>
      </c>
      <c r="AF1559">
        <f ca="1"/>
      </c>
      <c r="AG1559">
        <f ca="1"/>
      </c>
      <c r="AH1559">
        <f ca="1"/>
      </c>
      <c r="AI1559">
        <f ca="1"/>
      </c>
      <c r="AJ1559">
        <f ca="1"/>
      </c>
      <c r="AK1559">
        <f ca="1"/>
      </c>
      <c r="AL1559">
        <f ca="1"/>
      </c>
      <c r="AM1559">
        <f ca="1"/>
      </c>
      <c r="AN1559">
        <f ca="1"/>
      </c>
      <c r="AO1559">
        <f ca="1"/>
      </c>
      <c r="AP1559">
        <f ca="1"/>
      </c>
      <c r="AQ1559">
        <f ca="1"/>
      </c>
      <c r="AR1559">
        <f ca="1"/>
      </c>
      <c r="AT1559" s="7">
        <f ca="1"/>
      </c>
      <c r="AU1559">
        <f ca="1"/>
      </c>
      <c r="AV1559">
        <f ca="1"/>
      </c>
      <c r="AW1559">
        <f ca="1"/>
      </c>
      <c r="AX1559">
        <f ca="1"/>
      </c>
      <c r="AY1559">
        <f ca="1"/>
      </c>
      <c r="BA1559" s="7"/>
    </row>
    <row r="1560" spans="31:53" x14ac:dyDescent="0.55000000000000004">
      <c r="AE1560" s="7">
        <f ca="1"/>
      </c>
      <c r="AF1560">
        <f ca="1"/>
      </c>
      <c r="AG1560">
        <f ca="1"/>
      </c>
      <c r="AH1560">
        <f ca="1"/>
      </c>
      <c r="AI1560">
        <f ca="1"/>
      </c>
      <c r="AJ1560">
        <f ca="1"/>
      </c>
      <c r="AK1560">
        <f ca="1"/>
      </c>
      <c r="AL1560">
        <f ca="1"/>
      </c>
      <c r="AM1560">
        <f ca="1"/>
      </c>
      <c r="AN1560">
        <f ca="1"/>
      </c>
      <c r="AO1560">
        <f ca="1"/>
      </c>
      <c r="AP1560">
        <f ca="1"/>
      </c>
      <c r="AQ1560">
        <f ca="1"/>
      </c>
      <c r="AR1560">
        <f ca="1"/>
      </c>
      <c r="AT1560" s="7">
        <f ca="1"/>
      </c>
      <c r="AU1560">
        <f ca="1"/>
      </c>
      <c r="AV1560">
        <f ca="1"/>
      </c>
      <c r="AW1560">
        <f ca="1"/>
      </c>
      <c r="AX1560">
        <f ca="1"/>
      </c>
      <c r="AY1560">
        <f ca="1"/>
      </c>
      <c r="BA1560" s="7"/>
    </row>
    <row r="1561" spans="31:53" x14ac:dyDescent="0.55000000000000004">
      <c r="AE1561" s="7">
        <f ca="1"/>
      </c>
      <c r="AF1561">
        <f ca="1"/>
      </c>
      <c r="AG1561">
        <f ca="1"/>
      </c>
      <c r="AH1561">
        <f ca="1"/>
      </c>
      <c r="AI1561">
        <f ca="1"/>
      </c>
      <c r="AJ1561">
        <f ca="1"/>
      </c>
      <c r="AK1561">
        <f ca="1"/>
      </c>
      <c r="AL1561">
        <f ca="1"/>
      </c>
      <c r="AM1561">
        <f ca="1"/>
      </c>
      <c r="AN1561">
        <f ca="1"/>
      </c>
      <c r="AO1561">
        <f ca="1"/>
      </c>
      <c r="AP1561">
        <f ca="1"/>
      </c>
      <c r="AQ1561">
        <f ca="1"/>
      </c>
      <c r="AR1561">
        <f ca="1"/>
      </c>
      <c r="AT1561" s="7">
        <f ca="1"/>
      </c>
      <c r="AU1561">
        <f ca="1"/>
      </c>
      <c r="AV1561">
        <f ca="1"/>
      </c>
      <c r="AW1561">
        <f ca="1"/>
      </c>
      <c r="AX1561">
        <f ca="1"/>
      </c>
      <c r="AY1561">
        <f ca="1"/>
      </c>
      <c r="BA1561" s="7"/>
    </row>
    <row r="1562" spans="31:53" x14ac:dyDescent="0.55000000000000004">
      <c r="AE1562" s="7">
        <f ca="1"/>
      </c>
      <c r="AF1562">
        <f ca="1"/>
      </c>
      <c r="AG1562">
        <f ca="1"/>
      </c>
      <c r="AH1562">
        <f ca="1"/>
      </c>
      <c r="AI1562">
        <f ca="1"/>
      </c>
      <c r="AJ1562">
        <f ca="1"/>
      </c>
      <c r="AK1562">
        <f ca="1"/>
      </c>
      <c r="AL1562">
        <f ca="1"/>
      </c>
      <c r="AM1562">
        <f ca="1"/>
      </c>
      <c r="AN1562">
        <f ca="1"/>
      </c>
      <c r="AO1562">
        <f ca="1"/>
      </c>
      <c r="AP1562">
        <f ca="1"/>
      </c>
      <c r="AQ1562">
        <f ca="1"/>
      </c>
      <c r="AR1562">
        <f ca="1"/>
      </c>
      <c r="AT1562" s="7">
        <f ca="1"/>
      </c>
      <c r="AU1562">
        <f ca="1"/>
      </c>
      <c r="AV1562">
        <f ca="1"/>
      </c>
      <c r="AW1562">
        <f ca="1"/>
      </c>
      <c r="AX1562">
        <f ca="1"/>
      </c>
      <c r="AY1562">
        <f ca="1"/>
      </c>
      <c r="BA1562" s="7"/>
    </row>
    <row r="1563" spans="31:53" x14ac:dyDescent="0.55000000000000004">
      <c r="AE1563" s="7">
        <f ca="1"/>
      </c>
      <c r="AF1563">
        <f ca="1"/>
      </c>
      <c r="AG1563">
        <f ca="1"/>
      </c>
      <c r="AH1563">
        <f ca="1"/>
      </c>
      <c r="AI1563">
        <f ca="1"/>
      </c>
      <c r="AJ1563">
        <f ca="1"/>
      </c>
      <c r="AK1563">
        <f ca="1"/>
      </c>
      <c r="AL1563">
        <f ca="1"/>
      </c>
      <c r="AM1563">
        <f ca="1"/>
      </c>
      <c r="AN1563">
        <f ca="1"/>
      </c>
      <c r="AO1563">
        <f ca="1"/>
      </c>
      <c r="AP1563">
        <f ca="1"/>
      </c>
      <c r="AQ1563">
        <f ca="1"/>
      </c>
      <c r="AR1563">
        <f ca="1"/>
      </c>
      <c r="AT1563" s="7">
        <f ca="1"/>
      </c>
      <c r="AU1563">
        <f ca="1"/>
      </c>
      <c r="AV1563">
        <f ca="1"/>
      </c>
      <c r="AW1563">
        <f ca="1"/>
      </c>
      <c r="AX1563">
        <f ca="1"/>
      </c>
      <c r="AY1563">
        <f ca="1"/>
      </c>
      <c r="BA1563" s="7"/>
    </row>
    <row r="1564" spans="31:53" x14ac:dyDescent="0.55000000000000004">
      <c r="AE1564" s="7">
        <f ca="1"/>
      </c>
      <c r="AF1564">
        <f ca="1"/>
      </c>
      <c r="AG1564">
        <f ca="1"/>
      </c>
      <c r="AH1564">
        <f ca="1"/>
      </c>
      <c r="AI1564">
        <f ca="1"/>
      </c>
      <c r="AJ1564">
        <f ca="1"/>
      </c>
      <c r="AK1564">
        <f ca="1"/>
      </c>
      <c r="AL1564">
        <f ca="1"/>
      </c>
      <c r="AM1564">
        <f ca="1"/>
      </c>
      <c r="AN1564">
        <f ca="1"/>
      </c>
      <c r="AO1564">
        <f ca="1"/>
      </c>
      <c r="AP1564">
        <f ca="1"/>
      </c>
      <c r="AQ1564">
        <f ca="1"/>
      </c>
      <c r="AR1564">
        <f ca="1"/>
      </c>
      <c r="AT1564" s="7">
        <f ca="1"/>
      </c>
      <c r="AU1564">
        <f ca="1"/>
      </c>
      <c r="AV1564">
        <f ca="1"/>
      </c>
      <c r="AW1564">
        <f ca="1"/>
      </c>
      <c r="AX1564">
        <f ca="1"/>
      </c>
      <c r="AY1564">
        <f ca="1"/>
      </c>
      <c r="BA1564" s="7"/>
    </row>
    <row r="1565" spans="31:53" x14ac:dyDescent="0.55000000000000004">
      <c r="AE1565" s="7">
        <f ca="1"/>
      </c>
      <c r="AF1565">
        <f ca="1"/>
      </c>
      <c r="AG1565">
        <f ca="1"/>
      </c>
      <c r="AH1565">
        <f ca="1"/>
      </c>
      <c r="AI1565">
        <f ca="1"/>
      </c>
      <c r="AJ1565">
        <f ca="1"/>
      </c>
      <c r="AK1565">
        <f ca="1"/>
      </c>
      <c r="AL1565">
        <f ca="1"/>
      </c>
      <c r="AM1565">
        <f ca="1"/>
      </c>
      <c r="AN1565">
        <f ca="1"/>
      </c>
      <c r="AO1565">
        <f ca="1"/>
      </c>
      <c r="AP1565">
        <f ca="1"/>
      </c>
      <c r="AQ1565">
        <f ca="1"/>
      </c>
      <c r="AR1565">
        <f ca="1"/>
      </c>
      <c r="AT1565" s="7">
        <f ca="1"/>
      </c>
      <c r="AU1565">
        <f ca="1"/>
      </c>
      <c r="AV1565">
        <f ca="1"/>
      </c>
      <c r="AW1565">
        <f ca="1"/>
      </c>
      <c r="AX1565">
        <f ca="1"/>
      </c>
      <c r="AY1565">
        <f ca="1"/>
      </c>
      <c r="BA1565" s="7"/>
    </row>
    <row r="1566" spans="31:53" x14ac:dyDescent="0.55000000000000004">
      <c r="AE1566" s="7">
        <f ca="1"/>
      </c>
      <c r="AF1566">
        <f ca="1"/>
      </c>
      <c r="AG1566">
        <f ca="1"/>
      </c>
      <c r="AH1566">
        <f ca="1"/>
      </c>
      <c r="AI1566">
        <f ca="1"/>
      </c>
      <c r="AJ1566">
        <f ca="1"/>
      </c>
      <c r="AK1566">
        <f ca="1"/>
      </c>
      <c r="AL1566">
        <f ca="1"/>
      </c>
      <c r="AM1566">
        <f ca="1"/>
      </c>
      <c r="AN1566">
        <f ca="1"/>
      </c>
      <c r="AO1566">
        <f ca="1"/>
      </c>
      <c r="AP1566">
        <f ca="1"/>
      </c>
      <c r="AQ1566">
        <f ca="1"/>
      </c>
      <c r="AR1566">
        <f ca="1"/>
      </c>
      <c r="AT1566" s="7">
        <f ca="1"/>
      </c>
      <c r="AU1566">
        <f ca="1"/>
      </c>
      <c r="AV1566">
        <f ca="1"/>
      </c>
      <c r="AW1566">
        <f ca="1"/>
      </c>
      <c r="AX1566">
        <f ca="1"/>
      </c>
      <c r="AY1566">
        <f ca="1"/>
      </c>
      <c r="BA1566" s="7"/>
    </row>
    <row r="1567" spans="31:53" x14ac:dyDescent="0.55000000000000004">
      <c r="AE1567" s="7">
        <f ca="1"/>
      </c>
      <c r="AF1567">
        <f ca="1"/>
      </c>
      <c r="AG1567">
        <f ca="1"/>
      </c>
      <c r="AH1567">
        <f ca="1"/>
      </c>
      <c r="AI1567">
        <f ca="1"/>
      </c>
      <c r="AJ1567">
        <f ca="1"/>
      </c>
      <c r="AK1567">
        <f ca="1"/>
      </c>
      <c r="AL1567">
        <f ca="1"/>
      </c>
      <c r="AM1567">
        <f ca="1"/>
      </c>
      <c r="AN1567">
        <f ca="1"/>
      </c>
      <c r="AO1567">
        <f ca="1"/>
      </c>
      <c r="AP1567">
        <f ca="1"/>
      </c>
      <c r="AQ1567">
        <f ca="1"/>
      </c>
      <c r="AR1567">
        <f ca="1"/>
      </c>
      <c r="AT1567" s="7">
        <f ca="1"/>
      </c>
      <c r="AU1567">
        <f ca="1"/>
      </c>
      <c r="AV1567">
        <f ca="1"/>
      </c>
      <c r="AW1567">
        <f ca="1"/>
      </c>
      <c r="AX1567">
        <f ca="1"/>
      </c>
      <c r="AY1567">
        <f ca="1"/>
      </c>
      <c r="BA1567" s="7"/>
    </row>
    <row r="1568" spans="31:53" x14ac:dyDescent="0.55000000000000004">
      <c r="AE1568" s="7">
        <f ca="1"/>
      </c>
      <c r="AF1568">
        <f ca="1"/>
      </c>
      <c r="AG1568">
        <f ca="1"/>
      </c>
      <c r="AH1568">
        <f ca="1"/>
      </c>
      <c r="AI1568">
        <f ca="1"/>
      </c>
      <c r="AJ1568">
        <f ca="1"/>
      </c>
      <c r="AK1568">
        <f ca="1"/>
      </c>
      <c r="AL1568">
        <f ca="1"/>
      </c>
      <c r="AM1568">
        <f ca="1"/>
      </c>
      <c r="AN1568">
        <f ca="1"/>
      </c>
      <c r="AO1568">
        <f ca="1"/>
      </c>
      <c r="AP1568">
        <f ca="1"/>
      </c>
      <c r="AQ1568">
        <f ca="1"/>
      </c>
      <c r="AR1568">
        <f ca="1"/>
      </c>
      <c r="AT1568" s="7">
        <f ca="1"/>
      </c>
      <c r="AU1568">
        <f ca="1"/>
      </c>
      <c r="AV1568">
        <f ca="1"/>
      </c>
      <c r="AW1568">
        <f ca="1"/>
      </c>
      <c r="AX1568">
        <f ca="1"/>
      </c>
      <c r="AY1568">
        <f ca="1"/>
      </c>
      <c r="BA1568" s="7"/>
    </row>
    <row r="1569" spans="31:53" x14ac:dyDescent="0.55000000000000004">
      <c r="AE1569" s="7">
        <f ca="1"/>
      </c>
      <c r="AF1569">
        <f ca="1"/>
      </c>
      <c r="AG1569">
        <f ca="1"/>
      </c>
      <c r="AH1569">
        <f ca="1"/>
      </c>
      <c r="AI1569">
        <f ca="1"/>
      </c>
      <c r="AJ1569">
        <f ca="1"/>
      </c>
      <c r="AK1569">
        <f ca="1"/>
      </c>
      <c r="AL1569">
        <f ca="1"/>
      </c>
      <c r="AM1569">
        <f ca="1"/>
      </c>
      <c r="AN1569">
        <f ca="1"/>
      </c>
      <c r="AO1569">
        <f ca="1"/>
      </c>
      <c r="AP1569">
        <f ca="1"/>
      </c>
      <c r="AQ1569">
        <f ca="1"/>
      </c>
      <c r="AR1569">
        <f ca="1"/>
      </c>
      <c r="AT1569" s="7">
        <f ca="1"/>
      </c>
      <c r="AU1569">
        <f ca="1"/>
      </c>
      <c r="AV1569">
        <f ca="1"/>
      </c>
      <c r="AW1569">
        <f ca="1"/>
      </c>
      <c r="AX1569">
        <f ca="1"/>
      </c>
      <c r="AY1569">
        <f ca="1"/>
      </c>
      <c r="BA1569" s="7"/>
    </row>
    <row r="1570" spans="31:53" x14ac:dyDescent="0.55000000000000004">
      <c r="AE1570" s="7">
        <f ca="1"/>
      </c>
      <c r="AF1570">
        <f ca="1"/>
      </c>
      <c r="AG1570">
        <f ca="1"/>
      </c>
      <c r="AH1570">
        <f ca="1"/>
      </c>
      <c r="AI1570">
        <f ca="1"/>
      </c>
      <c r="AJ1570">
        <f ca="1"/>
      </c>
      <c r="AK1570">
        <f ca="1"/>
      </c>
      <c r="AL1570">
        <f ca="1"/>
      </c>
      <c r="AM1570">
        <f ca="1"/>
      </c>
      <c r="AN1570">
        <f ca="1"/>
      </c>
      <c r="AO1570">
        <f ca="1"/>
      </c>
      <c r="AP1570">
        <f ca="1"/>
      </c>
      <c r="AQ1570">
        <f ca="1"/>
      </c>
      <c r="AR1570">
        <f ca="1"/>
      </c>
      <c r="AT1570" s="7">
        <f ca="1"/>
      </c>
      <c r="AU1570">
        <f ca="1"/>
      </c>
      <c r="AV1570">
        <f ca="1"/>
      </c>
      <c r="AW1570">
        <f ca="1"/>
      </c>
      <c r="AX1570">
        <f ca="1"/>
      </c>
      <c r="AY1570">
        <f ca="1"/>
      </c>
      <c r="BA1570" s="7"/>
    </row>
    <row r="1571" spans="31:53" x14ac:dyDescent="0.55000000000000004">
      <c r="AE1571" s="7">
        <f ca="1"/>
      </c>
      <c r="AF1571">
        <f ca="1"/>
      </c>
      <c r="AG1571">
        <f ca="1"/>
      </c>
      <c r="AH1571">
        <f ca="1"/>
      </c>
      <c r="AI1571">
        <f ca="1"/>
      </c>
      <c r="AJ1571">
        <f ca="1"/>
      </c>
      <c r="AK1571">
        <f ca="1"/>
      </c>
      <c r="AL1571">
        <f ca="1"/>
      </c>
      <c r="AM1571">
        <f ca="1"/>
      </c>
      <c r="AN1571">
        <f ca="1"/>
      </c>
      <c r="AO1571">
        <f ca="1"/>
      </c>
      <c r="AP1571">
        <f ca="1"/>
      </c>
      <c r="AQ1571">
        <f ca="1"/>
      </c>
      <c r="AR1571">
        <f ca="1"/>
      </c>
      <c r="AT1571" s="7">
        <f ca="1"/>
      </c>
      <c r="AU1571">
        <f ca="1"/>
      </c>
      <c r="AV1571">
        <f ca="1"/>
      </c>
      <c r="AW1571">
        <f ca="1"/>
      </c>
      <c r="AX1571">
        <f ca="1"/>
      </c>
      <c r="AY1571">
        <f ca="1"/>
      </c>
      <c r="BA1571" s="7"/>
    </row>
    <row r="1572" spans="31:53" x14ac:dyDescent="0.55000000000000004">
      <c r="AE1572" s="7">
        <f ca="1"/>
      </c>
      <c r="AF1572">
        <f ca="1"/>
      </c>
      <c r="AG1572">
        <f ca="1"/>
      </c>
      <c r="AH1572">
        <f ca="1"/>
      </c>
      <c r="AI1572">
        <f ca="1"/>
      </c>
      <c r="AJ1572">
        <f ca="1"/>
      </c>
      <c r="AK1572">
        <f ca="1"/>
      </c>
      <c r="AL1572">
        <f ca="1"/>
      </c>
      <c r="AM1572">
        <f ca="1"/>
      </c>
      <c r="AN1572">
        <f ca="1"/>
      </c>
      <c r="AO1572">
        <f ca="1"/>
      </c>
      <c r="AP1572">
        <f ca="1"/>
      </c>
      <c r="AQ1572">
        <f ca="1"/>
      </c>
      <c r="AR1572">
        <f ca="1"/>
      </c>
      <c r="AT1572" s="7">
        <f ca="1"/>
      </c>
      <c r="AU1572">
        <f ca="1"/>
      </c>
      <c r="AV1572">
        <f ca="1"/>
      </c>
      <c r="AW1572">
        <f ca="1"/>
      </c>
      <c r="AX1572">
        <f ca="1"/>
      </c>
      <c r="AY1572">
        <f ca="1"/>
      </c>
      <c r="BA1572" s="7"/>
    </row>
    <row r="1573" spans="31:53" x14ac:dyDescent="0.55000000000000004">
      <c r="AE1573" s="7">
        <f ca="1"/>
      </c>
      <c r="AF1573">
        <f ca="1"/>
      </c>
      <c r="AG1573">
        <f ca="1"/>
      </c>
      <c r="AH1573">
        <f ca="1"/>
      </c>
      <c r="AI1573">
        <f ca="1"/>
      </c>
      <c r="AJ1573">
        <f ca="1"/>
      </c>
      <c r="AK1573">
        <f ca="1"/>
      </c>
      <c r="AL1573">
        <f ca="1"/>
      </c>
      <c r="AM1573">
        <f ca="1"/>
      </c>
      <c r="AN1573">
        <f ca="1"/>
      </c>
      <c r="AO1573">
        <f ca="1"/>
      </c>
      <c r="AP1573">
        <f ca="1"/>
      </c>
      <c r="AQ1573">
        <f ca="1"/>
      </c>
      <c r="AR1573">
        <f ca="1"/>
      </c>
      <c r="AT1573" s="7">
        <f ca="1"/>
      </c>
      <c r="AU1573">
        <f ca="1"/>
      </c>
      <c r="AV1573">
        <f ca="1"/>
      </c>
      <c r="AW1573">
        <f ca="1"/>
      </c>
      <c r="AX1573">
        <f ca="1"/>
      </c>
      <c r="AY1573">
        <f ca="1"/>
      </c>
      <c r="BA1573" s="7"/>
    </row>
    <row r="1574" spans="31:53" x14ac:dyDescent="0.55000000000000004">
      <c r="AE1574" s="7">
        <f ca="1"/>
      </c>
      <c r="AF1574">
        <f ca="1"/>
      </c>
      <c r="AG1574">
        <f ca="1"/>
      </c>
      <c r="AH1574">
        <f ca="1"/>
      </c>
      <c r="AI1574">
        <f ca="1"/>
      </c>
      <c r="AJ1574">
        <f ca="1"/>
      </c>
      <c r="AK1574">
        <f ca="1"/>
      </c>
      <c r="AL1574">
        <f ca="1"/>
      </c>
      <c r="AM1574">
        <f ca="1"/>
      </c>
      <c r="AN1574">
        <f ca="1"/>
      </c>
      <c r="AO1574">
        <f ca="1"/>
      </c>
      <c r="AP1574">
        <f ca="1"/>
      </c>
      <c r="AQ1574">
        <f ca="1"/>
      </c>
      <c r="AR1574">
        <f ca="1"/>
      </c>
      <c r="AT1574" s="7">
        <f ca="1"/>
      </c>
      <c r="AU1574">
        <f ca="1"/>
      </c>
      <c r="AV1574">
        <f ca="1"/>
      </c>
      <c r="AW1574">
        <f ca="1"/>
      </c>
      <c r="AX1574">
        <f ca="1"/>
      </c>
      <c r="AY1574">
        <f ca="1"/>
      </c>
      <c r="BA1574" s="7"/>
    </row>
    <row r="1575" spans="31:53" x14ac:dyDescent="0.55000000000000004">
      <c r="AE1575" s="7">
        <f ca="1"/>
      </c>
      <c r="AF1575">
        <f ca="1"/>
      </c>
      <c r="AG1575">
        <f ca="1"/>
      </c>
      <c r="AH1575">
        <f ca="1"/>
      </c>
      <c r="AI1575">
        <f ca="1"/>
      </c>
      <c r="AJ1575">
        <f ca="1"/>
      </c>
      <c r="AK1575">
        <f ca="1"/>
      </c>
      <c r="AL1575">
        <f ca="1"/>
      </c>
      <c r="AM1575">
        <f ca="1"/>
      </c>
      <c r="AN1575">
        <f ca="1"/>
      </c>
      <c r="AO1575">
        <f ca="1"/>
      </c>
      <c r="AP1575">
        <f ca="1"/>
      </c>
      <c r="AQ1575">
        <f ca="1"/>
      </c>
      <c r="AR1575">
        <f ca="1"/>
      </c>
      <c r="AT1575" s="7">
        <f ca="1"/>
      </c>
      <c r="AU1575">
        <f ca="1"/>
      </c>
      <c r="AV1575">
        <f ca="1"/>
      </c>
      <c r="AW1575">
        <f ca="1"/>
      </c>
      <c r="AX1575">
        <f ca="1"/>
      </c>
      <c r="AY1575">
        <f ca="1"/>
      </c>
      <c r="BA1575" s="7"/>
    </row>
    <row r="1576" spans="31:53" x14ac:dyDescent="0.55000000000000004">
      <c r="AE1576" s="7">
        <f ca="1"/>
      </c>
      <c r="AF1576">
        <f ca="1"/>
      </c>
      <c r="AG1576">
        <f ca="1"/>
      </c>
      <c r="AH1576">
        <f ca="1"/>
      </c>
      <c r="AI1576">
        <f ca="1"/>
      </c>
      <c r="AJ1576">
        <f ca="1"/>
      </c>
      <c r="AK1576">
        <f ca="1"/>
      </c>
      <c r="AL1576">
        <f ca="1"/>
      </c>
      <c r="AM1576">
        <f ca="1"/>
      </c>
      <c r="AN1576">
        <f ca="1"/>
      </c>
      <c r="AO1576">
        <f ca="1"/>
      </c>
      <c r="AP1576">
        <f ca="1"/>
      </c>
      <c r="AQ1576">
        <f ca="1"/>
      </c>
      <c r="AR1576">
        <f ca="1"/>
      </c>
      <c r="AT1576" s="7">
        <f ca="1"/>
      </c>
      <c r="AU1576">
        <f ca="1"/>
      </c>
      <c r="AV1576">
        <f ca="1"/>
      </c>
      <c r="AW1576">
        <f ca="1"/>
      </c>
      <c r="AX1576">
        <f ca="1"/>
      </c>
      <c r="AY1576">
        <f ca="1"/>
      </c>
      <c r="BA1576" s="7"/>
    </row>
    <row r="1577" spans="31:53" x14ac:dyDescent="0.55000000000000004">
      <c r="AE1577" s="7">
        <f ca="1"/>
      </c>
      <c r="AF1577">
        <f ca="1"/>
      </c>
      <c r="AG1577">
        <f ca="1"/>
      </c>
      <c r="AH1577">
        <f ca="1"/>
      </c>
      <c r="AI1577">
        <f ca="1"/>
      </c>
      <c r="AJ1577">
        <f ca="1"/>
      </c>
      <c r="AK1577">
        <f ca="1"/>
      </c>
      <c r="AL1577">
        <f ca="1"/>
      </c>
      <c r="AM1577">
        <f ca="1"/>
      </c>
      <c r="AN1577">
        <f ca="1"/>
      </c>
      <c r="AO1577">
        <f ca="1"/>
      </c>
      <c r="AP1577">
        <f ca="1"/>
      </c>
      <c r="AQ1577">
        <f ca="1"/>
      </c>
      <c r="AR1577">
        <f ca="1"/>
      </c>
      <c r="AT1577" s="7">
        <f ca="1"/>
      </c>
      <c r="AU1577">
        <f ca="1"/>
      </c>
      <c r="AV1577">
        <f ca="1"/>
      </c>
      <c r="AW1577">
        <f ca="1"/>
      </c>
      <c r="AX1577">
        <f ca="1"/>
      </c>
      <c r="AY1577">
        <f ca="1"/>
      </c>
      <c r="BA1577" s="7"/>
    </row>
    <row r="1578" spans="31:53" x14ac:dyDescent="0.55000000000000004">
      <c r="AE1578" s="7">
        <f ca="1"/>
      </c>
      <c r="AF1578">
        <f ca="1"/>
      </c>
      <c r="AG1578">
        <f ca="1"/>
      </c>
      <c r="AH1578">
        <f ca="1"/>
      </c>
      <c r="AI1578">
        <f ca="1"/>
      </c>
      <c r="AJ1578">
        <f ca="1"/>
      </c>
      <c r="AK1578">
        <f ca="1"/>
      </c>
      <c r="AL1578">
        <f ca="1"/>
      </c>
      <c r="AM1578">
        <f ca="1"/>
      </c>
      <c r="AN1578">
        <f ca="1"/>
      </c>
      <c r="AO1578">
        <f ca="1"/>
      </c>
      <c r="AP1578">
        <f ca="1"/>
      </c>
      <c r="AQ1578">
        <f ca="1"/>
      </c>
      <c r="AR1578">
        <f ca="1"/>
      </c>
      <c r="AT1578" s="7">
        <f ca="1"/>
      </c>
      <c r="AU1578">
        <f ca="1"/>
      </c>
      <c r="AV1578">
        <f ca="1"/>
      </c>
      <c r="AW1578">
        <f ca="1"/>
      </c>
      <c r="AX1578">
        <f ca="1"/>
      </c>
      <c r="AY1578">
        <f ca="1"/>
      </c>
      <c r="BA1578" s="7"/>
    </row>
    <row r="1579" spans="31:53" x14ac:dyDescent="0.55000000000000004">
      <c r="AE1579" s="7">
        <f ca="1"/>
      </c>
      <c r="AF1579">
        <f ca="1"/>
      </c>
      <c r="AG1579">
        <f ca="1"/>
      </c>
      <c r="AH1579">
        <f ca="1"/>
      </c>
      <c r="AI1579">
        <f ca="1"/>
      </c>
      <c r="AJ1579">
        <f ca="1"/>
      </c>
      <c r="AK1579">
        <f ca="1"/>
      </c>
      <c r="AL1579">
        <f ca="1"/>
      </c>
      <c r="AM1579">
        <f ca="1"/>
      </c>
      <c r="AN1579">
        <f ca="1"/>
      </c>
      <c r="AO1579">
        <f ca="1"/>
      </c>
      <c r="AP1579">
        <f ca="1"/>
      </c>
      <c r="AQ1579">
        <f ca="1"/>
      </c>
      <c r="AR1579">
        <f ca="1"/>
      </c>
      <c r="AT1579" s="7">
        <f ca="1"/>
      </c>
      <c r="AU1579">
        <f ca="1"/>
      </c>
      <c r="AV1579">
        <f ca="1"/>
      </c>
      <c r="AW1579">
        <f ca="1"/>
      </c>
      <c r="AX1579">
        <f ca="1"/>
      </c>
      <c r="AY1579">
        <f ca="1"/>
      </c>
      <c r="BA1579" s="7"/>
    </row>
    <row r="1580" spans="31:53" x14ac:dyDescent="0.55000000000000004">
      <c r="AE1580" s="7">
        <f ca="1"/>
      </c>
      <c r="AF1580">
        <f ca="1"/>
      </c>
      <c r="AG1580">
        <f ca="1"/>
      </c>
      <c r="AH1580">
        <f ca="1"/>
      </c>
      <c r="AI1580">
        <f ca="1"/>
      </c>
      <c r="AJ1580">
        <f ca="1"/>
      </c>
      <c r="AK1580">
        <f ca="1"/>
      </c>
      <c r="AL1580">
        <f ca="1"/>
      </c>
      <c r="AM1580">
        <f ca="1"/>
      </c>
      <c r="AN1580">
        <f ca="1"/>
      </c>
      <c r="AO1580">
        <f ca="1"/>
      </c>
      <c r="AP1580">
        <f ca="1"/>
      </c>
      <c r="AQ1580">
        <f ca="1"/>
      </c>
      <c r="AR1580">
        <f ca="1"/>
      </c>
      <c r="AT1580" s="7">
        <f ca="1"/>
      </c>
      <c r="AU1580">
        <f ca="1"/>
      </c>
      <c r="AV1580">
        <f ca="1"/>
      </c>
      <c r="AW1580">
        <f ca="1"/>
      </c>
      <c r="AX1580">
        <f ca="1"/>
      </c>
      <c r="AY1580">
        <f ca="1"/>
      </c>
      <c r="BA1580" s="7"/>
    </row>
    <row r="1581" spans="31:53" x14ac:dyDescent="0.55000000000000004">
      <c r="AE1581" s="7">
        <f ca="1"/>
      </c>
      <c r="AF1581">
        <f ca="1"/>
      </c>
      <c r="AG1581">
        <f ca="1"/>
      </c>
      <c r="AH1581">
        <f ca="1"/>
      </c>
      <c r="AI1581">
        <f ca="1"/>
      </c>
      <c r="AJ1581">
        <f ca="1"/>
      </c>
      <c r="AK1581">
        <f ca="1"/>
      </c>
      <c r="AL1581">
        <f ca="1"/>
      </c>
      <c r="AM1581">
        <f ca="1"/>
      </c>
      <c r="AN1581">
        <f ca="1"/>
      </c>
      <c r="AO1581">
        <f ca="1"/>
      </c>
      <c r="AP1581">
        <f ca="1"/>
      </c>
      <c r="AQ1581">
        <f ca="1"/>
      </c>
      <c r="AR1581">
        <f ca="1"/>
      </c>
      <c r="AT1581" s="7">
        <f ca="1"/>
      </c>
      <c r="AU1581">
        <f ca="1"/>
      </c>
      <c r="AV1581">
        <f ca="1"/>
      </c>
      <c r="AW1581">
        <f ca="1"/>
      </c>
      <c r="AX1581">
        <f ca="1"/>
      </c>
      <c r="AY1581">
        <f ca="1"/>
      </c>
      <c r="BA1581" s="7"/>
    </row>
    <row r="1582" spans="31:53" x14ac:dyDescent="0.55000000000000004">
      <c r="AE1582" s="7">
        <f ca="1"/>
      </c>
      <c r="AF1582">
        <f ca="1"/>
      </c>
      <c r="AG1582">
        <f ca="1"/>
      </c>
      <c r="AH1582">
        <f ca="1"/>
      </c>
      <c r="AI1582">
        <f ca="1"/>
      </c>
      <c r="AJ1582">
        <f ca="1"/>
      </c>
      <c r="AK1582">
        <f ca="1"/>
      </c>
      <c r="AL1582">
        <f ca="1"/>
      </c>
      <c r="AM1582">
        <f ca="1"/>
      </c>
      <c r="AN1582">
        <f ca="1"/>
      </c>
      <c r="AO1582">
        <f ca="1"/>
      </c>
      <c r="AP1582">
        <f ca="1"/>
      </c>
      <c r="AQ1582">
        <f ca="1"/>
      </c>
      <c r="AR1582">
        <f ca="1"/>
      </c>
      <c r="AT1582" s="7">
        <f ca="1"/>
      </c>
      <c r="AU1582">
        <f ca="1"/>
      </c>
      <c r="AV1582">
        <f ca="1"/>
      </c>
      <c r="AW1582">
        <f ca="1"/>
      </c>
      <c r="AX1582">
        <f ca="1"/>
      </c>
      <c r="AY1582">
        <f ca="1"/>
      </c>
      <c r="BA1582" s="7"/>
    </row>
    <row r="1583" spans="31:53" x14ac:dyDescent="0.55000000000000004">
      <c r="AE1583" s="7">
        <f ca="1"/>
      </c>
      <c r="AF1583">
        <f ca="1"/>
      </c>
      <c r="AG1583">
        <f ca="1"/>
      </c>
      <c r="AH1583">
        <f ca="1"/>
      </c>
      <c r="AI1583">
        <f ca="1"/>
      </c>
      <c r="AJ1583">
        <f ca="1"/>
      </c>
      <c r="AK1583">
        <f ca="1"/>
      </c>
      <c r="AL1583">
        <f ca="1"/>
      </c>
      <c r="AM1583">
        <f ca="1"/>
      </c>
      <c r="AN1583">
        <f ca="1"/>
      </c>
      <c r="AO1583">
        <f ca="1"/>
      </c>
      <c r="AP1583">
        <f ca="1"/>
      </c>
      <c r="AQ1583">
        <f ca="1"/>
      </c>
      <c r="AR1583">
        <f ca="1"/>
      </c>
      <c r="AT1583" s="7">
        <f ca="1"/>
      </c>
      <c r="AU1583">
        <f ca="1"/>
      </c>
      <c r="AV1583">
        <f ca="1"/>
      </c>
      <c r="AW1583">
        <f ca="1"/>
      </c>
      <c r="AX1583">
        <f ca="1"/>
      </c>
      <c r="AY1583">
        <f ca="1"/>
      </c>
      <c r="BA1583" s="7"/>
    </row>
    <row r="1584" spans="31:53" x14ac:dyDescent="0.55000000000000004">
      <c r="AE1584" s="7">
        <f ca="1"/>
      </c>
      <c r="AF1584">
        <f ca="1"/>
      </c>
      <c r="AG1584">
        <f ca="1"/>
      </c>
      <c r="AH1584">
        <f ca="1"/>
      </c>
      <c r="AI1584">
        <f ca="1"/>
      </c>
      <c r="AJ1584">
        <f ca="1"/>
      </c>
      <c r="AK1584">
        <f ca="1"/>
      </c>
      <c r="AL1584">
        <f ca="1"/>
      </c>
      <c r="AM1584">
        <f ca="1"/>
      </c>
      <c r="AN1584">
        <f ca="1"/>
      </c>
      <c r="AO1584">
        <f ca="1"/>
      </c>
      <c r="AP1584">
        <f ca="1"/>
      </c>
      <c r="AQ1584">
        <f ca="1"/>
      </c>
      <c r="AR1584">
        <f ca="1"/>
      </c>
      <c r="AT1584" s="7">
        <f ca="1"/>
      </c>
      <c r="AU1584">
        <f ca="1"/>
      </c>
      <c r="AV1584">
        <f ca="1"/>
      </c>
      <c r="AW1584">
        <f ca="1"/>
      </c>
      <c r="AX1584">
        <f ca="1"/>
      </c>
      <c r="AY1584">
        <f ca="1"/>
      </c>
      <c r="BA1584" s="7"/>
    </row>
    <row r="1585" spans="31:53" x14ac:dyDescent="0.55000000000000004">
      <c r="AE1585" s="7">
        <f ca="1"/>
      </c>
      <c r="AF1585">
        <f ca="1"/>
      </c>
      <c r="AG1585">
        <f ca="1"/>
      </c>
      <c r="AH1585">
        <f ca="1"/>
      </c>
      <c r="AI1585">
        <f ca="1"/>
      </c>
      <c r="AJ1585">
        <f ca="1"/>
      </c>
      <c r="AK1585">
        <f ca="1"/>
      </c>
      <c r="AL1585">
        <f ca="1"/>
      </c>
      <c r="AM1585">
        <f ca="1"/>
      </c>
      <c r="AN1585">
        <f ca="1"/>
      </c>
      <c r="AO1585">
        <f ca="1"/>
      </c>
      <c r="AP1585">
        <f ca="1"/>
      </c>
      <c r="AQ1585">
        <f ca="1"/>
      </c>
      <c r="AR1585">
        <f ca="1"/>
      </c>
      <c r="AT1585" s="7">
        <f ca="1"/>
      </c>
      <c r="AU1585">
        <f ca="1"/>
      </c>
      <c r="AV1585">
        <f ca="1"/>
      </c>
      <c r="AW1585">
        <f ca="1"/>
      </c>
      <c r="AX1585">
        <f ca="1"/>
      </c>
      <c r="AY1585">
        <f ca="1"/>
      </c>
      <c r="BA1585" s="7"/>
    </row>
    <row r="1586" spans="31:53" x14ac:dyDescent="0.55000000000000004">
      <c r="AE1586" s="7">
        <f ca="1"/>
      </c>
      <c r="AF1586">
        <f ca="1"/>
      </c>
      <c r="AG1586">
        <f ca="1"/>
      </c>
      <c r="AH1586">
        <f ca="1"/>
      </c>
      <c r="AI1586">
        <f ca="1"/>
      </c>
      <c r="AJ1586">
        <f ca="1"/>
      </c>
      <c r="AK1586">
        <f ca="1"/>
      </c>
      <c r="AL1586">
        <f ca="1"/>
      </c>
      <c r="AM1586">
        <f ca="1"/>
      </c>
      <c r="AN1586">
        <f ca="1"/>
      </c>
      <c r="AO1586">
        <f ca="1"/>
      </c>
      <c r="AP1586">
        <f ca="1"/>
      </c>
      <c r="AQ1586">
        <f ca="1"/>
      </c>
      <c r="AR1586">
        <f ca="1"/>
      </c>
      <c r="AT1586" s="7">
        <f ca="1"/>
      </c>
      <c r="AU1586">
        <f ca="1"/>
      </c>
      <c r="AV1586">
        <f ca="1"/>
      </c>
      <c r="AW1586">
        <f ca="1"/>
      </c>
      <c r="AX1586">
        <f ca="1"/>
      </c>
      <c r="AY1586">
        <f ca="1"/>
      </c>
      <c r="BA1586" s="7"/>
    </row>
    <row r="1587" spans="31:53" x14ac:dyDescent="0.55000000000000004">
      <c r="AE1587" s="7">
        <f ca="1"/>
      </c>
      <c r="AF1587">
        <f ca="1"/>
      </c>
      <c r="AG1587">
        <f ca="1"/>
      </c>
      <c r="AH1587">
        <f ca="1"/>
      </c>
      <c r="AI1587">
        <f ca="1"/>
      </c>
      <c r="AJ1587">
        <f ca="1"/>
      </c>
      <c r="AK1587">
        <f ca="1"/>
      </c>
      <c r="AL1587">
        <f ca="1"/>
      </c>
      <c r="AM1587">
        <f ca="1"/>
      </c>
      <c r="AN1587">
        <f ca="1"/>
      </c>
      <c r="AO1587">
        <f ca="1"/>
      </c>
      <c r="AP1587">
        <f ca="1"/>
      </c>
      <c r="AQ1587">
        <f ca="1"/>
      </c>
      <c r="AR1587">
        <f ca="1"/>
      </c>
      <c r="AT1587" s="7">
        <f ca="1"/>
      </c>
      <c r="AU1587">
        <f ca="1"/>
      </c>
      <c r="AV1587">
        <f ca="1"/>
      </c>
      <c r="AW1587">
        <f ca="1"/>
      </c>
      <c r="AX1587">
        <f ca="1"/>
      </c>
      <c r="AY1587">
        <f ca="1"/>
      </c>
      <c r="BA1587" s="7"/>
    </row>
    <row r="1588" spans="31:53" x14ac:dyDescent="0.55000000000000004">
      <c r="AE1588" s="7">
        <f ca="1"/>
      </c>
      <c r="AF1588">
        <f ca="1"/>
      </c>
      <c r="AG1588">
        <f ca="1"/>
      </c>
      <c r="AH1588">
        <f ca="1"/>
      </c>
      <c r="AI1588">
        <f ca="1"/>
      </c>
      <c r="AJ1588">
        <f ca="1"/>
      </c>
      <c r="AK1588">
        <f ca="1"/>
      </c>
      <c r="AL1588">
        <f ca="1"/>
      </c>
      <c r="AM1588">
        <f ca="1"/>
      </c>
      <c r="AN1588">
        <f ca="1"/>
      </c>
      <c r="AO1588">
        <f ca="1"/>
      </c>
      <c r="AP1588">
        <f ca="1"/>
      </c>
      <c r="AQ1588">
        <f ca="1"/>
      </c>
      <c r="AR1588">
        <f ca="1"/>
      </c>
      <c r="AT1588" s="7">
        <f ca="1"/>
      </c>
      <c r="AU1588">
        <f ca="1"/>
      </c>
      <c r="AV1588">
        <f ca="1"/>
      </c>
      <c r="AW1588">
        <f ca="1"/>
      </c>
      <c r="AX1588">
        <f ca="1"/>
      </c>
      <c r="AY1588">
        <f ca="1"/>
      </c>
      <c r="BA1588" s="7"/>
    </row>
    <row r="1589" spans="31:53" x14ac:dyDescent="0.55000000000000004">
      <c r="AE1589" s="7">
        <f ca="1"/>
      </c>
      <c r="AF1589">
        <f ca="1"/>
      </c>
      <c r="AG1589">
        <f ca="1"/>
      </c>
      <c r="AH1589">
        <f ca="1"/>
      </c>
      <c r="AI1589">
        <f ca="1"/>
      </c>
      <c r="AJ1589">
        <f ca="1"/>
      </c>
      <c r="AK1589">
        <f ca="1"/>
      </c>
      <c r="AL1589">
        <f ca="1"/>
      </c>
      <c r="AM1589">
        <f ca="1"/>
      </c>
      <c r="AN1589">
        <f ca="1"/>
      </c>
      <c r="AO1589">
        <f ca="1"/>
      </c>
      <c r="AP1589">
        <f ca="1"/>
      </c>
      <c r="AQ1589">
        <f ca="1"/>
      </c>
      <c r="AR1589">
        <f ca="1"/>
      </c>
      <c r="AT1589" s="7">
        <f ca="1"/>
      </c>
      <c r="AU1589">
        <f ca="1"/>
      </c>
      <c r="AV1589">
        <f ca="1"/>
      </c>
      <c r="AW1589">
        <f ca="1"/>
      </c>
      <c r="AX1589">
        <f ca="1"/>
      </c>
      <c r="AY1589">
        <f ca="1"/>
      </c>
      <c r="BA1589" s="7"/>
    </row>
    <row r="1590" spans="31:53" x14ac:dyDescent="0.55000000000000004">
      <c r="AE1590" s="7">
        <f ca="1"/>
      </c>
      <c r="AF1590">
        <f ca="1"/>
      </c>
      <c r="AG1590">
        <f ca="1"/>
      </c>
      <c r="AH1590">
        <f ca="1"/>
      </c>
      <c r="AI1590">
        <f ca="1"/>
      </c>
      <c r="AJ1590">
        <f ca="1"/>
      </c>
      <c r="AK1590">
        <f ca="1"/>
      </c>
      <c r="AL1590">
        <f ca="1"/>
      </c>
      <c r="AM1590">
        <f ca="1"/>
      </c>
      <c r="AN1590">
        <f ca="1"/>
      </c>
      <c r="AO1590">
        <f ca="1"/>
      </c>
      <c r="AP1590">
        <f ca="1"/>
      </c>
      <c r="AQ1590">
        <f ca="1"/>
      </c>
      <c r="AR1590">
        <f ca="1"/>
      </c>
      <c r="AT1590" s="7">
        <f ca="1"/>
      </c>
      <c r="AU1590">
        <f ca="1"/>
      </c>
      <c r="AV1590">
        <f ca="1"/>
      </c>
      <c r="AW1590">
        <f ca="1"/>
      </c>
      <c r="AX1590">
        <f ca="1"/>
      </c>
      <c r="AY1590">
        <f ca="1"/>
      </c>
      <c r="BA1590" s="7"/>
    </row>
    <row r="1591" spans="31:53" x14ac:dyDescent="0.55000000000000004">
      <c r="AE1591" s="7">
        <f ca="1"/>
      </c>
      <c r="AF1591">
        <f ca="1"/>
      </c>
      <c r="AG1591">
        <f ca="1"/>
      </c>
      <c r="AH1591">
        <f ca="1"/>
      </c>
      <c r="AI1591">
        <f ca="1"/>
      </c>
      <c r="AJ1591">
        <f ca="1"/>
      </c>
      <c r="AK1591">
        <f ca="1"/>
      </c>
      <c r="AL1591">
        <f ca="1"/>
      </c>
      <c r="AM1591">
        <f ca="1"/>
      </c>
      <c r="AN1591">
        <f ca="1"/>
      </c>
      <c r="AO1591">
        <f ca="1"/>
      </c>
      <c r="AP1591">
        <f ca="1"/>
      </c>
      <c r="AQ1591">
        <f ca="1"/>
      </c>
      <c r="AR1591">
        <f ca="1"/>
      </c>
      <c r="AT1591" s="7">
        <f ca="1"/>
      </c>
      <c r="AU1591">
        <f ca="1"/>
      </c>
      <c r="AV1591">
        <f ca="1"/>
      </c>
      <c r="AW1591">
        <f ca="1"/>
      </c>
      <c r="AX1591">
        <f ca="1"/>
      </c>
      <c r="AY1591">
        <f ca="1"/>
      </c>
      <c r="BA1591" s="7"/>
    </row>
    <row r="1592" spans="31:53" x14ac:dyDescent="0.55000000000000004">
      <c r="AE1592" s="7">
        <f ca="1"/>
      </c>
      <c r="AF1592">
        <f ca="1"/>
      </c>
      <c r="AG1592">
        <f ca="1"/>
      </c>
      <c r="AH1592">
        <f ca="1"/>
      </c>
      <c r="AI1592">
        <f ca="1"/>
      </c>
      <c r="AJ1592">
        <f ca="1"/>
      </c>
      <c r="AK1592">
        <f ca="1"/>
      </c>
      <c r="AL1592">
        <f ca="1"/>
      </c>
      <c r="AM1592">
        <f ca="1"/>
      </c>
      <c r="AN1592">
        <f ca="1"/>
      </c>
      <c r="AO1592">
        <f ca="1"/>
      </c>
      <c r="AP1592">
        <f ca="1"/>
      </c>
      <c r="AQ1592">
        <f ca="1"/>
      </c>
      <c r="AR1592">
        <f ca="1"/>
      </c>
      <c r="AT1592" s="7">
        <f ca="1"/>
      </c>
      <c r="AU1592">
        <f ca="1"/>
      </c>
      <c r="AV1592">
        <f ca="1"/>
      </c>
      <c r="AW1592">
        <f ca="1"/>
      </c>
      <c r="AX1592">
        <f ca="1"/>
      </c>
      <c r="AY1592">
        <f ca="1"/>
      </c>
      <c r="BA1592" s="7"/>
    </row>
    <row r="1593" spans="31:53" x14ac:dyDescent="0.55000000000000004">
      <c r="AE1593" s="7">
        <f ca="1"/>
      </c>
      <c r="AF1593">
        <f ca="1"/>
      </c>
      <c r="AG1593">
        <f ca="1"/>
      </c>
      <c r="AH1593">
        <f ca="1"/>
      </c>
      <c r="AI1593">
        <f ca="1"/>
      </c>
      <c r="AJ1593">
        <f ca="1"/>
      </c>
      <c r="AK1593">
        <f ca="1"/>
      </c>
      <c r="AL1593">
        <f ca="1"/>
      </c>
      <c r="AM1593">
        <f ca="1"/>
      </c>
      <c r="AN1593">
        <f ca="1"/>
      </c>
      <c r="AO1593">
        <f ca="1"/>
      </c>
      <c r="AP1593">
        <f ca="1"/>
      </c>
      <c r="AQ1593">
        <f ca="1"/>
      </c>
      <c r="AR1593">
        <f ca="1"/>
      </c>
      <c r="AT1593" s="7">
        <f ca="1"/>
      </c>
      <c r="AU1593">
        <f ca="1"/>
      </c>
      <c r="AV1593">
        <f ca="1"/>
      </c>
      <c r="AW1593">
        <f ca="1"/>
      </c>
      <c r="AX1593">
        <f ca="1"/>
      </c>
      <c r="AY1593">
        <f ca="1"/>
      </c>
      <c r="BA1593" s="7"/>
    </row>
    <row r="1594" spans="31:53" x14ac:dyDescent="0.55000000000000004">
      <c r="AE1594" s="7">
        <f ca="1"/>
      </c>
      <c r="AF1594">
        <f ca="1"/>
      </c>
      <c r="AG1594">
        <f ca="1"/>
      </c>
      <c r="AH1594">
        <f ca="1"/>
      </c>
      <c r="AI1594">
        <f ca="1"/>
      </c>
      <c r="AJ1594">
        <f ca="1"/>
      </c>
      <c r="AK1594">
        <f ca="1"/>
      </c>
      <c r="AL1594">
        <f ca="1"/>
      </c>
      <c r="AM1594">
        <f ca="1"/>
      </c>
      <c r="AN1594">
        <f ca="1"/>
      </c>
      <c r="AO1594">
        <f ca="1"/>
      </c>
      <c r="AP1594">
        <f ca="1"/>
      </c>
      <c r="AQ1594">
        <f ca="1"/>
      </c>
      <c r="AR1594">
        <f ca="1"/>
      </c>
      <c r="AT1594" s="7">
        <f ca="1"/>
      </c>
      <c r="AU1594">
        <f ca="1"/>
      </c>
      <c r="AV1594">
        <f ca="1"/>
      </c>
      <c r="AW1594">
        <f ca="1"/>
      </c>
      <c r="AX1594">
        <f ca="1"/>
      </c>
      <c r="AY1594">
        <f ca="1"/>
      </c>
      <c r="BA1594" s="7"/>
    </row>
    <row r="1595" spans="31:53" x14ac:dyDescent="0.55000000000000004">
      <c r="AE1595" s="7">
        <f ca="1"/>
      </c>
      <c r="AF1595">
        <f ca="1"/>
      </c>
      <c r="AG1595">
        <f ca="1"/>
      </c>
      <c r="AH1595">
        <f ca="1"/>
      </c>
      <c r="AI1595">
        <f ca="1"/>
      </c>
      <c r="AJ1595">
        <f ca="1"/>
      </c>
      <c r="AK1595">
        <f ca="1"/>
      </c>
      <c r="AL1595">
        <f ca="1"/>
      </c>
      <c r="AM1595">
        <f ca="1"/>
      </c>
      <c r="AN1595">
        <f ca="1"/>
      </c>
      <c r="AO1595">
        <f ca="1"/>
      </c>
      <c r="AP1595">
        <f ca="1"/>
      </c>
      <c r="AQ1595">
        <f ca="1"/>
      </c>
      <c r="AR1595">
        <f ca="1"/>
      </c>
      <c r="AT1595" s="7">
        <f ca="1"/>
      </c>
      <c r="AU1595">
        <f ca="1"/>
      </c>
      <c r="AV1595">
        <f ca="1"/>
      </c>
      <c r="AW1595">
        <f ca="1"/>
      </c>
      <c r="AX1595">
        <f ca="1"/>
      </c>
      <c r="AY1595">
        <f ca="1"/>
      </c>
      <c r="BA1595" s="7"/>
    </row>
    <row r="1596" spans="31:53" x14ac:dyDescent="0.55000000000000004">
      <c r="AE1596" s="7">
        <f ca="1"/>
      </c>
      <c r="AF1596">
        <f ca="1"/>
      </c>
      <c r="AG1596">
        <f ca="1"/>
      </c>
      <c r="AH1596">
        <f ca="1"/>
      </c>
      <c r="AI1596">
        <f ca="1"/>
      </c>
      <c r="AJ1596">
        <f ca="1"/>
      </c>
      <c r="AK1596">
        <f ca="1"/>
      </c>
      <c r="AL1596">
        <f ca="1"/>
      </c>
      <c r="AM1596">
        <f ca="1"/>
      </c>
      <c r="AN1596">
        <f ca="1"/>
      </c>
      <c r="AO1596">
        <f ca="1"/>
      </c>
      <c r="AP1596">
        <f ca="1"/>
      </c>
      <c r="AQ1596">
        <f ca="1"/>
      </c>
      <c r="AR1596">
        <f ca="1"/>
      </c>
      <c r="AT1596" s="7">
        <f ca="1"/>
      </c>
      <c r="AU1596">
        <f ca="1"/>
      </c>
      <c r="AV1596">
        <f ca="1"/>
      </c>
      <c r="AW1596">
        <f ca="1"/>
      </c>
      <c r="AX1596">
        <f ca="1"/>
      </c>
      <c r="AY1596">
        <f ca="1"/>
      </c>
      <c r="BA1596" s="7"/>
    </row>
    <row r="1597" spans="31:53" x14ac:dyDescent="0.55000000000000004">
      <c r="AE1597" s="7">
        <f ca="1"/>
      </c>
      <c r="AF1597">
        <f ca="1"/>
      </c>
      <c r="AG1597">
        <f ca="1"/>
      </c>
      <c r="AH1597">
        <f ca="1"/>
      </c>
      <c r="AI1597">
        <f ca="1"/>
      </c>
      <c r="AJ1597">
        <f ca="1"/>
      </c>
      <c r="AK1597">
        <f ca="1"/>
      </c>
      <c r="AL1597">
        <f ca="1"/>
      </c>
      <c r="AM1597">
        <f ca="1"/>
      </c>
      <c r="AN1597">
        <f ca="1"/>
      </c>
      <c r="AO1597">
        <f ca="1"/>
      </c>
      <c r="AP1597">
        <f ca="1"/>
      </c>
      <c r="AQ1597">
        <f ca="1"/>
      </c>
      <c r="AR1597">
        <f ca="1"/>
      </c>
      <c r="AT1597" s="7">
        <f ca="1"/>
      </c>
      <c r="AU1597">
        <f ca="1"/>
      </c>
      <c r="AV1597">
        <f ca="1"/>
      </c>
      <c r="AW1597">
        <f ca="1"/>
      </c>
      <c r="AX1597">
        <f ca="1"/>
      </c>
      <c r="AY1597">
        <f ca="1"/>
      </c>
      <c r="BA1597" s="7"/>
    </row>
    <row r="1598" spans="31:53" x14ac:dyDescent="0.55000000000000004">
      <c r="AE1598" s="7">
        <f ca="1"/>
      </c>
      <c r="AF1598">
        <f ca="1"/>
      </c>
      <c r="AG1598">
        <f ca="1"/>
      </c>
      <c r="AH1598">
        <f ca="1"/>
      </c>
      <c r="AI1598">
        <f ca="1"/>
      </c>
      <c r="AJ1598">
        <f ca="1"/>
      </c>
      <c r="AK1598">
        <f ca="1"/>
      </c>
      <c r="AL1598">
        <f ca="1"/>
      </c>
      <c r="AM1598">
        <f ca="1"/>
      </c>
      <c r="AN1598">
        <f ca="1"/>
      </c>
      <c r="AO1598">
        <f ca="1"/>
      </c>
      <c r="AP1598">
        <f ca="1"/>
      </c>
      <c r="AQ1598">
        <f ca="1"/>
      </c>
      <c r="AR1598">
        <f ca="1"/>
      </c>
      <c r="AT1598" s="7">
        <f ca="1"/>
      </c>
      <c r="AU1598">
        <f ca="1"/>
      </c>
      <c r="AV1598">
        <f ca="1"/>
      </c>
      <c r="AW1598">
        <f ca="1"/>
      </c>
      <c r="AX1598">
        <f ca="1"/>
      </c>
      <c r="AY1598">
        <f ca="1"/>
      </c>
      <c r="BA1598" s="7"/>
    </row>
    <row r="1599" spans="31:53" x14ac:dyDescent="0.55000000000000004">
      <c r="AE1599" s="7">
        <f ca="1"/>
      </c>
      <c r="AF1599">
        <f ca="1"/>
      </c>
      <c r="AG1599">
        <f ca="1"/>
      </c>
      <c r="AH1599">
        <f ca="1"/>
      </c>
      <c r="AI1599">
        <f ca="1"/>
      </c>
      <c r="AJ1599">
        <f ca="1"/>
      </c>
      <c r="AK1599">
        <f ca="1"/>
      </c>
      <c r="AL1599">
        <f ca="1"/>
      </c>
      <c r="AM1599">
        <f ca="1"/>
      </c>
      <c r="AN1599">
        <f ca="1"/>
      </c>
      <c r="AO1599">
        <f ca="1"/>
      </c>
      <c r="AP1599">
        <f ca="1"/>
      </c>
      <c r="AQ1599">
        <f ca="1"/>
      </c>
      <c r="AR1599">
        <f ca="1"/>
      </c>
      <c r="AT1599" s="7">
        <f ca="1"/>
      </c>
      <c r="AU1599">
        <f ca="1"/>
      </c>
      <c r="AV1599">
        <f ca="1"/>
      </c>
      <c r="AW1599">
        <f ca="1"/>
      </c>
      <c r="AX1599">
        <f ca="1"/>
      </c>
      <c r="AY1599">
        <f ca="1"/>
      </c>
      <c r="BA1599" s="7"/>
    </row>
    <row r="1600" spans="31:53" x14ac:dyDescent="0.55000000000000004">
      <c r="AE1600" s="7">
        <f ca="1"/>
      </c>
      <c r="AF1600">
        <f ca="1"/>
      </c>
      <c r="AG1600">
        <f ca="1"/>
      </c>
      <c r="AH1600">
        <f ca="1"/>
      </c>
      <c r="AI1600">
        <f ca="1"/>
      </c>
      <c r="AJ1600">
        <f ca="1"/>
      </c>
      <c r="AK1600">
        <f ca="1"/>
      </c>
      <c r="AL1600">
        <f ca="1"/>
      </c>
      <c r="AM1600">
        <f ca="1"/>
      </c>
      <c r="AN1600">
        <f ca="1"/>
      </c>
      <c r="AO1600">
        <f ca="1"/>
      </c>
      <c r="AP1600">
        <f ca="1"/>
      </c>
      <c r="AQ1600">
        <f ca="1"/>
      </c>
      <c r="AR1600">
        <f ca="1"/>
      </c>
      <c r="AT1600" s="7">
        <f ca="1"/>
      </c>
      <c r="AU1600">
        <f ca="1"/>
      </c>
      <c r="AV1600">
        <f ca="1"/>
      </c>
      <c r="AW1600">
        <f ca="1"/>
      </c>
      <c r="AX1600">
        <f ca="1"/>
      </c>
      <c r="AY1600">
        <f ca="1"/>
      </c>
      <c r="BA1600" s="7"/>
    </row>
    <row r="1601" spans="31:53" x14ac:dyDescent="0.55000000000000004">
      <c r="AE1601" s="7">
        <f ca="1"/>
      </c>
      <c r="AF1601">
        <f ca="1"/>
      </c>
      <c r="AG1601">
        <f ca="1"/>
      </c>
      <c r="AH1601">
        <f ca="1"/>
      </c>
      <c r="AI1601">
        <f ca="1"/>
      </c>
      <c r="AJ1601">
        <f ca="1"/>
      </c>
      <c r="AK1601">
        <f ca="1"/>
      </c>
      <c r="AL1601">
        <f ca="1"/>
      </c>
      <c r="AM1601">
        <f ca="1"/>
      </c>
      <c r="AN1601">
        <f ca="1"/>
      </c>
      <c r="AO1601">
        <f ca="1"/>
      </c>
      <c r="AP1601">
        <f ca="1"/>
      </c>
      <c r="AQ1601">
        <f ca="1"/>
      </c>
      <c r="AR1601">
        <f ca="1"/>
      </c>
      <c r="AT1601" s="7">
        <f ca="1"/>
      </c>
      <c r="AU1601">
        <f ca="1"/>
      </c>
      <c r="AV1601">
        <f ca="1"/>
      </c>
      <c r="AW1601">
        <f ca="1"/>
      </c>
      <c r="AX1601">
        <f ca="1"/>
      </c>
      <c r="AY1601">
        <f ca="1"/>
      </c>
      <c r="BA1601" s="7"/>
    </row>
    <row r="1602" spans="31:53" x14ac:dyDescent="0.55000000000000004">
      <c r="AE1602" s="7">
        <f ca="1"/>
      </c>
      <c r="AF1602">
        <f ca="1"/>
      </c>
      <c r="AG1602">
        <f ca="1"/>
      </c>
      <c r="AH1602">
        <f ca="1"/>
      </c>
      <c r="AI1602">
        <f ca="1"/>
      </c>
      <c r="AJ1602">
        <f ca="1"/>
      </c>
      <c r="AK1602">
        <f ca="1"/>
      </c>
      <c r="AL1602">
        <f ca="1"/>
      </c>
      <c r="AM1602">
        <f ca="1"/>
      </c>
      <c r="AN1602">
        <f ca="1"/>
      </c>
      <c r="AO1602">
        <f ca="1"/>
      </c>
      <c r="AP1602">
        <f ca="1"/>
      </c>
      <c r="AQ1602">
        <f ca="1"/>
      </c>
      <c r="AR1602">
        <f ca="1"/>
      </c>
      <c r="AT1602" s="7">
        <f ca="1"/>
      </c>
      <c r="AU1602">
        <f ca="1"/>
      </c>
      <c r="AV1602">
        <f ca="1"/>
      </c>
      <c r="AW1602">
        <f ca="1"/>
      </c>
      <c r="AX1602">
        <f ca="1"/>
      </c>
      <c r="AY1602">
        <f ca="1"/>
      </c>
      <c r="BA1602" s="7"/>
    </row>
    <row r="1603" spans="31:53" x14ac:dyDescent="0.55000000000000004">
      <c r="AE1603" s="7">
        <f ca="1"/>
      </c>
      <c r="AF1603">
        <f ca="1"/>
      </c>
      <c r="AG1603">
        <f ca="1"/>
      </c>
      <c r="AH1603">
        <f ca="1"/>
      </c>
      <c r="AI1603">
        <f ca="1"/>
      </c>
      <c r="AJ1603">
        <f ca="1"/>
      </c>
      <c r="AK1603">
        <f ca="1"/>
      </c>
      <c r="AL1603">
        <f ca="1"/>
      </c>
      <c r="AM1603">
        <f ca="1"/>
      </c>
      <c r="AN1603">
        <f ca="1"/>
      </c>
      <c r="AO1603">
        <f ca="1"/>
      </c>
      <c r="AP1603">
        <f ca="1"/>
      </c>
      <c r="AQ1603">
        <f ca="1"/>
      </c>
      <c r="AR1603">
        <f ca="1"/>
      </c>
      <c r="AT1603" s="7">
        <f ca="1"/>
      </c>
      <c r="AU1603">
        <f ca="1"/>
      </c>
      <c r="AV1603">
        <f ca="1"/>
      </c>
      <c r="AW1603">
        <f ca="1"/>
      </c>
      <c r="AX1603">
        <f ca="1"/>
      </c>
      <c r="AY1603">
        <f ca="1"/>
      </c>
      <c r="BA1603" s="7"/>
    </row>
    <row r="1604" spans="31:53" x14ac:dyDescent="0.55000000000000004">
      <c r="AE1604" s="7">
        <f ca="1"/>
      </c>
      <c r="AF1604">
        <f ca="1"/>
      </c>
      <c r="AG1604">
        <f ca="1"/>
      </c>
      <c r="AH1604">
        <f ca="1"/>
      </c>
      <c r="AI1604">
        <f ca="1"/>
      </c>
      <c r="AJ1604">
        <f ca="1"/>
      </c>
      <c r="AK1604">
        <f ca="1"/>
      </c>
      <c r="AL1604">
        <f ca="1"/>
      </c>
      <c r="AM1604">
        <f ca="1"/>
      </c>
      <c r="AN1604">
        <f ca="1"/>
      </c>
      <c r="AO1604">
        <f ca="1"/>
      </c>
      <c r="AP1604">
        <f ca="1"/>
      </c>
      <c r="AQ1604">
        <f ca="1"/>
      </c>
      <c r="AR1604">
        <f ca="1"/>
      </c>
      <c r="AT1604" s="7">
        <f ca="1"/>
      </c>
      <c r="AU1604">
        <f ca="1"/>
      </c>
      <c r="AV1604">
        <f ca="1"/>
      </c>
      <c r="AW1604">
        <f ca="1"/>
      </c>
      <c r="AX1604">
        <f ca="1"/>
      </c>
      <c r="AY1604">
        <f ca="1"/>
      </c>
      <c r="BA1604" s="7"/>
    </row>
    <row r="1605" spans="31:53" x14ac:dyDescent="0.55000000000000004">
      <c r="AE1605" s="7">
        <f ca="1"/>
      </c>
      <c r="AF1605">
        <f ca="1"/>
      </c>
      <c r="AG1605">
        <f ca="1"/>
      </c>
      <c r="AH1605">
        <f ca="1"/>
      </c>
      <c r="AI1605">
        <f ca="1"/>
      </c>
      <c r="AJ1605">
        <f ca="1"/>
      </c>
      <c r="AK1605">
        <f ca="1"/>
      </c>
      <c r="AL1605">
        <f ca="1"/>
      </c>
      <c r="AM1605">
        <f ca="1"/>
      </c>
      <c r="AN1605">
        <f ca="1"/>
      </c>
      <c r="AO1605">
        <f ca="1"/>
      </c>
      <c r="AP1605">
        <f ca="1"/>
      </c>
      <c r="AQ1605">
        <f ca="1"/>
      </c>
      <c r="AR1605">
        <f ca="1"/>
      </c>
      <c r="AT1605" s="7">
        <f ca="1"/>
      </c>
      <c r="AU1605">
        <f ca="1"/>
      </c>
      <c r="AV1605">
        <f ca="1"/>
      </c>
      <c r="AW1605">
        <f ca="1"/>
      </c>
      <c r="AX1605">
        <f ca="1"/>
      </c>
      <c r="AY1605">
        <f ca="1"/>
      </c>
      <c r="BA1605" s="7"/>
    </row>
    <row r="1606" spans="31:53" x14ac:dyDescent="0.55000000000000004">
      <c r="AE1606" s="7">
        <f ca="1"/>
      </c>
      <c r="AF1606">
        <f ca="1"/>
      </c>
      <c r="AG1606">
        <f ca="1"/>
      </c>
      <c r="AH1606">
        <f ca="1"/>
      </c>
      <c r="AI1606">
        <f ca="1"/>
      </c>
      <c r="AJ1606">
        <f ca="1"/>
      </c>
      <c r="AK1606">
        <f ca="1"/>
      </c>
      <c r="AL1606">
        <f ca="1"/>
      </c>
      <c r="AM1606">
        <f ca="1"/>
      </c>
      <c r="AN1606">
        <f ca="1"/>
      </c>
      <c r="AO1606">
        <f ca="1"/>
      </c>
      <c r="AP1606">
        <f ca="1"/>
      </c>
      <c r="AQ1606">
        <f ca="1"/>
      </c>
      <c r="AR1606">
        <f ca="1"/>
      </c>
      <c r="AT1606" s="7">
        <f ca="1"/>
      </c>
      <c r="AU1606">
        <f ca="1"/>
      </c>
      <c r="AV1606">
        <f ca="1"/>
      </c>
      <c r="AW1606">
        <f ca="1"/>
      </c>
      <c r="AX1606">
        <f ca="1"/>
      </c>
      <c r="AY1606">
        <f ca="1"/>
      </c>
      <c r="BA1606" s="7"/>
    </row>
    <row r="1607" spans="31:53" x14ac:dyDescent="0.55000000000000004">
      <c r="AE1607" s="7">
        <f ca="1"/>
      </c>
      <c r="AF1607">
        <f ca="1"/>
      </c>
      <c r="AG1607">
        <f ca="1"/>
      </c>
      <c r="AH1607">
        <f ca="1"/>
      </c>
      <c r="AI1607">
        <f ca="1"/>
      </c>
      <c r="AJ1607">
        <f ca="1"/>
      </c>
      <c r="AK1607">
        <f ca="1"/>
      </c>
      <c r="AL1607">
        <f ca="1"/>
      </c>
      <c r="AM1607">
        <f ca="1"/>
      </c>
      <c r="AN1607">
        <f ca="1"/>
      </c>
      <c r="AO1607">
        <f ca="1"/>
      </c>
      <c r="AP1607">
        <f ca="1"/>
      </c>
      <c r="AQ1607">
        <f ca="1"/>
      </c>
      <c r="AR1607">
        <f ca="1"/>
      </c>
      <c r="AT1607" s="7">
        <f ca="1"/>
      </c>
      <c r="AU1607">
        <f ca="1"/>
      </c>
      <c r="AV1607">
        <f ca="1"/>
      </c>
      <c r="AW1607">
        <f ca="1"/>
      </c>
      <c r="AX1607">
        <f ca="1"/>
      </c>
      <c r="AY1607">
        <f ca="1"/>
      </c>
      <c r="BA1607" s="7"/>
    </row>
    <row r="1608" spans="31:53" x14ac:dyDescent="0.55000000000000004">
      <c r="AE1608" s="7">
        <f ca="1"/>
      </c>
      <c r="AF1608">
        <f ca="1"/>
      </c>
      <c r="AG1608">
        <f ca="1"/>
      </c>
      <c r="AH1608">
        <f ca="1"/>
      </c>
      <c r="AI1608">
        <f ca="1"/>
      </c>
      <c r="AJ1608">
        <f ca="1"/>
      </c>
      <c r="AK1608">
        <f ca="1"/>
      </c>
      <c r="AL1608">
        <f ca="1"/>
      </c>
      <c r="AM1608">
        <f ca="1"/>
      </c>
      <c r="AN1608">
        <f ca="1"/>
      </c>
      <c r="AO1608">
        <f ca="1"/>
      </c>
      <c r="AP1608">
        <f ca="1"/>
      </c>
      <c r="AQ1608">
        <f ca="1"/>
      </c>
      <c r="AR1608">
        <f ca="1"/>
      </c>
      <c r="AT1608" s="7">
        <f ca="1"/>
      </c>
      <c r="AU1608">
        <f ca="1"/>
      </c>
      <c r="AV1608">
        <f ca="1"/>
      </c>
      <c r="AW1608">
        <f ca="1"/>
      </c>
      <c r="AX1608">
        <f ca="1"/>
      </c>
      <c r="AY1608">
        <f ca="1"/>
      </c>
      <c r="BA1608" s="7"/>
    </row>
    <row r="1609" spans="31:53" x14ac:dyDescent="0.55000000000000004">
      <c r="AE1609" s="7">
        <f ca="1"/>
      </c>
      <c r="AF1609">
        <f ca="1"/>
      </c>
      <c r="AG1609">
        <f ca="1"/>
      </c>
      <c r="AH1609">
        <f ca="1"/>
      </c>
      <c r="AI1609">
        <f ca="1"/>
      </c>
      <c r="AJ1609">
        <f ca="1"/>
      </c>
      <c r="AK1609">
        <f ca="1"/>
      </c>
      <c r="AL1609">
        <f ca="1"/>
      </c>
      <c r="AM1609">
        <f ca="1"/>
      </c>
      <c r="AN1609">
        <f ca="1"/>
      </c>
      <c r="AO1609">
        <f ca="1"/>
      </c>
      <c r="AP1609">
        <f ca="1"/>
      </c>
      <c r="AQ1609">
        <f ca="1"/>
      </c>
      <c r="AR1609">
        <f ca="1"/>
      </c>
      <c r="AT1609" s="7">
        <f ca="1"/>
      </c>
      <c r="AU1609">
        <f ca="1"/>
      </c>
      <c r="AV1609">
        <f ca="1"/>
      </c>
      <c r="AW1609">
        <f ca="1"/>
      </c>
      <c r="AX1609">
        <f ca="1"/>
      </c>
      <c r="AY1609">
        <f ca="1"/>
      </c>
      <c r="BA1609" s="7"/>
    </row>
    <row r="1610" spans="31:53" x14ac:dyDescent="0.55000000000000004">
      <c r="AE1610" s="7">
        <f ca="1"/>
      </c>
      <c r="AF1610">
        <f ca="1"/>
      </c>
      <c r="AG1610">
        <f ca="1"/>
      </c>
      <c r="AH1610">
        <f ca="1"/>
      </c>
      <c r="AI1610">
        <f ca="1"/>
      </c>
      <c r="AJ1610">
        <f ca="1"/>
      </c>
      <c r="AK1610">
        <f ca="1"/>
      </c>
      <c r="AL1610">
        <f ca="1"/>
      </c>
      <c r="AM1610">
        <f ca="1"/>
      </c>
      <c r="AN1610">
        <f ca="1"/>
      </c>
      <c r="AO1610">
        <f ca="1"/>
      </c>
      <c r="AP1610">
        <f ca="1"/>
      </c>
      <c r="AQ1610">
        <f ca="1"/>
      </c>
      <c r="AR1610">
        <f ca="1"/>
      </c>
      <c r="AT1610" s="7">
        <f ca="1"/>
      </c>
      <c r="AU1610">
        <f ca="1"/>
      </c>
      <c r="AV1610">
        <f ca="1"/>
      </c>
      <c r="AW1610">
        <f ca="1"/>
      </c>
      <c r="AX1610">
        <f ca="1"/>
      </c>
      <c r="AY1610">
        <f ca="1"/>
      </c>
      <c r="BA1610" s="7"/>
    </row>
    <row r="1611" spans="31:53" x14ac:dyDescent="0.55000000000000004">
      <c r="AE1611" s="7">
        <f ca="1"/>
      </c>
      <c r="AF1611">
        <f ca="1"/>
      </c>
      <c r="AG1611">
        <f ca="1"/>
      </c>
      <c r="AH1611">
        <f ca="1"/>
      </c>
      <c r="AI1611">
        <f ca="1"/>
      </c>
      <c r="AJ1611">
        <f ca="1"/>
      </c>
      <c r="AK1611">
        <f ca="1"/>
      </c>
      <c r="AL1611">
        <f ca="1"/>
      </c>
      <c r="AM1611">
        <f ca="1"/>
      </c>
      <c r="AN1611">
        <f ca="1"/>
      </c>
      <c r="AO1611">
        <f ca="1"/>
      </c>
      <c r="AP1611">
        <f ca="1"/>
      </c>
      <c r="AQ1611">
        <f ca="1"/>
      </c>
      <c r="AR1611">
        <f ca="1"/>
      </c>
      <c r="AT1611" s="7">
        <f ca="1"/>
      </c>
      <c r="AU1611">
        <f ca="1"/>
      </c>
      <c r="AV1611">
        <f ca="1"/>
      </c>
      <c r="AW1611">
        <f ca="1"/>
      </c>
      <c r="AX1611">
        <f ca="1"/>
      </c>
      <c r="AY1611">
        <f ca="1"/>
      </c>
      <c r="BA1611" s="7"/>
    </row>
    <row r="1612" spans="31:53" x14ac:dyDescent="0.55000000000000004">
      <c r="AE1612" s="7">
        <f ca="1"/>
      </c>
      <c r="AF1612">
        <f ca="1"/>
      </c>
      <c r="AG1612">
        <f ca="1"/>
      </c>
      <c r="AH1612">
        <f ca="1"/>
      </c>
      <c r="AI1612">
        <f ca="1"/>
      </c>
      <c r="AJ1612">
        <f ca="1"/>
      </c>
      <c r="AK1612">
        <f ca="1"/>
      </c>
      <c r="AL1612">
        <f ca="1"/>
      </c>
      <c r="AM1612">
        <f ca="1"/>
      </c>
      <c r="AN1612">
        <f ca="1"/>
      </c>
      <c r="AO1612">
        <f ca="1"/>
      </c>
      <c r="AP1612">
        <f ca="1"/>
      </c>
      <c r="AQ1612">
        <f ca="1"/>
      </c>
      <c r="AR1612">
        <f ca="1"/>
      </c>
      <c r="AT1612" s="7">
        <f ca="1"/>
      </c>
      <c r="AU1612">
        <f ca="1"/>
      </c>
      <c r="AV1612">
        <f ca="1"/>
      </c>
      <c r="AW1612">
        <f ca="1"/>
      </c>
      <c r="AX1612">
        <f ca="1"/>
      </c>
      <c r="AY1612">
        <f ca="1"/>
      </c>
      <c r="BA1612" s="7"/>
    </row>
    <row r="1613" spans="31:53" x14ac:dyDescent="0.55000000000000004">
      <c r="AE1613" s="7">
        <f ca="1"/>
      </c>
      <c r="AF1613">
        <f ca="1"/>
      </c>
      <c r="AG1613">
        <f ca="1"/>
      </c>
      <c r="AH1613">
        <f ca="1"/>
      </c>
      <c r="AI1613">
        <f ca="1"/>
      </c>
      <c r="AJ1613">
        <f ca="1"/>
      </c>
      <c r="AK1613">
        <f ca="1"/>
      </c>
      <c r="AL1613">
        <f ca="1"/>
      </c>
      <c r="AM1613">
        <f ca="1"/>
      </c>
      <c r="AN1613">
        <f ca="1"/>
      </c>
      <c r="AO1613">
        <f ca="1"/>
      </c>
      <c r="AP1613">
        <f ca="1"/>
      </c>
      <c r="AQ1613">
        <f ca="1"/>
      </c>
      <c r="AR1613">
        <f ca="1"/>
      </c>
      <c r="AT1613" s="7">
        <f ca="1"/>
      </c>
      <c r="AU1613">
        <f ca="1"/>
      </c>
      <c r="AV1613">
        <f ca="1"/>
      </c>
      <c r="AW1613">
        <f ca="1"/>
      </c>
      <c r="AX1613">
        <f ca="1"/>
      </c>
      <c r="AY1613">
        <f ca="1"/>
      </c>
      <c r="BA1613" s="7"/>
    </row>
    <row r="1614" spans="31:53" x14ac:dyDescent="0.55000000000000004">
      <c r="AE1614" s="7">
        <f ca="1"/>
      </c>
      <c r="AF1614">
        <f ca="1"/>
      </c>
      <c r="AG1614">
        <f ca="1"/>
      </c>
      <c r="AH1614">
        <f ca="1"/>
      </c>
      <c r="AI1614">
        <f ca="1"/>
      </c>
      <c r="AJ1614">
        <f ca="1"/>
      </c>
      <c r="AK1614">
        <f ca="1"/>
      </c>
      <c r="AL1614">
        <f ca="1"/>
      </c>
      <c r="AM1614">
        <f ca="1"/>
      </c>
      <c r="AN1614">
        <f ca="1"/>
      </c>
      <c r="AO1614">
        <f ca="1"/>
      </c>
      <c r="AP1614">
        <f ca="1"/>
      </c>
      <c r="AQ1614">
        <f ca="1"/>
      </c>
      <c r="AR1614">
        <f ca="1"/>
      </c>
      <c r="AT1614" s="7">
        <f ca="1"/>
      </c>
      <c r="AU1614">
        <f ca="1"/>
      </c>
      <c r="AV1614">
        <f ca="1"/>
      </c>
      <c r="AW1614">
        <f ca="1"/>
      </c>
      <c r="AX1614">
        <f ca="1"/>
      </c>
      <c r="AY1614">
        <f ca="1"/>
      </c>
      <c r="BA1614" s="7"/>
    </row>
    <row r="1615" spans="31:53" x14ac:dyDescent="0.55000000000000004">
      <c r="AE1615" s="7">
        <f ca="1"/>
      </c>
      <c r="AF1615">
        <f ca="1"/>
      </c>
      <c r="AG1615">
        <f ca="1"/>
      </c>
      <c r="AH1615">
        <f ca="1"/>
      </c>
      <c r="AI1615">
        <f ca="1"/>
      </c>
      <c r="AJ1615">
        <f ca="1"/>
      </c>
      <c r="AK1615">
        <f ca="1"/>
      </c>
      <c r="AL1615">
        <f ca="1"/>
      </c>
      <c r="AM1615">
        <f ca="1"/>
      </c>
      <c r="AN1615">
        <f ca="1"/>
      </c>
      <c r="AO1615">
        <f ca="1"/>
      </c>
      <c r="AP1615">
        <f ca="1"/>
      </c>
      <c r="AQ1615">
        <f ca="1"/>
      </c>
      <c r="AR1615">
        <f ca="1"/>
      </c>
      <c r="AT1615" s="7">
        <f ca="1"/>
      </c>
      <c r="AU1615">
        <f ca="1"/>
      </c>
      <c r="AV1615">
        <f ca="1"/>
      </c>
      <c r="AW1615">
        <f ca="1"/>
      </c>
      <c r="AX1615">
        <f ca="1"/>
      </c>
      <c r="AY1615">
        <f ca="1"/>
      </c>
      <c r="BA1615" s="7"/>
    </row>
    <row r="1616" spans="31:53" x14ac:dyDescent="0.55000000000000004">
      <c r="AE1616" s="7">
        <f ca="1"/>
      </c>
      <c r="AF1616">
        <f ca="1"/>
      </c>
      <c r="AG1616">
        <f ca="1"/>
      </c>
      <c r="AH1616">
        <f ca="1"/>
      </c>
      <c r="AI1616">
        <f ca="1"/>
      </c>
      <c r="AJ1616">
        <f ca="1"/>
      </c>
      <c r="AK1616">
        <f ca="1"/>
      </c>
      <c r="AL1616">
        <f ca="1"/>
      </c>
      <c r="AM1616">
        <f ca="1"/>
      </c>
      <c r="AN1616">
        <f ca="1"/>
      </c>
      <c r="AO1616">
        <f ca="1"/>
      </c>
      <c r="AP1616">
        <f ca="1"/>
      </c>
      <c r="AQ1616">
        <f ca="1"/>
      </c>
      <c r="AR1616">
        <f ca="1"/>
      </c>
      <c r="AT1616" s="7">
        <f ca="1"/>
      </c>
      <c r="AU1616">
        <f ca="1"/>
      </c>
      <c r="AV1616">
        <f ca="1"/>
      </c>
      <c r="AW1616">
        <f ca="1"/>
      </c>
      <c r="AX1616">
        <f ca="1"/>
      </c>
      <c r="AY1616">
        <f ca="1"/>
      </c>
      <c r="BA1616" s="7"/>
    </row>
    <row r="1617" spans="31:53" x14ac:dyDescent="0.55000000000000004">
      <c r="AE1617" s="7">
        <f ca="1"/>
      </c>
      <c r="AF1617">
        <f ca="1"/>
      </c>
      <c r="AG1617">
        <f ca="1"/>
      </c>
      <c r="AH1617">
        <f ca="1"/>
      </c>
      <c r="AI1617">
        <f ca="1"/>
      </c>
      <c r="AJ1617">
        <f ca="1"/>
      </c>
      <c r="AK1617">
        <f ca="1"/>
      </c>
      <c r="AL1617">
        <f ca="1"/>
      </c>
      <c r="AM1617">
        <f ca="1"/>
      </c>
      <c r="AN1617">
        <f ca="1"/>
      </c>
      <c r="AO1617">
        <f ca="1"/>
      </c>
      <c r="AP1617">
        <f ca="1"/>
      </c>
      <c r="AQ1617">
        <f ca="1"/>
      </c>
      <c r="AR1617">
        <f ca="1"/>
      </c>
      <c r="AT1617" s="7">
        <f ca="1"/>
      </c>
      <c r="AU1617">
        <f ca="1"/>
      </c>
      <c r="AV1617">
        <f ca="1"/>
      </c>
      <c r="AW1617">
        <f ca="1"/>
      </c>
      <c r="AX1617">
        <f ca="1"/>
      </c>
      <c r="AY1617">
        <f ca="1"/>
      </c>
      <c r="BA1617" s="7"/>
    </row>
    <row r="1618" spans="31:53" x14ac:dyDescent="0.55000000000000004">
      <c r="AE1618" s="7">
        <f ca="1"/>
      </c>
      <c r="AF1618">
        <f ca="1"/>
      </c>
      <c r="AG1618">
        <f ca="1"/>
      </c>
      <c r="AH1618">
        <f ca="1"/>
      </c>
      <c r="AI1618">
        <f ca="1"/>
      </c>
      <c r="AJ1618">
        <f ca="1"/>
      </c>
      <c r="AK1618">
        <f ca="1"/>
      </c>
      <c r="AL1618">
        <f ca="1"/>
      </c>
      <c r="AM1618">
        <f ca="1"/>
      </c>
      <c r="AN1618">
        <f ca="1"/>
      </c>
      <c r="AO1618">
        <f ca="1"/>
      </c>
      <c r="AP1618">
        <f ca="1"/>
      </c>
      <c r="AQ1618">
        <f ca="1"/>
      </c>
      <c r="AR1618">
        <f ca="1"/>
      </c>
      <c r="AT1618" s="7">
        <f ca="1"/>
      </c>
      <c r="AU1618">
        <f ca="1"/>
      </c>
      <c r="AV1618">
        <f ca="1"/>
      </c>
      <c r="AW1618">
        <f ca="1"/>
      </c>
      <c r="AX1618">
        <f ca="1"/>
      </c>
      <c r="AY1618">
        <f ca="1"/>
      </c>
      <c r="BA1618" s="7"/>
    </row>
    <row r="1619" spans="31:53" x14ac:dyDescent="0.55000000000000004">
      <c r="AE1619" s="7">
        <f ca="1"/>
      </c>
      <c r="AF1619">
        <f ca="1"/>
      </c>
      <c r="AG1619">
        <f ca="1"/>
      </c>
      <c r="AH1619">
        <f ca="1"/>
      </c>
      <c r="AI1619">
        <f ca="1"/>
      </c>
      <c r="AJ1619">
        <f ca="1"/>
      </c>
      <c r="AK1619">
        <f ca="1"/>
      </c>
      <c r="AL1619">
        <f ca="1"/>
      </c>
      <c r="AM1619">
        <f ca="1"/>
      </c>
      <c r="AN1619">
        <f ca="1"/>
      </c>
      <c r="AO1619">
        <f ca="1"/>
      </c>
      <c r="AP1619">
        <f ca="1"/>
      </c>
      <c r="AQ1619">
        <f ca="1"/>
      </c>
      <c r="AR1619">
        <f ca="1"/>
      </c>
      <c r="AT1619" s="7">
        <f ca="1"/>
      </c>
      <c r="AU1619">
        <f ca="1"/>
      </c>
      <c r="AV1619">
        <f ca="1"/>
      </c>
      <c r="AW1619">
        <f ca="1"/>
      </c>
      <c r="AX1619">
        <f ca="1"/>
      </c>
      <c r="AY1619">
        <f ca="1"/>
      </c>
      <c r="BA1619" s="7"/>
    </row>
    <row r="1620" spans="31:53" x14ac:dyDescent="0.55000000000000004">
      <c r="AE1620" s="7">
        <f ca="1"/>
      </c>
      <c r="AF1620">
        <f ca="1"/>
      </c>
      <c r="AG1620">
        <f ca="1"/>
      </c>
      <c r="AH1620">
        <f ca="1"/>
      </c>
      <c r="AI1620">
        <f ca="1"/>
      </c>
      <c r="AJ1620">
        <f ca="1"/>
      </c>
      <c r="AK1620">
        <f ca="1"/>
      </c>
      <c r="AL1620">
        <f ca="1"/>
      </c>
      <c r="AM1620">
        <f ca="1"/>
      </c>
      <c r="AN1620">
        <f ca="1"/>
      </c>
      <c r="AO1620">
        <f ca="1"/>
      </c>
      <c r="AP1620">
        <f ca="1"/>
      </c>
      <c r="AQ1620">
        <f ca="1"/>
      </c>
      <c r="AR1620">
        <f ca="1"/>
      </c>
      <c r="AT1620" s="7">
        <f ca="1"/>
      </c>
      <c r="AU1620">
        <f ca="1"/>
      </c>
      <c r="AV1620">
        <f ca="1"/>
      </c>
      <c r="AW1620">
        <f ca="1"/>
      </c>
      <c r="AX1620">
        <f ca="1"/>
      </c>
      <c r="AY1620">
        <f ca="1"/>
      </c>
      <c r="BA1620" s="7"/>
    </row>
    <row r="1621" spans="31:53" x14ac:dyDescent="0.55000000000000004">
      <c r="AE1621" s="7">
        <f ca="1"/>
      </c>
      <c r="AF1621">
        <f ca="1"/>
      </c>
      <c r="AG1621">
        <f ca="1"/>
      </c>
      <c r="AH1621">
        <f ca="1"/>
      </c>
      <c r="AI1621">
        <f ca="1"/>
      </c>
      <c r="AJ1621">
        <f ca="1"/>
      </c>
      <c r="AK1621">
        <f ca="1"/>
      </c>
      <c r="AL1621">
        <f ca="1"/>
      </c>
      <c r="AM1621">
        <f ca="1"/>
      </c>
      <c r="AN1621">
        <f ca="1"/>
      </c>
      <c r="AO1621">
        <f ca="1"/>
      </c>
      <c r="AP1621">
        <f ca="1"/>
      </c>
      <c r="AQ1621">
        <f ca="1"/>
      </c>
      <c r="AR1621">
        <f ca="1"/>
      </c>
      <c r="AT1621" s="7">
        <f ca="1"/>
      </c>
      <c r="AU1621">
        <f ca="1"/>
      </c>
      <c r="AV1621">
        <f ca="1"/>
      </c>
      <c r="AW1621">
        <f ca="1"/>
      </c>
      <c r="AX1621">
        <f ca="1"/>
      </c>
      <c r="AY1621">
        <f ca="1"/>
      </c>
      <c r="BA1621" s="7"/>
    </row>
    <row r="1622" spans="31:53" x14ac:dyDescent="0.55000000000000004">
      <c r="AE1622" s="7">
        <f ca="1"/>
      </c>
      <c r="AF1622">
        <f ca="1"/>
      </c>
      <c r="AG1622">
        <f ca="1"/>
      </c>
      <c r="AH1622">
        <f ca="1"/>
      </c>
      <c r="AI1622">
        <f ca="1"/>
      </c>
      <c r="AJ1622">
        <f ca="1"/>
      </c>
      <c r="AK1622">
        <f ca="1"/>
      </c>
      <c r="AL1622">
        <f ca="1"/>
      </c>
      <c r="AM1622">
        <f ca="1"/>
      </c>
      <c r="AN1622">
        <f ca="1"/>
      </c>
      <c r="AO1622">
        <f ca="1"/>
      </c>
      <c r="AP1622">
        <f ca="1"/>
      </c>
      <c r="AQ1622">
        <f ca="1"/>
      </c>
      <c r="AR1622">
        <f ca="1"/>
      </c>
      <c r="AT1622" s="7">
        <f ca="1"/>
      </c>
      <c r="AU1622">
        <f ca="1"/>
      </c>
      <c r="AV1622">
        <f ca="1"/>
      </c>
      <c r="AW1622">
        <f ca="1"/>
      </c>
      <c r="AX1622">
        <f ca="1"/>
      </c>
      <c r="AY1622">
        <f ca="1"/>
      </c>
      <c r="BA1622" s="7"/>
    </row>
    <row r="1623" spans="31:53" x14ac:dyDescent="0.55000000000000004">
      <c r="AE1623" s="7">
        <f ca="1"/>
      </c>
      <c r="AF1623">
        <f ca="1"/>
      </c>
      <c r="AG1623">
        <f ca="1"/>
      </c>
      <c r="AH1623">
        <f ca="1"/>
      </c>
      <c r="AI1623">
        <f ca="1"/>
      </c>
      <c r="AJ1623">
        <f ca="1"/>
      </c>
      <c r="AK1623">
        <f ca="1"/>
      </c>
      <c r="AL1623">
        <f ca="1"/>
      </c>
      <c r="AM1623">
        <f ca="1"/>
      </c>
      <c r="AN1623">
        <f ca="1"/>
      </c>
      <c r="AO1623">
        <f ca="1"/>
      </c>
      <c r="AP1623">
        <f ca="1"/>
      </c>
      <c r="AQ1623">
        <f ca="1"/>
      </c>
      <c r="AR1623">
        <f ca="1"/>
      </c>
      <c r="AT1623" s="7">
        <f ca="1"/>
      </c>
      <c r="AU1623">
        <f ca="1"/>
      </c>
      <c r="AV1623">
        <f ca="1"/>
      </c>
      <c r="AW1623">
        <f ca="1"/>
      </c>
      <c r="AX1623">
        <f ca="1"/>
      </c>
      <c r="AY1623">
        <f ca="1"/>
      </c>
      <c r="BA1623" s="7"/>
    </row>
    <row r="1624" spans="31:53" x14ac:dyDescent="0.55000000000000004">
      <c r="AE1624" s="7">
        <f ca="1"/>
      </c>
      <c r="AF1624">
        <f ca="1"/>
      </c>
      <c r="AG1624">
        <f ca="1"/>
      </c>
      <c r="AH1624">
        <f ca="1"/>
      </c>
      <c r="AI1624">
        <f ca="1"/>
      </c>
      <c r="AJ1624">
        <f ca="1"/>
      </c>
      <c r="AK1624">
        <f ca="1"/>
      </c>
      <c r="AL1624">
        <f ca="1"/>
      </c>
      <c r="AM1624">
        <f ca="1"/>
      </c>
      <c r="AN1624">
        <f ca="1"/>
      </c>
      <c r="AO1624">
        <f ca="1"/>
      </c>
      <c r="AP1624">
        <f ca="1"/>
      </c>
      <c r="AQ1624">
        <f ca="1"/>
      </c>
      <c r="AR1624">
        <f ca="1"/>
      </c>
      <c r="AT1624" s="7">
        <f ca="1"/>
      </c>
      <c r="AU1624">
        <f ca="1"/>
      </c>
      <c r="AV1624">
        <f ca="1"/>
      </c>
      <c r="AW1624">
        <f ca="1"/>
      </c>
      <c r="AX1624">
        <f ca="1"/>
      </c>
      <c r="AY1624">
        <f ca="1"/>
      </c>
      <c r="BA1624" s="7"/>
    </row>
    <row r="1625" spans="31:53" x14ac:dyDescent="0.55000000000000004">
      <c r="AE1625" s="7">
        <f ca="1"/>
      </c>
      <c r="AF1625">
        <f ca="1"/>
      </c>
      <c r="AG1625">
        <f ca="1"/>
      </c>
      <c r="AH1625">
        <f ca="1"/>
      </c>
      <c r="AI1625">
        <f ca="1"/>
      </c>
      <c r="AJ1625">
        <f ca="1"/>
      </c>
      <c r="AK1625">
        <f ca="1"/>
      </c>
      <c r="AL1625">
        <f ca="1"/>
      </c>
      <c r="AM1625">
        <f ca="1"/>
      </c>
      <c r="AN1625">
        <f ca="1"/>
      </c>
      <c r="AO1625">
        <f ca="1"/>
      </c>
      <c r="AP1625">
        <f ca="1"/>
      </c>
      <c r="AQ1625">
        <f ca="1"/>
      </c>
      <c r="AR1625">
        <f ca="1"/>
      </c>
      <c r="AT1625" s="7">
        <f ca="1"/>
      </c>
      <c r="AU1625">
        <f ca="1"/>
      </c>
      <c r="AV1625">
        <f ca="1"/>
      </c>
      <c r="AW1625">
        <f ca="1"/>
      </c>
      <c r="AX1625">
        <f ca="1"/>
      </c>
      <c r="AY1625">
        <f ca="1"/>
      </c>
      <c r="BA1625" s="7"/>
    </row>
    <row r="1626" spans="31:53" x14ac:dyDescent="0.55000000000000004">
      <c r="AE1626" s="7">
        <f ca="1"/>
      </c>
      <c r="AF1626">
        <f ca="1"/>
      </c>
      <c r="AG1626">
        <f ca="1"/>
      </c>
      <c r="AH1626">
        <f ca="1"/>
      </c>
      <c r="AI1626">
        <f ca="1"/>
      </c>
      <c r="AJ1626">
        <f ca="1"/>
      </c>
      <c r="AK1626">
        <f ca="1"/>
      </c>
      <c r="AL1626">
        <f ca="1"/>
      </c>
      <c r="AM1626">
        <f ca="1"/>
      </c>
      <c r="AN1626">
        <f ca="1"/>
      </c>
      <c r="AO1626">
        <f ca="1"/>
      </c>
      <c r="AP1626">
        <f ca="1"/>
      </c>
      <c r="AQ1626">
        <f ca="1"/>
      </c>
      <c r="AR1626">
        <f ca="1"/>
      </c>
      <c r="AT1626" s="7">
        <f ca="1"/>
      </c>
      <c r="AU1626">
        <f ca="1"/>
      </c>
      <c r="AV1626">
        <f ca="1"/>
      </c>
      <c r="AW1626">
        <f ca="1"/>
      </c>
      <c r="AX1626">
        <f ca="1"/>
      </c>
      <c r="AY1626">
        <f ca="1"/>
      </c>
      <c r="BA1626" s="7"/>
    </row>
    <row r="1627" spans="31:53" x14ac:dyDescent="0.55000000000000004">
      <c r="AE1627" s="7">
        <f ca="1"/>
      </c>
      <c r="AF1627">
        <f ca="1"/>
      </c>
      <c r="AG1627">
        <f ca="1"/>
      </c>
      <c r="AH1627">
        <f ca="1"/>
      </c>
      <c r="AI1627">
        <f ca="1"/>
      </c>
      <c r="AJ1627">
        <f ca="1"/>
      </c>
      <c r="AK1627">
        <f ca="1"/>
      </c>
      <c r="AL1627">
        <f ca="1"/>
      </c>
      <c r="AM1627">
        <f ca="1"/>
      </c>
      <c r="AN1627">
        <f ca="1"/>
      </c>
      <c r="AO1627">
        <f ca="1"/>
      </c>
      <c r="AP1627">
        <f ca="1"/>
      </c>
      <c r="AQ1627">
        <f ca="1"/>
      </c>
      <c r="AR1627">
        <f ca="1"/>
      </c>
      <c r="AT1627" s="7">
        <f ca="1"/>
      </c>
      <c r="AU1627">
        <f ca="1"/>
      </c>
      <c r="AV1627">
        <f ca="1"/>
      </c>
      <c r="AW1627">
        <f ca="1"/>
      </c>
      <c r="AX1627">
        <f ca="1"/>
      </c>
      <c r="AY1627">
        <f ca="1"/>
      </c>
      <c r="BA1627" s="7"/>
    </row>
    <row r="1628" spans="31:53" x14ac:dyDescent="0.55000000000000004">
      <c r="AE1628" s="7">
        <f ca="1"/>
      </c>
      <c r="AF1628">
        <f ca="1"/>
      </c>
      <c r="AG1628">
        <f ca="1"/>
      </c>
      <c r="AH1628">
        <f ca="1"/>
      </c>
      <c r="AI1628">
        <f ca="1"/>
      </c>
      <c r="AJ1628">
        <f ca="1"/>
      </c>
      <c r="AK1628">
        <f ca="1"/>
      </c>
      <c r="AL1628">
        <f ca="1"/>
      </c>
      <c r="AM1628">
        <f ca="1"/>
      </c>
      <c r="AN1628">
        <f ca="1"/>
      </c>
      <c r="AO1628">
        <f ca="1"/>
      </c>
      <c r="AP1628">
        <f ca="1"/>
      </c>
      <c r="AQ1628">
        <f ca="1"/>
      </c>
      <c r="AR1628">
        <f ca="1"/>
      </c>
      <c r="AT1628" s="7">
        <f ca="1"/>
      </c>
      <c r="AU1628">
        <f ca="1"/>
      </c>
      <c r="AV1628">
        <f ca="1"/>
      </c>
      <c r="AW1628">
        <f ca="1"/>
      </c>
      <c r="AX1628">
        <f ca="1"/>
      </c>
      <c r="AY1628">
        <f ca="1"/>
      </c>
      <c r="BA1628" s="7"/>
    </row>
    <row r="1629" spans="31:53" x14ac:dyDescent="0.55000000000000004">
      <c r="AE1629" s="7">
        <f ca="1"/>
      </c>
      <c r="AF1629">
        <f ca="1"/>
      </c>
      <c r="AG1629">
        <f ca="1"/>
      </c>
      <c r="AH1629">
        <f ca="1"/>
      </c>
      <c r="AI1629">
        <f ca="1"/>
      </c>
      <c r="AJ1629">
        <f ca="1"/>
      </c>
      <c r="AK1629">
        <f ca="1"/>
      </c>
      <c r="AL1629">
        <f ca="1"/>
      </c>
      <c r="AM1629">
        <f ca="1"/>
      </c>
      <c r="AN1629">
        <f ca="1"/>
      </c>
      <c r="AO1629">
        <f ca="1"/>
      </c>
      <c r="AP1629">
        <f ca="1"/>
      </c>
      <c r="AQ1629">
        <f ca="1"/>
      </c>
      <c r="AR1629">
        <f ca="1"/>
      </c>
      <c r="AT1629" s="7">
        <f ca="1"/>
      </c>
      <c r="AU1629">
        <f ca="1"/>
      </c>
      <c r="AV1629">
        <f ca="1"/>
      </c>
      <c r="AW1629">
        <f ca="1"/>
      </c>
      <c r="AX1629">
        <f ca="1"/>
      </c>
      <c r="AY1629">
        <f ca="1"/>
      </c>
      <c r="BA1629" s="7"/>
    </row>
    <row r="1630" spans="31:53" x14ac:dyDescent="0.55000000000000004">
      <c r="AE1630" s="7">
        <f ca="1"/>
      </c>
      <c r="AF1630">
        <f ca="1"/>
      </c>
      <c r="AG1630">
        <f ca="1"/>
      </c>
      <c r="AH1630">
        <f ca="1"/>
      </c>
      <c r="AI1630">
        <f ca="1"/>
      </c>
      <c r="AJ1630">
        <f ca="1"/>
      </c>
      <c r="AK1630">
        <f ca="1"/>
      </c>
      <c r="AL1630">
        <f ca="1"/>
      </c>
      <c r="AM1630">
        <f ca="1"/>
      </c>
      <c r="AN1630">
        <f ca="1"/>
      </c>
      <c r="AO1630">
        <f ca="1"/>
      </c>
      <c r="AP1630">
        <f ca="1"/>
      </c>
      <c r="AQ1630">
        <f ca="1"/>
      </c>
      <c r="AR1630">
        <f ca="1"/>
      </c>
      <c r="AT1630" s="7">
        <f ca="1"/>
      </c>
      <c r="AU1630">
        <f ca="1"/>
      </c>
      <c r="AV1630">
        <f ca="1"/>
      </c>
      <c r="AW1630">
        <f ca="1"/>
      </c>
      <c r="AX1630">
        <f ca="1"/>
      </c>
      <c r="AY1630">
        <f ca="1"/>
      </c>
      <c r="BA1630" s="7"/>
    </row>
    <row r="1631" spans="31:53" x14ac:dyDescent="0.55000000000000004">
      <c r="AE1631" s="7">
        <f ca="1"/>
      </c>
      <c r="AF1631">
        <f ca="1"/>
      </c>
      <c r="AG1631">
        <f ca="1"/>
      </c>
      <c r="AH1631">
        <f ca="1"/>
      </c>
      <c r="AI1631">
        <f ca="1"/>
      </c>
      <c r="AJ1631">
        <f ca="1"/>
      </c>
      <c r="AK1631">
        <f ca="1"/>
      </c>
      <c r="AL1631">
        <f ca="1"/>
      </c>
      <c r="AM1631">
        <f ca="1"/>
      </c>
      <c r="AN1631">
        <f ca="1"/>
      </c>
      <c r="AO1631">
        <f ca="1"/>
      </c>
      <c r="AP1631">
        <f ca="1"/>
      </c>
      <c r="AQ1631">
        <f ca="1"/>
      </c>
      <c r="AR1631">
        <f ca="1"/>
      </c>
      <c r="AT1631" s="7">
        <f ca="1"/>
      </c>
      <c r="AU1631">
        <f ca="1"/>
      </c>
      <c r="AV1631">
        <f ca="1"/>
      </c>
      <c r="AW1631">
        <f ca="1"/>
      </c>
      <c r="AX1631">
        <f ca="1"/>
      </c>
      <c r="AY1631">
        <f ca="1"/>
      </c>
      <c r="BA1631" s="7"/>
    </row>
    <row r="1632" spans="31:53" x14ac:dyDescent="0.55000000000000004">
      <c r="AE1632" s="7">
        <f ca="1"/>
      </c>
      <c r="AF1632">
        <f ca="1"/>
      </c>
      <c r="AG1632">
        <f ca="1"/>
      </c>
      <c r="AH1632">
        <f ca="1"/>
      </c>
      <c r="AI1632">
        <f ca="1"/>
      </c>
      <c r="AJ1632">
        <f ca="1"/>
      </c>
      <c r="AK1632">
        <f ca="1"/>
      </c>
      <c r="AL1632">
        <f ca="1"/>
      </c>
      <c r="AM1632">
        <f ca="1"/>
      </c>
      <c r="AN1632">
        <f ca="1"/>
      </c>
      <c r="AO1632">
        <f ca="1"/>
      </c>
      <c r="AP1632">
        <f ca="1"/>
      </c>
      <c r="AQ1632">
        <f ca="1"/>
      </c>
      <c r="AR1632">
        <f ca="1"/>
      </c>
      <c r="AT1632" s="7">
        <f ca="1"/>
      </c>
      <c r="AU1632">
        <f ca="1"/>
      </c>
      <c r="AV1632">
        <f ca="1"/>
      </c>
      <c r="AW1632">
        <f ca="1"/>
      </c>
      <c r="AX1632">
        <f ca="1"/>
      </c>
      <c r="AY1632">
        <f ca="1"/>
      </c>
      <c r="BA1632" s="7"/>
    </row>
    <row r="1633" spans="31:53" x14ac:dyDescent="0.55000000000000004">
      <c r="AE1633" s="7">
        <f ca="1"/>
      </c>
      <c r="AF1633">
        <f ca="1"/>
      </c>
      <c r="AG1633">
        <f ca="1"/>
      </c>
      <c r="AH1633">
        <f ca="1"/>
      </c>
      <c r="AI1633">
        <f ca="1"/>
      </c>
      <c r="AJ1633">
        <f ca="1"/>
      </c>
      <c r="AK1633">
        <f ca="1"/>
      </c>
      <c r="AL1633">
        <f ca="1"/>
      </c>
      <c r="AM1633">
        <f ca="1"/>
      </c>
      <c r="AN1633">
        <f ca="1"/>
      </c>
      <c r="AO1633">
        <f ca="1"/>
      </c>
      <c r="AP1633">
        <f ca="1"/>
      </c>
      <c r="AQ1633">
        <f ca="1"/>
      </c>
      <c r="AR1633">
        <f ca="1"/>
      </c>
      <c r="AT1633" s="7">
        <f ca="1"/>
      </c>
      <c r="AU1633">
        <f ca="1"/>
      </c>
      <c r="AV1633">
        <f ca="1"/>
      </c>
      <c r="AW1633">
        <f ca="1"/>
      </c>
      <c r="AX1633">
        <f ca="1"/>
      </c>
      <c r="AY1633">
        <f ca="1"/>
      </c>
      <c r="BA1633" s="7"/>
    </row>
    <row r="1634" spans="31:53" x14ac:dyDescent="0.55000000000000004">
      <c r="AE1634" s="7">
        <f ca="1"/>
      </c>
      <c r="AF1634">
        <f ca="1"/>
      </c>
      <c r="AG1634">
        <f ca="1"/>
      </c>
      <c r="AH1634">
        <f ca="1"/>
      </c>
      <c r="AI1634">
        <f ca="1"/>
      </c>
      <c r="AJ1634">
        <f ca="1"/>
      </c>
      <c r="AK1634">
        <f ca="1"/>
      </c>
      <c r="AL1634">
        <f ca="1"/>
      </c>
      <c r="AM1634">
        <f ca="1"/>
      </c>
      <c r="AN1634">
        <f ca="1"/>
      </c>
      <c r="AO1634">
        <f ca="1"/>
      </c>
      <c r="AP1634">
        <f ca="1"/>
      </c>
      <c r="AQ1634">
        <f ca="1"/>
      </c>
      <c r="AR1634">
        <f ca="1"/>
      </c>
      <c r="AT1634" s="7">
        <f ca="1"/>
      </c>
      <c r="AU1634">
        <f ca="1"/>
      </c>
      <c r="AV1634">
        <f ca="1"/>
      </c>
      <c r="AW1634">
        <f ca="1"/>
      </c>
      <c r="AX1634">
        <f ca="1"/>
      </c>
      <c r="AY1634">
        <f ca="1"/>
      </c>
      <c r="BA1634" s="7"/>
    </row>
    <row r="1635" spans="31:53" x14ac:dyDescent="0.55000000000000004">
      <c r="AE1635" s="7">
        <f ca="1"/>
      </c>
      <c r="AF1635">
        <f ca="1"/>
      </c>
      <c r="AG1635">
        <f ca="1"/>
      </c>
      <c r="AH1635">
        <f ca="1"/>
      </c>
      <c r="AI1635">
        <f ca="1"/>
      </c>
      <c r="AJ1635">
        <f ca="1"/>
      </c>
      <c r="AK1635">
        <f ca="1"/>
      </c>
      <c r="AL1635">
        <f ca="1"/>
      </c>
      <c r="AM1635">
        <f ca="1"/>
      </c>
      <c r="AN1635">
        <f ca="1"/>
      </c>
      <c r="AO1635">
        <f ca="1"/>
      </c>
      <c r="AP1635">
        <f ca="1"/>
      </c>
      <c r="AQ1635">
        <f ca="1"/>
      </c>
      <c r="AR1635">
        <f ca="1"/>
      </c>
      <c r="AT1635" s="7">
        <f ca="1"/>
      </c>
      <c r="AU1635">
        <f ca="1"/>
      </c>
      <c r="AV1635">
        <f ca="1"/>
      </c>
      <c r="AW1635">
        <f ca="1"/>
      </c>
      <c r="AX1635">
        <f ca="1"/>
      </c>
      <c r="AY1635">
        <f ca="1"/>
      </c>
      <c r="BA1635" s="7"/>
    </row>
    <row r="1636" spans="31:53" x14ac:dyDescent="0.55000000000000004">
      <c r="AE1636" s="7">
        <f ca="1"/>
      </c>
      <c r="AF1636">
        <f ca="1"/>
      </c>
      <c r="AG1636">
        <f ca="1"/>
      </c>
      <c r="AH1636">
        <f ca="1"/>
      </c>
      <c r="AI1636">
        <f ca="1"/>
      </c>
      <c r="AJ1636">
        <f ca="1"/>
      </c>
      <c r="AK1636">
        <f ca="1"/>
      </c>
      <c r="AL1636">
        <f ca="1"/>
      </c>
      <c r="AM1636">
        <f ca="1"/>
      </c>
      <c r="AN1636">
        <f ca="1"/>
      </c>
      <c r="AO1636">
        <f ca="1"/>
      </c>
      <c r="AP1636">
        <f ca="1"/>
      </c>
      <c r="AQ1636">
        <f ca="1"/>
      </c>
      <c r="AR1636">
        <f ca="1"/>
      </c>
      <c r="AT1636" s="7">
        <f ca="1"/>
      </c>
      <c r="AU1636">
        <f ca="1"/>
      </c>
      <c r="AV1636">
        <f ca="1"/>
      </c>
      <c r="AW1636">
        <f ca="1"/>
      </c>
      <c r="AX1636">
        <f ca="1"/>
      </c>
      <c r="AY1636">
        <f ca="1"/>
      </c>
      <c r="BA1636" s="7"/>
    </row>
    <row r="1637" spans="31:53" x14ac:dyDescent="0.55000000000000004">
      <c r="AE1637" s="7">
        <f ca="1"/>
      </c>
      <c r="AF1637">
        <f ca="1"/>
      </c>
      <c r="AG1637">
        <f ca="1"/>
      </c>
      <c r="AH1637">
        <f ca="1"/>
      </c>
      <c r="AI1637">
        <f ca="1"/>
      </c>
      <c r="AJ1637">
        <f ca="1"/>
      </c>
      <c r="AK1637">
        <f ca="1"/>
      </c>
      <c r="AL1637">
        <f ca="1"/>
      </c>
      <c r="AM1637">
        <f ca="1"/>
      </c>
      <c r="AN1637">
        <f ca="1"/>
      </c>
      <c r="AO1637">
        <f ca="1"/>
      </c>
      <c r="AP1637">
        <f ca="1"/>
      </c>
      <c r="AQ1637">
        <f ca="1"/>
      </c>
      <c r="AR1637">
        <f ca="1"/>
      </c>
      <c r="AT1637" s="7">
        <f ca="1"/>
      </c>
      <c r="AU1637">
        <f ca="1"/>
      </c>
      <c r="AV1637">
        <f ca="1"/>
      </c>
      <c r="AW1637">
        <f ca="1"/>
      </c>
      <c r="AX1637">
        <f ca="1"/>
      </c>
      <c r="AY1637">
        <f ca="1"/>
      </c>
      <c r="BA1637" s="7"/>
    </row>
    <row r="1638" spans="31:53" x14ac:dyDescent="0.55000000000000004">
      <c r="AE1638" s="7">
        <f ca="1"/>
      </c>
      <c r="AF1638">
        <f ca="1"/>
      </c>
      <c r="AG1638">
        <f ca="1"/>
      </c>
      <c r="AH1638">
        <f ca="1"/>
      </c>
      <c r="AI1638">
        <f ca="1"/>
      </c>
      <c r="AJ1638">
        <f ca="1"/>
      </c>
      <c r="AK1638">
        <f ca="1"/>
      </c>
      <c r="AL1638">
        <f ca="1"/>
      </c>
      <c r="AM1638">
        <f ca="1"/>
      </c>
      <c r="AN1638">
        <f ca="1"/>
      </c>
      <c r="AO1638">
        <f ca="1"/>
      </c>
      <c r="AP1638">
        <f ca="1"/>
      </c>
      <c r="AQ1638">
        <f ca="1"/>
      </c>
      <c r="AR1638">
        <f ca="1"/>
      </c>
      <c r="AT1638" s="7">
        <f ca="1"/>
      </c>
      <c r="AU1638">
        <f ca="1"/>
      </c>
      <c r="AV1638">
        <f ca="1"/>
      </c>
      <c r="AW1638">
        <f ca="1"/>
      </c>
      <c r="AX1638">
        <f ca="1"/>
      </c>
      <c r="AY1638">
        <f ca="1"/>
      </c>
      <c r="BA1638" s="7"/>
    </row>
    <row r="1639" spans="31:53" x14ac:dyDescent="0.55000000000000004">
      <c r="AE1639" s="7">
        <f ca="1"/>
      </c>
      <c r="AF1639">
        <f ca="1"/>
      </c>
      <c r="AG1639">
        <f ca="1"/>
      </c>
      <c r="AH1639">
        <f ca="1"/>
      </c>
      <c r="AI1639">
        <f ca="1"/>
      </c>
      <c r="AJ1639">
        <f ca="1"/>
      </c>
      <c r="AK1639">
        <f ca="1"/>
      </c>
      <c r="AL1639">
        <f ca="1"/>
      </c>
      <c r="AM1639">
        <f ca="1"/>
      </c>
      <c r="AN1639">
        <f ca="1"/>
      </c>
      <c r="AO1639">
        <f ca="1"/>
      </c>
      <c r="AP1639">
        <f ca="1"/>
      </c>
      <c r="AQ1639">
        <f ca="1"/>
      </c>
      <c r="AR1639">
        <f ca="1"/>
      </c>
      <c r="AT1639" s="7">
        <f ca="1"/>
      </c>
      <c r="AU1639">
        <f ca="1"/>
      </c>
      <c r="AV1639">
        <f ca="1"/>
      </c>
      <c r="AW1639">
        <f ca="1"/>
      </c>
      <c r="AX1639">
        <f ca="1"/>
      </c>
      <c r="AY1639">
        <f ca="1"/>
      </c>
      <c r="BA1639" s="7"/>
    </row>
    <row r="1640" spans="31:53" x14ac:dyDescent="0.55000000000000004">
      <c r="AE1640" s="7">
        <f ca="1"/>
      </c>
      <c r="AF1640">
        <f ca="1"/>
      </c>
      <c r="AG1640">
        <f ca="1"/>
      </c>
      <c r="AH1640">
        <f ca="1"/>
      </c>
      <c r="AI1640">
        <f ca="1"/>
      </c>
      <c r="AJ1640">
        <f ca="1"/>
      </c>
      <c r="AK1640">
        <f ca="1"/>
      </c>
      <c r="AL1640">
        <f ca="1"/>
      </c>
      <c r="AM1640">
        <f ca="1"/>
      </c>
      <c r="AN1640">
        <f ca="1"/>
      </c>
      <c r="AO1640">
        <f ca="1"/>
      </c>
      <c r="AP1640">
        <f ca="1"/>
      </c>
      <c r="AQ1640">
        <f ca="1"/>
      </c>
      <c r="AR1640">
        <f ca="1"/>
      </c>
      <c r="AT1640" s="7">
        <f ca="1"/>
      </c>
      <c r="AU1640">
        <f ca="1"/>
      </c>
      <c r="AV1640">
        <f ca="1"/>
      </c>
      <c r="AW1640">
        <f ca="1"/>
      </c>
      <c r="AX1640">
        <f ca="1"/>
      </c>
      <c r="AY1640">
        <f ca="1"/>
      </c>
      <c r="BA1640" s="7"/>
    </row>
    <row r="1641" spans="31:53" x14ac:dyDescent="0.55000000000000004">
      <c r="AE1641" s="7">
        <f ca="1"/>
      </c>
      <c r="AF1641">
        <f ca="1"/>
      </c>
      <c r="AG1641">
        <f ca="1"/>
      </c>
      <c r="AH1641">
        <f ca="1"/>
      </c>
      <c r="AI1641">
        <f ca="1"/>
      </c>
      <c r="AJ1641">
        <f ca="1"/>
      </c>
      <c r="AK1641">
        <f ca="1"/>
      </c>
      <c r="AL1641">
        <f ca="1"/>
      </c>
      <c r="AM1641">
        <f ca="1"/>
      </c>
      <c r="AN1641">
        <f ca="1"/>
      </c>
      <c r="AO1641">
        <f ca="1"/>
      </c>
      <c r="AP1641">
        <f ca="1"/>
      </c>
      <c r="AQ1641">
        <f ca="1"/>
      </c>
      <c r="AR1641">
        <f ca="1"/>
      </c>
      <c r="AT1641" s="7">
        <f ca="1"/>
      </c>
      <c r="AU1641">
        <f ca="1"/>
      </c>
      <c r="AV1641">
        <f ca="1"/>
      </c>
      <c r="AW1641">
        <f ca="1"/>
      </c>
      <c r="AX1641">
        <f ca="1"/>
      </c>
      <c r="AY1641">
        <f ca="1"/>
      </c>
      <c r="BA1641" s="7"/>
    </row>
    <row r="1642" spans="31:53" x14ac:dyDescent="0.55000000000000004">
      <c r="AE1642" s="7">
        <f ca="1"/>
      </c>
      <c r="AF1642">
        <f ca="1"/>
      </c>
      <c r="AG1642">
        <f ca="1"/>
      </c>
      <c r="AH1642">
        <f ca="1"/>
      </c>
      <c r="AI1642">
        <f ca="1"/>
      </c>
      <c r="AJ1642">
        <f ca="1"/>
      </c>
      <c r="AK1642">
        <f ca="1"/>
      </c>
      <c r="AL1642">
        <f ca="1"/>
      </c>
      <c r="AM1642">
        <f ca="1"/>
      </c>
      <c r="AN1642">
        <f ca="1"/>
      </c>
      <c r="AO1642">
        <f ca="1"/>
      </c>
      <c r="AP1642">
        <f ca="1"/>
      </c>
      <c r="AQ1642">
        <f ca="1"/>
      </c>
      <c r="AR1642">
        <f ca="1"/>
      </c>
      <c r="AT1642" s="7">
        <f ca="1"/>
      </c>
      <c r="AU1642">
        <f ca="1"/>
      </c>
      <c r="AV1642">
        <f ca="1"/>
      </c>
      <c r="AW1642">
        <f ca="1"/>
      </c>
      <c r="AX1642">
        <f ca="1"/>
      </c>
      <c r="AY1642">
        <f ca="1"/>
      </c>
      <c r="BA1642" s="7"/>
    </row>
    <row r="1643" spans="31:53" x14ac:dyDescent="0.55000000000000004">
      <c r="AE1643" s="7">
        <f ca="1"/>
      </c>
      <c r="AF1643">
        <f ca="1"/>
      </c>
      <c r="AG1643">
        <f ca="1"/>
      </c>
      <c r="AH1643">
        <f ca="1"/>
      </c>
      <c r="AI1643">
        <f ca="1"/>
      </c>
      <c r="AJ1643">
        <f ca="1"/>
      </c>
      <c r="AK1643">
        <f ca="1"/>
      </c>
      <c r="AL1643">
        <f ca="1"/>
      </c>
      <c r="AM1643">
        <f ca="1"/>
      </c>
      <c r="AN1643">
        <f ca="1"/>
      </c>
      <c r="AO1643">
        <f ca="1"/>
      </c>
      <c r="AP1643">
        <f ca="1"/>
      </c>
      <c r="AQ1643">
        <f ca="1"/>
      </c>
      <c r="AR1643">
        <f ca="1"/>
      </c>
      <c r="AT1643" s="7">
        <f ca="1"/>
      </c>
      <c r="AU1643">
        <f ca="1"/>
      </c>
      <c r="AV1643">
        <f ca="1"/>
      </c>
      <c r="AW1643">
        <f ca="1"/>
      </c>
      <c r="AX1643">
        <f ca="1"/>
      </c>
      <c r="AY1643">
        <f ca="1"/>
      </c>
      <c r="BA1643" s="7"/>
    </row>
    <row r="1644" spans="31:53" x14ac:dyDescent="0.55000000000000004">
      <c r="AE1644" s="7">
        <f ca="1"/>
      </c>
      <c r="AF1644">
        <f ca="1"/>
      </c>
      <c r="AG1644">
        <f ca="1"/>
      </c>
      <c r="AH1644">
        <f ca="1"/>
      </c>
      <c r="AI1644">
        <f ca="1"/>
      </c>
      <c r="AJ1644">
        <f ca="1"/>
      </c>
      <c r="AK1644">
        <f ca="1"/>
      </c>
      <c r="AL1644">
        <f ca="1"/>
      </c>
      <c r="AM1644">
        <f ca="1"/>
      </c>
      <c r="AN1644">
        <f ca="1"/>
      </c>
      <c r="AO1644">
        <f ca="1"/>
      </c>
      <c r="AP1644">
        <f ca="1"/>
      </c>
      <c r="AQ1644">
        <f ca="1"/>
      </c>
      <c r="AR1644">
        <f ca="1"/>
      </c>
      <c r="AT1644" s="7">
        <f ca="1"/>
      </c>
      <c r="AU1644">
        <f ca="1"/>
      </c>
      <c r="AV1644">
        <f ca="1"/>
      </c>
      <c r="AW1644">
        <f ca="1"/>
      </c>
      <c r="AX1644">
        <f ca="1"/>
      </c>
      <c r="AY1644">
        <f ca="1"/>
      </c>
      <c r="BA1644" s="7"/>
    </row>
    <row r="1645" spans="31:53" x14ac:dyDescent="0.55000000000000004">
      <c r="AE1645" s="7">
        <f ca="1"/>
      </c>
      <c r="AF1645">
        <f ca="1"/>
      </c>
      <c r="AG1645">
        <f ca="1"/>
      </c>
      <c r="AH1645">
        <f ca="1"/>
      </c>
      <c r="AI1645">
        <f ca="1"/>
      </c>
      <c r="AJ1645">
        <f ca="1"/>
      </c>
      <c r="AK1645">
        <f ca="1"/>
      </c>
      <c r="AL1645">
        <f ca="1"/>
      </c>
      <c r="AM1645">
        <f ca="1"/>
      </c>
      <c r="AN1645">
        <f ca="1"/>
      </c>
      <c r="AO1645">
        <f ca="1"/>
      </c>
      <c r="AP1645">
        <f ca="1"/>
      </c>
      <c r="AQ1645">
        <f ca="1"/>
      </c>
      <c r="AR1645">
        <f ca="1"/>
      </c>
      <c r="AT1645" s="7">
        <f ca="1"/>
      </c>
      <c r="AU1645">
        <f ca="1"/>
      </c>
      <c r="AV1645">
        <f ca="1"/>
      </c>
      <c r="AW1645">
        <f ca="1"/>
      </c>
      <c r="AX1645">
        <f ca="1"/>
      </c>
      <c r="AY1645">
        <f ca="1"/>
      </c>
      <c r="BA1645" s="7"/>
    </row>
    <row r="1646" spans="31:53" x14ac:dyDescent="0.55000000000000004">
      <c r="AE1646" s="7">
        <f ca="1"/>
      </c>
      <c r="AF1646">
        <f ca="1"/>
      </c>
      <c r="AG1646">
        <f ca="1"/>
      </c>
      <c r="AH1646">
        <f ca="1"/>
      </c>
      <c r="AI1646">
        <f ca="1"/>
      </c>
      <c r="AJ1646">
        <f ca="1"/>
      </c>
      <c r="AK1646">
        <f ca="1"/>
      </c>
      <c r="AL1646">
        <f ca="1"/>
      </c>
      <c r="AM1646">
        <f ca="1"/>
      </c>
      <c r="AN1646">
        <f ca="1"/>
      </c>
      <c r="AO1646">
        <f ca="1"/>
      </c>
      <c r="AP1646">
        <f ca="1"/>
      </c>
      <c r="AQ1646">
        <f ca="1"/>
      </c>
      <c r="AR1646">
        <f ca="1"/>
      </c>
      <c r="AT1646" s="7">
        <f ca="1"/>
      </c>
      <c r="AU1646">
        <f ca="1"/>
      </c>
      <c r="AV1646">
        <f ca="1"/>
      </c>
      <c r="AW1646">
        <f ca="1"/>
      </c>
      <c r="AX1646">
        <f ca="1"/>
      </c>
      <c r="AY1646">
        <f ca="1"/>
      </c>
      <c r="BA1646" s="7"/>
    </row>
    <row r="1647" spans="31:53" x14ac:dyDescent="0.55000000000000004">
      <c r="AE1647" s="7">
        <f ca="1"/>
      </c>
      <c r="AF1647">
        <f ca="1"/>
      </c>
      <c r="AG1647">
        <f ca="1"/>
      </c>
      <c r="AH1647">
        <f ca="1"/>
      </c>
      <c r="AI1647">
        <f ca="1"/>
      </c>
      <c r="AJ1647">
        <f ca="1"/>
      </c>
      <c r="AK1647">
        <f ca="1"/>
      </c>
      <c r="AL1647">
        <f ca="1"/>
      </c>
      <c r="AM1647">
        <f ca="1"/>
      </c>
      <c r="AN1647">
        <f ca="1"/>
      </c>
      <c r="AO1647">
        <f ca="1"/>
      </c>
      <c r="AP1647">
        <f ca="1"/>
      </c>
      <c r="AQ1647">
        <f ca="1"/>
      </c>
      <c r="AR1647">
        <f ca="1"/>
      </c>
      <c r="AT1647" s="7">
        <f ca="1"/>
      </c>
      <c r="AU1647">
        <f ca="1"/>
      </c>
      <c r="AV1647">
        <f ca="1"/>
      </c>
      <c r="AW1647">
        <f ca="1"/>
      </c>
      <c r="AX1647">
        <f ca="1"/>
      </c>
      <c r="AY1647">
        <f ca="1"/>
      </c>
      <c r="BA1647" s="7"/>
    </row>
    <row r="1648" spans="31:53" x14ac:dyDescent="0.55000000000000004">
      <c r="AE1648" s="7">
        <f ca="1"/>
      </c>
      <c r="AF1648">
        <f ca="1"/>
      </c>
      <c r="AG1648">
        <f ca="1"/>
      </c>
      <c r="AH1648">
        <f ca="1"/>
      </c>
      <c r="AI1648">
        <f ca="1"/>
      </c>
      <c r="AJ1648">
        <f ca="1"/>
      </c>
      <c r="AK1648">
        <f ca="1"/>
      </c>
      <c r="AL1648">
        <f ca="1"/>
      </c>
      <c r="AM1648">
        <f ca="1"/>
      </c>
      <c r="AN1648">
        <f ca="1"/>
      </c>
      <c r="AO1648">
        <f ca="1"/>
      </c>
      <c r="AP1648">
        <f ca="1"/>
      </c>
      <c r="AQ1648">
        <f ca="1"/>
      </c>
      <c r="AR1648">
        <f ca="1"/>
      </c>
      <c r="AT1648" s="7">
        <f ca="1"/>
      </c>
      <c r="AU1648">
        <f ca="1"/>
      </c>
      <c r="AV1648">
        <f ca="1"/>
      </c>
      <c r="AW1648">
        <f ca="1"/>
      </c>
      <c r="AX1648">
        <f ca="1"/>
      </c>
      <c r="AY1648">
        <f ca="1"/>
      </c>
      <c r="BA1648" s="7"/>
    </row>
    <row r="1649" spans="31:53" x14ac:dyDescent="0.55000000000000004">
      <c r="AE1649" s="7">
        <f ca="1"/>
      </c>
      <c r="AF1649">
        <f ca="1"/>
      </c>
      <c r="AG1649">
        <f ca="1"/>
      </c>
      <c r="AH1649">
        <f ca="1"/>
      </c>
      <c r="AI1649">
        <f ca="1"/>
      </c>
      <c r="AJ1649">
        <f ca="1"/>
      </c>
      <c r="AK1649">
        <f ca="1"/>
      </c>
      <c r="AL1649">
        <f ca="1"/>
      </c>
      <c r="AM1649">
        <f ca="1"/>
      </c>
      <c r="AN1649">
        <f ca="1"/>
      </c>
      <c r="AO1649">
        <f ca="1"/>
      </c>
      <c r="AP1649">
        <f ca="1"/>
      </c>
      <c r="AQ1649">
        <f ca="1"/>
      </c>
      <c r="AR1649">
        <f ca="1"/>
      </c>
      <c r="AT1649" s="7">
        <f ca="1"/>
      </c>
      <c r="AU1649">
        <f ca="1"/>
      </c>
      <c r="AV1649">
        <f ca="1"/>
      </c>
      <c r="AW1649">
        <f ca="1"/>
      </c>
      <c r="AX1649">
        <f ca="1"/>
      </c>
      <c r="AY1649">
        <f ca="1"/>
      </c>
      <c r="BA1649" s="7"/>
    </row>
    <row r="1650" spans="31:53" x14ac:dyDescent="0.55000000000000004">
      <c r="AE1650" s="7">
        <f ca="1"/>
      </c>
      <c r="AF1650">
        <f ca="1"/>
      </c>
      <c r="AG1650">
        <f ca="1"/>
      </c>
      <c r="AH1650">
        <f ca="1"/>
      </c>
      <c r="AI1650">
        <f ca="1"/>
      </c>
      <c r="AJ1650">
        <f ca="1"/>
      </c>
      <c r="AK1650">
        <f ca="1"/>
      </c>
      <c r="AL1650">
        <f ca="1"/>
      </c>
      <c r="AM1650">
        <f ca="1"/>
      </c>
      <c r="AN1650">
        <f ca="1"/>
      </c>
      <c r="AO1650">
        <f ca="1"/>
      </c>
      <c r="AP1650">
        <f ca="1"/>
      </c>
      <c r="AQ1650">
        <f ca="1"/>
      </c>
      <c r="AR1650">
        <f ca="1"/>
      </c>
      <c r="AT1650" s="7">
        <f ca="1"/>
      </c>
      <c r="AU1650">
        <f ca="1"/>
      </c>
      <c r="AV1650">
        <f ca="1"/>
      </c>
      <c r="AW1650">
        <f ca="1"/>
      </c>
      <c r="AX1650">
        <f ca="1"/>
      </c>
      <c r="AY1650">
        <f ca="1"/>
      </c>
      <c r="BA1650" s="7"/>
    </row>
    <row r="1651" spans="31:53" x14ac:dyDescent="0.55000000000000004">
      <c r="AE1651" s="7">
        <f ca="1"/>
      </c>
      <c r="AF1651">
        <f ca="1"/>
      </c>
      <c r="AG1651">
        <f ca="1"/>
      </c>
      <c r="AH1651">
        <f ca="1"/>
      </c>
      <c r="AI1651">
        <f ca="1"/>
      </c>
      <c r="AJ1651">
        <f ca="1"/>
      </c>
      <c r="AK1651">
        <f ca="1"/>
      </c>
      <c r="AL1651">
        <f ca="1"/>
      </c>
      <c r="AM1651">
        <f ca="1"/>
      </c>
      <c r="AN1651">
        <f ca="1"/>
      </c>
      <c r="AO1651">
        <f ca="1"/>
      </c>
      <c r="AP1651">
        <f ca="1"/>
      </c>
      <c r="AQ1651">
        <f ca="1"/>
      </c>
      <c r="AR1651">
        <f ca="1"/>
      </c>
      <c r="AT1651" s="7">
        <f ca="1"/>
      </c>
      <c r="AU1651">
        <f ca="1"/>
      </c>
      <c r="AV1651">
        <f ca="1"/>
      </c>
      <c r="AW1651">
        <f ca="1"/>
      </c>
      <c r="AX1651">
        <f ca="1"/>
      </c>
      <c r="AY1651">
        <f ca="1"/>
      </c>
      <c r="BA1651" s="7"/>
    </row>
    <row r="1652" spans="31:53" x14ac:dyDescent="0.55000000000000004">
      <c r="AE1652" s="7">
        <f ca="1"/>
      </c>
      <c r="AF1652">
        <f ca="1"/>
      </c>
      <c r="AG1652">
        <f ca="1"/>
      </c>
      <c r="AH1652">
        <f ca="1"/>
      </c>
      <c r="AI1652">
        <f ca="1"/>
      </c>
      <c r="AJ1652">
        <f ca="1"/>
      </c>
      <c r="AK1652">
        <f ca="1"/>
      </c>
      <c r="AL1652">
        <f ca="1"/>
      </c>
      <c r="AM1652">
        <f ca="1"/>
      </c>
      <c r="AN1652">
        <f ca="1"/>
      </c>
      <c r="AO1652">
        <f ca="1"/>
      </c>
      <c r="AP1652">
        <f ca="1"/>
      </c>
      <c r="AQ1652">
        <f ca="1"/>
      </c>
      <c r="AR1652">
        <f ca="1"/>
      </c>
      <c r="AT1652" s="7">
        <f ca="1"/>
      </c>
      <c r="AU1652">
        <f ca="1"/>
      </c>
      <c r="AV1652">
        <f ca="1"/>
      </c>
      <c r="AW1652">
        <f ca="1"/>
      </c>
      <c r="AX1652">
        <f ca="1"/>
      </c>
      <c r="AY1652">
        <f ca="1"/>
      </c>
      <c r="BA1652" s="7"/>
    </row>
    <row r="1653" spans="31:53" x14ac:dyDescent="0.55000000000000004">
      <c r="AE1653" s="7">
        <f ca="1"/>
      </c>
      <c r="AF1653">
        <f ca="1"/>
      </c>
      <c r="AG1653">
        <f ca="1"/>
      </c>
      <c r="AH1653">
        <f ca="1"/>
      </c>
      <c r="AI1653">
        <f ca="1"/>
      </c>
      <c r="AJ1653">
        <f ca="1"/>
      </c>
      <c r="AK1653">
        <f ca="1"/>
      </c>
      <c r="AL1653">
        <f ca="1"/>
      </c>
      <c r="AM1653">
        <f ca="1"/>
      </c>
      <c r="AN1653">
        <f ca="1"/>
      </c>
      <c r="AO1653">
        <f ca="1"/>
      </c>
      <c r="AP1653">
        <f ca="1"/>
      </c>
      <c r="AQ1653">
        <f ca="1"/>
      </c>
      <c r="AR1653">
        <f ca="1"/>
      </c>
      <c r="AT1653" s="7">
        <f ca="1"/>
      </c>
      <c r="AU1653">
        <f ca="1"/>
      </c>
      <c r="AV1653">
        <f ca="1"/>
      </c>
      <c r="AW1653">
        <f ca="1"/>
      </c>
      <c r="AX1653">
        <f ca="1"/>
      </c>
      <c r="AY1653">
        <f ca="1"/>
      </c>
      <c r="BA1653" s="7"/>
    </row>
    <row r="1654" spans="31:53" x14ac:dyDescent="0.55000000000000004">
      <c r="AE1654" s="7">
        <f ca="1"/>
      </c>
      <c r="AF1654">
        <f ca="1"/>
      </c>
      <c r="AG1654">
        <f ca="1"/>
      </c>
      <c r="AH1654">
        <f ca="1"/>
      </c>
      <c r="AI1654">
        <f ca="1"/>
      </c>
      <c r="AJ1654">
        <f ca="1"/>
      </c>
      <c r="AK1654">
        <f ca="1"/>
      </c>
      <c r="AL1654">
        <f ca="1"/>
      </c>
      <c r="AM1654">
        <f ca="1"/>
      </c>
      <c r="AN1654">
        <f ca="1"/>
      </c>
      <c r="AO1654">
        <f ca="1"/>
      </c>
      <c r="AP1654">
        <f ca="1"/>
      </c>
      <c r="AQ1654">
        <f ca="1"/>
      </c>
      <c r="AR1654">
        <f ca="1"/>
      </c>
      <c r="AT1654" s="7">
        <f ca="1"/>
      </c>
      <c r="AU1654">
        <f ca="1"/>
      </c>
      <c r="AV1654">
        <f ca="1"/>
      </c>
      <c r="AW1654">
        <f ca="1"/>
      </c>
      <c r="AX1654">
        <f ca="1"/>
      </c>
      <c r="AY1654">
        <f ca="1"/>
      </c>
      <c r="BA1654" s="7"/>
    </row>
    <row r="1655" spans="31:53" x14ac:dyDescent="0.55000000000000004">
      <c r="AE1655" s="7">
        <f ca="1"/>
      </c>
      <c r="AF1655">
        <f ca="1"/>
      </c>
      <c r="AG1655">
        <f ca="1"/>
      </c>
      <c r="AH1655">
        <f ca="1"/>
      </c>
      <c r="AI1655">
        <f ca="1"/>
      </c>
      <c r="AJ1655">
        <f ca="1"/>
      </c>
      <c r="AK1655">
        <f ca="1"/>
      </c>
      <c r="AL1655">
        <f ca="1"/>
      </c>
      <c r="AM1655">
        <f ca="1"/>
      </c>
      <c r="AN1655">
        <f ca="1"/>
      </c>
      <c r="AO1655">
        <f ca="1"/>
      </c>
      <c r="AP1655">
        <f ca="1"/>
      </c>
      <c r="AQ1655">
        <f ca="1"/>
      </c>
      <c r="AR1655">
        <f ca="1"/>
      </c>
      <c r="AT1655" s="7">
        <f ca="1"/>
      </c>
      <c r="AU1655">
        <f ca="1"/>
      </c>
      <c r="AV1655">
        <f ca="1"/>
      </c>
      <c r="AW1655">
        <f ca="1"/>
      </c>
      <c r="AX1655">
        <f ca="1"/>
      </c>
      <c r="AY1655">
        <f ca="1"/>
      </c>
      <c r="BA1655" s="7"/>
    </row>
    <row r="1656" spans="31:53" x14ac:dyDescent="0.55000000000000004">
      <c r="AE1656" s="7">
        <f ca="1"/>
      </c>
      <c r="AF1656">
        <f ca="1"/>
      </c>
      <c r="AG1656">
        <f ca="1"/>
      </c>
      <c r="AH1656">
        <f ca="1"/>
      </c>
      <c r="AI1656">
        <f ca="1"/>
      </c>
      <c r="AJ1656">
        <f ca="1"/>
      </c>
      <c r="AK1656">
        <f ca="1"/>
      </c>
      <c r="AL1656">
        <f ca="1"/>
      </c>
      <c r="AM1656">
        <f ca="1"/>
      </c>
      <c r="AN1656">
        <f ca="1"/>
      </c>
      <c r="AO1656">
        <f ca="1"/>
      </c>
      <c r="AP1656">
        <f ca="1"/>
      </c>
      <c r="AQ1656">
        <f ca="1"/>
      </c>
      <c r="AR1656">
        <f ca="1"/>
      </c>
      <c r="AT1656" s="7">
        <f ca="1"/>
      </c>
      <c r="AU1656">
        <f ca="1"/>
      </c>
      <c r="AV1656">
        <f ca="1"/>
      </c>
      <c r="AW1656">
        <f ca="1"/>
      </c>
      <c r="AX1656">
        <f ca="1"/>
      </c>
      <c r="AY1656">
        <f ca="1"/>
      </c>
      <c r="BA1656" s="7"/>
    </row>
    <row r="1657" spans="31:53" x14ac:dyDescent="0.55000000000000004">
      <c r="AE1657" s="7">
        <f ca="1"/>
      </c>
      <c r="AF1657">
        <f ca="1"/>
      </c>
      <c r="AG1657">
        <f ca="1"/>
      </c>
      <c r="AH1657">
        <f ca="1"/>
      </c>
      <c r="AI1657">
        <f ca="1"/>
      </c>
      <c r="AJ1657">
        <f ca="1"/>
      </c>
      <c r="AK1657">
        <f ca="1"/>
      </c>
      <c r="AL1657">
        <f ca="1"/>
      </c>
      <c r="AM1657">
        <f ca="1"/>
      </c>
      <c r="AN1657">
        <f ca="1"/>
      </c>
      <c r="AO1657">
        <f ca="1"/>
      </c>
      <c r="AP1657">
        <f ca="1"/>
      </c>
      <c r="AQ1657">
        <f ca="1"/>
      </c>
      <c r="AR1657">
        <f ca="1"/>
      </c>
      <c r="AT1657" s="7">
        <f ca="1"/>
      </c>
      <c r="AU1657">
        <f ca="1"/>
      </c>
      <c r="AV1657">
        <f ca="1"/>
      </c>
      <c r="AW1657">
        <f ca="1"/>
      </c>
      <c r="AX1657">
        <f ca="1"/>
      </c>
      <c r="AY1657">
        <f ca="1"/>
      </c>
      <c r="BA1657" s="7"/>
    </row>
    <row r="1658" spans="31:53" x14ac:dyDescent="0.55000000000000004">
      <c r="AE1658" s="7">
        <f ca="1"/>
      </c>
      <c r="AF1658">
        <f ca="1"/>
      </c>
      <c r="AG1658">
        <f ca="1"/>
      </c>
      <c r="AH1658">
        <f ca="1"/>
      </c>
      <c r="AI1658">
        <f ca="1"/>
      </c>
      <c r="AJ1658">
        <f ca="1"/>
      </c>
      <c r="AK1658">
        <f ca="1"/>
      </c>
      <c r="AL1658">
        <f ca="1"/>
      </c>
      <c r="AM1658">
        <f ca="1"/>
      </c>
      <c r="AN1658">
        <f ca="1"/>
      </c>
      <c r="AO1658">
        <f ca="1"/>
      </c>
      <c r="AP1658">
        <f ca="1"/>
      </c>
      <c r="AQ1658">
        <f ca="1"/>
      </c>
      <c r="AR1658">
        <f ca="1"/>
      </c>
      <c r="AT1658" s="7">
        <f ca="1"/>
      </c>
      <c r="AU1658">
        <f ca="1"/>
      </c>
      <c r="AV1658">
        <f ca="1"/>
      </c>
      <c r="AW1658">
        <f ca="1"/>
      </c>
      <c r="AX1658">
        <f ca="1"/>
      </c>
      <c r="AY1658">
        <f ca="1"/>
      </c>
      <c r="BA1658" s="7"/>
    </row>
    <row r="1659" spans="31:53" x14ac:dyDescent="0.55000000000000004">
      <c r="AE1659" s="7">
        <f ca="1"/>
      </c>
      <c r="AF1659">
        <f ca="1"/>
      </c>
      <c r="AG1659">
        <f ca="1"/>
      </c>
      <c r="AH1659">
        <f ca="1"/>
      </c>
      <c r="AI1659">
        <f ca="1"/>
      </c>
      <c r="AJ1659">
        <f ca="1"/>
      </c>
      <c r="AK1659">
        <f ca="1"/>
      </c>
      <c r="AL1659">
        <f ca="1"/>
      </c>
      <c r="AM1659">
        <f ca="1"/>
      </c>
      <c r="AN1659">
        <f ca="1"/>
      </c>
      <c r="AO1659">
        <f ca="1"/>
      </c>
      <c r="AP1659">
        <f ca="1"/>
      </c>
      <c r="AQ1659">
        <f ca="1"/>
      </c>
      <c r="AR1659">
        <f ca="1"/>
      </c>
      <c r="AT1659" s="7">
        <f ca="1"/>
      </c>
      <c r="AU1659">
        <f ca="1"/>
      </c>
      <c r="AV1659">
        <f ca="1"/>
      </c>
      <c r="AW1659">
        <f ca="1"/>
      </c>
      <c r="AX1659">
        <f ca="1"/>
      </c>
      <c r="AY1659">
        <f ca="1"/>
      </c>
      <c r="BA1659" s="7"/>
    </row>
    <row r="1660" spans="31:53" x14ac:dyDescent="0.55000000000000004">
      <c r="AE1660" s="7">
        <f ca="1"/>
      </c>
      <c r="AF1660">
        <f ca="1"/>
      </c>
      <c r="AG1660">
        <f ca="1"/>
      </c>
      <c r="AH1660">
        <f ca="1"/>
      </c>
      <c r="AI1660">
        <f ca="1"/>
      </c>
      <c r="AJ1660">
        <f ca="1"/>
      </c>
      <c r="AK1660">
        <f ca="1"/>
      </c>
      <c r="AL1660">
        <f ca="1"/>
      </c>
      <c r="AM1660">
        <f ca="1"/>
      </c>
      <c r="AN1660">
        <f ca="1"/>
      </c>
      <c r="AO1660">
        <f ca="1"/>
      </c>
      <c r="AP1660">
        <f ca="1"/>
      </c>
      <c r="AQ1660">
        <f ca="1"/>
      </c>
      <c r="AR1660">
        <f ca="1"/>
      </c>
      <c r="AT1660" s="7">
        <f ca="1"/>
      </c>
      <c r="AU1660">
        <f ca="1"/>
      </c>
      <c r="AV1660">
        <f ca="1"/>
      </c>
      <c r="AW1660">
        <f ca="1"/>
      </c>
      <c r="AX1660">
        <f ca="1"/>
      </c>
      <c r="AY1660">
        <f ca="1"/>
      </c>
      <c r="BA1660" s="7"/>
    </row>
    <row r="1661" spans="31:53" x14ac:dyDescent="0.55000000000000004">
      <c r="AE1661" s="7">
        <f ca="1"/>
      </c>
      <c r="AF1661">
        <f ca="1"/>
      </c>
      <c r="AG1661">
        <f ca="1"/>
      </c>
      <c r="AH1661">
        <f ca="1"/>
      </c>
      <c r="AI1661">
        <f ca="1"/>
      </c>
      <c r="AJ1661">
        <f ca="1"/>
      </c>
      <c r="AK1661">
        <f ca="1"/>
      </c>
      <c r="AL1661">
        <f ca="1"/>
      </c>
      <c r="AM1661">
        <f ca="1"/>
      </c>
      <c r="AN1661">
        <f ca="1"/>
      </c>
      <c r="AO1661">
        <f ca="1"/>
      </c>
      <c r="AP1661">
        <f ca="1"/>
      </c>
      <c r="AQ1661">
        <f ca="1"/>
      </c>
      <c r="AR1661">
        <f ca="1"/>
      </c>
      <c r="AT1661" s="7">
        <f ca="1"/>
      </c>
      <c r="AU1661">
        <f ca="1"/>
      </c>
      <c r="AV1661">
        <f ca="1"/>
      </c>
      <c r="AW1661">
        <f ca="1"/>
      </c>
      <c r="AX1661">
        <f ca="1"/>
      </c>
      <c r="AY1661">
        <f ca="1"/>
      </c>
      <c r="BA1661" s="7"/>
    </row>
    <row r="1662" spans="31:53" x14ac:dyDescent="0.55000000000000004">
      <c r="AE1662" s="7">
        <f ca="1"/>
      </c>
      <c r="AF1662">
        <f ca="1"/>
      </c>
      <c r="AG1662">
        <f ca="1"/>
      </c>
      <c r="AH1662">
        <f ca="1"/>
      </c>
      <c r="AI1662">
        <f ca="1"/>
      </c>
      <c r="AJ1662">
        <f ca="1"/>
      </c>
      <c r="AK1662">
        <f ca="1"/>
      </c>
      <c r="AL1662">
        <f ca="1"/>
      </c>
      <c r="AM1662">
        <f ca="1"/>
      </c>
      <c r="AN1662">
        <f ca="1"/>
      </c>
      <c r="AO1662">
        <f ca="1"/>
      </c>
      <c r="AP1662">
        <f ca="1"/>
      </c>
      <c r="AQ1662">
        <f ca="1"/>
      </c>
      <c r="AR1662">
        <f ca="1"/>
      </c>
      <c r="AT1662" s="7">
        <f ca="1"/>
      </c>
      <c r="AU1662">
        <f ca="1"/>
      </c>
      <c r="AV1662">
        <f ca="1"/>
      </c>
      <c r="AW1662">
        <f ca="1"/>
      </c>
      <c r="AX1662">
        <f ca="1"/>
      </c>
      <c r="AY1662">
        <f ca="1"/>
      </c>
      <c r="BA1662" s="7"/>
    </row>
    <row r="1663" spans="31:53" x14ac:dyDescent="0.55000000000000004">
      <c r="AE1663" s="7">
        <f ca="1"/>
      </c>
      <c r="AF1663">
        <f ca="1"/>
      </c>
      <c r="AG1663">
        <f ca="1"/>
      </c>
      <c r="AH1663">
        <f ca="1"/>
      </c>
      <c r="AI1663">
        <f ca="1"/>
      </c>
      <c r="AJ1663">
        <f ca="1"/>
      </c>
      <c r="AK1663">
        <f ca="1"/>
      </c>
      <c r="AL1663">
        <f ca="1"/>
      </c>
      <c r="AM1663">
        <f ca="1"/>
      </c>
      <c r="AN1663">
        <f ca="1"/>
      </c>
      <c r="AO1663">
        <f ca="1"/>
      </c>
      <c r="AP1663">
        <f ca="1"/>
      </c>
      <c r="AQ1663">
        <f ca="1"/>
      </c>
      <c r="AR1663">
        <f ca="1"/>
      </c>
      <c r="AT1663" s="7">
        <f ca="1"/>
      </c>
      <c r="AU1663">
        <f ca="1"/>
      </c>
      <c r="AV1663">
        <f ca="1"/>
      </c>
      <c r="AW1663">
        <f ca="1"/>
      </c>
      <c r="AX1663">
        <f ca="1"/>
      </c>
      <c r="AY1663">
        <f ca="1"/>
      </c>
      <c r="BA1663" s="7"/>
    </row>
    <row r="1664" spans="31:53" x14ac:dyDescent="0.55000000000000004">
      <c r="AE1664" s="7">
        <f ca="1"/>
      </c>
      <c r="AF1664">
        <f ca="1"/>
      </c>
      <c r="AG1664">
        <f ca="1"/>
      </c>
      <c r="AH1664">
        <f ca="1"/>
      </c>
      <c r="AI1664">
        <f ca="1"/>
      </c>
      <c r="AJ1664">
        <f ca="1"/>
      </c>
      <c r="AK1664">
        <f ca="1"/>
      </c>
      <c r="AL1664">
        <f ca="1"/>
      </c>
      <c r="AM1664">
        <f ca="1"/>
      </c>
      <c r="AN1664">
        <f ca="1"/>
      </c>
      <c r="AO1664">
        <f ca="1"/>
      </c>
      <c r="AP1664">
        <f ca="1"/>
      </c>
      <c r="AQ1664">
        <f ca="1"/>
      </c>
      <c r="AR1664">
        <f ca="1"/>
      </c>
      <c r="AT1664" s="7">
        <f ca="1"/>
      </c>
      <c r="AU1664">
        <f ca="1"/>
      </c>
      <c r="AV1664">
        <f ca="1"/>
      </c>
      <c r="AW1664">
        <f ca="1"/>
      </c>
      <c r="AX1664">
        <f ca="1"/>
      </c>
      <c r="AY1664">
        <f ca="1"/>
      </c>
      <c r="BA1664" s="7"/>
    </row>
    <row r="1665" spans="31:53" x14ac:dyDescent="0.55000000000000004">
      <c r="AE1665" s="7">
        <f ca="1"/>
      </c>
      <c r="AF1665">
        <f ca="1"/>
      </c>
      <c r="AG1665">
        <f ca="1"/>
      </c>
      <c r="AH1665">
        <f ca="1"/>
      </c>
      <c r="AI1665">
        <f ca="1"/>
      </c>
      <c r="AJ1665">
        <f ca="1"/>
      </c>
      <c r="AK1665">
        <f ca="1"/>
      </c>
      <c r="AL1665">
        <f ca="1"/>
      </c>
      <c r="AM1665">
        <f ca="1"/>
      </c>
      <c r="AN1665">
        <f ca="1"/>
      </c>
      <c r="AO1665">
        <f ca="1"/>
      </c>
      <c r="AP1665">
        <f ca="1"/>
      </c>
      <c r="AQ1665">
        <f ca="1"/>
      </c>
      <c r="AR1665">
        <f ca="1"/>
      </c>
      <c r="AT1665" s="7">
        <f ca="1"/>
      </c>
      <c r="AU1665">
        <f ca="1"/>
      </c>
      <c r="AV1665">
        <f ca="1"/>
      </c>
      <c r="AW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0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46</vt:i4>
      </vt:variant>
    </vt:vector>
  </HeadingPairs>
  <TitlesOfParts>
    <vt:vector size="53" baseType="lpstr">
      <vt:lpstr>PCA</vt:lpstr>
      <vt:lpstr>PCAGrid</vt:lpstr>
      <vt:lpstr>VolPCA</vt:lpstr>
      <vt:lpstr>VolHV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PCG_GuideIn</vt:lpstr>
      <vt:lpstr>PCG_ReconDate</vt:lpstr>
      <vt:lpstr>PCG_SigmaDays</vt:lpstr>
      <vt:lpstr>VHV_Days</vt:lpstr>
      <vt:lpstr>VHV_From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2026-10-26T14:09:25Z</dcterms:modified>
</cp:coreProperties>
</file>