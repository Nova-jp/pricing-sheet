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drawings/drawing5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ED198C8C-AEFA-478F-B74C-E10E303F0CB8}" xr6:coauthVersionLast="47" xr6:coauthVersionMax="47" xr10:uidLastSave="{00000000-0000-0000-0000-000000000000}"/>
  <bookViews>
    <workbookView xWindow="-110" yWindow="-110" windowWidth="19420" windowHeight="11500" activeTab="2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  <sheet name="FwdMonitor" sheetId="15" r:id="rId6"/>
    <sheet name="FutBasis" sheetId="16" r:id="rId7"/>
  </sheets>
  <functionGroups builtInGroupCount="19">
    <functionGroup name="xlwings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_xlfn.ANCHORARRAY(FwdMonitor!$GN$4)</definedName>
    <definedName name="FWM_Ch2">_xlfn.ANCHORARRAY(FwdMonitor!$GO$4)</definedName>
    <definedName name="FWM_Ch3">_xlfn.ANCHORARRAY(FwdMonitor!$GP$4)</definedName>
    <definedName name="FWM_Ch4">_xlfn.ANCHORARRAY(FwdMonitor!$GQ$4)</definedName>
    <definedName name="FWM_ChDate">_xlfn.ANCHORARRAY(FwdMonitor!$GM$4)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_xlfn.ANCHORARRAY(FwdMonitor!$AO$3)</definedName>
    <definedName name="FWM_HF">_xlfn.ANCHORARRAY(FwdMonitor!$CK$3)</definedName>
    <definedName name="FWM_HR">_xlfn.ANCHORARRAY(FwdMonitor!$EG$3)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" i="16" l="1" a="1"/>
  <c r="Q14" i="16" a="1"/>
  <c r="BG3" i="16" a="1"/>
  <c r="AE3" i="16" a="1"/>
  <c r="GQ4" i="15" a="1"/>
  <c r="GQ3" i="15" a="1"/>
  <c r="GP4" i="15" a="1"/>
  <c r="GP3" i="15" a="1"/>
  <c r="GO4" i="15" a="1"/>
  <c r="GO3" i="15" a="1"/>
  <c r="GN4" i="15" a="1"/>
  <c r="GN3" i="15" a="1"/>
  <c r="GS4" i="15" a="1"/>
  <c r="K29" i="15"/>
  <c r="K12" i="15"/>
  <c r="GE3" i="15"/>
  <c r="GJ3" i="15" s="1"/>
  <c r="GH10" i="15"/>
  <c r="GH9" i="15"/>
  <c r="GH8" i="15"/>
  <c r="GH7" i="15"/>
  <c r="GH6" i="15"/>
  <c r="GH5" i="15"/>
  <c r="GH4" i="15"/>
  <c r="GC19" i="15"/>
  <c r="GC18" i="15"/>
  <c r="GC17" i="15"/>
  <c r="GC16" i="15"/>
  <c r="GC15" i="15"/>
  <c r="GC14" i="15"/>
  <c r="GC13" i="15"/>
  <c r="GC12" i="15"/>
  <c r="GC11" i="15"/>
  <c r="GC10" i="15"/>
  <c r="GC9" i="15"/>
  <c r="GC8" i="15"/>
  <c r="GC7" i="15"/>
  <c r="GC6" i="15"/>
  <c r="GC5" i="15"/>
  <c r="GC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EG3" i="15" a="1"/>
  <c r="CK3" i="15" a="1"/>
  <c r="AO3" i="15" a="1"/>
  <c r="AA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F4" i="9" l="1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H33" i="15" a="1"/>
  <c r="M43" i="15" a="1"/>
  <c r="M41" i="15" a="1"/>
  <c r="M39" i="15" a="1"/>
  <c r="H35" i="15" a="1"/>
  <c r="H34" i="15" a="1"/>
  <c r="C34" i="15" a="1"/>
  <c r="C33" i="15" a="1"/>
  <c r="H32" i="15" a="1"/>
  <c r="C32" i="15" a="1"/>
  <c r="H31" i="15" a="1"/>
  <c r="C31" i="15" a="1"/>
  <c r="H30" i="15" a="1"/>
  <c r="C30" i="15" a="1"/>
  <c r="H29" i="15" a="1"/>
  <c r="C29" i="15" a="1"/>
  <c r="H27" i="15" a="1"/>
  <c r="C27" i="15" a="1"/>
  <c r="H26" i="15" a="1"/>
  <c r="C26" i="15" a="1"/>
  <c r="H25" i="15" a="1"/>
  <c r="C25" i="15" a="1"/>
  <c r="H24" i="15" a="1"/>
  <c r="C24" i="15" a="1"/>
  <c r="H23" i="15" a="1"/>
  <c r="C23" i="15" a="1"/>
  <c r="H22" i="15" a="1"/>
  <c r="C22" i="15" a="1"/>
  <c r="H21" i="15" a="1"/>
  <c r="C21" i="15" a="1"/>
  <c r="H20" i="15" a="1"/>
  <c r="C20" i="15" a="1"/>
  <c r="H19" i="15" a="1"/>
  <c r="C19" i="15" a="1"/>
  <c r="H18" i="15" a="1"/>
  <c r="C18" i="15" a="1"/>
  <c r="H17" i="15" a="1"/>
  <c r="C17" i="15" a="1"/>
  <c r="C13" i="15" a="1"/>
  <c r="GM4" i="15" a="1"/>
  <c r="H16" i="15" a="1"/>
  <c r="C16" i="15" a="1"/>
  <c r="H15" i="15" a="1"/>
  <c r="C15" i="15" a="1"/>
  <c r="H14" i="15" a="1"/>
  <c r="C14" i="15" a="1"/>
  <c r="H13" i="15" a="1"/>
  <c r="H12" i="15" a="1"/>
  <c r="C12" i="15" a="1"/>
  <c r="AF3" i="15" a="1"/>
  <c r="GT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AY4" i="16" l="1" a="1"/>
  <c r="BD4" i="16" a="1"/>
  <c r="BC4" i="16" a="1"/>
  <c r="B18" i="15" a="1"/>
  <c r="D18" i="15" s="1"/>
  <c r="I18" i="15" s="1"/>
  <c r="B34" i="15" a="1"/>
  <c r="B14" i="15" a="1"/>
  <c r="D14" i="15" s="1"/>
  <c r="I14" i="15" s="1"/>
  <c r="B17" i="15" a="1"/>
  <c r="D17" i="15" s="1"/>
  <c r="I17" i="15" s="1"/>
  <c r="B19" i="15" a="1"/>
  <c r="B21" i="15" a="1"/>
  <c r="D21" i="15" s="1"/>
  <c r="I21" i="15" s="1"/>
  <c r="B22" i="15" a="1"/>
  <c r="D22" i="15" s="1"/>
  <c r="I22" i="15" s="1"/>
  <c r="B23" i="15" a="1"/>
  <c r="D23" i="15" s="1"/>
  <c r="I23" i="15" s="1"/>
  <c r="B24" i="15" a="1"/>
  <c r="D24" i="15" s="1"/>
  <c r="I24" i="15" s="1"/>
  <c r="B25" i="15" a="1"/>
  <c r="B26" i="15" a="1"/>
  <c r="B27" i="15" a="1"/>
  <c r="B29" i="15" a="1"/>
  <c r="B31" i="15" a="1"/>
  <c r="B32" i="15" a="1"/>
  <c r="D32" i="15" s="1"/>
  <c r="I32" i="15" s="1"/>
  <c r="B33" i="15" a="1"/>
  <c r="K34" i="15" s="1"/>
  <c r="B35" i="15" a="1"/>
  <c r="B13" i="15" a="1"/>
  <c r="B12" i="15" a="1"/>
  <c r="B15" i="15" a="1"/>
  <c r="B16" i="15" a="1"/>
  <c r="D16" i="15" s="1"/>
  <c r="I16" i="15" s="1"/>
  <c r="B20" i="15" a="1"/>
  <c r="D20" i="15" s="1"/>
  <c r="I20" i="15" s="1"/>
  <c r="B30" i="15" a="1"/>
  <c r="D34" i="15"/>
  <c r="I34" i="15" s="1"/>
  <c r="D33" i="15"/>
  <c r="I33" i="15" s="1"/>
  <c r="D31" i="15"/>
  <c r="I31" i="15" s="1"/>
  <c r="D29" i="15"/>
  <c r="I29" i="15" s="1"/>
  <c r="D27" i="15"/>
  <c r="I27" i="15" s="1"/>
  <c r="D26" i="15"/>
  <c r="I26" i="15" s="1"/>
  <c r="D25" i="15"/>
  <c r="I25" i="15" s="1"/>
  <c r="E34" i="15" a="1"/>
  <c r="J34" i="15" s="1"/>
  <c r="F33" i="15" a="1"/>
  <c r="F32" i="15" a="1"/>
  <c r="F31" i="15" a="1"/>
  <c r="F35" i="15" a="1"/>
  <c r="E35" i="15" a="1"/>
  <c r="J35" i="15" s="1"/>
  <c r="G34" i="15" a="1"/>
  <c r="G33" i="15" a="1"/>
  <c r="E31" i="15" a="1"/>
  <c r="J31" i="15" s="1"/>
  <c r="G30" i="15" a="1"/>
  <c r="F30" i="15" a="1"/>
  <c r="E30" i="15" a="1"/>
  <c r="J30" i="15" s="1"/>
  <c r="G29" i="15" a="1"/>
  <c r="F29" i="15" a="1"/>
  <c r="E29" i="15" a="1"/>
  <c r="J29" i="15" s="1"/>
  <c r="G27" i="15" a="1"/>
  <c r="F27" i="15" a="1"/>
  <c r="E27" i="15" a="1"/>
  <c r="J27" i="15" s="1"/>
  <c r="G26" i="15" a="1"/>
  <c r="F26" i="15" a="1"/>
  <c r="E26" i="15" a="1"/>
  <c r="J26" i="15" s="1"/>
  <c r="G25" i="15" a="1"/>
  <c r="F25" i="15" a="1"/>
  <c r="E25" i="15" a="1"/>
  <c r="J25" i="15" s="1"/>
  <c r="G24" i="15" a="1"/>
  <c r="F24" i="15" a="1"/>
  <c r="E24" i="15" a="1"/>
  <c r="J24" i="15" s="1"/>
  <c r="G23" i="15" a="1"/>
  <c r="F23" i="15" a="1"/>
  <c r="E23" i="15" a="1"/>
  <c r="J23" i="15" s="1"/>
  <c r="G22" i="15" a="1"/>
  <c r="F22" i="15" a="1"/>
  <c r="E22" i="15" a="1"/>
  <c r="J22" i="15" s="1"/>
  <c r="G21" i="15" a="1"/>
  <c r="F21" i="15" a="1"/>
  <c r="E21" i="15" a="1"/>
  <c r="J21" i="15" s="1"/>
  <c r="G20" i="15" a="1"/>
  <c r="F20" i="15" a="1"/>
  <c r="E20" i="15" a="1"/>
  <c r="J20" i="15" s="1"/>
  <c r="G19" i="15" a="1"/>
  <c r="F19" i="15" a="1"/>
  <c r="E19" i="15" a="1"/>
  <c r="J19" i="15" s="1"/>
  <c r="F17" i="15" a="1"/>
  <c r="E17" i="15" a="1"/>
  <c r="J17" i="15" s="1"/>
  <c r="F16" i="15" a="1"/>
  <c r="E16" i="15" a="1"/>
  <c r="J16" i="15" s="1"/>
  <c r="G14" i="15" a="1"/>
  <c r="F14" i="15" a="1"/>
  <c r="E14" i="15" a="1"/>
  <c r="J14" i="15" s="1"/>
  <c r="E13" i="15" a="1"/>
  <c r="J13" i="15" s="1"/>
  <c r="F34" i="15" a="1"/>
  <c r="E33" i="15" a="1"/>
  <c r="J33" i="15" s="1"/>
  <c r="G32" i="15" a="1"/>
  <c r="E32" i="15" a="1"/>
  <c r="J32" i="15" s="1"/>
  <c r="G31" i="15" a="1"/>
  <c r="GI10" i="15"/>
  <c r="GI9" i="15"/>
  <c r="GI8" i="15"/>
  <c r="GI7" i="15"/>
  <c r="GI6" i="15"/>
  <c r="GI5" i="15"/>
  <c r="GI4" i="15"/>
  <c r="GD19" i="15"/>
  <c r="GD18" i="15"/>
  <c r="GD17" i="15"/>
  <c r="GD16" i="15"/>
  <c r="GD15" i="15"/>
  <c r="GD14" i="15"/>
  <c r="GD13" i="15"/>
  <c r="J41" i="15" a="1"/>
  <c r="J39" i="15" a="1"/>
  <c r="GD9" i="15"/>
  <c r="GD8" i="15"/>
  <c r="GD7" i="15"/>
  <c r="GD6" i="15"/>
  <c r="GD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BM5" i="9" l="1" a="1"/>
  <c r="AN12" i="9" a="1"/>
  <c r="G60" i="9" a="1"/>
  <c r="V60" i="9" a="1"/>
  <c r="AK60" i="9" a="1"/>
  <c r="BE4" i="16" a="1"/>
  <c r="K16" i="15"/>
  <c r="GD11" i="15"/>
  <c r="D19" i="15"/>
  <c r="I19" i="15" s="1"/>
  <c r="G35" i="15" a="1"/>
  <c r="D35" i="15"/>
  <c r="I35" i="15" s="1"/>
  <c r="D13" i="15"/>
  <c r="I13" i="15" s="1"/>
  <c r="G13" i="15" a="1"/>
  <c r="K13" i="15"/>
  <c r="GD4" i="15"/>
  <c r="D12" i="15"/>
  <c r="I12" i="15" s="1"/>
  <c r="G12" i="15" a="1"/>
  <c r="E12" i="15" a="1"/>
  <c r="J12" i="15" s="1"/>
  <c r="F12" i="15" a="1"/>
  <c r="D15" i="15"/>
  <c r="I15" i="15" s="1"/>
  <c r="G15" i="15" a="1"/>
  <c r="F15" i="15" a="1"/>
  <c r="E15" i="15" a="1"/>
  <c r="J15" i="15" s="1"/>
  <c r="K30" i="15"/>
  <c r="K35" i="15"/>
  <c r="K22" i="15"/>
  <c r="K24" i="15"/>
  <c r="K26" i="15"/>
  <c r="K32" i="15"/>
  <c r="K15" i="15"/>
  <c r="K20" i="15"/>
  <c r="K23" i="15"/>
  <c r="K25" i="15"/>
  <c r="K27" i="15"/>
  <c r="K33" i="15"/>
  <c r="K19" i="15"/>
  <c r="G18" i="15" a="1"/>
  <c r="F18" i="15" a="1"/>
  <c r="E18" i="15" a="1"/>
  <c r="J18" i="15" s="1"/>
  <c r="GD10" i="15"/>
  <c r="K18" i="15"/>
  <c r="G17" i="15" a="1"/>
  <c r="K14" i="15"/>
  <c r="F13" i="15" a="1"/>
  <c r="K17" i="15"/>
  <c r="G16" i="15" a="1"/>
  <c r="K21" i="15"/>
  <c r="GD12" i="15"/>
  <c r="K31" i="15"/>
  <c r="D30" i="15"/>
  <c r="I30" i="15" s="1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GJ9" i="15"/>
  <c r="GK9" i="15"/>
  <c r="GJ8" i="15"/>
  <c r="GK8" i="15"/>
  <c r="GJ5" i="15"/>
  <c r="GK5" i="15"/>
  <c r="GJ4" i="15"/>
  <c r="GK4" i="15"/>
  <c r="GE19" i="15"/>
  <c r="GF19" i="15"/>
  <c r="GF18" i="15"/>
  <c r="GE18" i="15"/>
  <c r="GF17" i="15"/>
  <c r="GE17" i="15"/>
  <c r="GF16" i="15"/>
  <c r="GE16" i="15"/>
  <c r="GE15" i="15"/>
  <c r="GF15" i="15"/>
  <c r="GF14" i="15"/>
  <c r="GE14" i="15"/>
  <c r="GE13" i="15"/>
  <c r="GF13" i="15"/>
  <c r="GE12" i="15"/>
  <c r="GF12" i="15"/>
  <c r="GE11" i="15"/>
  <c r="GF11" i="15"/>
  <c r="GJ10" i="15"/>
  <c r="GK10" i="15"/>
  <c r="GE6" i="15"/>
  <c r="GF6" i="15"/>
  <c r="GK7" i="15"/>
  <c r="GJ7" i="15"/>
  <c r="GJ6" i="15"/>
  <c r="GK6" i="15"/>
  <c r="O43" i="15" a="1"/>
  <c r="K43" i="15" a="1"/>
  <c r="N43" i="15" s="1"/>
  <c r="L43" i="15" a="1"/>
  <c r="GF4" i="15"/>
  <c r="GE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E5" i="15" l="1"/>
  <c r="GF5" i="15"/>
  <c r="GE7" i="15"/>
  <c r="GF7" i="15"/>
  <c r="GF10" i="15"/>
  <c r="GE10" i="15"/>
  <c r="GE9" i="15"/>
  <c r="GF9" i="15"/>
  <c r="GE8" i="15"/>
  <c r="GF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G12" i="9" l="1" a="1"/>
  <c r="J14" i="10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<sst xmlns="http://schemas.openxmlformats.org/spreadsheetml/2006/main" count="983" uniqueCount="387">
  <si>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</si>
  <si>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</si>
  <si>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</si>
  <si>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</si>
  <si>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</si>
  <si>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</si>
  <si>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</si>
  <si>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</si>
  <si>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</si>
  <si>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</si>
  <si>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</si>
  <si>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</si>
  <si>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</si>
  <si>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</si>
  <si>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</si>
  <si>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</si>
  <si>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</si>
  <si>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</si>
  <si>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</si>
  <si>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</si>
  <si>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</si>
  <si>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</si>
  <si>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</si>
  <si>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</si>
  <si>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</si>
  <si>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</si>
  <si>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</si>
  <si>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</si>
  <si>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</si>
  <si>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</si>
  <si>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</si>
  <si>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</si>
  <si>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</si>
  <si>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</si>
  <si>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</si>
  <si>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</si>
  <si>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</si>
  <si>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</si>
  <si>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</si>
  <si>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</si>
  <si>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</si>
  <si>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</si>
  <si>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</si>
  <si>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</si>
  <si>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</si>
  <si>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</si>
  <si>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</si>
  <si>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</si>
  <si>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</si>
  <si>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</si>
  <si>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</si>
  <si>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</si>
  <si>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</si>
  <si>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</si>
  <si>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</si>
  <si>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</si>
  <si>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</si>
  <si>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</si>
  <si>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</si>
  <si>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</si>
  <si>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</si>
  <si>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</si>
  <si>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</si>
  <si>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</si>
  <si>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</si>
  <si>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</si>
  <si>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</si>
  <si>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</si>
  <si>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</si>
  <si>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</si>
  <si>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</si>
  <si>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</si>
  <si>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</si>
  <si>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</si>
  <si>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</si>
  <si>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</si>
  <si>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</si>
  <si>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</si>
  <si>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</si>
  <si>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</si>
  <si>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</si>
  <si>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</si>
  <si>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</si>
  <si>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</si>
  <si>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</si>
  <si>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</si>
  <si>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</si>
  <si>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</si>
  <si>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</si>
  <si>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</si>
  <si>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</si>
  <si>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</si>
  <si>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</si>
  <si>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</si>
  <si>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</si>
  <si>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</si>
  <si>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</si>
  <si>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</si>
  <si>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</si>
  <si>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</si>
  <si>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</si>
  <si>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</si>
  <si>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</si>
  <si>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</si>
  <si>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</si>
  <si>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</si>
  <si>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</si>
  <si>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</si>
  <si>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</si>
  <si>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</si>
  <si>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</si>
  <si>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</si>
  <si>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</si>
  <si>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</si>
  <si>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</si>
  <si>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</si>
  <si>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</si>
  <si>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</si>
  <si>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</si>
  <si>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</si>
  <si>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</si>
  <si>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</si>
  <si>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</si>
  <si>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</si>
  <si>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</si>
  <si>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</si>
  <si>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</si>
  <si>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</si>
  <si>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</si>
  <si>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</si>
  <si>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</si>
  <si>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</si>
  <si>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</si>
  <si>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</si>
  <si>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</si>
  <si>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</si>
  <si>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</si>
  <si>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</si>
  <si>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</si>
  <si>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</si>
  <si>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</si>
  <si>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</si>
  <si>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</si>
  <si>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</si>
  <si>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</si>
  <si>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</si>
  <si>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</si>
  <si>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</si>
  <si>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</si>
  <si>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</si>
  <si>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</si>
  <si>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</si>
  <si>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</si>
  <si>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</si>
  <si>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</si>
  <si>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</si>
  <si>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</si>
  <si>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</si>
  <si>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</si>
  <si>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</si>
  <si>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</si>
  <si>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</si>
  <si>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</si>
  <si>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</si>
  <si>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</si>
  <si>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</si>
  <si>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</si>
  <si>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</si>
  <si>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</si>
  <si>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</si>
  <si>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</si>
  <si>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</si>
  <si>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</si>
  <si>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</si>
  <si>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</si>
  <si>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</si>
  <si>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</si>
  <si>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</si>
  <si>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</si>
  <si>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</si>
  <si>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</si>
  <si>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</si>
  <si>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</si>
  <si>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</si>
  <si>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</si>
  <si>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</si>
  <si>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</si>
  <si>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</si>
  <si>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</si>
  <si>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</si>
  <si>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</si>
  <si>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</si>
  <si>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</si>
  <si>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</si>
  <si>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</si>
  <si>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</si>
  <si>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</si>
  <si>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</si>
  <si>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</si>
  <si>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</si>
  <si>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</si>
  <si>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</si>
  <si>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</si>
  <si>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</si>
  <si>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</si>
  <si>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</si>
  <si>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</si>
  <si>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</si>
  <si>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</si>
  <si>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</si>
  <si>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</si>
  <si>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</si>
  <si>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</si>
  <si>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</si>
  <si>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</si>
  <si>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</si>
  <si>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</si>
  <si>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</si>
  <si>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</si>
  <si>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</si>
  <si>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</si>
  <si>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</si>
  <si>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</si>
  <si>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</si>
  <si>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</si>
  <si>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</si>
  <si>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</si>
  <si>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</si>
  <si>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</si>
  <si>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</si>
  <si>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</si>
  <si>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</si>
  <si>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</si>
  <si>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</si>
  <si>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</si>
  <si>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</si>
  <si>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</si>
  <si>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</si>
  <si>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</si>
  <si>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</si>
  <si>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</si>
  <si>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</si>
  <si>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</si>
  <si>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</si>
  <si>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</si>
  <si>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</si>
  <si>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</si>
  <si>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</si>
  <si>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</si>
  <si>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</si>
  <si>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</si>
  <si>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</si>
  <si>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</si>
  <si>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</si>
  <si>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</si>
  <si>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Live: reads the latest rates on every Shift+F9. Fixed: keeps the rates last read on this sheet. History is from the DB (morning batch); only 'Live (%)' uses the live curve.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</si>
  <si>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</si>
  <si>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</si>
  <si>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</si>
  <si>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</si>
  <si>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</si>
  <si>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</si>
  <si>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</si>
  <si>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Business days for the daily-change sigma of the Z-scores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</si>
  <si>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</si>
  <si>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</si>
  <si>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</si>
  <si>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</si>
  <si>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</si>
  <si>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</si>
  <si>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</si>
  <si>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</si>
  <si>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</si>
  <si>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</si>
  <si>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</si>
  <si>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</si>
  <si>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1W (bp)</t>
  </si>
  <si>
    <t>Chg 1M (bp)</t>
  </si>
  <si>
    <t>vs compare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</si>
  <si>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</si>
  <si>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</si>
  <si>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</si>
  <si>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</si>
  <si>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</si>
  <si>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</si>
  <si>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</si>
  <si>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</si>
  <si>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</si>
  <si>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</si>
  <si>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</si>
  <si>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</si>
  <si>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</si>
  <si>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</si>
  <si>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</si>
  <si>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</si>
  <si>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</si>
  <si>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</si>
  <si>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</si>
  <si>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</si>
  <si>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</si>
  <si>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</si>
  <si>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</si>
  <si>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</si>
  <si>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</si>
  <si>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</si>
  <si>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Chg = live - DB close (same tenor definition, includes roll-down). Z = Chg / (sigma x sqrt(days)); sigma = RMS of same-trade daily changes over the window.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</si>
  <si>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</si>
  <si>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</si>
  <si>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</si>
  <si>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</si>
  <si>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</si>
  <si>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</si>
  <si>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</si>
  <si>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</si>
  <si>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</si>
  <si>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</si>
  <si>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</si>
  <si>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</si>
  <si>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</si>
  <si>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</si>
  <si>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</si>
  <si>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</si>
  <si>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</si>
  <si>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</si>
  <si>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Curve vs prev (bp)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</si>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</sst>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1"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FwdMonitor!$GC$4:$GC$19</c:f>
            </c:numRef>
          </c:xVal>
          <c:yVal>
            <c:numRef>
              <c:f>FwdMonitor!$GD$4:$GD$19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FwdMonitor!$GE$3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FwdMonitor!$GC$4:$GC$19</c:f>
            </c:numRef>
          </c:xVal>
          <c:yVal>
            <c:numRef>
              <c:f>FwdMonitor!$GE$4:$GE$19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FwdMonitor!$GF$4:$GF$19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FwdMonitor!$GH$4:$GH$10</c:f>
            </c:numRef>
          </c:xVal>
          <c:yVal>
            <c:numRef>
              <c:f>FwdMonitor!$GI$4:$GI$10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FwdMonitor!$GJ$3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FwdMonitor!$GH$4:$GH$10</c:f>
            </c:numRef>
          </c:xVal>
          <c:yVal>
            <c:numRef>
              <c:f>FwdMonitor!$GJ$4:$GJ$10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FwdMonitor!$GK$4:$GK$10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FwdMonitor!$GN$3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FwdMonitor!$GO$3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FwdMonitor!$GP$3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FwdMonitor!$GQ$3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5" Type="http://schemas.openxmlformats.org/officeDocument/2006/relationships/chart" Target="../charts/chart80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17</xdr:col>
      <xdr:colOff>609600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17</xdr:col>
      <xdr:colOff>609600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609600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609600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R59" activePane="bottomRight" state="frozenSplit"/>
      <selection pane="topRight" activeCell="E1" sqref="E1"/>
      <selection pane="bottomLeft" activeCell="A10" sqref="A10"/>
      <selection pane="bottomRight" activeCell="AE8" sqref="AE8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0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abSelected="1"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ref="F4:G8">PcaWindow(VOL_Labels,VOL_Mode,VOL_Standardize,VOL_window,VOL_WindowEnd,"vol")</f>
      </c>
      <c r="G4" s="7"/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ref="BP4:HS160">PcaModel(VOL_Labels,VOL_Mode,VOL_Standardize,VOL_window,VOL_WindowEnd,"vol")</f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G5" s="7"/>
      <c r="I5">
        <f ca="1"/>
      </c>
      <c r="J5">
        <f ca="1"/>
      </c>
      <c r="P5" t="s">
        <v>230</v>
      </c>
      <c r="BG5" s="7"/>
      <c r="BI5" cm="1">
        <f t="array" ref="BI5:BI160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ref="BK5:BK160">_xlfn.DROP(_xlfn.CHOOSECOLS(_xlfn.ANCHORARRAY($BP$4),2),1)</f>
      </c>
      <c r="BL5" s="11" cm="1">
        <f t="array" ref="BL5:BL160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I6">
        <f ca="1"/>
      </c>
      <c r="J6" s="7">
        <f ca="1"/>
      </c>
      <c r="BJ6" s="11">
        <f ca="1"/>
      </c>
      <c r="BK6" s="11"/>
      <c r="BL6" s="11"/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I7">
        <f ca="1"/>
      </c>
      <c r="J7" s="8">
        <f ca="1"/>
      </c>
      <c r="BJ7" s="11">
        <f ca="1"/>
      </c>
      <c r="BK7" s="11"/>
      <c r="BL7" s="11"/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J8" s="11">
        <f ca="1"/>
      </c>
      <c r="BK8" s="11"/>
      <c r="BL8" s="11"/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J9" s="11">
        <f ca="1"/>
      </c>
      <c r="BK9" s="11"/>
      <c r="BL9" s="11"/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J10" s="11">
        <f ca="1"/>
      </c>
      <c r="BK10" s="11"/>
      <c r="BL10" s="11"/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J11" s="11">
        <f ca="1"/>
      </c>
      <c r="BK11" s="11"/>
      <c r="BL11" s="11"/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ref="AJ12:AJ21">_xlfn.TAKE(_xlfn.DROP(_xlfn.TAKE(_xlfn.ANCHORARRAY($BF$17),,1),1),10)</f>
      </c>
      <c r="AK12" s="11" cm="1">
        <f t="array" ref="AK12:AK21">_xlfn.TAKE(_xlfn.DROP(_xlfn.CHOOSECOLS(_xlfn.ANCHORARRAY($BF$17),2),1),10)</f>
      </c>
      <c r="AL12" s="12" cm="1">
        <f t="array" ref="AL12:AL21">_xlfn.ANCHORARRAY(AK12)/SUM(_xlfn.DROP(_xlfn.CHOOSECOLS(_xlfn.ANCHORARRAY($BF$17),2),1))</f>
      </c>
      <c r="AM12" s="12" cm="1">
        <f t="array" ref="AM12:AM2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ref="AO12:AO21">IF(_xlfn.SEQUENCE(ROWS(_xlfn.ANCHORARRAY(AJ12)))&lt;=VOL_k,"Yes","")</f>
      </c>
      <c r="BJ12" s="11">
        <f ca="1"/>
      </c>
      <c r="BK12" s="11"/>
      <c r="BL12" s="11"/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/>
      <c r="AK13" s="11"/>
      <c r="AL13" s="12"/>
      <c r="AM13" s="12"/>
      <c r="AN13" s="11">
        <f ca="1"/>
      </c>
      <c r="AO13" s="14"/>
      <c r="BG13" s="7"/>
      <c r="BJ13" s="11">
        <f ca="1"/>
      </c>
      <c r="BK13" s="11"/>
      <c r="BL13" s="11"/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/>
      <c r="AK14" s="11"/>
      <c r="AL14" s="12"/>
      <c r="AM14" s="12"/>
      <c r="AN14" s="11">
        <f ca="1"/>
      </c>
      <c r="AO14" s="14"/>
      <c r="BJ14" s="11">
        <f ca="1"/>
      </c>
      <c r="BK14" s="11"/>
      <c r="BL14" s="11"/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373</v>
      </c>
      <c r="B15" s="6" t="s">
        <v>374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/>
      <c r="AK15" s="11"/>
      <c r="AL15" s="12"/>
      <c r="AM15" s="12"/>
      <c r="AN15" s="11">
        <f ca="1"/>
      </c>
      <c r="AO15" s="14"/>
      <c r="BJ15" s="11">
        <f ca="1"/>
      </c>
      <c r="BK15" s="11"/>
      <c r="BL15" s="11"/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375</v>
      </c>
      <c r="B16" s="6" t="s">
        <v>374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/>
      <c r="AK16" s="11"/>
      <c r="AL16" s="12"/>
      <c r="AM16" s="12"/>
      <c r="AN16" s="11">
        <f ca="1"/>
      </c>
      <c r="AO16" s="14"/>
      <c r="BF16" t="s">
        <v>206</v>
      </c>
      <c r="BJ16" s="11">
        <f ca="1"/>
      </c>
      <c r="BK16" s="11"/>
      <c r="BL16" s="11"/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376</v>
      </c>
      <c r="B17" s="6" t="s">
        <v>374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/>
      <c r="AK17" s="11"/>
      <c r="AL17" s="12"/>
      <c r="AM17" s="12"/>
      <c r="AN17" s="11">
        <f ca="1"/>
      </c>
      <c r="AO17" s="14"/>
      <c r="BF17" cm="1">
        <f t="array" ref="BF17:BG173">PcaEigen(VOL_Labels,VOL_Mode,VOL_Standardize,VOL_window,VOL_WindowEnd,"vol")</f>
      </c>
      <c r="BJ17" s="11">
        <f ca="1"/>
      </c>
      <c r="BK17" s="11"/>
      <c r="BL17" s="11"/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377</v>
      </c>
      <c r="B18" s="6" t="s">
        <v>374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/>
      <c r="AK18" s="11"/>
      <c r="AL18" s="12"/>
      <c r="AM18" s="12"/>
      <c r="AN18" s="11">
        <f ca="1"/>
      </c>
      <c r="AO18" s="14"/>
      <c r="BJ18" s="11">
        <f ca="1"/>
      </c>
      <c r="BK18" s="11"/>
      <c r="BL18" s="11"/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378</v>
      </c>
      <c r="B19" s="6" t="s">
        <v>374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/>
      <c r="AK19" s="11"/>
      <c r="AL19" s="12"/>
      <c r="AM19" s="12"/>
      <c r="AN19" s="11">
        <f ca="1"/>
      </c>
      <c r="AO19" s="14"/>
      <c r="BJ19" s="11">
        <f ca="1"/>
      </c>
      <c r="BK19" s="11"/>
      <c r="BL19" s="11"/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379</v>
      </c>
      <c r="B20" s="6" t="s">
        <v>374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/>
      <c r="AK20" s="11"/>
      <c r="AL20" s="12"/>
      <c r="AM20" s="12"/>
      <c r="AN20" s="11">
        <f ca="1"/>
      </c>
      <c r="AO20" s="14"/>
      <c r="BJ20" s="11">
        <f ca="1"/>
      </c>
      <c r="BK20" s="11"/>
      <c r="BL20" s="11"/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380</v>
      </c>
      <c r="B21" s="6" t="s">
        <v>374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/>
      <c r="AK21" s="11"/>
      <c r="AL21" s="12"/>
      <c r="AM21" s="12"/>
      <c r="AN21" s="11">
        <f ca="1"/>
      </c>
      <c r="AO21" s="14"/>
      <c r="BJ21" s="11">
        <f ca="1"/>
      </c>
      <c r="BK21" s="11"/>
      <c r="BL21" s="11"/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381</v>
      </c>
      <c r="B22" s="6" t="s">
        <v>374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J22" s="11">
        <f ca="1"/>
      </c>
      <c r="BK22" s="11"/>
      <c r="BL22" s="11"/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382</v>
      </c>
      <c r="B23" s="6" t="s">
        <v>374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J23" s="11">
        <f ca="1"/>
      </c>
      <c r="BK23" s="11"/>
      <c r="BL23" s="11"/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383</v>
      </c>
      <c r="B24" s="6" t="s">
        <v>374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J24" s="11">
        <f ca="1"/>
      </c>
      <c r="BK24" s="11"/>
      <c r="BL24" s="11"/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384</v>
      </c>
      <c r="B25" s="6" t="s">
        <v>374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J25" s="11">
        <f ca="1"/>
      </c>
      <c r="BK25" s="11"/>
      <c r="BL25" s="11"/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385</v>
      </c>
      <c r="B26" s="6" t="s">
        <v>374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J26" s="11">
        <f ca="1"/>
      </c>
      <c r="BK26" s="11"/>
      <c r="BL26" s="11"/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386</v>
      </c>
      <c r="B27" s="6" t="s">
        <v>374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J27" s="11">
        <f ca="1"/>
      </c>
      <c r="BK27" s="11"/>
      <c r="BL27" s="11"/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J28" s="11">
        <f ca="1"/>
      </c>
      <c r="BK28" s="11"/>
      <c r="BL28" s="11"/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J29" s="11">
        <f ca="1"/>
      </c>
      <c r="BK29" s="11"/>
      <c r="BL29" s="11"/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J30" s="11">
        <f ca="1"/>
      </c>
      <c r="BK30" s="11"/>
      <c r="BL30" s="11"/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J31" s="11">
        <f ca="1"/>
      </c>
      <c r="BK31" s="11"/>
      <c r="BL31" s="11"/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J32" s="11">
        <f ca="1"/>
      </c>
      <c r="BK32" s="11"/>
      <c r="BL32" s="11"/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J33" s="11">
        <f ca="1"/>
      </c>
      <c r="BK33" s="11"/>
      <c r="BL33" s="11"/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J34" s="11">
        <f ca="1"/>
      </c>
      <c r="BK34" s="11"/>
      <c r="BL34" s="11"/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J35" s="11">
        <f ca="1"/>
      </c>
      <c r="BK35" s="11"/>
      <c r="BL35" s="11"/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ref="V36:AG48">_xlfn.XLOOKUP(_xlfn.ANCHORARRAY(U36)&amp;"x"&amp;_xlfn.ANCHORARRAY(V35),_xlfn.ANCHORARRAY($BI$5),_xlfn.ANCHORARRAY($BK$5))</f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BJ36" s="11">
        <f ca="1"/>
      </c>
      <c r="BK36" s="11"/>
      <c r="BL36" s="11"/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BJ37" s="11">
        <f ca="1"/>
      </c>
      <c r="BK37" s="11"/>
      <c r="BL37" s="11"/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BJ38" s="11">
        <f ca="1"/>
      </c>
      <c r="BK38" s="11"/>
      <c r="BL38" s="11"/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BJ39" s="11">
        <f ca="1"/>
      </c>
      <c r="BK39" s="11"/>
      <c r="BL39" s="11"/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BJ40" s="11">
        <f ca="1"/>
      </c>
      <c r="BK40" s="11"/>
      <c r="BL40" s="11"/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BJ41" s="11">
        <f ca="1"/>
      </c>
      <c r="BK41" s="11"/>
      <c r="BL41" s="11"/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BJ42" s="11">
        <f ca="1"/>
      </c>
      <c r="BK42" s="11"/>
      <c r="BL42" s="11"/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BJ43" s="11">
        <f ca="1"/>
      </c>
      <c r="BK43" s="11"/>
      <c r="BL43" s="11"/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BJ44" s="11">
        <f ca="1"/>
      </c>
      <c r="BK44" s="11"/>
      <c r="BL44" s="11"/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BJ45" s="11">
        <f ca="1"/>
      </c>
      <c r="BK45" s="11"/>
      <c r="BL45" s="11"/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BJ46" s="11">
        <f ca="1"/>
      </c>
      <c r="BK46" s="11"/>
      <c r="BL46" s="11"/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BJ47" s="11">
        <f ca="1"/>
      </c>
      <c r="BK47" s="11"/>
      <c r="BL47" s="11"/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BJ48" s="11">
        <f ca="1"/>
      </c>
      <c r="BK48" s="11"/>
      <c r="BL48" s="11"/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J49" s="11">
        <f ca="1"/>
      </c>
      <c r="BK49" s="11"/>
      <c r="BL49" s="11"/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J50" s="11">
        <f ca="1"/>
      </c>
      <c r="BK50" s="11"/>
      <c r="BL50" s="11"/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J51" s="11">
        <f ca="1"/>
      </c>
      <c r="BK51" s="11"/>
      <c r="BL51" s="11"/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J52" s="11">
        <f ca="1"/>
      </c>
      <c r="BK52" s="11"/>
      <c r="BL52" s="11"/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J53" s="11">
        <f ca="1"/>
      </c>
      <c r="BK53" s="11"/>
      <c r="BL53" s="11"/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J54" s="11">
        <f ca="1"/>
      </c>
      <c r="BK54" s="11"/>
      <c r="BL54" s="11"/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J55" s="11">
        <f ca="1"/>
      </c>
      <c r="BK55" s="11"/>
      <c r="BL55" s="11"/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J56" s="11">
        <f ca="1"/>
      </c>
      <c r="BK56" s="11"/>
      <c r="BL56" s="11"/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J57" s="11">
        <f ca="1"/>
      </c>
      <c r="BK57" s="11"/>
      <c r="BL57" s="11"/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J58" s="11">
        <f ca="1"/>
      </c>
      <c r="BK58" s="11"/>
      <c r="BL58" s="11"/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J59" s="11">
        <f ca="1"/>
      </c>
      <c r="BK59" s="11"/>
      <c r="BL59" s="11"/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ref="G60:R72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 cm="1">
        <f t="array" ref="U60:U72">VOL_Expiries</f>
      </c>
      <c r="V60" s="13" cm="1">
        <f t="array" ref="V60:AG72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 cm="1">
        <f t="array" ref="AJ60:AJ72">VOL_Expiries</f>
      </c>
      <c r="AK60" s="13" cm="1">
        <f t="array" ref="AK60:AV72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J60" s="11">
        <f ca="1"/>
      </c>
      <c r="BK60" s="11"/>
      <c r="BL60" s="11"/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J61" s="11">
        <f ca="1"/>
      </c>
      <c r="BK61" s="11"/>
      <c r="BL61" s="11"/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J62" s="11">
        <f ca="1"/>
      </c>
      <c r="BK62" s="11"/>
      <c r="BL62" s="11"/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J63" s="11">
        <f ca="1"/>
      </c>
      <c r="BK63" s="11"/>
      <c r="BL63" s="11"/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J64" s="11">
        <f ca="1"/>
      </c>
      <c r="BK64" s="11"/>
      <c r="BL64" s="11"/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J65" s="11">
        <f ca="1"/>
      </c>
      <c r="BK65" s="11"/>
      <c r="BL65" s="11"/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J66" s="11">
        <f ca="1"/>
      </c>
      <c r="BK66" s="11"/>
      <c r="BL66" s="11"/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J67" s="11">
        <f ca="1"/>
      </c>
      <c r="BK67" s="11"/>
      <c r="BL67" s="11"/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J68" s="11">
        <f ca="1"/>
      </c>
      <c r="BK68" s="11"/>
      <c r="BL68" s="11"/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J69" s="11">
        <f ca="1"/>
      </c>
      <c r="BK69" s="11"/>
      <c r="BL69" s="11"/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J70" s="11">
        <f ca="1"/>
      </c>
      <c r="BK70" s="11"/>
      <c r="BL70" s="11"/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J71" s="11">
        <f ca="1"/>
      </c>
      <c r="BK71" s="11"/>
      <c r="BL71" s="11"/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J72" s="11">
        <f ca="1"/>
      </c>
      <c r="BK72" s="11"/>
      <c r="BL72" s="11"/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J73" s="11">
        <f ca="1"/>
      </c>
      <c r="BK73" s="11"/>
      <c r="BL73" s="11"/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J74" s="11">
        <f ca="1"/>
      </c>
      <c r="BK74" s="11"/>
      <c r="BL74" s="11"/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J75" s="11">
        <f ca="1"/>
      </c>
      <c r="BK75" s="11"/>
      <c r="BL75" s="11"/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J76" s="11">
        <f ca="1"/>
      </c>
      <c r="BK76" s="11"/>
      <c r="BL76" s="11"/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J77" s="11">
        <f ca="1"/>
      </c>
      <c r="BK77" s="11"/>
      <c r="BL77" s="11"/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J78" s="11">
        <f ca="1"/>
      </c>
      <c r="BK78" s="11"/>
      <c r="BL78" s="11"/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J79" s="11">
        <f ca="1"/>
      </c>
      <c r="BK79" s="11"/>
      <c r="BL79" s="11"/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J80" s="11">
        <f ca="1"/>
      </c>
      <c r="BK80" s="11"/>
      <c r="BL80" s="11"/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58:315" x14ac:dyDescent="0.55000000000000004">
      <c r="BJ81" s="11">
        <f ca="1"/>
      </c>
      <c r="BK81" s="11"/>
      <c r="BL81" s="11"/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58:315" x14ac:dyDescent="0.55000000000000004">
      <c r="BJ82" s="11">
        <f ca="1"/>
      </c>
      <c r="BK82" s="11"/>
      <c r="BL82" s="11"/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58:315" x14ac:dyDescent="0.55000000000000004">
      <c r="BJ83" s="11">
        <f ca="1"/>
      </c>
      <c r="BK83" s="11"/>
      <c r="BL83" s="11"/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58:315" x14ac:dyDescent="0.55000000000000004">
      <c r="BJ84" s="11">
        <f ca="1"/>
      </c>
      <c r="BK84" s="11"/>
      <c r="BL84" s="11"/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58:315" x14ac:dyDescent="0.55000000000000004">
      <c r="BJ85" s="11">
        <f ca="1"/>
      </c>
      <c r="BK85" s="11"/>
      <c r="BL85" s="11"/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58:315" x14ac:dyDescent="0.55000000000000004">
      <c r="BJ86" s="11">
        <f ca="1"/>
      </c>
      <c r="BK86" s="11"/>
      <c r="BL86" s="11"/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58:315" x14ac:dyDescent="0.55000000000000004">
      <c r="BJ87" s="11">
        <f ca="1"/>
      </c>
      <c r="BK87" s="11"/>
      <c r="BL87" s="11"/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58:315" x14ac:dyDescent="0.55000000000000004">
      <c r="BJ88" s="11">
        <f ca="1"/>
      </c>
      <c r="BK88" s="11"/>
      <c r="BL88" s="11"/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58:315" x14ac:dyDescent="0.55000000000000004">
      <c r="BJ89" s="11">
        <f ca="1"/>
      </c>
      <c r="BK89" s="11"/>
      <c r="BL89" s="11"/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58:315" x14ac:dyDescent="0.55000000000000004">
      <c r="BJ90" s="11">
        <f ca="1"/>
      </c>
      <c r="BK90" s="11"/>
      <c r="BL90" s="11"/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58:315" x14ac:dyDescent="0.55000000000000004">
      <c r="BJ91" s="11">
        <f ca="1"/>
      </c>
      <c r="BK91" s="11"/>
      <c r="BL91" s="11"/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58:315" x14ac:dyDescent="0.55000000000000004">
      <c r="BJ92" s="11">
        <f ca="1"/>
      </c>
      <c r="BK92" s="11"/>
      <c r="BL92" s="11"/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58:315" x14ac:dyDescent="0.55000000000000004">
      <c r="BJ93" s="11">
        <f ca="1"/>
      </c>
      <c r="BK93" s="11"/>
      <c r="BL93" s="11"/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58:315" x14ac:dyDescent="0.55000000000000004">
      <c r="BJ94" s="11">
        <f ca="1"/>
      </c>
      <c r="BK94" s="11"/>
      <c r="BL94" s="11"/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58:315" x14ac:dyDescent="0.55000000000000004">
      <c r="BJ95" s="11">
        <f ca="1"/>
      </c>
      <c r="BK95" s="11"/>
      <c r="BL95" s="11"/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58:315" x14ac:dyDescent="0.55000000000000004">
      <c r="BJ96" s="11">
        <f ca="1"/>
      </c>
      <c r="BK96" s="11"/>
      <c r="BL96" s="11"/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58:315" x14ac:dyDescent="0.55000000000000004">
      <c r="BJ97" s="11">
        <f ca="1"/>
      </c>
      <c r="BK97" s="11"/>
      <c r="BL97" s="11"/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58:315" x14ac:dyDescent="0.55000000000000004">
      <c r="BJ98" s="11">
        <f ca="1"/>
      </c>
      <c r="BK98" s="11"/>
      <c r="BL98" s="11"/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58:315" x14ac:dyDescent="0.55000000000000004">
      <c r="BJ99" s="11">
        <f ca="1"/>
      </c>
      <c r="BK99" s="11"/>
      <c r="BL99" s="11"/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58:315" x14ac:dyDescent="0.55000000000000004">
      <c r="BJ100" s="11">
        <f ca="1"/>
      </c>
      <c r="BK100" s="11"/>
      <c r="BL100" s="11"/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J101" s="11">
        <f ca="1"/>
      </c>
      <c r="BK101" s="11"/>
      <c r="BL101" s="11"/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J102" s="11">
        <f ca="1"/>
      </c>
      <c r="BK102" s="11"/>
      <c r="BL102" s="11"/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J103" s="11">
        <f ca="1"/>
      </c>
      <c r="BK103" s="11"/>
      <c r="BL103" s="11"/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J104" s="11">
        <f ca="1"/>
      </c>
      <c r="BK104" s="11"/>
      <c r="BL104" s="11"/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J105" s="11">
        <f ca="1"/>
      </c>
      <c r="BK105" s="11"/>
      <c r="BL105" s="11"/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J106" s="11">
        <f ca="1"/>
      </c>
      <c r="BK106" s="11"/>
      <c r="BL106" s="11"/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J107" s="11">
        <f ca="1"/>
      </c>
      <c r="BK107" s="11"/>
      <c r="BL107" s="11"/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J108" s="11">
        <f ca="1"/>
      </c>
      <c r="BK108" s="11"/>
      <c r="BL108" s="11"/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J109" s="11">
        <f ca="1"/>
      </c>
      <c r="BK109" s="11"/>
      <c r="BL109" s="11"/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J110" s="11">
        <f ca="1"/>
      </c>
      <c r="BK110" s="11"/>
      <c r="BL110" s="11"/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J111" s="11">
        <f ca="1"/>
      </c>
      <c r="BK111" s="11"/>
      <c r="BL111" s="11"/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J112" s="11">
        <f ca="1"/>
      </c>
      <c r="BK112" s="11"/>
      <c r="BL112" s="11"/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J113" s="11">
        <f ca="1"/>
      </c>
      <c r="BK113" s="11"/>
      <c r="BL113" s="11"/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J114" s="11">
        <f ca="1"/>
      </c>
      <c r="BK114" s="11"/>
      <c r="BL114" s="11"/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J115" s="11">
        <f ca="1"/>
      </c>
      <c r="BK115" s="11"/>
      <c r="BL115" s="11"/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J116" s="11">
        <f ca="1"/>
      </c>
      <c r="BK116" s="11"/>
      <c r="BL116" s="11"/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J117" s="11">
        <f ca="1"/>
      </c>
      <c r="BK117" s="11"/>
      <c r="BL117" s="11"/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J118" s="11">
        <f ca="1"/>
      </c>
      <c r="BK118" s="11"/>
      <c r="BL118" s="11"/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J119" s="11">
        <f ca="1"/>
      </c>
      <c r="BK119" s="11"/>
      <c r="BL119" s="11"/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J120" s="11">
        <f ca="1"/>
      </c>
      <c r="BK120" s="11"/>
      <c r="BL120" s="11"/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J121" s="11">
        <f ca="1"/>
      </c>
      <c r="BK121" s="11"/>
      <c r="BL121" s="11"/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J122" s="11">
        <f ca="1"/>
      </c>
      <c r="BK122" s="11"/>
      <c r="BL122" s="11"/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J123" s="11">
        <f ca="1"/>
      </c>
      <c r="BK123" s="11"/>
      <c r="BL123" s="11"/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J124" s="11">
        <f ca="1"/>
      </c>
      <c r="BK124" s="11"/>
      <c r="BL124" s="11"/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J125" s="11">
        <f ca="1"/>
      </c>
      <c r="BK125" s="11"/>
      <c r="BL125" s="11"/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J126" s="11">
        <f ca="1"/>
      </c>
      <c r="BK126" s="11"/>
      <c r="BL126" s="11"/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J127" s="11">
        <f ca="1"/>
      </c>
      <c r="BK127" s="11"/>
      <c r="BL127" s="11"/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J128" s="11">
        <f ca="1"/>
      </c>
      <c r="BK128" s="11"/>
      <c r="BL128" s="11"/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J129" s="11">
        <f ca="1"/>
      </c>
      <c r="BK129" s="11"/>
      <c r="BL129" s="11"/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J130" s="11">
        <f ca="1"/>
      </c>
      <c r="BK130" s="11"/>
      <c r="BL130" s="11"/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J131" s="11">
        <f ca="1"/>
      </c>
      <c r="BK131" s="11"/>
      <c r="BL131" s="11"/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J132" s="11">
        <f ca="1"/>
      </c>
      <c r="BK132" s="11"/>
      <c r="BL132" s="11"/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J133" s="11">
        <f ca="1"/>
      </c>
      <c r="BK133" s="11"/>
      <c r="BL133" s="11"/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J134" s="11">
        <f ca="1"/>
      </c>
      <c r="BK134" s="11"/>
      <c r="BL134" s="11"/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J135" s="11">
        <f ca="1"/>
      </c>
      <c r="BK135" s="11"/>
      <c r="BL135" s="11"/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J136" s="11">
        <f ca="1"/>
      </c>
      <c r="BK136" s="11"/>
      <c r="BL136" s="11"/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J137" s="11">
        <f ca="1"/>
      </c>
      <c r="BK137" s="11"/>
      <c r="BL137" s="11"/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J138" s="11">
        <f ca="1"/>
      </c>
      <c r="BK138" s="11"/>
      <c r="BL138" s="11"/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J139" s="11">
        <f ca="1"/>
      </c>
      <c r="BK139" s="11"/>
      <c r="BL139" s="11"/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J140" s="11">
        <f ca="1"/>
      </c>
      <c r="BK140" s="11"/>
      <c r="BL140" s="11"/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J141" s="11">
        <f ca="1"/>
      </c>
      <c r="BK141" s="11"/>
      <c r="BL141" s="11"/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J142" s="11">
        <f ca="1"/>
      </c>
      <c r="BK142" s="11"/>
      <c r="BL142" s="11"/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J143" s="11">
        <f ca="1"/>
      </c>
      <c r="BK143" s="11"/>
      <c r="BL143" s="11"/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J144" s="11">
        <f ca="1"/>
      </c>
      <c r="BK144" s="11"/>
      <c r="BL144" s="11"/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J145" s="11">
        <f ca="1"/>
      </c>
      <c r="BK145" s="11"/>
      <c r="BL145" s="11"/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J146" s="11">
        <f ca="1"/>
      </c>
      <c r="BK146" s="11"/>
      <c r="BL146" s="11"/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J147" s="11">
        <f ca="1"/>
      </c>
      <c r="BK147" s="11"/>
      <c r="BL147" s="11"/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J148" s="11">
        <f ca="1"/>
      </c>
      <c r="BK148" s="11"/>
      <c r="BL148" s="11"/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J149" s="11">
        <f ca="1"/>
      </c>
      <c r="BK149" s="11"/>
      <c r="BL149" s="11"/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J150" s="11">
        <f ca="1"/>
      </c>
      <c r="BK150" s="11"/>
      <c r="BL150" s="11"/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J151" s="11">
        <f ca="1"/>
      </c>
      <c r="BK151" s="11"/>
      <c r="BL151" s="11"/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J152" s="11">
        <f ca="1"/>
      </c>
      <c r="BK152" s="11"/>
      <c r="BL152" s="11"/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J153" s="11">
        <f ca="1"/>
      </c>
      <c r="BK153" s="11"/>
      <c r="BL153" s="11"/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J154" s="11">
        <f ca="1"/>
      </c>
      <c r="BK154" s="11"/>
      <c r="BL154" s="11"/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J155" s="11">
        <f ca="1"/>
      </c>
      <c r="BK155" s="11"/>
      <c r="BL155" s="11"/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J156" s="11">
        <f ca="1"/>
      </c>
      <c r="BK156" s="11"/>
      <c r="BL156" s="11"/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J157" s="11">
        <f ca="1"/>
      </c>
      <c r="BK157" s="11"/>
      <c r="BL157" s="11"/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J158" s="11">
        <f ca="1"/>
      </c>
      <c r="BK158" s="11"/>
      <c r="BL158" s="11"/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J159" s="11">
        <f ca="1"/>
      </c>
      <c r="BK159" s="11"/>
      <c r="BL159" s="11"/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J160" s="11">
        <f ca="1"/>
      </c>
      <c r="BK160" s="11"/>
      <c r="BL160" s="11"/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J171" s="11"/>
      <c r="BK171" s="11"/>
      <c r="BL171" s="11"/>
      <c r="BM171" s="11"/>
      <c r="BN171" s="11"/>
    </row>
    <row r="172" spans="58:315" x14ac:dyDescent="0.55000000000000004">
      <c r="BJ172" s="11"/>
      <c r="BK172" s="11"/>
      <c r="BL172" s="11"/>
      <c r="BM172" s="11"/>
      <c r="BN172" s="11"/>
    </row>
    <row r="173" spans="58:315" x14ac:dyDescent="0.55000000000000004"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GU800"/>
  <sheetViews>
    <sheetView zoomScale="56" workbookViewId="0">
      <selection activeCell="K8" sqref="K8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15" width="11.58203125" customWidth="1"/>
    <col min="27" max="199" width="8.6640625" hidden="1" customWidth="1" outlineLevel="1"/>
    <col min="200" max="202" width="0" hidden="1" customWidth="1" outlineLevel="1"/>
    <col min="203" max="203" width="8.6640625" collapsed="1"/>
  </cols>
  <sheetData>
    <row r="1" spans="1:202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LiveInfo("swap",_xlfn.ANCHORARRAY($AA$3))</f>
      </c>
      <c r="E1" t="s">
        <v>255</v>
      </c>
    </row>
    <row r="2" spans="1:202" ht="20" x14ac:dyDescent="0.55000000000000004">
      <c r="A2" s="20" t="s">
        <v>256</v>
      </c>
      <c r="AA2" s="4" t="s">
        <v>116</v>
      </c>
      <c r="AB2" s="4"/>
      <c r="AC2" s="4"/>
      <c r="AD2" s="4"/>
      <c r="AE2" s="4"/>
      <c r="AF2" s="4" t="s">
        <v>117</v>
      </c>
      <c r="AG2" s="4"/>
      <c r="AH2" s="4"/>
      <c r="AI2" s="4"/>
      <c r="AJ2" s="4"/>
      <c r="AK2" s="4"/>
      <c r="AL2" s="4" t="s">
        <v>118</v>
      </c>
      <c r="AM2" s="4"/>
      <c r="AN2" s="4"/>
      <c r="AO2" s="4" t="s">
        <v>268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 t="s">
        <v>269</v>
      </c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 t="s">
        <v>270</v>
      </c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 t="s">
        <v>319</v>
      </c>
      <c r="GD2" s="4"/>
      <c r="GE2" s="4"/>
      <c r="GF2" s="4"/>
      <c r="GG2" s="4"/>
      <c r="GH2" s="4" t="s">
        <v>322</v>
      </c>
      <c r="GI2" s="4"/>
      <c r="GJ2" s="4"/>
      <c r="GK2" s="4"/>
      <c r="GL2" s="4"/>
      <c r="GM2" s="4" t="s">
        <v>323</v>
      </c>
      <c r="GN2" s="4"/>
      <c r="GO2" s="4"/>
      <c r="GP2" s="4"/>
      <c r="GQ2" s="4"/>
      <c r="GS2" s="4" t="s">
        <v>325</v>
      </c>
      <c r="GT2" s="4"/>
    </row>
    <row r="3" spans="1:202" x14ac:dyDescent="0.55000000000000004">
      <c r="A3" s="4" t="s">
        <v>257</v>
      </c>
      <c r="AA3" s="4" cm="1">
        <f t="array" aca="1" ref="AA3:AD46" ca="1">IF($B$1="Fixed",LiveSnapshot("swap"),LiveQuotes("swap"))</f>
      </c>
      <c r="AB3" s="4">
        <f ca="1"/>
      </c>
      <c r="AC3" s="4">
        <f ca="1"/>
      </c>
      <c r="AD3" s="4">
        <f ca="1"/>
      </c>
      <c r="AE3" s="4"/>
      <c r="AF3" s="4" cm="1">
        <f t="array" aca="1" ref="AF3:AJ46" ca="1">_xlfn.LET(_xlpm.q,_xlfn.ANCHORARRAY($AA$3),_xlpm.t,$AL$4:$AL$47,_xlfn.HSTACK($AM$4:$AM$47,_xlpm.t,INDEX(_xlpm.q,_xlfn.XMATCH(_xlpm.t,INDEX(_xlpm.q,,1)),{2,3,4})))</f>
      </c>
      <c r="AG3" s="4">
        <f ca="1"/>
      </c>
      <c r="AH3" s="4">
        <f ca="1"/>
      </c>
      <c r="AI3" s="4">
        <f ca="1"/>
      </c>
      <c r="AJ3" s="4">
        <f ca="1"/>
      </c>
      <c r="AK3" s="4"/>
      <c r="AL3" s="4" t="s">
        <v>119</v>
      </c>
      <c r="AM3" s="4" t="s">
        <v>120</v>
      </c>
      <c r="AN3" s="4"/>
      <c r="AO3" s="4" cm="1">
        <f t="array" aca="1" ref="AO3:CI486" ca="1">FwdHistory($A$12:$A$35,"CMT",FWM_Base)</f>
      </c>
      <c r="AP3" s="4">
        <f ca="1"/>
      </c>
      <c r="AQ3" s="4">
        <f ca="1"/>
      </c>
      <c r="AR3" s="4">
        <f ca="1"/>
      </c>
      <c r="AS3" s="4">
        <f ca="1"/>
      </c>
      <c r="AT3" s="4">
        <f ca="1"/>
      </c>
      <c r="AU3" s="4">
        <f ca="1"/>
      </c>
      <c r="AV3" s="4">
        <f ca="1"/>
      </c>
      <c r="AW3" s="4">
        <f ca="1"/>
      </c>
      <c r="AX3" s="4">
        <f ca="1"/>
      </c>
      <c r="AY3" s="4">
        <f ca="1"/>
      </c>
      <c r="AZ3" s="4">
        <f ca="1"/>
      </c>
      <c r="BA3" s="4">
        <f ca="1"/>
      </c>
      <c r="BB3" s="4">
        <f ca="1"/>
      </c>
      <c r="BC3" s="4">
        <f ca="1"/>
      </c>
      <c r="BD3" s="4">
        <f ca="1"/>
      </c>
      <c r="BE3" s="4">
        <f ca="1"/>
      </c>
      <c r="BF3" s="4">
        <f ca="1"/>
      </c>
      <c r="BG3" s="4">
        <f ca="1"/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/>
      <c r="CK3" s="4" cm="1">
        <f t="array" aca="1" ref="CK3:EE486" ca="1">FwdHistory($A$12:$A$35,"FIXED",FWM_Base)</f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>
        <f ca="1"/>
      </c>
      <c r="DG3" s="4">
        <f ca="1"/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/>
      <c r="EG3" s="4" cm="1">
        <f t="array" aca="1" ref="EG3:GA486" ca="1">FwdHistory($A$12:$A$35,"ROLLING",FWM_Base)</f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>
        <f ca="1"/>
      </c>
      <c r="FC3" s="4">
        <f ca="1"/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/>
      <c r="GC3" s="4" t="s">
        <v>320</v>
      </c>
      <c r="GD3" s="4" t="s">
        <v>53</v>
      </c>
      <c r="GE3" s="4">
        <f>"Compare "&amp;TEXT(FWM_Cmp,"yyyy-mm-dd")</f>
      </c>
      <c r="GF3" s="4" t="s">
        <v>321</v>
      </c>
      <c r="GG3" s="4"/>
      <c r="GH3" s="4" t="s">
        <v>320</v>
      </c>
      <c r="GI3" s="4" t="s">
        <v>53</v>
      </c>
      <c r="GJ3" s="4">
        <f>GE3</f>
      </c>
      <c r="GK3" s="4" t="s">
        <v>321</v>
      </c>
      <c r="GL3" s="4"/>
      <c r="GM3" s="4" t="s">
        <v>75</v>
      </c>
      <c r="GN3" s="4" cm="1">
        <f t="array" aca="1" ref="GN3" ca="1">_xlfn.LET(_xlpm.r,IFERROR(SMALL(IF((FWM_TShow="Yes")*(FWM_TL1&lt;&gt;""),_xlfn.SEQUENCE(10)),1),0),IF(_xlpm.r=0,"",INDEX(FWM_TName,_xlpm.r)&amp;" ("&amp;INDEX(FWM_TMode,_xlpm.r)&amp;")"))</f>
      </c>
      <c r="GO3" s="4" cm="1">
        <f t="array" aca="1" ref="GO3" ca="1">_xlfn.LET(_xlpm.r,IFERROR(SMALL(IF((FWM_TShow="Yes")*(FWM_TL1&lt;&gt;""),_xlfn.SEQUENCE(10)),2),0),IF(_xlpm.r=0,"",INDEX(FWM_TName,_xlpm.r)&amp;" ("&amp;INDEX(FWM_TMode,_xlpm.r)&amp;")"))</f>
      </c>
      <c r="GP3" s="4" cm="1">
        <f t="array" aca="1" ref="GP3" ca="1">_xlfn.LET(_xlpm.r,IFERROR(SMALL(IF((FWM_TShow="Yes")*(FWM_TL1&lt;&gt;""),_xlfn.SEQUENCE(10)),3),0),IF(_xlpm.r=0,"",INDEX(FWM_TName,_xlpm.r)&amp;" ("&amp;INDEX(FWM_TMode,_xlpm.r)&amp;")"))</f>
      </c>
      <c r="GQ3" s="4" cm="1">
        <f t="array" aca="1" ref="GQ3" ca="1">_xlfn.LET(_xlpm.r,IFERROR(SMALL(IF((FWM_TShow="Yes")*(FWM_TL1&lt;&gt;""),_xlfn.SEQUENCE(10)),4),0),IF(_xlpm.r=0,"",INDEX(FWM_TName,_xlpm.r)&amp;" ("&amp;INDEX(FWM_TMode,_xlpm.r)&amp;")"))</f>
      </c>
      <c r="GS3" s="4" t="s">
        <v>272</v>
      </c>
      <c r="GT3" s="4" t="s">
        <v>273</v>
      </c>
    </row>
    <row r="4" spans="1:202" x14ac:dyDescent="0.55000000000000004">
      <c r="A4" s="4" t="s">
        <v>258</v>
      </c>
      <c r="B4" s="3"/>
      <c r="C4" t="s">
        <v>259</v>
      </c>
      <c r="AA4">
        <f ca="1"/>
      </c>
      <c r="AB4">
        <f ca="1"/>
      </c>
      <c r="AC4">
        <f ca="1"/>
      </c>
      <c r="AD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L4" t="s">
        <v>0</v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C4">
        <f>VALUE(_xlfn.TEXTBEFORE($A$12,"y"))</f>
      </c>
      <c r="GD4">
        <f ca="1">$B$12</f>
      </c>
      <c r="GE4">
        <f ca="1">IFERROR($B$12-$G$12/100,NA())</f>
      </c>
      <c r="GF4">
        <f ca="1">$G$12</f>
      </c>
      <c r="GH4">
        <f>VALUE(_xlfn.TEXTBEFORE($A$29,"y"))</f>
      </c>
      <c r="GI4">
        <f ca="1">$B$29</f>
      </c>
      <c r="GJ4">
        <f ca="1">IFERROR($B$29-$G$29/100,NA())</f>
      </c>
      <c r="GK4">
        <f ca="1">$G$29</f>
      </c>
      <c r="GM4" s="7" cm="1">
        <f t="array" aca="1" ref="GM4:GM244" ca="1">_xlfn._xlws.FILTER(FWM_Dates,FWM_Dates&gt;=N(FWM_From))</f>
      </c>
      <c r="GN4" cm="1">
        <f t="array" aca="1" ref="GN4:GN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O4" cm="1">
        <f t="array" aca="1" ref="GO4:GO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P4" cm="1">
        <f t="array" aca="1" ref="GP4:GP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Q4" cm="1">
        <f t="array" aca="1" ref="GQ4:GQ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S4" cm="1">
        <f t="array" ref="GS4:GS26">_xlfn._xlws.FILTER($A$12:$A$35,$A$12:$A$35&lt;&gt;"")</f>
      </c>
      <c r="GT4" cm="1">
        <f t="array" aca="1" ref="GT4:GT26" ca="1">FwdLive(_xlfn.ANCHORARRAY($GS$4),_xlfn.TAKE(_xlfn.ANCHORARRAY($AF$3),,3))</f>
      </c>
    </row>
    <row r="5" spans="1:202" x14ac:dyDescent="0.55000000000000004">
      <c r="A5" s="4" t="s">
        <v>260</v>
      </c>
      <c r="B5" s="3">
        <v>46290</v>
      </c>
      <c r="C5" t="s">
        <v>261</v>
      </c>
      <c r="AA5">
        <f ca="1"/>
      </c>
      <c r="AB5">
        <f ca="1"/>
      </c>
      <c r="AC5">
        <f ca="1"/>
      </c>
      <c r="AD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L5" t="s">
        <v>1</v>
      </c>
      <c r="AM5">
        <v>1</v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C5">
        <f>VALUE(_xlfn.TEXTBEFORE($A$13,"y"))</f>
      </c>
      <c r="GD5">
        <f ca="1">$B$13</f>
      </c>
      <c r="GE5">
        <f ca="1">IFERROR($B$13-$G$13/100,NA())</f>
      </c>
      <c r="GF5">
        <f ca="1">$G$13</f>
      </c>
      <c r="GH5">
        <f>VALUE(_xlfn.TEXTBEFORE($A$30,"y"))</f>
      </c>
      <c r="GI5">
        <f ca="1">$B$30</f>
      </c>
      <c r="GJ5">
        <f ca="1">IFERROR($B$30-$G$30/100,NA())</f>
      </c>
      <c r="GK5">
        <f ca="1">$G$30</f>
      </c>
      <c r="GM5" s="7">
        <f ca="1"/>
      </c>
      <c r="GN5">
        <f ca="1"/>
      </c>
      <c r="GO5">
        <f ca="1"/>
      </c>
      <c r="GP5">
        <f ca="1"/>
      </c>
      <c r="GQ5">
        <f ca="1"/>
      </c>
      <c r="GT5">
        <f ca="1"/>
      </c>
    </row>
    <row r="6" spans="1:202" x14ac:dyDescent="0.55000000000000004">
      <c r="A6" s="4" t="s">
        <v>262</v>
      </c>
      <c r="B6" s="2">
        <v>63</v>
      </c>
      <c r="C6" t="s">
        <v>263</v>
      </c>
      <c r="AA6">
        <f ca="1"/>
      </c>
      <c r="AB6">
        <f ca="1"/>
      </c>
      <c r="AC6">
        <f ca="1"/>
      </c>
      <c r="AD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L6" t="s">
        <v>2</v>
      </c>
      <c r="AM6">
        <v>1</v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C6">
        <f>VALUE(_xlfn.TEXTBEFORE($A$14,"y"))</f>
      </c>
      <c r="GD6">
        <f ca="1">$B$14</f>
      </c>
      <c r="GE6">
        <f ca="1">IFERROR($B$14-$G$14/100,NA())</f>
      </c>
      <c r="GF6">
        <f ca="1">$G$14</f>
      </c>
      <c r="GH6">
        <f>VALUE(_xlfn.TEXTBEFORE($A$31,"y"))</f>
      </c>
      <c r="GI6">
        <f ca="1">$B$31</f>
      </c>
      <c r="GJ6">
        <f ca="1">IFERROR($B$31-$G$31/100,NA())</f>
      </c>
      <c r="GK6">
        <f ca="1">$G$31</f>
      </c>
      <c r="GM6" s="7">
        <f ca="1"/>
      </c>
      <c r="GN6">
        <f ca="1"/>
      </c>
      <c r="GO6">
        <f ca="1"/>
      </c>
      <c r="GP6">
        <f ca="1"/>
      </c>
      <c r="GQ6">
        <f ca="1"/>
      </c>
      <c r="GT6">
        <f ca="1"/>
      </c>
    </row>
    <row r="7" spans="1:202" x14ac:dyDescent="0.55000000000000004">
      <c r="A7" s="4" t="s">
        <v>264</v>
      </c>
      <c r="B7" s="3">
        <v>45955</v>
      </c>
      <c r="C7" t="s">
        <v>265</v>
      </c>
      <c r="AA7">
        <f ca="1"/>
      </c>
      <c r="AB7">
        <f ca="1"/>
      </c>
      <c r="AC7">
        <f ca="1"/>
      </c>
      <c r="AD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L7" t="s">
        <v>3</v>
      </c>
      <c r="AM7">
        <v>1</v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C7">
        <f>VALUE(_xlfn.TEXTBEFORE($A$15,"y"))</f>
      </c>
      <c r="GD7">
        <f ca="1">$B$15</f>
      </c>
      <c r="GE7">
        <f ca="1">IFERROR($B$15-$G$15/100,NA())</f>
      </c>
      <c r="GF7">
        <f ca="1">$G$15</f>
      </c>
      <c r="GH7">
        <f>VALUE(_xlfn.TEXTBEFORE($A$32,"y"))</f>
      </c>
      <c r="GI7">
        <f ca="1">$B$32</f>
      </c>
      <c r="GJ7">
        <f ca="1">IFERROR($B$32-$G$32/100,NA())</f>
      </c>
      <c r="GK7">
        <f ca="1">$G$32</f>
      </c>
      <c r="GM7" s="7">
        <f ca="1"/>
      </c>
      <c r="GN7">
        <f ca="1"/>
      </c>
      <c r="GO7">
        <f ca="1"/>
      </c>
      <c r="GP7">
        <f ca="1"/>
      </c>
      <c r="GQ7">
        <f ca="1"/>
      </c>
      <c r="GT7">
        <f ca="1"/>
      </c>
    </row>
    <row r="8" spans="1:202" x14ac:dyDescent="0.55000000000000004">
      <c r="A8" s="4" t="s">
        <v>266</v>
      </c>
      <c r="B8" s="2" t="s">
        <v>151</v>
      </c>
      <c r="C8" t="s">
        <v>267</v>
      </c>
      <c r="AA8">
        <f ca="1"/>
      </c>
      <c r="AB8">
        <f ca="1"/>
      </c>
      <c r="AC8">
        <f ca="1"/>
      </c>
      <c r="AD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L8" t="s">
        <v>4</v>
      </c>
      <c r="AM8">
        <v>1</v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C8">
        <f>VALUE(_xlfn.TEXTBEFORE($A$16,"y"))</f>
      </c>
      <c r="GD8">
        <f ca="1">$B$16</f>
      </c>
      <c r="GE8">
        <f ca="1">IFERROR($B$16-$G$16/100,NA())</f>
      </c>
      <c r="GF8">
        <f ca="1">$G$16</f>
      </c>
      <c r="GH8">
        <f>VALUE(_xlfn.TEXTBEFORE($A$33,"y"))</f>
      </c>
      <c r="GI8">
        <f ca="1">$B$33</f>
      </c>
      <c r="GJ8">
        <f ca="1">IFERROR($B$33-$G$33/100,NA())</f>
      </c>
      <c r="GK8">
        <f ca="1">$G$33</f>
      </c>
      <c r="GM8" s="7">
        <f ca="1"/>
      </c>
      <c r="GN8">
        <f ca="1"/>
      </c>
      <c r="GO8">
        <f ca="1"/>
      </c>
      <c r="GP8">
        <f ca="1"/>
      </c>
      <c r="GQ8">
        <f ca="1"/>
      </c>
      <c r="GT8">
        <f ca="1"/>
      </c>
    </row>
    <row r="9" spans="1:202" x14ac:dyDescent="0.55000000000000004">
      <c r="AA9">
        <f ca="1"/>
      </c>
      <c r="AB9">
        <f ca="1"/>
      </c>
      <c r="AC9">
        <f ca="1"/>
      </c>
      <c r="AD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L9" t="s">
        <v>5</v>
      </c>
      <c r="AM9">
        <v>1</v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C9">
        <f>VALUE(_xlfn.TEXTBEFORE($A$17,"y"))</f>
      </c>
      <c r="GD9">
        <f ca="1">$B$17</f>
      </c>
      <c r="GE9">
        <f ca="1">IFERROR($B$17-$G$17/100,NA())</f>
      </c>
      <c r="GF9">
        <f ca="1">$G$17</f>
      </c>
      <c r="GH9">
        <f>VALUE(_xlfn.TEXTBEFORE($A$34,"y"))</f>
      </c>
      <c r="GI9">
        <f ca="1">$B$34</f>
      </c>
      <c r="GJ9">
        <f ca="1">IFERROR($B$34-$G$34/100,NA())</f>
      </c>
      <c r="GK9">
        <f ca="1">$G$34</f>
      </c>
      <c r="GM9" s="7">
        <f ca="1"/>
      </c>
      <c r="GN9">
        <f ca="1"/>
      </c>
      <c r="GO9">
        <f ca="1"/>
      </c>
      <c r="GP9">
        <f ca="1"/>
      </c>
      <c r="GQ9">
        <f ca="1"/>
      </c>
      <c r="GT9">
        <f ca="1"/>
      </c>
    </row>
    <row r="10" spans="1:202" x14ac:dyDescent="0.55000000000000004">
      <c r="A10" s="4" t="s">
        <v>271</v>
      </c>
      <c r="AA10">
        <f ca="1"/>
      </c>
      <c r="AB10">
        <f ca="1"/>
      </c>
      <c r="AC10">
        <f ca="1"/>
      </c>
      <c r="AD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L10" t="s">
        <v>6</v>
      </c>
      <c r="AM10">
        <v>1</v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C10">
        <f>VALUE(_xlfn.TEXTBEFORE($A$18,"y"))</f>
      </c>
      <c r="GD10">
        <f ca="1">$B$18</f>
      </c>
      <c r="GE10">
        <f ca="1">IFERROR($B$18-$G$18/100,NA())</f>
      </c>
      <c r="GF10">
        <f ca="1">$G$18</f>
      </c>
      <c r="GH10">
        <f>VALUE(_xlfn.TEXTBEFORE($A$35,"y"))</f>
      </c>
      <c r="GI10">
        <f ca="1">$B$35</f>
      </c>
      <c r="GJ10">
        <f ca="1">IFERROR($B$35-$G$35/100,NA())</f>
      </c>
      <c r="GK10">
        <f ca="1">$G$35</f>
      </c>
      <c r="GM10" s="7">
        <f ca="1"/>
      </c>
      <c r="GN10">
        <f ca="1"/>
      </c>
      <c r="GO10">
        <f ca="1"/>
      </c>
      <c r="GP10">
        <f ca="1"/>
      </c>
      <c r="GQ10">
        <f ca="1"/>
      </c>
      <c r="GT10">
        <f ca="1"/>
      </c>
    </row>
    <row r="11" spans="1:202" x14ac:dyDescent="0.55000000000000004">
      <c r="A11" s="4" t="s">
        <v>272</v>
      </c>
      <c r="B11" s="4" t="s">
        <v>273</v>
      </c>
      <c r="C11" s="4" t="s">
        <v>274</v>
      </c>
      <c r="D11" s="4" t="s">
        <v>275</v>
      </c>
      <c r="E11" s="4" t="s">
        <v>276</v>
      </c>
      <c r="F11" s="4" t="s">
        <v>277</v>
      </c>
      <c r="G11" s="4" t="s">
        <v>278</v>
      </c>
      <c r="H11" s="4" t="s">
        <v>279</v>
      </c>
      <c r="I11" s="4" t="s">
        <v>280</v>
      </c>
      <c r="J11" s="4" t="s">
        <v>281</v>
      </c>
      <c r="K11" s="4" t="s">
        <v>324</v>
      </c>
      <c r="AA11">
        <f ca="1"/>
      </c>
      <c r="AB11">
        <f ca="1"/>
      </c>
      <c r="AC11">
        <f ca="1"/>
      </c>
      <c r="AD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L11" t="s">
        <v>7</v>
      </c>
      <c r="AM11">
        <v>1</v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C11">
        <f>VALUE(_xlfn.TEXTBEFORE($A$19,"y"))</f>
      </c>
      <c r="GD11">
        <f ca="1">$B$19</f>
      </c>
      <c r="GE11">
        <f ca="1">IFERROR($B$19-$G$19/100,NA())</f>
      </c>
      <c r="GF11">
        <f ca="1">$G$19</f>
      </c>
      <c r="GM11" s="7">
        <f ca="1"/>
      </c>
      <c r="GN11">
        <f ca="1"/>
      </c>
      <c r="GO11">
        <f ca="1"/>
      </c>
      <c r="GP11">
        <f ca="1"/>
      </c>
      <c r="GQ11">
        <f ca="1"/>
      </c>
      <c r="GT11">
        <f ca="1"/>
      </c>
    </row>
    <row r="12" spans="1:202" x14ac:dyDescent="0.55000000000000004">
      <c r="A12" t="s">
        <v>282</v>
      </c>
      <c r="B12" s="13" cm="1">
        <f t="array" aca="1" ref="B12" ca="1">_xlfn.XLOOKUP($A12,_xlfn.ANCHORARRAY($GS$4),_xlfn.ANCHORARRAY($GT$4),"")</f>
      </c>
      <c r="C12" s="13" cm="1">
        <f t="array" aca="1" ref="C12" ca="1">_xlfn.LET(_xlpm.h,FWM_HC,_xlpm.c,_xlfn.XMATCH($A12,_xlfn.TAKE(_xlpm.h,1)),INDEX(_xlpm.h,ROWS(_xlpm.h),_xlpm.c))</f>
      </c>
      <c r="D12" s="44">
        <f t="shared" ref="D12:D35" ca="1" si="0">(B12-C12)*100</f>
      </c>
      <c r="E12" s="44" cm="1">
        <f t="array" aca="1" ref="E12" ca="1">_xlfn.LET(_xlpm.h,FWM_HC,_xlpm.c,_xlfn.XMATCH($A12,_xlfn.TAKE(_xlpm.h,1)),(B12-INDEX(_xlpm.h,ROWS(_xlpm.h)-4,_xlpm.c))*100)</f>
      </c>
      <c r="F12" s="44" cm="1">
        <f t="array" aca="1" ref="F12" ca="1">_xlfn.LET(_xlpm.h,FWM_HC,_xlpm.c,_xlfn.XMATCH($A12,_xlfn.TAKE(_xlpm.h,1)),(B12-INDEX(_xlpm.h,ROWS(_xlpm.h)-20,_xlpm.c))*100)</f>
      </c>
      <c r="G12" s="44" cm="1">
        <f t="array" aca="1" ref="G12" ca="1">_xlfn.LET(_xlpm.h,FWM_HC,_xlpm.c,_xlfn.XMATCH($A12,_xlfn.TAKE(_xlpm.h,1)),(B12-_xlfn.XLOOKUP(FWM_Cmp,_xlfn.DROP(INDEX(_xlpm.h,,1),1),_xlfn.DROP(INDEX(_xlpm.h,,_xlpm.c),1),"",-1))*100)</f>
      </c>
      <c r="H12" s="11" cm="1">
        <f t="array" aca="1" ref="H12" ca="1">_xlfn.LET(_xlpm.h,FWM_HC,FWM_Sigma(_xlfn.DROP(INDEX(_xlpm.h,,_xlfn.XMATCH($A12&amp;" dF",_xlfn.TAKE(_xlpm.h,1))),1)))</f>
      </c>
      <c r="I12" s="45">
        <f t="shared" ref="I12:I35" ca="1" si="1">D12/H12</f>
      </c>
      <c r="J12" s="45">
        <f t="shared" ref="J12:J35" ca="1" si="2">E12/(H12*SQRT(5))</f>
      </c>
      <c r="K12" s="44">
        <f t="shared" ref="K12:K27" si="3">IF(ISNUMBER(B11),(B12-B11)*100,"")</f>
      </c>
      <c r="AA12">
        <f ca="1"/>
      </c>
      <c r="AB12">
        <f ca="1"/>
      </c>
      <c r="AC12">
        <f ca="1"/>
      </c>
      <c r="AD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L12" t="s">
        <v>8</v>
      </c>
      <c r="AM12">
        <v>1</v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C12">
        <f>VALUE(_xlfn.TEXTBEFORE($A$20,"y"))</f>
      </c>
      <c r="GD12">
        <f ca="1">$B$20</f>
      </c>
      <c r="GE12">
        <f ca="1">IFERROR($B$20-$G$20/100,NA())</f>
      </c>
      <c r="GF12">
        <f ca="1">$G$20</f>
      </c>
      <c r="GM12" s="7">
        <f ca="1"/>
      </c>
      <c r="GN12">
        <f ca="1"/>
      </c>
      <c r="GO12">
        <f ca="1"/>
      </c>
      <c r="GP12">
        <f ca="1"/>
      </c>
      <c r="GQ12">
        <f ca="1"/>
      </c>
      <c r="GT12">
        <f ca="1"/>
      </c>
    </row>
    <row r="13" spans="1:202" x14ac:dyDescent="0.55000000000000004">
      <c r="A13" t="s">
        <v>283</v>
      </c>
      <c r="B13" s="13" cm="1">
        <f t="array" aca="1" ref="B13" ca="1">_xlfn.XLOOKUP($A13,_xlfn.ANCHORARRAY($GS$4),_xlfn.ANCHORARRAY($GT$4),"")</f>
      </c>
      <c r="C13" s="13" cm="1">
        <f t="array" aca="1" ref="C13" ca="1">_xlfn.LET(_xlpm.h,FWM_HC,_xlpm.c,_xlfn.XMATCH($A13,_xlfn.TAKE(_xlpm.h,1)),INDEX(_xlpm.h,ROWS(_xlpm.h),_xlpm.c))</f>
      </c>
      <c r="D13" s="44">
        <f t="shared" ca="1" si="0"/>
      </c>
      <c r="E13" s="44" cm="1">
        <f t="array" aca="1" ref="E13" ca="1">_xlfn.LET(_xlpm.h,FWM_HC,_xlpm.c,_xlfn.XMATCH($A13,_xlfn.TAKE(_xlpm.h,1)),(B13-INDEX(_xlpm.h,ROWS(_xlpm.h)-4,_xlpm.c))*100)</f>
      </c>
      <c r="F13" s="44" cm="1">
        <f t="array" aca="1" ref="F13" ca="1">_xlfn.LET(_xlpm.h,FWM_HC,_xlpm.c,_xlfn.XMATCH($A13,_xlfn.TAKE(_xlpm.h,1)),(B13-INDEX(_xlpm.h,ROWS(_xlpm.h)-20,_xlpm.c))*100)</f>
      </c>
      <c r="G13" s="44" cm="1">
        <f t="array" aca="1" ref="G13" ca="1">_xlfn.LET(_xlpm.h,FWM_HC,_xlpm.c,_xlfn.XMATCH($A13,_xlfn.TAKE(_xlpm.h,1)),(B13-_xlfn.XLOOKUP(FWM_Cmp,_xlfn.DROP(INDEX(_xlpm.h,,1),1),_xlfn.DROP(INDEX(_xlpm.h,,_xlpm.c),1),"",-1))*100)</f>
      </c>
      <c r="H13" s="11" cm="1">
        <f t="array" aca="1" ref="H13" ca="1">_xlfn.LET(_xlpm.h,FWM_HC,FWM_Sigma(_xlfn.DROP(INDEX(_xlpm.h,,_xlfn.XMATCH($A13&amp;" dF",_xlfn.TAKE(_xlpm.h,1))),1)))</f>
      </c>
      <c r="I13" s="45">
        <f t="shared" ca="1" si="1"/>
      </c>
      <c r="J13" s="45">
        <f t="shared" ca="1" si="2"/>
      </c>
      <c r="K13" s="44">
        <f t="shared" ca="1" si="3"/>
      </c>
      <c r="AA13">
        <f ca="1"/>
      </c>
      <c r="AB13">
        <f ca="1"/>
      </c>
      <c r="AC13">
        <f ca="1"/>
      </c>
      <c r="AD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L13" t="s">
        <v>9</v>
      </c>
      <c r="AM13">
        <v>1</v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C13">
        <f>VALUE(_xlfn.TEXTBEFORE($A$21,"y"))</f>
      </c>
      <c r="GD13">
        <f ca="1">$B$21</f>
      </c>
      <c r="GE13">
        <f ca="1">IFERROR($B$21-$G$21/100,NA())</f>
      </c>
      <c r="GF13">
        <f ca="1">$G$21</f>
      </c>
      <c r="GM13" s="7">
        <f ca="1"/>
      </c>
      <c r="GN13">
        <f ca="1"/>
      </c>
      <c r="GO13">
        <f ca="1"/>
      </c>
      <c r="GP13">
        <f ca="1"/>
      </c>
      <c r="GQ13">
        <f ca="1"/>
      </c>
      <c r="GT13">
        <f ca="1"/>
      </c>
    </row>
    <row r="14" spans="1:202" x14ac:dyDescent="0.55000000000000004">
      <c r="A14" t="s">
        <v>284</v>
      </c>
      <c r="B14" s="13" cm="1">
        <f t="array" aca="1" ref="B14" ca="1">_xlfn.XLOOKUP($A14,_xlfn.ANCHORARRAY($GS$4),_xlfn.ANCHORARRAY($GT$4),"")</f>
      </c>
      <c r="C14" s="13" cm="1">
        <f t="array" aca="1" ref="C14" ca="1">_xlfn.LET(_xlpm.h,FWM_HC,_xlpm.c,_xlfn.XMATCH($A14,_xlfn.TAKE(_xlpm.h,1)),INDEX(_xlpm.h,ROWS(_xlpm.h),_xlpm.c))</f>
      </c>
      <c r="D14" s="44">
        <f t="shared" ca="1" si="0"/>
      </c>
      <c r="E14" s="44" cm="1">
        <f t="array" aca="1" ref="E14" ca="1">_xlfn.LET(_xlpm.h,FWM_HC,_xlpm.c,_xlfn.XMATCH($A14,_xlfn.TAKE(_xlpm.h,1)),(B14-INDEX(_xlpm.h,ROWS(_xlpm.h)-4,_xlpm.c))*100)</f>
      </c>
      <c r="F14" s="44" cm="1">
        <f t="array" aca="1" ref="F14" ca="1">_xlfn.LET(_xlpm.h,FWM_HC,_xlpm.c,_xlfn.XMATCH($A14,_xlfn.TAKE(_xlpm.h,1)),(B14-INDEX(_xlpm.h,ROWS(_xlpm.h)-20,_xlpm.c))*100)</f>
      </c>
      <c r="G14" s="44" cm="1">
        <f t="array" aca="1" ref="G14" ca="1">_xlfn.LET(_xlpm.h,FWM_HC,_xlpm.c,_xlfn.XMATCH($A14,_xlfn.TAKE(_xlpm.h,1)),(B14-_xlfn.XLOOKUP(FWM_Cmp,_xlfn.DROP(INDEX(_xlpm.h,,1),1),_xlfn.DROP(INDEX(_xlpm.h,,_xlpm.c),1),"",-1))*100)</f>
      </c>
      <c r="H14" s="11" cm="1">
        <f t="array" aca="1" ref="H14" ca="1">_xlfn.LET(_xlpm.h,FWM_HC,FWM_Sigma(_xlfn.DROP(INDEX(_xlpm.h,,_xlfn.XMATCH($A14&amp;" dF",_xlfn.TAKE(_xlpm.h,1))),1)))</f>
      </c>
      <c r="I14" s="45">
        <f t="shared" ca="1" si="1"/>
      </c>
      <c r="J14" s="45">
        <f t="shared" ca="1" si="2"/>
      </c>
      <c r="K14" s="44">
        <f t="shared" ca="1" si="3"/>
      </c>
      <c r="AA14">
        <f ca="1"/>
      </c>
      <c r="AB14">
        <f ca="1"/>
      </c>
      <c r="AC14">
        <f ca="1"/>
      </c>
      <c r="AD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L14" t="s">
        <v>10</v>
      </c>
      <c r="AM14">
        <v>1</v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C14">
        <f>VALUE(_xlfn.TEXTBEFORE($A$22,"y"))</f>
      </c>
      <c r="GD14">
        <f ca="1">$B$22</f>
      </c>
      <c r="GE14">
        <f ca="1">IFERROR($B$22-$G$22/100,NA())</f>
      </c>
      <c r="GF14">
        <f ca="1">$G$22</f>
      </c>
      <c r="GM14" s="7">
        <f ca="1"/>
      </c>
      <c r="GN14">
        <f ca="1"/>
      </c>
      <c r="GO14">
        <f ca="1"/>
      </c>
      <c r="GP14">
        <f ca="1"/>
      </c>
      <c r="GQ14">
        <f ca="1"/>
      </c>
      <c r="GT14">
        <f ca="1"/>
      </c>
    </row>
    <row r="15" spans="1:202" x14ac:dyDescent="0.55000000000000004">
      <c r="A15" t="s">
        <v>285</v>
      </c>
      <c r="B15" s="13" cm="1">
        <f t="array" aca="1" ref="B15" ca="1">_xlfn.XLOOKUP($A15,_xlfn.ANCHORARRAY($GS$4),_xlfn.ANCHORARRAY($GT$4),"")</f>
      </c>
      <c r="C15" s="13" cm="1">
        <f t="array" aca="1" ref="C15" ca="1">_xlfn.LET(_xlpm.h,FWM_HC,_xlpm.c,_xlfn.XMATCH($A15,_xlfn.TAKE(_xlpm.h,1)),INDEX(_xlpm.h,ROWS(_xlpm.h),_xlpm.c))</f>
      </c>
      <c r="D15" s="44">
        <f t="shared" ca="1" si="0"/>
      </c>
      <c r="E15" s="44" cm="1">
        <f t="array" aca="1" ref="E15" ca="1">_xlfn.LET(_xlpm.h,FWM_HC,_xlpm.c,_xlfn.XMATCH($A15,_xlfn.TAKE(_xlpm.h,1)),(B15-INDEX(_xlpm.h,ROWS(_xlpm.h)-4,_xlpm.c))*100)</f>
      </c>
      <c r="F15" s="44" cm="1">
        <f t="array" aca="1" ref="F15" ca="1">_xlfn.LET(_xlpm.h,FWM_HC,_xlpm.c,_xlfn.XMATCH($A15,_xlfn.TAKE(_xlpm.h,1)),(B15-INDEX(_xlpm.h,ROWS(_xlpm.h)-20,_xlpm.c))*100)</f>
      </c>
      <c r="G15" s="44" cm="1">
        <f t="array" aca="1" ref="G15" ca="1">_xlfn.LET(_xlpm.h,FWM_HC,_xlpm.c,_xlfn.XMATCH($A15,_xlfn.TAKE(_xlpm.h,1)),(B15-_xlfn.XLOOKUP(FWM_Cmp,_xlfn.DROP(INDEX(_xlpm.h,,1),1),_xlfn.DROP(INDEX(_xlpm.h,,_xlpm.c),1),"",-1))*100)</f>
      </c>
      <c r="H15" s="11" cm="1">
        <f t="array" aca="1" ref="H15" ca="1">_xlfn.LET(_xlpm.h,FWM_HC,FWM_Sigma(_xlfn.DROP(INDEX(_xlpm.h,,_xlfn.XMATCH($A15&amp;" dF",_xlfn.TAKE(_xlpm.h,1))),1)))</f>
      </c>
      <c r="I15" s="45">
        <f t="shared" ca="1" si="1"/>
      </c>
      <c r="J15" s="45">
        <f t="shared" ca="1" si="2"/>
      </c>
      <c r="K15" s="44">
        <f t="shared" ca="1" si="3"/>
      </c>
      <c r="AA15">
        <f ca="1"/>
      </c>
      <c r="AB15">
        <f ca="1"/>
      </c>
      <c r="AC15">
        <f ca="1"/>
      </c>
      <c r="AD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L15" t="s">
        <v>11</v>
      </c>
      <c r="AM15">
        <v>1</v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C15">
        <f>VALUE(_xlfn.TEXTBEFORE($A$23,"y"))</f>
      </c>
      <c r="GD15">
        <f ca="1">$B$23</f>
      </c>
      <c r="GE15">
        <f ca="1">IFERROR($B$23-$G$23/100,NA())</f>
      </c>
      <c r="GF15">
        <f ca="1">$G$23</f>
      </c>
      <c r="GM15" s="7">
        <f ca="1"/>
      </c>
      <c r="GN15">
        <f ca="1"/>
      </c>
      <c r="GO15">
        <f ca="1"/>
      </c>
      <c r="GP15">
        <f ca="1"/>
      </c>
      <c r="GQ15">
        <f ca="1"/>
      </c>
      <c r="GT15">
        <f ca="1"/>
      </c>
    </row>
    <row r="16" spans="1:202" x14ac:dyDescent="0.55000000000000004">
      <c r="A16" t="s">
        <v>286</v>
      </c>
      <c r="B16" s="13" cm="1">
        <f t="array" aca="1" ref="B16" ca="1">_xlfn.XLOOKUP($A16,_xlfn.ANCHORARRAY($GS$4),_xlfn.ANCHORARRAY($GT$4),"")</f>
      </c>
      <c r="C16" s="13" cm="1">
        <f t="array" aca="1" ref="C16" ca="1">_xlfn.LET(_xlpm.h,FWM_HC,_xlpm.c,_xlfn.XMATCH($A16,_xlfn.TAKE(_xlpm.h,1)),INDEX(_xlpm.h,ROWS(_xlpm.h),_xlpm.c))</f>
      </c>
      <c r="D16" s="44">
        <f t="shared" ca="1" si="0"/>
      </c>
      <c r="E16" s="44" cm="1">
        <f t="array" aca="1" ref="E16" ca="1">_xlfn.LET(_xlpm.h,FWM_HC,_xlpm.c,_xlfn.XMATCH($A16,_xlfn.TAKE(_xlpm.h,1)),(B16-INDEX(_xlpm.h,ROWS(_xlpm.h)-4,_xlpm.c))*100)</f>
      </c>
      <c r="F16" s="44" cm="1">
        <f t="array" aca="1" ref="F16" ca="1">_xlfn.LET(_xlpm.h,FWM_HC,_xlpm.c,_xlfn.XMATCH($A16,_xlfn.TAKE(_xlpm.h,1)),(B16-INDEX(_xlpm.h,ROWS(_xlpm.h)-20,_xlpm.c))*100)</f>
      </c>
      <c r="G16" s="44" cm="1">
        <f t="array" aca="1" ref="G16" ca="1">_xlfn.LET(_xlpm.h,FWM_HC,_xlpm.c,_xlfn.XMATCH($A16,_xlfn.TAKE(_xlpm.h,1)),(B16-_xlfn.XLOOKUP(FWM_Cmp,_xlfn.DROP(INDEX(_xlpm.h,,1),1),_xlfn.DROP(INDEX(_xlpm.h,,_xlpm.c),1),"",-1))*100)</f>
      </c>
      <c r="H16" s="11" cm="1">
        <f t="array" aca="1" ref="H16" ca="1">_xlfn.LET(_xlpm.h,FWM_HC,FWM_Sigma(_xlfn.DROP(INDEX(_xlpm.h,,_xlfn.XMATCH($A16&amp;" dF",_xlfn.TAKE(_xlpm.h,1))),1)))</f>
      </c>
      <c r="I16" s="45">
        <f t="shared" ca="1" si="1"/>
      </c>
      <c r="J16" s="45">
        <f t="shared" ca="1" si="2"/>
      </c>
      <c r="K16" s="44">
        <f t="shared" ca="1" si="3"/>
      </c>
      <c r="AA16">
        <f ca="1"/>
      </c>
      <c r="AB16">
        <f ca="1"/>
      </c>
      <c r="AC16">
        <f ca="1"/>
      </c>
      <c r="AD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L16" t="s">
        <v>12</v>
      </c>
      <c r="AM16">
        <v>1</v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C16">
        <f>VALUE(_xlfn.TEXTBEFORE($A$24,"y"))</f>
      </c>
      <c r="GD16">
        <f ca="1">$B$24</f>
      </c>
      <c r="GE16">
        <f ca="1">IFERROR($B$24-$G$24/100,NA())</f>
      </c>
      <c r="GF16">
        <f ca="1">$G$24</f>
      </c>
      <c r="GM16" s="7">
        <f ca="1"/>
      </c>
      <c r="GN16">
        <f ca="1"/>
      </c>
      <c r="GO16">
        <f ca="1"/>
      </c>
      <c r="GP16">
        <f ca="1"/>
      </c>
      <c r="GQ16">
        <f ca="1"/>
      </c>
      <c r="GT16">
        <f ca="1"/>
      </c>
    </row>
    <row r="17" spans="1:202" x14ac:dyDescent="0.55000000000000004">
      <c r="A17" t="s">
        <v>287</v>
      </c>
      <c r="B17" s="13" cm="1">
        <f t="array" aca="1" ref="B17" ca="1">_xlfn.XLOOKUP($A17,_xlfn.ANCHORARRAY($GS$4),_xlfn.ANCHORARRAY($GT$4),"")</f>
      </c>
      <c r="C17" s="13" cm="1">
        <f t="array" aca="1" ref="C17" ca="1">_xlfn.LET(_xlpm.h,FWM_HC,_xlpm.c,_xlfn.XMATCH($A17,_xlfn.TAKE(_xlpm.h,1)),INDEX(_xlpm.h,ROWS(_xlpm.h),_xlpm.c))</f>
      </c>
      <c r="D17" s="44">
        <f t="shared" ca="1" si="0"/>
      </c>
      <c r="E17" s="44" cm="1">
        <f t="array" aca="1" ref="E17" ca="1">_xlfn.LET(_xlpm.h,FWM_HC,_xlpm.c,_xlfn.XMATCH($A17,_xlfn.TAKE(_xlpm.h,1)),(B17-INDEX(_xlpm.h,ROWS(_xlpm.h)-4,_xlpm.c))*100)</f>
      </c>
      <c r="F17" s="44" cm="1">
        <f t="array" aca="1" ref="F17" ca="1">_xlfn.LET(_xlpm.h,FWM_HC,_xlpm.c,_xlfn.XMATCH($A17,_xlfn.TAKE(_xlpm.h,1)),(B17-INDEX(_xlpm.h,ROWS(_xlpm.h)-20,_xlpm.c))*100)</f>
      </c>
      <c r="G17" s="44" cm="1">
        <f t="array" aca="1" ref="G17" ca="1">_xlfn.LET(_xlpm.h,FWM_HC,_xlpm.c,_xlfn.XMATCH($A17,_xlfn.TAKE(_xlpm.h,1)),(B17-_xlfn.XLOOKUP(FWM_Cmp,_xlfn.DROP(INDEX(_xlpm.h,,1),1),_xlfn.DROP(INDEX(_xlpm.h,,_xlpm.c),1),"",-1))*100)</f>
      </c>
      <c r="H17" s="11" cm="1">
        <f t="array" aca="1" ref="H17" ca="1">_xlfn.LET(_xlpm.h,FWM_HC,FWM_Sigma(_xlfn.DROP(INDEX(_xlpm.h,,_xlfn.XMATCH($A17&amp;" dF",_xlfn.TAKE(_xlpm.h,1))),1)))</f>
      </c>
      <c r="I17" s="45">
        <f t="shared" ca="1" si="1"/>
      </c>
      <c r="J17" s="45">
        <f t="shared" ca="1" si="2"/>
      </c>
      <c r="K17" s="44">
        <f t="shared" ca="1" si="3"/>
      </c>
      <c r="AA17">
        <f ca="1"/>
      </c>
      <c r="AB17">
        <f ca="1"/>
      </c>
      <c r="AC17">
        <f ca="1"/>
      </c>
      <c r="AD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L17" t="s">
        <v>41</v>
      </c>
      <c r="AM17">
        <v>1</v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C17">
        <f>VALUE(_xlfn.TEXTBEFORE($A$25,"y"))</f>
      </c>
      <c r="GD17">
        <f ca="1">$B$25</f>
      </c>
      <c r="GE17">
        <f ca="1">IFERROR($B$25-$G$25/100,NA())</f>
      </c>
      <c r="GF17">
        <f ca="1">$G$25</f>
      </c>
      <c r="GM17" s="7">
        <f ca="1"/>
      </c>
      <c r="GN17">
        <f ca="1"/>
      </c>
      <c r="GO17">
        <f ca="1"/>
      </c>
      <c r="GP17">
        <f ca="1"/>
      </c>
      <c r="GQ17">
        <f ca="1"/>
      </c>
      <c r="GT17">
        <f ca="1"/>
      </c>
    </row>
    <row r="18" spans="1:202" x14ac:dyDescent="0.55000000000000004">
      <c r="A18" t="s">
        <v>288</v>
      </c>
      <c r="B18" s="13" cm="1">
        <f t="array" aca="1" ref="B18" ca="1">_xlfn.XLOOKUP($A18,_xlfn.ANCHORARRAY($GS$4),_xlfn.ANCHORARRAY($GT$4),"")</f>
      </c>
      <c r="C18" s="13" cm="1">
        <f t="array" aca="1" ref="C18" ca="1">_xlfn.LET(_xlpm.h,FWM_HC,_xlpm.c,_xlfn.XMATCH($A18,_xlfn.TAKE(_xlpm.h,1)),INDEX(_xlpm.h,ROWS(_xlpm.h),_xlpm.c))</f>
      </c>
      <c r="D18" s="44">
        <f t="shared" ca="1" si="0"/>
      </c>
      <c r="E18" s="44" cm="1">
        <f t="array" aca="1" ref="E18" ca="1">_xlfn.LET(_xlpm.h,FWM_HC,_xlpm.c,_xlfn.XMATCH($A18,_xlfn.TAKE(_xlpm.h,1)),(B18-INDEX(_xlpm.h,ROWS(_xlpm.h)-4,_xlpm.c))*100)</f>
      </c>
      <c r="F18" s="44" cm="1">
        <f t="array" aca="1" ref="F18" ca="1">_xlfn.LET(_xlpm.h,FWM_HC,_xlpm.c,_xlfn.XMATCH($A18,_xlfn.TAKE(_xlpm.h,1)),(B18-INDEX(_xlpm.h,ROWS(_xlpm.h)-20,_xlpm.c))*100)</f>
      </c>
      <c r="G18" s="44" cm="1">
        <f t="array" aca="1" ref="G18" ca="1">_xlfn.LET(_xlpm.h,FWM_HC,_xlpm.c,_xlfn.XMATCH($A18,_xlfn.TAKE(_xlpm.h,1)),(B18-_xlfn.XLOOKUP(FWM_Cmp,_xlfn.DROP(INDEX(_xlpm.h,,1),1),_xlfn.DROP(INDEX(_xlpm.h,,_xlpm.c),1),"",-1))*100)</f>
      </c>
      <c r="H18" s="11" cm="1">
        <f t="array" aca="1" ref="H18" ca="1">_xlfn.LET(_xlpm.h,FWM_HC,FWM_Sigma(_xlfn.DROP(INDEX(_xlpm.h,,_xlfn.XMATCH($A18&amp;" dF",_xlfn.TAKE(_xlpm.h,1))),1)))</f>
      </c>
      <c r="I18" s="45">
        <f t="shared" ca="1" si="1"/>
      </c>
      <c r="J18" s="45">
        <f t="shared" ca="1" si="2"/>
      </c>
      <c r="K18" s="44">
        <f t="shared" ca="1" si="3"/>
      </c>
      <c r="AA18">
        <f ca="1"/>
      </c>
      <c r="AB18">
        <f ca="1"/>
      </c>
      <c r="AC18">
        <f ca="1"/>
      </c>
      <c r="AD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L18" t="s">
        <v>13</v>
      </c>
      <c r="AM18">
        <v>1</v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C18">
        <f>VALUE(_xlfn.TEXTBEFORE($A$26,"y"))</f>
      </c>
      <c r="GD18">
        <f ca="1">$B$26</f>
      </c>
      <c r="GE18">
        <f ca="1">IFERROR($B$26-$G$26/100,NA())</f>
      </c>
      <c r="GF18">
        <f ca="1">$G$26</f>
      </c>
      <c r="GM18" s="7">
        <f ca="1"/>
      </c>
      <c r="GN18">
        <f ca="1"/>
      </c>
      <c r="GO18">
        <f ca="1"/>
      </c>
      <c r="GP18">
        <f ca="1"/>
      </c>
      <c r="GQ18">
        <f ca="1"/>
      </c>
      <c r="GT18">
        <f ca="1"/>
      </c>
    </row>
    <row r="19" spans="1:202" x14ac:dyDescent="0.55000000000000004">
      <c r="A19" t="s">
        <v>289</v>
      </c>
      <c r="B19" s="13" cm="1">
        <f t="array" aca="1" ref="B19" ca="1">_xlfn.XLOOKUP($A19,_xlfn.ANCHORARRAY($GS$4),_xlfn.ANCHORARRAY($GT$4),"")</f>
      </c>
      <c r="C19" s="13" cm="1">
        <f t="array" aca="1" ref="C19" ca="1">_xlfn.LET(_xlpm.h,FWM_HC,_xlpm.c,_xlfn.XMATCH($A19,_xlfn.TAKE(_xlpm.h,1)),INDEX(_xlpm.h,ROWS(_xlpm.h),_xlpm.c))</f>
      </c>
      <c r="D19" s="44">
        <f t="shared" ca="1" si="0"/>
      </c>
      <c r="E19" s="44" cm="1">
        <f t="array" aca="1" ref="E19" ca="1">_xlfn.LET(_xlpm.h,FWM_HC,_xlpm.c,_xlfn.XMATCH($A19,_xlfn.TAKE(_xlpm.h,1)),(B19-INDEX(_xlpm.h,ROWS(_xlpm.h)-4,_xlpm.c))*100)</f>
      </c>
      <c r="F19" s="44" cm="1">
        <f t="array" aca="1" ref="F19" ca="1">_xlfn.LET(_xlpm.h,FWM_HC,_xlpm.c,_xlfn.XMATCH($A19,_xlfn.TAKE(_xlpm.h,1)),(B19-INDEX(_xlpm.h,ROWS(_xlpm.h)-20,_xlpm.c))*100)</f>
      </c>
      <c r="G19" s="44" cm="1">
        <f t="array" aca="1" ref="G19" ca="1">_xlfn.LET(_xlpm.h,FWM_HC,_xlpm.c,_xlfn.XMATCH($A19,_xlfn.TAKE(_xlpm.h,1)),(B19-_xlfn.XLOOKUP(FWM_Cmp,_xlfn.DROP(INDEX(_xlpm.h,,1),1),_xlfn.DROP(INDEX(_xlpm.h,,_xlpm.c),1),"",-1))*100)</f>
      </c>
      <c r="H19" s="11" cm="1">
        <f t="array" aca="1" ref="H19" ca="1">_xlfn.LET(_xlpm.h,FWM_HC,FWM_Sigma(_xlfn.DROP(INDEX(_xlpm.h,,_xlfn.XMATCH($A19&amp;" dF",_xlfn.TAKE(_xlpm.h,1))),1)))</f>
      </c>
      <c r="I19" s="45">
        <f t="shared" ca="1" si="1"/>
      </c>
      <c r="J19" s="45">
        <f t="shared" ca="1" si="2"/>
      </c>
      <c r="K19" s="44">
        <f t="shared" ca="1" si="3"/>
      </c>
      <c r="AA19">
        <f ca="1"/>
      </c>
      <c r="AB19">
        <f ca="1"/>
      </c>
      <c r="AC19">
        <f ca="1"/>
      </c>
      <c r="AD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L19" t="s">
        <v>14</v>
      </c>
      <c r="AM19">
        <v>1</v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C19">
        <f>VALUE(_xlfn.TEXTBEFORE($A$27,"y"))</f>
      </c>
      <c r="GD19">
        <f ca="1">$B$27</f>
      </c>
      <c r="GE19">
        <f ca="1">IFERROR($B$27-$G$27/100,NA())</f>
      </c>
      <c r="GF19">
        <f ca="1">$G$27</f>
      </c>
      <c r="GM19" s="7">
        <f ca="1"/>
      </c>
      <c r="GN19">
        <f ca="1"/>
      </c>
      <c r="GO19">
        <f ca="1"/>
      </c>
      <c r="GP19">
        <f ca="1"/>
      </c>
      <c r="GQ19">
        <f ca="1"/>
      </c>
      <c r="GT19">
        <f ca="1"/>
      </c>
    </row>
    <row r="20" spans="1:202" x14ac:dyDescent="0.55000000000000004">
      <c r="A20" t="s">
        <v>290</v>
      </c>
      <c r="B20" s="13" cm="1">
        <f t="array" aca="1" ref="B20" ca="1">_xlfn.XLOOKUP($A20,_xlfn.ANCHORARRAY($GS$4),_xlfn.ANCHORARRAY($GT$4),"")</f>
      </c>
      <c r="C20" s="13" cm="1">
        <f t="array" aca="1" ref="C20" ca="1">_xlfn.LET(_xlpm.h,FWM_HC,_xlpm.c,_xlfn.XMATCH($A20,_xlfn.TAKE(_xlpm.h,1)),INDEX(_xlpm.h,ROWS(_xlpm.h),_xlpm.c))</f>
      </c>
      <c r="D20" s="44">
        <f t="shared" ca="1" si="0"/>
      </c>
      <c r="E20" s="44" cm="1">
        <f t="array" aca="1" ref="E20" ca="1">_xlfn.LET(_xlpm.h,FWM_HC,_xlpm.c,_xlfn.XMATCH($A20,_xlfn.TAKE(_xlpm.h,1)),(B20-INDEX(_xlpm.h,ROWS(_xlpm.h)-4,_xlpm.c))*100)</f>
      </c>
      <c r="F20" s="44" cm="1">
        <f t="array" aca="1" ref="F20" ca="1">_xlfn.LET(_xlpm.h,FWM_HC,_xlpm.c,_xlfn.XMATCH($A20,_xlfn.TAKE(_xlpm.h,1)),(B20-INDEX(_xlpm.h,ROWS(_xlpm.h)-20,_xlpm.c))*100)</f>
      </c>
      <c r="G20" s="44" cm="1">
        <f t="array" aca="1" ref="G20" ca="1">_xlfn.LET(_xlpm.h,FWM_HC,_xlpm.c,_xlfn.XMATCH($A20,_xlfn.TAKE(_xlpm.h,1)),(B20-_xlfn.XLOOKUP(FWM_Cmp,_xlfn.DROP(INDEX(_xlpm.h,,1),1),_xlfn.DROP(INDEX(_xlpm.h,,_xlpm.c),1),"",-1))*100)</f>
      </c>
      <c r="H20" s="11" cm="1">
        <f t="array" aca="1" ref="H20" ca="1">_xlfn.LET(_xlpm.h,FWM_HC,FWM_Sigma(_xlfn.DROP(INDEX(_xlpm.h,,_xlfn.XMATCH($A20&amp;" dF",_xlfn.TAKE(_xlpm.h,1))),1)))</f>
      </c>
      <c r="I20" s="45">
        <f t="shared" ca="1" si="1"/>
      </c>
      <c r="J20" s="45">
        <f t="shared" ca="1" si="2"/>
      </c>
      <c r="K20" s="44">
        <f t="shared" ca="1" si="3"/>
      </c>
      <c r="AA20">
        <f ca="1"/>
      </c>
      <c r="AB20">
        <f ca="1"/>
      </c>
      <c r="AC20">
        <f ca="1"/>
      </c>
      <c r="AD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L20" t="s">
        <v>15</v>
      </c>
      <c r="AM20">
        <v>1</v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M20" s="7">
        <f ca="1"/>
      </c>
      <c r="GN20">
        <f ca="1"/>
      </c>
      <c r="GO20">
        <f ca="1"/>
      </c>
      <c r="GP20">
        <f ca="1"/>
      </c>
      <c r="GQ20">
        <f ca="1"/>
      </c>
      <c r="GT20">
        <f ca="1"/>
      </c>
    </row>
    <row r="21" spans="1:202" x14ac:dyDescent="0.55000000000000004">
      <c r="A21" t="s">
        <v>291</v>
      </c>
      <c r="B21" s="13" cm="1">
        <f t="array" aca="1" ref="B21" ca="1">_xlfn.XLOOKUP($A21,_xlfn.ANCHORARRAY($GS$4),_xlfn.ANCHORARRAY($GT$4),"")</f>
      </c>
      <c r="C21" s="13" cm="1">
        <f t="array" aca="1" ref="C21" ca="1">_xlfn.LET(_xlpm.h,FWM_HC,_xlpm.c,_xlfn.XMATCH($A21,_xlfn.TAKE(_xlpm.h,1)),INDEX(_xlpm.h,ROWS(_xlpm.h),_xlpm.c))</f>
      </c>
      <c r="D21" s="44">
        <f t="shared" ca="1" si="0"/>
      </c>
      <c r="E21" s="44" cm="1">
        <f t="array" aca="1" ref="E21" ca="1">_xlfn.LET(_xlpm.h,FWM_HC,_xlpm.c,_xlfn.XMATCH($A21,_xlfn.TAKE(_xlpm.h,1)),(B21-INDEX(_xlpm.h,ROWS(_xlpm.h)-4,_xlpm.c))*100)</f>
      </c>
      <c r="F21" s="44" cm="1">
        <f t="array" aca="1" ref="F21" ca="1">_xlfn.LET(_xlpm.h,FWM_HC,_xlpm.c,_xlfn.XMATCH($A21,_xlfn.TAKE(_xlpm.h,1)),(B21-INDEX(_xlpm.h,ROWS(_xlpm.h)-20,_xlpm.c))*100)</f>
      </c>
      <c r="G21" s="44" cm="1">
        <f t="array" aca="1" ref="G21" ca="1">_xlfn.LET(_xlpm.h,FWM_HC,_xlpm.c,_xlfn.XMATCH($A21,_xlfn.TAKE(_xlpm.h,1)),(B21-_xlfn.XLOOKUP(FWM_Cmp,_xlfn.DROP(INDEX(_xlpm.h,,1),1),_xlfn.DROP(INDEX(_xlpm.h,,_xlpm.c),1),"",-1))*100)</f>
      </c>
      <c r="H21" s="11" cm="1">
        <f t="array" aca="1" ref="H21" ca="1">_xlfn.LET(_xlpm.h,FWM_HC,FWM_Sigma(_xlfn.DROP(INDEX(_xlpm.h,,_xlfn.XMATCH($A21&amp;" dF",_xlfn.TAKE(_xlpm.h,1))),1)))</f>
      </c>
      <c r="I21" s="45">
        <f t="shared" ca="1" si="1"/>
      </c>
      <c r="J21" s="45">
        <f t="shared" ca="1" si="2"/>
      </c>
      <c r="K21" s="44">
        <f t="shared" ca="1" si="3"/>
      </c>
      <c r="AA21">
        <f ca="1"/>
      </c>
      <c r="AB21">
        <f ca="1"/>
      </c>
      <c r="AC21">
        <f ca="1"/>
      </c>
      <c r="AD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L21" t="s">
        <v>16</v>
      </c>
      <c r="AM21">
        <v>1</v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M21" s="7">
        <f ca="1"/>
      </c>
      <c r="GN21">
        <f ca="1"/>
      </c>
      <c r="GO21">
        <f ca="1"/>
      </c>
      <c r="GP21">
        <f ca="1"/>
      </c>
      <c r="GQ21">
        <f ca="1"/>
      </c>
      <c r="GT21">
        <f ca="1"/>
      </c>
    </row>
    <row r="22" spans="1:202" x14ac:dyDescent="0.55000000000000004">
      <c r="A22" t="s">
        <v>292</v>
      </c>
      <c r="B22" s="13" cm="1">
        <f t="array" aca="1" ref="B22" ca="1">_xlfn.XLOOKUP($A22,_xlfn.ANCHORARRAY($GS$4),_xlfn.ANCHORARRAY($GT$4),"")</f>
      </c>
      <c r="C22" s="13" cm="1">
        <f t="array" aca="1" ref="C22" ca="1">_xlfn.LET(_xlpm.h,FWM_HC,_xlpm.c,_xlfn.XMATCH($A22,_xlfn.TAKE(_xlpm.h,1)),INDEX(_xlpm.h,ROWS(_xlpm.h),_xlpm.c))</f>
      </c>
      <c r="D22" s="44">
        <f t="shared" ca="1" si="0"/>
      </c>
      <c r="E22" s="44" cm="1">
        <f t="array" aca="1" ref="E22" ca="1">_xlfn.LET(_xlpm.h,FWM_HC,_xlpm.c,_xlfn.XMATCH($A22,_xlfn.TAKE(_xlpm.h,1)),(B22-INDEX(_xlpm.h,ROWS(_xlpm.h)-4,_xlpm.c))*100)</f>
      </c>
      <c r="F22" s="44" cm="1">
        <f t="array" aca="1" ref="F22" ca="1">_xlfn.LET(_xlpm.h,FWM_HC,_xlpm.c,_xlfn.XMATCH($A22,_xlfn.TAKE(_xlpm.h,1)),(B22-INDEX(_xlpm.h,ROWS(_xlpm.h)-20,_xlpm.c))*100)</f>
      </c>
      <c r="G22" s="44" cm="1">
        <f t="array" aca="1" ref="G22" ca="1">_xlfn.LET(_xlpm.h,FWM_HC,_xlpm.c,_xlfn.XMATCH($A22,_xlfn.TAKE(_xlpm.h,1)),(B22-_xlfn.XLOOKUP(FWM_Cmp,_xlfn.DROP(INDEX(_xlpm.h,,1),1),_xlfn.DROP(INDEX(_xlpm.h,,_xlpm.c),1),"",-1))*100)</f>
      </c>
      <c r="H22" s="11" cm="1">
        <f t="array" aca="1" ref="H22" ca="1">_xlfn.LET(_xlpm.h,FWM_HC,FWM_Sigma(_xlfn.DROP(INDEX(_xlpm.h,,_xlfn.XMATCH($A22&amp;" dF",_xlfn.TAKE(_xlpm.h,1))),1)))</f>
      </c>
      <c r="I22" s="45">
        <f t="shared" ca="1" si="1"/>
      </c>
      <c r="J22" s="45">
        <f t="shared" ca="1" si="2"/>
      </c>
      <c r="K22" s="44">
        <f t="shared" ca="1" si="3"/>
      </c>
      <c r="AA22">
        <f ca="1"/>
      </c>
      <c r="AB22">
        <f ca="1"/>
      </c>
      <c r="AC22">
        <f ca="1"/>
      </c>
      <c r="AD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L22" t="s">
        <v>17</v>
      </c>
      <c r="AM22">
        <v>1</v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M22" s="7">
        <f ca="1"/>
      </c>
      <c r="GN22">
        <f ca="1"/>
      </c>
      <c r="GO22">
        <f ca="1"/>
      </c>
      <c r="GP22">
        <f ca="1"/>
      </c>
      <c r="GQ22">
        <f ca="1"/>
      </c>
      <c r="GT22">
        <f ca="1"/>
      </c>
    </row>
    <row r="23" spans="1:202" x14ac:dyDescent="0.55000000000000004">
      <c r="A23" t="s">
        <v>293</v>
      </c>
      <c r="B23" s="13" cm="1">
        <f t="array" aca="1" ref="B23" ca="1">_xlfn.XLOOKUP($A23,_xlfn.ANCHORARRAY($GS$4),_xlfn.ANCHORARRAY($GT$4),"")</f>
      </c>
      <c r="C23" s="13" cm="1">
        <f t="array" aca="1" ref="C23" ca="1">_xlfn.LET(_xlpm.h,FWM_HC,_xlpm.c,_xlfn.XMATCH($A23,_xlfn.TAKE(_xlpm.h,1)),INDEX(_xlpm.h,ROWS(_xlpm.h),_xlpm.c))</f>
      </c>
      <c r="D23" s="44">
        <f t="shared" ca="1" si="0"/>
      </c>
      <c r="E23" s="44" cm="1">
        <f t="array" aca="1" ref="E23" ca="1">_xlfn.LET(_xlpm.h,FWM_HC,_xlpm.c,_xlfn.XMATCH($A23,_xlfn.TAKE(_xlpm.h,1)),(B23-INDEX(_xlpm.h,ROWS(_xlpm.h)-4,_xlpm.c))*100)</f>
      </c>
      <c r="F23" s="44" cm="1">
        <f t="array" aca="1" ref="F23" ca="1">_xlfn.LET(_xlpm.h,FWM_HC,_xlpm.c,_xlfn.XMATCH($A23,_xlfn.TAKE(_xlpm.h,1)),(B23-INDEX(_xlpm.h,ROWS(_xlpm.h)-20,_xlpm.c))*100)</f>
      </c>
      <c r="G23" s="44" cm="1">
        <f t="array" aca="1" ref="G23" ca="1">_xlfn.LET(_xlpm.h,FWM_HC,_xlpm.c,_xlfn.XMATCH($A23,_xlfn.TAKE(_xlpm.h,1)),(B23-_xlfn.XLOOKUP(FWM_Cmp,_xlfn.DROP(INDEX(_xlpm.h,,1),1),_xlfn.DROP(INDEX(_xlpm.h,,_xlpm.c),1),"",-1))*100)</f>
      </c>
      <c r="H23" s="11" cm="1">
        <f t="array" aca="1" ref="H23" ca="1">_xlfn.LET(_xlpm.h,FWM_HC,FWM_Sigma(_xlfn.DROP(INDEX(_xlpm.h,,_xlfn.XMATCH($A23&amp;" dF",_xlfn.TAKE(_xlpm.h,1))),1)))</f>
      </c>
      <c r="I23" s="45">
        <f t="shared" ca="1" si="1"/>
      </c>
      <c r="J23" s="45">
        <f t="shared" ca="1" si="2"/>
      </c>
      <c r="K23" s="44">
        <f t="shared" ca="1" si="3"/>
      </c>
      <c r="AA23">
        <f ca="1"/>
      </c>
      <c r="AB23">
        <f ca="1"/>
      </c>
      <c r="AC23">
        <f ca="1"/>
      </c>
      <c r="AD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L23" t="s">
        <v>18</v>
      </c>
      <c r="AM23">
        <v>1</v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M23" s="7">
        <f ca="1"/>
      </c>
      <c r="GN23">
        <f ca="1"/>
      </c>
      <c r="GO23">
        <f ca="1"/>
      </c>
      <c r="GP23">
        <f ca="1"/>
      </c>
      <c r="GQ23">
        <f ca="1"/>
      </c>
      <c r="GT23">
        <f ca="1"/>
      </c>
    </row>
    <row r="24" spans="1:202" x14ac:dyDescent="0.55000000000000004">
      <c r="A24" t="s">
        <v>294</v>
      </c>
      <c r="B24" s="13" cm="1">
        <f t="array" aca="1" ref="B24" ca="1">_xlfn.XLOOKUP($A24,_xlfn.ANCHORARRAY($GS$4),_xlfn.ANCHORARRAY($GT$4),"")</f>
      </c>
      <c r="C24" s="13" cm="1">
        <f t="array" aca="1" ref="C24" ca="1">_xlfn.LET(_xlpm.h,FWM_HC,_xlpm.c,_xlfn.XMATCH($A24,_xlfn.TAKE(_xlpm.h,1)),INDEX(_xlpm.h,ROWS(_xlpm.h),_xlpm.c))</f>
      </c>
      <c r="D24" s="44">
        <f t="shared" ca="1" si="0"/>
      </c>
      <c r="E24" s="44" cm="1">
        <f t="array" aca="1" ref="E24" ca="1">_xlfn.LET(_xlpm.h,FWM_HC,_xlpm.c,_xlfn.XMATCH($A24,_xlfn.TAKE(_xlpm.h,1)),(B24-INDEX(_xlpm.h,ROWS(_xlpm.h)-4,_xlpm.c))*100)</f>
      </c>
      <c r="F24" s="44" cm="1">
        <f t="array" aca="1" ref="F24" ca="1">_xlfn.LET(_xlpm.h,FWM_HC,_xlpm.c,_xlfn.XMATCH($A24,_xlfn.TAKE(_xlpm.h,1)),(B24-INDEX(_xlpm.h,ROWS(_xlpm.h)-20,_xlpm.c))*100)</f>
      </c>
      <c r="G24" s="44" cm="1">
        <f t="array" aca="1" ref="G24" ca="1">_xlfn.LET(_xlpm.h,FWM_HC,_xlpm.c,_xlfn.XMATCH($A24,_xlfn.TAKE(_xlpm.h,1)),(B24-_xlfn.XLOOKUP(FWM_Cmp,_xlfn.DROP(INDEX(_xlpm.h,,1),1),_xlfn.DROP(INDEX(_xlpm.h,,_xlpm.c),1),"",-1))*100)</f>
      </c>
      <c r="H24" s="11" cm="1">
        <f t="array" aca="1" ref="H24" ca="1">_xlfn.LET(_xlpm.h,FWM_HC,FWM_Sigma(_xlfn.DROP(INDEX(_xlpm.h,,_xlfn.XMATCH($A24&amp;" dF",_xlfn.TAKE(_xlpm.h,1))),1)))</f>
      </c>
      <c r="I24" s="45">
        <f t="shared" ca="1" si="1"/>
      </c>
      <c r="J24" s="45">
        <f t="shared" ca="1" si="2"/>
      </c>
      <c r="K24" s="44">
        <f t="shared" ca="1" si="3"/>
      </c>
      <c r="AA24">
        <f ca="1"/>
      </c>
      <c r="AB24">
        <f ca="1"/>
      </c>
      <c r="AC24">
        <f ca="1"/>
      </c>
      <c r="AD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L24" t="s">
        <v>19</v>
      </c>
      <c r="AM24">
        <v>1</v>
      </c>
      <c r="AO24">
        <f ca="1"/>
      </c>
      <c r="AP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M24" s="7">
        <f ca="1"/>
      </c>
      <c r="GN24">
        <f ca="1"/>
      </c>
      <c r="GO24">
        <f ca="1"/>
      </c>
      <c r="GP24">
        <f ca="1"/>
      </c>
      <c r="GQ24">
        <f ca="1"/>
      </c>
      <c r="GT24">
        <f ca="1"/>
      </c>
    </row>
    <row r="25" spans="1:202" x14ac:dyDescent="0.55000000000000004">
      <c r="A25" t="s">
        <v>295</v>
      </c>
      <c r="B25" s="13" cm="1">
        <f t="array" aca="1" ref="B25" ca="1">_xlfn.XLOOKUP($A25,_xlfn.ANCHORARRAY($GS$4),_xlfn.ANCHORARRAY($GT$4),"")</f>
      </c>
      <c r="C25" s="13" cm="1">
        <f t="array" aca="1" ref="C25" ca="1">_xlfn.LET(_xlpm.h,FWM_HC,_xlpm.c,_xlfn.XMATCH($A25,_xlfn.TAKE(_xlpm.h,1)),INDEX(_xlpm.h,ROWS(_xlpm.h),_xlpm.c))</f>
      </c>
      <c r="D25" s="44">
        <f t="shared" ca="1" si="0"/>
      </c>
      <c r="E25" s="44" cm="1">
        <f t="array" aca="1" ref="E25" ca="1">_xlfn.LET(_xlpm.h,FWM_HC,_xlpm.c,_xlfn.XMATCH($A25,_xlfn.TAKE(_xlpm.h,1)),(B25-INDEX(_xlpm.h,ROWS(_xlpm.h)-4,_xlpm.c))*100)</f>
      </c>
      <c r="F25" s="44" cm="1">
        <f t="array" aca="1" ref="F25" ca="1">_xlfn.LET(_xlpm.h,FWM_HC,_xlpm.c,_xlfn.XMATCH($A25,_xlfn.TAKE(_xlpm.h,1)),(B25-INDEX(_xlpm.h,ROWS(_xlpm.h)-20,_xlpm.c))*100)</f>
      </c>
      <c r="G25" s="44" cm="1">
        <f t="array" aca="1" ref="G25" ca="1">_xlfn.LET(_xlpm.h,FWM_HC,_xlpm.c,_xlfn.XMATCH($A25,_xlfn.TAKE(_xlpm.h,1)),(B25-_xlfn.XLOOKUP(FWM_Cmp,_xlfn.DROP(INDEX(_xlpm.h,,1),1),_xlfn.DROP(INDEX(_xlpm.h,,_xlpm.c),1),"",-1))*100)</f>
      </c>
      <c r="H25" s="11" cm="1">
        <f t="array" aca="1" ref="H25" ca="1">_xlfn.LET(_xlpm.h,FWM_HC,FWM_Sigma(_xlfn.DROP(INDEX(_xlpm.h,,_xlfn.XMATCH($A25&amp;" dF",_xlfn.TAKE(_xlpm.h,1))),1)))</f>
      </c>
      <c r="I25" s="45">
        <f t="shared" ca="1" si="1"/>
      </c>
      <c r="J25" s="45">
        <f t="shared" ca="1" si="2"/>
      </c>
      <c r="K25" s="44">
        <f t="shared" ca="1" si="3"/>
      </c>
      <c r="AA25">
        <f ca="1"/>
      </c>
      <c r="AB25">
        <f ca="1"/>
      </c>
      <c r="AC25">
        <f ca="1"/>
      </c>
      <c r="AD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L25" t="s">
        <v>20</v>
      </c>
      <c r="AM25">
        <v>1</v>
      </c>
      <c r="AO25">
        <f ca="1"/>
      </c>
      <c r="AP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M25" s="7">
        <f ca="1"/>
      </c>
      <c r="GN25">
        <f ca="1"/>
      </c>
      <c r="GO25">
        <f ca="1"/>
      </c>
      <c r="GP25">
        <f ca="1"/>
      </c>
      <c r="GQ25">
        <f ca="1"/>
      </c>
      <c r="GT25">
        <f ca="1"/>
      </c>
    </row>
    <row r="26" spans="1:202" x14ac:dyDescent="0.55000000000000004">
      <c r="A26" t="s">
        <v>296</v>
      </c>
      <c r="B26" s="13" cm="1">
        <f t="array" aca="1" ref="B26" ca="1">_xlfn.XLOOKUP($A26,_xlfn.ANCHORARRAY($GS$4),_xlfn.ANCHORARRAY($GT$4),"")</f>
      </c>
      <c r="C26" s="13" cm="1">
        <f t="array" aca="1" ref="C26" ca="1">_xlfn.LET(_xlpm.h,FWM_HC,_xlpm.c,_xlfn.XMATCH($A26,_xlfn.TAKE(_xlpm.h,1)),INDEX(_xlpm.h,ROWS(_xlpm.h),_xlpm.c))</f>
      </c>
      <c r="D26" s="44">
        <f t="shared" ca="1" si="0"/>
      </c>
      <c r="E26" s="44" cm="1">
        <f t="array" aca="1" ref="E26" ca="1">_xlfn.LET(_xlpm.h,FWM_HC,_xlpm.c,_xlfn.XMATCH($A26,_xlfn.TAKE(_xlpm.h,1)),(B26-INDEX(_xlpm.h,ROWS(_xlpm.h)-4,_xlpm.c))*100)</f>
      </c>
      <c r="F26" s="44" cm="1">
        <f t="array" aca="1" ref="F26" ca="1">_xlfn.LET(_xlpm.h,FWM_HC,_xlpm.c,_xlfn.XMATCH($A26,_xlfn.TAKE(_xlpm.h,1)),(B26-INDEX(_xlpm.h,ROWS(_xlpm.h)-20,_xlpm.c))*100)</f>
      </c>
      <c r="G26" s="44" cm="1">
        <f t="array" aca="1" ref="G26" ca="1">_xlfn.LET(_xlpm.h,FWM_HC,_xlpm.c,_xlfn.XMATCH($A26,_xlfn.TAKE(_xlpm.h,1)),(B26-_xlfn.XLOOKUP(FWM_Cmp,_xlfn.DROP(INDEX(_xlpm.h,,1),1),_xlfn.DROP(INDEX(_xlpm.h,,_xlpm.c),1),"",-1))*100)</f>
      </c>
      <c r="H26" s="11" cm="1">
        <f t="array" aca="1" ref="H26" ca="1">_xlfn.LET(_xlpm.h,FWM_HC,FWM_Sigma(_xlfn.DROP(INDEX(_xlpm.h,,_xlfn.XMATCH($A26&amp;" dF",_xlfn.TAKE(_xlpm.h,1))),1)))</f>
      </c>
      <c r="I26" s="45">
        <f t="shared" ca="1" si="1"/>
      </c>
      <c r="J26" s="45">
        <f t="shared" ca="1" si="2"/>
      </c>
      <c r="K26" s="44">
        <f t="shared" ca="1" si="3"/>
      </c>
      <c r="AA26">
        <f ca="1"/>
      </c>
      <c r="AB26">
        <f ca="1"/>
      </c>
      <c r="AC26">
        <f ca="1"/>
      </c>
      <c r="AD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L26" t="s">
        <v>21</v>
      </c>
      <c r="AM26">
        <v>1</v>
      </c>
      <c r="AO26">
        <f ca="1"/>
      </c>
      <c r="AP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M26" s="7">
        <f ca="1"/>
      </c>
      <c r="GN26">
        <f ca="1"/>
      </c>
      <c r="GO26">
        <f ca="1"/>
      </c>
      <c r="GP26">
        <f ca="1"/>
      </c>
      <c r="GQ26">
        <f ca="1"/>
      </c>
      <c r="GT26">
        <f ca="1"/>
      </c>
    </row>
    <row r="27" spans="1:202" x14ac:dyDescent="0.55000000000000004">
      <c r="A27" t="s">
        <v>297</v>
      </c>
      <c r="B27" s="13" cm="1">
        <f t="array" aca="1" ref="B27" ca="1">_xlfn.XLOOKUP($A27,_xlfn.ANCHORARRAY($GS$4),_xlfn.ANCHORARRAY($GT$4),"")</f>
      </c>
      <c r="C27" s="13" cm="1">
        <f t="array" aca="1" ref="C27" ca="1">_xlfn.LET(_xlpm.h,FWM_HC,_xlpm.c,_xlfn.XMATCH($A27,_xlfn.TAKE(_xlpm.h,1)),INDEX(_xlpm.h,ROWS(_xlpm.h),_xlpm.c))</f>
      </c>
      <c r="D27" s="44">
        <f t="shared" ca="1" si="0"/>
      </c>
      <c r="E27" s="44" cm="1">
        <f t="array" aca="1" ref="E27" ca="1">_xlfn.LET(_xlpm.h,FWM_HC,_xlpm.c,_xlfn.XMATCH($A27,_xlfn.TAKE(_xlpm.h,1)),(B27-INDEX(_xlpm.h,ROWS(_xlpm.h)-4,_xlpm.c))*100)</f>
      </c>
      <c r="F27" s="44" cm="1">
        <f t="array" aca="1" ref="F27" ca="1">_xlfn.LET(_xlpm.h,FWM_HC,_xlpm.c,_xlfn.XMATCH($A27,_xlfn.TAKE(_xlpm.h,1)),(B27-INDEX(_xlpm.h,ROWS(_xlpm.h)-20,_xlpm.c))*100)</f>
      </c>
      <c r="G27" s="44" cm="1">
        <f t="array" aca="1" ref="G27" ca="1">_xlfn.LET(_xlpm.h,FWM_HC,_xlpm.c,_xlfn.XMATCH($A27,_xlfn.TAKE(_xlpm.h,1)),(B27-_xlfn.XLOOKUP(FWM_Cmp,_xlfn.DROP(INDEX(_xlpm.h,,1),1),_xlfn.DROP(INDEX(_xlpm.h,,_xlpm.c),1),"",-1))*100)</f>
      </c>
      <c r="H27" s="11" cm="1">
        <f t="array" aca="1" ref="H27" ca="1">_xlfn.LET(_xlpm.h,FWM_HC,FWM_Sigma(_xlfn.DROP(INDEX(_xlpm.h,,_xlfn.XMATCH($A27&amp;" dF",_xlfn.TAKE(_xlpm.h,1))),1)))</f>
      </c>
      <c r="I27" s="45">
        <f t="shared" ca="1" si="1"/>
      </c>
      <c r="J27" s="45">
        <f t="shared" ca="1" si="2"/>
      </c>
      <c r="K27" s="44">
        <f t="shared" ca="1" si="3"/>
      </c>
      <c r="AA27">
        <f ca="1"/>
      </c>
      <c r="AB27">
        <f ca="1"/>
      </c>
      <c r="AC27">
        <f ca="1"/>
      </c>
      <c r="AD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L27" t="s">
        <v>22</v>
      </c>
      <c r="AM27">
        <v>1</v>
      </c>
      <c r="AO27">
        <f ca="1"/>
      </c>
      <c r="AP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M27" s="7">
        <f ca="1"/>
      </c>
      <c r="GN27">
        <f ca="1"/>
      </c>
      <c r="GO27">
        <f ca="1"/>
      </c>
      <c r="GP27">
        <f ca="1"/>
      </c>
      <c r="GQ27">
        <f ca="1"/>
      </c>
    </row>
    <row r="28" spans="1:202" x14ac:dyDescent="0.55000000000000004">
      <c r="B28" s="13"/>
      <c r="C28" s="13"/>
      <c r="D28" s="44"/>
      <c r="E28" s="44"/>
      <c r="F28" s="44"/>
      <c r="G28" s="44"/>
      <c r="H28" s="11"/>
      <c r="I28" s="45"/>
      <c r="J28" s="45"/>
      <c r="K28" s="44"/>
      <c r="AA28">
        <f ca="1"/>
      </c>
      <c r="AB28">
        <f ca="1"/>
      </c>
      <c r="AC28">
        <f ca="1"/>
      </c>
      <c r="AD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L28" t="s">
        <v>23</v>
      </c>
      <c r="AM28">
        <v>1</v>
      </c>
      <c r="AO28">
        <f ca="1"/>
      </c>
      <c r="AP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M28" s="7">
        <f ca="1"/>
      </c>
      <c r="GN28">
        <f ca="1"/>
      </c>
      <c r="GO28">
        <f ca="1"/>
      </c>
      <c r="GP28">
        <f ca="1"/>
      </c>
      <c r="GQ28">
        <f ca="1"/>
      </c>
    </row>
    <row r="29" spans="1:202" x14ac:dyDescent="0.55000000000000004">
      <c r="A29" t="s">
        <v>298</v>
      </c>
      <c r="B29" s="13" cm="1">
        <f t="array" aca="1" ref="B29" ca="1">_xlfn.XLOOKUP($A29,_xlfn.ANCHORARRAY($GS$4),_xlfn.ANCHORARRAY($GT$4),"")</f>
      </c>
      <c r="C29" s="13" cm="1">
        <f t="array" aca="1" ref="C29" ca="1">_xlfn.LET(_xlpm.h,FWM_HC,_xlpm.c,_xlfn.XMATCH($A29,_xlfn.TAKE(_xlpm.h,1)),INDEX(_xlpm.h,ROWS(_xlpm.h),_xlpm.c))</f>
      </c>
      <c r="D29" s="44">
        <f t="shared" ca="1" si="0"/>
      </c>
      <c r="E29" s="44" cm="1">
        <f t="array" aca="1" ref="E29" ca="1">_xlfn.LET(_xlpm.h,FWM_HC,_xlpm.c,_xlfn.XMATCH($A29,_xlfn.TAKE(_xlpm.h,1)),(B29-INDEX(_xlpm.h,ROWS(_xlpm.h)-4,_xlpm.c))*100)</f>
      </c>
      <c r="F29" s="44" cm="1">
        <f t="array" aca="1" ref="F29" ca="1">_xlfn.LET(_xlpm.h,FWM_HC,_xlpm.c,_xlfn.XMATCH($A29,_xlfn.TAKE(_xlpm.h,1)),(B29-INDEX(_xlpm.h,ROWS(_xlpm.h)-20,_xlpm.c))*100)</f>
      </c>
      <c r="G29" s="44" cm="1">
        <f t="array" aca="1" ref="G29" ca="1">_xlfn.LET(_xlpm.h,FWM_HC,_xlpm.c,_xlfn.XMATCH($A29,_xlfn.TAKE(_xlpm.h,1)),(B29-_xlfn.XLOOKUP(FWM_Cmp,_xlfn.DROP(INDEX(_xlpm.h,,1),1),_xlfn.DROP(INDEX(_xlpm.h,,_xlpm.c),1),"",-1))*100)</f>
      </c>
      <c r="H29" s="11" cm="1">
        <f t="array" aca="1" ref="H29" ca="1">_xlfn.LET(_xlpm.h,FWM_HC,FWM_Sigma(_xlfn.DROP(INDEX(_xlpm.h,,_xlfn.XMATCH($A29&amp;" dF",_xlfn.TAKE(_xlpm.h,1))),1)))</f>
      </c>
      <c r="I29" s="45">
        <f t="shared" ca="1" si="1"/>
      </c>
      <c r="J29" s="45">
        <f t="shared" ca="1" si="2"/>
      </c>
      <c r="K29" s="44">
        <f t="shared" ref="K29:K35" si="4">IF(ISNUMBER(B28),(B29-B28)*100,"")</f>
      </c>
      <c r="AA29">
        <f ca="1"/>
      </c>
      <c r="AB29">
        <f ca="1"/>
      </c>
      <c r="AC29">
        <f ca="1"/>
      </c>
      <c r="AD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L29" t="s">
        <v>24</v>
      </c>
      <c r="AM29">
        <v>1</v>
      </c>
      <c r="AO29">
        <f ca="1"/>
      </c>
      <c r="AP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M29" s="7">
        <f ca="1"/>
      </c>
      <c r="GN29">
        <f ca="1"/>
      </c>
      <c r="GO29">
        <f ca="1"/>
      </c>
      <c r="GP29">
        <f ca="1"/>
      </c>
      <c r="GQ29">
        <f ca="1"/>
      </c>
    </row>
    <row r="30" spans="1:202" x14ac:dyDescent="0.55000000000000004">
      <c r="A30" t="s">
        <v>299</v>
      </c>
      <c r="B30" s="13" cm="1">
        <f t="array" aca="1" ref="B30" ca="1">_xlfn.XLOOKUP($A30,_xlfn.ANCHORARRAY($GS$4),_xlfn.ANCHORARRAY($GT$4),"")</f>
      </c>
      <c r="C30" s="13" cm="1">
        <f t="array" aca="1" ref="C30" ca="1">_xlfn.LET(_xlpm.h,FWM_HC,_xlpm.c,_xlfn.XMATCH($A30,_xlfn.TAKE(_xlpm.h,1)),INDEX(_xlpm.h,ROWS(_xlpm.h),_xlpm.c))</f>
      </c>
      <c r="D30" s="44">
        <f t="shared" ca="1" si="0"/>
      </c>
      <c r="E30" s="44" cm="1">
        <f t="array" aca="1" ref="E30" ca="1">_xlfn.LET(_xlpm.h,FWM_HC,_xlpm.c,_xlfn.XMATCH($A30,_xlfn.TAKE(_xlpm.h,1)),(B30-INDEX(_xlpm.h,ROWS(_xlpm.h)-4,_xlpm.c))*100)</f>
      </c>
      <c r="F30" s="44" cm="1">
        <f t="array" aca="1" ref="F30" ca="1">_xlfn.LET(_xlpm.h,FWM_HC,_xlpm.c,_xlfn.XMATCH($A30,_xlfn.TAKE(_xlpm.h,1)),(B30-INDEX(_xlpm.h,ROWS(_xlpm.h)-20,_xlpm.c))*100)</f>
      </c>
      <c r="G30" s="44" cm="1">
        <f t="array" aca="1" ref="G30" ca="1">_xlfn.LET(_xlpm.h,FWM_HC,_xlpm.c,_xlfn.XMATCH($A30,_xlfn.TAKE(_xlpm.h,1)),(B30-_xlfn.XLOOKUP(FWM_Cmp,_xlfn.DROP(INDEX(_xlpm.h,,1),1),_xlfn.DROP(INDEX(_xlpm.h,,_xlpm.c),1),"",-1))*100)</f>
      </c>
      <c r="H30" s="11" cm="1">
        <f t="array" aca="1" ref="H30" ca="1">_xlfn.LET(_xlpm.h,FWM_HC,FWM_Sigma(_xlfn.DROP(INDEX(_xlpm.h,,_xlfn.XMATCH($A30&amp;" dF",_xlfn.TAKE(_xlpm.h,1))),1)))</f>
      </c>
      <c r="I30" s="45">
        <f t="shared" ca="1" si="1"/>
      </c>
      <c r="J30" s="45">
        <f t="shared" ca="1" si="2"/>
      </c>
      <c r="K30" s="44">
        <f t="shared" ca="1" si="4"/>
      </c>
      <c r="AA30">
        <f ca="1"/>
      </c>
      <c r="AB30">
        <f ca="1"/>
      </c>
      <c r="AC30">
        <f ca="1"/>
      </c>
      <c r="AD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L30" t="s">
        <v>25</v>
      </c>
      <c r="AM30">
        <v>1</v>
      </c>
      <c r="AO30">
        <f ca="1"/>
      </c>
      <c r="AP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M30" s="7">
        <f ca="1"/>
      </c>
      <c r="GN30">
        <f ca="1"/>
      </c>
      <c r="GO30">
        <f ca="1"/>
      </c>
      <c r="GP30">
        <f ca="1"/>
      </c>
      <c r="GQ30">
        <f ca="1"/>
      </c>
    </row>
    <row r="31" spans="1:202" x14ac:dyDescent="0.55000000000000004">
      <c r="A31" t="s">
        <v>300</v>
      </c>
      <c r="B31" s="13" cm="1">
        <f t="array" aca="1" ref="B31" ca="1">_xlfn.XLOOKUP($A31,_xlfn.ANCHORARRAY($GS$4),_xlfn.ANCHORARRAY($GT$4),"")</f>
      </c>
      <c r="C31" s="13" cm="1">
        <f t="array" aca="1" ref="C31" ca="1">_xlfn.LET(_xlpm.h,FWM_HC,_xlpm.c,_xlfn.XMATCH($A31,_xlfn.TAKE(_xlpm.h,1)),INDEX(_xlpm.h,ROWS(_xlpm.h),_xlpm.c))</f>
      </c>
      <c r="D31" s="44">
        <f t="shared" ca="1" si="0"/>
      </c>
      <c r="E31" s="44" cm="1">
        <f t="array" aca="1" ref="E31" ca="1">_xlfn.LET(_xlpm.h,FWM_HC,_xlpm.c,_xlfn.XMATCH($A31,_xlfn.TAKE(_xlpm.h,1)),(B31-INDEX(_xlpm.h,ROWS(_xlpm.h)-4,_xlpm.c))*100)</f>
      </c>
      <c r="F31" s="44" cm="1">
        <f t="array" aca="1" ref="F31" ca="1">_xlfn.LET(_xlpm.h,FWM_HC,_xlpm.c,_xlfn.XMATCH($A31,_xlfn.TAKE(_xlpm.h,1)),(B31-INDEX(_xlpm.h,ROWS(_xlpm.h)-20,_xlpm.c))*100)</f>
      </c>
      <c r="G31" s="44" cm="1">
        <f t="array" aca="1" ref="G31" ca="1">_xlfn.LET(_xlpm.h,FWM_HC,_xlpm.c,_xlfn.XMATCH($A31,_xlfn.TAKE(_xlpm.h,1)),(B31-_xlfn.XLOOKUP(FWM_Cmp,_xlfn.DROP(INDEX(_xlpm.h,,1),1),_xlfn.DROP(INDEX(_xlpm.h,,_xlpm.c),1),"",-1))*100)</f>
      </c>
      <c r="H31" s="11" cm="1">
        <f t="array" aca="1" ref="H31" ca="1">_xlfn.LET(_xlpm.h,FWM_HC,FWM_Sigma(_xlfn.DROP(INDEX(_xlpm.h,,_xlfn.XMATCH($A31&amp;" dF",_xlfn.TAKE(_xlpm.h,1))),1)))</f>
      </c>
      <c r="I31" s="45">
        <f t="shared" ca="1" si="1"/>
      </c>
      <c r="J31" s="45">
        <f t="shared" ca="1" si="2"/>
      </c>
      <c r="K31" s="44">
        <f t="shared" ca="1" si="4"/>
      </c>
      <c r="AA31">
        <f ca="1"/>
      </c>
      <c r="AB31">
        <f ca="1"/>
      </c>
      <c r="AC31">
        <f ca="1"/>
      </c>
      <c r="AD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L31" t="s">
        <v>26</v>
      </c>
      <c r="AM31">
        <v>1</v>
      </c>
      <c r="AO31">
        <f ca="1"/>
      </c>
      <c r="AP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M31" s="7">
        <f ca="1"/>
      </c>
      <c r="GN31">
        <f ca="1"/>
      </c>
      <c r="GO31">
        <f ca="1"/>
      </c>
      <c r="GP31">
        <f ca="1"/>
      </c>
      <c r="GQ31">
        <f ca="1"/>
      </c>
    </row>
    <row r="32" spans="1:202" x14ac:dyDescent="0.55000000000000004">
      <c r="A32" t="s">
        <v>301</v>
      </c>
      <c r="B32" s="13" cm="1">
        <f t="array" aca="1" ref="B32" ca="1">_xlfn.XLOOKUP($A32,_xlfn.ANCHORARRAY($GS$4),_xlfn.ANCHORARRAY($GT$4),"")</f>
      </c>
      <c r="C32" s="13" cm="1">
        <f t="array" aca="1" ref="C32" ca="1">_xlfn.LET(_xlpm.h,FWM_HC,_xlpm.c,_xlfn.XMATCH($A32,_xlfn.TAKE(_xlpm.h,1)),INDEX(_xlpm.h,ROWS(_xlpm.h),_xlpm.c))</f>
      </c>
      <c r="D32" s="44">
        <f t="shared" ca="1" si="0"/>
      </c>
      <c r="E32" s="44" cm="1">
        <f t="array" aca="1" ref="E32" ca="1">_xlfn.LET(_xlpm.h,FWM_HC,_xlpm.c,_xlfn.XMATCH($A32,_xlfn.TAKE(_xlpm.h,1)),(B32-INDEX(_xlpm.h,ROWS(_xlpm.h)-4,_xlpm.c))*100)</f>
      </c>
      <c r="F32" s="44" cm="1">
        <f t="array" aca="1" ref="F32" ca="1">_xlfn.LET(_xlpm.h,FWM_HC,_xlpm.c,_xlfn.XMATCH($A32,_xlfn.TAKE(_xlpm.h,1)),(B32-INDEX(_xlpm.h,ROWS(_xlpm.h)-20,_xlpm.c))*100)</f>
      </c>
      <c r="G32" s="44" cm="1">
        <f t="array" aca="1" ref="G32" ca="1">_xlfn.LET(_xlpm.h,FWM_HC,_xlpm.c,_xlfn.XMATCH($A32,_xlfn.TAKE(_xlpm.h,1)),(B32-_xlfn.XLOOKUP(FWM_Cmp,_xlfn.DROP(INDEX(_xlpm.h,,1),1),_xlfn.DROP(INDEX(_xlpm.h,,_xlpm.c),1),"",-1))*100)</f>
      </c>
      <c r="H32" s="11" cm="1">
        <f t="array" aca="1" ref="H32" ca="1">_xlfn.LET(_xlpm.h,FWM_HC,FWM_Sigma(_xlfn.DROP(INDEX(_xlpm.h,,_xlfn.XMATCH($A32&amp;" dF",_xlfn.TAKE(_xlpm.h,1))),1)))</f>
      </c>
      <c r="I32" s="45">
        <f t="shared" ca="1" si="1"/>
      </c>
      <c r="J32" s="45">
        <f t="shared" ca="1" si="2"/>
      </c>
      <c r="K32" s="44">
        <f t="shared" ca="1" si="4"/>
      </c>
      <c r="AA32">
        <f ca="1"/>
      </c>
      <c r="AB32">
        <f ca="1"/>
      </c>
      <c r="AC32">
        <f ca="1"/>
      </c>
      <c r="AD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L32" t="s">
        <v>27</v>
      </c>
      <c r="AM32">
        <v>1</v>
      </c>
      <c r="AO32">
        <f ca="1"/>
      </c>
      <c r="AP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M32" s="7">
        <f ca="1"/>
      </c>
      <c r="GN32">
        <f ca="1"/>
      </c>
      <c r="GO32">
        <f ca="1"/>
      </c>
      <c r="GP32">
        <f ca="1"/>
      </c>
      <c r="GQ32">
        <f ca="1"/>
      </c>
    </row>
    <row r="33" spans="1:199" x14ac:dyDescent="0.55000000000000004">
      <c r="A33" t="s">
        <v>302</v>
      </c>
      <c r="B33" s="13" cm="1">
        <f t="array" aca="1" ref="B33" ca="1">_xlfn.XLOOKUP($A33,_xlfn.ANCHORARRAY($GS$4),_xlfn.ANCHORARRAY($GT$4),"")</f>
      </c>
      <c r="C33" s="13" cm="1">
        <f t="array" aca="1" ref="C33" ca="1">_xlfn.LET(_xlpm.h,FWM_HC,_xlpm.c,_xlfn.XMATCH($A33,_xlfn.TAKE(_xlpm.h,1)),INDEX(_xlpm.h,ROWS(_xlpm.h),_xlpm.c))</f>
      </c>
      <c r="D33" s="44">
        <f t="shared" ca="1" si="0"/>
      </c>
      <c r="E33" s="44" cm="1">
        <f t="array" aca="1" ref="E33" ca="1">_xlfn.LET(_xlpm.h,FWM_HC,_xlpm.c,_xlfn.XMATCH($A33,_xlfn.TAKE(_xlpm.h,1)),(B33-INDEX(_xlpm.h,ROWS(_xlpm.h)-4,_xlpm.c))*100)</f>
      </c>
      <c r="F33" s="44" cm="1">
        <f t="array" aca="1" ref="F33" ca="1">_xlfn.LET(_xlpm.h,FWM_HC,_xlpm.c,_xlfn.XMATCH($A33,_xlfn.TAKE(_xlpm.h,1)),(B33-INDEX(_xlpm.h,ROWS(_xlpm.h)-20,_xlpm.c))*100)</f>
      </c>
      <c r="G33" s="44" cm="1">
        <f t="array" aca="1" ref="G33" ca="1">_xlfn.LET(_xlpm.h,FWM_HC,_xlpm.c,_xlfn.XMATCH($A33,_xlfn.TAKE(_xlpm.h,1)),(B33-_xlfn.XLOOKUP(FWM_Cmp,_xlfn.DROP(INDEX(_xlpm.h,,1),1),_xlfn.DROP(INDEX(_xlpm.h,,_xlpm.c),1),"",-1))*100)</f>
      </c>
      <c r="H33" s="11" cm="1">
        <f t="array" aca="1" ref="H33" ca="1">_xlfn.LET(_xlpm.h,FWM_HC,FWM_Sigma(_xlfn.DROP(INDEX(_xlpm.h,,_xlfn.XMATCH($A33&amp;" dF",_xlfn.TAKE(_xlpm.h,1))),1)))</f>
      </c>
      <c r="I33" s="45">
        <f t="shared" ca="1" si="1"/>
      </c>
      <c r="J33" s="45">
        <f t="shared" ca="1" si="2"/>
      </c>
      <c r="K33" s="44">
        <f t="shared" ca="1" si="4"/>
      </c>
      <c r="AA33">
        <f ca="1"/>
      </c>
      <c r="AB33">
        <f ca="1"/>
      </c>
      <c r="AC33">
        <f ca="1"/>
      </c>
      <c r="AD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L33" t="s">
        <v>28</v>
      </c>
      <c r="AM33">
        <v>1</v>
      </c>
      <c r="AO33">
        <f ca="1"/>
      </c>
      <c r="AP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M33" s="7">
        <f ca="1"/>
      </c>
      <c r="GN33">
        <f ca="1"/>
      </c>
      <c r="GO33">
        <f ca="1"/>
      </c>
      <c r="GP33">
        <f ca="1"/>
      </c>
      <c r="GQ33">
        <f ca="1"/>
      </c>
    </row>
    <row r="34" spans="1:199" x14ac:dyDescent="0.55000000000000004">
      <c r="A34" t="s">
        <v>303</v>
      </c>
      <c r="B34" s="13" cm="1">
        <f t="array" aca="1" ref="B34" ca="1">_xlfn.XLOOKUP($A34,_xlfn.ANCHORARRAY($GS$4),_xlfn.ANCHORARRAY($GT$4),"")</f>
      </c>
      <c r="C34" s="13" cm="1">
        <f t="array" aca="1" ref="C34" ca="1">_xlfn.LET(_xlpm.h,FWM_HC,_xlpm.c,_xlfn.XMATCH($A34,_xlfn.TAKE(_xlpm.h,1)),INDEX(_xlpm.h,ROWS(_xlpm.h),_xlpm.c))</f>
      </c>
      <c r="D34" s="44">
        <f t="shared" ca="1" si="0"/>
      </c>
      <c r="E34" s="44" cm="1">
        <f t="array" aca="1" ref="E34" ca="1">_xlfn.LET(_xlpm.h,FWM_HC,_xlpm.c,_xlfn.XMATCH($A34,_xlfn.TAKE(_xlpm.h,1)),(B34-INDEX(_xlpm.h,ROWS(_xlpm.h)-4,_xlpm.c))*100)</f>
      </c>
      <c r="F34" s="44" cm="1">
        <f t="array" aca="1" ref="F34" ca="1">_xlfn.LET(_xlpm.h,FWM_HC,_xlpm.c,_xlfn.XMATCH($A34,_xlfn.TAKE(_xlpm.h,1)),(B34-INDEX(_xlpm.h,ROWS(_xlpm.h)-20,_xlpm.c))*100)</f>
      </c>
      <c r="G34" s="44" cm="1">
        <f t="array" aca="1" ref="G34" ca="1">_xlfn.LET(_xlpm.h,FWM_HC,_xlpm.c,_xlfn.XMATCH($A34,_xlfn.TAKE(_xlpm.h,1)),(B34-_xlfn.XLOOKUP(FWM_Cmp,_xlfn.DROP(INDEX(_xlpm.h,,1),1),_xlfn.DROP(INDEX(_xlpm.h,,_xlpm.c),1),"",-1))*100)</f>
      </c>
      <c r="H34" s="11" cm="1">
        <f t="array" aca="1" ref="H34" ca="1">_xlfn.LET(_xlpm.h,FWM_HC,FWM_Sigma(_xlfn.DROP(INDEX(_xlpm.h,,_xlfn.XMATCH($A34&amp;" dF",_xlfn.TAKE(_xlpm.h,1))),1)))</f>
      </c>
      <c r="I34" s="45">
        <f t="shared" ca="1" si="1"/>
      </c>
      <c r="J34" s="45">
        <f t="shared" ca="1" si="2"/>
      </c>
      <c r="K34" s="44">
        <f t="shared" ca="1" si="4"/>
      </c>
      <c r="AA34">
        <f ca="1"/>
      </c>
      <c r="AB34">
        <f ca="1"/>
      </c>
      <c r="AC34">
        <f ca="1"/>
      </c>
      <c r="AD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L34" t="s">
        <v>29</v>
      </c>
      <c r="AM34">
        <v>1</v>
      </c>
      <c r="AO34">
        <f ca="1"/>
      </c>
      <c r="AP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M34" s="7">
        <f ca="1"/>
      </c>
      <c r="GN34">
        <f ca="1"/>
      </c>
      <c r="GO34">
        <f ca="1"/>
      </c>
      <c r="GP34">
        <f ca="1"/>
      </c>
      <c r="GQ34">
        <f ca="1"/>
      </c>
    </row>
    <row r="35" spans="1:199" x14ac:dyDescent="0.55000000000000004">
      <c r="A35" t="s">
        <v>304</v>
      </c>
      <c r="B35" s="13" cm="1">
        <f t="array" aca="1" ref="B35" ca="1">_xlfn.XLOOKUP($A35,_xlfn.ANCHORARRAY($GS$4),_xlfn.ANCHORARRAY($GT$4),"")</f>
      </c>
      <c r="C35" s="13" cm="1">
        <f t="array" aca="1" ref="C35" ca="1">_xlfn.LET(_xlpm.h,FWM_HC,_xlpm.c,_xlfn.XMATCH($A35,_xlfn.TAKE(_xlpm.h,1)),INDEX(_xlpm.h,ROWS(_xlpm.h),_xlpm.c))</f>
      </c>
      <c r="D35" s="44">
        <f t="shared" ca="1" si="0"/>
      </c>
      <c r="E35" s="44" cm="1">
        <f t="array" aca="1" ref="E35" ca="1">_xlfn.LET(_xlpm.h,FWM_HC,_xlpm.c,_xlfn.XMATCH($A35,_xlfn.TAKE(_xlpm.h,1)),(B35-INDEX(_xlpm.h,ROWS(_xlpm.h)-4,_xlpm.c))*100)</f>
      </c>
      <c r="F35" s="44" cm="1">
        <f t="array" aca="1" ref="F35" ca="1">_xlfn.LET(_xlpm.h,FWM_HC,_xlpm.c,_xlfn.XMATCH($A35,_xlfn.TAKE(_xlpm.h,1)),(B35-INDEX(_xlpm.h,ROWS(_xlpm.h)-20,_xlpm.c))*100)</f>
      </c>
      <c r="G35" s="44" cm="1">
        <f t="array" aca="1" ref="G35" ca="1">_xlfn.LET(_xlpm.h,FWM_HC,_xlpm.c,_xlfn.XMATCH($A35,_xlfn.TAKE(_xlpm.h,1)),(B35-_xlfn.XLOOKUP(FWM_Cmp,_xlfn.DROP(INDEX(_xlpm.h,,1),1),_xlfn.DROP(INDEX(_xlpm.h,,_xlpm.c),1),"",-1))*100)</f>
      </c>
      <c r="H35" s="11" cm="1">
        <f t="array" aca="1" ref="H35" ca="1">_xlfn.LET(_xlpm.h,FWM_HC,FWM_Sigma(_xlfn.DROP(INDEX(_xlpm.h,,_xlfn.XMATCH($A35&amp;" dF",_xlfn.TAKE(_xlpm.h,1))),1)))</f>
      </c>
      <c r="I35" s="45">
        <f t="shared" ca="1" si="1"/>
      </c>
      <c r="J35" s="45">
        <f t="shared" ca="1" si="2"/>
      </c>
      <c r="K35" s="44">
        <f t="shared" ca="1" si="4"/>
      </c>
      <c r="AA35">
        <f ca="1"/>
      </c>
      <c r="AB35">
        <f ca="1"/>
      </c>
      <c r="AC35">
        <f ca="1"/>
      </c>
      <c r="AD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L35" t="s">
        <v>30</v>
      </c>
      <c r="AM35">
        <v>1</v>
      </c>
      <c r="AO35">
        <f ca="1"/>
      </c>
      <c r="AP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M35" s="7">
        <f ca="1"/>
      </c>
      <c r="GN35">
        <f ca="1"/>
      </c>
      <c r="GO35">
        <f ca="1"/>
      </c>
      <c r="GP35">
        <f ca="1"/>
      </c>
      <c r="GQ35">
        <f ca="1"/>
      </c>
    </row>
    <row r="36" spans="1:199" x14ac:dyDescent="0.55000000000000004">
      <c r="A36" t="s">
        <v>305</v>
      </c>
      <c r="AA36">
        <f ca="1"/>
      </c>
      <c r="AB36">
        <f ca="1"/>
      </c>
      <c r="AC36">
        <f ca="1"/>
      </c>
      <c r="AD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L36" t="s">
        <v>31</v>
      </c>
      <c r="AM36">
        <v>1</v>
      </c>
      <c r="AO36">
        <f ca="1"/>
      </c>
      <c r="AP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M36" s="7">
        <f ca="1"/>
      </c>
      <c r="GN36">
        <f ca="1"/>
      </c>
      <c r="GO36">
        <f ca="1"/>
      </c>
      <c r="GP36">
        <f ca="1"/>
      </c>
      <c r="GQ36">
        <f ca="1"/>
      </c>
    </row>
    <row r="37" spans="1:199" x14ac:dyDescent="0.55000000000000004">
      <c r="A37" s="4" t="s">
        <v>306</v>
      </c>
      <c r="AA37">
        <f ca="1"/>
      </c>
      <c r="AB37">
        <f ca="1"/>
      </c>
      <c r="AC37">
        <f ca="1"/>
      </c>
      <c r="AD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L37" t="s">
        <v>32</v>
      </c>
      <c r="AM37">
        <v>1</v>
      </c>
      <c r="AO37">
        <f ca="1"/>
      </c>
      <c r="AP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M37" s="7">
        <f ca="1"/>
      </c>
      <c r="GN37">
        <f ca="1"/>
      </c>
      <c r="GO37">
        <f ca="1"/>
      </c>
      <c r="GP37">
        <f ca="1"/>
      </c>
      <c r="GQ37">
        <f ca="1"/>
      </c>
    </row>
    <row r="38" spans="1:199" x14ac:dyDescent="0.55000000000000004">
      <c r="A38" s="4" t="s">
        <v>307</v>
      </c>
      <c r="B38" s="4" t="s">
        <v>308</v>
      </c>
      <c r="C38" s="4" t="s">
        <v>146</v>
      </c>
      <c r="D38" s="4" t="s">
        <v>309</v>
      </c>
      <c r="E38" s="4" t="s">
        <v>310</v>
      </c>
      <c r="F38" s="4" t="s">
        <v>311</v>
      </c>
      <c r="G38" s="4" t="s">
        <v>312</v>
      </c>
      <c r="H38" s="4" t="s">
        <v>313</v>
      </c>
      <c r="I38" s="4" t="s">
        <v>314</v>
      </c>
      <c r="J38" s="4" t="s">
        <v>315</v>
      </c>
      <c r="K38" s="4" t="s">
        <v>275</v>
      </c>
      <c r="L38" s="4" t="s">
        <v>277</v>
      </c>
      <c r="M38" s="4" t="s">
        <v>279</v>
      </c>
      <c r="N38" s="4" t="s">
        <v>280</v>
      </c>
      <c r="O38" s="4" t="s">
        <v>281</v>
      </c>
      <c r="AA38">
        <f ca="1"/>
      </c>
      <c r="AB38">
        <f ca="1"/>
      </c>
      <c r="AC38">
        <f ca="1"/>
      </c>
      <c r="AD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L38" t="s">
        <v>109</v>
      </c>
      <c r="AM38">
        <v>0</v>
      </c>
      <c r="AO38">
        <f ca="1"/>
      </c>
      <c r="AP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M38" s="7">
        <f ca="1"/>
      </c>
      <c r="GN38">
        <f ca="1"/>
      </c>
      <c r="GO38">
        <f ca="1"/>
      </c>
      <c r="GP38">
        <f ca="1"/>
      </c>
      <c r="GQ38">
        <f ca="1"/>
      </c>
    </row>
    <row r="39" spans="1:199" x14ac:dyDescent="0.55000000000000004">
      <c r="A39" s="2" t="s">
        <v>143</v>
      </c>
      <c r="B39">
        <f t="shared" ref="B39:B48" si="5">IF(D39="","",D39&amp;IF(F39="","","/"&amp;F39)&amp;IF(H39="","","/"&amp;H39))</f>
      </c>
      <c r="C39" s="2" t="s">
        <v>316</v>
      </c>
      <c r="D39" s="2" t="s">
        <v>298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6">IF(D39="","",K39/M39)</f>
      </c>
      <c r="O39" s="45" cm="1">
        <f t="array" aca="1" ref="O39" ca="1">IF(D39="","",_xlfn.LET(_xlpm.x,FWM_Row(1,""),(J39-INDEX(_xlpm.x,ROWS(_xlpm.x)-4))/(M39*SQRT(5))))</f>
      </c>
      <c r="AA39">
        <f ca="1"/>
      </c>
      <c r="AB39">
        <f ca="1"/>
      </c>
      <c r="AC39">
        <f ca="1"/>
      </c>
      <c r="AD39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L39" t="s">
        <v>33</v>
      </c>
      <c r="AM39">
        <v>0</v>
      </c>
      <c r="AO39">
        <f ca="1"/>
      </c>
      <c r="AP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M39" s="7">
        <f ca="1"/>
      </c>
      <c r="GN39">
        <f ca="1"/>
      </c>
      <c r="GO39">
        <f ca="1"/>
      </c>
      <c r="GP39">
        <f ca="1"/>
      </c>
      <c r="GQ39">
        <f ca="1"/>
      </c>
    </row>
    <row r="40" spans="1:199" x14ac:dyDescent="0.55000000000000004">
      <c r="A40" s="2" t="s">
        <v>143</v>
      </c>
      <c r="B40">
        <f t="shared" si="5"/>
      </c>
      <c r="C40" s="2" t="s">
        <v>317</v>
      </c>
      <c r="D40" s="2" t="s">
        <v>298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6"/>
      </c>
      <c r="O40" s="45" cm="1">
        <f t="array" aca="1" ref="O40" ca="1">IF(D40="","",_xlfn.LET(_xlpm.x,FWM_Row(2,""),(J40-INDEX(_xlpm.x,ROWS(_xlpm.x)-4))/(M40*SQRT(5))))</f>
      </c>
      <c r="AA40">
        <f ca="1"/>
      </c>
      <c r="AB40">
        <f ca="1"/>
      </c>
      <c r="AC40">
        <f ca="1"/>
      </c>
      <c r="AD40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L40" t="s">
        <v>34</v>
      </c>
      <c r="AM40">
        <v>0</v>
      </c>
      <c r="AO40">
        <f ca="1"/>
      </c>
      <c r="AP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M40" s="7">
        <f ca="1"/>
      </c>
      <c r="GN40">
        <f ca="1"/>
      </c>
      <c r="GO40">
        <f ca="1"/>
      </c>
      <c r="GP40">
        <f ca="1"/>
      </c>
      <c r="GQ40">
        <f ca="1"/>
      </c>
    </row>
    <row r="41" spans="1:199" x14ac:dyDescent="0.55000000000000004">
      <c r="A41" s="2" t="s">
        <v>143</v>
      </c>
      <c r="B41">
        <f t="shared" si="5"/>
      </c>
      <c r="C41" s="2" t="s">
        <v>316</v>
      </c>
      <c r="D41" s="2" t="s">
        <v>298</v>
      </c>
      <c r="E41" s="2">
        <v>-1</v>
      </c>
      <c r="F41" s="2" t="s">
        <v>299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6"/>
      </c>
      <c r="O41" s="45" cm="1">
        <f t="array" aca="1" ref="O41" ca="1">IF(D41="","",_xlfn.LET(_xlpm.x,FWM_Row(3,""),(J41-INDEX(_xlpm.x,ROWS(_xlpm.x)-4))/(M41*SQRT(5))))</f>
      </c>
      <c r="AA41">
        <f ca="1"/>
      </c>
      <c r="AB41">
        <f ca="1"/>
      </c>
      <c r="AC41">
        <f ca="1"/>
      </c>
      <c r="AD41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L41" t="s">
        <v>35</v>
      </c>
      <c r="AM41">
        <v>0</v>
      </c>
      <c r="AO41">
        <f ca="1"/>
      </c>
      <c r="AP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M41" s="7">
        <f ca="1"/>
      </c>
      <c r="GN41">
        <f ca="1"/>
      </c>
      <c r="GO41">
        <f ca="1"/>
      </c>
      <c r="GP41">
        <f ca="1"/>
      </c>
      <c r="GQ41">
        <f ca="1"/>
      </c>
    </row>
    <row r="42" spans="1:199" x14ac:dyDescent="0.55000000000000004">
      <c r="A42" s="2"/>
      <c r="B42">
        <f t="shared" si="5"/>
      </c>
      <c r="C42" s="2" t="s">
        <v>316</v>
      </c>
      <c r="D42" s="2" t="s">
        <v>286</v>
      </c>
      <c r="E42" s="2">
        <v>-1</v>
      </c>
      <c r="F42" s="2" t="s">
        <v>291</v>
      </c>
      <c r="G42" s="2">
        <v>2</v>
      </c>
      <c r="H42" s="2" t="s">
        <v>294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6"/>
      </c>
      <c r="O42" s="45" cm="1">
        <f t="array" aca="1" ref="O42" ca="1">IF(D42="","",_xlfn.LET(_xlpm.x,FWM_Row(4,""),(J42-INDEX(_xlpm.x,ROWS(_xlpm.x)-4))/(M42*SQRT(5))))</f>
      </c>
      <c r="AA42">
        <f ca="1"/>
      </c>
      <c r="AB42">
        <f ca="1"/>
      </c>
      <c r="AC42">
        <f ca="1"/>
      </c>
      <c r="AD42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L42" t="s">
        <v>36</v>
      </c>
      <c r="AM42">
        <v>0</v>
      </c>
      <c r="AO42">
        <f ca="1"/>
      </c>
      <c r="AP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M42" s="7">
        <f ca="1"/>
      </c>
      <c r="GN42">
        <f ca="1"/>
      </c>
      <c r="GO42">
        <f ca="1"/>
      </c>
      <c r="GP42">
        <f ca="1"/>
      </c>
      <c r="GQ42">
        <f ca="1"/>
      </c>
    </row>
    <row r="43" spans="1:199" x14ac:dyDescent="0.55000000000000004">
      <c r="A43" s="2"/>
      <c r="B43">
        <f t="shared" si="5"/>
      </c>
      <c r="C43" s="2" t="s">
        <v>316</v>
      </c>
      <c r="D43" s="2" t="s">
        <v>282</v>
      </c>
      <c r="E43" s="2">
        <v>-1</v>
      </c>
      <c r="F43" s="2" t="s">
        <v>283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6"/>
      </c>
      <c r="O43" s="45" cm="1">
        <f t="array" aca="1" ref="O43" ca="1">IF(D43="","",_xlfn.LET(_xlpm.x,FWM_Row(5,""),(J43-INDEX(_xlpm.x,ROWS(_xlpm.x)-4))/(M43*SQRT(5))))</f>
      </c>
      <c r="AA43">
        <f ca="1"/>
      </c>
      <c r="AB43">
        <f ca="1"/>
      </c>
      <c r="AC43">
        <f ca="1"/>
      </c>
      <c r="AD43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L43" t="s">
        <v>37</v>
      </c>
      <c r="AM43">
        <v>0</v>
      </c>
      <c r="AO43">
        <f ca="1"/>
      </c>
      <c r="AP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M43" s="7">
        <f ca="1"/>
      </c>
      <c r="GN43">
        <f ca="1"/>
      </c>
      <c r="GO43">
        <f ca="1"/>
      </c>
      <c r="GP43">
        <f ca="1"/>
      </c>
      <c r="GQ43">
        <f ca="1"/>
      </c>
    </row>
    <row r="44" spans="1:199" x14ac:dyDescent="0.55000000000000004">
      <c r="A44" s="2"/>
      <c r="B44">
        <f t="shared" si="5"/>
      </c>
      <c r="C44" s="2" t="s">
        <v>316</v>
      </c>
      <c r="D44" s="2" t="s">
        <v>291</v>
      </c>
      <c r="E44" s="2">
        <v>-1</v>
      </c>
      <c r="F44" s="2" t="s">
        <v>296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6"/>
      </c>
      <c r="O44" s="45" cm="1">
        <f t="array" aca="1" ref="O44" ca="1">IF(D44="","",_xlfn.LET(_xlpm.x,FWM_Row(6,""),(J44-INDEX(_xlpm.x,ROWS(_xlpm.x)-4))/(M44*SQRT(5))))</f>
      </c>
      <c r="AA44">
        <f ca="1"/>
      </c>
      <c r="AB44">
        <f ca="1"/>
      </c>
      <c r="AC44">
        <f ca="1"/>
      </c>
      <c r="AD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L44" t="s">
        <v>38</v>
      </c>
      <c r="AM44">
        <v>0</v>
      </c>
      <c r="AO44">
        <f ca="1"/>
      </c>
      <c r="AP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M44" s="7">
        <f ca="1"/>
      </c>
      <c r="GN44">
        <f ca="1"/>
      </c>
      <c r="GO44">
        <f ca="1"/>
      </c>
      <c r="GP44">
        <f ca="1"/>
      </c>
      <c r="GQ44">
        <f ca="1"/>
      </c>
    </row>
    <row r="45" spans="1:199" x14ac:dyDescent="0.55000000000000004">
      <c r="A45" s="2"/>
      <c r="B45">
        <f t="shared" si="5"/>
      </c>
      <c r="C45" s="2" t="s">
        <v>316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6"/>
      </c>
      <c r="O45" s="45" cm="1">
        <f t="array" aca="1" ref="O45" ca="1">IF(D45="","",_xlfn.LET(_xlpm.x,FWM_Row(7,""),(J45-INDEX(_xlpm.x,ROWS(_xlpm.x)-4))/(M45*SQRT(5))))</f>
      </c>
      <c r="AA45">
        <f ca="1"/>
      </c>
      <c r="AB45">
        <f ca="1"/>
      </c>
      <c r="AC45">
        <f ca="1"/>
      </c>
      <c r="AD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L45" t="s">
        <v>39</v>
      </c>
      <c r="AM45">
        <v>0</v>
      </c>
      <c r="AO45">
        <f ca="1"/>
      </c>
      <c r="AP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M45" s="7">
        <f ca="1"/>
      </c>
      <c r="GN45">
        <f ca="1"/>
      </c>
      <c r="GO45">
        <f ca="1"/>
      </c>
      <c r="GP45">
        <f ca="1"/>
      </c>
      <c r="GQ45">
        <f ca="1"/>
      </c>
    </row>
    <row r="46" spans="1:199" x14ac:dyDescent="0.55000000000000004">
      <c r="A46" s="2"/>
      <c r="B46">
        <f t="shared" si="5"/>
      </c>
      <c r="C46" s="2" t="s">
        <v>316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6"/>
      </c>
      <c r="O46" s="45" cm="1">
        <f t="array" aca="1" ref="O46" ca="1">IF(D46="","",_xlfn.LET(_xlpm.x,FWM_Row(8,""),(J46-INDEX(_xlpm.x,ROWS(_xlpm.x)-4))/(M46*SQRT(5))))</f>
      </c>
      <c r="AA46">
        <f ca="1"/>
      </c>
      <c r="AB46">
        <f ca="1"/>
      </c>
      <c r="AC46">
        <f ca="1"/>
      </c>
      <c r="AD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L46" t="s">
        <v>40</v>
      </c>
      <c r="AM46">
        <v>0</v>
      </c>
      <c r="AO46">
        <f ca="1"/>
      </c>
      <c r="AP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M46" s="7">
        <f ca="1"/>
      </c>
      <c r="GN46">
        <f ca="1"/>
      </c>
      <c r="GO46">
        <f ca="1"/>
      </c>
      <c r="GP46">
        <f ca="1"/>
      </c>
      <c r="GQ46">
        <f ca="1"/>
      </c>
    </row>
    <row r="47" spans="1:199" x14ac:dyDescent="0.55000000000000004">
      <c r="A47" s="2"/>
      <c r="B47">
        <f t="shared" si="5"/>
      </c>
      <c r="C47" s="2" t="s">
        <v>316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6"/>
      </c>
      <c r="O47" s="45" cm="1">
        <f t="array" aca="1" ref="O47" ca="1">IF(D47="","",_xlfn.LET(_xlpm.x,FWM_Row(9,""),(J47-INDEX(_xlpm.x,ROWS(_xlpm.x)-4))/(M47*SQRT(5))))</f>
      </c>
      <c r="AL47" t="s">
        <v>110</v>
      </c>
      <c r="AM47">
        <v>0</v>
      </c>
      <c r="AO47">
        <f ca="1"/>
      </c>
      <c r="AP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  <c r="BE47">
        <f ca="1"/>
      </c>
      <c r="BF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M47" s="7">
        <f ca="1"/>
      </c>
      <c r="GN47">
        <f ca="1"/>
      </c>
      <c r="GO47">
        <f ca="1"/>
      </c>
      <c r="GP47">
        <f ca="1"/>
      </c>
      <c r="GQ47">
        <f ca="1"/>
      </c>
    </row>
    <row r="48" spans="1:199" x14ac:dyDescent="0.55000000000000004">
      <c r="A48" s="2"/>
      <c r="B48">
        <f t="shared" si="5"/>
      </c>
      <c r="C48" s="2" t="s">
        <v>316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6"/>
      </c>
      <c r="O48" s="45" cm="1">
        <f t="array" aca="1" ref="O48" ca="1">IF(D48="","",_xlfn.LET(_xlpm.x,FWM_Row(10,""),(J48-INDEX(_xlpm.x,ROWS(_xlpm.x)-4))/(M48*SQRT(5))))</f>
      </c>
      <c r="AO48">
        <f ca="1"/>
      </c>
      <c r="AP48">
        <f ca="1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  <c r="BE48">
        <f ca="1"/>
      </c>
      <c r="BF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M48" s="7">
        <f ca="1"/>
      </c>
      <c r="GN48">
        <f ca="1"/>
      </c>
      <c r="GO48">
        <f ca="1"/>
      </c>
      <c r="GP48">
        <f ca="1"/>
      </c>
      <c r="GQ48">
        <f ca="1"/>
      </c>
    </row>
    <row r="49" spans="1:199" x14ac:dyDescent="0.55000000000000004">
      <c r="A49" t="s">
        <v>318</v>
      </c>
      <c r="AO49">
        <f ca="1"/>
      </c>
      <c r="AP49">
        <f ca="1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  <c r="BE49">
        <f ca="1"/>
      </c>
      <c r="BF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M49" s="7">
        <f ca="1"/>
      </c>
      <c r="GN49">
        <f ca="1"/>
      </c>
      <c r="GO49">
        <f ca="1"/>
      </c>
      <c r="GP49">
        <f ca="1"/>
      </c>
      <c r="GQ49">
        <f ca="1"/>
      </c>
    </row>
    <row r="50" spans="1:199" x14ac:dyDescent="0.55000000000000004">
      <c r="AO50">
        <f ca="1"/>
      </c>
      <c r="AP50">
        <f ca="1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  <c r="BE50">
        <f ca="1"/>
      </c>
      <c r="BF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M50" s="7">
        <f ca="1"/>
      </c>
      <c r="GN50">
        <f ca="1"/>
      </c>
      <c r="GO50">
        <f ca="1"/>
      </c>
      <c r="GP50">
        <f ca="1"/>
      </c>
      <c r="GQ50">
        <f ca="1"/>
      </c>
    </row>
    <row r="51" spans="1:199" x14ac:dyDescent="0.55000000000000004">
      <c r="AO51">
        <f ca="1"/>
      </c>
      <c r="AP51">
        <f ca="1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  <c r="BE51">
        <f ca="1"/>
      </c>
      <c r="BF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M51" s="7">
        <f ca="1"/>
      </c>
      <c r="GN51">
        <f ca="1"/>
      </c>
      <c r="GO51">
        <f ca="1"/>
      </c>
      <c r="GP51">
        <f ca="1"/>
      </c>
      <c r="GQ51">
        <f ca="1"/>
      </c>
    </row>
    <row r="52" spans="1:199" x14ac:dyDescent="0.55000000000000004">
      <c r="AO52">
        <f ca="1"/>
      </c>
      <c r="AP52">
        <f ca="1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  <c r="BE52">
        <f ca="1"/>
      </c>
      <c r="BF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M52" s="7">
        <f ca="1"/>
      </c>
      <c r="GN52">
        <f ca="1"/>
      </c>
      <c r="GO52">
        <f ca="1"/>
      </c>
      <c r="GP52">
        <f ca="1"/>
      </c>
      <c r="GQ52">
        <f ca="1"/>
      </c>
    </row>
    <row r="53" spans="1:199" x14ac:dyDescent="0.55000000000000004">
      <c r="AO53">
        <f ca="1"/>
      </c>
      <c r="AP53">
        <f ca="1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  <c r="BE53">
        <f ca="1"/>
      </c>
      <c r="BF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M53" s="7">
        <f ca="1"/>
      </c>
      <c r="GN53">
        <f ca="1"/>
      </c>
      <c r="GO53">
        <f ca="1"/>
      </c>
      <c r="GP53">
        <f ca="1"/>
      </c>
      <c r="GQ53">
        <f ca="1"/>
      </c>
    </row>
    <row r="54" spans="1:199" x14ac:dyDescent="0.55000000000000004">
      <c r="AO54">
        <f ca="1"/>
      </c>
      <c r="AP54">
        <f ca="1"/>
      </c>
      <c r="AQ54">
        <f ca="1"/>
      </c>
      <c r="AR54">
        <f ca="1"/>
      </c>
      <c r="AS54">
        <f ca="1"/>
      </c>
      <c r="AT54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AZ54">
        <f ca="1"/>
      </c>
      <c r="BA54">
        <f ca="1"/>
      </c>
      <c r="BB54">
        <f ca="1"/>
      </c>
      <c r="BC54">
        <f ca="1"/>
      </c>
      <c r="BD54">
        <f ca="1"/>
      </c>
      <c r="BE54">
        <f ca="1"/>
      </c>
      <c r="BF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M54" s="7">
        <f ca="1"/>
      </c>
      <c r="GN54">
        <f ca="1"/>
      </c>
      <c r="GO54">
        <f ca="1"/>
      </c>
      <c r="GP54">
        <f ca="1"/>
      </c>
      <c r="GQ54">
        <f ca="1"/>
      </c>
    </row>
    <row r="55" spans="1:199" x14ac:dyDescent="0.55000000000000004">
      <c r="AO55">
        <f ca="1"/>
      </c>
      <c r="AP55">
        <f ca="1"/>
      </c>
      <c r="AQ55">
        <f ca="1"/>
      </c>
      <c r="AR55">
        <f ca="1"/>
      </c>
      <c r="AS55">
        <f ca="1"/>
      </c>
      <c r="AT55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AZ55">
        <f ca="1"/>
      </c>
      <c r="BA55">
        <f ca="1"/>
      </c>
      <c r="BB55">
        <f ca="1"/>
      </c>
      <c r="BC55">
        <f ca="1"/>
      </c>
      <c r="BD55">
        <f ca="1"/>
      </c>
      <c r="BE55">
        <f ca="1"/>
      </c>
      <c r="BF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M55" s="7">
        <f ca="1"/>
      </c>
      <c r="GN55">
        <f ca="1"/>
      </c>
      <c r="GO55">
        <f ca="1"/>
      </c>
      <c r="GP55">
        <f ca="1"/>
      </c>
      <c r="GQ55">
        <f ca="1"/>
      </c>
    </row>
    <row r="56" spans="1:199" x14ac:dyDescent="0.55000000000000004">
      <c r="AO56">
        <f ca="1"/>
      </c>
      <c r="AP56">
        <f ca="1"/>
      </c>
      <c r="AQ56">
        <f ca="1"/>
      </c>
      <c r="AR56">
        <f ca="1"/>
      </c>
      <c r="AS56">
        <f ca="1"/>
      </c>
      <c r="AT56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AZ56">
        <f ca="1"/>
      </c>
      <c r="BA56">
        <f ca="1"/>
      </c>
      <c r="BB56">
        <f ca="1"/>
      </c>
      <c r="BC56">
        <f ca="1"/>
      </c>
      <c r="BD56">
        <f ca="1"/>
      </c>
      <c r="BE56">
        <f ca="1"/>
      </c>
      <c r="BF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M56" s="7">
        <f ca="1"/>
      </c>
      <c r="GN56">
        <f ca="1"/>
      </c>
      <c r="GO56">
        <f ca="1"/>
      </c>
      <c r="GP56">
        <f ca="1"/>
      </c>
      <c r="GQ56">
        <f ca="1"/>
      </c>
    </row>
    <row r="57" spans="1:199" x14ac:dyDescent="0.55000000000000004">
      <c r="AO57">
        <f ca="1"/>
      </c>
      <c r="AP57">
        <f ca="1"/>
      </c>
      <c r="AQ57">
        <f ca="1"/>
      </c>
      <c r="AR57">
        <f ca="1"/>
      </c>
      <c r="AS57">
        <f ca="1"/>
      </c>
      <c r="AT5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AZ57">
        <f ca="1"/>
      </c>
      <c r="BA57">
        <f ca="1"/>
      </c>
      <c r="BB57">
        <f ca="1"/>
      </c>
      <c r="BC57">
        <f ca="1"/>
      </c>
      <c r="BD57">
        <f ca="1"/>
      </c>
      <c r="BE57">
        <f ca="1"/>
      </c>
      <c r="BF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M57" s="7">
        <f ca="1"/>
      </c>
      <c r="GN57">
        <f ca="1"/>
      </c>
      <c r="GO57">
        <f ca="1"/>
      </c>
      <c r="GP57">
        <f ca="1"/>
      </c>
      <c r="GQ57">
        <f ca="1"/>
      </c>
    </row>
    <row r="58" spans="1:199" x14ac:dyDescent="0.55000000000000004">
      <c r="AO58">
        <f ca="1"/>
      </c>
      <c r="AP58">
        <f ca="1"/>
      </c>
      <c r="AQ58">
        <f ca="1"/>
      </c>
      <c r="AR58">
        <f ca="1"/>
      </c>
      <c r="AS58">
        <f ca="1"/>
      </c>
      <c r="AT58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AZ58">
        <f ca="1"/>
      </c>
      <c r="BA58">
        <f ca="1"/>
      </c>
      <c r="BB58">
        <f ca="1"/>
      </c>
      <c r="BC58">
        <f ca="1"/>
      </c>
      <c r="BD58">
        <f ca="1"/>
      </c>
      <c r="BE58">
        <f ca="1"/>
      </c>
      <c r="BF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M58" s="7">
        <f ca="1"/>
      </c>
      <c r="GN58">
        <f ca="1"/>
      </c>
      <c r="GO58">
        <f ca="1"/>
      </c>
      <c r="GP58">
        <f ca="1"/>
      </c>
      <c r="GQ58">
        <f ca="1"/>
      </c>
    </row>
    <row r="59" spans="1:199" x14ac:dyDescent="0.55000000000000004">
      <c r="AO59">
        <f ca="1"/>
      </c>
      <c r="AP59">
        <f ca="1"/>
      </c>
      <c r="AQ59">
        <f ca="1"/>
      </c>
      <c r="AR59">
        <f ca="1"/>
      </c>
      <c r="AS59">
        <f ca="1"/>
      </c>
      <c r="AT59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AZ59">
        <f ca="1"/>
      </c>
      <c r="BA59">
        <f ca="1"/>
      </c>
      <c r="BB59">
        <f ca="1"/>
      </c>
      <c r="BC59">
        <f ca="1"/>
      </c>
      <c r="BD59">
        <f ca="1"/>
      </c>
      <c r="BE59">
        <f ca="1"/>
      </c>
      <c r="BF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M59" s="7">
        <f ca="1"/>
      </c>
      <c r="GN59">
        <f ca="1"/>
      </c>
      <c r="GO59">
        <f ca="1"/>
      </c>
      <c r="GP59">
        <f ca="1"/>
      </c>
      <c r="GQ59">
        <f ca="1"/>
      </c>
    </row>
    <row r="60" spans="1:199" x14ac:dyDescent="0.55000000000000004">
      <c r="AO60">
        <f ca="1"/>
      </c>
      <c r="AP60">
        <f ca="1"/>
      </c>
      <c r="AQ60">
        <f ca="1"/>
      </c>
      <c r="AR60">
        <f ca="1"/>
      </c>
      <c r="AS60">
        <f ca="1"/>
      </c>
      <c r="AT60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AZ60">
        <f ca="1"/>
      </c>
      <c r="BA60">
        <f ca="1"/>
      </c>
      <c r="BB60">
        <f ca="1"/>
      </c>
      <c r="BC60">
        <f ca="1"/>
      </c>
      <c r="BD60">
        <f ca="1"/>
      </c>
      <c r="BE60">
        <f ca="1"/>
      </c>
      <c r="BF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M60" s="7">
        <f ca="1"/>
      </c>
      <c r="GN60">
        <f ca="1"/>
      </c>
      <c r="GO60">
        <f ca="1"/>
      </c>
      <c r="GP60">
        <f ca="1"/>
      </c>
      <c r="GQ60">
        <f ca="1"/>
      </c>
    </row>
    <row r="61" spans="1:199" x14ac:dyDescent="0.55000000000000004">
      <c r="AO61">
        <f ca="1"/>
      </c>
      <c r="AP61">
        <f ca="1"/>
      </c>
      <c r="AQ61">
        <f ca="1"/>
      </c>
      <c r="AR61">
        <f ca="1"/>
      </c>
      <c r="AS61">
        <f ca="1"/>
      </c>
      <c r="AT61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AZ61">
        <f ca="1"/>
      </c>
      <c r="BA61">
        <f ca="1"/>
      </c>
      <c r="BB61">
        <f ca="1"/>
      </c>
      <c r="BC61">
        <f ca="1"/>
      </c>
      <c r="BD61">
        <f ca="1"/>
      </c>
      <c r="BE61">
        <f ca="1"/>
      </c>
      <c r="BF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M61" s="7">
        <f ca="1"/>
      </c>
      <c r="GN61">
        <f ca="1"/>
      </c>
      <c r="GO61">
        <f ca="1"/>
      </c>
      <c r="GP61">
        <f ca="1"/>
      </c>
      <c r="GQ61">
        <f ca="1"/>
      </c>
    </row>
    <row r="62" spans="1:199" x14ac:dyDescent="0.55000000000000004">
      <c r="AO62">
        <f ca="1"/>
      </c>
      <c r="AP62">
        <f ca="1"/>
      </c>
      <c r="AQ62">
        <f ca="1"/>
      </c>
      <c r="AR62">
        <f ca="1"/>
      </c>
      <c r="AS62">
        <f ca="1"/>
      </c>
      <c r="AT62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AZ62">
        <f ca="1"/>
      </c>
      <c r="BA62">
        <f ca="1"/>
      </c>
      <c r="BB62">
        <f ca="1"/>
      </c>
      <c r="BC62">
        <f ca="1"/>
      </c>
      <c r="BD62">
        <f ca="1"/>
      </c>
      <c r="BE62">
        <f ca="1"/>
      </c>
      <c r="BF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M62" s="7">
        <f ca="1"/>
      </c>
      <c r="GN62">
        <f ca="1"/>
      </c>
      <c r="GO62">
        <f ca="1"/>
      </c>
      <c r="GP62">
        <f ca="1"/>
      </c>
      <c r="GQ62">
        <f ca="1"/>
      </c>
    </row>
    <row r="63" spans="1:199" x14ac:dyDescent="0.55000000000000004">
      <c r="AO63">
        <f ca="1"/>
      </c>
      <c r="AP63">
        <f ca="1"/>
      </c>
      <c r="AQ63">
        <f ca="1"/>
      </c>
      <c r="AR63">
        <f ca="1"/>
      </c>
      <c r="AS63">
        <f ca="1"/>
      </c>
      <c r="AT63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AZ63">
        <f ca="1"/>
      </c>
      <c r="BA63">
        <f ca="1"/>
      </c>
      <c r="BB63">
        <f ca="1"/>
      </c>
      <c r="BC63">
        <f ca="1"/>
      </c>
      <c r="BD63">
        <f ca="1"/>
      </c>
      <c r="BE63">
        <f ca="1"/>
      </c>
      <c r="BF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M63" s="7">
        <f ca="1"/>
      </c>
      <c r="GN63">
        <f ca="1"/>
      </c>
      <c r="GO63">
        <f ca="1"/>
      </c>
      <c r="GP63">
        <f ca="1"/>
      </c>
      <c r="GQ63">
        <f ca="1"/>
      </c>
    </row>
    <row r="64" spans="1:199" x14ac:dyDescent="0.55000000000000004">
      <c r="AO64">
        <f ca="1"/>
      </c>
      <c r="AP64">
        <f ca="1"/>
      </c>
      <c r="AQ64">
        <f ca="1"/>
      </c>
      <c r="AR64">
        <f ca="1"/>
      </c>
      <c r="AS64">
        <f ca="1"/>
      </c>
      <c r="AT64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AZ64">
        <f ca="1"/>
      </c>
      <c r="BA64">
        <f ca="1"/>
      </c>
      <c r="BB64">
        <f ca="1"/>
      </c>
      <c r="BC64">
        <f ca="1"/>
      </c>
      <c r="BD64">
        <f ca="1"/>
      </c>
      <c r="BE64">
        <f ca="1"/>
      </c>
      <c r="BF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M64" s="7">
        <f ca="1"/>
      </c>
      <c r="GN64">
        <f ca="1"/>
      </c>
      <c r="GO64">
        <f ca="1"/>
      </c>
      <c r="GP64">
        <f ca="1"/>
      </c>
      <c r="GQ64">
        <f ca="1"/>
      </c>
    </row>
    <row r="65" spans="41:199" x14ac:dyDescent="0.55000000000000004">
      <c r="AO65">
        <f ca="1"/>
      </c>
      <c r="AP65">
        <f ca="1"/>
      </c>
      <c r="AQ65">
        <f ca="1"/>
      </c>
      <c r="AR65">
        <f ca="1"/>
      </c>
      <c r="AS65">
        <f ca="1"/>
      </c>
      <c r="AT65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AZ65">
        <f ca="1"/>
      </c>
      <c r="BA65">
        <f ca="1"/>
      </c>
      <c r="BB65">
        <f ca="1"/>
      </c>
      <c r="BC65">
        <f ca="1"/>
      </c>
      <c r="BD65">
        <f ca="1"/>
      </c>
      <c r="BE65">
        <f ca="1"/>
      </c>
      <c r="BF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M65" s="7">
        <f ca="1"/>
      </c>
      <c r="GN65">
        <f ca="1"/>
      </c>
      <c r="GO65">
        <f ca="1"/>
      </c>
      <c r="GP65">
        <f ca="1"/>
      </c>
      <c r="GQ65">
        <f ca="1"/>
      </c>
    </row>
    <row r="66" spans="41:199" x14ac:dyDescent="0.55000000000000004">
      <c r="AO66">
        <f ca="1"/>
      </c>
      <c r="AP66">
        <f ca="1"/>
      </c>
      <c r="AQ66">
        <f ca="1"/>
      </c>
      <c r="AR66">
        <f ca="1"/>
      </c>
      <c r="AS66">
        <f ca="1"/>
      </c>
      <c r="AT66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AZ66">
        <f ca="1"/>
      </c>
      <c r="BA66">
        <f ca="1"/>
      </c>
      <c r="BB66">
        <f ca="1"/>
      </c>
      <c r="BC66">
        <f ca="1"/>
      </c>
      <c r="BD66">
        <f ca="1"/>
      </c>
      <c r="BE66">
        <f ca="1"/>
      </c>
      <c r="BF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M66" s="7">
        <f ca="1"/>
      </c>
      <c r="GN66">
        <f ca="1"/>
      </c>
      <c r="GO66">
        <f ca="1"/>
      </c>
      <c r="GP66">
        <f ca="1"/>
      </c>
      <c r="GQ66">
        <f ca="1"/>
      </c>
    </row>
    <row r="67" spans="41:199" x14ac:dyDescent="0.55000000000000004">
      <c r="AO67">
        <f ca="1"/>
      </c>
      <c r="AP67">
        <f ca="1"/>
      </c>
      <c r="AQ67">
        <f ca="1"/>
      </c>
      <c r="AR67">
        <f ca="1"/>
      </c>
      <c r="AS67">
        <f ca="1"/>
      </c>
      <c r="AT6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AZ67">
        <f ca="1"/>
      </c>
      <c r="BA67">
        <f ca="1"/>
      </c>
      <c r="BB67">
        <f ca="1"/>
      </c>
      <c r="BC67">
        <f ca="1"/>
      </c>
      <c r="BD67">
        <f ca="1"/>
      </c>
      <c r="BE67">
        <f ca="1"/>
      </c>
      <c r="BF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M67" s="7">
        <f ca="1"/>
      </c>
      <c r="GN67">
        <f ca="1"/>
      </c>
      <c r="GO67">
        <f ca="1"/>
      </c>
      <c r="GP67">
        <f ca="1"/>
      </c>
      <c r="GQ67">
        <f ca="1"/>
      </c>
    </row>
    <row r="68" spans="41:199" x14ac:dyDescent="0.55000000000000004">
      <c r="AO68">
        <f ca="1"/>
      </c>
      <c r="AP68">
        <f ca="1"/>
      </c>
      <c r="AQ68">
        <f ca="1"/>
      </c>
      <c r="AR68">
        <f ca="1"/>
      </c>
      <c r="AS68">
        <f ca="1"/>
      </c>
      <c r="AT68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AZ68">
        <f ca="1"/>
      </c>
      <c r="BA68">
        <f ca="1"/>
      </c>
      <c r="BB68">
        <f ca="1"/>
      </c>
      <c r="BC68">
        <f ca="1"/>
      </c>
      <c r="BD68">
        <f ca="1"/>
      </c>
      <c r="BE68">
        <f ca="1"/>
      </c>
      <c r="BF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M68" s="7">
        <f ca="1"/>
      </c>
      <c r="GN68">
        <f ca="1"/>
      </c>
      <c r="GO68">
        <f ca="1"/>
      </c>
      <c r="GP68">
        <f ca="1"/>
      </c>
      <c r="GQ68">
        <f ca="1"/>
      </c>
    </row>
    <row r="69" spans="41:199" x14ac:dyDescent="0.55000000000000004">
      <c r="AO69">
        <f ca="1"/>
      </c>
      <c r="AP69">
        <f ca="1"/>
      </c>
      <c r="AQ69">
        <f ca="1"/>
      </c>
      <c r="AR69">
        <f ca="1"/>
      </c>
      <c r="AS69">
        <f ca="1"/>
      </c>
      <c r="AT69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AZ69">
        <f ca="1"/>
      </c>
      <c r="BA69">
        <f ca="1"/>
      </c>
      <c r="BB69">
        <f ca="1"/>
      </c>
      <c r="BC69">
        <f ca="1"/>
      </c>
      <c r="BD69">
        <f ca="1"/>
      </c>
      <c r="BE69">
        <f ca="1"/>
      </c>
      <c r="BF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M69" s="7">
        <f ca="1"/>
      </c>
      <c r="GN69">
        <f ca="1"/>
      </c>
      <c r="GO69">
        <f ca="1"/>
      </c>
      <c r="GP69">
        <f ca="1"/>
      </c>
      <c r="GQ69">
        <f ca="1"/>
      </c>
    </row>
    <row r="70" spans="41:199" x14ac:dyDescent="0.55000000000000004">
      <c r="AO70">
        <f ca="1"/>
      </c>
      <c r="AP70">
        <f ca="1"/>
      </c>
      <c r="AQ70">
        <f ca="1"/>
      </c>
      <c r="AR70">
        <f ca="1"/>
      </c>
      <c r="AS70">
        <f ca="1"/>
      </c>
      <c r="AT70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AZ70">
        <f ca="1"/>
      </c>
      <c r="BA70">
        <f ca="1"/>
      </c>
      <c r="BB70">
        <f ca="1"/>
      </c>
      <c r="BC70">
        <f ca="1"/>
      </c>
      <c r="BD70">
        <f ca="1"/>
      </c>
      <c r="BE70">
        <f ca="1"/>
      </c>
      <c r="BF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M70" s="7">
        <f ca="1"/>
      </c>
      <c r="GN70">
        <f ca="1"/>
      </c>
      <c r="GO70">
        <f ca="1"/>
      </c>
      <c r="GP70">
        <f ca="1"/>
      </c>
      <c r="GQ70">
        <f ca="1"/>
      </c>
    </row>
    <row r="71" spans="41:199" x14ac:dyDescent="0.55000000000000004">
      <c r="AO71">
        <f ca="1"/>
      </c>
      <c r="AP71">
        <f ca="1"/>
      </c>
      <c r="AQ71">
        <f ca="1"/>
      </c>
      <c r="AR71">
        <f ca="1"/>
      </c>
      <c r="AS71">
        <f ca="1"/>
      </c>
      <c r="AT71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AZ71">
        <f ca="1"/>
      </c>
      <c r="BA71">
        <f ca="1"/>
      </c>
      <c r="BB71">
        <f ca="1"/>
      </c>
      <c r="BC71">
        <f ca="1"/>
      </c>
      <c r="BD71">
        <f ca="1"/>
      </c>
      <c r="BE71">
        <f ca="1"/>
      </c>
      <c r="BF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M71" s="7">
        <f ca="1"/>
      </c>
      <c r="GN71">
        <f ca="1"/>
      </c>
      <c r="GO71">
        <f ca="1"/>
      </c>
      <c r="GP71">
        <f ca="1"/>
      </c>
      <c r="GQ71">
        <f ca="1"/>
      </c>
    </row>
    <row r="72" spans="41:199" x14ac:dyDescent="0.55000000000000004">
      <c r="AO72">
        <f ca="1"/>
      </c>
      <c r="AP72">
        <f ca="1"/>
      </c>
      <c r="AQ72">
        <f ca="1"/>
      </c>
      <c r="AR72">
        <f ca="1"/>
      </c>
      <c r="AS72">
        <f ca="1"/>
      </c>
      <c r="AT72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AZ72">
        <f ca="1"/>
      </c>
      <c r="BA72">
        <f ca="1"/>
      </c>
      <c r="BB72">
        <f ca="1"/>
      </c>
      <c r="BC72">
        <f ca="1"/>
      </c>
      <c r="BD72">
        <f ca="1"/>
      </c>
      <c r="BE72">
        <f ca="1"/>
      </c>
      <c r="BF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M72" s="7">
        <f ca="1"/>
      </c>
      <c r="GN72">
        <f ca="1"/>
      </c>
      <c r="GO72">
        <f ca="1"/>
      </c>
      <c r="GP72">
        <f ca="1"/>
      </c>
      <c r="GQ72">
        <f ca="1"/>
      </c>
    </row>
    <row r="73" spans="41:199" x14ac:dyDescent="0.55000000000000004">
      <c r="AO73">
        <f ca="1"/>
      </c>
      <c r="AP73">
        <f ca="1"/>
      </c>
      <c r="AQ73">
        <f ca="1"/>
      </c>
      <c r="AR73">
        <f ca="1"/>
      </c>
      <c r="AS73">
        <f ca="1"/>
      </c>
      <c r="AT73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AZ73">
        <f ca="1"/>
      </c>
      <c r="BA73">
        <f ca="1"/>
      </c>
      <c r="BB73">
        <f ca="1"/>
      </c>
      <c r="BC73">
        <f ca="1"/>
      </c>
      <c r="BD73">
        <f ca="1"/>
      </c>
      <c r="BE73">
        <f ca="1"/>
      </c>
      <c r="BF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M73" s="7">
        <f ca="1"/>
      </c>
      <c r="GN73">
        <f ca="1"/>
      </c>
      <c r="GO73">
        <f ca="1"/>
      </c>
      <c r="GP73">
        <f ca="1"/>
      </c>
      <c r="GQ73">
        <f ca="1"/>
      </c>
    </row>
    <row r="74" spans="41:199" x14ac:dyDescent="0.55000000000000004">
      <c r="AO74">
        <f ca="1"/>
      </c>
      <c r="AP74">
        <f ca="1"/>
      </c>
      <c r="AQ74">
        <f ca="1"/>
      </c>
      <c r="AR74">
        <f ca="1"/>
      </c>
      <c r="AS74">
        <f ca="1"/>
      </c>
      <c r="AT74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AZ74">
        <f ca="1"/>
      </c>
      <c r="BA74">
        <f ca="1"/>
      </c>
      <c r="BB74">
        <f ca="1"/>
      </c>
      <c r="BC74">
        <f ca="1"/>
      </c>
      <c r="BD74">
        <f ca="1"/>
      </c>
      <c r="BE74">
        <f ca="1"/>
      </c>
      <c r="BF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M74" s="7">
        <f ca="1"/>
      </c>
      <c r="GN74">
        <f ca="1"/>
      </c>
      <c r="GO74">
        <f ca="1"/>
      </c>
      <c r="GP74">
        <f ca="1"/>
      </c>
      <c r="GQ74">
        <f ca="1"/>
      </c>
    </row>
    <row r="75" spans="41:199" x14ac:dyDescent="0.55000000000000004">
      <c r="AO75">
        <f ca="1"/>
      </c>
      <c r="AP75">
        <f ca="1"/>
      </c>
      <c r="AQ75">
        <f ca="1"/>
      </c>
      <c r="AR75">
        <f ca="1"/>
      </c>
      <c r="AS75">
        <f ca="1"/>
      </c>
      <c r="AT75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AZ75">
        <f ca="1"/>
      </c>
      <c r="BA75">
        <f ca="1"/>
      </c>
      <c r="BB75">
        <f ca="1"/>
      </c>
      <c r="BC75">
        <f ca="1"/>
      </c>
      <c r="BD75">
        <f ca="1"/>
      </c>
      <c r="BE75">
        <f ca="1"/>
      </c>
      <c r="BF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M75" s="7">
        <f ca="1"/>
      </c>
      <c r="GN75">
        <f ca="1"/>
      </c>
      <c r="GO75">
        <f ca="1"/>
      </c>
      <c r="GP75">
        <f ca="1"/>
      </c>
      <c r="GQ75">
        <f ca="1"/>
      </c>
    </row>
    <row r="76" spans="41:199" x14ac:dyDescent="0.55000000000000004">
      <c r="AO76">
        <f ca="1"/>
      </c>
      <c r="AP76">
        <f ca="1"/>
      </c>
      <c r="AQ76">
        <f ca="1"/>
      </c>
      <c r="AR76">
        <f ca="1"/>
      </c>
      <c r="AS76">
        <f ca="1"/>
      </c>
      <c r="AT76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AZ76">
        <f ca="1"/>
      </c>
      <c r="BA76">
        <f ca="1"/>
      </c>
      <c r="BB76">
        <f ca="1"/>
      </c>
      <c r="BC76">
        <f ca="1"/>
      </c>
      <c r="BD76">
        <f ca="1"/>
      </c>
      <c r="BE76">
        <f ca="1"/>
      </c>
      <c r="BF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M76" s="7">
        <f ca="1"/>
      </c>
      <c r="GN76">
        <f ca="1"/>
      </c>
      <c r="GO76">
        <f ca="1"/>
      </c>
      <c r="GP76">
        <f ca="1"/>
      </c>
      <c r="GQ76">
        <f ca="1"/>
      </c>
    </row>
    <row r="77" spans="41:199" x14ac:dyDescent="0.55000000000000004">
      <c r="AO77">
        <f ca="1"/>
      </c>
      <c r="AP77">
        <f ca="1"/>
      </c>
      <c r="AQ77">
        <f ca="1"/>
      </c>
      <c r="AR77">
        <f ca="1"/>
      </c>
      <c r="AS77">
        <f ca="1"/>
      </c>
      <c r="AT7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AZ77">
        <f ca="1"/>
      </c>
      <c r="BA77">
        <f ca="1"/>
      </c>
      <c r="BB77">
        <f ca="1"/>
      </c>
      <c r="BC77">
        <f ca="1"/>
      </c>
      <c r="BD77">
        <f ca="1"/>
      </c>
      <c r="BE77">
        <f ca="1"/>
      </c>
      <c r="BF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M77" s="7">
        <f ca="1"/>
      </c>
      <c r="GN77">
        <f ca="1"/>
      </c>
      <c r="GO77">
        <f ca="1"/>
      </c>
      <c r="GP77">
        <f ca="1"/>
      </c>
      <c r="GQ77">
        <f ca="1"/>
      </c>
    </row>
    <row r="78" spans="41:199" x14ac:dyDescent="0.55000000000000004">
      <c r="AO78">
        <f ca="1"/>
      </c>
      <c r="AP78">
        <f ca="1"/>
      </c>
      <c r="AQ78">
        <f ca="1"/>
      </c>
      <c r="AR78">
        <f ca="1"/>
      </c>
      <c r="AS78">
        <f ca="1"/>
      </c>
      <c r="AT78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AZ78">
        <f ca="1"/>
      </c>
      <c r="BA78">
        <f ca="1"/>
      </c>
      <c r="BB78">
        <f ca="1"/>
      </c>
      <c r="BC78">
        <f ca="1"/>
      </c>
      <c r="BD78">
        <f ca="1"/>
      </c>
      <c r="BE78">
        <f ca="1"/>
      </c>
      <c r="BF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M78" s="7">
        <f ca="1"/>
      </c>
      <c r="GN78">
        <f ca="1"/>
      </c>
      <c r="GO78">
        <f ca="1"/>
      </c>
      <c r="GP78">
        <f ca="1"/>
      </c>
      <c r="GQ78">
        <f ca="1"/>
      </c>
    </row>
    <row r="79" spans="41:199" x14ac:dyDescent="0.55000000000000004">
      <c r="AO79">
        <f ca="1"/>
      </c>
      <c r="AP79">
        <f ca="1"/>
      </c>
      <c r="AQ79">
        <f ca="1"/>
      </c>
      <c r="AR79">
        <f ca="1"/>
      </c>
      <c r="AS79">
        <f ca="1"/>
      </c>
      <c r="AT79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AZ79">
        <f ca="1"/>
      </c>
      <c r="BA79">
        <f ca="1"/>
      </c>
      <c r="BB79">
        <f ca="1"/>
      </c>
      <c r="BC79">
        <f ca="1"/>
      </c>
      <c r="BD79">
        <f ca="1"/>
      </c>
      <c r="BE79">
        <f ca="1"/>
      </c>
      <c r="BF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M79" s="7">
        <f ca="1"/>
      </c>
      <c r="GN79">
        <f ca="1"/>
      </c>
      <c r="GO79">
        <f ca="1"/>
      </c>
      <c r="GP79">
        <f ca="1"/>
      </c>
      <c r="GQ79">
        <f ca="1"/>
      </c>
    </row>
    <row r="80" spans="41:199" x14ac:dyDescent="0.55000000000000004">
      <c r="AO80">
        <f ca="1"/>
      </c>
      <c r="AP80">
        <f ca="1"/>
      </c>
      <c r="AQ80">
        <f ca="1"/>
      </c>
      <c r="AR80">
        <f ca="1"/>
      </c>
      <c r="AS80">
        <f ca="1"/>
      </c>
      <c r="AT80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AZ80">
        <f ca="1"/>
      </c>
      <c r="BA80">
        <f ca="1"/>
      </c>
      <c r="BB80">
        <f ca="1"/>
      </c>
      <c r="BC80">
        <f ca="1"/>
      </c>
      <c r="BD80">
        <f ca="1"/>
      </c>
      <c r="BE80">
        <f ca="1"/>
      </c>
      <c r="BF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M80" s="7">
        <f ca="1"/>
      </c>
      <c r="GN80">
        <f ca="1"/>
      </c>
      <c r="GO80">
        <f ca="1"/>
      </c>
      <c r="GP80">
        <f ca="1"/>
      </c>
      <c r="GQ80">
        <f ca="1"/>
      </c>
    </row>
    <row r="81" spans="41:199" x14ac:dyDescent="0.55000000000000004">
      <c r="AO81">
        <f ca="1"/>
      </c>
      <c r="AP81">
        <f ca="1"/>
      </c>
      <c r="AQ81">
        <f ca="1"/>
      </c>
      <c r="AR81">
        <f ca="1"/>
      </c>
      <c r="AS81">
        <f ca="1"/>
      </c>
      <c r="AT81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AZ81">
        <f ca="1"/>
      </c>
      <c r="BA81">
        <f ca="1"/>
      </c>
      <c r="BB81">
        <f ca="1"/>
      </c>
      <c r="BC81">
        <f ca="1"/>
      </c>
      <c r="BD81">
        <f ca="1"/>
      </c>
      <c r="BE81">
        <f ca="1"/>
      </c>
      <c r="BF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M81" s="7">
        <f ca="1"/>
      </c>
      <c r="GN81">
        <f ca="1"/>
      </c>
      <c r="GO81">
        <f ca="1"/>
      </c>
      <c r="GP81">
        <f ca="1"/>
      </c>
      <c r="GQ81">
        <f ca="1"/>
      </c>
    </row>
    <row r="82" spans="41:199" x14ac:dyDescent="0.55000000000000004">
      <c r="AO82">
        <f ca="1"/>
      </c>
      <c r="AP82">
        <f ca="1"/>
      </c>
      <c r="AQ82">
        <f ca="1"/>
      </c>
      <c r="AR82">
        <f ca="1"/>
      </c>
      <c r="AS82">
        <f ca="1"/>
      </c>
      <c r="AT82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AZ82">
        <f ca="1"/>
      </c>
      <c r="BA82">
        <f ca="1"/>
      </c>
      <c r="BB82">
        <f ca="1"/>
      </c>
      <c r="BC82">
        <f ca="1"/>
      </c>
      <c r="BD82">
        <f ca="1"/>
      </c>
      <c r="BE82">
        <f ca="1"/>
      </c>
      <c r="BF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M82" s="7">
        <f ca="1"/>
      </c>
      <c r="GN82">
        <f ca="1"/>
      </c>
      <c r="GO82">
        <f ca="1"/>
      </c>
      <c r="GP82">
        <f ca="1"/>
      </c>
      <c r="GQ82">
        <f ca="1"/>
      </c>
    </row>
    <row r="83" spans="41:199" x14ac:dyDescent="0.55000000000000004">
      <c r="AO83">
        <f ca="1"/>
      </c>
      <c r="AP83">
        <f ca="1"/>
      </c>
      <c r="AQ83">
        <f ca="1"/>
      </c>
      <c r="AR83">
        <f ca="1"/>
      </c>
      <c r="AS83">
        <f ca="1"/>
      </c>
      <c r="AT83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AZ83">
        <f ca="1"/>
      </c>
      <c r="BA83">
        <f ca="1"/>
      </c>
      <c r="BB83">
        <f ca="1"/>
      </c>
      <c r="BC83">
        <f ca="1"/>
      </c>
      <c r="BD83">
        <f ca="1"/>
      </c>
      <c r="BE83">
        <f ca="1"/>
      </c>
      <c r="BF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M83" s="7">
        <f ca="1"/>
      </c>
      <c r="GN83">
        <f ca="1"/>
      </c>
      <c r="GO83">
        <f ca="1"/>
      </c>
      <c r="GP83">
        <f ca="1"/>
      </c>
      <c r="GQ83">
        <f ca="1"/>
      </c>
    </row>
    <row r="84" spans="41:199" x14ac:dyDescent="0.55000000000000004">
      <c r="AO84">
        <f ca="1"/>
      </c>
      <c r="AP84">
        <f ca="1"/>
      </c>
      <c r="AQ84">
        <f ca="1"/>
      </c>
      <c r="AR84">
        <f ca="1"/>
      </c>
      <c r="AS84">
        <f ca="1"/>
      </c>
      <c r="AT84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AZ84">
        <f ca="1"/>
      </c>
      <c r="BA84">
        <f ca="1"/>
      </c>
      <c r="BB84">
        <f ca="1"/>
      </c>
      <c r="BC84">
        <f ca="1"/>
      </c>
      <c r="BD84">
        <f ca="1"/>
      </c>
      <c r="BE84">
        <f ca="1"/>
      </c>
      <c r="BF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M84" s="7">
        <f ca="1"/>
      </c>
      <c r="GN84">
        <f ca="1"/>
      </c>
      <c r="GO84">
        <f ca="1"/>
      </c>
      <c r="GP84">
        <f ca="1"/>
      </c>
      <c r="GQ84">
        <f ca="1"/>
      </c>
    </row>
    <row r="85" spans="41:199" x14ac:dyDescent="0.55000000000000004">
      <c r="AO85">
        <f ca="1"/>
      </c>
      <c r="AP85">
        <f ca="1"/>
      </c>
      <c r="AQ85">
        <f ca="1"/>
      </c>
      <c r="AR85">
        <f ca="1"/>
      </c>
      <c r="AS85">
        <f ca="1"/>
      </c>
      <c r="AT85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AZ85">
        <f ca="1"/>
      </c>
      <c r="BA85">
        <f ca="1"/>
      </c>
      <c r="BB85">
        <f ca="1"/>
      </c>
      <c r="BC85">
        <f ca="1"/>
      </c>
      <c r="BD85">
        <f ca="1"/>
      </c>
      <c r="BE85">
        <f ca="1"/>
      </c>
      <c r="BF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M85" s="7">
        <f ca="1"/>
      </c>
      <c r="GN85">
        <f ca="1"/>
      </c>
      <c r="GO85">
        <f ca="1"/>
      </c>
      <c r="GP85">
        <f ca="1"/>
      </c>
      <c r="GQ85">
        <f ca="1"/>
      </c>
    </row>
    <row r="86" spans="41:199" x14ac:dyDescent="0.55000000000000004">
      <c r="AO86">
        <f ca="1"/>
      </c>
      <c r="AP86">
        <f ca="1"/>
      </c>
      <c r="AQ86">
        <f ca="1"/>
      </c>
      <c r="AR86">
        <f ca="1"/>
      </c>
      <c r="AS86">
        <f ca="1"/>
      </c>
      <c r="AT86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AZ86">
        <f ca="1"/>
      </c>
      <c r="BA86">
        <f ca="1"/>
      </c>
      <c r="BB86">
        <f ca="1"/>
      </c>
      <c r="BC86">
        <f ca="1"/>
      </c>
      <c r="BD86">
        <f ca="1"/>
      </c>
      <c r="BE86">
        <f ca="1"/>
      </c>
      <c r="BF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M86" s="7">
        <f ca="1"/>
      </c>
      <c r="GN86">
        <f ca="1"/>
      </c>
      <c r="GO86">
        <f ca="1"/>
      </c>
      <c r="GP86">
        <f ca="1"/>
      </c>
      <c r="GQ86">
        <f ca="1"/>
      </c>
    </row>
    <row r="87" spans="41:199" x14ac:dyDescent="0.55000000000000004">
      <c r="AO87">
        <f ca="1"/>
      </c>
      <c r="AP87">
        <f ca="1"/>
      </c>
      <c r="AQ87">
        <f ca="1"/>
      </c>
      <c r="AR87">
        <f ca="1"/>
      </c>
      <c r="AS87">
        <f ca="1"/>
      </c>
      <c r="AT8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AZ87">
        <f ca="1"/>
      </c>
      <c r="BA87">
        <f ca="1"/>
      </c>
      <c r="BB87">
        <f ca="1"/>
      </c>
      <c r="BC87">
        <f ca="1"/>
      </c>
      <c r="BD87">
        <f ca="1"/>
      </c>
      <c r="BE87">
        <f ca="1"/>
      </c>
      <c r="BF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M87" s="7">
        <f ca="1"/>
      </c>
      <c r="GN87">
        <f ca="1"/>
      </c>
      <c r="GO87">
        <f ca="1"/>
      </c>
      <c r="GP87">
        <f ca="1"/>
      </c>
      <c r="GQ87">
        <f ca="1"/>
      </c>
    </row>
    <row r="88" spans="41:199" x14ac:dyDescent="0.55000000000000004">
      <c r="AO88">
        <f ca="1"/>
      </c>
      <c r="AP88">
        <f ca="1"/>
      </c>
      <c r="AQ88">
        <f ca="1"/>
      </c>
      <c r="AR88">
        <f ca="1"/>
      </c>
      <c r="AS88">
        <f ca="1"/>
      </c>
      <c r="AT88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AZ88">
        <f ca="1"/>
      </c>
      <c r="BA88">
        <f ca="1"/>
      </c>
      <c r="BB88">
        <f ca="1"/>
      </c>
      <c r="BC88">
        <f ca="1"/>
      </c>
      <c r="BD88">
        <f ca="1"/>
      </c>
      <c r="BE88">
        <f ca="1"/>
      </c>
      <c r="BF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M88" s="7">
        <f ca="1"/>
      </c>
      <c r="GN88">
        <f ca="1"/>
      </c>
      <c r="GO88">
        <f ca="1"/>
      </c>
      <c r="GP88">
        <f ca="1"/>
      </c>
      <c r="GQ88">
        <f ca="1"/>
      </c>
    </row>
    <row r="89" spans="41:199" x14ac:dyDescent="0.55000000000000004">
      <c r="AO89">
        <f ca="1"/>
      </c>
      <c r="AP89">
        <f ca="1"/>
      </c>
      <c r="AQ89">
        <f ca="1"/>
      </c>
      <c r="AR89">
        <f ca="1"/>
      </c>
      <c r="AS89">
        <f ca="1"/>
      </c>
      <c r="AT89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AZ89">
        <f ca="1"/>
      </c>
      <c r="BA89">
        <f ca="1"/>
      </c>
      <c r="BB89">
        <f ca="1"/>
      </c>
      <c r="BC89">
        <f ca="1"/>
      </c>
      <c r="BD89">
        <f ca="1"/>
      </c>
      <c r="BE89">
        <f ca="1"/>
      </c>
      <c r="BF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M89" s="7">
        <f ca="1"/>
      </c>
      <c r="GN89">
        <f ca="1"/>
      </c>
      <c r="GO89">
        <f ca="1"/>
      </c>
      <c r="GP89">
        <f ca="1"/>
      </c>
      <c r="GQ89">
        <f ca="1"/>
      </c>
    </row>
    <row r="90" spans="41:199" x14ac:dyDescent="0.55000000000000004">
      <c r="AO90">
        <f ca="1"/>
      </c>
      <c r="AP90">
        <f ca="1"/>
      </c>
      <c r="AQ90">
        <f ca="1"/>
      </c>
      <c r="AR90">
        <f ca="1"/>
      </c>
      <c r="AS90">
        <f ca="1"/>
      </c>
      <c r="AT90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AZ90">
        <f ca="1"/>
      </c>
      <c r="BA90">
        <f ca="1"/>
      </c>
      <c r="BB90">
        <f ca="1"/>
      </c>
      <c r="BC90">
        <f ca="1"/>
      </c>
      <c r="BD90">
        <f ca="1"/>
      </c>
      <c r="BE90">
        <f ca="1"/>
      </c>
      <c r="BF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M90" s="7">
        <f ca="1"/>
      </c>
      <c r="GN90">
        <f ca="1"/>
      </c>
      <c r="GO90">
        <f ca="1"/>
      </c>
      <c r="GP90">
        <f ca="1"/>
      </c>
      <c r="GQ90">
        <f ca="1"/>
      </c>
    </row>
    <row r="91" spans="41:199" x14ac:dyDescent="0.55000000000000004">
      <c r="AO91">
        <f ca="1"/>
      </c>
      <c r="AP91">
        <f ca="1"/>
      </c>
      <c r="AQ91">
        <f ca="1"/>
      </c>
      <c r="AR91">
        <f ca="1"/>
      </c>
      <c r="AS91">
        <f ca="1"/>
      </c>
      <c r="AT91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AZ91">
        <f ca="1"/>
      </c>
      <c r="BA91">
        <f ca="1"/>
      </c>
      <c r="BB91">
        <f ca="1"/>
      </c>
      <c r="BC91">
        <f ca="1"/>
      </c>
      <c r="BD91">
        <f ca="1"/>
      </c>
      <c r="BE91">
        <f ca="1"/>
      </c>
      <c r="BF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M91" s="7">
        <f ca="1"/>
      </c>
      <c r="GN91">
        <f ca="1"/>
      </c>
      <c r="GO91">
        <f ca="1"/>
      </c>
      <c r="GP91">
        <f ca="1"/>
      </c>
      <c r="GQ91">
        <f ca="1"/>
      </c>
    </row>
    <row r="92" spans="41:199" x14ac:dyDescent="0.55000000000000004">
      <c r="AO92">
        <f ca="1"/>
      </c>
      <c r="AP92">
        <f ca="1"/>
      </c>
      <c r="AQ92">
        <f ca="1"/>
      </c>
      <c r="AR92">
        <f ca="1"/>
      </c>
      <c r="AS92">
        <f ca="1"/>
      </c>
      <c r="AT92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AZ92">
        <f ca="1"/>
      </c>
      <c r="BA92">
        <f ca="1"/>
      </c>
      <c r="BB92">
        <f ca="1"/>
      </c>
      <c r="BC92">
        <f ca="1"/>
      </c>
      <c r="BD92">
        <f ca="1"/>
      </c>
      <c r="BE92">
        <f ca="1"/>
      </c>
      <c r="BF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M92" s="7">
        <f ca="1"/>
      </c>
      <c r="GN92">
        <f ca="1"/>
      </c>
      <c r="GO92">
        <f ca="1"/>
      </c>
      <c r="GP92">
        <f ca="1"/>
      </c>
      <c r="GQ92">
        <f ca="1"/>
      </c>
    </row>
    <row r="93" spans="41:199" x14ac:dyDescent="0.55000000000000004">
      <c r="AO93">
        <f ca="1"/>
      </c>
      <c r="AP93">
        <f ca="1"/>
      </c>
      <c r="AQ93">
        <f ca="1"/>
      </c>
      <c r="AR93">
        <f ca="1"/>
      </c>
      <c r="AS93">
        <f ca="1"/>
      </c>
      <c r="AT93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AZ93">
        <f ca="1"/>
      </c>
      <c r="BA93">
        <f ca="1"/>
      </c>
      <c r="BB93">
        <f ca="1"/>
      </c>
      <c r="BC93">
        <f ca="1"/>
      </c>
      <c r="BD93">
        <f ca="1"/>
      </c>
      <c r="BE93">
        <f ca="1"/>
      </c>
      <c r="BF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M93" s="7">
        <f ca="1"/>
      </c>
      <c r="GN93">
        <f ca="1"/>
      </c>
      <c r="GO93">
        <f ca="1"/>
      </c>
      <c r="GP93">
        <f ca="1"/>
      </c>
      <c r="GQ93">
        <f ca="1"/>
      </c>
    </row>
    <row r="94" spans="41:199" x14ac:dyDescent="0.55000000000000004">
      <c r="AO94">
        <f ca="1"/>
      </c>
      <c r="AP94">
        <f ca="1"/>
      </c>
      <c r="AQ94">
        <f ca="1"/>
      </c>
      <c r="AR94">
        <f ca="1"/>
      </c>
      <c r="AS94">
        <f ca="1"/>
      </c>
      <c r="AT94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AZ94">
        <f ca="1"/>
      </c>
      <c r="BA94">
        <f ca="1"/>
      </c>
      <c r="BB94">
        <f ca="1"/>
      </c>
      <c r="BC94">
        <f ca="1"/>
      </c>
      <c r="BD94">
        <f ca="1"/>
      </c>
      <c r="BE94">
        <f ca="1"/>
      </c>
      <c r="BF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M94" s="7">
        <f ca="1"/>
      </c>
      <c r="GN94">
        <f ca="1"/>
      </c>
      <c r="GO94">
        <f ca="1"/>
      </c>
      <c r="GP94">
        <f ca="1"/>
      </c>
      <c r="GQ94">
        <f ca="1"/>
      </c>
    </row>
    <row r="95" spans="41:199" x14ac:dyDescent="0.55000000000000004">
      <c r="AO95">
        <f ca="1"/>
      </c>
      <c r="AP95">
        <f ca="1"/>
      </c>
      <c r="AQ95">
        <f ca="1"/>
      </c>
      <c r="AR95">
        <f ca="1"/>
      </c>
      <c r="AS95">
        <f ca="1"/>
      </c>
      <c r="AT95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AZ95">
        <f ca="1"/>
      </c>
      <c r="BA95">
        <f ca="1"/>
      </c>
      <c r="BB95">
        <f ca="1"/>
      </c>
      <c r="BC95">
        <f ca="1"/>
      </c>
      <c r="BD95">
        <f ca="1"/>
      </c>
      <c r="BE95">
        <f ca="1"/>
      </c>
      <c r="BF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M95" s="7">
        <f ca="1"/>
      </c>
      <c r="GN95">
        <f ca="1"/>
      </c>
      <c r="GO95">
        <f ca="1"/>
      </c>
      <c r="GP95">
        <f ca="1"/>
      </c>
      <c r="GQ95">
        <f ca="1"/>
      </c>
    </row>
    <row r="96" spans="41:199" x14ac:dyDescent="0.55000000000000004">
      <c r="AO96">
        <f ca="1"/>
      </c>
      <c r="AP96">
        <f ca="1"/>
      </c>
      <c r="AQ96">
        <f ca="1"/>
      </c>
      <c r="AR96">
        <f ca="1"/>
      </c>
      <c r="AS96">
        <f ca="1"/>
      </c>
      <c r="AT96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AZ96">
        <f ca="1"/>
      </c>
      <c r="BA96">
        <f ca="1"/>
      </c>
      <c r="BB96">
        <f ca="1"/>
      </c>
      <c r="BC96">
        <f ca="1"/>
      </c>
      <c r="BD96">
        <f ca="1"/>
      </c>
      <c r="BE96">
        <f ca="1"/>
      </c>
      <c r="BF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M96" s="7">
        <f ca="1"/>
      </c>
      <c r="GN96">
        <f ca="1"/>
      </c>
      <c r="GO96">
        <f ca="1"/>
      </c>
      <c r="GP96">
        <f ca="1"/>
      </c>
      <c r="GQ96">
        <f ca="1"/>
      </c>
    </row>
    <row r="97" spans="41:199" x14ac:dyDescent="0.55000000000000004">
      <c r="AO97">
        <f ca="1"/>
      </c>
      <c r="AP97">
        <f ca="1"/>
      </c>
      <c r="AQ97">
        <f ca="1"/>
      </c>
      <c r="AR97">
        <f ca="1"/>
      </c>
      <c r="AS97">
        <f ca="1"/>
      </c>
      <c r="AT9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AZ97">
        <f ca="1"/>
      </c>
      <c r="BA97">
        <f ca="1"/>
      </c>
      <c r="BB97">
        <f ca="1"/>
      </c>
      <c r="BC97">
        <f ca="1"/>
      </c>
      <c r="BD97">
        <f ca="1"/>
      </c>
      <c r="BE97">
        <f ca="1"/>
      </c>
      <c r="BF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M97" s="7">
        <f ca="1"/>
      </c>
      <c r="GN97">
        <f ca="1"/>
      </c>
      <c r="GO97">
        <f ca="1"/>
      </c>
      <c r="GP97">
        <f ca="1"/>
      </c>
      <c r="GQ97">
        <f ca="1"/>
      </c>
    </row>
    <row r="98" spans="41:199" x14ac:dyDescent="0.55000000000000004">
      <c r="AO98">
        <f ca="1"/>
      </c>
      <c r="AP98">
        <f ca="1"/>
      </c>
      <c r="AQ98">
        <f ca="1"/>
      </c>
      <c r="AR98">
        <f ca="1"/>
      </c>
      <c r="AS98">
        <f ca="1"/>
      </c>
      <c r="AT98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AZ98">
        <f ca="1"/>
      </c>
      <c r="BA98">
        <f ca="1"/>
      </c>
      <c r="BB98">
        <f ca="1"/>
      </c>
      <c r="BC98">
        <f ca="1"/>
      </c>
      <c r="BD98">
        <f ca="1"/>
      </c>
      <c r="BE98">
        <f ca="1"/>
      </c>
      <c r="BF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M98" s="7">
        <f ca="1"/>
      </c>
      <c r="GN98">
        <f ca="1"/>
      </c>
      <c r="GO98">
        <f ca="1"/>
      </c>
      <c r="GP98">
        <f ca="1"/>
      </c>
      <c r="GQ98">
        <f ca="1"/>
      </c>
    </row>
    <row r="99" spans="41:199" x14ac:dyDescent="0.55000000000000004">
      <c r="AO99">
        <f ca="1"/>
      </c>
      <c r="AP99">
        <f ca="1"/>
      </c>
      <c r="AQ99">
        <f ca="1"/>
      </c>
      <c r="AR99">
        <f ca="1"/>
      </c>
      <c r="AS99">
        <f ca="1"/>
      </c>
      <c r="AT99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AZ99">
        <f ca="1"/>
      </c>
      <c r="BA99">
        <f ca="1"/>
      </c>
      <c r="BB99">
        <f ca="1"/>
      </c>
      <c r="BC99">
        <f ca="1"/>
      </c>
      <c r="BD99">
        <f ca="1"/>
      </c>
      <c r="BE99">
        <f ca="1"/>
      </c>
      <c r="BF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M99" s="7">
        <f ca="1"/>
      </c>
      <c r="GN99">
        <f ca="1"/>
      </c>
      <c r="GO99">
        <f ca="1"/>
      </c>
      <c r="GP99">
        <f ca="1"/>
      </c>
      <c r="GQ99">
        <f ca="1"/>
      </c>
    </row>
    <row r="100" spans="41:199" x14ac:dyDescent="0.55000000000000004">
      <c r="AO100">
        <f ca="1"/>
      </c>
      <c r="AP100">
        <f ca="1"/>
      </c>
      <c r="AQ100">
        <f ca="1"/>
      </c>
      <c r="AR100">
        <f ca="1"/>
      </c>
      <c r="AS100">
        <f ca="1"/>
      </c>
      <c r="AT100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AZ100">
        <f ca="1"/>
      </c>
      <c r="BA100">
        <f ca="1"/>
      </c>
      <c r="BB100">
        <f ca="1"/>
      </c>
      <c r="BC100">
        <f ca="1"/>
      </c>
      <c r="BD100">
        <f ca="1"/>
      </c>
      <c r="BE100">
        <f ca="1"/>
      </c>
      <c r="BF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M100" s="7">
        <f ca="1"/>
      </c>
      <c r="GN100">
        <f ca="1"/>
      </c>
      <c r="GO100">
        <f ca="1"/>
      </c>
      <c r="GP100">
        <f ca="1"/>
      </c>
      <c r="GQ100">
        <f ca="1"/>
      </c>
    </row>
    <row r="101" spans="41:199" x14ac:dyDescent="0.55000000000000004">
      <c r="AO101">
        <f ca="1"/>
      </c>
      <c r="AP101">
        <f ca="1"/>
      </c>
      <c r="AQ101">
        <f ca="1"/>
      </c>
      <c r="AR101">
        <f ca="1"/>
      </c>
      <c r="AS101">
        <f ca="1"/>
      </c>
      <c r="AT101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AZ101">
        <f ca="1"/>
      </c>
      <c r="BA101">
        <f ca="1"/>
      </c>
      <c r="BB101">
        <f ca="1"/>
      </c>
      <c r="BC101">
        <f ca="1"/>
      </c>
      <c r="BD101">
        <f ca="1"/>
      </c>
      <c r="BE101">
        <f ca="1"/>
      </c>
      <c r="BF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M101" s="7">
        <f ca="1"/>
      </c>
      <c r="GN101">
        <f ca="1"/>
      </c>
      <c r="GO101">
        <f ca="1"/>
      </c>
      <c r="GP101">
        <f ca="1"/>
      </c>
      <c r="GQ101">
        <f ca="1"/>
      </c>
    </row>
    <row r="102" spans="41:199" x14ac:dyDescent="0.55000000000000004">
      <c r="AO102">
        <f ca="1"/>
      </c>
      <c r="AP102">
        <f ca="1"/>
      </c>
      <c r="AQ102">
        <f ca="1"/>
      </c>
      <c r="AR102">
        <f ca="1"/>
      </c>
      <c r="AS102">
        <f ca="1"/>
      </c>
      <c r="AT102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AZ102">
        <f ca="1"/>
      </c>
      <c r="BA102">
        <f ca="1"/>
      </c>
      <c r="BB102">
        <f ca="1"/>
      </c>
      <c r="BC102">
        <f ca="1"/>
      </c>
      <c r="BD102">
        <f ca="1"/>
      </c>
      <c r="BE102">
        <f ca="1"/>
      </c>
      <c r="BF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M102" s="7">
        <f ca="1"/>
      </c>
      <c r="GN102">
        <f ca="1"/>
      </c>
      <c r="GO102">
        <f ca="1"/>
      </c>
      <c r="GP102">
        <f ca="1"/>
      </c>
      <c r="GQ102">
        <f ca="1"/>
      </c>
    </row>
    <row r="103" spans="41:199" x14ac:dyDescent="0.55000000000000004">
      <c r="AO103">
        <f ca="1"/>
      </c>
      <c r="AP103">
        <f ca="1"/>
      </c>
      <c r="AQ103">
        <f ca="1"/>
      </c>
      <c r="AR103">
        <f ca="1"/>
      </c>
      <c r="AS103">
        <f ca="1"/>
      </c>
      <c r="AT103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AZ103">
        <f ca="1"/>
      </c>
      <c r="BA103">
        <f ca="1"/>
      </c>
      <c r="BB103">
        <f ca="1"/>
      </c>
      <c r="BC103">
        <f ca="1"/>
      </c>
      <c r="BD103">
        <f ca="1"/>
      </c>
      <c r="BE103">
        <f ca="1"/>
      </c>
      <c r="BF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M103" s="7">
        <f ca="1"/>
      </c>
      <c r="GN103">
        <f ca="1"/>
      </c>
      <c r="GO103">
        <f ca="1"/>
      </c>
      <c r="GP103">
        <f ca="1"/>
      </c>
      <c r="GQ103">
        <f ca="1"/>
      </c>
    </row>
    <row r="104" spans="41:199" x14ac:dyDescent="0.55000000000000004">
      <c r="AO104">
        <f ca="1"/>
      </c>
      <c r="AP104">
        <f ca="1"/>
      </c>
      <c r="AQ104">
        <f ca="1"/>
      </c>
      <c r="AR104">
        <f ca="1"/>
      </c>
      <c r="AS104">
        <f ca="1"/>
      </c>
      <c r="AT104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AZ104">
        <f ca="1"/>
      </c>
      <c r="BA104">
        <f ca="1"/>
      </c>
      <c r="BB104">
        <f ca="1"/>
      </c>
      <c r="BC104">
        <f ca="1"/>
      </c>
      <c r="BD104">
        <f ca="1"/>
      </c>
      <c r="BE104">
        <f ca="1"/>
      </c>
      <c r="BF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M104" s="7">
        <f ca="1"/>
      </c>
      <c r="GN104">
        <f ca="1"/>
      </c>
      <c r="GO104">
        <f ca="1"/>
      </c>
      <c r="GP104">
        <f ca="1"/>
      </c>
      <c r="GQ104">
        <f ca="1"/>
      </c>
    </row>
    <row r="105" spans="41:199" x14ac:dyDescent="0.55000000000000004">
      <c r="AO105">
        <f ca="1"/>
      </c>
      <c r="AP105">
        <f ca="1"/>
      </c>
      <c r="AQ105">
        <f ca="1"/>
      </c>
      <c r="AR105">
        <f ca="1"/>
      </c>
      <c r="AS105">
        <f ca="1"/>
      </c>
      <c r="AT105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AZ105">
        <f ca="1"/>
      </c>
      <c r="BA105">
        <f ca="1"/>
      </c>
      <c r="BB105">
        <f ca="1"/>
      </c>
      <c r="BC105">
        <f ca="1"/>
      </c>
      <c r="BD105">
        <f ca="1"/>
      </c>
      <c r="BE105">
        <f ca="1"/>
      </c>
      <c r="BF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M105" s="7">
        <f ca="1"/>
      </c>
      <c r="GN105">
        <f ca="1"/>
      </c>
      <c r="GO105">
        <f ca="1"/>
      </c>
      <c r="GP105">
        <f ca="1"/>
      </c>
      <c r="GQ105">
        <f ca="1"/>
      </c>
    </row>
    <row r="106" spans="41:199" x14ac:dyDescent="0.55000000000000004">
      <c r="AO106">
        <f ca="1"/>
      </c>
      <c r="AP106">
        <f ca="1"/>
      </c>
      <c r="AQ106">
        <f ca="1"/>
      </c>
      <c r="AR106">
        <f ca="1"/>
      </c>
      <c r="AS106">
        <f ca="1"/>
      </c>
      <c r="AT106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AZ106">
        <f ca="1"/>
      </c>
      <c r="BA106">
        <f ca="1"/>
      </c>
      <c r="BB106">
        <f ca="1"/>
      </c>
      <c r="BC106">
        <f ca="1"/>
      </c>
      <c r="BD106">
        <f ca="1"/>
      </c>
      <c r="BE106">
        <f ca="1"/>
      </c>
      <c r="BF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M106" s="7">
        <f ca="1"/>
      </c>
      <c r="GN106">
        <f ca="1"/>
      </c>
      <c r="GO106">
        <f ca="1"/>
      </c>
      <c r="GP106">
        <f ca="1"/>
      </c>
      <c r="GQ106">
        <f ca="1"/>
      </c>
    </row>
    <row r="107" spans="41:199" x14ac:dyDescent="0.55000000000000004">
      <c r="AO107">
        <f ca="1"/>
      </c>
      <c r="AP107">
        <f ca="1"/>
      </c>
      <c r="AQ107">
        <f ca="1"/>
      </c>
      <c r="AR107">
        <f ca="1"/>
      </c>
      <c r="AS107">
        <f ca="1"/>
      </c>
      <c r="AT10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AZ107">
        <f ca="1"/>
      </c>
      <c r="BA107">
        <f ca="1"/>
      </c>
      <c r="BB107">
        <f ca="1"/>
      </c>
      <c r="BC107">
        <f ca="1"/>
      </c>
      <c r="BD107">
        <f ca="1"/>
      </c>
      <c r="BE107">
        <f ca="1"/>
      </c>
      <c r="BF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M107" s="7">
        <f ca="1"/>
      </c>
      <c r="GN107">
        <f ca="1"/>
      </c>
      <c r="GO107">
        <f ca="1"/>
      </c>
      <c r="GP107">
        <f ca="1"/>
      </c>
      <c r="GQ107">
        <f ca="1"/>
      </c>
    </row>
    <row r="108" spans="41:199" x14ac:dyDescent="0.55000000000000004">
      <c r="AO108">
        <f ca="1"/>
      </c>
      <c r="AP108">
        <f ca="1"/>
      </c>
      <c r="AQ108">
        <f ca="1"/>
      </c>
      <c r="AR108">
        <f ca="1"/>
      </c>
      <c r="AS108">
        <f ca="1"/>
      </c>
      <c r="AT108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AZ108">
        <f ca="1"/>
      </c>
      <c r="BA108">
        <f ca="1"/>
      </c>
      <c r="BB108">
        <f ca="1"/>
      </c>
      <c r="BC108">
        <f ca="1"/>
      </c>
      <c r="BD108">
        <f ca="1"/>
      </c>
      <c r="BE108">
        <f ca="1"/>
      </c>
      <c r="BF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M108" s="7">
        <f ca="1"/>
      </c>
      <c r="GN108">
        <f ca="1"/>
      </c>
      <c r="GO108">
        <f ca="1"/>
      </c>
      <c r="GP108">
        <f ca="1"/>
      </c>
      <c r="GQ108">
        <f ca="1"/>
      </c>
    </row>
    <row r="109" spans="41:199" x14ac:dyDescent="0.55000000000000004">
      <c r="AO109">
        <f ca="1"/>
      </c>
      <c r="AP109">
        <f ca="1"/>
      </c>
      <c r="AQ109">
        <f ca="1"/>
      </c>
      <c r="AR109">
        <f ca="1"/>
      </c>
      <c r="AS109">
        <f ca="1"/>
      </c>
      <c r="AT109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AZ109">
        <f ca="1"/>
      </c>
      <c r="BA109">
        <f ca="1"/>
      </c>
      <c r="BB109">
        <f ca="1"/>
      </c>
      <c r="BC109">
        <f ca="1"/>
      </c>
      <c r="BD109">
        <f ca="1"/>
      </c>
      <c r="BE109">
        <f ca="1"/>
      </c>
      <c r="BF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M109" s="7">
        <f ca="1"/>
      </c>
      <c r="GN109">
        <f ca="1"/>
      </c>
      <c r="GO109">
        <f ca="1"/>
      </c>
      <c r="GP109">
        <f ca="1"/>
      </c>
      <c r="GQ109">
        <f ca="1"/>
      </c>
    </row>
    <row r="110" spans="41:199" x14ac:dyDescent="0.55000000000000004">
      <c r="AO110">
        <f ca="1"/>
      </c>
      <c r="AP110">
        <f ca="1"/>
      </c>
      <c r="AQ110">
        <f ca="1"/>
      </c>
      <c r="AR110">
        <f ca="1"/>
      </c>
      <c r="AS110">
        <f ca="1"/>
      </c>
      <c r="AT110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AZ110">
        <f ca="1"/>
      </c>
      <c r="BA110">
        <f ca="1"/>
      </c>
      <c r="BB110">
        <f ca="1"/>
      </c>
      <c r="BC110">
        <f ca="1"/>
      </c>
      <c r="BD110">
        <f ca="1"/>
      </c>
      <c r="BE110">
        <f ca="1"/>
      </c>
      <c r="BF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M110" s="7">
        <f ca="1"/>
      </c>
      <c r="GN110">
        <f ca="1"/>
      </c>
      <c r="GO110">
        <f ca="1"/>
      </c>
      <c r="GP110">
        <f ca="1"/>
      </c>
      <c r="GQ110">
        <f ca="1"/>
      </c>
    </row>
    <row r="111" spans="41:199" x14ac:dyDescent="0.55000000000000004">
      <c r="AO111">
        <f ca="1"/>
      </c>
      <c r="AP111">
        <f ca="1"/>
      </c>
      <c r="AQ111">
        <f ca="1"/>
      </c>
      <c r="AR111">
        <f ca="1"/>
      </c>
      <c r="AS111">
        <f ca="1"/>
      </c>
      <c r="AT111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AZ111">
        <f ca="1"/>
      </c>
      <c r="BA111">
        <f ca="1"/>
      </c>
      <c r="BB111">
        <f ca="1"/>
      </c>
      <c r="BC111">
        <f ca="1"/>
      </c>
      <c r="BD111">
        <f ca="1"/>
      </c>
      <c r="BE111">
        <f ca="1"/>
      </c>
      <c r="BF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M111" s="7">
        <f ca="1"/>
      </c>
      <c r="GN111">
        <f ca="1"/>
      </c>
      <c r="GO111">
        <f ca="1"/>
      </c>
      <c r="GP111">
        <f ca="1"/>
      </c>
      <c r="GQ111">
        <f ca="1"/>
      </c>
    </row>
    <row r="112" spans="41:199" x14ac:dyDescent="0.55000000000000004">
      <c r="AO112">
        <f ca="1"/>
      </c>
      <c r="AP112">
        <f ca="1"/>
      </c>
      <c r="AQ112">
        <f ca="1"/>
      </c>
      <c r="AR112">
        <f ca="1"/>
      </c>
      <c r="AS112">
        <f ca="1"/>
      </c>
      <c r="AT112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AZ112">
        <f ca="1"/>
      </c>
      <c r="BA112">
        <f ca="1"/>
      </c>
      <c r="BB112">
        <f ca="1"/>
      </c>
      <c r="BC112">
        <f ca="1"/>
      </c>
      <c r="BD112">
        <f ca="1"/>
      </c>
      <c r="BE112">
        <f ca="1"/>
      </c>
      <c r="BF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M112" s="7">
        <f ca="1"/>
      </c>
      <c r="GN112">
        <f ca="1"/>
      </c>
      <c r="GO112">
        <f ca="1"/>
      </c>
      <c r="GP112">
        <f ca="1"/>
      </c>
      <c r="GQ112">
        <f ca="1"/>
      </c>
    </row>
    <row r="113" spans="41:199" x14ac:dyDescent="0.55000000000000004">
      <c r="AO113">
        <f ca="1"/>
      </c>
      <c r="AP113">
        <f ca="1"/>
      </c>
      <c r="AQ113">
        <f ca="1"/>
      </c>
      <c r="AR113">
        <f ca="1"/>
      </c>
      <c r="AS113">
        <f ca="1"/>
      </c>
      <c r="AT113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AZ113">
        <f ca="1"/>
      </c>
      <c r="BA113">
        <f ca="1"/>
      </c>
      <c r="BB113">
        <f ca="1"/>
      </c>
      <c r="BC113">
        <f ca="1"/>
      </c>
      <c r="BD113">
        <f ca="1"/>
      </c>
      <c r="BE113">
        <f ca="1"/>
      </c>
      <c r="BF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M113" s="7">
        <f ca="1"/>
      </c>
      <c r="GN113">
        <f ca="1"/>
      </c>
      <c r="GO113">
        <f ca="1"/>
      </c>
      <c r="GP113">
        <f ca="1"/>
      </c>
      <c r="GQ113">
        <f ca="1"/>
      </c>
    </row>
    <row r="114" spans="41:199" x14ac:dyDescent="0.55000000000000004">
      <c r="AO114">
        <f ca="1"/>
      </c>
      <c r="AP114">
        <f ca="1"/>
      </c>
      <c r="AQ114">
        <f ca="1"/>
      </c>
      <c r="AR114">
        <f ca="1"/>
      </c>
      <c r="AS114">
        <f ca="1"/>
      </c>
      <c r="AT114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AZ114">
        <f ca="1"/>
      </c>
      <c r="BA114">
        <f ca="1"/>
      </c>
      <c r="BB114">
        <f ca="1"/>
      </c>
      <c r="BC114">
        <f ca="1"/>
      </c>
      <c r="BD114">
        <f ca="1"/>
      </c>
      <c r="BE114">
        <f ca="1"/>
      </c>
      <c r="BF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M114" s="7">
        <f ca="1"/>
      </c>
      <c r="GN114">
        <f ca="1"/>
      </c>
      <c r="GO114">
        <f ca="1"/>
      </c>
      <c r="GP114">
        <f ca="1"/>
      </c>
      <c r="GQ114">
        <f ca="1"/>
      </c>
    </row>
    <row r="115" spans="41:199" x14ac:dyDescent="0.55000000000000004">
      <c r="AO115">
        <f ca="1"/>
      </c>
      <c r="AP115">
        <f ca="1"/>
      </c>
      <c r="AQ115">
        <f ca="1"/>
      </c>
      <c r="AR115">
        <f ca="1"/>
      </c>
      <c r="AS115">
        <f ca="1"/>
      </c>
      <c r="AT115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AZ115">
        <f ca="1"/>
      </c>
      <c r="BA115">
        <f ca="1"/>
      </c>
      <c r="BB115">
        <f ca="1"/>
      </c>
      <c r="BC115">
        <f ca="1"/>
      </c>
      <c r="BD115">
        <f ca="1"/>
      </c>
      <c r="BE115">
        <f ca="1"/>
      </c>
      <c r="BF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M115" s="7">
        <f ca="1"/>
      </c>
      <c r="GN115">
        <f ca="1"/>
      </c>
      <c r="GO115">
        <f ca="1"/>
      </c>
      <c r="GP115">
        <f ca="1"/>
      </c>
      <c r="GQ115">
        <f ca="1"/>
      </c>
    </row>
    <row r="116" spans="41:199" x14ac:dyDescent="0.55000000000000004">
      <c r="AO116">
        <f ca="1"/>
      </c>
      <c r="AP116">
        <f ca="1"/>
      </c>
      <c r="AQ116">
        <f ca="1"/>
      </c>
      <c r="AR116">
        <f ca="1"/>
      </c>
      <c r="AS116">
        <f ca="1"/>
      </c>
      <c r="AT116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AZ116">
        <f ca="1"/>
      </c>
      <c r="BA116">
        <f ca="1"/>
      </c>
      <c r="BB116">
        <f ca="1"/>
      </c>
      <c r="BC116">
        <f ca="1"/>
      </c>
      <c r="BD116">
        <f ca="1"/>
      </c>
      <c r="BE116">
        <f ca="1"/>
      </c>
      <c r="BF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M116" s="7">
        <f ca="1"/>
      </c>
      <c r="GN116">
        <f ca="1"/>
      </c>
      <c r="GO116">
        <f ca="1"/>
      </c>
      <c r="GP116">
        <f ca="1"/>
      </c>
      <c r="GQ116">
        <f ca="1"/>
      </c>
    </row>
    <row r="117" spans="41:199" x14ac:dyDescent="0.55000000000000004">
      <c r="AO117">
        <f ca="1"/>
      </c>
      <c r="AP117">
        <f ca="1"/>
      </c>
      <c r="AQ117">
        <f ca="1"/>
      </c>
      <c r="AR117">
        <f ca="1"/>
      </c>
      <c r="AS117">
        <f ca="1"/>
      </c>
      <c r="AT11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AZ117">
        <f ca="1"/>
      </c>
      <c r="BA117">
        <f ca="1"/>
      </c>
      <c r="BB117">
        <f ca="1"/>
      </c>
      <c r="BC117">
        <f ca="1"/>
      </c>
      <c r="BD117">
        <f ca="1"/>
      </c>
      <c r="BE117">
        <f ca="1"/>
      </c>
      <c r="BF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M117" s="7">
        <f ca="1"/>
      </c>
      <c r="GN117">
        <f ca="1"/>
      </c>
      <c r="GO117">
        <f ca="1"/>
      </c>
      <c r="GP117">
        <f ca="1"/>
      </c>
      <c r="GQ117">
        <f ca="1"/>
      </c>
    </row>
    <row r="118" spans="41:199" x14ac:dyDescent="0.55000000000000004">
      <c r="AO118">
        <f ca="1"/>
      </c>
      <c r="AP118">
        <f ca="1"/>
      </c>
      <c r="AQ118">
        <f ca="1"/>
      </c>
      <c r="AR118">
        <f ca="1"/>
      </c>
      <c r="AS118">
        <f ca="1"/>
      </c>
      <c r="AT118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AZ118">
        <f ca="1"/>
      </c>
      <c r="BA118">
        <f ca="1"/>
      </c>
      <c r="BB118">
        <f ca="1"/>
      </c>
      <c r="BC118">
        <f ca="1"/>
      </c>
      <c r="BD118">
        <f ca="1"/>
      </c>
      <c r="BE118">
        <f ca="1"/>
      </c>
      <c r="BF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M118" s="7">
        <f ca="1"/>
      </c>
      <c r="GN118">
        <f ca="1"/>
      </c>
      <c r="GO118">
        <f ca="1"/>
      </c>
      <c r="GP118">
        <f ca="1"/>
      </c>
      <c r="GQ118">
        <f ca="1"/>
      </c>
    </row>
    <row r="119" spans="41:199" x14ac:dyDescent="0.55000000000000004">
      <c r="AO119">
        <f ca="1"/>
      </c>
      <c r="AP119">
        <f ca="1"/>
      </c>
      <c r="AQ119">
        <f ca="1"/>
      </c>
      <c r="AR119">
        <f ca="1"/>
      </c>
      <c r="AS119">
        <f ca="1"/>
      </c>
      <c r="AT119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AZ119">
        <f ca="1"/>
      </c>
      <c r="BA119">
        <f ca="1"/>
      </c>
      <c r="BB119">
        <f ca="1"/>
      </c>
      <c r="BC119">
        <f ca="1"/>
      </c>
      <c r="BD119">
        <f ca="1"/>
      </c>
      <c r="BE119">
        <f ca="1"/>
      </c>
      <c r="BF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M119" s="7">
        <f ca="1"/>
      </c>
      <c r="GN119">
        <f ca="1"/>
      </c>
      <c r="GO119">
        <f ca="1"/>
      </c>
      <c r="GP119">
        <f ca="1"/>
      </c>
      <c r="GQ119">
        <f ca="1"/>
      </c>
    </row>
    <row r="120" spans="41:199" x14ac:dyDescent="0.55000000000000004">
      <c r="AO120">
        <f ca="1"/>
      </c>
      <c r="AP120">
        <f ca="1"/>
      </c>
      <c r="AQ120">
        <f ca="1"/>
      </c>
      <c r="AR120">
        <f ca="1"/>
      </c>
      <c r="AS120">
        <f ca="1"/>
      </c>
      <c r="AT120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AZ120">
        <f ca="1"/>
      </c>
      <c r="BA120">
        <f ca="1"/>
      </c>
      <c r="BB120">
        <f ca="1"/>
      </c>
      <c r="BC120">
        <f ca="1"/>
      </c>
      <c r="BD120">
        <f ca="1"/>
      </c>
      <c r="BE120">
        <f ca="1"/>
      </c>
      <c r="BF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M120" s="7">
        <f ca="1"/>
      </c>
      <c r="GN120">
        <f ca="1"/>
      </c>
      <c r="GO120">
        <f ca="1"/>
      </c>
      <c r="GP120">
        <f ca="1"/>
      </c>
      <c r="GQ120">
        <f ca="1"/>
      </c>
    </row>
    <row r="121" spans="41:199" x14ac:dyDescent="0.55000000000000004">
      <c r="AO121">
        <f ca="1"/>
      </c>
      <c r="AP121">
        <f ca="1"/>
      </c>
      <c r="AQ121">
        <f ca="1"/>
      </c>
      <c r="AR121">
        <f ca="1"/>
      </c>
      <c r="AS121">
        <f ca="1"/>
      </c>
      <c r="AT121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AZ121">
        <f ca="1"/>
      </c>
      <c r="BA121">
        <f ca="1"/>
      </c>
      <c r="BB121">
        <f ca="1"/>
      </c>
      <c r="BC121">
        <f ca="1"/>
      </c>
      <c r="BD121">
        <f ca="1"/>
      </c>
      <c r="BE121">
        <f ca="1"/>
      </c>
      <c r="BF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M121" s="7">
        <f ca="1"/>
      </c>
      <c r="GN121">
        <f ca="1"/>
      </c>
      <c r="GO121">
        <f ca="1"/>
      </c>
      <c r="GP121">
        <f ca="1"/>
      </c>
      <c r="GQ121">
        <f ca="1"/>
      </c>
    </row>
    <row r="122" spans="41:199" x14ac:dyDescent="0.55000000000000004">
      <c r="AO122">
        <f ca="1"/>
      </c>
      <c r="AP122">
        <f ca="1"/>
      </c>
      <c r="AQ122">
        <f ca="1"/>
      </c>
      <c r="AR122">
        <f ca="1"/>
      </c>
      <c r="AS122">
        <f ca="1"/>
      </c>
      <c r="AT122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AZ122">
        <f ca="1"/>
      </c>
      <c r="BA122">
        <f ca="1"/>
      </c>
      <c r="BB122">
        <f ca="1"/>
      </c>
      <c r="BC122">
        <f ca="1"/>
      </c>
      <c r="BD122">
        <f ca="1"/>
      </c>
      <c r="BE122">
        <f ca="1"/>
      </c>
      <c r="BF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M122" s="7">
        <f ca="1"/>
      </c>
      <c r="GN122">
        <f ca="1"/>
      </c>
      <c r="GO122">
        <f ca="1"/>
      </c>
      <c r="GP122">
        <f ca="1"/>
      </c>
      <c r="GQ122">
        <f ca="1"/>
      </c>
    </row>
    <row r="123" spans="41:199" x14ac:dyDescent="0.55000000000000004">
      <c r="AO123">
        <f ca="1"/>
      </c>
      <c r="AP123">
        <f ca="1"/>
      </c>
      <c r="AQ123">
        <f ca="1"/>
      </c>
      <c r="AR123">
        <f ca="1"/>
      </c>
      <c r="AS123">
        <f ca="1"/>
      </c>
      <c r="AT123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AZ123">
        <f ca="1"/>
      </c>
      <c r="BA123">
        <f ca="1"/>
      </c>
      <c r="BB123">
        <f ca="1"/>
      </c>
      <c r="BC123">
        <f ca="1"/>
      </c>
      <c r="BD123">
        <f ca="1"/>
      </c>
      <c r="BE123">
        <f ca="1"/>
      </c>
      <c r="BF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M123" s="7">
        <f ca="1"/>
      </c>
      <c r="GN123">
        <f ca="1"/>
      </c>
      <c r="GO123">
        <f ca="1"/>
      </c>
      <c r="GP123">
        <f ca="1"/>
      </c>
      <c r="GQ123">
        <f ca="1"/>
      </c>
    </row>
    <row r="124" spans="41:199" x14ac:dyDescent="0.55000000000000004">
      <c r="AO124">
        <f ca="1"/>
      </c>
      <c r="AP124">
        <f ca="1"/>
      </c>
      <c r="AQ124">
        <f ca="1"/>
      </c>
      <c r="AR124">
        <f ca="1"/>
      </c>
      <c r="AS124">
        <f ca="1"/>
      </c>
      <c r="AT124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AZ124">
        <f ca="1"/>
      </c>
      <c r="BA124">
        <f ca="1"/>
      </c>
      <c r="BB124">
        <f ca="1"/>
      </c>
      <c r="BC124">
        <f ca="1"/>
      </c>
      <c r="BD124">
        <f ca="1"/>
      </c>
      <c r="BE124">
        <f ca="1"/>
      </c>
      <c r="BF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M124" s="7">
        <f ca="1"/>
      </c>
      <c r="GN124">
        <f ca="1"/>
      </c>
      <c r="GO124">
        <f ca="1"/>
      </c>
      <c r="GP124">
        <f ca="1"/>
      </c>
      <c r="GQ124">
        <f ca="1"/>
      </c>
    </row>
    <row r="125" spans="41:199" x14ac:dyDescent="0.55000000000000004">
      <c r="AO125">
        <f ca="1"/>
      </c>
      <c r="AP125">
        <f ca="1"/>
      </c>
      <c r="AQ125">
        <f ca="1"/>
      </c>
      <c r="AR125">
        <f ca="1"/>
      </c>
      <c r="AS125">
        <f ca="1"/>
      </c>
      <c r="AT125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AZ125">
        <f ca="1"/>
      </c>
      <c r="BA125">
        <f ca="1"/>
      </c>
      <c r="BB125">
        <f ca="1"/>
      </c>
      <c r="BC125">
        <f ca="1"/>
      </c>
      <c r="BD125">
        <f ca="1"/>
      </c>
      <c r="BE125">
        <f ca="1"/>
      </c>
      <c r="BF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M125" s="7">
        <f ca="1"/>
      </c>
      <c r="GN125">
        <f ca="1"/>
      </c>
      <c r="GO125">
        <f ca="1"/>
      </c>
      <c r="GP125">
        <f ca="1"/>
      </c>
      <c r="GQ125">
        <f ca="1"/>
      </c>
    </row>
    <row r="126" spans="41:199" x14ac:dyDescent="0.55000000000000004">
      <c r="AO126">
        <f ca="1"/>
      </c>
      <c r="AP126">
        <f ca="1"/>
      </c>
      <c r="AQ126">
        <f ca="1"/>
      </c>
      <c r="AR126">
        <f ca="1"/>
      </c>
      <c r="AS126">
        <f ca="1"/>
      </c>
      <c r="AT126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AZ126">
        <f ca="1"/>
      </c>
      <c r="BA126">
        <f ca="1"/>
      </c>
      <c r="BB126">
        <f ca="1"/>
      </c>
      <c r="BC126">
        <f ca="1"/>
      </c>
      <c r="BD126">
        <f ca="1"/>
      </c>
      <c r="BE126">
        <f ca="1"/>
      </c>
      <c r="BF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M126" s="7">
        <f ca="1"/>
      </c>
      <c r="GN126">
        <f ca="1"/>
      </c>
      <c r="GO126">
        <f ca="1"/>
      </c>
      <c r="GP126">
        <f ca="1"/>
      </c>
      <c r="GQ126">
        <f ca="1"/>
      </c>
    </row>
    <row r="127" spans="41:199" x14ac:dyDescent="0.55000000000000004">
      <c r="AO127">
        <f ca="1"/>
      </c>
      <c r="AP127">
        <f ca="1"/>
      </c>
      <c r="AQ127">
        <f ca="1"/>
      </c>
      <c r="AR127">
        <f ca="1"/>
      </c>
      <c r="AS127">
        <f ca="1"/>
      </c>
      <c r="AT12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AZ127">
        <f ca="1"/>
      </c>
      <c r="BA127">
        <f ca="1"/>
      </c>
      <c r="BB127">
        <f ca="1"/>
      </c>
      <c r="BC127">
        <f ca="1"/>
      </c>
      <c r="BD127">
        <f ca="1"/>
      </c>
      <c r="BE127">
        <f ca="1"/>
      </c>
      <c r="BF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M127" s="7">
        <f ca="1"/>
      </c>
      <c r="GN127">
        <f ca="1"/>
      </c>
      <c r="GO127">
        <f ca="1"/>
      </c>
      <c r="GP127">
        <f ca="1"/>
      </c>
      <c r="GQ127">
        <f ca="1"/>
      </c>
    </row>
    <row r="128" spans="41:199" x14ac:dyDescent="0.55000000000000004">
      <c r="AO128">
        <f ca="1"/>
      </c>
      <c r="AP128">
        <f ca="1"/>
      </c>
      <c r="AQ128">
        <f ca="1"/>
      </c>
      <c r="AR128">
        <f ca="1"/>
      </c>
      <c r="AS128">
        <f ca="1"/>
      </c>
      <c r="AT128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AZ128">
        <f ca="1"/>
      </c>
      <c r="BA128">
        <f ca="1"/>
      </c>
      <c r="BB128">
        <f ca="1"/>
      </c>
      <c r="BC128">
        <f ca="1"/>
      </c>
      <c r="BD128">
        <f ca="1"/>
      </c>
      <c r="BE128">
        <f ca="1"/>
      </c>
      <c r="BF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M128" s="7">
        <f ca="1"/>
      </c>
      <c r="GN128">
        <f ca="1"/>
      </c>
      <c r="GO128">
        <f ca="1"/>
      </c>
      <c r="GP128">
        <f ca="1"/>
      </c>
      <c r="GQ128">
        <f ca="1"/>
      </c>
    </row>
    <row r="129" spans="41:199" x14ac:dyDescent="0.55000000000000004">
      <c r="AO129">
        <f ca="1"/>
      </c>
      <c r="AP129">
        <f ca="1"/>
      </c>
      <c r="AQ129">
        <f ca="1"/>
      </c>
      <c r="AR129">
        <f ca="1"/>
      </c>
      <c r="AS129">
        <f ca="1"/>
      </c>
      <c r="AT129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AZ129">
        <f ca="1"/>
      </c>
      <c r="BA129">
        <f ca="1"/>
      </c>
      <c r="BB129">
        <f ca="1"/>
      </c>
      <c r="BC129">
        <f ca="1"/>
      </c>
      <c r="BD129">
        <f ca="1"/>
      </c>
      <c r="BE129">
        <f ca="1"/>
      </c>
      <c r="BF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M129" s="7">
        <f ca="1"/>
      </c>
      <c r="GN129">
        <f ca="1"/>
      </c>
      <c r="GO129">
        <f ca="1"/>
      </c>
      <c r="GP129">
        <f ca="1"/>
      </c>
      <c r="GQ129">
        <f ca="1"/>
      </c>
    </row>
    <row r="130" spans="41:199" x14ac:dyDescent="0.55000000000000004">
      <c r="AO130">
        <f ca="1"/>
      </c>
      <c r="AP130">
        <f ca="1"/>
      </c>
      <c r="AQ130">
        <f ca="1"/>
      </c>
      <c r="AR130">
        <f ca="1"/>
      </c>
      <c r="AS130">
        <f ca="1"/>
      </c>
      <c r="AT130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AZ130">
        <f ca="1"/>
      </c>
      <c r="BA130">
        <f ca="1"/>
      </c>
      <c r="BB130">
        <f ca="1"/>
      </c>
      <c r="BC130">
        <f ca="1"/>
      </c>
      <c r="BD130">
        <f ca="1"/>
      </c>
      <c r="BE130">
        <f ca="1"/>
      </c>
      <c r="BF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M130" s="7">
        <f ca="1"/>
      </c>
      <c r="GN130">
        <f ca="1"/>
      </c>
      <c r="GO130">
        <f ca="1"/>
      </c>
      <c r="GP130">
        <f ca="1"/>
      </c>
      <c r="GQ130">
        <f ca="1"/>
      </c>
    </row>
    <row r="131" spans="41:199" x14ac:dyDescent="0.55000000000000004">
      <c r="AO131">
        <f ca="1"/>
      </c>
      <c r="AP131">
        <f ca="1"/>
      </c>
      <c r="AQ131">
        <f ca="1"/>
      </c>
      <c r="AR131">
        <f ca="1"/>
      </c>
      <c r="AS131">
        <f ca="1"/>
      </c>
      <c r="AT131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AZ131">
        <f ca="1"/>
      </c>
      <c r="BA131">
        <f ca="1"/>
      </c>
      <c r="BB131">
        <f ca="1"/>
      </c>
      <c r="BC131">
        <f ca="1"/>
      </c>
      <c r="BD131">
        <f ca="1"/>
      </c>
      <c r="BE131">
        <f ca="1"/>
      </c>
      <c r="BF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M131" s="7">
        <f ca="1"/>
      </c>
      <c r="GN131">
        <f ca="1"/>
      </c>
      <c r="GO131">
        <f ca="1"/>
      </c>
      <c r="GP131">
        <f ca="1"/>
      </c>
      <c r="GQ131">
        <f ca="1"/>
      </c>
    </row>
    <row r="132" spans="41:199" x14ac:dyDescent="0.55000000000000004">
      <c r="AO132">
        <f ca="1"/>
      </c>
      <c r="AP132">
        <f ca="1"/>
      </c>
      <c r="AQ132">
        <f ca="1"/>
      </c>
      <c r="AR132">
        <f ca="1"/>
      </c>
      <c r="AS132">
        <f ca="1"/>
      </c>
      <c r="AT132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AZ132">
        <f ca="1"/>
      </c>
      <c r="BA132">
        <f ca="1"/>
      </c>
      <c r="BB132">
        <f ca="1"/>
      </c>
      <c r="BC132">
        <f ca="1"/>
      </c>
      <c r="BD132">
        <f ca="1"/>
      </c>
      <c r="BE132">
        <f ca="1"/>
      </c>
      <c r="BF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M132" s="7">
        <f ca="1"/>
      </c>
      <c r="GN132">
        <f ca="1"/>
      </c>
      <c r="GO132">
        <f ca="1"/>
      </c>
      <c r="GP132">
        <f ca="1"/>
      </c>
      <c r="GQ132">
        <f ca="1"/>
      </c>
    </row>
    <row r="133" spans="41:199" x14ac:dyDescent="0.55000000000000004">
      <c r="AO133">
        <f ca="1"/>
      </c>
      <c r="AP133">
        <f ca="1"/>
      </c>
      <c r="AQ133">
        <f ca="1"/>
      </c>
      <c r="AR133">
        <f ca="1"/>
      </c>
      <c r="AS133">
        <f ca="1"/>
      </c>
      <c r="AT133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AZ133">
        <f ca="1"/>
      </c>
      <c r="BA133">
        <f ca="1"/>
      </c>
      <c r="BB133">
        <f ca="1"/>
      </c>
      <c r="BC133">
        <f ca="1"/>
      </c>
      <c r="BD133">
        <f ca="1"/>
      </c>
      <c r="BE133">
        <f ca="1"/>
      </c>
      <c r="BF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M133" s="7">
        <f ca="1"/>
      </c>
      <c r="GN133">
        <f ca="1"/>
      </c>
      <c r="GO133">
        <f ca="1"/>
      </c>
      <c r="GP133">
        <f ca="1"/>
      </c>
      <c r="GQ133">
        <f ca="1"/>
      </c>
    </row>
    <row r="134" spans="41:199" x14ac:dyDescent="0.55000000000000004">
      <c r="AO134">
        <f ca="1"/>
      </c>
      <c r="AP134">
        <f ca="1"/>
      </c>
      <c r="AQ134">
        <f ca="1"/>
      </c>
      <c r="AR134">
        <f ca="1"/>
      </c>
      <c r="AS134">
        <f ca="1"/>
      </c>
      <c r="AT134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AZ134">
        <f ca="1"/>
      </c>
      <c r="BA134">
        <f ca="1"/>
      </c>
      <c r="BB134">
        <f ca="1"/>
      </c>
      <c r="BC134">
        <f ca="1"/>
      </c>
      <c r="BD134">
        <f ca="1"/>
      </c>
      <c r="BE134">
        <f ca="1"/>
      </c>
      <c r="BF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M134" s="7">
        <f ca="1"/>
      </c>
      <c r="GN134">
        <f ca="1"/>
      </c>
      <c r="GO134">
        <f ca="1"/>
      </c>
      <c r="GP134">
        <f ca="1"/>
      </c>
      <c r="GQ134">
        <f ca="1"/>
      </c>
    </row>
    <row r="135" spans="41:199" x14ac:dyDescent="0.55000000000000004">
      <c r="AO135">
        <f ca="1"/>
      </c>
      <c r="AP135">
        <f ca="1"/>
      </c>
      <c r="AQ135">
        <f ca="1"/>
      </c>
      <c r="AR135">
        <f ca="1"/>
      </c>
      <c r="AS135">
        <f ca="1"/>
      </c>
      <c r="AT135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AZ135">
        <f ca="1"/>
      </c>
      <c r="BA135">
        <f ca="1"/>
      </c>
      <c r="BB135">
        <f ca="1"/>
      </c>
      <c r="BC135">
        <f ca="1"/>
      </c>
      <c r="BD135">
        <f ca="1"/>
      </c>
      <c r="BE135">
        <f ca="1"/>
      </c>
      <c r="BF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M135" s="7">
        <f ca="1"/>
      </c>
      <c r="GN135">
        <f ca="1"/>
      </c>
      <c r="GO135">
        <f ca="1"/>
      </c>
      <c r="GP135">
        <f ca="1"/>
      </c>
      <c r="GQ135">
        <f ca="1"/>
      </c>
    </row>
    <row r="136" spans="41:199" x14ac:dyDescent="0.55000000000000004">
      <c r="AO136">
        <f ca="1"/>
      </c>
      <c r="AP136">
        <f ca="1"/>
      </c>
      <c r="AQ136">
        <f ca="1"/>
      </c>
      <c r="AR136">
        <f ca="1"/>
      </c>
      <c r="AS136">
        <f ca="1"/>
      </c>
      <c r="AT136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AZ136">
        <f ca="1"/>
      </c>
      <c r="BA136">
        <f ca="1"/>
      </c>
      <c r="BB136">
        <f ca="1"/>
      </c>
      <c r="BC136">
        <f ca="1"/>
      </c>
      <c r="BD136">
        <f ca="1"/>
      </c>
      <c r="BE136">
        <f ca="1"/>
      </c>
      <c r="BF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M136" s="7">
        <f ca="1"/>
      </c>
      <c r="GN136">
        <f ca="1"/>
      </c>
      <c r="GO136">
        <f ca="1"/>
      </c>
      <c r="GP136">
        <f ca="1"/>
      </c>
      <c r="GQ136">
        <f ca="1"/>
      </c>
    </row>
    <row r="137" spans="41:199" x14ac:dyDescent="0.55000000000000004">
      <c r="AO137">
        <f ca="1"/>
      </c>
      <c r="AP137">
        <f ca="1"/>
      </c>
      <c r="AQ137">
        <f ca="1"/>
      </c>
      <c r="AR137">
        <f ca="1"/>
      </c>
      <c r="AS137">
        <f ca="1"/>
      </c>
      <c r="AT13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AZ137">
        <f ca="1"/>
      </c>
      <c r="BA137">
        <f ca="1"/>
      </c>
      <c r="BB137">
        <f ca="1"/>
      </c>
      <c r="BC137">
        <f ca="1"/>
      </c>
      <c r="BD137">
        <f ca="1"/>
      </c>
      <c r="BE137">
        <f ca="1"/>
      </c>
      <c r="BF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M137" s="7">
        <f ca="1"/>
      </c>
      <c r="GN137">
        <f ca="1"/>
      </c>
      <c r="GO137">
        <f ca="1"/>
      </c>
      <c r="GP137">
        <f ca="1"/>
      </c>
      <c r="GQ137">
        <f ca="1"/>
      </c>
    </row>
    <row r="138" spans="41:199" x14ac:dyDescent="0.55000000000000004">
      <c r="AO138">
        <f ca="1"/>
      </c>
      <c r="AP138">
        <f ca="1"/>
      </c>
      <c r="AQ138">
        <f ca="1"/>
      </c>
      <c r="AR138">
        <f ca="1"/>
      </c>
      <c r="AS138">
        <f ca="1"/>
      </c>
      <c r="AT138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AZ138">
        <f ca="1"/>
      </c>
      <c r="BA138">
        <f ca="1"/>
      </c>
      <c r="BB138">
        <f ca="1"/>
      </c>
      <c r="BC138">
        <f ca="1"/>
      </c>
      <c r="BD138">
        <f ca="1"/>
      </c>
      <c r="BE138">
        <f ca="1"/>
      </c>
      <c r="BF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M138" s="7">
        <f ca="1"/>
      </c>
      <c r="GN138">
        <f ca="1"/>
      </c>
      <c r="GO138">
        <f ca="1"/>
      </c>
      <c r="GP138">
        <f ca="1"/>
      </c>
      <c r="GQ138">
        <f ca="1"/>
      </c>
    </row>
    <row r="139" spans="41:199" x14ac:dyDescent="0.55000000000000004">
      <c r="AO139">
        <f ca="1"/>
      </c>
      <c r="AP139">
        <f ca="1"/>
      </c>
      <c r="AQ139">
        <f ca="1"/>
      </c>
      <c r="AR139">
        <f ca="1"/>
      </c>
      <c r="AS139">
        <f ca="1"/>
      </c>
      <c r="AT139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AZ139">
        <f ca="1"/>
      </c>
      <c r="BA139">
        <f ca="1"/>
      </c>
      <c r="BB139">
        <f ca="1"/>
      </c>
      <c r="BC139">
        <f ca="1"/>
      </c>
      <c r="BD139">
        <f ca="1"/>
      </c>
      <c r="BE139">
        <f ca="1"/>
      </c>
      <c r="BF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M139" s="7">
        <f ca="1"/>
      </c>
      <c r="GN139">
        <f ca="1"/>
      </c>
      <c r="GO139">
        <f ca="1"/>
      </c>
      <c r="GP139">
        <f ca="1"/>
      </c>
      <c r="GQ139">
        <f ca="1"/>
      </c>
    </row>
    <row r="140" spans="41:199" x14ac:dyDescent="0.55000000000000004">
      <c r="AO140">
        <f ca="1"/>
      </c>
      <c r="AP140">
        <f ca="1"/>
      </c>
      <c r="AQ140">
        <f ca="1"/>
      </c>
      <c r="AR140">
        <f ca="1"/>
      </c>
      <c r="AS140">
        <f ca="1"/>
      </c>
      <c r="AT140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AZ140">
        <f ca="1"/>
      </c>
      <c r="BA140">
        <f ca="1"/>
      </c>
      <c r="BB140">
        <f ca="1"/>
      </c>
      <c r="BC140">
        <f ca="1"/>
      </c>
      <c r="BD140">
        <f ca="1"/>
      </c>
      <c r="BE140">
        <f ca="1"/>
      </c>
      <c r="BF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M140" s="7">
        <f ca="1"/>
      </c>
      <c r="GN140">
        <f ca="1"/>
      </c>
      <c r="GO140">
        <f ca="1"/>
      </c>
      <c r="GP140">
        <f ca="1"/>
      </c>
      <c r="GQ140">
        <f ca="1"/>
      </c>
    </row>
    <row r="141" spans="41:199" x14ac:dyDescent="0.55000000000000004">
      <c r="AO141">
        <f ca="1"/>
      </c>
      <c r="AP141">
        <f ca="1"/>
      </c>
      <c r="AQ141">
        <f ca="1"/>
      </c>
      <c r="AR141">
        <f ca="1"/>
      </c>
      <c r="AS141">
        <f ca="1"/>
      </c>
      <c r="AT141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AZ141">
        <f ca="1"/>
      </c>
      <c r="BA141">
        <f ca="1"/>
      </c>
      <c r="BB141">
        <f ca="1"/>
      </c>
      <c r="BC141">
        <f ca="1"/>
      </c>
      <c r="BD141">
        <f ca="1"/>
      </c>
      <c r="BE141">
        <f ca="1"/>
      </c>
      <c r="BF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M141" s="7">
        <f ca="1"/>
      </c>
      <c r="GN141">
        <f ca="1"/>
      </c>
      <c r="GO141">
        <f ca="1"/>
      </c>
      <c r="GP141">
        <f ca="1"/>
      </c>
      <c r="GQ141">
        <f ca="1"/>
      </c>
    </row>
    <row r="142" spans="41:199" x14ac:dyDescent="0.55000000000000004">
      <c r="AO142">
        <f ca="1"/>
      </c>
      <c r="AP142">
        <f ca="1"/>
      </c>
      <c r="AQ142">
        <f ca="1"/>
      </c>
      <c r="AR142">
        <f ca="1"/>
      </c>
      <c r="AS142">
        <f ca="1"/>
      </c>
      <c r="AT142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AZ142">
        <f ca="1"/>
      </c>
      <c r="BA142">
        <f ca="1"/>
      </c>
      <c r="BB142">
        <f ca="1"/>
      </c>
      <c r="BC142">
        <f ca="1"/>
      </c>
      <c r="BD142">
        <f ca="1"/>
      </c>
      <c r="BE142">
        <f ca="1"/>
      </c>
      <c r="BF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M142" s="7">
        <f ca="1"/>
      </c>
      <c r="GN142">
        <f ca="1"/>
      </c>
      <c r="GO142">
        <f ca="1"/>
      </c>
      <c r="GP142">
        <f ca="1"/>
      </c>
      <c r="GQ142">
        <f ca="1"/>
      </c>
    </row>
    <row r="143" spans="41:199" x14ac:dyDescent="0.55000000000000004">
      <c r="AO143">
        <f ca="1"/>
      </c>
      <c r="AP143">
        <f ca="1"/>
      </c>
      <c r="AQ143">
        <f ca="1"/>
      </c>
      <c r="AR143">
        <f ca="1"/>
      </c>
      <c r="AS143">
        <f ca="1"/>
      </c>
      <c r="AT143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AZ143">
        <f ca="1"/>
      </c>
      <c r="BA143">
        <f ca="1"/>
      </c>
      <c r="BB143">
        <f ca="1"/>
      </c>
      <c r="BC143">
        <f ca="1"/>
      </c>
      <c r="BD143">
        <f ca="1"/>
      </c>
      <c r="BE143">
        <f ca="1"/>
      </c>
      <c r="BF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M143" s="7">
        <f ca="1"/>
      </c>
      <c r="GN143">
        <f ca="1"/>
      </c>
      <c r="GO143">
        <f ca="1"/>
      </c>
      <c r="GP143">
        <f ca="1"/>
      </c>
      <c r="GQ143">
        <f ca="1"/>
      </c>
    </row>
    <row r="144" spans="41:199" x14ac:dyDescent="0.55000000000000004">
      <c r="AO144">
        <f ca="1"/>
      </c>
      <c r="AP144">
        <f ca="1"/>
      </c>
      <c r="AQ144">
        <f ca="1"/>
      </c>
      <c r="AR144">
        <f ca="1"/>
      </c>
      <c r="AS144">
        <f ca="1"/>
      </c>
      <c r="AT144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AZ144">
        <f ca="1"/>
      </c>
      <c r="BA144">
        <f ca="1"/>
      </c>
      <c r="BB144">
        <f ca="1"/>
      </c>
      <c r="BC144">
        <f ca="1"/>
      </c>
      <c r="BD144">
        <f ca="1"/>
      </c>
      <c r="BE144">
        <f ca="1"/>
      </c>
      <c r="BF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M144" s="7">
        <f ca="1"/>
      </c>
      <c r="GN144">
        <f ca="1"/>
      </c>
      <c r="GO144">
        <f ca="1"/>
      </c>
      <c r="GP144">
        <f ca="1"/>
      </c>
      <c r="GQ144">
        <f ca="1"/>
      </c>
    </row>
    <row r="145" spans="41:199" x14ac:dyDescent="0.55000000000000004">
      <c r="AO145">
        <f ca="1"/>
      </c>
      <c r="AP145">
        <f ca="1"/>
      </c>
      <c r="AQ145">
        <f ca="1"/>
      </c>
      <c r="AR145">
        <f ca="1"/>
      </c>
      <c r="AS145">
        <f ca="1"/>
      </c>
      <c r="AT145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AZ145">
        <f ca="1"/>
      </c>
      <c r="BA145">
        <f ca="1"/>
      </c>
      <c r="BB145">
        <f ca="1"/>
      </c>
      <c r="BC145">
        <f ca="1"/>
      </c>
      <c r="BD145">
        <f ca="1"/>
      </c>
      <c r="BE145">
        <f ca="1"/>
      </c>
      <c r="BF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M145" s="7">
        <f ca="1"/>
      </c>
      <c r="GN145">
        <f ca="1"/>
      </c>
      <c r="GO145">
        <f ca="1"/>
      </c>
      <c r="GP145">
        <f ca="1"/>
      </c>
      <c r="GQ145">
        <f ca="1"/>
      </c>
    </row>
    <row r="146" spans="41:199" x14ac:dyDescent="0.55000000000000004">
      <c r="AO146">
        <f ca="1"/>
      </c>
      <c r="AP146">
        <f ca="1"/>
      </c>
      <c r="AQ146">
        <f ca="1"/>
      </c>
      <c r="AR146">
        <f ca="1"/>
      </c>
      <c r="AS146">
        <f ca="1"/>
      </c>
      <c r="AT146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AZ146">
        <f ca="1"/>
      </c>
      <c r="BA146">
        <f ca="1"/>
      </c>
      <c r="BB146">
        <f ca="1"/>
      </c>
      <c r="BC146">
        <f ca="1"/>
      </c>
      <c r="BD146">
        <f ca="1"/>
      </c>
      <c r="BE146">
        <f ca="1"/>
      </c>
      <c r="BF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M146" s="7">
        <f ca="1"/>
      </c>
      <c r="GN146">
        <f ca="1"/>
      </c>
      <c r="GO146">
        <f ca="1"/>
      </c>
      <c r="GP146">
        <f ca="1"/>
      </c>
      <c r="GQ146">
        <f ca="1"/>
      </c>
    </row>
    <row r="147" spans="41:199" x14ac:dyDescent="0.55000000000000004">
      <c r="AO147">
        <f ca="1"/>
      </c>
      <c r="AP147">
        <f ca="1"/>
      </c>
      <c r="AQ147">
        <f ca="1"/>
      </c>
      <c r="AR147">
        <f ca="1"/>
      </c>
      <c r="AS147">
        <f ca="1"/>
      </c>
      <c r="AT14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AZ147">
        <f ca="1"/>
      </c>
      <c r="BA147">
        <f ca="1"/>
      </c>
      <c r="BB147">
        <f ca="1"/>
      </c>
      <c r="BC147">
        <f ca="1"/>
      </c>
      <c r="BD147">
        <f ca="1"/>
      </c>
      <c r="BE147">
        <f ca="1"/>
      </c>
      <c r="BF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M147" s="7">
        <f ca="1"/>
      </c>
      <c r="GN147">
        <f ca="1"/>
      </c>
      <c r="GO147">
        <f ca="1"/>
      </c>
      <c r="GP147">
        <f ca="1"/>
      </c>
      <c r="GQ147">
        <f ca="1"/>
      </c>
    </row>
    <row r="148" spans="41:199" x14ac:dyDescent="0.55000000000000004">
      <c r="AO148">
        <f ca="1"/>
      </c>
      <c r="AP148">
        <f ca="1"/>
      </c>
      <c r="AQ148">
        <f ca="1"/>
      </c>
      <c r="AR148">
        <f ca="1"/>
      </c>
      <c r="AS148">
        <f ca="1"/>
      </c>
      <c r="AT148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AZ148">
        <f ca="1"/>
      </c>
      <c r="BA148">
        <f ca="1"/>
      </c>
      <c r="BB148">
        <f ca="1"/>
      </c>
      <c r="BC148">
        <f ca="1"/>
      </c>
      <c r="BD148">
        <f ca="1"/>
      </c>
      <c r="BE148">
        <f ca="1"/>
      </c>
      <c r="BF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M148" s="7">
        <f ca="1"/>
      </c>
      <c r="GN148">
        <f ca="1"/>
      </c>
      <c r="GO148">
        <f ca="1"/>
      </c>
      <c r="GP148">
        <f ca="1"/>
      </c>
      <c r="GQ148">
        <f ca="1"/>
      </c>
    </row>
    <row r="149" spans="41:199" x14ac:dyDescent="0.55000000000000004">
      <c r="AO149">
        <f ca="1"/>
      </c>
      <c r="AP149">
        <f ca="1"/>
      </c>
      <c r="AQ149">
        <f ca="1"/>
      </c>
      <c r="AR149">
        <f ca="1"/>
      </c>
      <c r="AS149">
        <f ca="1"/>
      </c>
      <c r="AT149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AZ149">
        <f ca="1"/>
      </c>
      <c r="BA149">
        <f ca="1"/>
      </c>
      <c r="BB149">
        <f ca="1"/>
      </c>
      <c r="BC149">
        <f ca="1"/>
      </c>
      <c r="BD149">
        <f ca="1"/>
      </c>
      <c r="BE149">
        <f ca="1"/>
      </c>
      <c r="BF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M149" s="7">
        <f ca="1"/>
      </c>
      <c r="GN149">
        <f ca="1"/>
      </c>
      <c r="GO149">
        <f ca="1"/>
      </c>
      <c r="GP149">
        <f ca="1"/>
      </c>
      <c r="GQ149">
        <f ca="1"/>
      </c>
    </row>
    <row r="150" spans="41:199" x14ac:dyDescent="0.55000000000000004">
      <c r="AO150">
        <f ca="1"/>
      </c>
      <c r="AP150">
        <f ca="1"/>
      </c>
      <c r="AQ150">
        <f ca="1"/>
      </c>
      <c r="AR150">
        <f ca="1"/>
      </c>
      <c r="AS150">
        <f ca="1"/>
      </c>
      <c r="AT150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AZ150">
        <f ca="1"/>
      </c>
      <c r="BA150">
        <f ca="1"/>
      </c>
      <c r="BB150">
        <f ca="1"/>
      </c>
      <c r="BC150">
        <f ca="1"/>
      </c>
      <c r="BD150">
        <f ca="1"/>
      </c>
      <c r="BE150">
        <f ca="1"/>
      </c>
      <c r="BF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M150" s="7">
        <f ca="1"/>
      </c>
      <c r="GN150">
        <f ca="1"/>
      </c>
      <c r="GO150">
        <f ca="1"/>
      </c>
      <c r="GP150">
        <f ca="1"/>
      </c>
      <c r="GQ150">
        <f ca="1"/>
      </c>
    </row>
    <row r="151" spans="41:199" x14ac:dyDescent="0.55000000000000004">
      <c r="AO151">
        <f ca="1"/>
      </c>
      <c r="AP151">
        <f ca="1"/>
      </c>
      <c r="AQ151">
        <f ca="1"/>
      </c>
      <c r="AR151">
        <f ca="1"/>
      </c>
      <c r="AS151">
        <f ca="1"/>
      </c>
      <c r="AT151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AZ151">
        <f ca="1"/>
      </c>
      <c r="BA151">
        <f ca="1"/>
      </c>
      <c r="BB151">
        <f ca="1"/>
      </c>
      <c r="BC151">
        <f ca="1"/>
      </c>
      <c r="BD151">
        <f ca="1"/>
      </c>
      <c r="BE151">
        <f ca="1"/>
      </c>
      <c r="BF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M151" s="7">
        <f ca="1"/>
      </c>
      <c r="GN151">
        <f ca="1"/>
      </c>
      <c r="GO151">
        <f ca="1"/>
      </c>
      <c r="GP151">
        <f ca="1"/>
      </c>
      <c r="GQ151">
        <f ca="1"/>
      </c>
    </row>
    <row r="152" spans="41:199" x14ac:dyDescent="0.55000000000000004">
      <c r="AO152">
        <f ca="1"/>
      </c>
      <c r="AP152">
        <f ca="1"/>
      </c>
      <c r="AQ152">
        <f ca="1"/>
      </c>
      <c r="AR152">
        <f ca="1"/>
      </c>
      <c r="AS152">
        <f ca="1"/>
      </c>
      <c r="AT152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AZ152">
        <f ca="1"/>
      </c>
      <c r="BA152">
        <f ca="1"/>
      </c>
      <c r="BB152">
        <f ca="1"/>
      </c>
      <c r="BC152">
        <f ca="1"/>
      </c>
      <c r="BD152">
        <f ca="1"/>
      </c>
      <c r="BE152">
        <f ca="1"/>
      </c>
      <c r="BF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M152" s="7">
        <f ca="1"/>
      </c>
      <c r="GN152">
        <f ca="1"/>
      </c>
      <c r="GO152">
        <f ca="1"/>
      </c>
      <c r="GP152">
        <f ca="1"/>
      </c>
      <c r="GQ152">
        <f ca="1"/>
      </c>
    </row>
    <row r="153" spans="41:199" x14ac:dyDescent="0.55000000000000004">
      <c r="AO153">
        <f ca="1"/>
      </c>
      <c r="AP153">
        <f ca="1"/>
      </c>
      <c r="AQ153">
        <f ca="1"/>
      </c>
      <c r="AR153">
        <f ca="1"/>
      </c>
      <c r="AS153">
        <f ca="1"/>
      </c>
      <c r="AT153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AZ153">
        <f ca="1"/>
      </c>
      <c r="BA153">
        <f ca="1"/>
      </c>
      <c r="BB153">
        <f ca="1"/>
      </c>
      <c r="BC153">
        <f ca="1"/>
      </c>
      <c r="BD153">
        <f ca="1"/>
      </c>
      <c r="BE153">
        <f ca="1"/>
      </c>
      <c r="BF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M153" s="7">
        <f ca="1"/>
      </c>
      <c r="GN153">
        <f ca="1"/>
      </c>
      <c r="GO153">
        <f ca="1"/>
      </c>
      <c r="GP153">
        <f ca="1"/>
      </c>
      <c r="GQ153">
        <f ca="1"/>
      </c>
    </row>
    <row r="154" spans="41:199" x14ac:dyDescent="0.55000000000000004">
      <c r="AO154">
        <f ca="1"/>
      </c>
      <c r="AP154">
        <f ca="1"/>
      </c>
      <c r="AQ154">
        <f ca="1"/>
      </c>
      <c r="AR154">
        <f ca="1"/>
      </c>
      <c r="AS154">
        <f ca="1"/>
      </c>
      <c r="AT154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AZ154">
        <f ca="1"/>
      </c>
      <c r="BA154">
        <f ca="1"/>
      </c>
      <c r="BB154">
        <f ca="1"/>
      </c>
      <c r="BC154">
        <f ca="1"/>
      </c>
      <c r="BD154">
        <f ca="1"/>
      </c>
      <c r="BE154">
        <f ca="1"/>
      </c>
      <c r="BF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M154" s="7">
        <f ca="1"/>
      </c>
      <c r="GN154">
        <f ca="1"/>
      </c>
      <c r="GO154">
        <f ca="1"/>
      </c>
      <c r="GP154">
        <f ca="1"/>
      </c>
      <c r="GQ154">
        <f ca="1"/>
      </c>
    </row>
    <row r="155" spans="41:199" x14ac:dyDescent="0.55000000000000004">
      <c r="AO155">
        <f ca="1"/>
      </c>
      <c r="AP155">
        <f ca="1"/>
      </c>
      <c r="AQ155">
        <f ca="1"/>
      </c>
      <c r="AR155">
        <f ca="1"/>
      </c>
      <c r="AS155">
        <f ca="1"/>
      </c>
      <c r="AT155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AZ155">
        <f ca="1"/>
      </c>
      <c r="BA155">
        <f ca="1"/>
      </c>
      <c r="BB155">
        <f ca="1"/>
      </c>
      <c r="BC155">
        <f ca="1"/>
      </c>
      <c r="BD155">
        <f ca="1"/>
      </c>
      <c r="BE155">
        <f ca="1"/>
      </c>
      <c r="BF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M155" s="7">
        <f ca="1"/>
      </c>
      <c r="GN155">
        <f ca="1"/>
      </c>
      <c r="GO155">
        <f ca="1"/>
      </c>
      <c r="GP155">
        <f ca="1"/>
      </c>
      <c r="GQ155">
        <f ca="1"/>
      </c>
    </row>
    <row r="156" spans="41:199" x14ac:dyDescent="0.55000000000000004">
      <c r="AO156">
        <f ca="1"/>
      </c>
      <c r="AP156">
        <f ca="1"/>
      </c>
      <c r="AQ156">
        <f ca="1"/>
      </c>
      <c r="AR156">
        <f ca="1"/>
      </c>
      <c r="AS156">
        <f ca="1"/>
      </c>
      <c r="AT156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AZ156">
        <f ca="1"/>
      </c>
      <c r="BA156">
        <f ca="1"/>
      </c>
      <c r="BB156">
        <f ca="1"/>
      </c>
      <c r="BC156">
        <f ca="1"/>
      </c>
      <c r="BD156">
        <f ca="1"/>
      </c>
      <c r="BE156">
        <f ca="1"/>
      </c>
      <c r="BF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M156" s="7">
        <f ca="1"/>
      </c>
      <c r="GN156">
        <f ca="1"/>
      </c>
      <c r="GO156">
        <f ca="1"/>
      </c>
      <c r="GP156">
        <f ca="1"/>
      </c>
      <c r="GQ156">
        <f ca="1"/>
      </c>
    </row>
    <row r="157" spans="41:199" x14ac:dyDescent="0.55000000000000004">
      <c r="AO157">
        <f ca="1"/>
      </c>
      <c r="AP157">
        <f ca="1"/>
      </c>
      <c r="AQ157">
        <f ca="1"/>
      </c>
      <c r="AR157">
        <f ca="1"/>
      </c>
      <c r="AS157">
        <f ca="1"/>
      </c>
      <c r="AT15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AZ157">
        <f ca="1"/>
      </c>
      <c r="BA157">
        <f ca="1"/>
      </c>
      <c r="BB157">
        <f ca="1"/>
      </c>
      <c r="BC157">
        <f ca="1"/>
      </c>
      <c r="BD157">
        <f ca="1"/>
      </c>
      <c r="BE157">
        <f ca="1"/>
      </c>
      <c r="BF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M157" s="7">
        <f ca="1"/>
      </c>
      <c r="GN157">
        <f ca="1"/>
      </c>
      <c r="GO157">
        <f ca="1"/>
      </c>
      <c r="GP157">
        <f ca="1"/>
      </c>
      <c r="GQ157">
        <f ca="1"/>
      </c>
    </row>
    <row r="158" spans="41:199" x14ac:dyDescent="0.55000000000000004">
      <c r="AO158">
        <f ca="1"/>
      </c>
      <c r="AP158">
        <f ca="1"/>
      </c>
      <c r="AQ158">
        <f ca="1"/>
      </c>
      <c r="AR158">
        <f ca="1"/>
      </c>
      <c r="AS158">
        <f ca="1"/>
      </c>
      <c r="AT158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AZ158">
        <f ca="1"/>
      </c>
      <c r="BA158">
        <f ca="1"/>
      </c>
      <c r="BB158">
        <f ca="1"/>
      </c>
      <c r="BC158">
        <f ca="1"/>
      </c>
      <c r="BD158">
        <f ca="1"/>
      </c>
      <c r="BE158">
        <f ca="1"/>
      </c>
      <c r="BF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M158" s="7">
        <f ca="1"/>
      </c>
      <c r="GN158">
        <f ca="1"/>
      </c>
      <c r="GO158">
        <f ca="1"/>
      </c>
      <c r="GP158">
        <f ca="1"/>
      </c>
      <c r="GQ158">
        <f ca="1"/>
      </c>
    </row>
    <row r="159" spans="41:199" x14ac:dyDescent="0.55000000000000004">
      <c r="AO159">
        <f ca="1"/>
      </c>
      <c r="AP159">
        <f ca="1"/>
      </c>
      <c r="AQ159">
        <f ca="1"/>
      </c>
      <c r="AR159">
        <f ca="1"/>
      </c>
      <c r="AS159">
        <f ca="1"/>
      </c>
      <c r="AT159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AZ159">
        <f ca="1"/>
      </c>
      <c r="BA159">
        <f ca="1"/>
      </c>
      <c r="BB159">
        <f ca="1"/>
      </c>
      <c r="BC159">
        <f ca="1"/>
      </c>
      <c r="BD159">
        <f ca="1"/>
      </c>
      <c r="BE159">
        <f ca="1"/>
      </c>
      <c r="BF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M159" s="7">
        <f ca="1"/>
      </c>
      <c r="GN159">
        <f ca="1"/>
      </c>
      <c r="GO159">
        <f ca="1"/>
      </c>
      <c r="GP159">
        <f ca="1"/>
      </c>
      <c r="GQ159">
        <f ca="1"/>
      </c>
    </row>
    <row r="160" spans="41:199" x14ac:dyDescent="0.55000000000000004">
      <c r="AO160">
        <f ca="1"/>
      </c>
      <c r="AP160">
        <f ca="1"/>
      </c>
      <c r="AQ160">
        <f ca="1"/>
      </c>
      <c r="AR160">
        <f ca="1"/>
      </c>
      <c r="AS160">
        <f ca="1"/>
      </c>
      <c r="AT160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AZ160">
        <f ca="1"/>
      </c>
      <c r="BA160">
        <f ca="1"/>
      </c>
      <c r="BB160">
        <f ca="1"/>
      </c>
      <c r="BC160">
        <f ca="1"/>
      </c>
      <c r="BD160">
        <f ca="1"/>
      </c>
      <c r="BE160">
        <f ca="1"/>
      </c>
      <c r="BF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M160" s="7">
        <f ca="1"/>
      </c>
      <c r="GN160">
        <f ca="1"/>
      </c>
      <c r="GO160">
        <f ca="1"/>
      </c>
      <c r="GP160">
        <f ca="1"/>
      </c>
      <c r="GQ160">
        <f ca="1"/>
      </c>
    </row>
    <row r="161" spans="41:199" x14ac:dyDescent="0.55000000000000004">
      <c r="AO161">
        <f ca="1"/>
      </c>
      <c r="AP161">
        <f ca="1"/>
      </c>
      <c r="AQ161">
        <f ca="1"/>
      </c>
      <c r="AR161">
        <f ca="1"/>
      </c>
      <c r="AS161">
        <f ca="1"/>
      </c>
      <c r="AT161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AZ161">
        <f ca="1"/>
      </c>
      <c r="BA161">
        <f ca="1"/>
      </c>
      <c r="BB161">
        <f ca="1"/>
      </c>
      <c r="BC161">
        <f ca="1"/>
      </c>
      <c r="BD161">
        <f ca="1"/>
      </c>
      <c r="BE161">
        <f ca="1"/>
      </c>
      <c r="BF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M161" s="7">
        <f ca="1"/>
      </c>
      <c r="GN161">
        <f ca="1"/>
      </c>
      <c r="GO161">
        <f ca="1"/>
      </c>
      <c r="GP161">
        <f ca="1"/>
      </c>
      <c r="GQ161">
        <f ca="1"/>
      </c>
    </row>
    <row r="162" spans="41:199" x14ac:dyDescent="0.55000000000000004">
      <c r="AO162">
        <f ca="1"/>
      </c>
      <c r="AP162">
        <f ca="1"/>
      </c>
      <c r="AQ162">
        <f ca="1"/>
      </c>
      <c r="AR162">
        <f ca="1"/>
      </c>
      <c r="AS162">
        <f ca="1"/>
      </c>
      <c r="AT162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AZ162">
        <f ca="1"/>
      </c>
      <c r="BA162">
        <f ca="1"/>
      </c>
      <c r="BB162">
        <f ca="1"/>
      </c>
      <c r="BC162">
        <f ca="1"/>
      </c>
      <c r="BD162">
        <f ca="1"/>
      </c>
      <c r="BE162">
        <f ca="1"/>
      </c>
      <c r="BF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M162" s="7">
        <f ca="1"/>
      </c>
      <c r="GN162">
        <f ca="1"/>
      </c>
      <c r="GO162">
        <f ca="1"/>
      </c>
      <c r="GP162">
        <f ca="1"/>
      </c>
      <c r="GQ162">
        <f ca="1"/>
      </c>
    </row>
    <row r="163" spans="41:199" x14ac:dyDescent="0.55000000000000004">
      <c r="AO163">
        <f ca="1"/>
      </c>
      <c r="AP163">
        <f ca="1"/>
      </c>
      <c r="AQ163">
        <f ca="1"/>
      </c>
      <c r="AR163">
        <f ca="1"/>
      </c>
      <c r="AS163">
        <f ca="1"/>
      </c>
      <c r="AT163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AZ163">
        <f ca="1"/>
      </c>
      <c r="BA163">
        <f ca="1"/>
      </c>
      <c r="BB163">
        <f ca="1"/>
      </c>
      <c r="BC163">
        <f ca="1"/>
      </c>
      <c r="BD163">
        <f ca="1"/>
      </c>
      <c r="BE163">
        <f ca="1"/>
      </c>
      <c r="BF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M163" s="7">
        <f ca="1"/>
      </c>
      <c r="GN163">
        <f ca="1"/>
      </c>
      <c r="GO163">
        <f ca="1"/>
      </c>
      <c r="GP163">
        <f ca="1"/>
      </c>
      <c r="GQ163">
        <f ca="1"/>
      </c>
    </row>
    <row r="164" spans="41:199" x14ac:dyDescent="0.55000000000000004">
      <c r="AO164">
        <f ca="1"/>
      </c>
      <c r="AP164">
        <f ca="1"/>
      </c>
      <c r="AQ164">
        <f ca="1"/>
      </c>
      <c r="AR164">
        <f ca="1"/>
      </c>
      <c r="AS164">
        <f ca="1"/>
      </c>
      <c r="AT164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AZ164">
        <f ca="1"/>
      </c>
      <c r="BA164">
        <f ca="1"/>
      </c>
      <c r="BB164">
        <f ca="1"/>
      </c>
      <c r="BC164">
        <f ca="1"/>
      </c>
      <c r="BD164">
        <f ca="1"/>
      </c>
      <c r="BE164">
        <f ca="1"/>
      </c>
      <c r="BF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M164" s="7">
        <f ca="1"/>
      </c>
      <c r="GN164">
        <f ca="1"/>
      </c>
      <c r="GO164">
        <f ca="1"/>
      </c>
      <c r="GP164">
        <f ca="1"/>
      </c>
      <c r="GQ164">
        <f ca="1"/>
      </c>
    </row>
    <row r="165" spans="41:199" x14ac:dyDescent="0.55000000000000004">
      <c r="AO165">
        <f ca="1"/>
      </c>
      <c r="AP165">
        <f ca="1"/>
      </c>
      <c r="AQ165">
        <f ca="1"/>
      </c>
      <c r="AR165">
        <f ca="1"/>
      </c>
      <c r="AS165">
        <f ca="1"/>
      </c>
      <c r="AT165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AZ165">
        <f ca="1"/>
      </c>
      <c r="BA165">
        <f ca="1"/>
      </c>
      <c r="BB165">
        <f ca="1"/>
      </c>
      <c r="BC165">
        <f ca="1"/>
      </c>
      <c r="BD165">
        <f ca="1"/>
      </c>
      <c r="BE165">
        <f ca="1"/>
      </c>
      <c r="BF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M165" s="7">
        <f ca="1"/>
      </c>
      <c r="GN165">
        <f ca="1"/>
      </c>
      <c r="GO165">
        <f ca="1"/>
      </c>
      <c r="GP165">
        <f ca="1"/>
      </c>
      <c r="GQ165">
        <f ca="1"/>
      </c>
    </row>
    <row r="166" spans="41:199" x14ac:dyDescent="0.55000000000000004">
      <c r="AO166">
        <f ca="1"/>
      </c>
      <c r="AP166">
        <f ca="1"/>
      </c>
      <c r="AQ166">
        <f ca="1"/>
      </c>
      <c r="AR166">
        <f ca="1"/>
      </c>
      <c r="AS166">
        <f ca="1"/>
      </c>
      <c r="AT166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AZ166">
        <f ca="1"/>
      </c>
      <c r="BA166">
        <f ca="1"/>
      </c>
      <c r="BB166">
        <f ca="1"/>
      </c>
      <c r="BC166">
        <f ca="1"/>
      </c>
      <c r="BD166">
        <f ca="1"/>
      </c>
      <c r="BE166">
        <f ca="1"/>
      </c>
      <c r="BF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M166" s="7">
        <f ca="1"/>
      </c>
      <c r="GN166">
        <f ca="1"/>
      </c>
      <c r="GO166">
        <f ca="1"/>
      </c>
      <c r="GP166">
        <f ca="1"/>
      </c>
      <c r="GQ166">
        <f ca="1"/>
      </c>
    </row>
    <row r="167" spans="41:199" x14ac:dyDescent="0.55000000000000004">
      <c r="AO167">
        <f ca="1"/>
      </c>
      <c r="AP167">
        <f ca="1"/>
      </c>
      <c r="AQ167">
        <f ca="1"/>
      </c>
      <c r="AR167">
        <f ca="1"/>
      </c>
      <c r="AS167">
        <f ca="1"/>
      </c>
      <c r="AT16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AZ167">
        <f ca="1"/>
      </c>
      <c r="BA167">
        <f ca="1"/>
      </c>
      <c r="BB167">
        <f ca="1"/>
      </c>
      <c r="BC167">
        <f ca="1"/>
      </c>
      <c r="BD167">
        <f ca="1"/>
      </c>
      <c r="BE167">
        <f ca="1"/>
      </c>
      <c r="BF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M167" s="7">
        <f ca="1"/>
      </c>
      <c r="GN167">
        <f ca="1"/>
      </c>
      <c r="GO167">
        <f ca="1"/>
      </c>
      <c r="GP167">
        <f ca="1"/>
      </c>
      <c r="GQ167">
        <f ca="1"/>
      </c>
    </row>
    <row r="168" spans="41:199" x14ac:dyDescent="0.55000000000000004">
      <c r="AO168">
        <f ca="1"/>
      </c>
      <c r="AP168">
        <f ca="1"/>
      </c>
      <c r="AQ168">
        <f ca="1"/>
      </c>
      <c r="AR168">
        <f ca="1"/>
      </c>
      <c r="AS168">
        <f ca="1"/>
      </c>
      <c r="AT168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AZ168">
        <f ca="1"/>
      </c>
      <c r="BA168">
        <f ca="1"/>
      </c>
      <c r="BB168">
        <f ca="1"/>
      </c>
      <c r="BC168">
        <f ca="1"/>
      </c>
      <c r="BD168">
        <f ca="1"/>
      </c>
      <c r="BE168">
        <f ca="1"/>
      </c>
      <c r="BF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M168" s="7">
        <f ca="1"/>
      </c>
      <c r="GN168">
        <f ca="1"/>
      </c>
      <c r="GO168">
        <f ca="1"/>
      </c>
      <c r="GP168">
        <f ca="1"/>
      </c>
      <c r="GQ168">
        <f ca="1"/>
      </c>
    </row>
    <row r="169" spans="41:199" x14ac:dyDescent="0.55000000000000004">
      <c r="AO169">
        <f ca="1"/>
      </c>
      <c r="AP169">
        <f ca="1"/>
      </c>
      <c r="AQ169">
        <f ca="1"/>
      </c>
      <c r="AR169">
        <f ca="1"/>
      </c>
      <c r="AS169">
        <f ca="1"/>
      </c>
      <c r="AT169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AZ169">
        <f ca="1"/>
      </c>
      <c r="BA169">
        <f ca="1"/>
      </c>
      <c r="BB169">
        <f ca="1"/>
      </c>
      <c r="BC169">
        <f ca="1"/>
      </c>
      <c r="BD169">
        <f ca="1"/>
      </c>
      <c r="BE169">
        <f ca="1"/>
      </c>
      <c r="BF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M169" s="7">
        <f ca="1"/>
      </c>
      <c r="GN169">
        <f ca="1"/>
      </c>
      <c r="GO169">
        <f ca="1"/>
      </c>
      <c r="GP169">
        <f ca="1"/>
      </c>
      <c r="GQ169">
        <f ca="1"/>
      </c>
    </row>
    <row r="170" spans="41:199" x14ac:dyDescent="0.55000000000000004">
      <c r="AO170">
        <f ca="1"/>
      </c>
      <c r="AP170">
        <f ca="1"/>
      </c>
      <c r="AQ170">
        <f ca="1"/>
      </c>
      <c r="AR170">
        <f ca="1"/>
      </c>
      <c r="AS170">
        <f ca="1"/>
      </c>
      <c r="AT170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AZ170">
        <f ca="1"/>
      </c>
      <c r="BA170">
        <f ca="1"/>
      </c>
      <c r="BB170">
        <f ca="1"/>
      </c>
      <c r="BC170">
        <f ca="1"/>
      </c>
      <c r="BD170">
        <f ca="1"/>
      </c>
      <c r="BE170">
        <f ca="1"/>
      </c>
      <c r="BF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M170" s="7">
        <f ca="1"/>
      </c>
      <c r="GN170">
        <f ca="1"/>
      </c>
      <c r="GO170">
        <f ca="1"/>
      </c>
      <c r="GP170">
        <f ca="1"/>
      </c>
      <c r="GQ170">
        <f ca="1"/>
      </c>
    </row>
    <row r="171" spans="41:199" x14ac:dyDescent="0.55000000000000004">
      <c r="AO171">
        <f ca="1"/>
      </c>
      <c r="AP171">
        <f ca="1"/>
      </c>
      <c r="AQ171">
        <f ca="1"/>
      </c>
      <c r="AR171">
        <f ca="1"/>
      </c>
      <c r="AS171">
        <f ca="1"/>
      </c>
      <c r="AT171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AZ171">
        <f ca="1"/>
      </c>
      <c r="BA171">
        <f ca="1"/>
      </c>
      <c r="BB171">
        <f ca="1"/>
      </c>
      <c r="BC171">
        <f ca="1"/>
      </c>
      <c r="BD171">
        <f ca="1"/>
      </c>
      <c r="BE171">
        <f ca="1"/>
      </c>
      <c r="BF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M171" s="7">
        <f ca="1"/>
      </c>
      <c r="GN171">
        <f ca="1"/>
      </c>
      <c r="GO171">
        <f ca="1"/>
      </c>
      <c r="GP171">
        <f ca="1"/>
      </c>
      <c r="GQ171">
        <f ca="1"/>
      </c>
    </row>
    <row r="172" spans="41:199" x14ac:dyDescent="0.55000000000000004">
      <c r="AO172">
        <f ca="1"/>
      </c>
      <c r="AP172">
        <f ca="1"/>
      </c>
      <c r="AQ172">
        <f ca="1"/>
      </c>
      <c r="AR172">
        <f ca="1"/>
      </c>
      <c r="AS172">
        <f ca="1"/>
      </c>
      <c r="AT172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AZ172">
        <f ca="1"/>
      </c>
      <c r="BA172">
        <f ca="1"/>
      </c>
      <c r="BB172">
        <f ca="1"/>
      </c>
      <c r="BC172">
        <f ca="1"/>
      </c>
      <c r="BD172">
        <f ca="1"/>
      </c>
      <c r="BE172">
        <f ca="1"/>
      </c>
      <c r="BF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M172" s="7">
        <f ca="1"/>
      </c>
      <c r="GN172">
        <f ca="1"/>
      </c>
      <c r="GO172">
        <f ca="1"/>
      </c>
      <c r="GP172">
        <f ca="1"/>
      </c>
      <c r="GQ172">
        <f ca="1"/>
      </c>
    </row>
    <row r="173" spans="41:199" x14ac:dyDescent="0.55000000000000004">
      <c r="AO173">
        <f ca="1"/>
      </c>
      <c r="AP173">
        <f ca="1"/>
      </c>
      <c r="AQ173">
        <f ca="1"/>
      </c>
      <c r="AR173">
        <f ca="1"/>
      </c>
      <c r="AS173">
        <f ca="1"/>
      </c>
      <c r="AT173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AZ173">
        <f ca="1"/>
      </c>
      <c r="BA173">
        <f ca="1"/>
      </c>
      <c r="BB173">
        <f ca="1"/>
      </c>
      <c r="BC173">
        <f ca="1"/>
      </c>
      <c r="BD173">
        <f ca="1"/>
      </c>
      <c r="BE173">
        <f ca="1"/>
      </c>
      <c r="BF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M173" s="7">
        <f ca="1"/>
      </c>
      <c r="GN173">
        <f ca="1"/>
      </c>
      <c r="GO173">
        <f ca="1"/>
      </c>
      <c r="GP173">
        <f ca="1"/>
      </c>
      <c r="GQ173">
        <f ca="1"/>
      </c>
    </row>
    <row r="174" spans="41:199" x14ac:dyDescent="0.55000000000000004">
      <c r="AO174">
        <f ca="1"/>
      </c>
      <c r="AP174">
        <f ca="1"/>
      </c>
      <c r="AQ174">
        <f ca="1"/>
      </c>
      <c r="AR174">
        <f ca="1"/>
      </c>
      <c r="AS174">
        <f ca="1"/>
      </c>
      <c r="AT174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AZ174">
        <f ca="1"/>
      </c>
      <c r="BA174">
        <f ca="1"/>
      </c>
      <c r="BB174">
        <f ca="1"/>
      </c>
      <c r="BC174">
        <f ca="1"/>
      </c>
      <c r="BD174">
        <f ca="1"/>
      </c>
      <c r="BE174">
        <f ca="1"/>
      </c>
      <c r="BF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M174" s="7">
        <f ca="1"/>
      </c>
      <c r="GN174">
        <f ca="1"/>
      </c>
      <c r="GO174">
        <f ca="1"/>
      </c>
      <c r="GP174">
        <f ca="1"/>
      </c>
      <c r="GQ174">
        <f ca="1"/>
      </c>
    </row>
    <row r="175" spans="41:199" x14ac:dyDescent="0.55000000000000004">
      <c r="AO175">
        <f ca="1"/>
      </c>
      <c r="AP175">
        <f ca="1"/>
      </c>
      <c r="AQ175">
        <f ca="1"/>
      </c>
      <c r="AR175">
        <f ca="1"/>
      </c>
      <c r="AS175">
        <f ca="1"/>
      </c>
      <c r="AT175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AZ175">
        <f ca="1"/>
      </c>
      <c r="BA175">
        <f ca="1"/>
      </c>
      <c r="BB175">
        <f ca="1"/>
      </c>
      <c r="BC175">
        <f ca="1"/>
      </c>
      <c r="BD175">
        <f ca="1"/>
      </c>
      <c r="BE175">
        <f ca="1"/>
      </c>
      <c r="BF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M175" s="7">
        <f ca="1"/>
      </c>
      <c r="GN175">
        <f ca="1"/>
      </c>
      <c r="GO175">
        <f ca="1"/>
      </c>
      <c r="GP175">
        <f ca="1"/>
      </c>
      <c r="GQ175">
        <f ca="1"/>
      </c>
    </row>
    <row r="176" spans="41:199" x14ac:dyDescent="0.55000000000000004">
      <c r="AO176">
        <f ca="1"/>
      </c>
      <c r="AP176">
        <f ca="1"/>
      </c>
      <c r="AQ176">
        <f ca="1"/>
      </c>
      <c r="AR176">
        <f ca="1"/>
      </c>
      <c r="AS176">
        <f ca="1"/>
      </c>
      <c r="AT176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AZ176">
        <f ca="1"/>
      </c>
      <c r="BA176">
        <f ca="1"/>
      </c>
      <c r="BB176">
        <f ca="1"/>
      </c>
      <c r="BC176">
        <f ca="1"/>
      </c>
      <c r="BD176">
        <f ca="1"/>
      </c>
      <c r="BE176">
        <f ca="1"/>
      </c>
      <c r="BF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M176" s="7">
        <f ca="1"/>
      </c>
      <c r="GN176">
        <f ca="1"/>
      </c>
      <c r="GO176">
        <f ca="1"/>
      </c>
      <c r="GP176">
        <f ca="1"/>
      </c>
      <c r="GQ176">
        <f ca="1"/>
      </c>
    </row>
    <row r="177" spans="41:199" x14ac:dyDescent="0.55000000000000004">
      <c r="AO177">
        <f ca="1"/>
      </c>
      <c r="AP177">
        <f ca="1"/>
      </c>
      <c r="AQ177">
        <f ca="1"/>
      </c>
      <c r="AR177">
        <f ca="1"/>
      </c>
      <c r="AS177">
        <f ca="1"/>
      </c>
      <c r="AT17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AZ177">
        <f ca="1"/>
      </c>
      <c r="BA177">
        <f ca="1"/>
      </c>
      <c r="BB177">
        <f ca="1"/>
      </c>
      <c r="BC177">
        <f ca="1"/>
      </c>
      <c r="BD177">
        <f ca="1"/>
      </c>
      <c r="BE177">
        <f ca="1"/>
      </c>
      <c r="BF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M177" s="7">
        <f ca="1"/>
      </c>
      <c r="GN177">
        <f ca="1"/>
      </c>
      <c r="GO177">
        <f ca="1"/>
      </c>
      <c r="GP177">
        <f ca="1"/>
      </c>
      <c r="GQ177">
        <f ca="1"/>
      </c>
    </row>
    <row r="178" spans="41:199" x14ac:dyDescent="0.55000000000000004">
      <c r="AO178">
        <f ca="1"/>
      </c>
      <c r="AP178">
        <f ca="1"/>
      </c>
      <c r="AQ178">
        <f ca="1"/>
      </c>
      <c r="AR178">
        <f ca="1"/>
      </c>
      <c r="AS178">
        <f ca="1"/>
      </c>
      <c r="AT178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AZ178">
        <f ca="1"/>
      </c>
      <c r="BA178">
        <f ca="1"/>
      </c>
      <c r="BB178">
        <f ca="1"/>
      </c>
      <c r="BC178">
        <f ca="1"/>
      </c>
      <c r="BD178">
        <f ca="1"/>
      </c>
      <c r="BE178">
        <f ca="1"/>
      </c>
      <c r="BF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M178" s="7">
        <f ca="1"/>
      </c>
      <c r="GN178">
        <f ca="1"/>
      </c>
      <c r="GO178">
        <f ca="1"/>
      </c>
      <c r="GP178">
        <f ca="1"/>
      </c>
      <c r="GQ178">
        <f ca="1"/>
      </c>
    </row>
    <row r="179" spans="41:199" x14ac:dyDescent="0.55000000000000004">
      <c r="AO179">
        <f ca="1"/>
      </c>
      <c r="AP179">
        <f ca="1"/>
      </c>
      <c r="AQ179">
        <f ca="1"/>
      </c>
      <c r="AR179">
        <f ca="1"/>
      </c>
      <c r="AS179">
        <f ca="1"/>
      </c>
      <c r="AT179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AZ179">
        <f ca="1"/>
      </c>
      <c r="BA179">
        <f ca="1"/>
      </c>
      <c r="BB179">
        <f ca="1"/>
      </c>
      <c r="BC179">
        <f ca="1"/>
      </c>
      <c r="BD179">
        <f ca="1"/>
      </c>
      <c r="BE179">
        <f ca="1"/>
      </c>
      <c r="BF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M179" s="7">
        <f ca="1"/>
      </c>
      <c r="GN179">
        <f ca="1"/>
      </c>
      <c r="GO179">
        <f ca="1"/>
      </c>
      <c r="GP179">
        <f ca="1"/>
      </c>
      <c r="GQ179">
        <f ca="1"/>
      </c>
    </row>
    <row r="180" spans="41:199" x14ac:dyDescent="0.55000000000000004">
      <c r="AO180">
        <f ca="1"/>
      </c>
      <c r="AP180">
        <f ca="1"/>
      </c>
      <c r="AQ180">
        <f ca="1"/>
      </c>
      <c r="AR180">
        <f ca="1"/>
      </c>
      <c r="AS180">
        <f ca="1"/>
      </c>
      <c r="AT180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AZ180">
        <f ca="1"/>
      </c>
      <c r="BA180">
        <f ca="1"/>
      </c>
      <c r="BB180">
        <f ca="1"/>
      </c>
      <c r="BC180">
        <f ca="1"/>
      </c>
      <c r="BD180">
        <f ca="1"/>
      </c>
      <c r="BE180">
        <f ca="1"/>
      </c>
      <c r="BF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M180" s="7">
        <f ca="1"/>
      </c>
      <c r="GN180">
        <f ca="1"/>
      </c>
      <c r="GO180">
        <f ca="1"/>
      </c>
      <c r="GP180">
        <f ca="1"/>
      </c>
      <c r="GQ180">
        <f ca="1"/>
      </c>
    </row>
    <row r="181" spans="41:199" x14ac:dyDescent="0.55000000000000004">
      <c r="AO181">
        <f ca="1"/>
      </c>
      <c r="AP181">
        <f ca="1"/>
      </c>
      <c r="AQ181">
        <f ca="1"/>
      </c>
      <c r="AR181">
        <f ca="1"/>
      </c>
      <c r="AS181">
        <f ca="1"/>
      </c>
      <c r="AT181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AZ181">
        <f ca="1"/>
      </c>
      <c r="BA181">
        <f ca="1"/>
      </c>
      <c r="BB181">
        <f ca="1"/>
      </c>
      <c r="BC181">
        <f ca="1"/>
      </c>
      <c r="BD181">
        <f ca="1"/>
      </c>
      <c r="BE181">
        <f ca="1"/>
      </c>
      <c r="BF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M181" s="7">
        <f ca="1"/>
      </c>
      <c r="GN181">
        <f ca="1"/>
      </c>
      <c r="GO181">
        <f ca="1"/>
      </c>
      <c r="GP181">
        <f ca="1"/>
      </c>
      <c r="GQ181">
        <f ca="1"/>
      </c>
    </row>
    <row r="182" spans="41:199" x14ac:dyDescent="0.55000000000000004">
      <c r="AO182">
        <f ca="1"/>
      </c>
      <c r="AP182">
        <f ca="1"/>
      </c>
      <c r="AQ182">
        <f ca="1"/>
      </c>
      <c r="AR182">
        <f ca="1"/>
      </c>
      <c r="AS182">
        <f ca="1"/>
      </c>
      <c r="AT182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AZ182">
        <f ca="1"/>
      </c>
      <c r="BA182">
        <f ca="1"/>
      </c>
      <c r="BB182">
        <f ca="1"/>
      </c>
      <c r="BC182">
        <f ca="1"/>
      </c>
      <c r="BD182">
        <f ca="1"/>
      </c>
      <c r="BE182">
        <f ca="1"/>
      </c>
      <c r="BF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M182" s="7">
        <f ca="1"/>
      </c>
      <c r="GN182">
        <f ca="1"/>
      </c>
      <c r="GO182">
        <f ca="1"/>
      </c>
      <c r="GP182">
        <f ca="1"/>
      </c>
      <c r="GQ182">
        <f ca="1"/>
      </c>
    </row>
    <row r="183" spans="41:199" x14ac:dyDescent="0.55000000000000004">
      <c r="AO183">
        <f ca="1"/>
      </c>
      <c r="AP183">
        <f ca="1"/>
      </c>
      <c r="AQ183">
        <f ca="1"/>
      </c>
      <c r="AR183">
        <f ca="1"/>
      </c>
      <c r="AS183">
        <f ca="1"/>
      </c>
      <c r="AT183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AZ183">
        <f ca="1"/>
      </c>
      <c r="BA183">
        <f ca="1"/>
      </c>
      <c r="BB183">
        <f ca="1"/>
      </c>
      <c r="BC183">
        <f ca="1"/>
      </c>
      <c r="BD183">
        <f ca="1"/>
      </c>
      <c r="BE183">
        <f ca="1"/>
      </c>
      <c r="BF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M183" s="7">
        <f ca="1"/>
      </c>
      <c r="GN183">
        <f ca="1"/>
      </c>
      <c r="GO183">
        <f ca="1"/>
      </c>
      <c r="GP183">
        <f ca="1"/>
      </c>
      <c r="GQ183">
        <f ca="1"/>
      </c>
    </row>
    <row r="184" spans="41:199" x14ac:dyDescent="0.55000000000000004">
      <c r="AO184">
        <f ca="1"/>
      </c>
      <c r="AP184">
        <f ca="1"/>
      </c>
      <c r="AQ184">
        <f ca="1"/>
      </c>
      <c r="AR184">
        <f ca="1"/>
      </c>
      <c r="AS184">
        <f ca="1"/>
      </c>
      <c r="AT184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AZ184">
        <f ca="1"/>
      </c>
      <c r="BA184">
        <f ca="1"/>
      </c>
      <c r="BB184">
        <f ca="1"/>
      </c>
      <c r="BC184">
        <f ca="1"/>
      </c>
      <c r="BD184">
        <f ca="1"/>
      </c>
      <c r="BE184">
        <f ca="1"/>
      </c>
      <c r="BF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M184" s="7">
        <f ca="1"/>
      </c>
      <c r="GN184">
        <f ca="1"/>
      </c>
      <c r="GO184">
        <f ca="1"/>
      </c>
      <c r="GP184">
        <f ca="1"/>
      </c>
      <c r="GQ184">
        <f ca="1"/>
      </c>
    </row>
    <row r="185" spans="41:199" x14ac:dyDescent="0.55000000000000004">
      <c r="AO185">
        <f ca="1"/>
      </c>
      <c r="AP185">
        <f ca="1"/>
      </c>
      <c r="AQ185">
        <f ca="1"/>
      </c>
      <c r="AR185">
        <f ca="1"/>
      </c>
      <c r="AS185">
        <f ca="1"/>
      </c>
      <c r="AT185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AZ185">
        <f ca="1"/>
      </c>
      <c r="BA185">
        <f ca="1"/>
      </c>
      <c r="BB185">
        <f ca="1"/>
      </c>
      <c r="BC185">
        <f ca="1"/>
      </c>
      <c r="BD185">
        <f ca="1"/>
      </c>
      <c r="BE185">
        <f ca="1"/>
      </c>
      <c r="BF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M185" s="7">
        <f ca="1"/>
      </c>
      <c r="GN185">
        <f ca="1"/>
      </c>
      <c r="GO185">
        <f ca="1"/>
      </c>
      <c r="GP185">
        <f ca="1"/>
      </c>
      <c r="GQ185">
        <f ca="1"/>
      </c>
    </row>
    <row r="186" spans="41:199" x14ac:dyDescent="0.55000000000000004">
      <c r="AO186">
        <f ca="1"/>
      </c>
      <c r="AP186">
        <f ca="1"/>
      </c>
      <c r="AQ186">
        <f ca="1"/>
      </c>
      <c r="AR186">
        <f ca="1"/>
      </c>
      <c r="AS186">
        <f ca="1"/>
      </c>
      <c r="AT186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AZ186">
        <f ca="1"/>
      </c>
      <c r="BA186">
        <f ca="1"/>
      </c>
      <c r="BB186">
        <f ca="1"/>
      </c>
      <c r="BC186">
        <f ca="1"/>
      </c>
      <c r="BD186">
        <f ca="1"/>
      </c>
      <c r="BE186">
        <f ca="1"/>
      </c>
      <c r="BF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M186" s="7">
        <f ca="1"/>
      </c>
      <c r="GN186">
        <f ca="1"/>
      </c>
      <c r="GO186">
        <f ca="1"/>
      </c>
      <c r="GP186">
        <f ca="1"/>
      </c>
      <c r="GQ186">
        <f ca="1"/>
      </c>
    </row>
    <row r="187" spans="41:199" x14ac:dyDescent="0.55000000000000004">
      <c r="AO187">
        <f ca="1"/>
      </c>
      <c r="AP187">
        <f ca="1"/>
      </c>
      <c r="AQ187">
        <f ca="1"/>
      </c>
      <c r="AR187">
        <f ca="1"/>
      </c>
      <c r="AS187">
        <f ca="1"/>
      </c>
      <c r="AT18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AZ187">
        <f ca="1"/>
      </c>
      <c r="BA187">
        <f ca="1"/>
      </c>
      <c r="BB187">
        <f ca="1"/>
      </c>
      <c r="BC187">
        <f ca="1"/>
      </c>
      <c r="BD187">
        <f ca="1"/>
      </c>
      <c r="BE187">
        <f ca="1"/>
      </c>
      <c r="BF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M187" s="7">
        <f ca="1"/>
      </c>
      <c r="GN187">
        <f ca="1"/>
      </c>
      <c r="GO187">
        <f ca="1"/>
      </c>
      <c r="GP187">
        <f ca="1"/>
      </c>
      <c r="GQ187">
        <f ca="1"/>
      </c>
    </row>
    <row r="188" spans="41:199" x14ac:dyDescent="0.55000000000000004">
      <c r="AO188">
        <f ca="1"/>
      </c>
      <c r="AP188">
        <f ca="1"/>
      </c>
      <c r="AQ188">
        <f ca="1"/>
      </c>
      <c r="AR188">
        <f ca="1"/>
      </c>
      <c r="AS188">
        <f ca="1"/>
      </c>
      <c r="AT188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AZ188">
        <f ca="1"/>
      </c>
      <c r="BA188">
        <f ca="1"/>
      </c>
      <c r="BB188">
        <f ca="1"/>
      </c>
      <c r="BC188">
        <f ca="1"/>
      </c>
      <c r="BD188">
        <f ca="1"/>
      </c>
      <c r="BE188">
        <f ca="1"/>
      </c>
      <c r="BF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M188" s="7">
        <f ca="1"/>
      </c>
      <c r="GN188">
        <f ca="1"/>
      </c>
      <c r="GO188">
        <f ca="1"/>
      </c>
      <c r="GP188">
        <f ca="1"/>
      </c>
      <c r="GQ188">
        <f ca="1"/>
      </c>
    </row>
    <row r="189" spans="41:199" x14ac:dyDescent="0.55000000000000004">
      <c r="AO189">
        <f ca="1"/>
      </c>
      <c r="AP189">
        <f ca="1"/>
      </c>
      <c r="AQ189">
        <f ca="1"/>
      </c>
      <c r="AR189">
        <f ca="1"/>
      </c>
      <c r="AS189">
        <f ca="1"/>
      </c>
      <c r="AT189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AZ189">
        <f ca="1"/>
      </c>
      <c r="BA189">
        <f ca="1"/>
      </c>
      <c r="BB189">
        <f ca="1"/>
      </c>
      <c r="BC189">
        <f ca="1"/>
      </c>
      <c r="BD189">
        <f ca="1"/>
      </c>
      <c r="BE189">
        <f ca="1"/>
      </c>
      <c r="BF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M189" s="7">
        <f ca="1"/>
      </c>
      <c r="GN189">
        <f ca="1"/>
      </c>
      <c r="GO189">
        <f ca="1"/>
      </c>
      <c r="GP189">
        <f ca="1"/>
      </c>
      <c r="GQ189">
        <f ca="1"/>
      </c>
    </row>
    <row r="190" spans="41:199" x14ac:dyDescent="0.55000000000000004">
      <c r="AO190">
        <f ca="1"/>
      </c>
      <c r="AP190">
        <f ca="1"/>
      </c>
      <c r="AQ190">
        <f ca="1"/>
      </c>
      <c r="AR190">
        <f ca="1"/>
      </c>
      <c r="AS190">
        <f ca="1"/>
      </c>
      <c r="AT190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AZ190">
        <f ca="1"/>
      </c>
      <c r="BA190">
        <f ca="1"/>
      </c>
      <c r="BB190">
        <f ca="1"/>
      </c>
      <c r="BC190">
        <f ca="1"/>
      </c>
      <c r="BD190">
        <f ca="1"/>
      </c>
      <c r="BE190">
        <f ca="1"/>
      </c>
      <c r="BF190">
        <f ca="1"/>
      </c>
      <c r="BG190">
        <f ca="1"/>
      </c>
      <c r="BH190">
        <f ca="1"/>
      </c>
      <c r="BI190">
        <f ca="1"/>
      </c>
      <c r="BJ190">
        <f ca="1"/>
      </c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M190" s="7">
        <f ca="1"/>
      </c>
      <c r="GN190">
        <f ca="1"/>
      </c>
      <c r="GO190">
        <f ca="1"/>
      </c>
      <c r="GP190">
        <f ca="1"/>
      </c>
      <c r="GQ190">
        <f ca="1"/>
      </c>
    </row>
    <row r="191" spans="41:199" x14ac:dyDescent="0.55000000000000004">
      <c r="AO191">
        <f ca="1"/>
      </c>
      <c r="AP191">
        <f ca="1"/>
      </c>
      <c r="AQ191">
        <f ca="1"/>
      </c>
      <c r="AR191">
        <f ca="1"/>
      </c>
      <c r="AS191">
        <f ca="1"/>
      </c>
      <c r="AT191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AZ191">
        <f ca="1"/>
      </c>
      <c r="BA191">
        <f ca="1"/>
      </c>
      <c r="BB191">
        <f ca="1"/>
      </c>
      <c r="BC191">
        <f ca="1"/>
      </c>
      <c r="BD191">
        <f ca="1"/>
      </c>
      <c r="BE191">
        <f ca="1"/>
      </c>
      <c r="BF191">
        <f ca="1"/>
      </c>
      <c r="BG191">
        <f ca="1"/>
      </c>
      <c r="BH191">
        <f ca="1"/>
      </c>
      <c r="BI191">
        <f ca="1"/>
      </c>
      <c r="BJ191">
        <f ca="1"/>
      </c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M191" s="7">
        <f ca="1"/>
      </c>
      <c r="GN191">
        <f ca="1"/>
      </c>
      <c r="GO191">
        <f ca="1"/>
      </c>
      <c r="GP191">
        <f ca="1"/>
      </c>
      <c r="GQ191">
        <f ca="1"/>
      </c>
    </row>
    <row r="192" spans="41:199" x14ac:dyDescent="0.55000000000000004">
      <c r="AO192">
        <f ca="1"/>
      </c>
      <c r="AP192">
        <f ca="1"/>
      </c>
      <c r="AQ192">
        <f ca="1"/>
      </c>
      <c r="AR192">
        <f ca="1"/>
      </c>
      <c r="AS192">
        <f ca="1"/>
      </c>
      <c r="AT192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AZ192">
        <f ca="1"/>
      </c>
      <c r="BA192">
        <f ca="1"/>
      </c>
      <c r="BB192">
        <f ca="1"/>
      </c>
      <c r="BC192">
        <f ca="1"/>
      </c>
      <c r="BD192">
        <f ca="1"/>
      </c>
      <c r="BE192">
        <f ca="1"/>
      </c>
      <c r="BF192">
        <f ca="1"/>
      </c>
      <c r="BG192">
        <f ca="1"/>
      </c>
      <c r="BH192">
        <f ca="1"/>
      </c>
      <c r="BI192">
        <f ca="1"/>
      </c>
      <c r="BJ192">
        <f ca="1"/>
      </c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M192" s="7">
        <f ca="1"/>
      </c>
      <c r="GN192">
        <f ca="1"/>
      </c>
      <c r="GO192">
        <f ca="1"/>
      </c>
      <c r="GP192">
        <f ca="1"/>
      </c>
      <c r="GQ192">
        <f ca="1"/>
      </c>
    </row>
    <row r="193" spans="41:199" x14ac:dyDescent="0.55000000000000004">
      <c r="AO193">
        <f ca="1"/>
      </c>
      <c r="AP193">
        <f ca="1"/>
      </c>
      <c r="AQ193">
        <f ca="1"/>
      </c>
      <c r="AR193">
        <f ca="1"/>
      </c>
      <c r="AS193">
        <f ca="1"/>
      </c>
      <c r="AT193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AZ193">
        <f ca="1"/>
      </c>
      <c r="BA193">
        <f ca="1"/>
      </c>
      <c r="BB193">
        <f ca="1"/>
      </c>
      <c r="BC193">
        <f ca="1"/>
      </c>
      <c r="BD193">
        <f ca="1"/>
      </c>
      <c r="BE193">
        <f ca="1"/>
      </c>
      <c r="BF193">
        <f ca="1"/>
      </c>
      <c r="BG193">
        <f ca="1"/>
      </c>
      <c r="BH193">
        <f ca="1"/>
      </c>
      <c r="BI193">
        <f ca="1"/>
      </c>
      <c r="BJ193">
        <f ca="1"/>
      </c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M193" s="7">
        <f ca="1"/>
      </c>
      <c r="GN193">
        <f ca="1"/>
      </c>
      <c r="GO193">
        <f ca="1"/>
      </c>
      <c r="GP193">
        <f ca="1"/>
      </c>
      <c r="GQ193">
        <f ca="1"/>
      </c>
    </row>
    <row r="194" spans="41:199" x14ac:dyDescent="0.55000000000000004">
      <c r="AO194">
        <f ca="1"/>
      </c>
      <c r="AP194">
        <f ca="1"/>
      </c>
      <c r="AQ194">
        <f ca="1"/>
      </c>
      <c r="AR194">
        <f ca="1"/>
      </c>
      <c r="AS194">
        <f ca="1"/>
      </c>
      <c r="AT194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AZ194">
        <f ca="1"/>
      </c>
      <c r="BA194">
        <f ca="1"/>
      </c>
      <c r="BB194">
        <f ca="1"/>
      </c>
      <c r="BC194">
        <f ca="1"/>
      </c>
      <c r="BD194">
        <f ca="1"/>
      </c>
      <c r="BE194">
        <f ca="1"/>
      </c>
      <c r="BF194">
        <f ca="1"/>
      </c>
      <c r="BG194">
        <f ca="1"/>
      </c>
      <c r="BH194">
        <f ca="1"/>
      </c>
      <c r="BI194">
        <f ca="1"/>
      </c>
      <c r="BJ194">
        <f ca="1"/>
      </c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M194" s="7">
        <f ca="1"/>
      </c>
      <c r="GN194">
        <f ca="1"/>
      </c>
      <c r="GO194">
        <f ca="1"/>
      </c>
      <c r="GP194">
        <f ca="1"/>
      </c>
      <c r="GQ194">
        <f ca="1"/>
      </c>
    </row>
    <row r="195" spans="41:199" x14ac:dyDescent="0.55000000000000004">
      <c r="AO195">
        <f ca="1"/>
      </c>
      <c r="AP195">
        <f ca="1"/>
      </c>
      <c r="AQ195">
        <f ca="1"/>
      </c>
      <c r="AR195">
        <f ca="1"/>
      </c>
      <c r="AS195">
        <f ca="1"/>
      </c>
      <c r="AT195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AZ195">
        <f ca="1"/>
      </c>
      <c r="BA195">
        <f ca="1"/>
      </c>
      <c r="BB195">
        <f ca="1"/>
      </c>
      <c r="BC195">
        <f ca="1"/>
      </c>
      <c r="BD195">
        <f ca="1"/>
      </c>
      <c r="BE195">
        <f ca="1"/>
      </c>
      <c r="BF195">
        <f ca="1"/>
      </c>
      <c r="BG195">
        <f ca="1"/>
      </c>
      <c r="BH195">
        <f ca="1"/>
      </c>
      <c r="BI195">
        <f ca="1"/>
      </c>
      <c r="BJ195">
        <f ca="1"/>
      </c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M195" s="7">
        <f ca="1"/>
      </c>
      <c r="GN195">
        <f ca="1"/>
      </c>
      <c r="GO195">
        <f ca="1"/>
      </c>
      <c r="GP195">
        <f ca="1"/>
      </c>
      <c r="GQ195">
        <f ca="1"/>
      </c>
    </row>
    <row r="196" spans="41:199" x14ac:dyDescent="0.55000000000000004">
      <c r="AO196">
        <f ca="1"/>
      </c>
      <c r="AP196">
        <f ca="1"/>
      </c>
      <c r="AQ196">
        <f ca="1"/>
      </c>
      <c r="AR196">
        <f ca="1"/>
      </c>
      <c r="AS196">
        <f ca="1"/>
      </c>
      <c r="AT196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AZ196">
        <f ca="1"/>
      </c>
      <c r="BA196">
        <f ca="1"/>
      </c>
      <c r="BB196">
        <f ca="1"/>
      </c>
      <c r="BC196">
        <f ca="1"/>
      </c>
      <c r="BD196">
        <f ca="1"/>
      </c>
      <c r="BE196">
        <f ca="1"/>
      </c>
      <c r="BF196">
        <f ca="1"/>
      </c>
      <c r="BG196">
        <f ca="1"/>
      </c>
      <c r="BH196">
        <f ca="1"/>
      </c>
      <c r="BI196">
        <f ca="1"/>
      </c>
      <c r="BJ196">
        <f ca="1"/>
      </c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M196" s="7">
        <f ca="1"/>
      </c>
      <c r="GN196">
        <f ca="1"/>
      </c>
      <c r="GO196">
        <f ca="1"/>
      </c>
      <c r="GP196">
        <f ca="1"/>
      </c>
      <c r="GQ196">
        <f ca="1"/>
      </c>
    </row>
    <row r="197" spans="41:199" x14ac:dyDescent="0.55000000000000004">
      <c r="AO197">
        <f ca="1"/>
      </c>
      <c r="AP197">
        <f ca="1"/>
      </c>
      <c r="AQ197">
        <f ca="1"/>
      </c>
      <c r="AR197">
        <f ca="1"/>
      </c>
      <c r="AS197">
        <f ca="1"/>
      </c>
      <c r="AT19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AZ197">
        <f ca="1"/>
      </c>
      <c r="BA197">
        <f ca="1"/>
      </c>
      <c r="BB197">
        <f ca="1"/>
      </c>
      <c r="BC197">
        <f ca="1"/>
      </c>
      <c r="BD197">
        <f ca="1"/>
      </c>
      <c r="BE197">
        <f ca="1"/>
      </c>
      <c r="BF197">
        <f ca="1"/>
      </c>
      <c r="BG197">
        <f ca="1"/>
      </c>
      <c r="BH197">
        <f ca="1"/>
      </c>
      <c r="BI197">
        <f ca="1"/>
      </c>
      <c r="BJ197">
        <f ca="1"/>
      </c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F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B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M197" s="7">
        <f ca="1"/>
      </c>
      <c r="GN197">
        <f ca="1"/>
      </c>
      <c r="GO197">
        <f ca="1"/>
      </c>
      <c r="GP197">
        <f ca="1"/>
      </c>
      <c r="GQ197">
        <f ca="1"/>
      </c>
    </row>
    <row r="198" spans="41:199" x14ac:dyDescent="0.55000000000000004">
      <c r="AO198">
        <f ca="1"/>
      </c>
      <c r="AP198">
        <f ca="1"/>
      </c>
      <c r="AQ198">
        <f ca="1"/>
      </c>
      <c r="AR198">
        <f ca="1"/>
      </c>
      <c r="AS198">
        <f ca="1"/>
      </c>
      <c r="AT198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AZ198">
        <f ca="1"/>
      </c>
      <c r="BA198">
        <f ca="1"/>
      </c>
      <c r="BB198">
        <f ca="1"/>
      </c>
      <c r="BC198">
        <f ca="1"/>
      </c>
      <c r="BD198">
        <f ca="1"/>
      </c>
      <c r="BE198">
        <f ca="1"/>
      </c>
      <c r="BF198">
        <f ca="1"/>
      </c>
      <c r="BG198">
        <f ca="1"/>
      </c>
      <c r="BH198">
        <f ca="1"/>
      </c>
      <c r="BI198">
        <f ca="1"/>
      </c>
      <c r="BJ198">
        <f ca="1"/>
      </c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F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B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M198" s="7">
        <f ca="1"/>
      </c>
      <c r="GN198">
        <f ca="1"/>
      </c>
      <c r="GO198">
        <f ca="1"/>
      </c>
      <c r="GP198">
        <f ca="1"/>
      </c>
      <c r="GQ198">
        <f ca="1"/>
      </c>
    </row>
    <row r="199" spans="41:199" x14ac:dyDescent="0.55000000000000004">
      <c r="AO199">
        <f ca="1"/>
      </c>
      <c r="AP199">
        <f ca="1"/>
      </c>
      <c r="AQ199">
        <f ca="1"/>
      </c>
      <c r="AR199">
        <f ca="1"/>
      </c>
      <c r="AS199">
        <f ca="1"/>
      </c>
      <c r="AT199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AZ199">
        <f ca="1"/>
      </c>
      <c r="BA199">
        <f ca="1"/>
      </c>
      <c r="BB199">
        <f ca="1"/>
      </c>
      <c r="BC199">
        <f ca="1"/>
      </c>
      <c r="BD199">
        <f ca="1"/>
      </c>
      <c r="BE199">
        <f ca="1"/>
      </c>
      <c r="BF199">
        <f ca="1"/>
      </c>
      <c r="BG199">
        <f ca="1"/>
      </c>
      <c r="BH199">
        <f ca="1"/>
      </c>
      <c r="BI199">
        <f ca="1"/>
      </c>
      <c r="BJ199">
        <f ca="1"/>
      </c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F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B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M199" s="7">
        <f ca="1"/>
      </c>
      <c r="GN199">
        <f ca="1"/>
      </c>
      <c r="GO199">
        <f ca="1"/>
      </c>
      <c r="GP199">
        <f ca="1"/>
      </c>
      <c r="GQ199">
        <f ca="1"/>
      </c>
    </row>
    <row r="200" spans="41:199" x14ac:dyDescent="0.55000000000000004">
      <c r="AO200">
        <f ca="1"/>
      </c>
      <c r="AP200">
        <f ca="1"/>
      </c>
      <c r="AQ200">
        <f ca="1"/>
      </c>
      <c r="AR200">
        <f ca="1"/>
      </c>
      <c r="AS200">
        <f ca="1"/>
      </c>
      <c r="AT200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AZ200">
        <f ca="1"/>
      </c>
      <c r="BA200">
        <f ca="1"/>
      </c>
      <c r="BB200">
        <f ca="1"/>
      </c>
      <c r="BC200">
        <f ca="1"/>
      </c>
      <c r="BD200">
        <f ca="1"/>
      </c>
      <c r="BE200">
        <f ca="1"/>
      </c>
      <c r="BF200">
        <f ca="1"/>
      </c>
      <c r="BG200">
        <f ca="1"/>
      </c>
      <c r="BH200">
        <f ca="1"/>
      </c>
      <c r="BI200">
        <f ca="1"/>
      </c>
      <c r="BJ200">
        <f ca="1"/>
      </c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F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B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M200" s="7">
        <f ca="1"/>
      </c>
      <c r="GN200">
        <f ca="1"/>
      </c>
      <c r="GO200">
        <f ca="1"/>
      </c>
      <c r="GP200">
        <f ca="1"/>
      </c>
      <c r="GQ200">
        <f ca="1"/>
      </c>
    </row>
    <row r="201" spans="41:199" x14ac:dyDescent="0.55000000000000004">
      <c r="AO201">
        <f ca="1"/>
      </c>
      <c r="AP201">
        <f ca="1"/>
      </c>
      <c r="AQ201">
        <f ca="1"/>
      </c>
      <c r="AR201">
        <f ca="1"/>
      </c>
      <c r="AS201">
        <f ca="1"/>
      </c>
      <c r="AT201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AZ201">
        <f ca="1"/>
      </c>
      <c r="BA201">
        <f ca="1"/>
      </c>
      <c r="BB201">
        <f ca="1"/>
      </c>
      <c r="BC201">
        <f ca="1"/>
      </c>
      <c r="BD201">
        <f ca="1"/>
      </c>
      <c r="BE201">
        <f ca="1"/>
      </c>
      <c r="BF201">
        <f ca="1"/>
      </c>
      <c r="BG201">
        <f ca="1"/>
      </c>
      <c r="BH201">
        <f ca="1"/>
      </c>
      <c r="BI201">
        <f ca="1"/>
      </c>
      <c r="BJ201">
        <f ca="1"/>
      </c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F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B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M201" s="7">
        <f ca="1"/>
      </c>
      <c r="GN201">
        <f ca="1"/>
      </c>
      <c r="GO201">
        <f ca="1"/>
      </c>
      <c r="GP201">
        <f ca="1"/>
      </c>
      <c r="GQ201">
        <f ca="1"/>
      </c>
    </row>
    <row r="202" spans="41:199" x14ac:dyDescent="0.55000000000000004">
      <c r="AO202">
        <f ca="1"/>
      </c>
      <c r="AP202">
        <f ca="1"/>
      </c>
      <c r="AQ202">
        <f ca="1"/>
      </c>
      <c r="AR202">
        <f ca="1"/>
      </c>
      <c r="AS202">
        <f ca="1"/>
      </c>
      <c r="AT202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AZ202">
        <f ca="1"/>
      </c>
      <c r="BA202">
        <f ca="1"/>
      </c>
      <c r="BB202">
        <f ca="1"/>
      </c>
      <c r="BC202">
        <f ca="1"/>
      </c>
      <c r="BD202">
        <f ca="1"/>
      </c>
      <c r="BE202">
        <f ca="1"/>
      </c>
      <c r="BF202">
        <f ca="1"/>
      </c>
      <c r="BG202">
        <f ca="1"/>
      </c>
      <c r="BH202">
        <f ca="1"/>
      </c>
      <c r="BI202">
        <f ca="1"/>
      </c>
      <c r="BJ202">
        <f ca="1"/>
      </c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F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B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M202" s="7">
        <f ca="1"/>
      </c>
      <c r="GN202">
        <f ca="1"/>
      </c>
      <c r="GO202">
        <f ca="1"/>
      </c>
      <c r="GP202">
        <f ca="1"/>
      </c>
      <c r="GQ202">
        <f ca="1"/>
      </c>
    </row>
    <row r="203" spans="41:199" x14ac:dyDescent="0.55000000000000004">
      <c r="AO203">
        <f ca="1"/>
      </c>
      <c r="AP203">
        <f ca="1"/>
      </c>
      <c r="AQ203">
        <f ca="1"/>
      </c>
      <c r="AR203">
        <f ca="1"/>
      </c>
      <c r="AS203">
        <f ca="1"/>
      </c>
      <c r="AT203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AZ203">
        <f ca="1"/>
      </c>
      <c r="BA203">
        <f ca="1"/>
      </c>
      <c r="BB203">
        <f ca="1"/>
      </c>
      <c r="BC203">
        <f ca="1"/>
      </c>
      <c r="BD203">
        <f ca="1"/>
      </c>
      <c r="BE203">
        <f ca="1"/>
      </c>
      <c r="BF203">
        <f ca="1"/>
      </c>
      <c r="BG203">
        <f ca="1"/>
      </c>
      <c r="BH203">
        <f ca="1"/>
      </c>
      <c r="BI203">
        <f ca="1"/>
      </c>
      <c r="BJ203">
        <f ca="1"/>
      </c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F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B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M203" s="7">
        <f ca="1"/>
      </c>
      <c r="GN203">
        <f ca="1"/>
      </c>
      <c r="GO203">
        <f ca="1"/>
      </c>
      <c r="GP203">
        <f ca="1"/>
      </c>
      <c r="GQ203">
        <f ca="1"/>
      </c>
    </row>
    <row r="204" spans="41:199" x14ac:dyDescent="0.55000000000000004">
      <c r="AO204">
        <f ca="1"/>
      </c>
      <c r="AP204">
        <f ca="1"/>
      </c>
      <c r="AQ204">
        <f ca="1"/>
      </c>
      <c r="AR204">
        <f ca="1"/>
      </c>
      <c r="AS204">
        <f ca="1"/>
      </c>
      <c r="AT204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AZ204">
        <f ca="1"/>
      </c>
      <c r="BA204">
        <f ca="1"/>
      </c>
      <c r="BB204">
        <f ca="1"/>
      </c>
      <c r="BC204">
        <f ca="1"/>
      </c>
      <c r="BD204">
        <f ca="1"/>
      </c>
      <c r="BE204">
        <f ca="1"/>
      </c>
      <c r="BF204">
        <f ca="1"/>
      </c>
      <c r="BG204">
        <f ca="1"/>
      </c>
      <c r="BH204">
        <f ca="1"/>
      </c>
      <c r="BI204">
        <f ca="1"/>
      </c>
      <c r="BJ204">
        <f ca="1"/>
      </c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F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M204" s="7">
        <f ca="1"/>
      </c>
      <c r="GN204">
        <f ca="1"/>
      </c>
      <c r="GO204">
        <f ca="1"/>
      </c>
      <c r="GP204">
        <f ca="1"/>
      </c>
      <c r="GQ204">
        <f ca="1"/>
      </c>
    </row>
    <row r="205" spans="41:199" x14ac:dyDescent="0.55000000000000004">
      <c r="AO205">
        <f ca="1"/>
      </c>
      <c r="AP205">
        <f ca="1"/>
      </c>
      <c r="AQ205">
        <f ca="1"/>
      </c>
      <c r="AR205">
        <f ca="1"/>
      </c>
      <c r="AS205">
        <f ca="1"/>
      </c>
      <c r="AT205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AZ205">
        <f ca="1"/>
      </c>
      <c r="BA205">
        <f ca="1"/>
      </c>
      <c r="BB205">
        <f ca="1"/>
      </c>
      <c r="BC205">
        <f ca="1"/>
      </c>
      <c r="BD205">
        <f ca="1"/>
      </c>
      <c r="BE205">
        <f ca="1"/>
      </c>
      <c r="BF205">
        <f ca="1"/>
      </c>
      <c r="BG205">
        <f ca="1"/>
      </c>
      <c r="BH205">
        <f ca="1"/>
      </c>
      <c r="BI205">
        <f ca="1"/>
      </c>
      <c r="BJ205">
        <f ca="1"/>
      </c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F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M205" s="7">
        <f ca="1"/>
      </c>
      <c r="GN205">
        <f ca="1"/>
      </c>
      <c r="GO205">
        <f ca="1"/>
      </c>
      <c r="GP205">
        <f ca="1"/>
      </c>
      <c r="GQ205">
        <f ca="1"/>
      </c>
    </row>
    <row r="206" spans="41:199" x14ac:dyDescent="0.55000000000000004">
      <c r="AO206">
        <f ca="1"/>
      </c>
      <c r="AP206">
        <f ca="1"/>
      </c>
      <c r="AQ206">
        <f ca="1"/>
      </c>
      <c r="AR206">
        <f ca="1"/>
      </c>
      <c r="AS206">
        <f ca="1"/>
      </c>
      <c r="AT206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AZ206">
        <f ca="1"/>
      </c>
      <c r="BA206">
        <f ca="1"/>
      </c>
      <c r="BB206">
        <f ca="1"/>
      </c>
      <c r="BC206">
        <f ca="1"/>
      </c>
      <c r="BD206">
        <f ca="1"/>
      </c>
      <c r="BE206">
        <f ca="1"/>
      </c>
      <c r="BF206">
        <f ca="1"/>
      </c>
      <c r="BG206">
        <f ca="1"/>
      </c>
      <c r="BH206">
        <f ca="1"/>
      </c>
      <c r="BI206">
        <f ca="1"/>
      </c>
      <c r="BJ206">
        <f ca="1"/>
      </c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F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M206" s="7">
        <f ca="1"/>
      </c>
      <c r="GN206">
        <f ca="1"/>
      </c>
      <c r="GO206">
        <f ca="1"/>
      </c>
      <c r="GP206">
        <f ca="1"/>
      </c>
      <c r="GQ206">
        <f ca="1"/>
      </c>
    </row>
    <row r="207" spans="41:199" x14ac:dyDescent="0.55000000000000004">
      <c r="AO207">
        <f ca="1"/>
      </c>
      <c r="AP207">
        <f ca="1"/>
      </c>
      <c r="AQ207">
        <f ca="1"/>
      </c>
      <c r="AR207">
        <f ca="1"/>
      </c>
      <c r="AS207">
        <f ca="1"/>
      </c>
      <c r="AT20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AZ207">
        <f ca="1"/>
      </c>
      <c r="BA207">
        <f ca="1"/>
      </c>
      <c r="BB207">
        <f ca="1"/>
      </c>
      <c r="BC207">
        <f ca="1"/>
      </c>
      <c r="BD207">
        <f ca="1"/>
      </c>
      <c r="BE207">
        <f ca="1"/>
      </c>
      <c r="BF207">
        <f ca="1"/>
      </c>
      <c r="BG207">
        <f ca="1"/>
      </c>
      <c r="BH207">
        <f ca="1"/>
      </c>
      <c r="BI207">
        <f ca="1"/>
      </c>
      <c r="BJ207">
        <f ca="1"/>
      </c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F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M207" s="7">
        <f ca="1"/>
      </c>
      <c r="GN207">
        <f ca="1"/>
      </c>
      <c r="GO207">
        <f ca="1"/>
      </c>
      <c r="GP207">
        <f ca="1"/>
      </c>
      <c r="GQ207">
        <f ca="1"/>
      </c>
    </row>
    <row r="208" spans="41:199" x14ac:dyDescent="0.55000000000000004">
      <c r="AO208">
        <f ca="1"/>
      </c>
      <c r="AP208">
        <f ca="1"/>
      </c>
      <c r="AQ208">
        <f ca="1"/>
      </c>
      <c r="AR208">
        <f ca="1"/>
      </c>
      <c r="AS208">
        <f ca="1"/>
      </c>
      <c r="AT208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AZ208">
        <f ca="1"/>
      </c>
      <c r="BA208">
        <f ca="1"/>
      </c>
      <c r="BB208">
        <f ca="1"/>
      </c>
      <c r="BC208">
        <f ca="1"/>
      </c>
      <c r="BD208">
        <f ca="1"/>
      </c>
      <c r="BE208">
        <f ca="1"/>
      </c>
      <c r="BF208">
        <f ca="1"/>
      </c>
      <c r="BG208">
        <f ca="1"/>
      </c>
      <c r="BH208">
        <f ca="1"/>
      </c>
      <c r="BI208">
        <f ca="1"/>
      </c>
      <c r="BJ208">
        <f ca="1"/>
      </c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F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M208" s="7">
        <f ca="1"/>
      </c>
      <c r="GN208">
        <f ca="1"/>
      </c>
      <c r="GO208">
        <f ca="1"/>
      </c>
      <c r="GP208">
        <f ca="1"/>
      </c>
      <c r="GQ208">
        <f ca="1"/>
      </c>
    </row>
    <row r="209" spans="41:199" x14ac:dyDescent="0.55000000000000004">
      <c r="AO209">
        <f ca="1"/>
      </c>
      <c r="AP209">
        <f ca="1"/>
      </c>
      <c r="AQ209">
        <f ca="1"/>
      </c>
      <c r="AR209">
        <f ca="1"/>
      </c>
      <c r="AS209">
        <f ca="1"/>
      </c>
      <c r="AT209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AZ209">
        <f ca="1"/>
      </c>
      <c r="BA209">
        <f ca="1"/>
      </c>
      <c r="BB209">
        <f ca="1"/>
      </c>
      <c r="BC209">
        <f ca="1"/>
      </c>
      <c r="BD209">
        <f ca="1"/>
      </c>
      <c r="BE209">
        <f ca="1"/>
      </c>
      <c r="BF209">
        <f ca="1"/>
      </c>
      <c r="BG209">
        <f ca="1"/>
      </c>
      <c r="BH209">
        <f ca="1"/>
      </c>
      <c r="BI209">
        <f ca="1"/>
      </c>
      <c r="BJ209">
        <f ca="1"/>
      </c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F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M209" s="7">
        <f ca="1"/>
      </c>
      <c r="GN209">
        <f ca="1"/>
      </c>
      <c r="GO209">
        <f ca="1"/>
      </c>
      <c r="GP209">
        <f ca="1"/>
      </c>
      <c r="GQ209">
        <f ca="1"/>
      </c>
    </row>
    <row r="210" spans="41:199" x14ac:dyDescent="0.55000000000000004">
      <c r="AO210">
        <f ca="1"/>
      </c>
      <c r="AP210">
        <f ca="1"/>
      </c>
      <c r="AQ210">
        <f ca="1"/>
      </c>
      <c r="AR210">
        <f ca="1"/>
      </c>
      <c r="AS210">
        <f ca="1"/>
      </c>
      <c r="AT210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AZ210">
        <f ca="1"/>
      </c>
      <c r="BA210">
        <f ca="1"/>
      </c>
      <c r="BB210">
        <f ca="1"/>
      </c>
      <c r="BC210">
        <f ca="1"/>
      </c>
      <c r="BD210">
        <f ca="1"/>
      </c>
      <c r="BE210">
        <f ca="1"/>
      </c>
      <c r="BF210">
        <f ca="1"/>
      </c>
      <c r="BG210">
        <f ca="1"/>
      </c>
      <c r="BH210">
        <f ca="1"/>
      </c>
      <c r="BI210">
        <f ca="1"/>
      </c>
      <c r="BJ210">
        <f ca="1"/>
      </c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F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M210" s="7">
        <f ca="1"/>
      </c>
      <c r="GN210">
        <f ca="1"/>
      </c>
      <c r="GO210">
        <f ca="1"/>
      </c>
      <c r="GP210">
        <f ca="1"/>
      </c>
      <c r="GQ210">
        <f ca="1"/>
      </c>
    </row>
    <row r="211" spans="41:199" x14ac:dyDescent="0.55000000000000004">
      <c r="AO211">
        <f ca="1"/>
      </c>
      <c r="AP211">
        <f ca="1"/>
      </c>
      <c r="AQ211">
        <f ca="1"/>
      </c>
      <c r="AR211">
        <f ca="1"/>
      </c>
      <c r="AS211">
        <f ca="1"/>
      </c>
      <c r="AT211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AZ211">
        <f ca="1"/>
      </c>
      <c r="BA211">
        <f ca="1"/>
      </c>
      <c r="BB211">
        <f ca="1"/>
      </c>
      <c r="BC211">
        <f ca="1"/>
      </c>
      <c r="BD211">
        <f ca="1"/>
      </c>
      <c r="BE211">
        <f ca="1"/>
      </c>
      <c r="BF211">
        <f ca="1"/>
      </c>
      <c r="BG211">
        <f ca="1"/>
      </c>
      <c r="BH211">
        <f ca="1"/>
      </c>
      <c r="BI211">
        <f ca="1"/>
      </c>
      <c r="BJ211">
        <f ca="1"/>
      </c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F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M211" s="7">
        <f ca="1"/>
      </c>
      <c r="GN211">
        <f ca="1"/>
      </c>
      <c r="GO211">
        <f ca="1"/>
      </c>
      <c r="GP211">
        <f ca="1"/>
      </c>
      <c r="GQ211">
        <f ca="1"/>
      </c>
    </row>
    <row r="212" spans="41:199" x14ac:dyDescent="0.55000000000000004">
      <c r="AO212">
        <f ca="1"/>
      </c>
      <c r="AP212">
        <f ca="1"/>
      </c>
      <c r="AQ212">
        <f ca="1"/>
      </c>
      <c r="AR212">
        <f ca="1"/>
      </c>
      <c r="AS212">
        <f ca="1"/>
      </c>
      <c r="AT212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AZ212">
        <f ca="1"/>
      </c>
      <c r="BA212">
        <f ca="1"/>
      </c>
      <c r="BB212">
        <f ca="1"/>
      </c>
      <c r="BC212">
        <f ca="1"/>
      </c>
      <c r="BD212">
        <f ca="1"/>
      </c>
      <c r="BE212">
        <f ca="1"/>
      </c>
      <c r="BF212">
        <f ca="1"/>
      </c>
      <c r="BG212">
        <f ca="1"/>
      </c>
      <c r="BH212">
        <f ca="1"/>
      </c>
      <c r="BI212">
        <f ca="1"/>
      </c>
      <c r="BJ212">
        <f ca="1"/>
      </c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F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M212" s="7">
        <f ca="1"/>
      </c>
      <c r="GN212">
        <f ca="1"/>
      </c>
      <c r="GO212">
        <f ca="1"/>
      </c>
      <c r="GP212">
        <f ca="1"/>
      </c>
      <c r="GQ212">
        <f ca="1"/>
      </c>
    </row>
    <row r="213" spans="41:199" x14ac:dyDescent="0.55000000000000004">
      <c r="AO213">
        <f ca="1"/>
      </c>
      <c r="AP213">
        <f ca="1"/>
      </c>
      <c r="AQ213">
        <f ca="1"/>
      </c>
      <c r="AR213">
        <f ca="1"/>
      </c>
      <c r="AS213">
        <f ca="1"/>
      </c>
      <c r="AT213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AZ213">
        <f ca="1"/>
      </c>
      <c r="BA213">
        <f ca="1"/>
      </c>
      <c r="BB213">
        <f ca="1"/>
      </c>
      <c r="BC213">
        <f ca="1"/>
      </c>
      <c r="BD213">
        <f ca="1"/>
      </c>
      <c r="BE213">
        <f ca="1"/>
      </c>
      <c r="BF213">
        <f ca="1"/>
      </c>
      <c r="BG213">
        <f ca="1"/>
      </c>
      <c r="BH213">
        <f ca="1"/>
      </c>
      <c r="BI213">
        <f ca="1"/>
      </c>
      <c r="BJ213">
        <f ca="1"/>
      </c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F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M213" s="7">
        <f ca="1"/>
      </c>
      <c r="GN213">
        <f ca="1"/>
      </c>
      <c r="GO213">
        <f ca="1"/>
      </c>
      <c r="GP213">
        <f ca="1"/>
      </c>
      <c r="GQ213">
        <f ca="1"/>
      </c>
    </row>
    <row r="214" spans="41:199" x14ac:dyDescent="0.55000000000000004">
      <c r="AO214">
        <f ca="1"/>
      </c>
      <c r="AP214">
        <f ca="1"/>
      </c>
      <c r="AQ214">
        <f ca="1"/>
      </c>
      <c r="AR214">
        <f ca="1"/>
      </c>
      <c r="AS214">
        <f ca="1"/>
      </c>
      <c r="AT214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AZ214">
        <f ca="1"/>
      </c>
      <c r="BA214">
        <f ca="1"/>
      </c>
      <c r="BB214">
        <f ca="1"/>
      </c>
      <c r="BC214">
        <f ca="1"/>
      </c>
      <c r="BD214">
        <f ca="1"/>
      </c>
      <c r="BE214">
        <f ca="1"/>
      </c>
      <c r="BF214">
        <f ca="1"/>
      </c>
      <c r="BG214">
        <f ca="1"/>
      </c>
      <c r="BH214">
        <f ca="1"/>
      </c>
      <c r="BI214">
        <f ca="1"/>
      </c>
      <c r="BJ214">
        <f ca="1"/>
      </c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F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M214" s="7">
        <f ca="1"/>
      </c>
      <c r="GN214">
        <f ca="1"/>
      </c>
      <c r="GO214">
        <f ca="1"/>
      </c>
      <c r="GP214">
        <f ca="1"/>
      </c>
      <c r="GQ214">
        <f ca="1"/>
      </c>
    </row>
    <row r="215" spans="41:199" x14ac:dyDescent="0.55000000000000004">
      <c r="AO215">
        <f ca="1"/>
      </c>
      <c r="AP215">
        <f ca="1"/>
      </c>
      <c r="AQ215">
        <f ca="1"/>
      </c>
      <c r="AR215">
        <f ca="1"/>
      </c>
      <c r="AS215">
        <f ca="1"/>
      </c>
      <c r="AT215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AZ215">
        <f ca="1"/>
      </c>
      <c r="BA215">
        <f ca="1"/>
      </c>
      <c r="BB215">
        <f ca="1"/>
      </c>
      <c r="BC215">
        <f ca="1"/>
      </c>
      <c r="BD215">
        <f ca="1"/>
      </c>
      <c r="BE215">
        <f ca="1"/>
      </c>
      <c r="BF215">
        <f ca="1"/>
      </c>
      <c r="BG215">
        <f ca="1"/>
      </c>
      <c r="BH215">
        <f ca="1"/>
      </c>
      <c r="BI215">
        <f ca="1"/>
      </c>
      <c r="BJ215">
        <f ca="1"/>
      </c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F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M215" s="7">
        <f ca="1"/>
      </c>
      <c r="GN215">
        <f ca="1"/>
      </c>
      <c r="GO215">
        <f ca="1"/>
      </c>
      <c r="GP215">
        <f ca="1"/>
      </c>
      <c r="GQ215">
        <f ca="1"/>
      </c>
    </row>
    <row r="216" spans="41:199" x14ac:dyDescent="0.55000000000000004">
      <c r="AO216">
        <f ca="1"/>
      </c>
      <c r="AP216">
        <f ca="1"/>
      </c>
      <c r="AQ216">
        <f ca="1"/>
      </c>
      <c r="AR216">
        <f ca="1"/>
      </c>
      <c r="AS216">
        <f ca="1"/>
      </c>
      <c r="AT216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AZ216">
        <f ca="1"/>
      </c>
      <c r="BA216">
        <f ca="1"/>
      </c>
      <c r="BB216">
        <f ca="1"/>
      </c>
      <c r="BC216">
        <f ca="1"/>
      </c>
      <c r="BD216">
        <f ca="1"/>
      </c>
      <c r="BE216">
        <f ca="1"/>
      </c>
      <c r="BF216">
        <f ca="1"/>
      </c>
      <c r="BG216">
        <f ca="1"/>
      </c>
      <c r="BH216">
        <f ca="1"/>
      </c>
      <c r="BI216">
        <f ca="1"/>
      </c>
      <c r="BJ216">
        <f ca="1"/>
      </c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F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M216" s="7">
        <f ca="1"/>
      </c>
      <c r="GN216">
        <f ca="1"/>
      </c>
      <c r="GO216">
        <f ca="1"/>
      </c>
      <c r="GP216">
        <f ca="1"/>
      </c>
      <c r="GQ216">
        <f ca="1"/>
      </c>
    </row>
    <row r="217" spans="41:199" x14ac:dyDescent="0.55000000000000004">
      <c r="AO217">
        <f ca="1"/>
      </c>
      <c r="AP217">
        <f ca="1"/>
      </c>
      <c r="AQ217">
        <f ca="1"/>
      </c>
      <c r="AR217">
        <f ca="1"/>
      </c>
      <c r="AS217">
        <f ca="1"/>
      </c>
      <c r="AT21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AZ217">
        <f ca="1"/>
      </c>
      <c r="BA217">
        <f ca="1"/>
      </c>
      <c r="BB217">
        <f ca="1"/>
      </c>
      <c r="BC217">
        <f ca="1"/>
      </c>
      <c r="BD217">
        <f ca="1"/>
      </c>
      <c r="BE217">
        <f ca="1"/>
      </c>
      <c r="BF217">
        <f ca="1"/>
      </c>
      <c r="BG217">
        <f ca="1"/>
      </c>
      <c r="BH217">
        <f ca="1"/>
      </c>
      <c r="BI217">
        <f ca="1"/>
      </c>
      <c r="BJ217">
        <f ca="1"/>
      </c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F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M217" s="7">
        <f ca="1"/>
      </c>
      <c r="GN217">
        <f ca="1"/>
      </c>
      <c r="GO217">
        <f ca="1"/>
      </c>
      <c r="GP217">
        <f ca="1"/>
      </c>
      <c r="GQ217">
        <f ca="1"/>
      </c>
    </row>
    <row r="218" spans="41:199" x14ac:dyDescent="0.55000000000000004">
      <c r="AO218">
        <f ca="1"/>
      </c>
      <c r="AP218">
        <f ca="1"/>
      </c>
      <c r="AQ218">
        <f ca="1"/>
      </c>
      <c r="AR218">
        <f ca="1"/>
      </c>
      <c r="AS218">
        <f ca="1"/>
      </c>
      <c r="AT218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AZ218">
        <f ca="1"/>
      </c>
      <c r="BA218">
        <f ca="1"/>
      </c>
      <c r="BB218">
        <f ca="1"/>
      </c>
      <c r="BC218">
        <f ca="1"/>
      </c>
      <c r="BD218">
        <f ca="1"/>
      </c>
      <c r="BE218">
        <f ca="1"/>
      </c>
      <c r="BF218">
        <f ca="1"/>
      </c>
      <c r="BG218">
        <f ca="1"/>
      </c>
      <c r="BH218">
        <f ca="1"/>
      </c>
      <c r="BI218">
        <f ca="1"/>
      </c>
      <c r="BJ218">
        <f ca="1"/>
      </c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F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M218" s="7">
        <f ca="1"/>
      </c>
      <c r="GN218">
        <f ca="1"/>
      </c>
      <c r="GO218">
        <f ca="1"/>
      </c>
      <c r="GP218">
        <f ca="1"/>
      </c>
      <c r="GQ218">
        <f ca="1"/>
      </c>
    </row>
    <row r="219" spans="41:199" x14ac:dyDescent="0.55000000000000004">
      <c r="AO219">
        <f ca="1"/>
      </c>
      <c r="AP219">
        <f ca="1"/>
      </c>
      <c r="AQ219">
        <f ca="1"/>
      </c>
      <c r="AR219">
        <f ca="1"/>
      </c>
      <c r="AS219">
        <f ca="1"/>
      </c>
      <c r="AT219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AZ219">
        <f ca="1"/>
      </c>
      <c r="BA219">
        <f ca="1"/>
      </c>
      <c r="BB219">
        <f ca="1"/>
      </c>
      <c r="BC219">
        <f ca="1"/>
      </c>
      <c r="BD219">
        <f ca="1"/>
      </c>
      <c r="BE219">
        <f ca="1"/>
      </c>
      <c r="BF219">
        <f ca="1"/>
      </c>
      <c r="BG219">
        <f ca="1"/>
      </c>
      <c r="BH219">
        <f ca="1"/>
      </c>
      <c r="BI219">
        <f ca="1"/>
      </c>
      <c r="BJ219">
        <f ca="1"/>
      </c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F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M219" s="7">
        <f ca="1"/>
      </c>
      <c r="GN219">
        <f ca="1"/>
      </c>
      <c r="GO219">
        <f ca="1"/>
      </c>
      <c r="GP219">
        <f ca="1"/>
      </c>
      <c r="GQ219">
        <f ca="1"/>
      </c>
    </row>
    <row r="220" spans="41:199" x14ac:dyDescent="0.55000000000000004">
      <c r="AO220">
        <f ca="1"/>
      </c>
      <c r="AP220">
        <f ca="1"/>
      </c>
      <c r="AQ220">
        <f ca="1"/>
      </c>
      <c r="AR220">
        <f ca="1"/>
      </c>
      <c r="AS220">
        <f ca="1"/>
      </c>
      <c r="AT220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AZ220">
        <f ca="1"/>
      </c>
      <c r="BA220">
        <f ca="1"/>
      </c>
      <c r="BB220">
        <f ca="1"/>
      </c>
      <c r="BC220">
        <f ca="1"/>
      </c>
      <c r="BD220">
        <f ca="1"/>
      </c>
      <c r="BE220">
        <f ca="1"/>
      </c>
      <c r="BF220">
        <f ca="1"/>
      </c>
      <c r="BG220">
        <f ca="1"/>
      </c>
      <c r="BH220">
        <f ca="1"/>
      </c>
      <c r="BI220">
        <f ca="1"/>
      </c>
      <c r="BJ220">
        <f ca="1"/>
      </c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F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M220" s="7">
        <f ca="1"/>
      </c>
      <c r="GN220">
        <f ca="1"/>
      </c>
      <c r="GO220">
        <f ca="1"/>
      </c>
      <c r="GP220">
        <f ca="1"/>
      </c>
      <c r="GQ220">
        <f ca="1"/>
      </c>
    </row>
    <row r="221" spans="41:199" x14ac:dyDescent="0.55000000000000004">
      <c r="AO221">
        <f ca="1"/>
      </c>
      <c r="AP221">
        <f ca="1"/>
      </c>
      <c r="AQ221">
        <f ca="1"/>
      </c>
      <c r="AR221">
        <f ca="1"/>
      </c>
      <c r="AS221">
        <f ca="1"/>
      </c>
      <c r="AT221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AZ221">
        <f ca="1"/>
      </c>
      <c r="BA221">
        <f ca="1"/>
      </c>
      <c r="BB221">
        <f ca="1"/>
      </c>
      <c r="BC221">
        <f ca="1"/>
      </c>
      <c r="BD221">
        <f ca="1"/>
      </c>
      <c r="BE221">
        <f ca="1"/>
      </c>
      <c r="BF221">
        <f ca="1"/>
      </c>
      <c r="BG221">
        <f ca="1"/>
      </c>
      <c r="BH221">
        <f ca="1"/>
      </c>
      <c r="BI221">
        <f ca="1"/>
      </c>
      <c r="BJ221">
        <f ca="1"/>
      </c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F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M221" s="7">
        <f ca="1"/>
      </c>
      <c r="GN221">
        <f ca="1"/>
      </c>
      <c r="GO221">
        <f ca="1"/>
      </c>
      <c r="GP221">
        <f ca="1"/>
      </c>
      <c r="GQ221">
        <f ca="1"/>
      </c>
    </row>
    <row r="222" spans="41:199" x14ac:dyDescent="0.55000000000000004">
      <c r="AO222">
        <f ca="1"/>
      </c>
      <c r="AP222">
        <f ca="1"/>
      </c>
      <c r="AQ222">
        <f ca="1"/>
      </c>
      <c r="AR222">
        <f ca="1"/>
      </c>
      <c r="AS222">
        <f ca="1"/>
      </c>
      <c r="AT222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AZ222">
        <f ca="1"/>
      </c>
      <c r="BA222">
        <f ca="1"/>
      </c>
      <c r="BB222">
        <f ca="1"/>
      </c>
      <c r="BC222">
        <f ca="1"/>
      </c>
      <c r="BD222">
        <f ca="1"/>
      </c>
      <c r="BE222">
        <f ca="1"/>
      </c>
      <c r="BF222">
        <f ca="1"/>
      </c>
      <c r="BG222">
        <f ca="1"/>
      </c>
      <c r="BH222">
        <f ca="1"/>
      </c>
      <c r="BI222">
        <f ca="1"/>
      </c>
      <c r="BJ222">
        <f ca="1"/>
      </c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F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B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M222" s="7">
        <f ca="1"/>
      </c>
      <c r="GN222">
        <f ca="1"/>
      </c>
      <c r="GO222">
        <f ca="1"/>
      </c>
      <c r="GP222">
        <f ca="1"/>
      </c>
      <c r="GQ222">
        <f ca="1"/>
      </c>
    </row>
    <row r="223" spans="41:199" x14ac:dyDescent="0.55000000000000004">
      <c r="AO223">
        <f ca="1"/>
      </c>
      <c r="AP223">
        <f ca="1"/>
      </c>
      <c r="AQ223">
        <f ca="1"/>
      </c>
      <c r="AR223">
        <f ca="1"/>
      </c>
      <c r="AS223">
        <f ca="1"/>
      </c>
      <c r="AT223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AZ223">
        <f ca="1"/>
      </c>
      <c r="BA223">
        <f ca="1"/>
      </c>
      <c r="BB223">
        <f ca="1"/>
      </c>
      <c r="BC223">
        <f ca="1"/>
      </c>
      <c r="BD223">
        <f ca="1"/>
      </c>
      <c r="BE223">
        <f ca="1"/>
      </c>
      <c r="BF223">
        <f ca="1"/>
      </c>
      <c r="BG223">
        <f ca="1"/>
      </c>
      <c r="BH223">
        <f ca="1"/>
      </c>
      <c r="BI223">
        <f ca="1"/>
      </c>
      <c r="BJ223">
        <f ca="1"/>
      </c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F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B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M223" s="7">
        <f ca="1"/>
      </c>
      <c r="GN223">
        <f ca="1"/>
      </c>
      <c r="GO223">
        <f ca="1"/>
      </c>
      <c r="GP223">
        <f ca="1"/>
      </c>
      <c r="GQ223">
        <f ca="1"/>
      </c>
    </row>
    <row r="224" spans="41:199" x14ac:dyDescent="0.55000000000000004">
      <c r="AO224">
        <f ca="1"/>
      </c>
      <c r="AP224">
        <f ca="1"/>
      </c>
      <c r="AQ224">
        <f ca="1"/>
      </c>
      <c r="AR224">
        <f ca="1"/>
      </c>
      <c r="AS224">
        <f ca="1"/>
      </c>
      <c r="AT224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AZ224">
        <f ca="1"/>
      </c>
      <c r="BA224">
        <f ca="1"/>
      </c>
      <c r="BB224">
        <f ca="1"/>
      </c>
      <c r="BC224">
        <f ca="1"/>
      </c>
      <c r="BD224">
        <f ca="1"/>
      </c>
      <c r="BE224">
        <f ca="1"/>
      </c>
      <c r="BF224">
        <f ca="1"/>
      </c>
      <c r="BG224">
        <f ca="1"/>
      </c>
      <c r="BH224">
        <f ca="1"/>
      </c>
      <c r="BI224">
        <f ca="1"/>
      </c>
      <c r="BJ224">
        <f ca="1"/>
      </c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F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B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M224" s="7">
        <f ca="1"/>
      </c>
      <c r="GN224">
        <f ca="1"/>
      </c>
      <c r="GO224">
        <f ca="1"/>
      </c>
      <c r="GP224">
        <f ca="1"/>
      </c>
      <c r="GQ224">
        <f ca="1"/>
      </c>
    </row>
    <row r="225" spans="41:199" x14ac:dyDescent="0.55000000000000004">
      <c r="AO225">
        <f ca="1"/>
      </c>
      <c r="AP225">
        <f ca="1"/>
      </c>
      <c r="AQ225">
        <f ca="1"/>
      </c>
      <c r="AR225">
        <f ca="1"/>
      </c>
      <c r="AS225">
        <f ca="1"/>
      </c>
      <c r="AT225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AZ225">
        <f ca="1"/>
      </c>
      <c r="BA225">
        <f ca="1"/>
      </c>
      <c r="BB225">
        <f ca="1"/>
      </c>
      <c r="BC225">
        <f ca="1"/>
      </c>
      <c r="BD225">
        <f ca="1"/>
      </c>
      <c r="BE225">
        <f ca="1"/>
      </c>
      <c r="BF225">
        <f ca="1"/>
      </c>
      <c r="BG225">
        <f ca="1"/>
      </c>
      <c r="BH225">
        <f ca="1"/>
      </c>
      <c r="BI225">
        <f ca="1"/>
      </c>
      <c r="BJ225">
        <f ca="1"/>
      </c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F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B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M225" s="7">
        <f ca="1"/>
      </c>
      <c r="GN225">
        <f ca="1"/>
      </c>
      <c r="GO225">
        <f ca="1"/>
      </c>
      <c r="GP225">
        <f ca="1"/>
      </c>
      <c r="GQ225">
        <f ca="1"/>
      </c>
    </row>
    <row r="226" spans="41:199" x14ac:dyDescent="0.55000000000000004">
      <c r="AO226">
        <f ca="1"/>
      </c>
      <c r="AP226">
        <f ca="1"/>
      </c>
      <c r="AQ226">
        <f ca="1"/>
      </c>
      <c r="AR226">
        <f ca="1"/>
      </c>
      <c r="AS226">
        <f ca="1"/>
      </c>
      <c r="AT226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AZ226">
        <f ca="1"/>
      </c>
      <c r="BA226">
        <f ca="1"/>
      </c>
      <c r="BB226">
        <f ca="1"/>
      </c>
      <c r="BC226">
        <f ca="1"/>
      </c>
      <c r="BD226">
        <f ca="1"/>
      </c>
      <c r="BE226">
        <f ca="1"/>
      </c>
      <c r="BF226">
        <f ca="1"/>
      </c>
      <c r="BG226">
        <f ca="1"/>
      </c>
      <c r="BH226">
        <f ca="1"/>
      </c>
      <c r="BI226">
        <f ca="1"/>
      </c>
      <c r="BJ226">
        <f ca="1"/>
      </c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F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B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M226" s="7">
        <f ca="1"/>
      </c>
      <c r="GN226">
        <f ca="1"/>
      </c>
      <c r="GO226">
        <f ca="1"/>
      </c>
      <c r="GP226">
        <f ca="1"/>
      </c>
      <c r="GQ226">
        <f ca="1"/>
      </c>
    </row>
    <row r="227" spans="41:199" x14ac:dyDescent="0.55000000000000004">
      <c r="AO227">
        <f ca="1"/>
      </c>
      <c r="AP227">
        <f ca="1"/>
      </c>
      <c r="AQ227">
        <f ca="1"/>
      </c>
      <c r="AR227">
        <f ca="1"/>
      </c>
      <c r="AS227">
        <f ca="1"/>
      </c>
      <c r="AT22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AZ227">
        <f ca="1"/>
      </c>
      <c r="BA227">
        <f ca="1"/>
      </c>
      <c r="BB227">
        <f ca="1"/>
      </c>
      <c r="BC227">
        <f ca="1"/>
      </c>
      <c r="BD227">
        <f ca="1"/>
      </c>
      <c r="BE227">
        <f ca="1"/>
      </c>
      <c r="BF227">
        <f ca="1"/>
      </c>
      <c r="BG227">
        <f ca="1"/>
      </c>
      <c r="BH227">
        <f ca="1"/>
      </c>
      <c r="BI227">
        <f ca="1"/>
      </c>
      <c r="BJ227">
        <f ca="1"/>
      </c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F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B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M227" s="7">
        <f ca="1"/>
      </c>
      <c r="GN227">
        <f ca="1"/>
      </c>
      <c r="GO227">
        <f ca="1"/>
      </c>
      <c r="GP227">
        <f ca="1"/>
      </c>
      <c r="GQ227">
        <f ca="1"/>
      </c>
    </row>
    <row r="228" spans="41:199" x14ac:dyDescent="0.55000000000000004">
      <c r="AO228">
        <f ca="1"/>
      </c>
      <c r="AP228">
        <f ca="1"/>
      </c>
      <c r="AQ228">
        <f ca="1"/>
      </c>
      <c r="AR228">
        <f ca="1"/>
      </c>
      <c r="AS228">
        <f ca="1"/>
      </c>
      <c r="AT228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AZ228">
        <f ca="1"/>
      </c>
      <c r="BA228">
        <f ca="1"/>
      </c>
      <c r="BB228">
        <f ca="1"/>
      </c>
      <c r="BC228">
        <f ca="1"/>
      </c>
      <c r="BD228">
        <f ca="1"/>
      </c>
      <c r="BE228">
        <f ca="1"/>
      </c>
      <c r="BF228">
        <f ca="1"/>
      </c>
      <c r="BG228">
        <f ca="1"/>
      </c>
      <c r="BH228">
        <f ca="1"/>
      </c>
      <c r="BI228">
        <f ca="1"/>
      </c>
      <c r="BJ228">
        <f ca="1"/>
      </c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F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B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M228" s="7">
        <f ca="1"/>
      </c>
      <c r="GN228">
        <f ca="1"/>
      </c>
      <c r="GO228">
        <f ca="1"/>
      </c>
      <c r="GP228">
        <f ca="1"/>
      </c>
      <c r="GQ228">
        <f ca="1"/>
      </c>
    </row>
    <row r="229" spans="41:199" x14ac:dyDescent="0.55000000000000004">
      <c r="AO229">
        <f ca="1"/>
      </c>
      <c r="AP229">
        <f ca="1"/>
      </c>
      <c r="AQ229">
        <f ca="1"/>
      </c>
      <c r="AR229">
        <f ca="1"/>
      </c>
      <c r="AS229">
        <f ca="1"/>
      </c>
      <c r="AT229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AZ229">
        <f ca="1"/>
      </c>
      <c r="BA229">
        <f ca="1"/>
      </c>
      <c r="BB229">
        <f ca="1"/>
      </c>
      <c r="BC229">
        <f ca="1"/>
      </c>
      <c r="BD229">
        <f ca="1"/>
      </c>
      <c r="BE229">
        <f ca="1"/>
      </c>
      <c r="BF229">
        <f ca="1"/>
      </c>
      <c r="BG229">
        <f ca="1"/>
      </c>
      <c r="BH229">
        <f ca="1"/>
      </c>
      <c r="BI229">
        <f ca="1"/>
      </c>
      <c r="BJ229">
        <f ca="1"/>
      </c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F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B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M229" s="7">
        <f ca="1"/>
      </c>
      <c r="GN229">
        <f ca="1"/>
      </c>
      <c r="GO229">
        <f ca="1"/>
      </c>
      <c r="GP229">
        <f ca="1"/>
      </c>
      <c r="GQ229">
        <f ca="1"/>
      </c>
    </row>
    <row r="230" spans="41:199" x14ac:dyDescent="0.55000000000000004">
      <c r="AO230">
        <f ca="1"/>
      </c>
      <c r="AP230">
        <f ca="1"/>
      </c>
      <c r="AQ230">
        <f ca="1"/>
      </c>
      <c r="AR230">
        <f ca="1"/>
      </c>
      <c r="AS230">
        <f ca="1"/>
      </c>
      <c r="AT230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AZ230">
        <f ca="1"/>
      </c>
      <c r="BA230">
        <f ca="1"/>
      </c>
      <c r="BB230">
        <f ca="1"/>
      </c>
      <c r="BC230">
        <f ca="1"/>
      </c>
      <c r="BD230">
        <f ca="1"/>
      </c>
      <c r="BE230">
        <f ca="1"/>
      </c>
      <c r="BF230">
        <f ca="1"/>
      </c>
      <c r="BG230">
        <f ca="1"/>
      </c>
      <c r="BH230">
        <f ca="1"/>
      </c>
      <c r="BI230">
        <f ca="1"/>
      </c>
      <c r="BJ230">
        <f ca="1"/>
      </c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F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B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M230" s="7">
        <f ca="1"/>
      </c>
      <c r="GN230">
        <f ca="1"/>
      </c>
      <c r="GO230">
        <f ca="1"/>
      </c>
      <c r="GP230">
        <f ca="1"/>
      </c>
      <c r="GQ230">
        <f ca="1"/>
      </c>
    </row>
    <row r="231" spans="41:199" x14ac:dyDescent="0.55000000000000004">
      <c r="AO231">
        <f ca="1"/>
      </c>
      <c r="AP231">
        <f ca="1"/>
      </c>
      <c r="AQ231">
        <f ca="1"/>
      </c>
      <c r="AR231">
        <f ca="1"/>
      </c>
      <c r="AS231">
        <f ca="1"/>
      </c>
      <c r="AT231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AZ231">
        <f ca="1"/>
      </c>
      <c r="BA231">
        <f ca="1"/>
      </c>
      <c r="BB231">
        <f ca="1"/>
      </c>
      <c r="BC231">
        <f ca="1"/>
      </c>
      <c r="BD231">
        <f ca="1"/>
      </c>
      <c r="BE231">
        <f ca="1"/>
      </c>
      <c r="BF231">
        <f ca="1"/>
      </c>
      <c r="BG231">
        <f ca="1"/>
      </c>
      <c r="BH231">
        <f ca="1"/>
      </c>
      <c r="BI231">
        <f ca="1"/>
      </c>
      <c r="BJ231">
        <f ca="1"/>
      </c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F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B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M231" s="7">
        <f ca="1"/>
      </c>
      <c r="GN231">
        <f ca="1"/>
      </c>
      <c r="GO231">
        <f ca="1"/>
      </c>
      <c r="GP231">
        <f ca="1"/>
      </c>
      <c r="GQ231">
        <f ca="1"/>
      </c>
    </row>
    <row r="232" spans="41:199" x14ac:dyDescent="0.55000000000000004">
      <c r="AO232">
        <f ca="1"/>
      </c>
      <c r="AP232">
        <f ca="1"/>
      </c>
      <c r="AQ232">
        <f ca="1"/>
      </c>
      <c r="AR232">
        <f ca="1"/>
      </c>
      <c r="AS232">
        <f ca="1"/>
      </c>
      <c r="AT232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AZ232">
        <f ca="1"/>
      </c>
      <c r="BA232">
        <f ca="1"/>
      </c>
      <c r="BB232">
        <f ca="1"/>
      </c>
      <c r="BC232">
        <f ca="1"/>
      </c>
      <c r="BD232">
        <f ca="1"/>
      </c>
      <c r="BE232">
        <f ca="1"/>
      </c>
      <c r="BF232">
        <f ca="1"/>
      </c>
      <c r="BG232">
        <f ca="1"/>
      </c>
      <c r="BH232">
        <f ca="1"/>
      </c>
      <c r="BI232">
        <f ca="1"/>
      </c>
      <c r="BJ232">
        <f ca="1"/>
      </c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F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B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M232" s="7">
        <f ca="1"/>
      </c>
      <c r="GN232">
        <f ca="1"/>
      </c>
      <c r="GO232">
        <f ca="1"/>
      </c>
      <c r="GP232">
        <f ca="1"/>
      </c>
      <c r="GQ232">
        <f ca="1"/>
      </c>
    </row>
    <row r="233" spans="41:199" x14ac:dyDescent="0.55000000000000004">
      <c r="AO233">
        <f ca="1"/>
      </c>
      <c r="AP233">
        <f ca="1"/>
      </c>
      <c r="AQ233">
        <f ca="1"/>
      </c>
      <c r="AR233">
        <f ca="1"/>
      </c>
      <c r="AS233">
        <f ca="1"/>
      </c>
      <c r="AT233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AZ233">
        <f ca="1"/>
      </c>
      <c r="BA233">
        <f ca="1"/>
      </c>
      <c r="BB233">
        <f ca="1"/>
      </c>
      <c r="BC233">
        <f ca="1"/>
      </c>
      <c r="BD233">
        <f ca="1"/>
      </c>
      <c r="BE233">
        <f ca="1"/>
      </c>
      <c r="BF233">
        <f ca="1"/>
      </c>
      <c r="BG233">
        <f ca="1"/>
      </c>
      <c r="BH233">
        <f ca="1"/>
      </c>
      <c r="BI233">
        <f ca="1"/>
      </c>
      <c r="BJ233">
        <f ca="1"/>
      </c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F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B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M233" s="7">
        <f ca="1"/>
      </c>
      <c r="GN233">
        <f ca="1"/>
      </c>
      <c r="GO233">
        <f ca="1"/>
      </c>
      <c r="GP233">
        <f ca="1"/>
      </c>
      <c r="GQ233">
        <f ca="1"/>
      </c>
    </row>
    <row r="234" spans="41:199" x14ac:dyDescent="0.55000000000000004">
      <c r="AO234">
        <f ca="1"/>
      </c>
      <c r="AP234">
        <f ca="1"/>
      </c>
      <c r="AQ234">
        <f ca="1"/>
      </c>
      <c r="AR234">
        <f ca="1"/>
      </c>
      <c r="AS234">
        <f ca="1"/>
      </c>
      <c r="AT234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AZ234">
        <f ca="1"/>
      </c>
      <c r="BA234">
        <f ca="1"/>
      </c>
      <c r="BB234">
        <f ca="1"/>
      </c>
      <c r="BC234">
        <f ca="1"/>
      </c>
      <c r="BD234">
        <f ca="1"/>
      </c>
      <c r="BE234">
        <f ca="1"/>
      </c>
      <c r="BF234">
        <f ca="1"/>
      </c>
      <c r="BG234">
        <f ca="1"/>
      </c>
      <c r="BH234">
        <f ca="1"/>
      </c>
      <c r="BI234">
        <f ca="1"/>
      </c>
      <c r="BJ234">
        <f ca="1"/>
      </c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F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B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M234" s="7">
        <f ca="1"/>
      </c>
      <c r="GN234">
        <f ca="1"/>
      </c>
      <c r="GO234">
        <f ca="1"/>
      </c>
      <c r="GP234">
        <f ca="1"/>
      </c>
      <c r="GQ234">
        <f ca="1"/>
      </c>
    </row>
    <row r="235" spans="41:199" x14ac:dyDescent="0.55000000000000004">
      <c r="AO235">
        <f ca="1"/>
      </c>
      <c r="AP235">
        <f ca="1"/>
      </c>
      <c r="AQ235">
        <f ca="1"/>
      </c>
      <c r="AR235">
        <f ca="1"/>
      </c>
      <c r="AS235">
        <f ca="1"/>
      </c>
      <c r="AT235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AZ235">
        <f ca="1"/>
      </c>
      <c r="BA235">
        <f ca="1"/>
      </c>
      <c r="BB235">
        <f ca="1"/>
      </c>
      <c r="BC235">
        <f ca="1"/>
      </c>
      <c r="BD235">
        <f ca="1"/>
      </c>
      <c r="BE235">
        <f ca="1"/>
      </c>
      <c r="BF235">
        <f ca="1"/>
      </c>
      <c r="BG235">
        <f ca="1"/>
      </c>
      <c r="BH235">
        <f ca="1"/>
      </c>
      <c r="BI235">
        <f ca="1"/>
      </c>
      <c r="BJ235">
        <f ca="1"/>
      </c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F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B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M235" s="7">
        <f ca="1"/>
      </c>
      <c r="GN235">
        <f ca="1"/>
      </c>
      <c r="GO235">
        <f ca="1"/>
      </c>
      <c r="GP235">
        <f ca="1"/>
      </c>
      <c r="GQ235">
        <f ca="1"/>
      </c>
    </row>
    <row r="236" spans="41:199" x14ac:dyDescent="0.55000000000000004">
      <c r="AO236">
        <f ca="1"/>
      </c>
      <c r="AP236">
        <f ca="1"/>
      </c>
      <c r="AQ236">
        <f ca="1"/>
      </c>
      <c r="AR236">
        <f ca="1"/>
      </c>
      <c r="AS236">
        <f ca="1"/>
      </c>
      <c r="AT236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AZ236">
        <f ca="1"/>
      </c>
      <c r="BA236">
        <f ca="1"/>
      </c>
      <c r="BB236">
        <f ca="1"/>
      </c>
      <c r="BC236">
        <f ca="1"/>
      </c>
      <c r="BD236">
        <f ca="1"/>
      </c>
      <c r="BE236">
        <f ca="1"/>
      </c>
      <c r="BF236">
        <f ca="1"/>
      </c>
      <c r="BG236">
        <f ca="1"/>
      </c>
      <c r="BH236">
        <f ca="1"/>
      </c>
      <c r="BI236">
        <f ca="1"/>
      </c>
      <c r="BJ236">
        <f ca="1"/>
      </c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F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B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M236" s="7">
        <f ca="1"/>
      </c>
      <c r="GN236">
        <f ca="1"/>
      </c>
      <c r="GO236">
        <f ca="1"/>
      </c>
      <c r="GP236">
        <f ca="1"/>
      </c>
      <c r="GQ236">
        <f ca="1"/>
      </c>
    </row>
    <row r="237" spans="41:199" x14ac:dyDescent="0.55000000000000004">
      <c r="AO237">
        <f ca="1"/>
      </c>
      <c r="AP237">
        <f ca="1"/>
      </c>
      <c r="AQ237">
        <f ca="1"/>
      </c>
      <c r="AR237">
        <f ca="1"/>
      </c>
      <c r="AS237">
        <f ca="1"/>
      </c>
      <c r="AT23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AZ237">
        <f ca="1"/>
      </c>
      <c r="BA237">
        <f ca="1"/>
      </c>
      <c r="BB237">
        <f ca="1"/>
      </c>
      <c r="BC237">
        <f ca="1"/>
      </c>
      <c r="BD237">
        <f ca="1"/>
      </c>
      <c r="BE237">
        <f ca="1"/>
      </c>
      <c r="BF237">
        <f ca="1"/>
      </c>
      <c r="BG237">
        <f ca="1"/>
      </c>
      <c r="BH237">
        <f ca="1"/>
      </c>
      <c r="BI237">
        <f ca="1"/>
      </c>
      <c r="BJ237">
        <f ca="1"/>
      </c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F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B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M237" s="7">
        <f ca="1"/>
      </c>
      <c r="GN237">
        <f ca="1"/>
      </c>
      <c r="GO237">
        <f ca="1"/>
      </c>
      <c r="GP237">
        <f ca="1"/>
      </c>
      <c r="GQ237">
        <f ca="1"/>
      </c>
    </row>
    <row r="238" spans="41:199" x14ac:dyDescent="0.55000000000000004">
      <c r="AO238">
        <f ca="1"/>
      </c>
      <c r="AP238">
        <f ca="1"/>
      </c>
      <c r="AQ238">
        <f ca="1"/>
      </c>
      <c r="AR238">
        <f ca="1"/>
      </c>
      <c r="AS238">
        <f ca="1"/>
      </c>
      <c r="AT238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AZ238">
        <f ca="1"/>
      </c>
      <c r="BA238">
        <f ca="1"/>
      </c>
      <c r="BB238">
        <f ca="1"/>
      </c>
      <c r="BC238">
        <f ca="1"/>
      </c>
      <c r="BD238">
        <f ca="1"/>
      </c>
      <c r="BE238">
        <f ca="1"/>
      </c>
      <c r="BF238">
        <f ca="1"/>
      </c>
      <c r="BG238">
        <f ca="1"/>
      </c>
      <c r="BH238">
        <f ca="1"/>
      </c>
      <c r="BI238">
        <f ca="1"/>
      </c>
      <c r="BJ238">
        <f ca="1"/>
      </c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F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B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M238" s="7">
        <f ca="1"/>
      </c>
      <c r="GN238">
        <f ca="1"/>
      </c>
      <c r="GO238">
        <f ca="1"/>
      </c>
      <c r="GP238">
        <f ca="1"/>
      </c>
      <c r="GQ238">
        <f ca="1"/>
      </c>
    </row>
    <row r="239" spans="41:199" x14ac:dyDescent="0.55000000000000004">
      <c r="AO239">
        <f ca="1"/>
      </c>
      <c r="AP239">
        <f ca="1"/>
      </c>
      <c r="AQ239">
        <f ca="1"/>
      </c>
      <c r="AR239">
        <f ca="1"/>
      </c>
      <c r="AS239">
        <f ca="1"/>
      </c>
      <c r="AT239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AZ239">
        <f ca="1"/>
      </c>
      <c r="BA239">
        <f ca="1"/>
      </c>
      <c r="BB239">
        <f ca="1"/>
      </c>
      <c r="BC239">
        <f ca="1"/>
      </c>
      <c r="BD239">
        <f ca="1"/>
      </c>
      <c r="BE239">
        <f ca="1"/>
      </c>
      <c r="BF239">
        <f ca="1"/>
      </c>
      <c r="BG239">
        <f ca="1"/>
      </c>
      <c r="BH239">
        <f ca="1"/>
      </c>
      <c r="BI239">
        <f ca="1"/>
      </c>
      <c r="BJ239">
        <f ca="1"/>
      </c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F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B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M239" s="7">
        <f ca="1"/>
      </c>
      <c r="GN239">
        <f ca="1"/>
      </c>
      <c r="GO239">
        <f ca="1"/>
      </c>
      <c r="GP239">
        <f ca="1"/>
      </c>
      <c r="GQ239">
        <f ca="1"/>
      </c>
    </row>
    <row r="240" spans="41:199" x14ac:dyDescent="0.55000000000000004">
      <c r="AO240">
        <f ca="1"/>
      </c>
      <c r="AP240">
        <f ca="1"/>
      </c>
      <c r="AQ240">
        <f ca="1"/>
      </c>
      <c r="AR240">
        <f ca="1"/>
      </c>
      <c r="AS240">
        <f ca="1"/>
      </c>
      <c r="AT240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AZ240">
        <f ca="1"/>
      </c>
      <c r="BA240">
        <f ca="1"/>
      </c>
      <c r="BB240">
        <f ca="1"/>
      </c>
      <c r="BC240">
        <f ca="1"/>
      </c>
      <c r="BD240">
        <f ca="1"/>
      </c>
      <c r="BE240">
        <f ca="1"/>
      </c>
      <c r="BF240">
        <f ca="1"/>
      </c>
      <c r="BG240">
        <f ca="1"/>
      </c>
      <c r="BH240">
        <f ca="1"/>
      </c>
      <c r="BI240">
        <f ca="1"/>
      </c>
      <c r="BJ240">
        <f ca="1"/>
      </c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F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B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M240" s="7">
        <f ca="1"/>
      </c>
      <c r="GN240">
        <f ca="1"/>
      </c>
      <c r="GO240">
        <f ca="1"/>
      </c>
      <c r="GP240">
        <f ca="1"/>
      </c>
      <c r="GQ240">
        <f ca="1"/>
      </c>
    </row>
    <row r="241" spans="41:199" x14ac:dyDescent="0.55000000000000004">
      <c r="AO241">
        <f ca="1"/>
      </c>
      <c r="AP241">
        <f ca="1"/>
      </c>
      <c r="AQ241">
        <f ca="1"/>
      </c>
      <c r="AR241">
        <f ca="1"/>
      </c>
      <c r="AS241">
        <f ca="1"/>
      </c>
      <c r="AT241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AZ241">
        <f ca="1"/>
      </c>
      <c r="BA241">
        <f ca="1"/>
      </c>
      <c r="BB241">
        <f ca="1"/>
      </c>
      <c r="BC241">
        <f ca="1"/>
      </c>
      <c r="BD241">
        <f ca="1"/>
      </c>
      <c r="BE241">
        <f ca="1"/>
      </c>
      <c r="BF241">
        <f ca="1"/>
      </c>
      <c r="BG241">
        <f ca="1"/>
      </c>
      <c r="BH241">
        <f ca="1"/>
      </c>
      <c r="BI241">
        <f ca="1"/>
      </c>
      <c r="BJ241">
        <f ca="1"/>
      </c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F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B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M241" s="7">
        <f ca="1"/>
      </c>
      <c r="GN241">
        <f ca="1"/>
      </c>
      <c r="GO241">
        <f ca="1"/>
      </c>
      <c r="GP241">
        <f ca="1"/>
      </c>
      <c r="GQ241">
        <f ca="1"/>
      </c>
    </row>
    <row r="242" spans="41:199" x14ac:dyDescent="0.55000000000000004">
      <c r="AO242">
        <f ca="1"/>
      </c>
      <c r="AP242">
        <f ca="1"/>
      </c>
      <c r="AQ242">
        <f ca="1"/>
      </c>
      <c r="AR242">
        <f ca="1"/>
      </c>
      <c r="AS242">
        <f ca="1"/>
      </c>
      <c r="AT242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AZ242">
        <f ca="1"/>
      </c>
      <c r="BA242">
        <f ca="1"/>
      </c>
      <c r="BB242">
        <f ca="1"/>
      </c>
      <c r="BC242">
        <f ca="1"/>
      </c>
      <c r="BD242">
        <f ca="1"/>
      </c>
      <c r="BE242">
        <f ca="1"/>
      </c>
      <c r="BF242">
        <f ca="1"/>
      </c>
      <c r="BG242">
        <f ca="1"/>
      </c>
      <c r="BH242">
        <f ca="1"/>
      </c>
      <c r="BI242">
        <f ca="1"/>
      </c>
      <c r="BJ242">
        <f ca="1"/>
      </c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F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B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M242" s="7">
        <f ca="1"/>
      </c>
      <c r="GN242">
        <f ca="1"/>
      </c>
      <c r="GO242">
        <f ca="1"/>
      </c>
      <c r="GP242">
        <f ca="1"/>
      </c>
      <c r="GQ242">
        <f ca="1"/>
      </c>
    </row>
    <row r="243" spans="41:199" x14ac:dyDescent="0.55000000000000004">
      <c r="AO243">
        <f ca="1"/>
      </c>
      <c r="AP243">
        <f ca="1"/>
      </c>
      <c r="AQ243">
        <f ca="1"/>
      </c>
      <c r="AR243">
        <f ca="1"/>
      </c>
      <c r="AS243">
        <f ca="1"/>
      </c>
      <c r="AT243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AZ243">
        <f ca="1"/>
      </c>
      <c r="BA243">
        <f ca="1"/>
      </c>
      <c r="BB243">
        <f ca="1"/>
      </c>
      <c r="BC243">
        <f ca="1"/>
      </c>
      <c r="BD243">
        <f ca="1"/>
      </c>
      <c r="BE243">
        <f ca="1"/>
      </c>
      <c r="BF243">
        <f ca="1"/>
      </c>
      <c r="BG243">
        <f ca="1"/>
      </c>
      <c r="BH243">
        <f ca="1"/>
      </c>
      <c r="BI243">
        <f ca="1"/>
      </c>
      <c r="BJ243">
        <f ca="1"/>
      </c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F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B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M243" s="7">
        <f ca="1"/>
      </c>
      <c r="GN243">
        <f ca="1"/>
      </c>
      <c r="GO243">
        <f ca="1"/>
      </c>
      <c r="GP243">
        <f ca="1"/>
      </c>
      <c r="GQ243">
        <f ca="1"/>
      </c>
    </row>
    <row r="244" spans="41:199" x14ac:dyDescent="0.55000000000000004">
      <c r="AO244">
        <f ca="1"/>
      </c>
      <c r="AP244">
        <f ca="1"/>
      </c>
      <c r="AQ244">
        <f ca="1"/>
      </c>
      <c r="AR244">
        <f ca="1"/>
      </c>
      <c r="AS244">
        <f ca="1"/>
      </c>
      <c r="AT244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AZ244">
        <f ca="1"/>
      </c>
      <c r="BA244">
        <f ca="1"/>
      </c>
      <c r="BB244">
        <f ca="1"/>
      </c>
      <c r="BC244">
        <f ca="1"/>
      </c>
      <c r="BD244">
        <f ca="1"/>
      </c>
      <c r="BE244">
        <f ca="1"/>
      </c>
      <c r="BF244">
        <f ca="1"/>
      </c>
      <c r="BG244">
        <f ca="1"/>
      </c>
      <c r="BH244">
        <f ca="1"/>
      </c>
      <c r="BI244">
        <f ca="1"/>
      </c>
      <c r="BJ244">
        <f ca="1"/>
      </c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F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B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M244" s="7">
        <f ca="1"/>
      </c>
      <c r="GN244">
        <f ca="1"/>
      </c>
      <c r="GO244">
        <f ca="1"/>
      </c>
      <c r="GP244">
        <f ca="1"/>
      </c>
      <c r="GQ244">
        <f ca="1"/>
      </c>
    </row>
    <row r="245" spans="41:199" x14ac:dyDescent="0.55000000000000004">
      <c r="AO245">
        <f ca="1"/>
      </c>
      <c r="AP245">
        <f ca="1"/>
      </c>
      <c r="AQ245">
        <f ca="1"/>
      </c>
      <c r="AR245">
        <f ca="1"/>
      </c>
      <c r="AS245">
        <f ca="1"/>
      </c>
      <c r="AT245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AZ245">
        <f ca="1"/>
      </c>
      <c r="BA245">
        <f ca="1"/>
      </c>
      <c r="BB245">
        <f ca="1"/>
      </c>
      <c r="BC245">
        <f ca="1"/>
      </c>
      <c r="BD245">
        <f ca="1"/>
      </c>
      <c r="BE245">
        <f ca="1"/>
      </c>
      <c r="BF245">
        <f ca="1"/>
      </c>
      <c r="BG245">
        <f ca="1"/>
      </c>
      <c r="BH245">
        <f ca="1"/>
      </c>
      <c r="BI245">
        <f ca="1"/>
      </c>
      <c r="BJ245">
        <f ca="1"/>
      </c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F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B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M245" s="7"/>
    </row>
    <row r="246" spans="41:199" x14ac:dyDescent="0.55000000000000004">
      <c r="AO246">
        <f ca="1"/>
      </c>
      <c r="AP246">
        <f ca="1"/>
      </c>
      <c r="AQ246">
        <f ca="1"/>
      </c>
      <c r="AR246">
        <f ca="1"/>
      </c>
      <c r="AS246">
        <f ca="1"/>
      </c>
      <c r="AT246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AZ246">
        <f ca="1"/>
      </c>
      <c r="BA246">
        <f ca="1"/>
      </c>
      <c r="BB246">
        <f ca="1"/>
      </c>
      <c r="BC246">
        <f ca="1"/>
      </c>
      <c r="BD246">
        <f ca="1"/>
      </c>
      <c r="BE246">
        <f ca="1"/>
      </c>
      <c r="BF246">
        <f ca="1"/>
      </c>
      <c r="BG246">
        <f ca="1"/>
      </c>
      <c r="BH246">
        <f ca="1"/>
      </c>
      <c r="BI246">
        <f ca="1"/>
      </c>
      <c r="BJ246">
        <f ca="1"/>
      </c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F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B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M246" s="7"/>
    </row>
    <row r="247" spans="41:199" x14ac:dyDescent="0.55000000000000004">
      <c r="AO247">
        <f ca="1"/>
      </c>
      <c r="AP247">
        <f ca="1"/>
      </c>
      <c r="AQ247">
        <f ca="1"/>
      </c>
      <c r="AR247">
        <f ca="1"/>
      </c>
      <c r="AS247">
        <f ca="1"/>
      </c>
      <c r="AT24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AZ247">
        <f ca="1"/>
      </c>
      <c r="BA247">
        <f ca="1"/>
      </c>
      <c r="BB247">
        <f ca="1"/>
      </c>
      <c r="BC247">
        <f ca="1"/>
      </c>
      <c r="BD247">
        <f ca="1"/>
      </c>
      <c r="BE247">
        <f ca="1"/>
      </c>
      <c r="BF247">
        <f ca="1"/>
      </c>
      <c r="BG247">
        <f ca="1"/>
      </c>
      <c r="BH247">
        <f ca="1"/>
      </c>
      <c r="BI247">
        <f ca="1"/>
      </c>
      <c r="BJ247">
        <f ca="1"/>
      </c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F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B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M247" s="7"/>
    </row>
    <row r="248" spans="41:199" x14ac:dyDescent="0.55000000000000004">
      <c r="AO248">
        <f ca="1"/>
      </c>
      <c r="AP248">
        <f ca="1"/>
      </c>
      <c r="AQ248">
        <f ca="1"/>
      </c>
      <c r="AR248">
        <f ca="1"/>
      </c>
      <c r="AS248">
        <f ca="1"/>
      </c>
      <c r="AT248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AZ248">
        <f ca="1"/>
      </c>
      <c r="BA248">
        <f ca="1"/>
      </c>
      <c r="BB248">
        <f ca="1"/>
      </c>
      <c r="BC248">
        <f ca="1"/>
      </c>
      <c r="BD248">
        <f ca="1"/>
      </c>
      <c r="BE248">
        <f ca="1"/>
      </c>
      <c r="BF248">
        <f ca="1"/>
      </c>
      <c r="BG248">
        <f ca="1"/>
      </c>
      <c r="BH248">
        <f ca="1"/>
      </c>
      <c r="BI248">
        <f ca="1"/>
      </c>
      <c r="BJ248">
        <f ca="1"/>
      </c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F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B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M248" s="7"/>
    </row>
    <row r="249" spans="41:199" x14ac:dyDescent="0.55000000000000004">
      <c r="AO249">
        <f ca="1"/>
      </c>
      <c r="AP249">
        <f ca="1"/>
      </c>
      <c r="AQ249">
        <f ca="1"/>
      </c>
      <c r="AR249">
        <f ca="1"/>
      </c>
      <c r="AS249">
        <f ca="1"/>
      </c>
      <c r="AT249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AZ249">
        <f ca="1"/>
      </c>
      <c r="BA249">
        <f ca="1"/>
      </c>
      <c r="BB249">
        <f ca="1"/>
      </c>
      <c r="BC249">
        <f ca="1"/>
      </c>
      <c r="BD249">
        <f ca="1"/>
      </c>
      <c r="BE249">
        <f ca="1"/>
      </c>
      <c r="BF249">
        <f ca="1"/>
      </c>
      <c r="BG249">
        <f ca="1"/>
      </c>
      <c r="BH249">
        <f ca="1"/>
      </c>
      <c r="BI249">
        <f ca="1"/>
      </c>
      <c r="BJ249">
        <f ca="1"/>
      </c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F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B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M249" s="7"/>
    </row>
    <row r="250" spans="41:199" x14ac:dyDescent="0.55000000000000004">
      <c r="AO250">
        <f ca="1"/>
      </c>
      <c r="AP250">
        <f ca="1"/>
      </c>
      <c r="AQ250">
        <f ca="1"/>
      </c>
      <c r="AR250">
        <f ca="1"/>
      </c>
      <c r="AS250">
        <f ca="1"/>
      </c>
      <c r="AT250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AZ250">
        <f ca="1"/>
      </c>
      <c r="BA250">
        <f ca="1"/>
      </c>
      <c r="BB250">
        <f ca="1"/>
      </c>
      <c r="BC250">
        <f ca="1"/>
      </c>
      <c r="BD250">
        <f ca="1"/>
      </c>
      <c r="BE250">
        <f ca="1"/>
      </c>
      <c r="BF250">
        <f ca="1"/>
      </c>
      <c r="BG250">
        <f ca="1"/>
      </c>
      <c r="BH250">
        <f ca="1"/>
      </c>
      <c r="BI250">
        <f ca="1"/>
      </c>
      <c r="BJ250">
        <f ca="1"/>
      </c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F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B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M250" s="7"/>
    </row>
    <row r="251" spans="41:199" x14ac:dyDescent="0.55000000000000004">
      <c r="AO251">
        <f ca="1"/>
      </c>
      <c r="AP251">
        <f ca="1"/>
      </c>
      <c r="AQ251">
        <f ca="1"/>
      </c>
      <c r="AR251">
        <f ca="1"/>
      </c>
      <c r="AS251">
        <f ca="1"/>
      </c>
      <c r="AT251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AZ251">
        <f ca="1"/>
      </c>
      <c r="BA251">
        <f ca="1"/>
      </c>
      <c r="BB251">
        <f ca="1"/>
      </c>
      <c r="BC251">
        <f ca="1"/>
      </c>
      <c r="BD251">
        <f ca="1"/>
      </c>
      <c r="BE251">
        <f ca="1"/>
      </c>
      <c r="BF251">
        <f ca="1"/>
      </c>
      <c r="BG251">
        <f ca="1"/>
      </c>
      <c r="BH251">
        <f ca="1"/>
      </c>
      <c r="BI251">
        <f ca="1"/>
      </c>
      <c r="BJ251">
        <f ca="1"/>
      </c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F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B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M251" s="7"/>
    </row>
    <row r="252" spans="41:199" x14ac:dyDescent="0.55000000000000004">
      <c r="AO252">
        <f ca="1"/>
      </c>
      <c r="AP252">
        <f ca="1"/>
      </c>
      <c r="AQ252">
        <f ca="1"/>
      </c>
      <c r="AR252">
        <f ca="1"/>
      </c>
      <c r="AS252">
        <f ca="1"/>
      </c>
      <c r="AT252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AZ252">
        <f ca="1"/>
      </c>
      <c r="BA252">
        <f ca="1"/>
      </c>
      <c r="BB252">
        <f ca="1"/>
      </c>
      <c r="BC252">
        <f ca="1"/>
      </c>
      <c r="BD252">
        <f ca="1"/>
      </c>
      <c r="BE252">
        <f ca="1"/>
      </c>
      <c r="BF252">
        <f ca="1"/>
      </c>
      <c r="BG252">
        <f ca="1"/>
      </c>
      <c r="BH252">
        <f ca="1"/>
      </c>
      <c r="BI252">
        <f ca="1"/>
      </c>
      <c r="BJ252">
        <f ca="1"/>
      </c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F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B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M252" s="7"/>
    </row>
    <row r="253" spans="41:199" x14ac:dyDescent="0.55000000000000004">
      <c r="AO253">
        <f ca="1"/>
      </c>
      <c r="AP253">
        <f ca="1"/>
      </c>
      <c r="AQ253">
        <f ca="1"/>
      </c>
      <c r="AR253">
        <f ca="1"/>
      </c>
      <c r="AS253">
        <f ca="1"/>
      </c>
      <c r="AT253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AZ253">
        <f ca="1"/>
      </c>
      <c r="BA253">
        <f ca="1"/>
      </c>
      <c r="BB253">
        <f ca="1"/>
      </c>
      <c r="BC253">
        <f ca="1"/>
      </c>
      <c r="BD253">
        <f ca="1"/>
      </c>
      <c r="BE253">
        <f ca="1"/>
      </c>
      <c r="BF253">
        <f ca="1"/>
      </c>
      <c r="BG253">
        <f ca="1"/>
      </c>
      <c r="BH253">
        <f ca="1"/>
      </c>
      <c r="BI253">
        <f ca="1"/>
      </c>
      <c r="BJ253">
        <f ca="1"/>
      </c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F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B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M253" s="7"/>
    </row>
    <row r="254" spans="41:199" x14ac:dyDescent="0.55000000000000004">
      <c r="AO254">
        <f ca="1"/>
      </c>
      <c r="AP254">
        <f ca="1"/>
      </c>
      <c r="AQ254">
        <f ca="1"/>
      </c>
      <c r="AR254">
        <f ca="1"/>
      </c>
      <c r="AS254">
        <f ca="1"/>
      </c>
      <c r="AT254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AZ254">
        <f ca="1"/>
      </c>
      <c r="BA254">
        <f ca="1"/>
      </c>
      <c r="BB254">
        <f ca="1"/>
      </c>
      <c r="BC254">
        <f ca="1"/>
      </c>
      <c r="BD254">
        <f ca="1"/>
      </c>
      <c r="BE254">
        <f ca="1"/>
      </c>
      <c r="BF254">
        <f ca="1"/>
      </c>
      <c r="BG254">
        <f ca="1"/>
      </c>
      <c r="BH254">
        <f ca="1"/>
      </c>
      <c r="BI254">
        <f ca="1"/>
      </c>
      <c r="BJ254">
        <f ca="1"/>
      </c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F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M254" s="7"/>
    </row>
    <row r="255" spans="41:199" x14ac:dyDescent="0.55000000000000004">
      <c r="AO255">
        <f ca="1"/>
      </c>
      <c r="AP255">
        <f ca="1"/>
      </c>
      <c r="AQ255">
        <f ca="1"/>
      </c>
      <c r="AR255">
        <f ca="1"/>
      </c>
      <c r="AS255">
        <f ca="1"/>
      </c>
      <c r="AT255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AZ255">
        <f ca="1"/>
      </c>
      <c r="BA255">
        <f ca="1"/>
      </c>
      <c r="BB255">
        <f ca="1"/>
      </c>
      <c r="BC255">
        <f ca="1"/>
      </c>
      <c r="BD255">
        <f ca="1"/>
      </c>
      <c r="BE255">
        <f ca="1"/>
      </c>
      <c r="BF255">
        <f ca="1"/>
      </c>
      <c r="BG255">
        <f ca="1"/>
      </c>
      <c r="BH255">
        <f ca="1"/>
      </c>
      <c r="BI255">
        <f ca="1"/>
      </c>
      <c r="BJ255">
        <f ca="1"/>
      </c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F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M255" s="7"/>
    </row>
    <row r="256" spans="41:199" x14ac:dyDescent="0.55000000000000004">
      <c r="AO256">
        <f ca="1"/>
      </c>
      <c r="AP256">
        <f ca="1"/>
      </c>
      <c r="AQ256">
        <f ca="1"/>
      </c>
      <c r="AR256">
        <f ca="1"/>
      </c>
      <c r="AS256">
        <f ca="1"/>
      </c>
      <c r="AT256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AZ256">
        <f ca="1"/>
      </c>
      <c r="BA256">
        <f ca="1"/>
      </c>
      <c r="BB256">
        <f ca="1"/>
      </c>
      <c r="BC256">
        <f ca="1"/>
      </c>
      <c r="BD256">
        <f ca="1"/>
      </c>
      <c r="BE256">
        <f ca="1"/>
      </c>
      <c r="BF256">
        <f ca="1"/>
      </c>
      <c r="BG256">
        <f ca="1"/>
      </c>
      <c r="BH256">
        <f ca="1"/>
      </c>
      <c r="BI256">
        <f ca="1"/>
      </c>
      <c r="BJ256">
        <f ca="1"/>
      </c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F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M256" s="7"/>
    </row>
    <row r="257" spans="41:195" x14ac:dyDescent="0.55000000000000004">
      <c r="AO257">
        <f ca="1"/>
      </c>
      <c r="AP257">
        <f ca="1"/>
      </c>
      <c r="AQ257">
        <f ca="1"/>
      </c>
      <c r="AR257">
        <f ca="1"/>
      </c>
      <c r="AS257">
        <f ca="1"/>
      </c>
      <c r="AT25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AZ257">
        <f ca="1"/>
      </c>
      <c r="BA257">
        <f ca="1"/>
      </c>
      <c r="BB257">
        <f ca="1"/>
      </c>
      <c r="BC257">
        <f ca="1"/>
      </c>
      <c r="BD257">
        <f ca="1"/>
      </c>
      <c r="BE257">
        <f ca="1"/>
      </c>
      <c r="BF257">
        <f ca="1"/>
      </c>
      <c r="BG257">
        <f ca="1"/>
      </c>
      <c r="BH257">
        <f ca="1"/>
      </c>
      <c r="BI257">
        <f ca="1"/>
      </c>
      <c r="BJ257">
        <f ca="1"/>
      </c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F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M257" s="7"/>
    </row>
    <row r="258" spans="41:195" x14ac:dyDescent="0.55000000000000004">
      <c r="AO258">
        <f ca="1"/>
      </c>
      <c r="AP258">
        <f ca="1"/>
      </c>
      <c r="AQ258">
        <f ca="1"/>
      </c>
      <c r="AR258">
        <f ca="1"/>
      </c>
      <c r="AS258">
        <f ca="1"/>
      </c>
      <c r="AT258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AZ258">
        <f ca="1"/>
      </c>
      <c r="BA258">
        <f ca="1"/>
      </c>
      <c r="BB258">
        <f ca="1"/>
      </c>
      <c r="BC258">
        <f ca="1"/>
      </c>
      <c r="BD258">
        <f ca="1"/>
      </c>
      <c r="BE258">
        <f ca="1"/>
      </c>
      <c r="BF258">
        <f ca="1"/>
      </c>
      <c r="BG258">
        <f ca="1"/>
      </c>
      <c r="BH258">
        <f ca="1"/>
      </c>
      <c r="BI258">
        <f ca="1"/>
      </c>
      <c r="BJ258">
        <f ca="1"/>
      </c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F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M258" s="7"/>
    </row>
    <row r="259" spans="41:195" x14ac:dyDescent="0.55000000000000004">
      <c r="AO259">
        <f ca="1"/>
      </c>
      <c r="AP259">
        <f ca="1"/>
      </c>
      <c r="AQ259">
        <f ca="1"/>
      </c>
      <c r="AR259">
        <f ca="1"/>
      </c>
      <c r="AS259">
        <f ca="1"/>
      </c>
      <c r="AT259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AZ259">
        <f ca="1"/>
      </c>
      <c r="BA259">
        <f ca="1"/>
      </c>
      <c r="BB259">
        <f ca="1"/>
      </c>
      <c r="BC259">
        <f ca="1"/>
      </c>
      <c r="BD259">
        <f ca="1"/>
      </c>
      <c r="BE259">
        <f ca="1"/>
      </c>
      <c r="BF259">
        <f ca="1"/>
      </c>
      <c r="BG259">
        <f ca="1"/>
      </c>
      <c r="BH259">
        <f ca="1"/>
      </c>
      <c r="BI259">
        <f ca="1"/>
      </c>
      <c r="BJ259">
        <f ca="1"/>
      </c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F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M259" s="7"/>
    </row>
    <row r="260" spans="41:195" x14ac:dyDescent="0.55000000000000004">
      <c r="AO260">
        <f ca="1"/>
      </c>
      <c r="AP260">
        <f ca="1"/>
      </c>
      <c r="AQ260">
        <f ca="1"/>
      </c>
      <c r="AR260">
        <f ca="1"/>
      </c>
      <c r="AS260">
        <f ca="1"/>
      </c>
      <c r="AT260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AZ260">
        <f ca="1"/>
      </c>
      <c r="BA260">
        <f ca="1"/>
      </c>
      <c r="BB260">
        <f ca="1"/>
      </c>
      <c r="BC260">
        <f ca="1"/>
      </c>
      <c r="BD260">
        <f ca="1"/>
      </c>
      <c r="BE260">
        <f ca="1"/>
      </c>
      <c r="BF260">
        <f ca="1"/>
      </c>
      <c r="BG260">
        <f ca="1"/>
      </c>
      <c r="BH260">
        <f ca="1"/>
      </c>
      <c r="BI260">
        <f ca="1"/>
      </c>
      <c r="BJ260">
        <f ca="1"/>
      </c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F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M260" s="7"/>
    </row>
    <row r="261" spans="41:195" x14ac:dyDescent="0.55000000000000004">
      <c r="AO261">
        <f ca="1"/>
      </c>
      <c r="AP261">
        <f ca="1"/>
      </c>
      <c r="AQ261">
        <f ca="1"/>
      </c>
      <c r="AR261">
        <f ca="1"/>
      </c>
      <c r="AS261">
        <f ca="1"/>
      </c>
      <c r="AT261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AZ261">
        <f ca="1"/>
      </c>
      <c r="BA261">
        <f ca="1"/>
      </c>
      <c r="BB261">
        <f ca="1"/>
      </c>
      <c r="BC261">
        <f ca="1"/>
      </c>
      <c r="BD261">
        <f ca="1"/>
      </c>
      <c r="BE261">
        <f ca="1"/>
      </c>
      <c r="BF261">
        <f ca="1"/>
      </c>
      <c r="BG261">
        <f ca="1"/>
      </c>
      <c r="BH261">
        <f ca="1"/>
      </c>
      <c r="BI261">
        <f ca="1"/>
      </c>
      <c r="BJ261">
        <f ca="1"/>
      </c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F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M261" s="7"/>
    </row>
    <row r="262" spans="41:195" x14ac:dyDescent="0.55000000000000004">
      <c r="AO262">
        <f ca="1"/>
      </c>
      <c r="AP262">
        <f ca="1"/>
      </c>
      <c r="AQ262">
        <f ca="1"/>
      </c>
      <c r="AR262">
        <f ca="1"/>
      </c>
      <c r="AS262">
        <f ca="1"/>
      </c>
      <c r="AT262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AZ262">
        <f ca="1"/>
      </c>
      <c r="BA262">
        <f ca="1"/>
      </c>
      <c r="BB262">
        <f ca="1"/>
      </c>
      <c r="BC262">
        <f ca="1"/>
      </c>
      <c r="BD262">
        <f ca="1"/>
      </c>
      <c r="BE262">
        <f ca="1"/>
      </c>
      <c r="BF262">
        <f ca="1"/>
      </c>
      <c r="BG262">
        <f ca="1"/>
      </c>
      <c r="BH262">
        <f ca="1"/>
      </c>
      <c r="BI262">
        <f ca="1"/>
      </c>
      <c r="BJ262">
        <f ca="1"/>
      </c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F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M262" s="7"/>
    </row>
    <row r="263" spans="41:195" x14ac:dyDescent="0.55000000000000004">
      <c r="AO263">
        <f ca="1"/>
      </c>
      <c r="AP263">
        <f ca="1"/>
      </c>
      <c r="AQ263">
        <f ca="1"/>
      </c>
      <c r="AR263">
        <f ca="1"/>
      </c>
      <c r="AS263">
        <f ca="1"/>
      </c>
      <c r="AT263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AZ263">
        <f ca="1"/>
      </c>
      <c r="BA263">
        <f ca="1"/>
      </c>
      <c r="BB263">
        <f ca="1"/>
      </c>
      <c r="BC263">
        <f ca="1"/>
      </c>
      <c r="BD263">
        <f ca="1"/>
      </c>
      <c r="BE263">
        <f ca="1"/>
      </c>
      <c r="BF263">
        <f ca="1"/>
      </c>
      <c r="BG263">
        <f ca="1"/>
      </c>
      <c r="BH263">
        <f ca="1"/>
      </c>
      <c r="BI263">
        <f ca="1"/>
      </c>
      <c r="BJ263">
        <f ca="1"/>
      </c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F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M263" s="7"/>
    </row>
    <row r="264" spans="41:195" x14ac:dyDescent="0.55000000000000004">
      <c r="AO264">
        <f ca="1"/>
      </c>
      <c r="AP264">
        <f ca="1"/>
      </c>
      <c r="AQ264">
        <f ca="1"/>
      </c>
      <c r="AR264">
        <f ca="1"/>
      </c>
      <c r="AS264">
        <f ca="1"/>
      </c>
      <c r="AT264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AZ264">
        <f ca="1"/>
      </c>
      <c r="BA264">
        <f ca="1"/>
      </c>
      <c r="BB264">
        <f ca="1"/>
      </c>
      <c r="BC264">
        <f ca="1"/>
      </c>
      <c r="BD264">
        <f ca="1"/>
      </c>
      <c r="BE264">
        <f ca="1"/>
      </c>
      <c r="BF264">
        <f ca="1"/>
      </c>
      <c r="BG264">
        <f ca="1"/>
      </c>
      <c r="BH264">
        <f ca="1"/>
      </c>
      <c r="BI264">
        <f ca="1"/>
      </c>
      <c r="BJ264">
        <f ca="1"/>
      </c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F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M264" s="7"/>
    </row>
    <row r="265" spans="41:195" x14ac:dyDescent="0.55000000000000004">
      <c r="AO265">
        <f ca="1"/>
      </c>
      <c r="AP265">
        <f ca="1"/>
      </c>
      <c r="AQ265">
        <f ca="1"/>
      </c>
      <c r="AR265">
        <f ca="1"/>
      </c>
      <c r="AS265">
        <f ca="1"/>
      </c>
      <c r="AT265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AZ265">
        <f ca="1"/>
      </c>
      <c r="BA265">
        <f ca="1"/>
      </c>
      <c r="BB265">
        <f ca="1"/>
      </c>
      <c r="BC265">
        <f ca="1"/>
      </c>
      <c r="BD265">
        <f ca="1"/>
      </c>
      <c r="BE265">
        <f ca="1"/>
      </c>
      <c r="BF265">
        <f ca="1"/>
      </c>
      <c r="BG265">
        <f ca="1"/>
      </c>
      <c r="BH265">
        <f ca="1"/>
      </c>
      <c r="BI265">
        <f ca="1"/>
      </c>
      <c r="BJ265">
        <f ca="1"/>
      </c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F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M265" s="7"/>
    </row>
    <row r="266" spans="41:195" x14ac:dyDescent="0.55000000000000004">
      <c r="AO266">
        <f ca="1"/>
      </c>
      <c r="AP266">
        <f ca="1"/>
      </c>
      <c r="AQ266">
        <f ca="1"/>
      </c>
      <c r="AR266">
        <f ca="1"/>
      </c>
      <c r="AS266">
        <f ca="1"/>
      </c>
      <c r="AT266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AZ266">
        <f ca="1"/>
      </c>
      <c r="BA266">
        <f ca="1"/>
      </c>
      <c r="BB266">
        <f ca="1"/>
      </c>
      <c r="BC266">
        <f ca="1"/>
      </c>
      <c r="BD266">
        <f ca="1"/>
      </c>
      <c r="BE266">
        <f ca="1"/>
      </c>
      <c r="BF266">
        <f ca="1"/>
      </c>
      <c r="BG266">
        <f ca="1"/>
      </c>
      <c r="BH266">
        <f ca="1"/>
      </c>
      <c r="BI266">
        <f ca="1"/>
      </c>
      <c r="BJ266">
        <f ca="1"/>
      </c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F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M266" s="7"/>
    </row>
    <row r="267" spans="41:195" x14ac:dyDescent="0.55000000000000004">
      <c r="AO267">
        <f ca="1"/>
      </c>
      <c r="AP267">
        <f ca="1"/>
      </c>
      <c r="AQ267">
        <f ca="1"/>
      </c>
      <c r="AR267">
        <f ca="1"/>
      </c>
      <c r="AS267">
        <f ca="1"/>
      </c>
      <c r="AT26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AZ267">
        <f ca="1"/>
      </c>
      <c r="BA267">
        <f ca="1"/>
      </c>
      <c r="BB267">
        <f ca="1"/>
      </c>
      <c r="BC267">
        <f ca="1"/>
      </c>
      <c r="BD267">
        <f ca="1"/>
      </c>
      <c r="BE267">
        <f ca="1"/>
      </c>
      <c r="BF267">
        <f ca="1"/>
      </c>
      <c r="BG267">
        <f ca="1"/>
      </c>
      <c r="BH267">
        <f ca="1"/>
      </c>
      <c r="BI267">
        <f ca="1"/>
      </c>
      <c r="BJ267">
        <f ca="1"/>
      </c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F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M267" s="7"/>
    </row>
    <row r="268" spans="41:195" x14ac:dyDescent="0.55000000000000004">
      <c r="AO268">
        <f ca="1"/>
      </c>
      <c r="AP268">
        <f ca="1"/>
      </c>
      <c r="AQ268">
        <f ca="1"/>
      </c>
      <c r="AR268">
        <f ca="1"/>
      </c>
      <c r="AS268">
        <f ca="1"/>
      </c>
      <c r="AT268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AZ268">
        <f ca="1"/>
      </c>
      <c r="BA268">
        <f ca="1"/>
      </c>
      <c r="BB268">
        <f ca="1"/>
      </c>
      <c r="BC268">
        <f ca="1"/>
      </c>
      <c r="BD268">
        <f ca="1"/>
      </c>
      <c r="BE268">
        <f ca="1"/>
      </c>
      <c r="BF268">
        <f ca="1"/>
      </c>
      <c r="BG268">
        <f ca="1"/>
      </c>
      <c r="BH268">
        <f ca="1"/>
      </c>
      <c r="BI268">
        <f ca="1"/>
      </c>
      <c r="BJ268">
        <f ca="1"/>
      </c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F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M268" s="7"/>
    </row>
    <row r="269" spans="41:195" x14ac:dyDescent="0.55000000000000004">
      <c r="AO269">
        <f ca="1"/>
      </c>
      <c r="AP269">
        <f ca="1"/>
      </c>
      <c r="AQ269">
        <f ca="1"/>
      </c>
      <c r="AR269">
        <f ca="1"/>
      </c>
      <c r="AS269">
        <f ca="1"/>
      </c>
      <c r="AT269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AZ269">
        <f ca="1"/>
      </c>
      <c r="BA269">
        <f ca="1"/>
      </c>
      <c r="BB269">
        <f ca="1"/>
      </c>
      <c r="BC269">
        <f ca="1"/>
      </c>
      <c r="BD269">
        <f ca="1"/>
      </c>
      <c r="BE269">
        <f ca="1"/>
      </c>
      <c r="BF269">
        <f ca="1"/>
      </c>
      <c r="BG269">
        <f ca="1"/>
      </c>
      <c r="BH269">
        <f ca="1"/>
      </c>
      <c r="BI269">
        <f ca="1"/>
      </c>
      <c r="BJ269">
        <f ca="1"/>
      </c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F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M269" s="7"/>
    </row>
    <row r="270" spans="41:195" x14ac:dyDescent="0.55000000000000004">
      <c r="AO270">
        <f ca="1"/>
      </c>
      <c r="AP270">
        <f ca="1"/>
      </c>
      <c r="AQ270">
        <f ca="1"/>
      </c>
      <c r="AR270">
        <f ca="1"/>
      </c>
      <c r="AS270">
        <f ca="1"/>
      </c>
      <c r="AT270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AZ270">
        <f ca="1"/>
      </c>
      <c r="BA270">
        <f ca="1"/>
      </c>
      <c r="BB270">
        <f ca="1"/>
      </c>
      <c r="BC270">
        <f ca="1"/>
      </c>
      <c r="BD270">
        <f ca="1"/>
      </c>
      <c r="BE270">
        <f ca="1"/>
      </c>
      <c r="BF270">
        <f ca="1"/>
      </c>
      <c r="BG270">
        <f ca="1"/>
      </c>
      <c r="BH270">
        <f ca="1"/>
      </c>
      <c r="BI270">
        <f ca="1"/>
      </c>
      <c r="BJ270">
        <f ca="1"/>
      </c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F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M270" s="7"/>
    </row>
    <row r="271" spans="41:195" x14ac:dyDescent="0.55000000000000004">
      <c r="AO271">
        <f ca="1"/>
      </c>
      <c r="AP271">
        <f ca="1"/>
      </c>
      <c r="AQ271">
        <f ca="1"/>
      </c>
      <c r="AR271">
        <f ca="1"/>
      </c>
      <c r="AS271">
        <f ca="1"/>
      </c>
      <c r="AT271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AZ271">
        <f ca="1"/>
      </c>
      <c r="BA271">
        <f ca="1"/>
      </c>
      <c r="BB271">
        <f ca="1"/>
      </c>
      <c r="BC271">
        <f ca="1"/>
      </c>
      <c r="BD271">
        <f ca="1"/>
      </c>
      <c r="BE271">
        <f ca="1"/>
      </c>
      <c r="BF271">
        <f ca="1"/>
      </c>
      <c r="BG271">
        <f ca="1"/>
      </c>
      <c r="BH271">
        <f ca="1"/>
      </c>
      <c r="BI271">
        <f ca="1"/>
      </c>
      <c r="BJ271">
        <f ca="1"/>
      </c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F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M271" s="7"/>
    </row>
    <row r="272" spans="41:195" x14ac:dyDescent="0.55000000000000004">
      <c r="AO272">
        <f ca="1"/>
      </c>
      <c r="AP272">
        <f ca="1"/>
      </c>
      <c r="AQ272">
        <f ca="1"/>
      </c>
      <c r="AR272">
        <f ca="1"/>
      </c>
      <c r="AS272">
        <f ca="1"/>
      </c>
      <c r="AT272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AZ272">
        <f ca="1"/>
      </c>
      <c r="BA272">
        <f ca="1"/>
      </c>
      <c r="BB272">
        <f ca="1"/>
      </c>
      <c r="BC272">
        <f ca="1"/>
      </c>
      <c r="BD272">
        <f ca="1"/>
      </c>
      <c r="BE272">
        <f ca="1"/>
      </c>
      <c r="BF272">
        <f ca="1"/>
      </c>
      <c r="BG272">
        <f ca="1"/>
      </c>
      <c r="BH272">
        <f ca="1"/>
      </c>
      <c r="BI272">
        <f ca="1"/>
      </c>
      <c r="BJ272">
        <f ca="1"/>
      </c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F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B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M272" s="7"/>
    </row>
    <row r="273" spans="41:195" x14ac:dyDescent="0.55000000000000004">
      <c r="AO273">
        <f ca="1"/>
      </c>
      <c r="AP273">
        <f ca="1"/>
      </c>
      <c r="AQ273">
        <f ca="1"/>
      </c>
      <c r="AR273">
        <f ca="1"/>
      </c>
      <c r="AS273">
        <f ca="1"/>
      </c>
      <c r="AT273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AZ273">
        <f ca="1"/>
      </c>
      <c r="BA273">
        <f ca="1"/>
      </c>
      <c r="BB273">
        <f ca="1"/>
      </c>
      <c r="BC273">
        <f ca="1"/>
      </c>
      <c r="BD273">
        <f ca="1"/>
      </c>
      <c r="BE273">
        <f ca="1"/>
      </c>
      <c r="BF273">
        <f ca="1"/>
      </c>
      <c r="BG273">
        <f ca="1"/>
      </c>
      <c r="BH273">
        <f ca="1"/>
      </c>
      <c r="BI273">
        <f ca="1"/>
      </c>
      <c r="BJ273">
        <f ca="1"/>
      </c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F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B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M273" s="7"/>
    </row>
    <row r="274" spans="41:195" x14ac:dyDescent="0.55000000000000004">
      <c r="AO274">
        <f ca="1"/>
      </c>
      <c r="AP274">
        <f ca="1"/>
      </c>
      <c r="AQ274">
        <f ca="1"/>
      </c>
      <c r="AR274">
        <f ca="1"/>
      </c>
      <c r="AS274">
        <f ca="1"/>
      </c>
      <c r="AT274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AZ274">
        <f ca="1"/>
      </c>
      <c r="BA274">
        <f ca="1"/>
      </c>
      <c r="BB274">
        <f ca="1"/>
      </c>
      <c r="BC274">
        <f ca="1"/>
      </c>
      <c r="BD274">
        <f ca="1"/>
      </c>
      <c r="BE274">
        <f ca="1"/>
      </c>
      <c r="BF274">
        <f ca="1"/>
      </c>
      <c r="BG274">
        <f ca="1"/>
      </c>
      <c r="BH274">
        <f ca="1"/>
      </c>
      <c r="BI274">
        <f ca="1"/>
      </c>
      <c r="BJ274">
        <f ca="1"/>
      </c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F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B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M274" s="7"/>
    </row>
    <row r="275" spans="41:195" x14ac:dyDescent="0.55000000000000004">
      <c r="AO275">
        <f ca="1"/>
      </c>
      <c r="AP275">
        <f ca="1"/>
      </c>
      <c r="AQ275">
        <f ca="1"/>
      </c>
      <c r="AR275">
        <f ca="1"/>
      </c>
      <c r="AS275">
        <f ca="1"/>
      </c>
      <c r="AT275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AZ275">
        <f ca="1"/>
      </c>
      <c r="BA275">
        <f ca="1"/>
      </c>
      <c r="BB275">
        <f ca="1"/>
      </c>
      <c r="BC275">
        <f ca="1"/>
      </c>
      <c r="BD275">
        <f ca="1"/>
      </c>
      <c r="BE275">
        <f ca="1"/>
      </c>
      <c r="BF275">
        <f ca="1"/>
      </c>
      <c r="BG275">
        <f ca="1"/>
      </c>
      <c r="BH275">
        <f ca="1"/>
      </c>
      <c r="BI275">
        <f ca="1"/>
      </c>
      <c r="BJ275">
        <f ca="1"/>
      </c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F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B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M275" s="7"/>
    </row>
    <row r="276" spans="41:195" x14ac:dyDescent="0.55000000000000004">
      <c r="AO276">
        <f ca="1"/>
      </c>
      <c r="AP276">
        <f ca="1"/>
      </c>
      <c r="AQ276">
        <f ca="1"/>
      </c>
      <c r="AR276">
        <f ca="1"/>
      </c>
      <c r="AS276">
        <f ca="1"/>
      </c>
      <c r="AT276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AZ276">
        <f ca="1"/>
      </c>
      <c r="BA276">
        <f ca="1"/>
      </c>
      <c r="BB276">
        <f ca="1"/>
      </c>
      <c r="BC276">
        <f ca="1"/>
      </c>
      <c r="BD276">
        <f ca="1"/>
      </c>
      <c r="BE276">
        <f ca="1"/>
      </c>
      <c r="BF276">
        <f ca="1"/>
      </c>
      <c r="BG276">
        <f ca="1"/>
      </c>
      <c r="BH276">
        <f ca="1"/>
      </c>
      <c r="BI276">
        <f ca="1"/>
      </c>
      <c r="BJ276">
        <f ca="1"/>
      </c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F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B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M276" s="7"/>
    </row>
    <row r="277" spans="41:195" x14ac:dyDescent="0.55000000000000004">
      <c r="AO277">
        <f ca="1"/>
      </c>
      <c r="AP277">
        <f ca="1"/>
      </c>
      <c r="AQ277">
        <f ca="1"/>
      </c>
      <c r="AR277">
        <f ca="1"/>
      </c>
      <c r="AS277">
        <f ca="1"/>
      </c>
      <c r="AT27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AZ277">
        <f ca="1"/>
      </c>
      <c r="BA277">
        <f ca="1"/>
      </c>
      <c r="BB277">
        <f ca="1"/>
      </c>
      <c r="BC277">
        <f ca="1"/>
      </c>
      <c r="BD277">
        <f ca="1"/>
      </c>
      <c r="BE277">
        <f ca="1"/>
      </c>
      <c r="BF277">
        <f ca="1"/>
      </c>
      <c r="BG277">
        <f ca="1"/>
      </c>
      <c r="BH277">
        <f ca="1"/>
      </c>
      <c r="BI277">
        <f ca="1"/>
      </c>
      <c r="BJ277">
        <f ca="1"/>
      </c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F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B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M277" s="7"/>
    </row>
    <row r="278" spans="41:195" x14ac:dyDescent="0.55000000000000004">
      <c r="AO278">
        <f ca="1"/>
      </c>
      <c r="AP278">
        <f ca="1"/>
      </c>
      <c r="AQ278">
        <f ca="1"/>
      </c>
      <c r="AR278">
        <f ca="1"/>
      </c>
      <c r="AS278">
        <f ca="1"/>
      </c>
      <c r="AT278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AZ278">
        <f ca="1"/>
      </c>
      <c r="BA278">
        <f ca="1"/>
      </c>
      <c r="BB278">
        <f ca="1"/>
      </c>
      <c r="BC278">
        <f ca="1"/>
      </c>
      <c r="BD278">
        <f ca="1"/>
      </c>
      <c r="BE278">
        <f ca="1"/>
      </c>
      <c r="BF278">
        <f ca="1"/>
      </c>
      <c r="BG278">
        <f ca="1"/>
      </c>
      <c r="BH278">
        <f ca="1"/>
      </c>
      <c r="BI278">
        <f ca="1"/>
      </c>
      <c r="BJ278">
        <f ca="1"/>
      </c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F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B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M278" s="7"/>
    </row>
    <row r="279" spans="41:195" x14ac:dyDescent="0.55000000000000004">
      <c r="AO279">
        <f ca="1"/>
      </c>
      <c r="AP279">
        <f ca="1"/>
      </c>
      <c r="AQ279">
        <f ca="1"/>
      </c>
      <c r="AR279">
        <f ca="1"/>
      </c>
      <c r="AS279">
        <f ca="1"/>
      </c>
      <c r="AT279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AZ279">
        <f ca="1"/>
      </c>
      <c r="BA279">
        <f ca="1"/>
      </c>
      <c r="BB279">
        <f ca="1"/>
      </c>
      <c r="BC279">
        <f ca="1"/>
      </c>
      <c r="BD279">
        <f ca="1"/>
      </c>
      <c r="BE279">
        <f ca="1"/>
      </c>
      <c r="BF279">
        <f ca="1"/>
      </c>
      <c r="BG279">
        <f ca="1"/>
      </c>
      <c r="BH279">
        <f ca="1"/>
      </c>
      <c r="BI279">
        <f ca="1"/>
      </c>
      <c r="BJ279">
        <f ca="1"/>
      </c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F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B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M279" s="7"/>
    </row>
    <row r="280" spans="41:195" x14ac:dyDescent="0.55000000000000004">
      <c r="AO280">
        <f ca="1"/>
      </c>
      <c r="AP280">
        <f ca="1"/>
      </c>
      <c r="AQ280">
        <f ca="1"/>
      </c>
      <c r="AR280">
        <f ca="1"/>
      </c>
      <c r="AS280">
        <f ca="1"/>
      </c>
      <c r="AT280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AZ280">
        <f ca="1"/>
      </c>
      <c r="BA280">
        <f ca="1"/>
      </c>
      <c r="BB280">
        <f ca="1"/>
      </c>
      <c r="BC280">
        <f ca="1"/>
      </c>
      <c r="BD280">
        <f ca="1"/>
      </c>
      <c r="BE280">
        <f ca="1"/>
      </c>
      <c r="BF280">
        <f ca="1"/>
      </c>
      <c r="BG280">
        <f ca="1"/>
      </c>
      <c r="BH280">
        <f ca="1"/>
      </c>
      <c r="BI280">
        <f ca="1"/>
      </c>
      <c r="BJ280">
        <f ca="1"/>
      </c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F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B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M280" s="7"/>
    </row>
    <row r="281" spans="41:195" x14ac:dyDescent="0.55000000000000004">
      <c r="AO281">
        <f ca="1"/>
      </c>
      <c r="AP281">
        <f ca="1"/>
      </c>
      <c r="AQ281">
        <f ca="1"/>
      </c>
      <c r="AR281">
        <f ca="1"/>
      </c>
      <c r="AS281">
        <f ca="1"/>
      </c>
      <c r="AT281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AZ281">
        <f ca="1"/>
      </c>
      <c r="BA281">
        <f ca="1"/>
      </c>
      <c r="BB281">
        <f ca="1"/>
      </c>
      <c r="BC281">
        <f ca="1"/>
      </c>
      <c r="BD281">
        <f ca="1"/>
      </c>
      <c r="BE281">
        <f ca="1"/>
      </c>
      <c r="BF281">
        <f ca="1"/>
      </c>
      <c r="BG281">
        <f ca="1"/>
      </c>
      <c r="BH281">
        <f ca="1"/>
      </c>
      <c r="BI281">
        <f ca="1"/>
      </c>
      <c r="BJ281">
        <f ca="1"/>
      </c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F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B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M281" s="7"/>
    </row>
    <row r="282" spans="41:195" x14ac:dyDescent="0.55000000000000004">
      <c r="AO282">
        <f ca="1"/>
      </c>
      <c r="AP282">
        <f ca="1"/>
      </c>
      <c r="AQ282">
        <f ca="1"/>
      </c>
      <c r="AR282">
        <f ca="1"/>
      </c>
      <c r="AS282">
        <f ca="1"/>
      </c>
      <c r="AT282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AZ282">
        <f ca="1"/>
      </c>
      <c r="BA282">
        <f ca="1"/>
      </c>
      <c r="BB282">
        <f ca="1"/>
      </c>
      <c r="BC282">
        <f ca="1"/>
      </c>
      <c r="BD282">
        <f ca="1"/>
      </c>
      <c r="BE282">
        <f ca="1"/>
      </c>
      <c r="BF282">
        <f ca="1"/>
      </c>
      <c r="BG282">
        <f ca="1"/>
      </c>
      <c r="BH282">
        <f ca="1"/>
      </c>
      <c r="BI282">
        <f ca="1"/>
      </c>
      <c r="BJ282">
        <f ca="1"/>
      </c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F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B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M282" s="7"/>
    </row>
    <row r="283" spans="41:195" x14ac:dyDescent="0.55000000000000004">
      <c r="AO283">
        <f ca="1"/>
      </c>
      <c r="AP283">
        <f ca="1"/>
      </c>
      <c r="AQ283">
        <f ca="1"/>
      </c>
      <c r="AR283">
        <f ca="1"/>
      </c>
      <c r="AS283">
        <f ca="1"/>
      </c>
      <c r="AT283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AZ283">
        <f ca="1"/>
      </c>
      <c r="BA283">
        <f ca="1"/>
      </c>
      <c r="BB283">
        <f ca="1"/>
      </c>
      <c r="BC283">
        <f ca="1"/>
      </c>
      <c r="BD283">
        <f ca="1"/>
      </c>
      <c r="BE283">
        <f ca="1"/>
      </c>
      <c r="BF283">
        <f ca="1"/>
      </c>
      <c r="BG283">
        <f ca="1"/>
      </c>
      <c r="BH283">
        <f ca="1"/>
      </c>
      <c r="BI283">
        <f ca="1"/>
      </c>
      <c r="BJ283">
        <f ca="1"/>
      </c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F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B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M283" s="7"/>
    </row>
    <row r="284" spans="41:195" x14ac:dyDescent="0.55000000000000004">
      <c r="AO284">
        <f ca="1"/>
      </c>
      <c r="AP284">
        <f ca="1"/>
      </c>
      <c r="AQ284">
        <f ca="1"/>
      </c>
      <c r="AR284">
        <f ca="1"/>
      </c>
      <c r="AS284">
        <f ca="1"/>
      </c>
      <c r="AT284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AZ284">
        <f ca="1"/>
      </c>
      <c r="BA284">
        <f ca="1"/>
      </c>
      <c r="BB284">
        <f ca="1"/>
      </c>
      <c r="BC284">
        <f ca="1"/>
      </c>
      <c r="BD284">
        <f ca="1"/>
      </c>
      <c r="BE284">
        <f ca="1"/>
      </c>
      <c r="BF284">
        <f ca="1"/>
      </c>
      <c r="BG284">
        <f ca="1"/>
      </c>
      <c r="BH284">
        <f ca="1"/>
      </c>
      <c r="BI284">
        <f ca="1"/>
      </c>
      <c r="BJ284">
        <f ca="1"/>
      </c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F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B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M284" s="7"/>
    </row>
    <row r="285" spans="41:195" x14ac:dyDescent="0.55000000000000004">
      <c r="AO285">
        <f ca="1"/>
      </c>
      <c r="AP285">
        <f ca="1"/>
      </c>
      <c r="AQ285">
        <f ca="1"/>
      </c>
      <c r="AR285">
        <f ca="1"/>
      </c>
      <c r="AS285">
        <f ca="1"/>
      </c>
      <c r="AT285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AZ285">
        <f ca="1"/>
      </c>
      <c r="BA285">
        <f ca="1"/>
      </c>
      <c r="BB285">
        <f ca="1"/>
      </c>
      <c r="BC285">
        <f ca="1"/>
      </c>
      <c r="BD285">
        <f ca="1"/>
      </c>
      <c r="BE285">
        <f ca="1"/>
      </c>
      <c r="BF285">
        <f ca="1"/>
      </c>
      <c r="BG285">
        <f ca="1"/>
      </c>
      <c r="BH285">
        <f ca="1"/>
      </c>
      <c r="BI285">
        <f ca="1"/>
      </c>
      <c r="BJ285">
        <f ca="1"/>
      </c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F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B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M285" s="7"/>
    </row>
    <row r="286" spans="41:195" x14ac:dyDescent="0.55000000000000004">
      <c r="AO286">
        <f ca="1"/>
      </c>
      <c r="AP286">
        <f ca="1"/>
      </c>
      <c r="AQ286">
        <f ca="1"/>
      </c>
      <c r="AR286">
        <f ca="1"/>
      </c>
      <c r="AS286">
        <f ca="1"/>
      </c>
      <c r="AT286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AZ286">
        <f ca="1"/>
      </c>
      <c r="BA286">
        <f ca="1"/>
      </c>
      <c r="BB286">
        <f ca="1"/>
      </c>
      <c r="BC286">
        <f ca="1"/>
      </c>
      <c r="BD286">
        <f ca="1"/>
      </c>
      <c r="BE286">
        <f ca="1"/>
      </c>
      <c r="BF286">
        <f ca="1"/>
      </c>
      <c r="BG286">
        <f ca="1"/>
      </c>
      <c r="BH286">
        <f ca="1"/>
      </c>
      <c r="BI286">
        <f ca="1"/>
      </c>
      <c r="BJ286">
        <f ca="1"/>
      </c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F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B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M286" s="7"/>
    </row>
    <row r="287" spans="41:195" x14ac:dyDescent="0.55000000000000004">
      <c r="AO287">
        <f ca="1"/>
      </c>
      <c r="AP287">
        <f ca="1"/>
      </c>
      <c r="AQ287">
        <f ca="1"/>
      </c>
      <c r="AR287">
        <f ca="1"/>
      </c>
      <c r="AS287">
        <f ca="1"/>
      </c>
      <c r="AT28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AZ287">
        <f ca="1"/>
      </c>
      <c r="BA287">
        <f ca="1"/>
      </c>
      <c r="BB287">
        <f ca="1"/>
      </c>
      <c r="BC287">
        <f ca="1"/>
      </c>
      <c r="BD287">
        <f ca="1"/>
      </c>
      <c r="BE287">
        <f ca="1"/>
      </c>
      <c r="BF287">
        <f ca="1"/>
      </c>
      <c r="BG287">
        <f ca="1"/>
      </c>
      <c r="BH287">
        <f ca="1"/>
      </c>
      <c r="BI287">
        <f ca="1"/>
      </c>
      <c r="BJ287">
        <f ca="1"/>
      </c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F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B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M287" s="7"/>
    </row>
    <row r="288" spans="41:195" x14ac:dyDescent="0.55000000000000004">
      <c r="AO288">
        <f ca="1"/>
      </c>
      <c r="AP288">
        <f ca="1"/>
      </c>
      <c r="AQ288">
        <f ca="1"/>
      </c>
      <c r="AR288">
        <f ca="1"/>
      </c>
      <c r="AS288">
        <f ca="1"/>
      </c>
      <c r="AT288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AZ288">
        <f ca="1"/>
      </c>
      <c r="BA288">
        <f ca="1"/>
      </c>
      <c r="BB288">
        <f ca="1"/>
      </c>
      <c r="BC288">
        <f ca="1"/>
      </c>
      <c r="BD288">
        <f ca="1"/>
      </c>
      <c r="BE288">
        <f ca="1"/>
      </c>
      <c r="BF288">
        <f ca="1"/>
      </c>
      <c r="BG288">
        <f ca="1"/>
      </c>
      <c r="BH288">
        <f ca="1"/>
      </c>
      <c r="BI288">
        <f ca="1"/>
      </c>
      <c r="BJ288">
        <f ca="1"/>
      </c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F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B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M288" s="7"/>
    </row>
    <row r="289" spans="41:195" x14ac:dyDescent="0.55000000000000004">
      <c r="AO289">
        <f ca="1"/>
      </c>
      <c r="AP289">
        <f ca="1"/>
      </c>
      <c r="AQ289">
        <f ca="1"/>
      </c>
      <c r="AR289">
        <f ca="1"/>
      </c>
      <c r="AS289">
        <f ca="1"/>
      </c>
      <c r="AT289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AZ289">
        <f ca="1"/>
      </c>
      <c r="BA289">
        <f ca="1"/>
      </c>
      <c r="BB289">
        <f ca="1"/>
      </c>
      <c r="BC289">
        <f ca="1"/>
      </c>
      <c r="BD289">
        <f ca="1"/>
      </c>
      <c r="BE289">
        <f ca="1"/>
      </c>
      <c r="BF289">
        <f ca="1"/>
      </c>
      <c r="BG289">
        <f ca="1"/>
      </c>
      <c r="BH289">
        <f ca="1"/>
      </c>
      <c r="BI289">
        <f ca="1"/>
      </c>
      <c r="BJ289">
        <f ca="1"/>
      </c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F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B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M289" s="7"/>
    </row>
    <row r="290" spans="41:195" x14ac:dyDescent="0.55000000000000004">
      <c r="AO290">
        <f ca="1"/>
      </c>
      <c r="AP290">
        <f ca="1"/>
      </c>
      <c r="AQ290">
        <f ca="1"/>
      </c>
      <c r="AR290">
        <f ca="1"/>
      </c>
      <c r="AS290">
        <f ca="1"/>
      </c>
      <c r="AT290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AZ290">
        <f ca="1"/>
      </c>
      <c r="BA290">
        <f ca="1"/>
      </c>
      <c r="BB290">
        <f ca="1"/>
      </c>
      <c r="BC290">
        <f ca="1"/>
      </c>
      <c r="BD290">
        <f ca="1"/>
      </c>
      <c r="BE290">
        <f ca="1"/>
      </c>
      <c r="BF290">
        <f ca="1"/>
      </c>
      <c r="BG290">
        <f ca="1"/>
      </c>
      <c r="BH290">
        <f ca="1"/>
      </c>
      <c r="BI290">
        <f ca="1"/>
      </c>
      <c r="BJ290">
        <f ca="1"/>
      </c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F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B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M290" s="7"/>
    </row>
    <row r="291" spans="41:195" x14ac:dyDescent="0.55000000000000004">
      <c r="AO291">
        <f ca="1"/>
      </c>
      <c r="AP291">
        <f ca="1"/>
      </c>
      <c r="AQ291">
        <f ca="1"/>
      </c>
      <c r="AR291">
        <f ca="1"/>
      </c>
      <c r="AS291">
        <f ca="1"/>
      </c>
      <c r="AT291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AZ291">
        <f ca="1"/>
      </c>
      <c r="BA291">
        <f ca="1"/>
      </c>
      <c r="BB291">
        <f ca="1"/>
      </c>
      <c r="BC291">
        <f ca="1"/>
      </c>
      <c r="BD291">
        <f ca="1"/>
      </c>
      <c r="BE291">
        <f ca="1"/>
      </c>
      <c r="BF291">
        <f ca="1"/>
      </c>
      <c r="BG291">
        <f ca="1"/>
      </c>
      <c r="BH291">
        <f ca="1"/>
      </c>
      <c r="BI291">
        <f ca="1"/>
      </c>
      <c r="BJ291">
        <f ca="1"/>
      </c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F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B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M291" s="7"/>
    </row>
    <row r="292" spans="41:195" x14ac:dyDescent="0.55000000000000004">
      <c r="AO292">
        <f ca="1"/>
      </c>
      <c r="AP292">
        <f ca="1"/>
      </c>
      <c r="AQ292">
        <f ca="1"/>
      </c>
      <c r="AR292">
        <f ca="1"/>
      </c>
      <c r="AS292">
        <f ca="1"/>
      </c>
      <c r="AT292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AZ292">
        <f ca="1"/>
      </c>
      <c r="BA292">
        <f ca="1"/>
      </c>
      <c r="BB292">
        <f ca="1"/>
      </c>
      <c r="BC292">
        <f ca="1"/>
      </c>
      <c r="BD292">
        <f ca="1"/>
      </c>
      <c r="BE292">
        <f ca="1"/>
      </c>
      <c r="BF292">
        <f ca="1"/>
      </c>
      <c r="BG292">
        <f ca="1"/>
      </c>
      <c r="BH292">
        <f ca="1"/>
      </c>
      <c r="BI292">
        <f ca="1"/>
      </c>
      <c r="BJ292">
        <f ca="1"/>
      </c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F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B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M292" s="7"/>
    </row>
    <row r="293" spans="41:195" x14ac:dyDescent="0.55000000000000004">
      <c r="AO293">
        <f ca="1"/>
      </c>
      <c r="AP293">
        <f ca="1"/>
      </c>
      <c r="AQ293">
        <f ca="1"/>
      </c>
      <c r="AR293">
        <f ca="1"/>
      </c>
      <c r="AS293">
        <f ca="1"/>
      </c>
      <c r="AT293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AZ293">
        <f ca="1"/>
      </c>
      <c r="BA293">
        <f ca="1"/>
      </c>
      <c r="BB293">
        <f ca="1"/>
      </c>
      <c r="BC293">
        <f ca="1"/>
      </c>
      <c r="BD293">
        <f ca="1"/>
      </c>
      <c r="BE293">
        <f ca="1"/>
      </c>
      <c r="BF293">
        <f ca="1"/>
      </c>
      <c r="BG293">
        <f ca="1"/>
      </c>
      <c r="BH293">
        <f ca="1"/>
      </c>
      <c r="BI293">
        <f ca="1"/>
      </c>
      <c r="BJ293">
        <f ca="1"/>
      </c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F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B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M293" s="7"/>
    </row>
    <row r="294" spans="41:195" x14ac:dyDescent="0.55000000000000004">
      <c r="AO294">
        <f ca="1"/>
      </c>
      <c r="AP294">
        <f ca="1"/>
      </c>
      <c r="AQ294">
        <f ca="1"/>
      </c>
      <c r="AR294">
        <f ca="1"/>
      </c>
      <c r="AS294">
        <f ca="1"/>
      </c>
      <c r="AT294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AZ294">
        <f ca="1"/>
      </c>
      <c r="BA294">
        <f ca="1"/>
      </c>
      <c r="BB294">
        <f ca="1"/>
      </c>
      <c r="BC294">
        <f ca="1"/>
      </c>
      <c r="BD294">
        <f ca="1"/>
      </c>
      <c r="BE294">
        <f ca="1"/>
      </c>
      <c r="BF294">
        <f ca="1"/>
      </c>
      <c r="BG294">
        <f ca="1"/>
      </c>
      <c r="BH294">
        <f ca="1"/>
      </c>
      <c r="BI294">
        <f ca="1"/>
      </c>
      <c r="BJ294">
        <f ca="1"/>
      </c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F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B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M294" s="7"/>
    </row>
    <row r="295" spans="41:195" x14ac:dyDescent="0.55000000000000004">
      <c r="AO295">
        <f ca="1"/>
      </c>
      <c r="AP295">
        <f ca="1"/>
      </c>
      <c r="AQ295">
        <f ca="1"/>
      </c>
      <c r="AR295">
        <f ca="1"/>
      </c>
      <c r="AS295">
        <f ca="1"/>
      </c>
      <c r="AT295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AZ295">
        <f ca="1"/>
      </c>
      <c r="BA295">
        <f ca="1"/>
      </c>
      <c r="BB295">
        <f ca="1"/>
      </c>
      <c r="BC295">
        <f ca="1"/>
      </c>
      <c r="BD295">
        <f ca="1"/>
      </c>
      <c r="BE295">
        <f ca="1"/>
      </c>
      <c r="BF295">
        <f ca="1"/>
      </c>
      <c r="BG295">
        <f ca="1"/>
      </c>
      <c r="BH295">
        <f ca="1"/>
      </c>
      <c r="BI295">
        <f ca="1"/>
      </c>
      <c r="BJ295">
        <f ca="1"/>
      </c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F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B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M295" s="7"/>
    </row>
    <row r="296" spans="41:195" x14ac:dyDescent="0.55000000000000004">
      <c r="AO296">
        <f ca="1"/>
      </c>
      <c r="AP296">
        <f ca="1"/>
      </c>
      <c r="AQ296">
        <f ca="1"/>
      </c>
      <c r="AR296">
        <f ca="1"/>
      </c>
      <c r="AS296">
        <f ca="1"/>
      </c>
      <c r="AT296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AZ296">
        <f ca="1"/>
      </c>
      <c r="BA296">
        <f ca="1"/>
      </c>
      <c r="BB296">
        <f ca="1"/>
      </c>
      <c r="BC296">
        <f ca="1"/>
      </c>
      <c r="BD296">
        <f ca="1"/>
      </c>
      <c r="BE296">
        <f ca="1"/>
      </c>
      <c r="BF296">
        <f ca="1"/>
      </c>
      <c r="BG296">
        <f ca="1"/>
      </c>
      <c r="BH296">
        <f ca="1"/>
      </c>
      <c r="BI296">
        <f ca="1"/>
      </c>
      <c r="BJ296">
        <f ca="1"/>
      </c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F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B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M296" s="7"/>
    </row>
    <row r="297" spans="41:195" x14ac:dyDescent="0.55000000000000004">
      <c r="AO297">
        <f ca="1"/>
      </c>
      <c r="AP297">
        <f ca="1"/>
      </c>
      <c r="AQ297">
        <f ca="1"/>
      </c>
      <c r="AR297">
        <f ca="1"/>
      </c>
      <c r="AS297">
        <f ca="1"/>
      </c>
      <c r="AT29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AZ297">
        <f ca="1"/>
      </c>
      <c r="BA297">
        <f ca="1"/>
      </c>
      <c r="BB297">
        <f ca="1"/>
      </c>
      <c r="BC297">
        <f ca="1"/>
      </c>
      <c r="BD297">
        <f ca="1"/>
      </c>
      <c r="BE297">
        <f ca="1"/>
      </c>
      <c r="BF297">
        <f ca="1"/>
      </c>
      <c r="BG297">
        <f ca="1"/>
      </c>
      <c r="BH297">
        <f ca="1"/>
      </c>
      <c r="BI297">
        <f ca="1"/>
      </c>
      <c r="BJ297">
        <f ca="1"/>
      </c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F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B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M297" s="7"/>
    </row>
    <row r="298" spans="41:195" x14ac:dyDescent="0.55000000000000004">
      <c r="AO298">
        <f ca="1"/>
      </c>
      <c r="AP298">
        <f ca="1"/>
      </c>
      <c r="AQ298">
        <f ca="1"/>
      </c>
      <c r="AR298">
        <f ca="1"/>
      </c>
      <c r="AS298">
        <f ca="1"/>
      </c>
      <c r="AT298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AZ298">
        <f ca="1"/>
      </c>
      <c r="BA298">
        <f ca="1"/>
      </c>
      <c r="BB298">
        <f ca="1"/>
      </c>
      <c r="BC298">
        <f ca="1"/>
      </c>
      <c r="BD298">
        <f ca="1"/>
      </c>
      <c r="BE298">
        <f ca="1"/>
      </c>
      <c r="BF298">
        <f ca="1"/>
      </c>
      <c r="BG298">
        <f ca="1"/>
      </c>
      <c r="BH298">
        <f ca="1"/>
      </c>
      <c r="BI298">
        <f ca="1"/>
      </c>
      <c r="BJ298">
        <f ca="1"/>
      </c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F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B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M298" s="7"/>
    </row>
    <row r="299" spans="41:195" x14ac:dyDescent="0.55000000000000004">
      <c r="AO299">
        <f ca="1"/>
      </c>
      <c r="AP299">
        <f ca="1"/>
      </c>
      <c r="AQ299">
        <f ca="1"/>
      </c>
      <c r="AR299">
        <f ca="1"/>
      </c>
      <c r="AS299">
        <f ca="1"/>
      </c>
      <c r="AT299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AZ299">
        <f ca="1"/>
      </c>
      <c r="BA299">
        <f ca="1"/>
      </c>
      <c r="BB299">
        <f ca="1"/>
      </c>
      <c r="BC299">
        <f ca="1"/>
      </c>
      <c r="BD299">
        <f ca="1"/>
      </c>
      <c r="BE299">
        <f ca="1"/>
      </c>
      <c r="BF299">
        <f ca="1"/>
      </c>
      <c r="BG299">
        <f ca="1"/>
      </c>
      <c r="BH299">
        <f ca="1"/>
      </c>
      <c r="BI299">
        <f ca="1"/>
      </c>
      <c r="BJ299">
        <f ca="1"/>
      </c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F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B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M299" s="7"/>
    </row>
    <row r="300" spans="41:195" x14ac:dyDescent="0.55000000000000004">
      <c r="AO300">
        <f ca="1"/>
      </c>
      <c r="AP300">
        <f ca="1"/>
      </c>
      <c r="AQ300">
        <f ca="1"/>
      </c>
      <c r="AR300">
        <f ca="1"/>
      </c>
      <c r="AS300">
        <f ca="1"/>
      </c>
      <c r="AT300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AZ300">
        <f ca="1"/>
      </c>
      <c r="BA300">
        <f ca="1"/>
      </c>
      <c r="BB300">
        <f ca="1"/>
      </c>
      <c r="BC300">
        <f ca="1"/>
      </c>
      <c r="BD300">
        <f ca="1"/>
      </c>
      <c r="BE300">
        <f ca="1"/>
      </c>
      <c r="BF300">
        <f ca="1"/>
      </c>
      <c r="BG300">
        <f ca="1"/>
      </c>
      <c r="BH300">
        <f ca="1"/>
      </c>
      <c r="BI300">
        <f ca="1"/>
      </c>
      <c r="BJ300">
        <f ca="1"/>
      </c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F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B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M300" s="7"/>
    </row>
    <row r="301" spans="41:195" x14ac:dyDescent="0.55000000000000004">
      <c r="AO301">
        <f ca="1"/>
      </c>
      <c r="AP301">
        <f ca="1"/>
      </c>
      <c r="AQ301">
        <f ca="1"/>
      </c>
      <c r="AR301">
        <f ca="1"/>
      </c>
      <c r="AS301">
        <f ca="1"/>
      </c>
      <c r="AT301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AZ301">
        <f ca="1"/>
      </c>
      <c r="BA301">
        <f ca="1"/>
      </c>
      <c r="BB301">
        <f ca="1"/>
      </c>
      <c r="BC301">
        <f ca="1"/>
      </c>
      <c r="BD301">
        <f ca="1"/>
      </c>
      <c r="BE301">
        <f ca="1"/>
      </c>
      <c r="BF301">
        <f ca="1"/>
      </c>
      <c r="BG301">
        <f ca="1"/>
      </c>
      <c r="BH301">
        <f ca="1"/>
      </c>
      <c r="BI301">
        <f ca="1"/>
      </c>
      <c r="BJ301">
        <f ca="1"/>
      </c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F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B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M301" s="7"/>
    </row>
    <row r="302" spans="41:195" x14ac:dyDescent="0.55000000000000004">
      <c r="AO302">
        <f ca="1"/>
      </c>
      <c r="AP302">
        <f ca="1"/>
      </c>
      <c r="AQ302">
        <f ca="1"/>
      </c>
      <c r="AR302">
        <f ca="1"/>
      </c>
      <c r="AS302">
        <f ca="1"/>
      </c>
      <c r="AT302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AZ302">
        <f ca="1"/>
      </c>
      <c r="BA302">
        <f ca="1"/>
      </c>
      <c r="BB302">
        <f ca="1"/>
      </c>
      <c r="BC302">
        <f ca="1"/>
      </c>
      <c r="BD302">
        <f ca="1"/>
      </c>
      <c r="BE302">
        <f ca="1"/>
      </c>
      <c r="BF302">
        <f ca="1"/>
      </c>
      <c r="BG302">
        <f ca="1"/>
      </c>
      <c r="BH302">
        <f ca="1"/>
      </c>
      <c r="BI302">
        <f ca="1"/>
      </c>
      <c r="BJ302">
        <f ca="1"/>
      </c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F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B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M302" s="7"/>
    </row>
    <row r="303" spans="41:195" x14ac:dyDescent="0.55000000000000004">
      <c r="AO303">
        <f ca="1"/>
      </c>
      <c r="AP303">
        <f ca="1"/>
      </c>
      <c r="AQ303">
        <f ca="1"/>
      </c>
      <c r="AR303">
        <f ca="1"/>
      </c>
      <c r="AS303">
        <f ca="1"/>
      </c>
      <c r="AT303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AZ303">
        <f ca="1"/>
      </c>
      <c r="BA303">
        <f ca="1"/>
      </c>
      <c r="BB303">
        <f ca="1"/>
      </c>
      <c r="BC303">
        <f ca="1"/>
      </c>
      <c r="BD303">
        <f ca="1"/>
      </c>
      <c r="BE303">
        <f ca="1"/>
      </c>
      <c r="BF303">
        <f ca="1"/>
      </c>
      <c r="BG303">
        <f ca="1"/>
      </c>
      <c r="BH303">
        <f ca="1"/>
      </c>
      <c r="BI303">
        <f ca="1"/>
      </c>
      <c r="BJ303">
        <f ca="1"/>
      </c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F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B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M303" s="7"/>
    </row>
    <row r="304" spans="41:195" x14ac:dyDescent="0.55000000000000004">
      <c r="AO304">
        <f ca="1"/>
      </c>
      <c r="AP304">
        <f ca="1"/>
      </c>
      <c r="AQ304">
        <f ca="1"/>
      </c>
      <c r="AR304">
        <f ca="1"/>
      </c>
      <c r="AS304">
        <f ca="1"/>
      </c>
      <c r="AT304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AZ304">
        <f ca="1"/>
      </c>
      <c r="BA304">
        <f ca="1"/>
      </c>
      <c r="BB304">
        <f ca="1"/>
      </c>
      <c r="BC304">
        <f ca="1"/>
      </c>
      <c r="BD304">
        <f ca="1"/>
      </c>
      <c r="BE304">
        <f ca="1"/>
      </c>
      <c r="BF304">
        <f ca="1"/>
      </c>
      <c r="BG304">
        <f ca="1"/>
      </c>
      <c r="BH304">
        <f ca="1"/>
      </c>
      <c r="BI304">
        <f ca="1"/>
      </c>
      <c r="BJ304">
        <f ca="1"/>
      </c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F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M304" s="7"/>
    </row>
    <row r="305" spans="41:195" x14ac:dyDescent="0.55000000000000004">
      <c r="AO305">
        <f ca="1"/>
      </c>
      <c r="AP305">
        <f ca="1"/>
      </c>
      <c r="AQ305">
        <f ca="1"/>
      </c>
      <c r="AR305">
        <f ca="1"/>
      </c>
      <c r="AS305">
        <f ca="1"/>
      </c>
      <c r="AT305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AZ305">
        <f ca="1"/>
      </c>
      <c r="BA305">
        <f ca="1"/>
      </c>
      <c r="BB305">
        <f ca="1"/>
      </c>
      <c r="BC305">
        <f ca="1"/>
      </c>
      <c r="BD305">
        <f ca="1"/>
      </c>
      <c r="BE305">
        <f ca="1"/>
      </c>
      <c r="BF305">
        <f ca="1"/>
      </c>
      <c r="BG305">
        <f ca="1"/>
      </c>
      <c r="BH305">
        <f ca="1"/>
      </c>
      <c r="BI305">
        <f ca="1"/>
      </c>
      <c r="BJ305">
        <f ca="1"/>
      </c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F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M305" s="7"/>
    </row>
    <row r="306" spans="41:195" x14ac:dyDescent="0.55000000000000004">
      <c r="AO306">
        <f ca="1"/>
      </c>
      <c r="AP306">
        <f ca="1"/>
      </c>
      <c r="AQ306">
        <f ca="1"/>
      </c>
      <c r="AR306">
        <f ca="1"/>
      </c>
      <c r="AS306">
        <f ca="1"/>
      </c>
      <c r="AT306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AZ306">
        <f ca="1"/>
      </c>
      <c r="BA306">
        <f ca="1"/>
      </c>
      <c r="BB306">
        <f ca="1"/>
      </c>
      <c r="BC306">
        <f ca="1"/>
      </c>
      <c r="BD306">
        <f ca="1"/>
      </c>
      <c r="BE306">
        <f ca="1"/>
      </c>
      <c r="BF306">
        <f ca="1"/>
      </c>
      <c r="BG306">
        <f ca="1"/>
      </c>
      <c r="BH306">
        <f ca="1"/>
      </c>
      <c r="BI306">
        <f ca="1"/>
      </c>
      <c r="BJ306">
        <f ca="1"/>
      </c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F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M306" s="7"/>
    </row>
    <row r="307" spans="41:195" x14ac:dyDescent="0.55000000000000004">
      <c r="AO307">
        <f ca="1"/>
      </c>
      <c r="AP307">
        <f ca="1"/>
      </c>
      <c r="AQ307">
        <f ca="1"/>
      </c>
      <c r="AR307">
        <f ca="1"/>
      </c>
      <c r="AS307">
        <f ca="1"/>
      </c>
      <c r="AT30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AZ307">
        <f ca="1"/>
      </c>
      <c r="BA307">
        <f ca="1"/>
      </c>
      <c r="BB307">
        <f ca="1"/>
      </c>
      <c r="BC307">
        <f ca="1"/>
      </c>
      <c r="BD307">
        <f ca="1"/>
      </c>
      <c r="BE307">
        <f ca="1"/>
      </c>
      <c r="BF307">
        <f ca="1"/>
      </c>
      <c r="BG307">
        <f ca="1"/>
      </c>
      <c r="BH307">
        <f ca="1"/>
      </c>
      <c r="BI307">
        <f ca="1"/>
      </c>
      <c r="BJ307">
        <f ca="1"/>
      </c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F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M307" s="7"/>
    </row>
    <row r="308" spans="41:195" x14ac:dyDescent="0.55000000000000004">
      <c r="AO308">
        <f ca="1"/>
      </c>
      <c r="AP308">
        <f ca="1"/>
      </c>
      <c r="AQ308">
        <f ca="1"/>
      </c>
      <c r="AR308">
        <f ca="1"/>
      </c>
      <c r="AS308">
        <f ca="1"/>
      </c>
      <c r="AT308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AZ308">
        <f ca="1"/>
      </c>
      <c r="BA308">
        <f ca="1"/>
      </c>
      <c r="BB308">
        <f ca="1"/>
      </c>
      <c r="BC308">
        <f ca="1"/>
      </c>
      <c r="BD308">
        <f ca="1"/>
      </c>
      <c r="BE308">
        <f ca="1"/>
      </c>
      <c r="BF308">
        <f ca="1"/>
      </c>
      <c r="BG308">
        <f ca="1"/>
      </c>
      <c r="BH308">
        <f ca="1"/>
      </c>
      <c r="BI308">
        <f ca="1"/>
      </c>
      <c r="BJ308">
        <f ca="1"/>
      </c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F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M308" s="7"/>
    </row>
    <row r="309" spans="41:195" x14ac:dyDescent="0.55000000000000004">
      <c r="AO309">
        <f ca="1"/>
      </c>
      <c r="AP309">
        <f ca="1"/>
      </c>
      <c r="AQ309">
        <f ca="1"/>
      </c>
      <c r="AR309">
        <f ca="1"/>
      </c>
      <c r="AS309">
        <f ca="1"/>
      </c>
      <c r="AT309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AZ309">
        <f ca="1"/>
      </c>
      <c r="BA309">
        <f ca="1"/>
      </c>
      <c r="BB309">
        <f ca="1"/>
      </c>
      <c r="BC309">
        <f ca="1"/>
      </c>
      <c r="BD309">
        <f ca="1"/>
      </c>
      <c r="BE309">
        <f ca="1"/>
      </c>
      <c r="BF309">
        <f ca="1"/>
      </c>
      <c r="BG309">
        <f ca="1"/>
      </c>
      <c r="BH309">
        <f ca="1"/>
      </c>
      <c r="BI309">
        <f ca="1"/>
      </c>
      <c r="BJ309">
        <f ca="1"/>
      </c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F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M309" s="7"/>
    </row>
    <row r="310" spans="41:195" x14ac:dyDescent="0.55000000000000004">
      <c r="AO310">
        <f ca="1"/>
      </c>
      <c r="AP310">
        <f ca="1"/>
      </c>
      <c r="AQ310">
        <f ca="1"/>
      </c>
      <c r="AR310">
        <f ca="1"/>
      </c>
      <c r="AS310">
        <f ca="1"/>
      </c>
      <c r="AT310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AZ310">
        <f ca="1"/>
      </c>
      <c r="BA310">
        <f ca="1"/>
      </c>
      <c r="BB310">
        <f ca="1"/>
      </c>
      <c r="BC310">
        <f ca="1"/>
      </c>
      <c r="BD310">
        <f ca="1"/>
      </c>
      <c r="BE310">
        <f ca="1"/>
      </c>
      <c r="BF310">
        <f ca="1"/>
      </c>
      <c r="BG310">
        <f ca="1"/>
      </c>
      <c r="BH310">
        <f ca="1"/>
      </c>
      <c r="BI310">
        <f ca="1"/>
      </c>
      <c r="BJ310">
        <f ca="1"/>
      </c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F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M310" s="7"/>
    </row>
    <row r="311" spans="41:195" x14ac:dyDescent="0.55000000000000004">
      <c r="AO311">
        <f ca="1"/>
      </c>
      <c r="AP311">
        <f ca="1"/>
      </c>
      <c r="AQ311">
        <f ca="1"/>
      </c>
      <c r="AR311">
        <f ca="1"/>
      </c>
      <c r="AS311">
        <f ca="1"/>
      </c>
      <c r="AT311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AZ311">
        <f ca="1"/>
      </c>
      <c r="BA311">
        <f ca="1"/>
      </c>
      <c r="BB311">
        <f ca="1"/>
      </c>
      <c r="BC311">
        <f ca="1"/>
      </c>
      <c r="BD311">
        <f ca="1"/>
      </c>
      <c r="BE311">
        <f ca="1"/>
      </c>
      <c r="BF311">
        <f ca="1"/>
      </c>
      <c r="BG311">
        <f ca="1"/>
      </c>
      <c r="BH311">
        <f ca="1"/>
      </c>
      <c r="BI311">
        <f ca="1"/>
      </c>
      <c r="BJ311">
        <f ca="1"/>
      </c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F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M311" s="7"/>
    </row>
    <row r="312" spans="41:195" x14ac:dyDescent="0.55000000000000004">
      <c r="AO312">
        <f ca="1"/>
      </c>
      <c r="AP312">
        <f ca="1"/>
      </c>
      <c r="AQ312">
        <f ca="1"/>
      </c>
      <c r="AR312">
        <f ca="1"/>
      </c>
      <c r="AS312">
        <f ca="1"/>
      </c>
      <c r="AT312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AZ312">
        <f ca="1"/>
      </c>
      <c r="BA312">
        <f ca="1"/>
      </c>
      <c r="BB312">
        <f ca="1"/>
      </c>
      <c r="BC312">
        <f ca="1"/>
      </c>
      <c r="BD312">
        <f ca="1"/>
      </c>
      <c r="BE312">
        <f ca="1"/>
      </c>
      <c r="BF312">
        <f ca="1"/>
      </c>
      <c r="BG312">
        <f ca="1"/>
      </c>
      <c r="BH312">
        <f ca="1"/>
      </c>
      <c r="BI312">
        <f ca="1"/>
      </c>
      <c r="BJ312">
        <f ca="1"/>
      </c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F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M312" s="7"/>
    </row>
    <row r="313" spans="41:195" x14ac:dyDescent="0.55000000000000004">
      <c r="AO313">
        <f ca="1"/>
      </c>
      <c r="AP313">
        <f ca="1"/>
      </c>
      <c r="AQ313">
        <f ca="1"/>
      </c>
      <c r="AR313">
        <f ca="1"/>
      </c>
      <c r="AS313">
        <f ca="1"/>
      </c>
      <c r="AT313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AZ313">
        <f ca="1"/>
      </c>
      <c r="BA313">
        <f ca="1"/>
      </c>
      <c r="BB313">
        <f ca="1"/>
      </c>
      <c r="BC313">
        <f ca="1"/>
      </c>
      <c r="BD313">
        <f ca="1"/>
      </c>
      <c r="BE313">
        <f ca="1"/>
      </c>
      <c r="BF313">
        <f ca="1"/>
      </c>
      <c r="BG313">
        <f ca="1"/>
      </c>
      <c r="BH313">
        <f ca="1"/>
      </c>
      <c r="BI313">
        <f ca="1"/>
      </c>
      <c r="BJ313">
        <f ca="1"/>
      </c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F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M313" s="7"/>
    </row>
    <row r="314" spans="41:195" x14ac:dyDescent="0.55000000000000004">
      <c r="AO314">
        <f ca="1"/>
      </c>
      <c r="AP314">
        <f ca="1"/>
      </c>
      <c r="AQ314">
        <f ca="1"/>
      </c>
      <c r="AR314">
        <f ca="1"/>
      </c>
      <c r="AS314">
        <f ca="1"/>
      </c>
      <c r="AT314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AZ314">
        <f ca="1"/>
      </c>
      <c r="BA314">
        <f ca="1"/>
      </c>
      <c r="BB314">
        <f ca="1"/>
      </c>
      <c r="BC314">
        <f ca="1"/>
      </c>
      <c r="BD314">
        <f ca="1"/>
      </c>
      <c r="BE314">
        <f ca="1"/>
      </c>
      <c r="BF314">
        <f ca="1"/>
      </c>
      <c r="BG314">
        <f ca="1"/>
      </c>
      <c r="BH314">
        <f ca="1"/>
      </c>
      <c r="BI314">
        <f ca="1"/>
      </c>
      <c r="BJ314">
        <f ca="1"/>
      </c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F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M314" s="7"/>
    </row>
    <row r="315" spans="41:195" x14ac:dyDescent="0.55000000000000004">
      <c r="AO315">
        <f ca="1"/>
      </c>
      <c r="AP315">
        <f ca="1"/>
      </c>
      <c r="AQ315">
        <f ca="1"/>
      </c>
      <c r="AR315">
        <f ca="1"/>
      </c>
      <c r="AS315">
        <f ca="1"/>
      </c>
      <c r="AT315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AZ315">
        <f ca="1"/>
      </c>
      <c r="BA315">
        <f ca="1"/>
      </c>
      <c r="BB315">
        <f ca="1"/>
      </c>
      <c r="BC315">
        <f ca="1"/>
      </c>
      <c r="BD315">
        <f ca="1"/>
      </c>
      <c r="BE315">
        <f ca="1"/>
      </c>
      <c r="BF315">
        <f ca="1"/>
      </c>
      <c r="BG315">
        <f ca="1"/>
      </c>
      <c r="BH315">
        <f ca="1"/>
      </c>
      <c r="BI315">
        <f ca="1"/>
      </c>
      <c r="BJ315">
        <f ca="1"/>
      </c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F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M315" s="7"/>
    </row>
    <row r="316" spans="41:195" x14ac:dyDescent="0.55000000000000004">
      <c r="AO316">
        <f ca="1"/>
      </c>
      <c r="AP316">
        <f ca="1"/>
      </c>
      <c r="AQ316">
        <f ca="1"/>
      </c>
      <c r="AR316">
        <f ca="1"/>
      </c>
      <c r="AS316">
        <f ca="1"/>
      </c>
      <c r="AT316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AZ316">
        <f ca="1"/>
      </c>
      <c r="BA316">
        <f ca="1"/>
      </c>
      <c r="BB316">
        <f ca="1"/>
      </c>
      <c r="BC316">
        <f ca="1"/>
      </c>
      <c r="BD316">
        <f ca="1"/>
      </c>
      <c r="BE316">
        <f ca="1"/>
      </c>
      <c r="BF316">
        <f ca="1"/>
      </c>
      <c r="BG316">
        <f ca="1"/>
      </c>
      <c r="BH316">
        <f ca="1"/>
      </c>
      <c r="BI316">
        <f ca="1"/>
      </c>
      <c r="BJ316">
        <f ca="1"/>
      </c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F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M316" s="7"/>
    </row>
    <row r="317" spans="41:195" x14ac:dyDescent="0.55000000000000004">
      <c r="AO317">
        <f ca="1"/>
      </c>
      <c r="AP317">
        <f ca="1"/>
      </c>
      <c r="AQ317">
        <f ca="1"/>
      </c>
      <c r="AR317">
        <f ca="1"/>
      </c>
      <c r="AS317">
        <f ca="1"/>
      </c>
      <c r="AT31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AZ317">
        <f ca="1"/>
      </c>
      <c r="BA317">
        <f ca="1"/>
      </c>
      <c r="BB317">
        <f ca="1"/>
      </c>
      <c r="BC317">
        <f ca="1"/>
      </c>
      <c r="BD317">
        <f ca="1"/>
      </c>
      <c r="BE317">
        <f ca="1"/>
      </c>
      <c r="BF317">
        <f ca="1"/>
      </c>
      <c r="BG317">
        <f ca="1"/>
      </c>
      <c r="BH317">
        <f ca="1"/>
      </c>
      <c r="BI317">
        <f ca="1"/>
      </c>
      <c r="BJ317">
        <f ca="1"/>
      </c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F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M317" s="7"/>
    </row>
    <row r="318" spans="41:195" x14ac:dyDescent="0.55000000000000004">
      <c r="AO318">
        <f ca="1"/>
      </c>
      <c r="AP318">
        <f ca="1"/>
      </c>
      <c r="AQ318">
        <f ca="1"/>
      </c>
      <c r="AR318">
        <f ca="1"/>
      </c>
      <c r="AS318">
        <f ca="1"/>
      </c>
      <c r="AT318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AZ318">
        <f ca="1"/>
      </c>
      <c r="BA318">
        <f ca="1"/>
      </c>
      <c r="BB318">
        <f ca="1"/>
      </c>
      <c r="BC318">
        <f ca="1"/>
      </c>
      <c r="BD318">
        <f ca="1"/>
      </c>
      <c r="BE318">
        <f ca="1"/>
      </c>
      <c r="BF318">
        <f ca="1"/>
      </c>
      <c r="BG318">
        <f ca="1"/>
      </c>
      <c r="BH318">
        <f ca="1"/>
      </c>
      <c r="BI318">
        <f ca="1"/>
      </c>
      <c r="BJ318">
        <f ca="1"/>
      </c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F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M318" s="7"/>
    </row>
    <row r="319" spans="41:195" x14ac:dyDescent="0.55000000000000004">
      <c r="AO319">
        <f ca="1"/>
      </c>
      <c r="AP319">
        <f ca="1"/>
      </c>
      <c r="AQ319">
        <f ca="1"/>
      </c>
      <c r="AR319">
        <f ca="1"/>
      </c>
      <c r="AS319">
        <f ca="1"/>
      </c>
      <c r="AT319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AZ319">
        <f ca="1"/>
      </c>
      <c r="BA319">
        <f ca="1"/>
      </c>
      <c r="BB319">
        <f ca="1"/>
      </c>
      <c r="BC319">
        <f ca="1"/>
      </c>
      <c r="BD319">
        <f ca="1"/>
      </c>
      <c r="BE319">
        <f ca="1"/>
      </c>
      <c r="BF319">
        <f ca="1"/>
      </c>
      <c r="BG319">
        <f ca="1"/>
      </c>
      <c r="BH319">
        <f ca="1"/>
      </c>
      <c r="BI319">
        <f ca="1"/>
      </c>
      <c r="BJ319">
        <f ca="1"/>
      </c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F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M319" s="7"/>
    </row>
    <row r="320" spans="41:195" x14ac:dyDescent="0.55000000000000004">
      <c r="AO320">
        <f ca="1"/>
      </c>
      <c r="AP320">
        <f ca="1"/>
      </c>
      <c r="AQ320">
        <f ca="1"/>
      </c>
      <c r="AR320">
        <f ca="1"/>
      </c>
      <c r="AS320">
        <f ca="1"/>
      </c>
      <c r="AT320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AZ320">
        <f ca="1"/>
      </c>
      <c r="BA320">
        <f ca="1"/>
      </c>
      <c r="BB320">
        <f ca="1"/>
      </c>
      <c r="BC320">
        <f ca="1"/>
      </c>
      <c r="BD320">
        <f ca="1"/>
      </c>
      <c r="BE320">
        <f ca="1"/>
      </c>
      <c r="BF320">
        <f ca="1"/>
      </c>
      <c r="BG320">
        <f ca="1"/>
      </c>
      <c r="BH320">
        <f ca="1"/>
      </c>
      <c r="BI320">
        <f ca="1"/>
      </c>
      <c r="BJ320">
        <f ca="1"/>
      </c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F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M320" s="7"/>
    </row>
    <row r="321" spans="41:195" x14ac:dyDescent="0.55000000000000004">
      <c r="AO321">
        <f ca="1"/>
      </c>
      <c r="AP321">
        <f ca="1"/>
      </c>
      <c r="AQ321">
        <f ca="1"/>
      </c>
      <c r="AR321">
        <f ca="1"/>
      </c>
      <c r="AS321">
        <f ca="1"/>
      </c>
      <c r="AT321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AZ321">
        <f ca="1"/>
      </c>
      <c r="BA321">
        <f ca="1"/>
      </c>
      <c r="BB321">
        <f ca="1"/>
      </c>
      <c r="BC321">
        <f ca="1"/>
      </c>
      <c r="BD321">
        <f ca="1"/>
      </c>
      <c r="BE321">
        <f ca="1"/>
      </c>
      <c r="BF321">
        <f ca="1"/>
      </c>
      <c r="BG321">
        <f ca="1"/>
      </c>
      <c r="BH321">
        <f ca="1"/>
      </c>
      <c r="BI321">
        <f ca="1"/>
      </c>
      <c r="BJ321">
        <f ca="1"/>
      </c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F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M321" s="7"/>
    </row>
    <row r="322" spans="41:195" x14ac:dyDescent="0.55000000000000004">
      <c r="AO322">
        <f ca="1"/>
      </c>
      <c r="AP322">
        <f ca="1"/>
      </c>
      <c r="AQ322">
        <f ca="1"/>
      </c>
      <c r="AR322">
        <f ca="1"/>
      </c>
      <c r="AS322">
        <f ca="1"/>
      </c>
      <c r="AT322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AZ322">
        <f ca="1"/>
      </c>
      <c r="BA322">
        <f ca="1"/>
      </c>
      <c r="BB322">
        <f ca="1"/>
      </c>
      <c r="BC322">
        <f ca="1"/>
      </c>
      <c r="BD322">
        <f ca="1"/>
      </c>
      <c r="BE322">
        <f ca="1"/>
      </c>
      <c r="BF322">
        <f ca="1"/>
      </c>
      <c r="BG322">
        <f ca="1"/>
      </c>
      <c r="BH322">
        <f ca="1"/>
      </c>
      <c r="BI322">
        <f ca="1"/>
      </c>
      <c r="BJ322">
        <f ca="1"/>
      </c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F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B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M322" s="7"/>
    </row>
    <row r="323" spans="41:195" x14ac:dyDescent="0.55000000000000004">
      <c r="AO323">
        <f ca="1"/>
      </c>
      <c r="AP323">
        <f ca="1"/>
      </c>
      <c r="AQ323">
        <f ca="1"/>
      </c>
      <c r="AR323">
        <f ca="1"/>
      </c>
      <c r="AS323">
        <f ca="1"/>
      </c>
      <c r="AT323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AZ323">
        <f ca="1"/>
      </c>
      <c r="BA323">
        <f ca="1"/>
      </c>
      <c r="BB323">
        <f ca="1"/>
      </c>
      <c r="BC323">
        <f ca="1"/>
      </c>
      <c r="BD323">
        <f ca="1"/>
      </c>
      <c r="BE323">
        <f ca="1"/>
      </c>
      <c r="BF323">
        <f ca="1"/>
      </c>
      <c r="BG323">
        <f ca="1"/>
      </c>
      <c r="BH323">
        <f ca="1"/>
      </c>
      <c r="BI323">
        <f ca="1"/>
      </c>
      <c r="BJ323">
        <f ca="1"/>
      </c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F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B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M323" s="7"/>
    </row>
    <row r="324" spans="41:195" x14ac:dyDescent="0.55000000000000004">
      <c r="AO324">
        <f ca="1"/>
      </c>
      <c r="AP324">
        <f ca="1"/>
      </c>
      <c r="AQ324">
        <f ca="1"/>
      </c>
      <c r="AR324">
        <f ca="1"/>
      </c>
      <c r="AS324">
        <f ca="1"/>
      </c>
      <c r="AT324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AZ324">
        <f ca="1"/>
      </c>
      <c r="BA324">
        <f ca="1"/>
      </c>
      <c r="BB324">
        <f ca="1"/>
      </c>
      <c r="BC324">
        <f ca="1"/>
      </c>
      <c r="BD324">
        <f ca="1"/>
      </c>
      <c r="BE324">
        <f ca="1"/>
      </c>
      <c r="BF324">
        <f ca="1"/>
      </c>
      <c r="BG324">
        <f ca="1"/>
      </c>
      <c r="BH324">
        <f ca="1"/>
      </c>
      <c r="BI324">
        <f ca="1"/>
      </c>
      <c r="BJ324">
        <f ca="1"/>
      </c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F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B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M324" s="7"/>
    </row>
    <row r="325" spans="41:195" x14ac:dyDescent="0.55000000000000004">
      <c r="AO325">
        <f ca="1"/>
      </c>
      <c r="AP325">
        <f ca="1"/>
      </c>
      <c r="AQ325">
        <f ca="1"/>
      </c>
      <c r="AR325">
        <f ca="1"/>
      </c>
      <c r="AS325">
        <f ca="1"/>
      </c>
      <c r="AT325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AZ325">
        <f ca="1"/>
      </c>
      <c r="BA325">
        <f ca="1"/>
      </c>
      <c r="BB325">
        <f ca="1"/>
      </c>
      <c r="BC325">
        <f ca="1"/>
      </c>
      <c r="BD325">
        <f ca="1"/>
      </c>
      <c r="BE325">
        <f ca="1"/>
      </c>
      <c r="BF325">
        <f ca="1"/>
      </c>
      <c r="BG325">
        <f ca="1"/>
      </c>
      <c r="BH325">
        <f ca="1"/>
      </c>
      <c r="BI325">
        <f ca="1"/>
      </c>
      <c r="BJ325">
        <f ca="1"/>
      </c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F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B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M325" s="7"/>
    </row>
    <row r="326" spans="41:195" x14ac:dyDescent="0.55000000000000004">
      <c r="AO326">
        <f ca="1"/>
      </c>
      <c r="AP326">
        <f ca="1"/>
      </c>
      <c r="AQ326">
        <f ca="1"/>
      </c>
      <c r="AR326">
        <f ca="1"/>
      </c>
      <c r="AS326">
        <f ca="1"/>
      </c>
      <c r="AT326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AZ326">
        <f ca="1"/>
      </c>
      <c r="BA326">
        <f ca="1"/>
      </c>
      <c r="BB326">
        <f ca="1"/>
      </c>
      <c r="BC326">
        <f ca="1"/>
      </c>
      <c r="BD326">
        <f ca="1"/>
      </c>
      <c r="BE326">
        <f ca="1"/>
      </c>
      <c r="BF326">
        <f ca="1"/>
      </c>
      <c r="BG326">
        <f ca="1"/>
      </c>
      <c r="BH326">
        <f ca="1"/>
      </c>
      <c r="BI326">
        <f ca="1"/>
      </c>
      <c r="BJ326">
        <f ca="1"/>
      </c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F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B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M326" s="7"/>
    </row>
    <row r="327" spans="41:195" x14ac:dyDescent="0.55000000000000004">
      <c r="AO327">
        <f ca="1"/>
      </c>
      <c r="AP327">
        <f ca="1"/>
      </c>
      <c r="AQ327">
        <f ca="1"/>
      </c>
      <c r="AR327">
        <f ca="1"/>
      </c>
      <c r="AS327">
        <f ca="1"/>
      </c>
      <c r="AT32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AZ327">
        <f ca="1"/>
      </c>
      <c r="BA327">
        <f ca="1"/>
      </c>
      <c r="BB327">
        <f ca="1"/>
      </c>
      <c r="BC327">
        <f ca="1"/>
      </c>
      <c r="BD327">
        <f ca="1"/>
      </c>
      <c r="BE327">
        <f ca="1"/>
      </c>
      <c r="BF327">
        <f ca="1"/>
      </c>
      <c r="BG327">
        <f ca="1"/>
      </c>
      <c r="BH327">
        <f ca="1"/>
      </c>
      <c r="BI327">
        <f ca="1"/>
      </c>
      <c r="BJ327">
        <f ca="1"/>
      </c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F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B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M327" s="7"/>
    </row>
    <row r="328" spans="41:195" x14ac:dyDescent="0.55000000000000004">
      <c r="AO328">
        <f ca="1"/>
      </c>
      <c r="AP328">
        <f ca="1"/>
      </c>
      <c r="AQ328">
        <f ca="1"/>
      </c>
      <c r="AR328">
        <f ca="1"/>
      </c>
      <c r="AS328">
        <f ca="1"/>
      </c>
      <c r="AT328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AZ328">
        <f ca="1"/>
      </c>
      <c r="BA328">
        <f ca="1"/>
      </c>
      <c r="BB328">
        <f ca="1"/>
      </c>
      <c r="BC328">
        <f ca="1"/>
      </c>
      <c r="BD328">
        <f ca="1"/>
      </c>
      <c r="BE328">
        <f ca="1"/>
      </c>
      <c r="BF328">
        <f ca="1"/>
      </c>
      <c r="BG328">
        <f ca="1"/>
      </c>
      <c r="BH328">
        <f ca="1"/>
      </c>
      <c r="BI328">
        <f ca="1"/>
      </c>
      <c r="BJ328">
        <f ca="1"/>
      </c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F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B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M328" s="7"/>
    </row>
    <row r="329" spans="41:195" x14ac:dyDescent="0.55000000000000004">
      <c r="AO329">
        <f ca="1"/>
      </c>
      <c r="AP329">
        <f ca="1"/>
      </c>
      <c r="AQ329">
        <f ca="1"/>
      </c>
      <c r="AR329">
        <f ca="1"/>
      </c>
      <c r="AS329">
        <f ca="1"/>
      </c>
      <c r="AT329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AZ329">
        <f ca="1"/>
      </c>
      <c r="BA329">
        <f ca="1"/>
      </c>
      <c r="BB329">
        <f ca="1"/>
      </c>
      <c r="BC329">
        <f ca="1"/>
      </c>
      <c r="BD329">
        <f ca="1"/>
      </c>
      <c r="BE329">
        <f ca="1"/>
      </c>
      <c r="BF329">
        <f ca="1"/>
      </c>
      <c r="BG329">
        <f ca="1"/>
      </c>
      <c r="BH329">
        <f ca="1"/>
      </c>
      <c r="BI329">
        <f ca="1"/>
      </c>
      <c r="BJ329">
        <f ca="1"/>
      </c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F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B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M329" s="7"/>
    </row>
    <row r="330" spans="41:195" x14ac:dyDescent="0.55000000000000004">
      <c r="AO330">
        <f ca="1"/>
      </c>
      <c r="AP330">
        <f ca="1"/>
      </c>
      <c r="AQ330">
        <f ca="1"/>
      </c>
      <c r="AR330">
        <f ca="1"/>
      </c>
      <c r="AS330">
        <f ca="1"/>
      </c>
      <c r="AT330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AZ330">
        <f ca="1"/>
      </c>
      <c r="BA330">
        <f ca="1"/>
      </c>
      <c r="BB330">
        <f ca="1"/>
      </c>
      <c r="BC330">
        <f ca="1"/>
      </c>
      <c r="BD330">
        <f ca="1"/>
      </c>
      <c r="BE330">
        <f ca="1"/>
      </c>
      <c r="BF330">
        <f ca="1"/>
      </c>
      <c r="BG330">
        <f ca="1"/>
      </c>
      <c r="BH330">
        <f ca="1"/>
      </c>
      <c r="BI330">
        <f ca="1"/>
      </c>
      <c r="BJ330">
        <f ca="1"/>
      </c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F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B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M330" s="7"/>
    </row>
    <row r="331" spans="41:195" x14ac:dyDescent="0.55000000000000004">
      <c r="AO331">
        <f ca="1"/>
      </c>
      <c r="AP331">
        <f ca="1"/>
      </c>
      <c r="AQ331">
        <f ca="1"/>
      </c>
      <c r="AR331">
        <f ca="1"/>
      </c>
      <c r="AS331">
        <f ca="1"/>
      </c>
      <c r="AT331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AZ331">
        <f ca="1"/>
      </c>
      <c r="BA331">
        <f ca="1"/>
      </c>
      <c r="BB331">
        <f ca="1"/>
      </c>
      <c r="BC331">
        <f ca="1"/>
      </c>
      <c r="BD331">
        <f ca="1"/>
      </c>
      <c r="BE331">
        <f ca="1"/>
      </c>
      <c r="BF331">
        <f ca="1"/>
      </c>
      <c r="BG331">
        <f ca="1"/>
      </c>
      <c r="BH331">
        <f ca="1"/>
      </c>
      <c r="BI331">
        <f ca="1"/>
      </c>
      <c r="BJ331">
        <f ca="1"/>
      </c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F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B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M331" s="7"/>
    </row>
    <row r="332" spans="41:195" x14ac:dyDescent="0.55000000000000004">
      <c r="AO332">
        <f ca="1"/>
      </c>
      <c r="AP332">
        <f ca="1"/>
      </c>
      <c r="AQ332">
        <f ca="1"/>
      </c>
      <c r="AR332">
        <f ca="1"/>
      </c>
      <c r="AS332">
        <f ca="1"/>
      </c>
      <c r="AT332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AZ332">
        <f ca="1"/>
      </c>
      <c r="BA332">
        <f ca="1"/>
      </c>
      <c r="BB332">
        <f ca="1"/>
      </c>
      <c r="BC332">
        <f ca="1"/>
      </c>
      <c r="BD332">
        <f ca="1"/>
      </c>
      <c r="BE332">
        <f ca="1"/>
      </c>
      <c r="BF332">
        <f ca="1"/>
      </c>
      <c r="BG332">
        <f ca="1"/>
      </c>
      <c r="BH332">
        <f ca="1"/>
      </c>
      <c r="BI332">
        <f ca="1"/>
      </c>
      <c r="BJ332">
        <f ca="1"/>
      </c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F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B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M332" s="7"/>
    </row>
    <row r="333" spans="41:195" x14ac:dyDescent="0.55000000000000004">
      <c r="AO333">
        <f ca="1"/>
      </c>
      <c r="AP333">
        <f ca="1"/>
      </c>
      <c r="AQ333">
        <f ca="1"/>
      </c>
      <c r="AR333">
        <f ca="1"/>
      </c>
      <c r="AS333">
        <f ca="1"/>
      </c>
      <c r="AT333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AZ333">
        <f ca="1"/>
      </c>
      <c r="BA333">
        <f ca="1"/>
      </c>
      <c r="BB333">
        <f ca="1"/>
      </c>
      <c r="BC333">
        <f ca="1"/>
      </c>
      <c r="BD333">
        <f ca="1"/>
      </c>
      <c r="BE333">
        <f ca="1"/>
      </c>
      <c r="BF333">
        <f ca="1"/>
      </c>
      <c r="BG333">
        <f ca="1"/>
      </c>
      <c r="BH333">
        <f ca="1"/>
      </c>
      <c r="BI333">
        <f ca="1"/>
      </c>
      <c r="BJ333">
        <f ca="1"/>
      </c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F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B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M333" s="7"/>
    </row>
    <row r="334" spans="41:195" x14ac:dyDescent="0.55000000000000004">
      <c r="AO334">
        <f ca="1"/>
      </c>
      <c r="AP334">
        <f ca="1"/>
      </c>
      <c r="AQ334">
        <f ca="1"/>
      </c>
      <c r="AR334">
        <f ca="1"/>
      </c>
      <c r="AS334">
        <f ca="1"/>
      </c>
      <c r="AT334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AZ334">
        <f ca="1"/>
      </c>
      <c r="BA334">
        <f ca="1"/>
      </c>
      <c r="BB334">
        <f ca="1"/>
      </c>
      <c r="BC334">
        <f ca="1"/>
      </c>
      <c r="BD334">
        <f ca="1"/>
      </c>
      <c r="BE334">
        <f ca="1"/>
      </c>
      <c r="BF334">
        <f ca="1"/>
      </c>
      <c r="BG334">
        <f ca="1"/>
      </c>
      <c r="BH334">
        <f ca="1"/>
      </c>
      <c r="BI334">
        <f ca="1"/>
      </c>
      <c r="BJ334">
        <f ca="1"/>
      </c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F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B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M334" s="7"/>
    </row>
    <row r="335" spans="41:195" x14ac:dyDescent="0.55000000000000004">
      <c r="AO335">
        <f ca="1"/>
      </c>
      <c r="AP335">
        <f ca="1"/>
      </c>
      <c r="AQ335">
        <f ca="1"/>
      </c>
      <c r="AR335">
        <f ca="1"/>
      </c>
      <c r="AS335">
        <f ca="1"/>
      </c>
      <c r="AT335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AZ335">
        <f ca="1"/>
      </c>
      <c r="BA335">
        <f ca="1"/>
      </c>
      <c r="BB335">
        <f ca="1"/>
      </c>
      <c r="BC335">
        <f ca="1"/>
      </c>
      <c r="BD335">
        <f ca="1"/>
      </c>
      <c r="BE335">
        <f ca="1"/>
      </c>
      <c r="BF335">
        <f ca="1"/>
      </c>
      <c r="BG335">
        <f ca="1"/>
      </c>
      <c r="BH335">
        <f ca="1"/>
      </c>
      <c r="BI335">
        <f ca="1"/>
      </c>
      <c r="BJ335">
        <f ca="1"/>
      </c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F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B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M335" s="7"/>
    </row>
    <row r="336" spans="41:195" x14ac:dyDescent="0.55000000000000004">
      <c r="AO336">
        <f ca="1"/>
      </c>
      <c r="AP336">
        <f ca="1"/>
      </c>
      <c r="AQ336">
        <f ca="1"/>
      </c>
      <c r="AR336">
        <f ca="1"/>
      </c>
      <c r="AS336">
        <f ca="1"/>
      </c>
      <c r="AT336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AZ336">
        <f ca="1"/>
      </c>
      <c r="BA336">
        <f ca="1"/>
      </c>
      <c r="BB336">
        <f ca="1"/>
      </c>
      <c r="BC336">
        <f ca="1"/>
      </c>
      <c r="BD336">
        <f ca="1"/>
      </c>
      <c r="BE336">
        <f ca="1"/>
      </c>
      <c r="BF336">
        <f ca="1"/>
      </c>
      <c r="BG336">
        <f ca="1"/>
      </c>
      <c r="BH336">
        <f ca="1"/>
      </c>
      <c r="BI336">
        <f ca="1"/>
      </c>
      <c r="BJ336">
        <f ca="1"/>
      </c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F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B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M336" s="7"/>
    </row>
    <row r="337" spans="41:195" x14ac:dyDescent="0.55000000000000004">
      <c r="AO337">
        <f ca="1"/>
      </c>
      <c r="AP337">
        <f ca="1"/>
      </c>
      <c r="AQ337">
        <f ca="1"/>
      </c>
      <c r="AR337">
        <f ca="1"/>
      </c>
      <c r="AS337">
        <f ca="1"/>
      </c>
      <c r="AT33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AZ337">
        <f ca="1"/>
      </c>
      <c r="BA337">
        <f ca="1"/>
      </c>
      <c r="BB337">
        <f ca="1"/>
      </c>
      <c r="BC337">
        <f ca="1"/>
      </c>
      <c r="BD337">
        <f ca="1"/>
      </c>
      <c r="BE337">
        <f ca="1"/>
      </c>
      <c r="BF337">
        <f ca="1"/>
      </c>
      <c r="BG337">
        <f ca="1"/>
      </c>
      <c r="BH337">
        <f ca="1"/>
      </c>
      <c r="BI337">
        <f ca="1"/>
      </c>
      <c r="BJ337">
        <f ca="1"/>
      </c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F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B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M337" s="7"/>
    </row>
    <row r="338" spans="41:195" x14ac:dyDescent="0.55000000000000004">
      <c r="AO338">
        <f ca="1"/>
      </c>
      <c r="AP338">
        <f ca="1"/>
      </c>
      <c r="AQ338">
        <f ca="1"/>
      </c>
      <c r="AR338">
        <f ca="1"/>
      </c>
      <c r="AS338">
        <f ca="1"/>
      </c>
      <c r="AT338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AZ338">
        <f ca="1"/>
      </c>
      <c r="BA338">
        <f ca="1"/>
      </c>
      <c r="BB338">
        <f ca="1"/>
      </c>
      <c r="BC338">
        <f ca="1"/>
      </c>
      <c r="BD338">
        <f ca="1"/>
      </c>
      <c r="BE338">
        <f ca="1"/>
      </c>
      <c r="BF338">
        <f ca="1"/>
      </c>
      <c r="BG338">
        <f ca="1"/>
      </c>
      <c r="BH338">
        <f ca="1"/>
      </c>
      <c r="BI338">
        <f ca="1"/>
      </c>
      <c r="BJ338">
        <f ca="1"/>
      </c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F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B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M338" s="7"/>
    </row>
    <row r="339" spans="41:195" x14ac:dyDescent="0.55000000000000004">
      <c r="AO339">
        <f ca="1"/>
      </c>
      <c r="AP339">
        <f ca="1"/>
      </c>
      <c r="AQ339">
        <f ca="1"/>
      </c>
      <c r="AR339">
        <f ca="1"/>
      </c>
      <c r="AS339">
        <f ca="1"/>
      </c>
      <c r="AT339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AZ339">
        <f ca="1"/>
      </c>
      <c r="BA339">
        <f ca="1"/>
      </c>
      <c r="BB339">
        <f ca="1"/>
      </c>
      <c r="BC339">
        <f ca="1"/>
      </c>
      <c r="BD339">
        <f ca="1"/>
      </c>
      <c r="BE339">
        <f ca="1"/>
      </c>
      <c r="BF339">
        <f ca="1"/>
      </c>
      <c r="BG339">
        <f ca="1"/>
      </c>
      <c r="BH339">
        <f ca="1"/>
      </c>
      <c r="BI339">
        <f ca="1"/>
      </c>
      <c r="BJ339">
        <f ca="1"/>
      </c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F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B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M339" s="7"/>
    </row>
    <row r="340" spans="41:195" x14ac:dyDescent="0.55000000000000004">
      <c r="AO340">
        <f ca="1"/>
      </c>
      <c r="AP340">
        <f ca="1"/>
      </c>
      <c r="AQ340">
        <f ca="1"/>
      </c>
      <c r="AR340">
        <f ca="1"/>
      </c>
      <c r="AS340">
        <f ca="1"/>
      </c>
      <c r="AT340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AZ340">
        <f ca="1"/>
      </c>
      <c r="BA340">
        <f ca="1"/>
      </c>
      <c r="BB340">
        <f ca="1"/>
      </c>
      <c r="BC340">
        <f ca="1"/>
      </c>
      <c r="BD340">
        <f ca="1"/>
      </c>
      <c r="BE340">
        <f ca="1"/>
      </c>
      <c r="BF340">
        <f ca="1"/>
      </c>
      <c r="BG340">
        <f ca="1"/>
      </c>
      <c r="BH340">
        <f ca="1"/>
      </c>
      <c r="BI340">
        <f ca="1"/>
      </c>
      <c r="BJ340">
        <f ca="1"/>
      </c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F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B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M340" s="7"/>
    </row>
    <row r="341" spans="41:195" x14ac:dyDescent="0.55000000000000004">
      <c r="AO341">
        <f ca="1"/>
      </c>
      <c r="AP341">
        <f ca="1"/>
      </c>
      <c r="AQ341">
        <f ca="1"/>
      </c>
      <c r="AR341">
        <f ca="1"/>
      </c>
      <c r="AS341">
        <f ca="1"/>
      </c>
      <c r="AT341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AZ341">
        <f ca="1"/>
      </c>
      <c r="BA341">
        <f ca="1"/>
      </c>
      <c r="BB341">
        <f ca="1"/>
      </c>
      <c r="BC341">
        <f ca="1"/>
      </c>
      <c r="BD341">
        <f ca="1"/>
      </c>
      <c r="BE341">
        <f ca="1"/>
      </c>
      <c r="BF341">
        <f ca="1"/>
      </c>
      <c r="BG341">
        <f ca="1"/>
      </c>
      <c r="BH341">
        <f ca="1"/>
      </c>
      <c r="BI341">
        <f ca="1"/>
      </c>
      <c r="BJ341">
        <f ca="1"/>
      </c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F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B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M341" s="7"/>
    </row>
    <row r="342" spans="41:195" x14ac:dyDescent="0.55000000000000004">
      <c r="AO342">
        <f ca="1"/>
      </c>
      <c r="AP342">
        <f ca="1"/>
      </c>
      <c r="AQ342">
        <f ca="1"/>
      </c>
      <c r="AR342">
        <f ca="1"/>
      </c>
      <c r="AS342">
        <f ca="1"/>
      </c>
      <c r="AT342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AZ342">
        <f ca="1"/>
      </c>
      <c r="BA342">
        <f ca="1"/>
      </c>
      <c r="BB342">
        <f ca="1"/>
      </c>
      <c r="BC342">
        <f ca="1"/>
      </c>
      <c r="BD342">
        <f ca="1"/>
      </c>
      <c r="BE342">
        <f ca="1"/>
      </c>
      <c r="BF342">
        <f ca="1"/>
      </c>
      <c r="BG342">
        <f ca="1"/>
      </c>
      <c r="BH342">
        <f ca="1"/>
      </c>
      <c r="BI342">
        <f ca="1"/>
      </c>
      <c r="BJ342">
        <f ca="1"/>
      </c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F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B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M342" s="7"/>
    </row>
    <row r="343" spans="41:195" x14ac:dyDescent="0.55000000000000004">
      <c r="AO343">
        <f ca="1"/>
      </c>
      <c r="AP343">
        <f ca="1"/>
      </c>
      <c r="AQ343">
        <f ca="1"/>
      </c>
      <c r="AR343">
        <f ca="1"/>
      </c>
      <c r="AS343">
        <f ca="1"/>
      </c>
      <c r="AT343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AZ343">
        <f ca="1"/>
      </c>
      <c r="BA343">
        <f ca="1"/>
      </c>
      <c r="BB343">
        <f ca="1"/>
      </c>
      <c r="BC343">
        <f ca="1"/>
      </c>
      <c r="BD343">
        <f ca="1"/>
      </c>
      <c r="BE343">
        <f ca="1"/>
      </c>
      <c r="BF343">
        <f ca="1"/>
      </c>
      <c r="BG343">
        <f ca="1"/>
      </c>
      <c r="BH343">
        <f ca="1"/>
      </c>
      <c r="BI343">
        <f ca="1"/>
      </c>
      <c r="BJ343">
        <f ca="1"/>
      </c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F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B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M343" s="7"/>
    </row>
    <row r="344" spans="41:195" x14ac:dyDescent="0.55000000000000004">
      <c r="AO344">
        <f ca="1"/>
      </c>
      <c r="AP344">
        <f ca="1"/>
      </c>
      <c r="AQ344">
        <f ca="1"/>
      </c>
      <c r="AR344">
        <f ca="1"/>
      </c>
      <c r="AS344">
        <f ca="1"/>
      </c>
      <c r="AT344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AZ344">
        <f ca="1"/>
      </c>
      <c r="BA344">
        <f ca="1"/>
      </c>
      <c r="BB344">
        <f ca="1"/>
      </c>
      <c r="BC344">
        <f ca="1"/>
      </c>
      <c r="BD344">
        <f ca="1"/>
      </c>
      <c r="BE344">
        <f ca="1"/>
      </c>
      <c r="BF344">
        <f ca="1"/>
      </c>
      <c r="BG344">
        <f ca="1"/>
      </c>
      <c r="BH344">
        <f ca="1"/>
      </c>
      <c r="BI344">
        <f ca="1"/>
      </c>
      <c r="BJ344">
        <f ca="1"/>
      </c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F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B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M344" s="7"/>
    </row>
    <row r="345" spans="41:195" x14ac:dyDescent="0.55000000000000004">
      <c r="AO345">
        <f ca="1"/>
      </c>
      <c r="AP345">
        <f ca="1"/>
      </c>
      <c r="AQ345">
        <f ca="1"/>
      </c>
      <c r="AR345">
        <f ca="1"/>
      </c>
      <c r="AS345">
        <f ca="1"/>
      </c>
      <c r="AT345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AZ345">
        <f ca="1"/>
      </c>
      <c r="BA345">
        <f ca="1"/>
      </c>
      <c r="BB345">
        <f ca="1"/>
      </c>
      <c r="BC345">
        <f ca="1"/>
      </c>
      <c r="BD345">
        <f ca="1"/>
      </c>
      <c r="BE345">
        <f ca="1"/>
      </c>
      <c r="BF345">
        <f ca="1"/>
      </c>
      <c r="BG345">
        <f ca="1"/>
      </c>
      <c r="BH345">
        <f ca="1"/>
      </c>
      <c r="BI345">
        <f ca="1"/>
      </c>
      <c r="BJ345">
        <f ca="1"/>
      </c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F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B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M345" s="7"/>
    </row>
    <row r="346" spans="41:195" x14ac:dyDescent="0.55000000000000004">
      <c r="AO346">
        <f ca="1"/>
      </c>
      <c r="AP346">
        <f ca="1"/>
      </c>
      <c r="AQ346">
        <f ca="1"/>
      </c>
      <c r="AR346">
        <f ca="1"/>
      </c>
      <c r="AS346">
        <f ca="1"/>
      </c>
      <c r="AT346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AZ346">
        <f ca="1"/>
      </c>
      <c r="BA346">
        <f ca="1"/>
      </c>
      <c r="BB346">
        <f ca="1"/>
      </c>
      <c r="BC346">
        <f ca="1"/>
      </c>
      <c r="BD346">
        <f ca="1"/>
      </c>
      <c r="BE346">
        <f ca="1"/>
      </c>
      <c r="BF346">
        <f ca="1"/>
      </c>
      <c r="BG346">
        <f ca="1"/>
      </c>
      <c r="BH346">
        <f ca="1"/>
      </c>
      <c r="BI346">
        <f ca="1"/>
      </c>
      <c r="BJ346">
        <f ca="1"/>
      </c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F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B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M346" s="7"/>
    </row>
    <row r="347" spans="41:195" x14ac:dyDescent="0.55000000000000004">
      <c r="AO347">
        <f ca="1"/>
      </c>
      <c r="AP347">
        <f ca="1"/>
      </c>
      <c r="AQ347">
        <f ca="1"/>
      </c>
      <c r="AR347">
        <f ca="1"/>
      </c>
      <c r="AS347">
        <f ca="1"/>
      </c>
      <c r="AT34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AZ347">
        <f ca="1"/>
      </c>
      <c r="BA347">
        <f ca="1"/>
      </c>
      <c r="BB347">
        <f ca="1"/>
      </c>
      <c r="BC347">
        <f ca="1"/>
      </c>
      <c r="BD347">
        <f ca="1"/>
      </c>
      <c r="BE347">
        <f ca="1"/>
      </c>
      <c r="BF347">
        <f ca="1"/>
      </c>
      <c r="BG347">
        <f ca="1"/>
      </c>
      <c r="BH347">
        <f ca="1"/>
      </c>
      <c r="BI347">
        <f ca="1"/>
      </c>
      <c r="BJ347">
        <f ca="1"/>
      </c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F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B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M347" s="7"/>
    </row>
    <row r="348" spans="41:195" x14ac:dyDescent="0.55000000000000004">
      <c r="AO348">
        <f ca="1"/>
      </c>
      <c r="AP348">
        <f ca="1"/>
      </c>
      <c r="AQ348">
        <f ca="1"/>
      </c>
      <c r="AR348">
        <f ca="1"/>
      </c>
      <c r="AS348">
        <f ca="1"/>
      </c>
      <c r="AT348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AZ348">
        <f ca="1"/>
      </c>
      <c r="BA348">
        <f ca="1"/>
      </c>
      <c r="BB348">
        <f ca="1"/>
      </c>
      <c r="BC348">
        <f ca="1"/>
      </c>
      <c r="BD348">
        <f ca="1"/>
      </c>
      <c r="BE348">
        <f ca="1"/>
      </c>
      <c r="BF348">
        <f ca="1"/>
      </c>
      <c r="BG348">
        <f ca="1"/>
      </c>
      <c r="BH348">
        <f ca="1"/>
      </c>
      <c r="BI348">
        <f ca="1"/>
      </c>
      <c r="BJ348">
        <f ca="1"/>
      </c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F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B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M348" s="7"/>
    </row>
    <row r="349" spans="41:195" x14ac:dyDescent="0.55000000000000004">
      <c r="AO349">
        <f ca="1"/>
      </c>
      <c r="AP349">
        <f ca="1"/>
      </c>
      <c r="AQ349">
        <f ca="1"/>
      </c>
      <c r="AR349">
        <f ca="1"/>
      </c>
      <c r="AS349">
        <f ca="1"/>
      </c>
      <c r="AT349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AZ349">
        <f ca="1"/>
      </c>
      <c r="BA349">
        <f ca="1"/>
      </c>
      <c r="BB349">
        <f ca="1"/>
      </c>
      <c r="BC349">
        <f ca="1"/>
      </c>
      <c r="BD349">
        <f ca="1"/>
      </c>
      <c r="BE349">
        <f ca="1"/>
      </c>
      <c r="BF349">
        <f ca="1"/>
      </c>
      <c r="BG349">
        <f ca="1"/>
      </c>
      <c r="BH349">
        <f ca="1"/>
      </c>
      <c r="BI349">
        <f ca="1"/>
      </c>
      <c r="BJ349">
        <f ca="1"/>
      </c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F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B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M349" s="7"/>
    </row>
    <row r="350" spans="41:195" x14ac:dyDescent="0.55000000000000004">
      <c r="AO350">
        <f ca="1"/>
      </c>
      <c r="AP350">
        <f ca="1"/>
      </c>
      <c r="AQ350">
        <f ca="1"/>
      </c>
      <c r="AR350">
        <f ca="1"/>
      </c>
      <c r="AS350">
        <f ca="1"/>
      </c>
      <c r="AT350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AZ350">
        <f ca="1"/>
      </c>
      <c r="BA350">
        <f ca="1"/>
      </c>
      <c r="BB350">
        <f ca="1"/>
      </c>
      <c r="BC350">
        <f ca="1"/>
      </c>
      <c r="BD350">
        <f ca="1"/>
      </c>
      <c r="BE350">
        <f ca="1"/>
      </c>
      <c r="BF350">
        <f ca="1"/>
      </c>
      <c r="BG350">
        <f ca="1"/>
      </c>
      <c r="BH350">
        <f ca="1"/>
      </c>
      <c r="BI350">
        <f ca="1"/>
      </c>
      <c r="BJ350">
        <f ca="1"/>
      </c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F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B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M350" s="7"/>
    </row>
    <row r="351" spans="41:195" x14ac:dyDescent="0.55000000000000004">
      <c r="AO351">
        <f ca="1"/>
      </c>
      <c r="AP351">
        <f ca="1"/>
      </c>
      <c r="AQ351">
        <f ca="1"/>
      </c>
      <c r="AR351">
        <f ca="1"/>
      </c>
      <c r="AS351">
        <f ca="1"/>
      </c>
      <c r="AT351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AZ351">
        <f ca="1"/>
      </c>
      <c r="BA351">
        <f ca="1"/>
      </c>
      <c r="BB351">
        <f ca="1"/>
      </c>
      <c r="BC351">
        <f ca="1"/>
      </c>
      <c r="BD351">
        <f ca="1"/>
      </c>
      <c r="BE351">
        <f ca="1"/>
      </c>
      <c r="BF351">
        <f ca="1"/>
      </c>
      <c r="BG351">
        <f ca="1"/>
      </c>
      <c r="BH351">
        <f ca="1"/>
      </c>
      <c r="BI351">
        <f ca="1"/>
      </c>
      <c r="BJ351">
        <f ca="1"/>
      </c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F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B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M351" s="7"/>
    </row>
    <row r="352" spans="41:195" x14ac:dyDescent="0.55000000000000004">
      <c r="AO352">
        <f ca="1"/>
      </c>
      <c r="AP352">
        <f ca="1"/>
      </c>
      <c r="AQ352">
        <f ca="1"/>
      </c>
      <c r="AR352">
        <f ca="1"/>
      </c>
      <c r="AS352">
        <f ca="1"/>
      </c>
      <c r="AT352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AZ352">
        <f ca="1"/>
      </c>
      <c r="BA352">
        <f ca="1"/>
      </c>
      <c r="BB352">
        <f ca="1"/>
      </c>
      <c r="BC352">
        <f ca="1"/>
      </c>
      <c r="BD352">
        <f ca="1"/>
      </c>
      <c r="BE352">
        <f ca="1"/>
      </c>
      <c r="BF352">
        <f ca="1"/>
      </c>
      <c r="BG352">
        <f ca="1"/>
      </c>
      <c r="BH352">
        <f ca="1"/>
      </c>
      <c r="BI352">
        <f ca="1"/>
      </c>
      <c r="BJ352">
        <f ca="1"/>
      </c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F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B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M352" s="7"/>
    </row>
    <row r="353" spans="41:195" x14ac:dyDescent="0.55000000000000004">
      <c r="AO353">
        <f ca="1"/>
      </c>
      <c r="AP353">
        <f ca="1"/>
      </c>
      <c r="AQ353">
        <f ca="1"/>
      </c>
      <c r="AR353">
        <f ca="1"/>
      </c>
      <c r="AS353">
        <f ca="1"/>
      </c>
      <c r="AT353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AZ353">
        <f ca="1"/>
      </c>
      <c r="BA353">
        <f ca="1"/>
      </c>
      <c r="BB353">
        <f ca="1"/>
      </c>
      <c r="BC353">
        <f ca="1"/>
      </c>
      <c r="BD353">
        <f ca="1"/>
      </c>
      <c r="BE353">
        <f ca="1"/>
      </c>
      <c r="BF353">
        <f ca="1"/>
      </c>
      <c r="BG353">
        <f ca="1"/>
      </c>
      <c r="BH353">
        <f ca="1"/>
      </c>
      <c r="BI353">
        <f ca="1"/>
      </c>
      <c r="BJ353">
        <f ca="1"/>
      </c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F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B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M353" s="7"/>
    </row>
    <row r="354" spans="41:195" x14ac:dyDescent="0.55000000000000004">
      <c r="AO354">
        <f ca="1"/>
      </c>
      <c r="AP354">
        <f ca="1"/>
      </c>
      <c r="AQ354">
        <f ca="1"/>
      </c>
      <c r="AR354">
        <f ca="1"/>
      </c>
      <c r="AS354">
        <f ca="1"/>
      </c>
      <c r="AT354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AZ354">
        <f ca="1"/>
      </c>
      <c r="BA354">
        <f ca="1"/>
      </c>
      <c r="BB354">
        <f ca="1"/>
      </c>
      <c r="BC354">
        <f ca="1"/>
      </c>
      <c r="BD354">
        <f ca="1"/>
      </c>
      <c r="BE354">
        <f ca="1"/>
      </c>
      <c r="BF354">
        <f ca="1"/>
      </c>
      <c r="BG354">
        <f ca="1"/>
      </c>
      <c r="BH354">
        <f ca="1"/>
      </c>
      <c r="BI354">
        <f ca="1"/>
      </c>
      <c r="BJ354">
        <f ca="1"/>
      </c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F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M354" s="7"/>
    </row>
    <row r="355" spans="41:195" x14ac:dyDescent="0.55000000000000004">
      <c r="AO355">
        <f ca="1"/>
      </c>
      <c r="AP355">
        <f ca="1"/>
      </c>
      <c r="AQ355">
        <f ca="1"/>
      </c>
      <c r="AR355">
        <f ca="1"/>
      </c>
      <c r="AS355">
        <f ca="1"/>
      </c>
      <c r="AT355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AZ355">
        <f ca="1"/>
      </c>
      <c r="BA355">
        <f ca="1"/>
      </c>
      <c r="BB355">
        <f ca="1"/>
      </c>
      <c r="BC355">
        <f ca="1"/>
      </c>
      <c r="BD355">
        <f ca="1"/>
      </c>
      <c r="BE355">
        <f ca="1"/>
      </c>
      <c r="BF355">
        <f ca="1"/>
      </c>
      <c r="BG355">
        <f ca="1"/>
      </c>
      <c r="BH355">
        <f ca="1"/>
      </c>
      <c r="BI355">
        <f ca="1"/>
      </c>
      <c r="BJ355">
        <f ca="1"/>
      </c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F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M355" s="7"/>
    </row>
    <row r="356" spans="41:195" x14ac:dyDescent="0.55000000000000004">
      <c r="AO356">
        <f ca="1"/>
      </c>
      <c r="AP356">
        <f ca="1"/>
      </c>
      <c r="AQ356">
        <f ca="1"/>
      </c>
      <c r="AR356">
        <f ca="1"/>
      </c>
      <c r="AS356">
        <f ca="1"/>
      </c>
      <c r="AT356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AZ356">
        <f ca="1"/>
      </c>
      <c r="BA356">
        <f ca="1"/>
      </c>
      <c r="BB356">
        <f ca="1"/>
      </c>
      <c r="BC356">
        <f ca="1"/>
      </c>
      <c r="BD356">
        <f ca="1"/>
      </c>
      <c r="BE356">
        <f ca="1"/>
      </c>
      <c r="BF356">
        <f ca="1"/>
      </c>
      <c r="BG356">
        <f ca="1"/>
      </c>
      <c r="BH356">
        <f ca="1"/>
      </c>
      <c r="BI356">
        <f ca="1"/>
      </c>
      <c r="BJ356">
        <f ca="1"/>
      </c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F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M356" s="7"/>
    </row>
    <row r="357" spans="41:195" x14ac:dyDescent="0.55000000000000004">
      <c r="AO357">
        <f ca="1"/>
      </c>
      <c r="AP357">
        <f ca="1"/>
      </c>
      <c r="AQ357">
        <f ca="1"/>
      </c>
      <c r="AR357">
        <f ca="1"/>
      </c>
      <c r="AS357">
        <f ca="1"/>
      </c>
      <c r="AT35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AZ357">
        <f ca="1"/>
      </c>
      <c r="BA357">
        <f ca="1"/>
      </c>
      <c r="BB357">
        <f ca="1"/>
      </c>
      <c r="BC357">
        <f ca="1"/>
      </c>
      <c r="BD357">
        <f ca="1"/>
      </c>
      <c r="BE357">
        <f ca="1"/>
      </c>
      <c r="BF357">
        <f ca="1"/>
      </c>
      <c r="BG357">
        <f ca="1"/>
      </c>
      <c r="BH357">
        <f ca="1"/>
      </c>
      <c r="BI357">
        <f ca="1"/>
      </c>
      <c r="BJ357">
        <f ca="1"/>
      </c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F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M357" s="7"/>
    </row>
    <row r="358" spans="41:195" x14ac:dyDescent="0.55000000000000004">
      <c r="AO358">
        <f ca="1"/>
      </c>
      <c r="AP358">
        <f ca="1"/>
      </c>
      <c r="AQ358">
        <f ca="1"/>
      </c>
      <c r="AR358">
        <f ca="1"/>
      </c>
      <c r="AS358">
        <f ca="1"/>
      </c>
      <c r="AT358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AZ358">
        <f ca="1"/>
      </c>
      <c r="BA358">
        <f ca="1"/>
      </c>
      <c r="BB358">
        <f ca="1"/>
      </c>
      <c r="BC358">
        <f ca="1"/>
      </c>
      <c r="BD358">
        <f ca="1"/>
      </c>
      <c r="BE358">
        <f ca="1"/>
      </c>
      <c r="BF358">
        <f ca="1"/>
      </c>
      <c r="BG358">
        <f ca="1"/>
      </c>
      <c r="BH358">
        <f ca="1"/>
      </c>
      <c r="BI358">
        <f ca="1"/>
      </c>
      <c r="BJ358">
        <f ca="1"/>
      </c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F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M358" s="7"/>
    </row>
    <row r="359" spans="41:195" x14ac:dyDescent="0.55000000000000004">
      <c r="AO359">
        <f ca="1"/>
      </c>
      <c r="AP359">
        <f ca="1"/>
      </c>
      <c r="AQ359">
        <f ca="1"/>
      </c>
      <c r="AR359">
        <f ca="1"/>
      </c>
      <c r="AS359">
        <f ca="1"/>
      </c>
      <c r="AT359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AZ359">
        <f ca="1"/>
      </c>
      <c r="BA359">
        <f ca="1"/>
      </c>
      <c r="BB359">
        <f ca="1"/>
      </c>
      <c r="BC359">
        <f ca="1"/>
      </c>
      <c r="BD359">
        <f ca="1"/>
      </c>
      <c r="BE359">
        <f ca="1"/>
      </c>
      <c r="BF359">
        <f ca="1"/>
      </c>
      <c r="BG359">
        <f ca="1"/>
      </c>
      <c r="BH359">
        <f ca="1"/>
      </c>
      <c r="BI359">
        <f ca="1"/>
      </c>
      <c r="BJ359">
        <f ca="1"/>
      </c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F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M359" s="7"/>
    </row>
    <row r="360" spans="41:195" x14ac:dyDescent="0.55000000000000004">
      <c r="AO360">
        <f ca="1"/>
      </c>
      <c r="AP360">
        <f ca="1"/>
      </c>
      <c r="AQ360">
        <f ca="1"/>
      </c>
      <c r="AR360">
        <f ca="1"/>
      </c>
      <c r="AS360">
        <f ca="1"/>
      </c>
      <c r="AT360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AZ360">
        <f ca="1"/>
      </c>
      <c r="BA360">
        <f ca="1"/>
      </c>
      <c r="BB360">
        <f ca="1"/>
      </c>
      <c r="BC360">
        <f ca="1"/>
      </c>
      <c r="BD360">
        <f ca="1"/>
      </c>
      <c r="BE360">
        <f ca="1"/>
      </c>
      <c r="BF360">
        <f ca="1"/>
      </c>
      <c r="BG360">
        <f ca="1"/>
      </c>
      <c r="BH360">
        <f ca="1"/>
      </c>
      <c r="BI360">
        <f ca="1"/>
      </c>
      <c r="BJ360">
        <f ca="1"/>
      </c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F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M360" s="7"/>
    </row>
    <row r="361" spans="41:195" x14ac:dyDescent="0.55000000000000004">
      <c r="AO361">
        <f ca="1"/>
      </c>
      <c r="AP361">
        <f ca="1"/>
      </c>
      <c r="AQ361">
        <f ca="1"/>
      </c>
      <c r="AR361">
        <f ca="1"/>
      </c>
      <c r="AS361">
        <f ca="1"/>
      </c>
      <c r="AT361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AZ361">
        <f ca="1"/>
      </c>
      <c r="BA361">
        <f ca="1"/>
      </c>
      <c r="BB361">
        <f ca="1"/>
      </c>
      <c r="BC361">
        <f ca="1"/>
      </c>
      <c r="BD361">
        <f ca="1"/>
      </c>
      <c r="BE361">
        <f ca="1"/>
      </c>
      <c r="BF361">
        <f ca="1"/>
      </c>
      <c r="BG361">
        <f ca="1"/>
      </c>
      <c r="BH361">
        <f ca="1"/>
      </c>
      <c r="BI361">
        <f ca="1"/>
      </c>
      <c r="BJ361">
        <f ca="1"/>
      </c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F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M361" s="7"/>
    </row>
    <row r="362" spans="41:195" x14ac:dyDescent="0.55000000000000004">
      <c r="AO362">
        <f ca="1"/>
      </c>
      <c r="AP362">
        <f ca="1"/>
      </c>
      <c r="AQ362">
        <f ca="1"/>
      </c>
      <c r="AR362">
        <f ca="1"/>
      </c>
      <c r="AS362">
        <f ca="1"/>
      </c>
      <c r="AT362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AZ362">
        <f ca="1"/>
      </c>
      <c r="BA362">
        <f ca="1"/>
      </c>
      <c r="BB362">
        <f ca="1"/>
      </c>
      <c r="BC362">
        <f ca="1"/>
      </c>
      <c r="BD362">
        <f ca="1"/>
      </c>
      <c r="BE362">
        <f ca="1"/>
      </c>
      <c r="BF362">
        <f ca="1"/>
      </c>
      <c r="BG362">
        <f ca="1"/>
      </c>
      <c r="BH362">
        <f ca="1"/>
      </c>
      <c r="BI362">
        <f ca="1"/>
      </c>
      <c r="BJ362">
        <f ca="1"/>
      </c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F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M362" s="7"/>
    </row>
    <row r="363" spans="41:195" x14ac:dyDescent="0.55000000000000004">
      <c r="AO363">
        <f ca="1"/>
      </c>
      <c r="AP363">
        <f ca="1"/>
      </c>
      <c r="AQ363">
        <f ca="1"/>
      </c>
      <c r="AR363">
        <f ca="1"/>
      </c>
      <c r="AS363">
        <f ca="1"/>
      </c>
      <c r="AT363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AZ363">
        <f ca="1"/>
      </c>
      <c r="BA363">
        <f ca="1"/>
      </c>
      <c r="BB363">
        <f ca="1"/>
      </c>
      <c r="BC363">
        <f ca="1"/>
      </c>
      <c r="BD363">
        <f ca="1"/>
      </c>
      <c r="BE363">
        <f ca="1"/>
      </c>
      <c r="BF363">
        <f ca="1"/>
      </c>
      <c r="BG363">
        <f ca="1"/>
      </c>
      <c r="BH363">
        <f ca="1"/>
      </c>
      <c r="BI363">
        <f ca="1"/>
      </c>
      <c r="BJ363">
        <f ca="1"/>
      </c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F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M363" s="7"/>
    </row>
    <row r="364" spans="41:195" x14ac:dyDescent="0.55000000000000004">
      <c r="AO364">
        <f ca="1"/>
      </c>
      <c r="AP364">
        <f ca="1"/>
      </c>
      <c r="AQ364">
        <f ca="1"/>
      </c>
      <c r="AR364">
        <f ca="1"/>
      </c>
      <c r="AS364">
        <f ca="1"/>
      </c>
      <c r="AT364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AZ364">
        <f ca="1"/>
      </c>
      <c r="BA364">
        <f ca="1"/>
      </c>
      <c r="BB364">
        <f ca="1"/>
      </c>
      <c r="BC364">
        <f ca="1"/>
      </c>
      <c r="BD364">
        <f ca="1"/>
      </c>
      <c r="BE364">
        <f ca="1"/>
      </c>
      <c r="BF364">
        <f ca="1"/>
      </c>
      <c r="BG364">
        <f ca="1"/>
      </c>
      <c r="BH364">
        <f ca="1"/>
      </c>
      <c r="BI364">
        <f ca="1"/>
      </c>
      <c r="BJ364">
        <f ca="1"/>
      </c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F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M364" s="7"/>
    </row>
    <row r="365" spans="41:195" x14ac:dyDescent="0.55000000000000004">
      <c r="AO365">
        <f ca="1"/>
      </c>
      <c r="AP365">
        <f ca="1"/>
      </c>
      <c r="AQ365">
        <f ca="1"/>
      </c>
      <c r="AR365">
        <f ca="1"/>
      </c>
      <c r="AS365">
        <f ca="1"/>
      </c>
      <c r="AT365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AZ365">
        <f ca="1"/>
      </c>
      <c r="BA365">
        <f ca="1"/>
      </c>
      <c r="BB365">
        <f ca="1"/>
      </c>
      <c r="BC365">
        <f ca="1"/>
      </c>
      <c r="BD365">
        <f ca="1"/>
      </c>
      <c r="BE365">
        <f ca="1"/>
      </c>
      <c r="BF365">
        <f ca="1"/>
      </c>
      <c r="BG365">
        <f ca="1"/>
      </c>
      <c r="BH365">
        <f ca="1"/>
      </c>
      <c r="BI365">
        <f ca="1"/>
      </c>
      <c r="BJ365">
        <f ca="1"/>
      </c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F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M365" s="7"/>
    </row>
    <row r="366" spans="41:195" x14ac:dyDescent="0.55000000000000004">
      <c r="AO366">
        <f ca="1"/>
      </c>
      <c r="AP366">
        <f ca="1"/>
      </c>
      <c r="AQ366">
        <f ca="1"/>
      </c>
      <c r="AR366">
        <f ca="1"/>
      </c>
      <c r="AS366">
        <f ca="1"/>
      </c>
      <c r="AT366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AZ366">
        <f ca="1"/>
      </c>
      <c r="BA366">
        <f ca="1"/>
      </c>
      <c r="BB366">
        <f ca="1"/>
      </c>
      <c r="BC366">
        <f ca="1"/>
      </c>
      <c r="BD366">
        <f ca="1"/>
      </c>
      <c r="BE366">
        <f ca="1"/>
      </c>
      <c r="BF366">
        <f ca="1"/>
      </c>
      <c r="BG366">
        <f ca="1"/>
      </c>
      <c r="BH366">
        <f ca="1"/>
      </c>
      <c r="BI366">
        <f ca="1"/>
      </c>
      <c r="BJ366">
        <f ca="1"/>
      </c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F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M366" s="7"/>
    </row>
    <row r="367" spans="41:195" x14ac:dyDescent="0.55000000000000004">
      <c r="AO367">
        <f ca="1"/>
      </c>
      <c r="AP367">
        <f ca="1"/>
      </c>
      <c r="AQ367">
        <f ca="1"/>
      </c>
      <c r="AR367">
        <f ca="1"/>
      </c>
      <c r="AS367">
        <f ca="1"/>
      </c>
      <c r="AT36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AZ367">
        <f ca="1"/>
      </c>
      <c r="BA367">
        <f ca="1"/>
      </c>
      <c r="BB367">
        <f ca="1"/>
      </c>
      <c r="BC367">
        <f ca="1"/>
      </c>
      <c r="BD367">
        <f ca="1"/>
      </c>
      <c r="BE367">
        <f ca="1"/>
      </c>
      <c r="BF367">
        <f ca="1"/>
      </c>
      <c r="BG367">
        <f ca="1"/>
      </c>
      <c r="BH367">
        <f ca="1"/>
      </c>
      <c r="BI367">
        <f ca="1"/>
      </c>
      <c r="BJ367">
        <f ca="1"/>
      </c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F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M367" s="7"/>
    </row>
    <row r="368" spans="41:195" x14ac:dyDescent="0.55000000000000004">
      <c r="AO368">
        <f ca="1"/>
      </c>
      <c r="AP368">
        <f ca="1"/>
      </c>
      <c r="AQ368">
        <f ca="1"/>
      </c>
      <c r="AR368">
        <f ca="1"/>
      </c>
      <c r="AS368">
        <f ca="1"/>
      </c>
      <c r="AT368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AZ368">
        <f ca="1"/>
      </c>
      <c r="BA368">
        <f ca="1"/>
      </c>
      <c r="BB368">
        <f ca="1"/>
      </c>
      <c r="BC368">
        <f ca="1"/>
      </c>
      <c r="BD368">
        <f ca="1"/>
      </c>
      <c r="BE368">
        <f ca="1"/>
      </c>
      <c r="BF368">
        <f ca="1"/>
      </c>
      <c r="BG368">
        <f ca="1"/>
      </c>
      <c r="BH368">
        <f ca="1"/>
      </c>
      <c r="BI368">
        <f ca="1"/>
      </c>
      <c r="BJ368">
        <f ca="1"/>
      </c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F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M368" s="7"/>
    </row>
    <row r="369" spans="41:195" x14ac:dyDescent="0.55000000000000004">
      <c r="AO369">
        <f ca="1"/>
      </c>
      <c r="AP369">
        <f ca="1"/>
      </c>
      <c r="AQ369">
        <f ca="1"/>
      </c>
      <c r="AR369">
        <f ca="1"/>
      </c>
      <c r="AS369">
        <f ca="1"/>
      </c>
      <c r="AT369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AZ369">
        <f ca="1"/>
      </c>
      <c r="BA369">
        <f ca="1"/>
      </c>
      <c r="BB369">
        <f ca="1"/>
      </c>
      <c r="BC369">
        <f ca="1"/>
      </c>
      <c r="BD369">
        <f ca="1"/>
      </c>
      <c r="BE369">
        <f ca="1"/>
      </c>
      <c r="BF369">
        <f ca="1"/>
      </c>
      <c r="BG369">
        <f ca="1"/>
      </c>
      <c r="BH369">
        <f ca="1"/>
      </c>
      <c r="BI369">
        <f ca="1"/>
      </c>
      <c r="BJ369">
        <f ca="1"/>
      </c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F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M369" s="7"/>
    </row>
    <row r="370" spans="41:195" x14ac:dyDescent="0.55000000000000004">
      <c r="AO370">
        <f ca="1"/>
      </c>
      <c r="AP370">
        <f ca="1"/>
      </c>
      <c r="AQ370">
        <f ca="1"/>
      </c>
      <c r="AR370">
        <f ca="1"/>
      </c>
      <c r="AS370">
        <f ca="1"/>
      </c>
      <c r="AT370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AZ370">
        <f ca="1"/>
      </c>
      <c r="BA370">
        <f ca="1"/>
      </c>
      <c r="BB370">
        <f ca="1"/>
      </c>
      <c r="BC370">
        <f ca="1"/>
      </c>
      <c r="BD370">
        <f ca="1"/>
      </c>
      <c r="BE370">
        <f ca="1"/>
      </c>
      <c r="BF370">
        <f ca="1"/>
      </c>
      <c r="BG370">
        <f ca="1"/>
      </c>
      <c r="BH370">
        <f ca="1"/>
      </c>
      <c r="BI370">
        <f ca="1"/>
      </c>
      <c r="BJ370">
        <f ca="1"/>
      </c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F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M370" s="7"/>
    </row>
    <row r="371" spans="41:195" x14ac:dyDescent="0.55000000000000004">
      <c r="AO371">
        <f ca="1"/>
      </c>
      <c r="AP371">
        <f ca="1"/>
      </c>
      <c r="AQ371">
        <f ca="1"/>
      </c>
      <c r="AR371">
        <f ca="1"/>
      </c>
      <c r="AS371">
        <f ca="1"/>
      </c>
      <c r="AT371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AZ371">
        <f ca="1"/>
      </c>
      <c r="BA371">
        <f ca="1"/>
      </c>
      <c r="BB371">
        <f ca="1"/>
      </c>
      <c r="BC371">
        <f ca="1"/>
      </c>
      <c r="BD371">
        <f ca="1"/>
      </c>
      <c r="BE371">
        <f ca="1"/>
      </c>
      <c r="BF371">
        <f ca="1"/>
      </c>
      <c r="BG371">
        <f ca="1"/>
      </c>
      <c r="BH371">
        <f ca="1"/>
      </c>
      <c r="BI371">
        <f ca="1"/>
      </c>
      <c r="BJ371">
        <f ca="1"/>
      </c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F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M371" s="7"/>
    </row>
    <row r="372" spans="41:195" x14ac:dyDescent="0.55000000000000004">
      <c r="AO372">
        <f ca="1"/>
      </c>
      <c r="AP372">
        <f ca="1"/>
      </c>
      <c r="AQ372">
        <f ca="1"/>
      </c>
      <c r="AR372">
        <f ca="1"/>
      </c>
      <c r="AS372">
        <f ca="1"/>
      </c>
      <c r="AT372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AZ372">
        <f ca="1"/>
      </c>
      <c r="BA372">
        <f ca="1"/>
      </c>
      <c r="BB372">
        <f ca="1"/>
      </c>
      <c r="BC372">
        <f ca="1"/>
      </c>
      <c r="BD372">
        <f ca="1"/>
      </c>
      <c r="BE372">
        <f ca="1"/>
      </c>
      <c r="BF372">
        <f ca="1"/>
      </c>
      <c r="BG372">
        <f ca="1"/>
      </c>
      <c r="BH372">
        <f ca="1"/>
      </c>
      <c r="BI372">
        <f ca="1"/>
      </c>
      <c r="BJ372">
        <f ca="1"/>
      </c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F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B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M372" s="7"/>
    </row>
    <row r="373" spans="41:195" x14ac:dyDescent="0.55000000000000004">
      <c r="AO373">
        <f ca="1"/>
      </c>
      <c r="AP373">
        <f ca="1"/>
      </c>
      <c r="AQ373">
        <f ca="1"/>
      </c>
      <c r="AR373">
        <f ca="1"/>
      </c>
      <c r="AS373">
        <f ca="1"/>
      </c>
      <c r="AT373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AZ373">
        <f ca="1"/>
      </c>
      <c r="BA373">
        <f ca="1"/>
      </c>
      <c r="BB373">
        <f ca="1"/>
      </c>
      <c r="BC373">
        <f ca="1"/>
      </c>
      <c r="BD373">
        <f ca="1"/>
      </c>
      <c r="BE373">
        <f ca="1"/>
      </c>
      <c r="BF373">
        <f ca="1"/>
      </c>
      <c r="BG373">
        <f ca="1"/>
      </c>
      <c r="BH373">
        <f ca="1"/>
      </c>
      <c r="BI373">
        <f ca="1"/>
      </c>
      <c r="BJ373">
        <f ca="1"/>
      </c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F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B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M373" s="7"/>
    </row>
    <row r="374" spans="41:195" x14ac:dyDescent="0.55000000000000004">
      <c r="AO374">
        <f ca="1"/>
      </c>
      <c r="AP374">
        <f ca="1"/>
      </c>
      <c r="AQ374">
        <f ca="1"/>
      </c>
      <c r="AR374">
        <f ca="1"/>
      </c>
      <c r="AS374">
        <f ca="1"/>
      </c>
      <c r="AT374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AZ374">
        <f ca="1"/>
      </c>
      <c r="BA374">
        <f ca="1"/>
      </c>
      <c r="BB374">
        <f ca="1"/>
      </c>
      <c r="BC374">
        <f ca="1"/>
      </c>
      <c r="BD374">
        <f ca="1"/>
      </c>
      <c r="BE374">
        <f ca="1"/>
      </c>
      <c r="BF374">
        <f ca="1"/>
      </c>
      <c r="BG374">
        <f ca="1"/>
      </c>
      <c r="BH374">
        <f ca="1"/>
      </c>
      <c r="BI374">
        <f ca="1"/>
      </c>
      <c r="BJ374">
        <f ca="1"/>
      </c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F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B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M374" s="7"/>
    </row>
    <row r="375" spans="41:195" x14ac:dyDescent="0.55000000000000004">
      <c r="AO375">
        <f ca="1"/>
      </c>
      <c r="AP375">
        <f ca="1"/>
      </c>
      <c r="AQ375">
        <f ca="1"/>
      </c>
      <c r="AR375">
        <f ca="1"/>
      </c>
      <c r="AS375">
        <f ca="1"/>
      </c>
      <c r="AT375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AZ375">
        <f ca="1"/>
      </c>
      <c r="BA375">
        <f ca="1"/>
      </c>
      <c r="BB375">
        <f ca="1"/>
      </c>
      <c r="BC375">
        <f ca="1"/>
      </c>
      <c r="BD375">
        <f ca="1"/>
      </c>
      <c r="BE375">
        <f ca="1"/>
      </c>
      <c r="BF375">
        <f ca="1"/>
      </c>
      <c r="BG375">
        <f ca="1"/>
      </c>
      <c r="BH375">
        <f ca="1"/>
      </c>
      <c r="BI375">
        <f ca="1"/>
      </c>
      <c r="BJ375">
        <f ca="1"/>
      </c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F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B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M375" s="7"/>
    </row>
    <row r="376" spans="41:195" x14ac:dyDescent="0.55000000000000004">
      <c r="AO376">
        <f ca="1"/>
      </c>
      <c r="AP376">
        <f ca="1"/>
      </c>
      <c r="AQ376">
        <f ca="1"/>
      </c>
      <c r="AR376">
        <f ca="1"/>
      </c>
      <c r="AS376">
        <f ca="1"/>
      </c>
      <c r="AT376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AZ376">
        <f ca="1"/>
      </c>
      <c r="BA376">
        <f ca="1"/>
      </c>
      <c r="BB376">
        <f ca="1"/>
      </c>
      <c r="BC376">
        <f ca="1"/>
      </c>
      <c r="BD376">
        <f ca="1"/>
      </c>
      <c r="BE376">
        <f ca="1"/>
      </c>
      <c r="BF376">
        <f ca="1"/>
      </c>
      <c r="BG376">
        <f ca="1"/>
      </c>
      <c r="BH376">
        <f ca="1"/>
      </c>
      <c r="BI376">
        <f ca="1"/>
      </c>
      <c r="BJ376">
        <f ca="1"/>
      </c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F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B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M376" s="7"/>
    </row>
    <row r="377" spans="41:195" x14ac:dyDescent="0.55000000000000004">
      <c r="AO377">
        <f ca="1"/>
      </c>
      <c r="AP377">
        <f ca="1"/>
      </c>
      <c r="AQ377">
        <f ca="1"/>
      </c>
      <c r="AR377">
        <f ca="1"/>
      </c>
      <c r="AS377">
        <f ca="1"/>
      </c>
      <c r="AT37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AZ377">
        <f ca="1"/>
      </c>
      <c r="BA377">
        <f ca="1"/>
      </c>
      <c r="BB377">
        <f ca="1"/>
      </c>
      <c r="BC377">
        <f ca="1"/>
      </c>
      <c r="BD377">
        <f ca="1"/>
      </c>
      <c r="BE377">
        <f ca="1"/>
      </c>
      <c r="BF377">
        <f ca="1"/>
      </c>
      <c r="BG377">
        <f ca="1"/>
      </c>
      <c r="BH377">
        <f ca="1"/>
      </c>
      <c r="BI377">
        <f ca="1"/>
      </c>
      <c r="BJ377">
        <f ca="1"/>
      </c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F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B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M377" s="7"/>
    </row>
    <row r="378" spans="41:195" x14ac:dyDescent="0.55000000000000004">
      <c r="AO378">
        <f ca="1"/>
      </c>
      <c r="AP378">
        <f ca="1"/>
      </c>
      <c r="AQ378">
        <f ca="1"/>
      </c>
      <c r="AR378">
        <f ca="1"/>
      </c>
      <c r="AS378">
        <f ca="1"/>
      </c>
      <c r="AT378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AZ378">
        <f ca="1"/>
      </c>
      <c r="BA378">
        <f ca="1"/>
      </c>
      <c r="BB378">
        <f ca="1"/>
      </c>
      <c r="BC378">
        <f ca="1"/>
      </c>
      <c r="BD378">
        <f ca="1"/>
      </c>
      <c r="BE378">
        <f ca="1"/>
      </c>
      <c r="BF378">
        <f ca="1"/>
      </c>
      <c r="BG378">
        <f ca="1"/>
      </c>
      <c r="BH378">
        <f ca="1"/>
      </c>
      <c r="BI378">
        <f ca="1"/>
      </c>
      <c r="BJ378">
        <f ca="1"/>
      </c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F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B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M378" s="7"/>
    </row>
    <row r="379" spans="41:195" x14ac:dyDescent="0.55000000000000004">
      <c r="AO379">
        <f ca="1"/>
      </c>
      <c r="AP379">
        <f ca="1"/>
      </c>
      <c r="AQ379">
        <f ca="1"/>
      </c>
      <c r="AR379">
        <f ca="1"/>
      </c>
      <c r="AS379">
        <f ca="1"/>
      </c>
      <c r="AT379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AZ379">
        <f ca="1"/>
      </c>
      <c r="BA379">
        <f ca="1"/>
      </c>
      <c r="BB379">
        <f ca="1"/>
      </c>
      <c r="BC379">
        <f ca="1"/>
      </c>
      <c r="BD379">
        <f ca="1"/>
      </c>
      <c r="BE379">
        <f ca="1"/>
      </c>
      <c r="BF379">
        <f ca="1"/>
      </c>
      <c r="BG379">
        <f ca="1"/>
      </c>
      <c r="BH379">
        <f ca="1"/>
      </c>
      <c r="BI379">
        <f ca="1"/>
      </c>
      <c r="BJ379">
        <f ca="1"/>
      </c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F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B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M379" s="7"/>
    </row>
    <row r="380" spans="41:195" x14ac:dyDescent="0.55000000000000004">
      <c r="AO380">
        <f ca="1"/>
      </c>
      <c r="AP380">
        <f ca="1"/>
      </c>
      <c r="AQ380">
        <f ca="1"/>
      </c>
      <c r="AR380">
        <f ca="1"/>
      </c>
      <c r="AS380">
        <f ca="1"/>
      </c>
      <c r="AT380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AZ380">
        <f ca="1"/>
      </c>
      <c r="BA380">
        <f ca="1"/>
      </c>
      <c r="BB380">
        <f ca="1"/>
      </c>
      <c r="BC380">
        <f ca="1"/>
      </c>
      <c r="BD380">
        <f ca="1"/>
      </c>
      <c r="BE380">
        <f ca="1"/>
      </c>
      <c r="BF380">
        <f ca="1"/>
      </c>
      <c r="BG380">
        <f ca="1"/>
      </c>
      <c r="BH380">
        <f ca="1"/>
      </c>
      <c r="BI380">
        <f ca="1"/>
      </c>
      <c r="BJ380">
        <f ca="1"/>
      </c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F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B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M380" s="7"/>
    </row>
    <row r="381" spans="41:195" x14ac:dyDescent="0.55000000000000004">
      <c r="AO381">
        <f ca="1"/>
      </c>
      <c r="AP381">
        <f ca="1"/>
      </c>
      <c r="AQ381">
        <f ca="1"/>
      </c>
      <c r="AR381">
        <f ca="1"/>
      </c>
      <c r="AS381">
        <f ca="1"/>
      </c>
      <c r="AT381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AZ381">
        <f ca="1"/>
      </c>
      <c r="BA381">
        <f ca="1"/>
      </c>
      <c r="BB381">
        <f ca="1"/>
      </c>
      <c r="BC381">
        <f ca="1"/>
      </c>
      <c r="BD381">
        <f ca="1"/>
      </c>
      <c r="BE381">
        <f ca="1"/>
      </c>
      <c r="BF381">
        <f ca="1"/>
      </c>
      <c r="BG381">
        <f ca="1"/>
      </c>
      <c r="BH381">
        <f ca="1"/>
      </c>
      <c r="BI381">
        <f ca="1"/>
      </c>
      <c r="BJ381">
        <f ca="1"/>
      </c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F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B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M381" s="7"/>
    </row>
    <row r="382" spans="41:195" x14ac:dyDescent="0.55000000000000004">
      <c r="AO382">
        <f ca="1"/>
      </c>
      <c r="AP382">
        <f ca="1"/>
      </c>
      <c r="AQ382">
        <f ca="1"/>
      </c>
      <c r="AR382">
        <f ca="1"/>
      </c>
      <c r="AS382">
        <f ca="1"/>
      </c>
      <c r="AT382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AZ382">
        <f ca="1"/>
      </c>
      <c r="BA382">
        <f ca="1"/>
      </c>
      <c r="BB382">
        <f ca="1"/>
      </c>
      <c r="BC382">
        <f ca="1"/>
      </c>
      <c r="BD382">
        <f ca="1"/>
      </c>
      <c r="BE382">
        <f ca="1"/>
      </c>
      <c r="BF382">
        <f ca="1"/>
      </c>
      <c r="BG382">
        <f ca="1"/>
      </c>
      <c r="BH382">
        <f ca="1"/>
      </c>
      <c r="BI382">
        <f ca="1"/>
      </c>
      <c r="BJ382">
        <f ca="1"/>
      </c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F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B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M382" s="7"/>
    </row>
    <row r="383" spans="41:195" x14ac:dyDescent="0.55000000000000004">
      <c r="AO383">
        <f ca="1"/>
      </c>
      <c r="AP383">
        <f ca="1"/>
      </c>
      <c r="AQ383">
        <f ca="1"/>
      </c>
      <c r="AR383">
        <f ca="1"/>
      </c>
      <c r="AS383">
        <f ca="1"/>
      </c>
      <c r="AT383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AZ383">
        <f ca="1"/>
      </c>
      <c r="BA383">
        <f ca="1"/>
      </c>
      <c r="BB383">
        <f ca="1"/>
      </c>
      <c r="BC383">
        <f ca="1"/>
      </c>
      <c r="BD383">
        <f ca="1"/>
      </c>
      <c r="BE383">
        <f ca="1"/>
      </c>
      <c r="BF383">
        <f ca="1"/>
      </c>
      <c r="BG383">
        <f ca="1"/>
      </c>
      <c r="BH383">
        <f ca="1"/>
      </c>
      <c r="BI383">
        <f ca="1"/>
      </c>
      <c r="BJ383">
        <f ca="1"/>
      </c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F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B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M383" s="7"/>
    </row>
    <row r="384" spans="41:195" x14ac:dyDescent="0.55000000000000004">
      <c r="AO384">
        <f ca="1"/>
      </c>
      <c r="AP384">
        <f ca="1"/>
      </c>
      <c r="AQ384">
        <f ca="1"/>
      </c>
      <c r="AR384">
        <f ca="1"/>
      </c>
      <c r="AS384">
        <f ca="1"/>
      </c>
      <c r="AT384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AZ384">
        <f ca="1"/>
      </c>
      <c r="BA384">
        <f ca="1"/>
      </c>
      <c r="BB384">
        <f ca="1"/>
      </c>
      <c r="BC384">
        <f ca="1"/>
      </c>
      <c r="BD384">
        <f ca="1"/>
      </c>
      <c r="BE384">
        <f ca="1"/>
      </c>
      <c r="BF384">
        <f ca="1"/>
      </c>
      <c r="BG384">
        <f ca="1"/>
      </c>
      <c r="BH384">
        <f ca="1"/>
      </c>
      <c r="BI384">
        <f ca="1"/>
      </c>
      <c r="BJ384">
        <f ca="1"/>
      </c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F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B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M384" s="7"/>
    </row>
    <row r="385" spans="41:195" x14ac:dyDescent="0.55000000000000004">
      <c r="AO385">
        <f ca="1"/>
      </c>
      <c r="AP385">
        <f ca="1"/>
      </c>
      <c r="AQ385">
        <f ca="1"/>
      </c>
      <c r="AR385">
        <f ca="1"/>
      </c>
      <c r="AS385">
        <f ca="1"/>
      </c>
      <c r="AT385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AZ385">
        <f ca="1"/>
      </c>
      <c r="BA385">
        <f ca="1"/>
      </c>
      <c r="BB385">
        <f ca="1"/>
      </c>
      <c r="BC385">
        <f ca="1"/>
      </c>
      <c r="BD385">
        <f ca="1"/>
      </c>
      <c r="BE385">
        <f ca="1"/>
      </c>
      <c r="BF385">
        <f ca="1"/>
      </c>
      <c r="BG385">
        <f ca="1"/>
      </c>
      <c r="BH385">
        <f ca="1"/>
      </c>
      <c r="BI385">
        <f ca="1"/>
      </c>
      <c r="BJ385">
        <f ca="1"/>
      </c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F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B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M385" s="7"/>
    </row>
    <row r="386" spans="41:195" x14ac:dyDescent="0.55000000000000004">
      <c r="AO386">
        <f ca="1"/>
      </c>
      <c r="AP386">
        <f ca="1"/>
      </c>
      <c r="AQ386">
        <f ca="1"/>
      </c>
      <c r="AR386">
        <f ca="1"/>
      </c>
      <c r="AS386">
        <f ca="1"/>
      </c>
      <c r="AT386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AZ386">
        <f ca="1"/>
      </c>
      <c r="BA386">
        <f ca="1"/>
      </c>
      <c r="BB386">
        <f ca="1"/>
      </c>
      <c r="BC386">
        <f ca="1"/>
      </c>
      <c r="BD386">
        <f ca="1"/>
      </c>
      <c r="BE386">
        <f ca="1"/>
      </c>
      <c r="BF386">
        <f ca="1"/>
      </c>
      <c r="BG386">
        <f ca="1"/>
      </c>
      <c r="BH386">
        <f ca="1"/>
      </c>
      <c r="BI386">
        <f ca="1"/>
      </c>
      <c r="BJ386">
        <f ca="1"/>
      </c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F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B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M386" s="7"/>
    </row>
    <row r="387" spans="41:195" x14ac:dyDescent="0.55000000000000004">
      <c r="AO387">
        <f ca="1"/>
      </c>
      <c r="AP387">
        <f ca="1"/>
      </c>
      <c r="AQ387">
        <f ca="1"/>
      </c>
      <c r="AR387">
        <f ca="1"/>
      </c>
      <c r="AS387">
        <f ca="1"/>
      </c>
      <c r="AT38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AZ387">
        <f ca="1"/>
      </c>
      <c r="BA387">
        <f ca="1"/>
      </c>
      <c r="BB387">
        <f ca="1"/>
      </c>
      <c r="BC387">
        <f ca="1"/>
      </c>
      <c r="BD387">
        <f ca="1"/>
      </c>
      <c r="BE387">
        <f ca="1"/>
      </c>
      <c r="BF387">
        <f ca="1"/>
      </c>
      <c r="BG387">
        <f ca="1"/>
      </c>
      <c r="BH387">
        <f ca="1"/>
      </c>
      <c r="BI387">
        <f ca="1"/>
      </c>
      <c r="BJ387">
        <f ca="1"/>
      </c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F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B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M387" s="7"/>
    </row>
    <row r="388" spans="41:195" x14ac:dyDescent="0.55000000000000004">
      <c r="AO388">
        <f ca="1"/>
      </c>
      <c r="AP388">
        <f ca="1"/>
      </c>
      <c r="AQ388">
        <f ca="1"/>
      </c>
      <c r="AR388">
        <f ca="1"/>
      </c>
      <c r="AS388">
        <f ca="1"/>
      </c>
      <c r="AT388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AZ388">
        <f ca="1"/>
      </c>
      <c r="BA388">
        <f ca="1"/>
      </c>
      <c r="BB388">
        <f ca="1"/>
      </c>
      <c r="BC388">
        <f ca="1"/>
      </c>
      <c r="BD388">
        <f ca="1"/>
      </c>
      <c r="BE388">
        <f ca="1"/>
      </c>
      <c r="BF388">
        <f ca="1"/>
      </c>
      <c r="BG388">
        <f ca="1"/>
      </c>
      <c r="BH388">
        <f ca="1"/>
      </c>
      <c r="BI388">
        <f ca="1"/>
      </c>
      <c r="BJ388">
        <f ca="1"/>
      </c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F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B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M388" s="7"/>
    </row>
    <row r="389" spans="41:195" x14ac:dyDescent="0.55000000000000004">
      <c r="AO389">
        <f ca="1"/>
      </c>
      <c r="AP389">
        <f ca="1"/>
      </c>
      <c r="AQ389">
        <f ca="1"/>
      </c>
      <c r="AR389">
        <f ca="1"/>
      </c>
      <c r="AS389">
        <f ca="1"/>
      </c>
      <c r="AT389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AZ389">
        <f ca="1"/>
      </c>
      <c r="BA389">
        <f ca="1"/>
      </c>
      <c r="BB389">
        <f ca="1"/>
      </c>
      <c r="BC389">
        <f ca="1"/>
      </c>
      <c r="BD389">
        <f ca="1"/>
      </c>
      <c r="BE389">
        <f ca="1"/>
      </c>
      <c r="BF389">
        <f ca="1"/>
      </c>
      <c r="BG389">
        <f ca="1"/>
      </c>
      <c r="BH389">
        <f ca="1"/>
      </c>
      <c r="BI389">
        <f ca="1"/>
      </c>
      <c r="BJ389">
        <f ca="1"/>
      </c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F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B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M389" s="7"/>
    </row>
    <row r="390" spans="41:195" x14ac:dyDescent="0.55000000000000004">
      <c r="AO390">
        <f ca="1"/>
      </c>
      <c r="AP390">
        <f ca="1"/>
      </c>
      <c r="AQ390">
        <f ca="1"/>
      </c>
      <c r="AR390">
        <f ca="1"/>
      </c>
      <c r="AS390">
        <f ca="1"/>
      </c>
      <c r="AT390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AZ390">
        <f ca="1"/>
      </c>
      <c r="BA390">
        <f ca="1"/>
      </c>
      <c r="BB390">
        <f ca="1"/>
      </c>
      <c r="BC390">
        <f ca="1"/>
      </c>
      <c r="BD390">
        <f ca="1"/>
      </c>
      <c r="BE390">
        <f ca="1"/>
      </c>
      <c r="BF390">
        <f ca="1"/>
      </c>
      <c r="BG390">
        <f ca="1"/>
      </c>
      <c r="BH390">
        <f ca="1"/>
      </c>
      <c r="BI390">
        <f ca="1"/>
      </c>
      <c r="BJ390">
        <f ca="1"/>
      </c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F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B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M390" s="7"/>
    </row>
    <row r="391" spans="41:195" x14ac:dyDescent="0.55000000000000004">
      <c r="AO391">
        <f ca="1"/>
      </c>
      <c r="AP391">
        <f ca="1"/>
      </c>
      <c r="AQ391">
        <f ca="1"/>
      </c>
      <c r="AR391">
        <f ca="1"/>
      </c>
      <c r="AS391">
        <f ca="1"/>
      </c>
      <c r="AT391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AZ391">
        <f ca="1"/>
      </c>
      <c r="BA391">
        <f ca="1"/>
      </c>
      <c r="BB391">
        <f ca="1"/>
      </c>
      <c r="BC391">
        <f ca="1"/>
      </c>
      <c r="BD391">
        <f ca="1"/>
      </c>
      <c r="BE391">
        <f ca="1"/>
      </c>
      <c r="BF391">
        <f ca="1"/>
      </c>
      <c r="BG391">
        <f ca="1"/>
      </c>
      <c r="BH391">
        <f ca="1"/>
      </c>
      <c r="BI391">
        <f ca="1"/>
      </c>
      <c r="BJ391">
        <f ca="1"/>
      </c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F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B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M391" s="7"/>
    </row>
    <row r="392" spans="41:195" x14ac:dyDescent="0.55000000000000004">
      <c r="AO392">
        <f ca="1"/>
      </c>
      <c r="AP392">
        <f ca="1"/>
      </c>
      <c r="AQ392">
        <f ca="1"/>
      </c>
      <c r="AR392">
        <f ca="1"/>
      </c>
      <c r="AS392">
        <f ca="1"/>
      </c>
      <c r="AT392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AZ392">
        <f ca="1"/>
      </c>
      <c r="BA392">
        <f ca="1"/>
      </c>
      <c r="BB392">
        <f ca="1"/>
      </c>
      <c r="BC392">
        <f ca="1"/>
      </c>
      <c r="BD392">
        <f ca="1"/>
      </c>
      <c r="BE392">
        <f ca="1"/>
      </c>
      <c r="BF392">
        <f ca="1"/>
      </c>
      <c r="BG392">
        <f ca="1"/>
      </c>
      <c r="BH392">
        <f ca="1"/>
      </c>
      <c r="BI392">
        <f ca="1"/>
      </c>
      <c r="BJ392">
        <f ca="1"/>
      </c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F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B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M392" s="7"/>
    </row>
    <row r="393" spans="41:195" x14ac:dyDescent="0.55000000000000004">
      <c r="AO393">
        <f ca="1"/>
      </c>
      <c r="AP393">
        <f ca="1"/>
      </c>
      <c r="AQ393">
        <f ca="1"/>
      </c>
      <c r="AR393">
        <f ca="1"/>
      </c>
      <c r="AS393">
        <f ca="1"/>
      </c>
      <c r="AT393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AZ393">
        <f ca="1"/>
      </c>
      <c r="BA393">
        <f ca="1"/>
      </c>
      <c r="BB393">
        <f ca="1"/>
      </c>
      <c r="BC393">
        <f ca="1"/>
      </c>
      <c r="BD393">
        <f ca="1"/>
      </c>
      <c r="BE393">
        <f ca="1"/>
      </c>
      <c r="BF393">
        <f ca="1"/>
      </c>
      <c r="BG393">
        <f ca="1"/>
      </c>
      <c r="BH393">
        <f ca="1"/>
      </c>
      <c r="BI393">
        <f ca="1"/>
      </c>
      <c r="BJ393">
        <f ca="1"/>
      </c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F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B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M393" s="7"/>
    </row>
    <row r="394" spans="41:195" x14ac:dyDescent="0.55000000000000004">
      <c r="AO394">
        <f ca="1"/>
      </c>
      <c r="AP394">
        <f ca="1"/>
      </c>
      <c r="AQ394">
        <f ca="1"/>
      </c>
      <c r="AR394">
        <f ca="1"/>
      </c>
      <c r="AS394">
        <f ca="1"/>
      </c>
      <c r="AT394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AZ394">
        <f ca="1"/>
      </c>
      <c r="BA394">
        <f ca="1"/>
      </c>
      <c r="BB394">
        <f ca="1"/>
      </c>
      <c r="BC394">
        <f ca="1"/>
      </c>
      <c r="BD394">
        <f ca="1"/>
      </c>
      <c r="BE394">
        <f ca="1"/>
      </c>
      <c r="BF394">
        <f ca="1"/>
      </c>
      <c r="BG394">
        <f ca="1"/>
      </c>
      <c r="BH394">
        <f ca="1"/>
      </c>
      <c r="BI394">
        <f ca="1"/>
      </c>
      <c r="BJ394">
        <f ca="1"/>
      </c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F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B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M394" s="7"/>
    </row>
    <row r="395" spans="41:195" x14ac:dyDescent="0.55000000000000004">
      <c r="AO395">
        <f ca="1"/>
      </c>
      <c r="AP395">
        <f ca="1"/>
      </c>
      <c r="AQ395">
        <f ca="1"/>
      </c>
      <c r="AR395">
        <f ca="1"/>
      </c>
      <c r="AS395">
        <f ca="1"/>
      </c>
      <c r="AT395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AZ395">
        <f ca="1"/>
      </c>
      <c r="BA395">
        <f ca="1"/>
      </c>
      <c r="BB395">
        <f ca="1"/>
      </c>
      <c r="BC395">
        <f ca="1"/>
      </c>
      <c r="BD395">
        <f ca="1"/>
      </c>
      <c r="BE395">
        <f ca="1"/>
      </c>
      <c r="BF395">
        <f ca="1"/>
      </c>
      <c r="BG395">
        <f ca="1"/>
      </c>
      <c r="BH395">
        <f ca="1"/>
      </c>
      <c r="BI395">
        <f ca="1"/>
      </c>
      <c r="BJ395">
        <f ca="1"/>
      </c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F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B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M395" s="7"/>
    </row>
    <row r="396" spans="41:195" x14ac:dyDescent="0.55000000000000004">
      <c r="AO396">
        <f ca="1"/>
      </c>
      <c r="AP396">
        <f ca="1"/>
      </c>
      <c r="AQ396">
        <f ca="1"/>
      </c>
      <c r="AR396">
        <f ca="1"/>
      </c>
      <c r="AS396">
        <f ca="1"/>
      </c>
      <c r="AT396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AZ396">
        <f ca="1"/>
      </c>
      <c r="BA396">
        <f ca="1"/>
      </c>
      <c r="BB396">
        <f ca="1"/>
      </c>
      <c r="BC396">
        <f ca="1"/>
      </c>
      <c r="BD396">
        <f ca="1"/>
      </c>
      <c r="BE396">
        <f ca="1"/>
      </c>
      <c r="BF396">
        <f ca="1"/>
      </c>
      <c r="BG396">
        <f ca="1"/>
      </c>
      <c r="BH396">
        <f ca="1"/>
      </c>
      <c r="BI396">
        <f ca="1"/>
      </c>
      <c r="BJ396">
        <f ca="1"/>
      </c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F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B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M396" s="7"/>
    </row>
    <row r="397" spans="41:195" x14ac:dyDescent="0.55000000000000004">
      <c r="AO397">
        <f ca="1"/>
      </c>
      <c r="AP397">
        <f ca="1"/>
      </c>
      <c r="AQ397">
        <f ca="1"/>
      </c>
      <c r="AR397">
        <f ca="1"/>
      </c>
      <c r="AS397">
        <f ca="1"/>
      </c>
      <c r="AT39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AZ397">
        <f ca="1"/>
      </c>
      <c r="BA397">
        <f ca="1"/>
      </c>
      <c r="BB397">
        <f ca="1"/>
      </c>
      <c r="BC397">
        <f ca="1"/>
      </c>
      <c r="BD397">
        <f ca="1"/>
      </c>
      <c r="BE397">
        <f ca="1"/>
      </c>
      <c r="BF397">
        <f ca="1"/>
      </c>
      <c r="BG397">
        <f ca="1"/>
      </c>
      <c r="BH397">
        <f ca="1"/>
      </c>
      <c r="BI397">
        <f ca="1"/>
      </c>
      <c r="BJ397">
        <f ca="1"/>
      </c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F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B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M397" s="7"/>
    </row>
    <row r="398" spans="41:195" x14ac:dyDescent="0.55000000000000004">
      <c r="AO398">
        <f ca="1"/>
      </c>
      <c r="AP398">
        <f ca="1"/>
      </c>
      <c r="AQ398">
        <f ca="1"/>
      </c>
      <c r="AR398">
        <f ca="1"/>
      </c>
      <c r="AS398">
        <f ca="1"/>
      </c>
      <c r="AT398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AZ398">
        <f ca="1"/>
      </c>
      <c r="BA398">
        <f ca="1"/>
      </c>
      <c r="BB398">
        <f ca="1"/>
      </c>
      <c r="BC398">
        <f ca="1"/>
      </c>
      <c r="BD398">
        <f ca="1"/>
      </c>
      <c r="BE398">
        <f ca="1"/>
      </c>
      <c r="BF398">
        <f ca="1"/>
      </c>
      <c r="BG398">
        <f ca="1"/>
      </c>
      <c r="BH398">
        <f ca="1"/>
      </c>
      <c r="BI398">
        <f ca="1"/>
      </c>
      <c r="BJ398">
        <f ca="1"/>
      </c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F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B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M398" s="7"/>
    </row>
    <row r="399" spans="41:195" x14ac:dyDescent="0.55000000000000004">
      <c r="AO399">
        <f ca="1"/>
      </c>
      <c r="AP399">
        <f ca="1"/>
      </c>
      <c r="AQ399">
        <f ca="1"/>
      </c>
      <c r="AR399">
        <f ca="1"/>
      </c>
      <c r="AS399">
        <f ca="1"/>
      </c>
      <c r="AT399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AZ399">
        <f ca="1"/>
      </c>
      <c r="BA399">
        <f ca="1"/>
      </c>
      <c r="BB399">
        <f ca="1"/>
      </c>
      <c r="BC399">
        <f ca="1"/>
      </c>
      <c r="BD399">
        <f ca="1"/>
      </c>
      <c r="BE399">
        <f ca="1"/>
      </c>
      <c r="BF399">
        <f ca="1"/>
      </c>
      <c r="BG399">
        <f ca="1"/>
      </c>
      <c r="BH399">
        <f ca="1"/>
      </c>
      <c r="BI399">
        <f ca="1"/>
      </c>
      <c r="BJ399">
        <f ca="1"/>
      </c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F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B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M399" s="7"/>
    </row>
    <row r="400" spans="41:195" x14ac:dyDescent="0.55000000000000004">
      <c r="AO400">
        <f ca="1"/>
      </c>
      <c r="AP400">
        <f ca="1"/>
      </c>
      <c r="AQ400">
        <f ca="1"/>
      </c>
      <c r="AR400">
        <f ca="1"/>
      </c>
      <c r="AS400">
        <f ca="1"/>
      </c>
      <c r="AT400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AZ400">
        <f ca="1"/>
      </c>
      <c r="BA400">
        <f ca="1"/>
      </c>
      <c r="BB400">
        <f ca="1"/>
      </c>
      <c r="BC400">
        <f ca="1"/>
      </c>
      <c r="BD400">
        <f ca="1"/>
      </c>
      <c r="BE400">
        <f ca="1"/>
      </c>
      <c r="BF400">
        <f ca="1"/>
      </c>
      <c r="BG400">
        <f ca="1"/>
      </c>
      <c r="BH400">
        <f ca="1"/>
      </c>
      <c r="BI400">
        <f ca="1"/>
      </c>
      <c r="BJ400">
        <f ca="1"/>
      </c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F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B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M400" s="7"/>
    </row>
    <row r="401" spans="41:195" x14ac:dyDescent="0.55000000000000004">
      <c r="AO401">
        <f ca="1"/>
      </c>
      <c r="AP401">
        <f ca="1"/>
      </c>
      <c r="AQ401">
        <f ca="1"/>
      </c>
      <c r="AR401">
        <f ca="1"/>
      </c>
      <c r="AS401">
        <f ca="1"/>
      </c>
      <c r="AT401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AZ401">
        <f ca="1"/>
      </c>
      <c r="BA401">
        <f ca="1"/>
      </c>
      <c r="BB401">
        <f ca="1"/>
      </c>
      <c r="BC401">
        <f ca="1"/>
      </c>
      <c r="BD401">
        <f ca="1"/>
      </c>
      <c r="BE401">
        <f ca="1"/>
      </c>
      <c r="BF401">
        <f ca="1"/>
      </c>
      <c r="BG401">
        <f ca="1"/>
      </c>
      <c r="BH401">
        <f ca="1"/>
      </c>
      <c r="BI401">
        <f ca="1"/>
      </c>
      <c r="BJ401">
        <f ca="1"/>
      </c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F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B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M401" s="7"/>
    </row>
    <row r="402" spans="41:195" x14ac:dyDescent="0.55000000000000004">
      <c r="AO402">
        <f ca="1"/>
      </c>
      <c r="AP402">
        <f ca="1"/>
      </c>
      <c r="AQ402">
        <f ca="1"/>
      </c>
      <c r="AR402">
        <f ca="1"/>
      </c>
      <c r="AS402">
        <f ca="1"/>
      </c>
      <c r="AT402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AZ402">
        <f ca="1"/>
      </c>
      <c r="BA402">
        <f ca="1"/>
      </c>
      <c r="BB402">
        <f ca="1"/>
      </c>
      <c r="BC402">
        <f ca="1"/>
      </c>
      <c r="BD402">
        <f ca="1"/>
      </c>
      <c r="BE402">
        <f ca="1"/>
      </c>
      <c r="BF402">
        <f ca="1"/>
      </c>
      <c r="BG402">
        <f ca="1"/>
      </c>
      <c r="BH402">
        <f ca="1"/>
      </c>
      <c r="BI402">
        <f ca="1"/>
      </c>
      <c r="BJ402">
        <f ca="1"/>
      </c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F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B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M402" s="7"/>
    </row>
    <row r="403" spans="41:195" x14ac:dyDescent="0.55000000000000004">
      <c r="AO403">
        <f ca="1"/>
      </c>
      <c r="AP403">
        <f ca="1"/>
      </c>
      <c r="AQ403">
        <f ca="1"/>
      </c>
      <c r="AR403">
        <f ca="1"/>
      </c>
      <c r="AS403">
        <f ca="1"/>
      </c>
      <c r="AT403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AZ403">
        <f ca="1"/>
      </c>
      <c r="BA403">
        <f ca="1"/>
      </c>
      <c r="BB403">
        <f ca="1"/>
      </c>
      <c r="BC403">
        <f ca="1"/>
      </c>
      <c r="BD403">
        <f ca="1"/>
      </c>
      <c r="BE403">
        <f ca="1"/>
      </c>
      <c r="BF403">
        <f ca="1"/>
      </c>
      <c r="BG403">
        <f ca="1"/>
      </c>
      <c r="BH403">
        <f ca="1"/>
      </c>
      <c r="BI403">
        <f ca="1"/>
      </c>
      <c r="BJ403">
        <f ca="1"/>
      </c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F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B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M403" s="7"/>
    </row>
    <row r="404" spans="41:195" x14ac:dyDescent="0.55000000000000004">
      <c r="AO404">
        <f ca="1"/>
      </c>
      <c r="AP404">
        <f ca="1"/>
      </c>
      <c r="AQ404">
        <f ca="1"/>
      </c>
      <c r="AR404">
        <f ca="1"/>
      </c>
      <c r="AS404">
        <f ca="1"/>
      </c>
      <c r="AT404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AZ404">
        <f ca="1"/>
      </c>
      <c r="BA404">
        <f ca="1"/>
      </c>
      <c r="BB404">
        <f ca="1"/>
      </c>
      <c r="BC404">
        <f ca="1"/>
      </c>
      <c r="BD404">
        <f ca="1"/>
      </c>
      <c r="BE404">
        <f ca="1"/>
      </c>
      <c r="BF404">
        <f ca="1"/>
      </c>
      <c r="BG404">
        <f ca="1"/>
      </c>
      <c r="BH404">
        <f ca="1"/>
      </c>
      <c r="BI404">
        <f ca="1"/>
      </c>
      <c r="BJ404">
        <f ca="1"/>
      </c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F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M404" s="7"/>
    </row>
    <row r="405" spans="41:195" x14ac:dyDescent="0.55000000000000004">
      <c r="AO405">
        <f ca="1"/>
      </c>
      <c r="AP405">
        <f ca="1"/>
      </c>
      <c r="AQ405">
        <f ca="1"/>
      </c>
      <c r="AR405">
        <f ca="1"/>
      </c>
      <c r="AS405">
        <f ca="1"/>
      </c>
      <c r="AT405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AZ405">
        <f ca="1"/>
      </c>
      <c r="BA405">
        <f ca="1"/>
      </c>
      <c r="BB405">
        <f ca="1"/>
      </c>
      <c r="BC405">
        <f ca="1"/>
      </c>
      <c r="BD405">
        <f ca="1"/>
      </c>
      <c r="BE405">
        <f ca="1"/>
      </c>
      <c r="BF405">
        <f ca="1"/>
      </c>
      <c r="BG405">
        <f ca="1"/>
      </c>
      <c r="BH405">
        <f ca="1"/>
      </c>
      <c r="BI405">
        <f ca="1"/>
      </c>
      <c r="BJ405">
        <f ca="1"/>
      </c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F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M405" s="7"/>
    </row>
    <row r="406" spans="41:195" x14ac:dyDescent="0.55000000000000004">
      <c r="AO406">
        <f ca="1"/>
      </c>
      <c r="AP406">
        <f ca="1"/>
      </c>
      <c r="AQ406">
        <f ca="1"/>
      </c>
      <c r="AR406">
        <f ca="1"/>
      </c>
      <c r="AS406">
        <f ca="1"/>
      </c>
      <c r="AT406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AZ406">
        <f ca="1"/>
      </c>
      <c r="BA406">
        <f ca="1"/>
      </c>
      <c r="BB406">
        <f ca="1"/>
      </c>
      <c r="BC406">
        <f ca="1"/>
      </c>
      <c r="BD406">
        <f ca="1"/>
      </c>
      <c r="BE406">
        <f ca="1"/>
      </c>
      <c r="BF406">
        <f ca="1"/>
      </c>
      <c r="BG406">
        <f ca="1"/>
      </c>
      <c r="BH406">
        <f ca="1"/>
      </c>
      <c r="BI406">
        <f ca="1"/>
      </c>
      <c r="BJ406">
        <f ca="1"/>
      </c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F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M406" s="7"/>
    </row>
    <row r="407" spans="41:195" x14ac:dyDescent="0.55000000000000004">
      <c r="AO407">
        <f ca="1"/>
      </c>
      <c r="AP407">
        <f ca="1"/>
      </c>
      <c r="AQ407">
        <f ca="1"/>
      </c>
      <c r="AR407">
        <f ca="1"/>
      </c>
      <c r="AS407">
        <f ca="1"/>
      </c>
      <c r="AT40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AZ407">
        <f ca="1"/>
      </c>
      <c r="BA407">
        <f ca="1"/>
      </c>
      <c r="BB407">
        <f ca="1"/>
      </c>
      <c r="BC407">
        <f ca="1"/>
      </c>
      <c r="BD407">
        <f ca="1"/>
      </c>
      <c r="BE407">
        <f ca="1"/>
      </c>
      <c r="BF407">
        <f ca="1"/>
      </c>
      <c r="BG407">
        <f ca="1"/>
      </c>
      <c r="BH407">
        <f ca="1"/>
      </c>
      <c r="BI407">
        <f ca="1"/>
      </c>
      <c r="BJ407">
        <f ca="1"/>
      </c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F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M407" s="7"/>
    </row>
    <row r="408" spans="41:195" x14ac:dyDescent="0.55000000000000004">
      <c r="AO408">
        <f ca="1"/>
      </c>
      <c r="AP408">
        <f ca="1"/>
      </c>
      <c r="AQ408">
        <f ca="1"/>
      </c>
      <c r="AR408">
        <f ca="1"/>
      </c>
      <c r="AS408">
        <f ca="1"/>
      </c>
      <c r="AT408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AZ408">
        <f ca="1"/>
      </c>
      <c r="BA408">
        <f ca="1"/>
      </c>
      <c r="BB408">
        <f ca="1"/>
      </c>
      <c r="BC408">
        <f ca="1"/>
      </c>
      <c r="BD408">
        <f ca="1"/>
      </c>
      <c r="BE408">
        <f ca="1"/>
      </c>
      <c r="BF408">
        <f ca="1"/>
      </c>
      <c r="BG408">
        <f ca="1"/>
      </c>
      <c r="BH408">
        <f ca="1"/>
      </c>
      <c r="BI408">
        <f ca="1"/>
      </c>
      <c r="BJ408">
        <f ca="1"/>
      </c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F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M408" s="7"/>
    </row>
    <row r="409" spans="41:195" x14ac:dyDescent="0.55000000000000004">
      <c r="AO409">
        <f ca="1"/>
      </c>
      <c r="AP409">
        <f ca="1"/>
      </c>
      <c r="AQ409">
        <f ca="1"/>
      </c>
      <c r="AR409">
        <f ca="1"/>
      </c>
      <c r="AS409">
        <f ca="1"/>
      </c>
      <c r="AT409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AZ409">
        <f ca="1"/>
      </c>
      <c r="BA409">
        <f ca="1"/>
      </c>
      <c r="BB409">
        <f ca="1"/>
      </c>
      <c r="BC409">
        <f ca="1"/>
      </c>
      <c r="BD409">
        <f ca="1"/>
      </c>
      <c r="BE409">
        <f ca="1"/>
      </c>
      <c r="BF409">
        <f ca="1"/>
      </c>
      <c r="BG409">
        <f ca="1"/>
      </c>
      <c r="BH409">
        <f ca="1"/>
      </c>
      <c r="BI409">
        <f ca="1"/>
      </c>
      <c r="BJ409">
        <f ca="1"/>
      </c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F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M409" s="7"/>
    </row>
    <row r="410" spans="41:195" x14ac:dyDescent="0.55000000000000004">
      <c r="AO410">
        <f ca="1"/>
      </c>
      <c r="AP410">
        <f ca="1"/>
      </c>
      <c r="AQ410">
        <f ca="1"/>
      </c>
      <c r="AR410">
        <f ca="1"/>
      </c>
      <c r="AS410">
        <f ca="1"/>
      </c>
      <c r="AT410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AZ410">
        <f ca="1"/>
      </c>
      <c r="BA410">
        <f ca="1"/>
      </c>
      <c r="BB410">
        <f ca="1"/>
      </c>
      <c r="BC410">
        <f ca="1"/>
      </c>
      <c r="BD410">
        <f ca="1"/>
      </c>
      <c r="BE410">
        <f ca="1"/>
      </c>
      <c r="BF410">
        <f ca="1"/>
      </c>
      <c r="BG410">
        <f ca="1"/>
      </c>
      <c r="BH410">
        <f ca="1"/>
      </c>
      <c r="BI410">
        <f ca="1"/>
      </c>
      <c r="BJ410">
        <f ca="1"/>
      </c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F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M410" s="7"/>
    </row>
    <row r="411" spans="41:195" x14ac:dyDescent="0.55000000000000004">
      <c r="AO411">
        <f ca="1"/>
      </c>
      <c r="AP411">
        <f ca="1"/>
      </c>
      <c r="AQ411">
        <f ca="1"/>
      </c>
      <c r="AR411">
        <f ca="1"/>
      </c>
      <c r="AS411">
        <f ca="1"/>
      </c>
      <c r="AT411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AZ411">
        <f ca="1"/>
      </c>
      <c r="BA411">
        <f ca="1"/>
      </c>
      <c r="BB411">
        <f ca="1"/>
      </c>
      <c r="BC411">
        <f ca="1"/>
      </c>
      <c r="BD411">
        <f ca="1"/>
      </c>
      <c r="BE411">
        <f ca="1"/>
      </c>
      <c r="BF411">
        <f ca="1"/>
      </c>
      <c r="BG411">
        <f ca="1"/>
      </c>
      <c r="BH411">
        <f ca="1"/>
      </c>
      <c r="BI411">
        <f ca="1"/>
      </c>
      <c r="BJ411">
        <f ca="1"/>
      </c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F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M411" s="7"/>
    </row>
    <row r="412" spans="41:195" x14ac:dyDescent="0.55000000000000004">
      <c r="AO412">
        <f ca="1"/>
      </c>
      <c r="AP412">
        <f ca="1"/>
      </c>
      <c r="AQ412">
        <f ca="1"/>
      </c>
      <c r="AR412">
        <f ca="1"/>
      </c>
      <c r="AS412">
        <f ca="1"/>
      </c>
      <c r="AT412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AZ412">
        <f ca="1"/>
      </c>
      <c r="BA412">
        <f ca="1"/>
      </c>
      <c r="BB412">
        <f ca="1"/>
      </c>
      <c r="BC412">
        <f ca="1"/>
      </c>
      <c r="BD412">
        <f ca="1"/>
      </c>
      <c r="BE412">
        <f ca="1"/>
      </c>
      <c r="BF412">
        <f ca="1"/>
      </c>
      <c r="BG412">
        <f ca="1"/>
      </c>
      <c r="BH412">
        <f ca="1"/>
      </c>
      <c r="BI412">
        <f ca="1"/>
      </c>
      <c r="BJ412">
        <f ca="1"/>
      </c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F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M412" s="7"/>
    </row>
    <row r="413" spans="41:195" x14ac:dyDescent="0.55000000000000004">
      <c r="AO413">
        <f ca="1"/>
      </c>
      <c r="AP413">
        <f ca="1"/>
      </c>
      <c r="AQ413">
        <f ca="1"/>
      </c>
      <c r="AR413">
        <f ca="1"/>
      </c>
      <c r="AS413">
        <f ca="1"/>
      </c>
      <c r="AT413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AZ413">
        <f ca="1"/>
      </c>
      <c r="BA413">
        <f ca="1"/>
      </c>
      <c r="BB413">
        <f ca="1"/>
      </c>
      <c r="BC413">
        <f ca="1"/>
      </c>
      <c r="BD413">
        <f ca="1"/>
      </c>
      <c r="BE413">
        <f ca="1"/>
      </c>
      <c r="BF413">
        <f ca="1"/>
      </c>
      <c r="BG413">
        <f ca="1"/>
      </c>
      <c r="BH413">
        <f ca="1"/>
      </c>
      <c r="BI413">
        <f ca="1"/>
      </c>
      <c r="BJ413">
        <f ca="1"/>
      </c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F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M413" s="7"/>
    </row>
    <row r="414" spans="41:195" x14ac:dyDescent="0.55000000000000004">
      <c r="AO414">
        <f ca="1"/>
      </c>
      <c r="AP414">
        <f ca="1"/>
      </c>
      <c r="AQ414">
        <f ca="1"/>
      </c>
      <c r="AR414">
        <f ca="1"/>
      </c>
      <c r="AS414">
        <f ca="1"/>
      </c>
      <c r="AT414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AZ414">
        <f ca="1"/>
      </c>
      <c r="BA414">
        <f ca="1"/>
      </c>
      <c r="BB414">
        <f ca="1"/>
      </c>
      <c r="BC414">
        <f ca="1"/>
      </c>
      <c r="BD414">
        <f ca="1"/>
      </c>
      <c r="BE414">
        <f ca="1"/>
      </c>
      <c r="BF414">
        <f ca="1"/>
      </c>
      <c r="BG414">
        <f ca="1"/>
      </c>
      <c r="BH414">
        <f ca="1"/>
      </c>
      <c r="BI414">
        <f ca="1"/>
      </c>
      <c r="BJ414">
        <f ca="1"/>
      </c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F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M414" s="7"/>
    </row>
    <row r="415" spans="41:195" x14ac:dyDescent="0.55000000000000004">
      <c r="AO415">
        <f ca="1"/>
      </c>
      <c r="AP415">
        <f ca="1"/>
      </c>
      <c r="AQ415">
        <f ca="1"/>
      </c>
      <c r="AR415">
        <f ca="1"/>
      </c>
      <c r="AS415">
        <f ca="1"/>
      </c>
      <c r="AT415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AZ415">
        <f ca="1"/>
      </c>
      <c r="BA415">
        <f ca="1"/>
      </c>
      <c r="BB415">
        <f ca="1"/>
      </c>
      <c r="BC415">
        <f ca="1"/>
      </c>
      <c r="BD415">
        <f ca="1"/>
      </c>
      <c r="BE415">
        <f ca="1"/>
      </c>
      <c r="BF415">
        <f ca="1"/>
      </c>
      <c r="BG415">
        <f ca="1"/>
      </c>
      <c r="BH415">
        <f ca="1"/>
      </c>
      <c r="BI415">
        <f ca="1"/>
      </c>
      <c r="BJ415">
        <f ca="1"/>
      </c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F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M415" s="7"/>
    </row>
    <row r="416" spans="41:195" x14ac:dyDescent="0.55000000000000004">
      <c r="AO416">
        <f ca="1"/>
      </c>
      <c r="AP416">
        <f ca="1"/>
      </c>
      <c r="AQ416">
        <f ca="1"/>
      </c>
      <c r="AR416">
        <f ca="1"/>
      </c>
      <c r="AS416">
        <f ca="1"/>
      </c>
      <c r="AT416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AZ416">
        <f ca="1"/>
      </c>
      <c r="BA416">
        <f ca="1"/>
      </c>
      <c r="BB416">
        <f ca="1"/>
      </c>
      <c r="BC416">
        <f ca="1"/>
      </c>
      <c r="BD416">
        <f ca="1"/>
      </c>
      <c r="BE416">
        <f ca="1"/>
      </c>
      <c r="BF416">
        <f ca="1"/>
      </c>
      <c r="BG416">
        <f ca="1"/>
      </c>
      <c r="BH416">
        <f ca="1"/>
      </c>
      <c r="BI416">
        <f ca="1"/>
      </c>
      <c r="BJ416">
        <f ca="1"/>
      </c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F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M416" s="7"/>
    </row>
    <row r="417" spans="41:195" x14ac:dyDescent="0.55000000000000004">
      <c r="AO417">
        <f ca="1"/>
      </c>
      <c r="AP417">
        <f ca="1"/>
      </c>
      <c r="AQ417">
        <f ca="1"/>
      </c>
      <c r="AR417">
        <f ca="1"/>
      </c>
      <c r="AS417">
        <f ca="1"/>
      </c>
      <c r="AT41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AZ417">
        <f ca="1"/>
      </c>
      <c r="BA417">
        <f ca="1"/>
      </c>
      <c r="BB417">
        <f ca="1"/>
      </c>
      <c r="BC417">
        <f ca="1"/>
      </c>
      <c r="BD417">
        <f ca="1"/>
      </c>
      <c r="BE417">
        <f ca="1"/>
      </c>
      <c r="BF417">
        <f ca="1"/>
      </c>
      <c r="BG417">
        <f ca="1"/>
      </c>
      <c r="BH417">
        <f ca="1"/>
      </c>
      <c r="BI417">
        <f ca="1"/>
      </c>
      <c r="BJ417">
        <f ca="1"/>
      </c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F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M417" s="7"/>
    </row>
    <row r="418" spans="41:195" x14ac:dyDescent="0.55000000000000004">
      <c r="AO418">
        <f ca="1"/>
      </c>
      <c r="AP418">
        <f ca="1"/>
      </c>
      <c r="AQ418">
        <f ca="1"/>
      </c>
      <c r="AR418">
        <f ca="1"/>
      </c>
      <c r="AS418">
        <f ca="1"/>
      </c>
      <c r="AT418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AZ418">
        <f ca="1"/>
      </c>
      <c r="BA418">
        <f ca="1"/>
      </c>
      <c r="BB418">
        <f ca="1"/>
      </c>
      <c r="BC418">
        <f ca="1"/>
      </c>
      <c r="BD418">
        <f ca="1"/>
      </c>
      <c r="BE418">
        <f ca="1"/>
      </c>
      <c r="BF418">
        <f ca="1"/>
      </c>
      <c r="BG418">
        <f ca="1"/>
      </c>
      <c r="BH418">
        <f ca="1"/>
      </c>
      <c r="BI418">
        <f ca="1"/>
      </c>
      <c r="BJ418">
        <f ca="1"/>
      </c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F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M418" s="7"/>
    </row>
    <row r="419" spans="41:195" x14ac:dyDescent="0.55000000000000004">
      <c r="AO419">
        <f ca="1"/>
      </c>
      <c r="AP419">
        <f ca="1"/>
      </c>
      <c r="AQ419">
        <f ca="1"/>
      </c>
      <c r="AR419">
        <f ca="1"/>
      </c>
      <c r="AS419">
        <f ca="1"/>
      </c>
      <c r="AT419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AZ419">
        <f ca="1"/>
      </c>
      <c r="BA419">
        <f ca="1"/>
      </c>
      <c r="BB419">
        <f ca="1"/>
      </c>
      <c r="BC419">
        <f ca="1"/>
      </c>
      <c r="BD419">
        <f ca="1"/>
      </c>
      <c r="BE419">
        <f ca="1"/>
      </c>
      <c r="BF419">
        <f ca="1"/>
      </c>
      <c r="BG419">
        <f ca="1"/>
      </c>
      <c r="BH419">
        <f ca="1"/>
      </c>
      <c r="BI419">
        <f ca="1"/>
      </c>
      <c r="BJ419">
        <f ca="1"/>
      </c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F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M419" s="7"/>
    </row>
    <row r="420" spans="41:195" x14ac:dyDescent="0.55000000000000004">
      <c r="AO420">
        <f ca="1"/>
      </c>
      <c r="AP420">
        <f ca="1"/>
      </c>
      <c r="AQ420">
        <f ca="1"/>
      </c>
      <c r="AR420">
        <f ca="1"/>
      </c>
      <c r="AS420">
        <f ca="1"/>
      </c>
      <c r="AT420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AZ420">
        <f ca="1"/>
      </c>
      <c r="BA420">
        <f ca="1"/>
      </c>
      <c r="BB420">
        <f ca="1"/>
      </c>
      <c r="BC420">
        <f ca="1"/>
      </c>
      <c r="BD420">
        <f ca="1"/>
      </c>
      <c r="BE420">
        <f ca="1"/>
      </c>
      <c r="BF420">
        <f ca="1"/>
      </c>
      <c r="BG420">
        <f ca="1"/>
      </c>
      <c r="BH420">
        <f ca="1"/>
      </c>
      <c r="BI420">
        <f ca="1"/>
      </c>
      <c r="BJ420">
        <f ca="1"/>
      </c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F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M420" s="7"/>
    </row>
    <row r="421" spans="41:195" x14ac:dyDescent="0.55000000000000004">
      <c r="AO421">
        <f ca="1"/>
      </c>
      <c r="AP421">
        <f ca="1"/>
      </c>
      <c r="AQ421">
        <f ca="1"/>
      </c>
      <c r="AR421">
        <f ca="1"/>
      </c>
      <c r="AS421">
        <f ca="1"/>
      </c>
      <c r="AT421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AZ421">
        <f ca="1"/>
      </c>
      <c r="BA421">
        <f ca="1"/>
      </c>
      <c r="BB421">
        <f ca="1"/>
      </c>
      <c r="BC421">
        <f ca="1"/>
      </c>
      <c r="BD421">
        <f ca="1"/>
      </c>
      <c r="BE421">
        <f ca="1"/>
      </c>
      <c r="BF421">
        <f ca="1"/>
      </c>
      <c r="BG421">
        <f ca="1"/>
      </c>
      <c r="BH421">
        <f ca="1"/>
      </c>
      <c r="BI421">
        <f ca="1"/>
      </c>
      <c r="BJ421">
        <f ca="1"/>
      </c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F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M421" s="7"/>
    </row>
    <row r="422" spans="41:195" x14ac:dyDescent="0.55000000000000004">
      <c r="AO422">
        <f ca="1"/>
      </c>
      <c r="AP422">
        <f ca="1"/>
      </c>
      <c r="AQ422">
        <f ca="1"/>
      </c>
      <c r="AR422">
        <f ca="1"/>
      </c>
      <c r="AS422">
        <f ca="1"/>
      </c>
      <c r="AT422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AZ422">
        <f ca="1"/>
      </c>
      <c r="BA422">
        <f ca="1"/>
      </c>
      <c r="BB422">
        <f ca="1"/>
      </c>
      <c r="BC422">
        <f ca="1"/>
      </c>
      <c r="BD422">
        <f ca="1"/>
      </c>
      <c r="BE422">
        <f ca="1"/>
      </c>
      <c r="BF422">
        <f ca="1"/>
      </c>
      <c r="BG422">
        <f ca="1"/>
      </c>
      <c r="BH422">
        <f ca="1"/>
      </c>
      <c r="BI422">
        <f ca="1"/>
      </c>
      <c r="BJ422">
        <f ca="1"/>
      </c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F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B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M422" s="7"/>
    </row>
    <row r="423" spans="41:195" x14ac:dyDescent="0.55000000000000004">
      <c r="AO423">
        <f ca="1"/>
      </c>
      <c r="AP423">
        <f ca="1"/>
      </c>
      <c r="AQ423">
        <f ca="1"/>
      </c>
      <c r="AR423">
        <f ca="1"/>
      </c>
      <c r="AS423">
        <f ca="1"/>
      </c>
      <c r="AT423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AZ423">
        <f ca="1"/>
      </c>
      <c r="BA423">
        <f ca="1"/>
      </c>
      <c r="BB423">
        <f ca="1"/>
      </c>
      <c r="BC423">
        <f ca="1"/>
      </c>
      <c r="BD423">
        <f ca="1"/>
      </c>
      <c r="BE423">
        <f ca="1"/>
      </c>
      <c r="BF423">
        <f ca="1"/>
      </c>
      <c r="BG423">
        <f ca="1"/>
      </c>
      <c r="BH423">
        <f ca="1"/>
      </c>
      <c r="BI423">
        <f ca="1"/>
      </c>
      <c r="BJ423">
        <f ca="1"/>
      </c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F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B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M423" s="7"/>
    </row>
    <row r="424" spans="41:195" x14ac:dyDescent="0.55000000000000004">
      <c r="AO424">
        <f ca="1"/>
      </c>
      <c r="AP424">
        <f ca="1"/>
      </c>
      <c r="AQ424">
        <f ca="1"/>
      </c>
      <c r="AR424">
        <f ca="1"/>
      </c>
      <c r="AS424">
        <f ca="1"/>
      </c>
      <c r="AT424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AZ424">
        <f ca="1"/>
      </c>
      <c r="BA424">
        <f ca="1"/>
      </c>
      <c r="BB424">
        <f ca="1"/>
      </c>
      <c r="BC424">
        <f ca="1"/>
      </c>
      <c r="BD424">
        <f ca="1"/>
      </c>
      <c r="BE424">
        <f ca="1"/>
      </c>
      <c r="BF424">
        <f ca="1"/>
      </c>
      <c r="BG424">
        <f ca="1"/>
      </c>
      <c r="BH424">
        <f ca="1"/>
      </c>
      <c r="BI424">
        <f ca="1"/>
      </c>
      <c r="BJ424">
        <f ca="1"/>
      </c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F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B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M424" s="7"/>
    </row>
    <row r="425" spans="41:195" x14ac:dyDescent="0.55000000000000004">
      <c r="AO425">
        <f ca="1"/>
      </c>
      <c r="AP425">
        <f ca="1"/>
      </c>
      <c r="AQ425">
        <f ca="1"/>
      </c>
      <c r="AR425">
        <f ca="1"/>
      </c>
      <c r="AS425">
        <f ca="1"/>
      </c>
      <c r="AT425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AZ425">
        <f ca="1"/>
      </c>
      <c r="BA425">
        <f ca="1"/>
      </c>
      <c r="BB425">
        <f ca="1"/>
      </c>
      <c r="BC425">
        <f ca="1"/>
      </c>
      <c r="BD425">
        <f ca="1"/>
      </c>
      <c r="BE425">
        <f ca="1"/>
      </c>
      <c r="BF425">
        <f ca="1"/>
      </c>
      <c r="BG425">
        <f ca="1"/>
      </c>
      <c r="BH425">
        <f ca="1"/>
      </c>
      <c r="BI425">
        <f ca="1"/>
      </c>
      <c r="BJ425">
        <f ca="1"/>
      </c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F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B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M425" s="7"/>
    </row>
    <row r="426" spans="41:195" x14ac:dyDescent="0.55000000000000004">
      <c r="AO426">
        <f ca="1"/>
      </c>
      <c r="AP426">
        <f ca="1"/>
      </c>
      <c r="AQ426">
        <f ca="1"/>
      </c>
      <c r="AR426">
        <f ca="1"/>
      </c>
      <c r="AS426">
        <f ca="1"/>
      </c>
      <c r="AT426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AZ426">
        <f ca="1"/>
      </c>
      <c r="BA426">
        <f ca="1"/>
      </c>
      <c r="BB426">
        <f ca="1"/>
      </c>
      <c r="BC426">
        <f ca="1"/>
      </c>
      <c r="BD426">
        <f ca="1"/>
      </c>
      <c r="BE426">
        <f ca="1"/>
      </c>
      <c r="BF426">
        <f ca="1"/>
      </c>
      <c r="BG426">
        <f ca="1"/>
      </c>
      <c r="BH426">
        <f ca="1"/>
      </c>
      <c r="BI426">
        <f ca="1"/>
      </c>
      <c r="BJ426">
        <f ca="1"/>
      </c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F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B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M426" s="7"/>
    </row>
    <row r="427" spans="41:195" x14ac:dyDescent="0.55000000000000004">
      <c r="AO427">
        <f ca="1"/>
      </c>
      <c r="AP427">
        <f ca="1"/>
      </c>
      <c r="AQ427">
        <f ca="1"/>
      </c>
      <c r="AR427">
        <f ca="1"/>
      </c>
      <c r="AS427">
        <f ca="1"/>
      </c>
      <c r="AT42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AZ427">
        <f ca="1"/>
      </c>
      <c r="BA427">
        <f ca="1"/>
      </c>
      <c r="BB427">
        <f ca="1"/>
      </c>
      <c r="BC427">
        <f ca="1"/>
      </c>
      <c r="BD427">
        <f ca="1"/>
      </c>
      <c r="BE427">
        <f ca="1"/>
      </c>
      <c r="BF427">
        <f ca="1"/>
      </c>
      <c r="BG427">
        <f ca="1"/>
      </c>
      <c r="BH427">
        <f ca="1"/>
      </c>
      <c r="BI427">
        <f ca="1"/>
      </c>
      <c r="BJ427">
        <f ca="1"/>
      </c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F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B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M427" s="7"/>
    </row>
    <row r="428" spans="41:195" x14ac:dyDescent="0.55000000000000004">
      <c r="AO428">
        <f ca="1"/>
      </c>
      <c r="AP428">
        <f ca="1"/>
      </c>
      <c r="AQ428">
        <f ca="1"/>
      </c>
      <c r="AR428">
        <f ca="1"/>
      </c>
      <c r="AS428">
        <f ca="1"/>
      </c>
      <c r="AT428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AZ428">
        <f ca="1"/>
      </c>
      <c r="BA428">
        <f ca="1"/>
      </c>
      <c r="BB428">
        <f ca="1"/>
      </c>
      <c r="BC428">
        <f ca="1"/>
      </c>
      <c r="BD428">
        <f ca="1"/>
      </c>
      <c r="BE428">
        <f ca="1"/>
      </c>
      <c r="BF428">
        <f ca="1"/>
      </c>
      <c r="BG428">
        <f ca="1"/>
      </c>
      <c r="BH428">
        <f ca="1"/>
      </c>
      <c r="BI428">
        <f ca="1"/>
      </c>
      <c r="BJ428">
        <f ca="1"/>
      </c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F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B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M428" s="7"/>
    </row>
    <row r="429" spans="41:195" x14ac:dyDescent="0.55000000000000004">
      <c r="AO429">
        <f ca="1"/>
      </c>
      <c r="AP429">
        <f ca="1"/>
      </c>
      <c r="AQ429">
        <f ca="1"/>
      </c>
      <c r="AR429">
        <f ca="1"/>
      </c>
      <c r="AS429">
        <f ca="1"/>
      </c>
      <c r="AT429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AZ429">
        <f ca="1"/>
      </c>
      <c r="BA429">
        <f ca="1"/>
      </c>
      <c r="BB429">
        <f ca="1"/>
      </c>
      <c r="BC429">
        <f ca="1"/>
      </c>
      <c r="BD429">
        <f ca="1"/>
      </c>
      <c r="BE429">
        <f ca="1"/>
      </c>
      <c r="BF429">
        <f ca="1"/>
      </c>
      <c r="BG429">
        <f ca="1"/>
      </c>
      <c r="BH429">
        <f ca="1"/>
      </c>
      <c r="BI429">
        <f ca="1"/>
      </c>
      <c r="BJ429">
        <f ca="1"/>
      </c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F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B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M429" s="7"/>
    </row>
    <row r="430" spans="41:195" x14ac:dyDescent="0.55000000000000004">
      <c r="AO430">
        <f ca="1"/>
      </c>
      <c r="AP430">
        <f ca="1"/>
      </c>
      <c r="AQ430">
        <f ca="1"/>
      </c>
      <c r="AR430">
        <f ca="1"/>
      </c>
      <c r="AS430">
        <f ca="1"/>
      </c>
      <c r="AT430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AZ430">
        <f ca="1"/>
      </c>
      <c r="BA430">
        <f ca="1"/>
      </c>
      <c r="BB430">
        <f ca="1"/>
      </c>
      <c r="BC430">
        <f ca="1"/>
      </c>
      <c r="BD430">
        <f ca="1"/>
      </c>
      <c r="BE430">
        <f ca="1"/>
      </c>
      <c r="BF430">
        <f ca="1"/>
      </c>
      <c r="BG430">
        <f ca="1"/>
      </c>
      <c r="BH430">
        <f ca="1"/>
      </c>
      <c r="BI430">
        <f ca="1"/>
      </c>
      <c r="BJ430">
        <f ca="1"/>
      </c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F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B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M430" s="7"/>
    </row>
    <row r="431" spans="41:195" x14ac:dyDescent="0.55000000000000004">
      <c r="AO431">
        <f ca="1"/>
      </c>
      <c r="AP431">
        <f ca="1"/>
      </c>
      <c r="AQ431">
        <f ca="1"/>
      </c>
      <c r="AR431">
        <f ca="1"/>
      </c>
      <c r="AS431">
        <f ca="1"/>
      </c>
      <c r="AT431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AZ431">
        <f ca="1"/>
      </c>
      <c r="BA431">
        <f ca="1"/>
      </c>
      <c r="BB431">
        <f ca="1"/>
      </c>
      <c r="BC431">
        <f ca="1"/>
      </c>
      <c r="BD431">
        <f ca="1"/>
      </c>
      <c r="BE431">
        <f ca="1"/>
      </c>
      <c r="BF431">
        <f ca="1"/>
      </c>
      <c r="BG431">
        <f ca="1"/>
      </c>
      <c r="BH431">
        <f ca="1"/>
      </c>
      <c r="BI431">
        <f ca="1"/>
      </c>
      <c r="BJ431">
        <f ca="1"/>
      </c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F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B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M431" s="7"/>
    </row>
    <row r="432" spans="41:195" x14ac:dyDescent="0.55000000000000004">
      <c r="AO432">
        <f ca="1"/>
      </c>
      <c r="AP432">
        <f ca="1"/>
      </c>
      <c r="AQ432">
        <f ca="1"/>
      </c>
      <c r="AR432">
        <f ca="1"/>
      </c>
      <c r="AS432">
        <f ca="1"/>
      </c>
      <c r="AT432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AZ432">
        <f ca="1"/>
      </c>
      <c r="BA432">
        <f ca="1"/>
      </c>
      <c r="BB432">
        <f ca="1"/>
      </c>
      <c r="BC432">
        <f ca="1"/>
      </c>
      <c r="BD432">
        <f ca="1"/>
      </c>
      <c r="BE432">
        <f ca="1"/>
      </c>
      <c r="BF432">
        <f ca="1"/>
      </c>
      <c r="BG432">
        <f ca="1"/>
      </c>
      <c r="BH432">
        <f ca="1"/>
      </c>
      <c r="BI432">
        <f ca="1"/>
      </c>
      <c r="BJ432">
        <f ca="1"/>
      </c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F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B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M432" s="7"/>
    </row>
    <row r="433" spans="41:195" x14ac:dyDescent="0.55000000000000004">
      <c r="AO433">
        <f ca="1"/>
      </c>
      <c r="AP433">
        <f ca="1"/>
      </c>
      <c r="AQ433">
        <f ca="1"/>
      </c>
      <c r="AR433">
        <f ca="1"/>
      </c>
      <c r="AS433">
        <f ca="1"/>
      </c>
      <c r="AT433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AZ433">
        <f ca="1"/>
      </c>
      <c r="BA433">
        <f ca="1"/>
      </c>
      <c r="BB433">
        <f ca="1"/>
      </c>
      <c r="BC433">
        <f ca="1"/>
      </c>
      <c r="BD433">
        <f ca="1"/>
      </c>
      <c r="BE433">
        <f ca="1"/>
      </c>
      <c r="BF433">
        <f ca="1"/>
      </c>
      <c r="BG433">
        <f ca="1"/>
      </c>
      <c r="BH433">
        <f ca="1"/>
      </c>
      <c r="BI433">
        <f ca="1"/>
      </c>
      <c r="BJ433">
        <f ca="1"/>
      </c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F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B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M433" s="7"/>
    </row>
    <row r="434" spans="41:195" x14ac:dyDescent="0.55000000000000004">
      <c r="AO434">
        <f ca="1"/>
      </c>
      <c r="AP434">
        <f ca="1"/>
      </c>
      <c r="AQ434">
        <f ca="1"/>
      </c>
      <c r="AR434">
        <f ca="1"/>
      </c>
      <c r="AS434">
        <f ca="1"/>
      </c>
      <c r="AT434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AZ434">
        <f ca="1"/>
      </c>
      <c r="BA434">
        <f ca="1"/>
      </c>
      <c r="BB434">
        <f ca="1"/>
      </c>
      <c r="BC434">
        <f ca="1"/>
      </c>
      <c r="BD434">
        <f ca="1"/>
      </c>
      <c r="BE434">
        <f ca="1"/>
      </c>
      <c r="BF434">
        <f ca="1"/>
      </c>
      <c r="BG434">
        <f ca="1"/>
      </c>
      <c r="BH434">
        <f ca="1"/>
      </c>
      <c r="BI434">
        <f ca="1"/>
      </c>
      <c r="BJ434">
        <f ca="1"/>
      </c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F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B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M434" s="7"/>
    </row>
    <row r="435" spans="41:195" x14ac:dyDescent="0.55000000000000004">
      <c r="AO435">
        <f ca="1"/>
      </c>
      <c r="AP435">
        <f ca="1"/>
      </c>
      <c r="AQ435">
        <f ca="1"/>
      </c>
      <c r="AR435">
        <f ca="1"/>
      </c>
      <c r="AS435">
        <f ca="1"/>
      </c>
      <c r="AT435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AZ435">
        <f ca="1"/>
      </c>
      <c r="BA435">
        <f ca="1"/>
      </c>
      <c r="BB435">
        <f ca="1"/>
      </c>
      <c r="BC435">
        <f ca="1"/>
      </c>
      <c r="BD435">
        <f ca="1"/>
      </c>
      <c r="BE435">
        <f ca="1"/>
      </c>
      <c r="BF435">
        <f ca="1"/>
      </c>
      <c r="BG435">
        <f ca="1"/>
      </c>
      <c r="BH435">
        <f ca="1"/>
      </c>
      <c r="BI435">
        <f ca="1"/>
      </c>
      <c r="BJ435">
        <f ca="1"/>
      </c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F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B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M435" s="7"/>
    </row>
    <row r="436" spans="41:195" x14ac:dyDescent="0.55000000000000004">
      <c r="AO436">
        <f ca="1"/>
      </c>
      <c r="AP436">
        <f ca="1"/>
      </c>
      <c r="AQ436">
        <f ca="1"/>
      </c>
      <c r="AR436">
        <f ca="1"/>
      </c>
      <c r="AS436">
        <f ca="1"/>
      </c>
      <c r="AT436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AZ436">
        <f ca="1"/>
      </c>
      <c r="BA436">
        <f ca="1"/>
      </c>
      <c r="BB436">
        <f ca="1"/>
      </c>
      <c r="BC436">
        <f ca="1"/>
      </c>
      <c r="BD436">
        <f ca="1"/>
      </c>
      <c r="BE436">
        <f ca="1"/>
      </c>
      <c r="BF436">
        <f ca="1"/>
      </c>
      <c r="BG436">
        <f ca="1"/>
      </c>
      <c r="BH436">
        <f ca="1"/>
      </c>
      <c r="BI436">
        <f ca="1"/>
      </c>
      <c r="BJ436">
        <f ca="1"/>
      </c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F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B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M436" s="7"/>
    </row>
    <row r="437" spans="41:195" x14ac:dyDescent="0.55000000000000004">
      <c r="AO437">
        <f ca="1"/>
      </c>
      <c r="AP437">
        <f ca="1"/>
      </c>
      <c r="AQ437">
        <f ca="1"/>
      </c>
      <c r="AR437">
        <f ca="1"/>
      </c>
      <c r="AS437">
        <f ca="1"/>
      </c>
      <c r="AT43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AZ437">
        <f ca="1"/>
      </c>
      <c r="BA437">
        <f ca="1"/>
      </c>
      <c r="BB437">
        <f ca="1"/>
      </c>
      <c r="BC437">
        <f ca="1"/>
      </c>
      <c r="BD437">
        <f ca="1"/>
      </c>
      <c r="BE437">
        <f ca="1"/>
      </c>
      <c r="BF437">
        <f ca="1"/>
      </c>
      <c r="BG437">
        <f ca="1"/>
      </c>
      <c r="BH437">
        <f ca="1"/>
      </c>
      <c r="BI437">
        <f ca="1"/>
      </c>
      <c r="BJ437">
        <f ca="1"/>
      </c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F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B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M437" s="7"/>
    </row>
    <row r="438" spans="41:195" x14ac:dyDescent="0.55000000000000004">
      <c r="AO438">
        <f ca="1"/>
      </c>
      <c r="AP438">
        <f ca="1"/>
      </c>
      <c r="AQ438">
        <f ca="1"/>
      </c>
      <c r="AR438">
        <f ca="1"/>
      </c>
      <c r="AS438">
        <f ca="1"/>
      </c>
      <c r="AT438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AZ438">
        <f ca="1"/>
      </c>
      <c r="BA438">
        <f ca="1"/>
      </c>
      <c r="BB438">
        <f ca="1"/>
      </c>
      <c r="BC438">
        <f ca="1"/>
      </c>
      <c r="BD438">
        <f ca="1"/>
      </c>
      <c r="BE438">
        <f ca="1"/>
      </c>
      <c r="BF438">
        <f ca="1"/>
      </c>
      <c r="BG438">
        <f ca="1"/>
      </c>
      <c r="BH438">
        <f ca="1"/>
      </c>
      <c r="BI438">
        <f ca="1"/>
      </c>
      <c r="BJ438">
        <f ca="1"/>
      </c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F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B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M438" s="7"/>
    </row>
    <row r="439" spans="41:195" x14ac:dyDescent="0.55000000000000004">
      <c r="AO439">
        <f ca="1"/>
      </c>
      <c r="AP439">
        <f ca="1"/>
      </c>
      <c r="AQ439">
        <f ca="1"/>
      </c>
      <c r="AR439">
        <f ca="1"/>
      </c>
      <c r="AS439">
        <f ca="1"/>
      </c>
      <c r="AT439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AZ439">
        <f ca="1"/>
      </c>
      <c r="BA439">
        <f ca="1"/>
      </c>
      <c r="BB439">
        <f ca="1"/>
      </c>
      <c r="BC439">
        <f ca="1"/>
      </c>
      <c r="BD439">
        <f ca="1"/>
      </c>
      <c r="BE439">
        <f ca="1"/>
      </c>
      <c r="BF439">
        <f ca="1"/>
      </c>
      <c r="BG439">
        <f ca="1"/>
      </c>
      <c r="BH439">
        <f ca="1"/>
      </c>
      <c r="BI439">
        <f ca="1"/>
      </c>
      <c r="BJ439">
        <f ca="1"/>
      </c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F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B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M439" s="7"/>
    </row>
    <row r="440" spans="41:195" x14ac:dyDescent="0.55000000000000004">
      <c r="AO440">
        <f ca="1"/>
      </c>
      <c r="AP440">
        <f ca="1"/>
      </c>
      <c r="AQ440">
        <f ca="1"/>
      </c>
      <c r="AR440">
        <f ca="1"/>
      </c>
      <c r="AS440">
        <f ca="1"/>
      </c>
      <c r="AT440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AZ440">
        <f ca="1"/>
      </c>
      <c r="BA440">
        <f ca="1"/>
      </c>
      <c r="BB440">
        <f ca="1"/>
      </c>
      <c r="BC440">
        <f ca="1"/>
      </c>
      <c r="BD440">
        <f ca="1"/>
      </c>
      <c r="BE440">
        <f ca="1"/>
      </c>
      <c r="BF440">
        <f ca="1"/>
      </c>
      <c r="BG440">
        <f ca="1"/>
      </c>
      <c r="BH440">
        <f ca="1"/>
      </c>
      <c r="BI440">
        <f ca="1"/>
      </c>
      <c r="BJ440">
        <f ca="1"/>
      </c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F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B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M440" s="7"/>
    </row>
    <row r="441" spans="41:195" x14ac:dyDescent="0.55000000000000004">
      <c r="AO441">
        <f ca="1"/>
      </c>
      <c r="AP441">
        <f ca="1"/>
      </c>
      <c r="AQ441">
        <f ca="1"/>
      </c>
      <c r="AR441">
        <f ca="1"/>
      </c>
      <c r="AS441">
        <f ca="1"/>
      </c>
      <c r="AT441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AZ441">
        <f ca="1"/>
      </c>
      <c r="BA441">
        <f ca="1"/>
      </c>
      <c r="BB441">
        <f ca="1"/>
      </c>
      <c r="BC441">
        <f ca="1"/>
      </c>
      <c r="BD441">
        <f ca="1"/>
      </c>
      <c r="BE441">
        <f ca="1"/>
      </c>
      <c r="BF441">
        <f ca="1"/>
      </c>
      <c r="BG441">
        <f ca="1"/>
      </c>
      <c r="BH441">
        <f ca="1"/>
      </c>
      <c r="BI441">
        <f ca="1"/>
      </c>
      <c r="BJ441">
        <f ca="1"/>
      </c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F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B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M441" s="7"/>
    </row>
    <row r="442" spans="41:195" x14ac:dyDescent="0.55000000000000004">
      <c r="AO442">
        <f ca="1"/>
      </c>
      <c r="AP442">
        <f ca="1"/>
      </c>
      <c r="AQ442">
        <f ca="1"/>
      </c>
      <c r="AR442">
        <f ca="1"/>
      </c>
      <c r="AS442">
        <f ca="1"/>
      </c>
      <c r="AT442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AZ442">
        <f ca="1"/>
      </c>
      <c r="BA442">
        <f ca="1"/>
      </c>
      <c r="BB442">
        <f ca="1"/>
      </c>
      <c r="BC442">
        <f ca="1"/>
      </c>
      <c r="BD442">
        <f ca="1"/>
      </c>
      <c r="BE442">
        <f ca="1"/>
      </c>
      <c r="BF442">
        <f ca="1"/>
      </c>
      <c r="BG442">
        <f ca="1"/>
      </c>
      <c r="BH442">
        <f ca="1"/>
      </c>
      <c r="BI442">
        <f ca="1"/>
      </c>
      <c r="BJ442">
        <f ca="1"/>
      </c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F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B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M442" s="7"/>
    </row>
    <row r="443" spans="41:195" x14ac:dyDescent="0.55000000000000004">
      <c r="AO443">
        <f ca="1"/>
      </c>
      <c r="AP443">
        <f ca="1"/>
      </c>
      <c r="AQ443">
        <f ca="1"/>
      </c>
      <c r="AR443">
        <f ca="1"/>
      </c>
      <c r="AS443">
        <f ca="1"/>
      </c>
      <c r="AT443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AZ443">
        <f ca="1"/>
      </c>
      <c r="BA443">
        <f ca="1"/>
      </c>
      <c r="BB443">
        <f ca="1"/>
      </c>
      <c r="BC443">
        <f ca="1"/>
      </c>
      <c r="BD443">
        <f ca="1"/>
      </c>
      <c r="BE443">
        <f ca="1"/>
      </c>
      <c r="BF443">
        <f ca="1"/>
      </c>
      <c r="BG443">
        <f ca="1"/>
      </c>
      <c r="BH443">
        <f ca="1"/>
      </c>
      <c r="BI443">
        <f ca="1"/>
      </c>
      <c r="BJ443">
        <f ca="1"/>
      </c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F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B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M443" s="7"/>
    </row>
    <row r="444" spans="41:195" x14ac:dyDescent="0.55000000000000004">
      <c r="AO444">
        <f ca="1"/>
      </c>
      <c r="AP444">
        <f ca="1"/>
      </c>
      <c r="AQ444">
        <f ca="1"/>
      </c>
      <c r="AR444">
        <f ca="1"/>
      </c>
      <c r="AS444">
        <f ca="1"/>
      </c>
      <c r="AT444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AZ444">
        <f ca="1"/>
      </c>
      <c r="BA444">
        <f ca="1"/>
      </c>
      <c r="BB444">
        <f ca="1"/>
      </c>
      <c r="BC444">
        <f ca="1"/>
      </c>
      <c r="BD444">
        <f ca="1"/>
      </c>
      <c r="BE444">
        <f ca="1"/>
      </c>
      <c r="BF444">
        <f ca="1"/>
      </c>
      <c r="BG444">
        <f ca="1"/>
      </c>
      <c r="BH444">
        <f ca="1"/>
      </c>
      <c r="BI444">
        <f ca="1"/>
      </c>
      <c r="BJ444">
        <f ca="1"/>
      </c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F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B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M444" s="7"/>
    </row>
    <row r="445" spans="41:195" x14ac:dyDescent="0.55000000000000004">
      <c r="AO445">
        <f ca="1"/>
      </c>
      <c r="AP445">
        <f ca="1"/>
      </c>
      <c r="AQ445">
        <f ca="1"/>
      </c>
      <c r="AR445">
        <f ca="1"/>
      </c>
      <c r="AS445">
        <f ca="1"/>
      </c>
      <c r="AT445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AZ445">
        <f ca="1"/>
      </c>
      <c r="BA445">
        <f ca="1"/>
      </c>
      <c r="BB445">
        <f ca="1"/>
      </c>
      <c r="BC445">
        <f ca="1"/>
      </c>
      <c r="BD445">
        <f ca="1"/>
      </c>
      <c r="BE445">
        <f ca="1"/>
      </c>
      <c r="BF445">
        <f ca="1"/>
      </c>
      <c r="BG445">
        <f ca="1"/>
      </c>
      <c r="BH445">
        <f ca="1"/>
      </c>
      <c r="BI445">
        <f ca="1"/>
      </c>
      <c r="BJ445">
        <f ca="1"/>
      </c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F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B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M445" s="7"/>
    </row>
    <row r="446" spans="41:195" x14ac:dyDescent="0.55000000000000004">
      <c r="AO446">
        <f ca="1"/>
      </c>
      <c r="AP446">
        <f ca="1"/>
      </c>
      <c r="AQ446">
        <f ca="1"/>
      </c>
      <c r="AR446">
        <f ca="1"/>
      </c>
      <c r="AS446">
        <f ca="1"/>
      </c>
      <c r="AT446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AZ446">
        <f ca="1"/>
      </c>
      <c r="BA446">
        <f ca="1"/>
      </c>
      <c r="BB446">
        <f ca="1"/>
      </c>
      <c r="BC446">
        <f ca="1"/>
      </c>
      <c r="BD446">
        <f ca="1"/>
      </c>
      <c r="BE446">
        <f ca="1"/>
      </c>
      <c r="BF446">
        <f ca="1"/>
      </c>
      <c r="BG446">
        <f ca="1"/>
      </c>
      <c r="BH446">
        <f ca="1"/>
      </c>
      <c r="BI446">
        <f ca="1"/>
      </c>
      <c r="BJ446">
        <f ca="1"/>
      </c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F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B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M446" s="7"/>
    </row>
    <row r="447" spans="41:195" x14ac:dyDescent="0.55000000000000004">
      <c r="AO447">
        <f ca="1"/>
      </c>
      <c r="AP447">
        <f ca="1"/>
      </c>
      <c r="AQ447">
        <f ca="1"/>
      </c>
      <c r="AR447">
        <f ca="1"/>
      </c>
      <c r="AS447">
        <f ca="1"/>
      </c>
      <c r="AT44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AZ447">
        <f ca="1"/>
      </c>
      <c r="BA447">
        <f ca="1"/>
      </c>
      <c r="BB447">
        <f ca="1"/>
      </c>
      <c r="BC447">
        <f ca="1"/>
      </c>
      <c r="BD447">
        <f ca="1"/>
      </c>
      <c r="BE447">
        <f ca="1"/>
      </c>
      <c r="BF447">
        <f ca="1"/>
      </c>
      <c r="BG447">
        <f ca="1"/>
      </c>
      <c r="BH447">
        <f ca="1"/>
      </c>
      <c r="BI447">
        <f ca="1"/>
      </c>
      <c r="BJ447">
        <f ca="1"/>
      </c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F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B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M447" s="7"/>
    </row>
    <row r="448" spans="41:195" x14ac:dyDescent="0.55000000000000004">
      <c r="AO448">
        <f ca="1"/>
      </c>
      <c r="AP448">
        <f ca="1"/>
      </c>
      <c r="AQ448">
        <f ca="1"/>
      </c>
      <c r="AR448">
        <f ca="1"/>
      </c>
      <c r="AS448">
        <f ca="1"/>
      </c>
      <c r="AT448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AZ448">
        <f ca="1"/>
      </c>
      <c r="BA448">
        <f ca="1"/>
      </c>
      <c r="BB448">
        <f ca="1"/>
      </c>
      <c r="BC448">
        <f ca="1"/>
      </c>
      <c r="BD448">
        <f ca="1"/>
      </c>
      <c r="BE448">
        <f ca="1"/>
      </c>
      <c r="BF448">
        <f ca="1"/>
      </c>
      <c r="BG448">
        <f ca="1"/>
      </c>
      <c r="BH448">
        <f ca="1"/>
      </c>
      <c r="BI448">
        <f ca="1"/>
      </c>
      <c r="BJ448">
        <f ca="1"/>
      </c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F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B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M448" s="7"/>
    </row>
    <row r="449" spans="41:195" x14ac:dyDescent="0.55000000000000004">
      <c r="AO449">
        <f ca="1"/>
      </c>
      <c r="AP449">
        <f ca="1"/>
      </c>
      <c r="AQ449">
        <f ca="1"/>
      </c>
      <c r="AR449">
        <f ca="1"/>
      </c>
      <c r="AS449">
        <f ca="1"/>
      </c>
      <c r="AT449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AZ449">
        <f ca="1"/>
      </c>
      <c r="BA449">
        <f ca="1"/>
      </c>
      <c r="BB449">
        <f ca="1"/>
      </c>
      <c r="BC449">
        <f ca="1"/>
      </c>
      <c r="BD449">
        <f ca="1"/>
      </c>
      <c r="BE449">
        <f ca="1"/>
      </c>
      <c r="BF449">
        <f ca="1"/>
      </c>
      <c r="BG449">
        <f ca="1"/>
      </c>
      <c r="BH449">
        <f ca="1"/>
      </c>
      <c r="BI449">
        <f ca="1"/>
      </c>
      <c r="BJ449">
        <f ca="1"/>
      </c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F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B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M449" s="7"/>
    </row>
    <row r="450" spans="41:195" x14ac:dyDescent="0.55000000000000004">
      <c r="AO450">
        <f ca="1"/>
      </c>
      <c r="AP450">
        <f ca="1"/>
      </c>
      <c r="AQ450">
        <f ca="1"/>
      </c>
      <c r="AR450">
        <f ca="1"/>
      </c>
      <c r="AS450">
        <f ca="1"/>
      </c>
      <c r="AT450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AZ450">
        <f ca="1"/>
      </c>
      <c r="BA450">
        <f ca="1"/>
      </c>
      <c r="BB450">
        <f ca="1"/>
      </c>
      <c r="BC450">
        <f ca="1"/>
      </c>
      <c r="BD450">
        <f ca="1"/>
      </c>
      <c r="BE450">
        <f ca="1"/>
      </c>
      <c r="BF450">
        <f ca="1"/>
      </c>
      <c r="BG450">
        <f ca="1"/>
      </c>
      <c r="BH450">
        <f ca="1"/>
      </c>
      <c r="BI450">
        <f ca="1"/>
      </c>
      <c r="BJ450">
        <f ca="1"/>
      </c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F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B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M450" s="7"/>
    </row>
    <row r="451" spans="41:195" x14ac:dyDescent="0.55000000000000004">
      <c r="AO451">
        <f ca="1"/>
      </c>
      <c r="AP451">
        <f ca="1"/>
      </c>
      <c r="AQ451">
        <f ca="1"/>
      </c>
      <c r="AR451">
        <f ca="1"/>
      </c>
      <c r="AS451">
        <f ca="1"/>
      </c>
      <c r="AT451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AZ451">
        <f ca="1"/>
      </c>
      <c r="BA451">
        <f ca="1"/>
      </c>
      <c r="BB451">
        <f ca="1"/>
      </c>
      <c r="BC451">
        <f ca="1"/>
      </c>
      <c r="BD451">
        <f ca="1"/>
      </c>
      <c r="BE451">
        <f ca="1"/>
      </c>
      <c r="BF451">
        <f ca="1"/>
      </c>
      <c r="BG451">
        <f ca="1"/>
      </c>
      <c r="BH451">
        <f ca="1"/>
      </c>
      <c r="BI451">
        <f ca="1"/>
      </c>
      <c r="BJ451">
        <f ca="1"/>
      </c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F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B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M451" s="7"/>
    </row>
    <row r="452" spans="41:195" x14ac:dyDescent="0.55000000000000004">
      <c r="AO452">
        <f ca="1"/>
      </c>
      <c r="AP452">
        <f ca="1"/>
      </c>
      <c r="AQ452">
        <f ca="1"/>
      </c>
      <c r="AR452">
        <f ca="1"/>
      </c>
      <c r="AS452">
        <f ca="1"/>
      </c>
      <c r="AT452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AZ452">
        <f ca="1"/>
      </c>
      <c r="BA452">
        <f ca="1"/>
      </c>
      <c r="BB452">
        <f ca="1"/>
      </c>
      <c r="BC452">
        <f ca="1"/>
      </c>
      <c r="BD452">
        <f ca="1"/>
      </c>
      <c r="BE452">
        <f ca="1"/>
      </c>
      <c r="BF452">
        <f ca="1"/>
      </c>
      <c r="BG452">
        <f ca="1"/>
      </c>
      <c r="BH452">
        <f ca="1"/>
      </c>
      <c r="BI452">
        <f ca="1"/>
      </c>
      <c r="BJ452">
        <f ca="1"/>
      </c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F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B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M452" s="7"/>
    </row>
    <row r="453" spans="41:195" x14ac:dyDescent="0.55000000000000004">
      <c r="AO453">
        <f ca="1"/>
      </c>
      <c r="AP453">
        <f ca="1"/>
      </c>
      <c r="AQ453">
        <f ca="1"/>
      </c>
      <c r="AR453">
        <f ca="1"/>
      </c>
      <c r="AS453">
        <f ca="1"/>
      </c>
      <c r="AT453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AZ453">
        <f ca="1"/>
      </c>
      <c r="BA453">
        <f ca="1"/>
      </c>
      <c r="BB453">
        <f ca="1"/>
      </c>
      <c r="BC453">
        <f ca="1"/>
      </c>
      <c r="BD453">
        <f ca="1"/>
      </c>
      <c r="BE453">
        <f ca="1"/>
      </c>
      <c r="BF453">
        <f ca="1"/>
      </c>
      <c r="BG453">
        <f ca="1"/>
      </c>
      <c r="BH453">
        <f ca="1"/>
      </c>
      <c r="BI453">
        <f ca="1"/>
      </c>
      <c r="BJ453">
        <f ca="1"/>
      </c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F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B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M453" s="7"/>
    </row>
    <row r="454" spans="41:195" x14ac:dyDescent="0.55000000000000004">
      <c r="AO454">
        <f ca="1"/>
      </c>
      <c r="AP454">
        <f ca="1"/>
      </c>
      <c r="AQ454">
        <f ca="1"/>
      </c>
      <c r="AR454">
        <f ca="1"/>
      </c>
      <c r="AS454">
        <f ca="1"/>
      </c>
      <c r="AT454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AZ454">
        <f ca="1"/>
      </c>
      <c r="BA454">
        <f ca="1"/>
      </c>
      <c r="BB454">
        <f ca="1"/>
      </c>
      <c r="BC454">
        <f ca="1"/>
      </c>
      <c r="BD454">
        <f ca="1"/>
      </c>
      <c r="BE454">
        <f ca="1"/>
      </c>
      <c r="BF454">
        <f ca="1"/>
      </c>
      <c r="BG454">
        <f ca="1"/>
      </c>
      <c r="BH454">
        <f ca="1"/>
      </c>
      <c r="BI454">
        <f ca="1"/>
      </c>
      <c r="BJ454">
        <f ca="1"/>
      </c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F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M454" s="7"/>
    </row>
    <row r="455" spans="41:195" x14ac:dyDescent="0.55000000000000004">
      <c r="AO455">
        <f ca="1"/>
      </c>
      <c r="AP455">
        <f ca="1"/>
      </c>
      <c r="AQ455">
        <f ca="1"/>
      </c>
      <c r="AR455">
        <f ca="1"/>
      </c>
      <c r="AS455">
        <f ca="1"/>
      </c>
      <c r="AT455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AZ455">
        <f ca="1"/>
      </c>
      <c r="BA455">
        <f ca="1"/>
      </c>
      <c r="BB455">
        <f ca="1"/>
      </c>
      <c r="BC455">
        <f ca="1"/>
      </c>
      <c r="BD455">
        <f ca="1"/>
      </c>
      <c r="BE455">
        <f ca="1"/>
      </c>
      <c r="BF455">
        <f ca="1"/>
      </c>
      <c r="BG455">
        <f ca="1"/>
      </c>
      <c r="BH455">
        <f ca="1"/>
      </c>
      <c r="BI455">
        <f ca="1"/>
      </c>
      <c r="BJ455">
        <f ca="1"/>
      </c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F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M455" s="7"/>
    </row>
    <row r="456" spans="41:195" x14ac:dyDescent="0.55000000000000004">
      <c r="AO456">
        <f ca="1"/>
      </c>
      <c r="AP456">
        <f ca="1"/>
      </c>
      <c r="AQ456">
        <f ca="1"/>
      </c>
      <c r="AR456">
        <f ca="1"/>
      </c>
      <c r="AS456">
        <f ca="1"/>
      </c>
      <c r="AT456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AZ456">
        <f ca="1"/>
      </c>
      <c r="BA456">
        <f ca="1"/>
      </c>
      <c r="BB456">
        <f ca="1"/>
      </c>
      <c r="BC456">
        <f ca="1"/>
      </c>
      <c r="BD456">
        <f ca="1"/>
      </c>
      <c r="BE456">
        <f ca="1"/>
      </c>
      <c r="BF456">
        <f ca="1"/>
      </c>
      <c r="BG456">
        <f ca="1"/>
      </c>
      <c r="BH456">
        <f ca="1"/>
      </c>
      <c r="BI456">
        <f ca="1"/>
      </c>
      <c r="BJ456">
        <f ca="1"/>
      </c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F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M456" s="7"/>
    </row>
    <row r="457" spans="41:195" x14ac:dyDescent="0.55000000000000004">
      <c r="AO457">
        <f ca="1"/>
      </c>
      <c r="AP457">
        <f ca="1"/>
      </c>
      <c r="AQ457">
        <f ca="1"/>
      </c>
      <c r="AR457">
        <f ca="1"/>
      </c>
      <c r="AS457">
        <f ca="1"/>
      </c>
      <c r="AT45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AZ457">
        <f ca="1"/>
      </c>
      <c r="BA457">
        <f ca="1"/>
      </c>
      <c r="BB457">
        <f ca="1"/>
      </c>
      <c r="BC457">
        <f ca="1"/>
      </c>
      <c r="BD457">
        <f ca="1"/>
      </c>
      <c r="BE457">
        <f ca="1"/>
      </c>
      <c r="BF457">
        <f ca="1"/>
      </c>
      <c r="BG457">
        <f ca="1"/>
      </c>
      <c r="BH457">
        <f ca="1"/>
      </c>
      <c r="BI457">
        <f ca="1"/>
      </c>
      <c r="BJ457">
        <f ca="1"/>
      </c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F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M457" s="7"/>
    </row>
    <row r="458" spans="41:195" x14ac:dyDescent="0.55000000000000004">
      <c r="AO458">
        <f ca="1"/>
      </c>
      <c r="AP458">
        <f ca="1"/>
      </c>
      <c r="AQ458">
        <f ca="1"/>
      </c>
      <c r="AR458">
        <f ca="1"/>
      </c>
      <c r="AS458">
        <f ca="1"/>
      </c>
      <c r="AT458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AZ458">
        <f ca="1"/>
      </c>
      <c r="BA458">
        <f ca="1"/>
      </c>
      <c r="BB458">
        <f ca="1"/>
      </c>
      <c r="BC458">
        <f ca="1"/>
      </c>
      <c r="BD458">
        <f ca="1"/>
      </c>
      <c r="BE458">
        <f ca="1"/>
      </c>
      <c r="BF458">
        <f ca="1"/>
      </c>
      <c r="BG458">
        <f ca="1"/>
      </c>
      <c r="BH458">
        <f ca="1"/>
      </c>
      <c r="BI458">
        <f ca="1"/>
      </c>
      <c r="BJ458">
        <f ca="1"/>
      </c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F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M458" s="7"/>
    </row>
    <row r="459" spans="41:195" x14ac:dyDescent="0.55000000000000004">
      <c r="AO459">
        <f ca="1"/>
      </c>
      <c r="AP459">
        <f ca="1"/>
      </c>
      <c r="AQ459">
        <f ca="1"/>
      </c>
      <c r="AR459">
        <f ca="1"/>
      </c>
      <c r="AS459">
        <f ca="1"/>
      </c>
      <c r="AT459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AZ459">
        <f ca="1"/>
      </c>
      <c r="BA459">
        <f ca="1"/>
      </c>
      <c r="BB459">
        <f ca="1"/>
      </c>
      <c r="BC459">
        <f ca="1"/>
      </c>
      <c r="BD459">
        <f ca="1"/>
      </c>
      <c r="BE459">
        <f ca="1"/>
      </c>
      <c r="BF459">
        <f ca="1"/>
      </c>
      <c r="BG459">
        <f ca="1"/>
      </c>
      <c r="BH459">
        <f ca="1"/>
      </c>
      <c r="BI459">
        <f ca="1"/>
      </c>
      <c r="BJ459">
        <f ca="1"/>
      </c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F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M459" s="7"/>
    </row>
    <row r="460" spans="41:195" x14ac:dyDescent="0.55000000000000004">
      <c r="AO460">
        <f ca="1"/>
      </c>
      <c r="AP460">
        <f ca="1"/>
      </c>
      <c r="AQ460">
        <f ca="1"/>
      </c>
      <c r="AR460">
        <f ca="1"/>
      </c>
      <c r="AS460">
        <f ca="1"/>
      </c>
      <c r="AT460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AZ460">
        <f ca="1"/>
      </c>
      <c r="BA460">
        <f ca="1"/>
      </c>
      <c r="BB460">
        <f ca="1"/>
      </c>
      <c r="BC460">
        <f ca="1"/>
      </c>
      <c r="BD460">
        <f ca="1"/>
      </c>
      <c r="BE460">
        <f ca="1"/>
      </c>
      <c r="BF460">
        <f ca="1"/>
      </c>
      <c r="BG460">
        <f ca="1"/>
      </c>
      <c r="BH460">
        <f ca="1"/>
      </c>
      <c r="BI460">
        <f ca="1"/>
      </c>
      <c r="BJ460">
        <f ca="1"/>
      </c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F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M460" s="7"/>
    </row>
    <row r="461" spans="41:195" x14ac:dyDescent="0.55000000000000004">
      <c r="AO461">
        <f ca="1"/>
      </c>
      <c r="AP461">
        <f ca="1"/>
      </c>
      <c r="AQ461">
        <f ca="1"/>
      </c>
      <c r="AR461">
        <f ca="1"/>
      </c>
      <c r="AS461">
        <f ca="1"/>
      </c>
      <c r="AT461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AZ461">
        <f ca="1"/>
      </c>
      <c r="BA461">
        <f ca="1"/>
      </c>
      <c r="BB461">
        <f ca="1"/>
      </c>
      <c r="BC461">
        <f ca="1"/>
      </c>
      <c r="BD461">
        <f ca="1"/>
      </c>
      <c r="BE461">
        <f ca="1"/>
      </c>
      <c r="BF461">
        <f ca="1"/>
      </c>
      <c r="BG461">
        <f ca="1"/>
      </c>
      <c r="BH461">
        <f ca="1"/>
      </c>
      <c r="BI461">
        <f ca="1"/>
      </c>
      <c r="BJ461">
        <f ca="1"/>
      </c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F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M461" s="7"/>
    </row>
    <row r="462" spans="41:195" x14ac:dyDescent="0.55000000000000004">
      <c r="AO462">
        <f ca="1"/>
      </c>
      <c r="AP462">
        <f ca="1"/>
      </c>
      <c r="AQ462">
        <f ca="1"/>
      </c>
      <c r="AR462">
        <f ca="1"/>
      </c>
      <c r="AS462">
        <f ca="1"/>
      </c>
      <c r="AT462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AZ462">
        <f ca="1"/>
      </c>
      <c r="BA462">
        <f ca="1"/>
      </c>
      <c r="BB462">
        <f ca="1"/>
      </c>
      <c r="BC462">
        <f ca="1"/>
      </c>
      <c r="BD462">
        <f ca="1"/>
      </c>
      <c r="BE462">
        <f ca="1"/>
      </c>
      <c r="BF462">
        <f ca="1"/>
      </c>
      <c r="BG462">
        <f ca="1"/>
      </c>
      <c r="BH462">
        <f ca="1"/>
      </c>
      <c r="BI462">
        <f ca="1"/>
      </c>
      <c r="BJ462">
        <f ca="1"/>
      </c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F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M462" s="7"/>
    </row>
    <row r="463" spans="41:195" x14ac:dyDescent="0.55000000000000004">
      <c r="AO463">
        <f ca="1"/>
      </c>
      <c r="AP463">
        <f ca="1"/>
      </c>
      <c r="AQ463">
        <f ca="1"/>
      </c>
      <c r="AR463">
        <f ca="1"/>
      </c>
      <c r="AS463">
        <f ca="1"/>
      </c>
      <c r="AT463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AZ463">
        <f ca="1"/>
      </c>
      <c r="BA463">
        <f ca="1"/>
      </c>
      <c r="BB463">
        <f ca="1"/>
      </c>
      <c r="BC463">
        <f ca="1"/>
      </c>
      <c r="BD463">
        <f ca="1"/>
      </c>
      <c r="BE463">
        <f ca="1"/>
      </c>
      <c r="BF463">
        <f ca="1"/>
      </c>
      <c r="BG463">
        <f ca="1"/>
      </c>
      <c r="BH463">
        <f ca="1"/>
      </c>
      <c r="BI463">
        <f ca="1"/>
      </c>
      <c r="BJ463">
        <f ca="1"/>
      </c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F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M463" s="7"/>
    </row>
    <row r="464" spans="41:195" x14ac:dyDescent="0.55000000000000004">
      <c r="AO464">
        <f ca="1"/>
      </c>
      <c r="AP464">
        <f ca="1"/>
      </c>
      <c r="AQ464">
        <f ca="1"/>
      </c>
      <c r="AR464">
        <f ca="1"/>
      </c>
      <c r="AS464">
        <f ca="1"/>
      </c>
      <c r="AT464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AZ464">
        <f ca="1"/>
      </c>
      <c r="BA464">
        <f ca="1"/>
      </c>
      <c r="BB464">
        <f ca="1"/>
      </c>
      <c r="BC464">
        <f ca="1"/>
      </c>
      <c r="BD464">
        <f ca="1"/>
      </c>
      <c r="BE464">
        <f ca="1"/>
      </c>
      <c r="BF464">
        <f ca="1"/>
      </c>
      <c r="BG464">
        <f ca="1"/>
      </c>
      <c r="BH464">
        <f ca="1"/>
      </c>
      <c r="BI464">
        <f ca="1"/>
      </c>
      <c r="BJ464">
        <f ca="1"/>
      </c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F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M464" s="7"/>
    </row>
    <row r="465" spans="41:195" x14ac:dyDescent="0.55000000000000004">
      <c r="AO465">
        <f ca="1"/>
      </c>
      <c r="AP465">
        <f ca="1"/>
      </c>
      <c r="AQ465">
        <f ca="1"/>
      </c>
      <c r="AR465">
        <f ca="1"/>
      </c>
      <c r="AS465">
        <f ca="1"/>
      </c>
      <c r="AT465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AZ465">
        <f ca="1"/>
      </c>
      <c r="BA465">
        <f ca="1"/>
      </c>
      <c r="BB465">
        <f ca="1"/>
      </c>
      <c r="BC465">
        <f ca="1"/>
      </c>
      <c r="BD465">
        <f ca="1"/>
      </c>
      <c r="BE465">
        <f ca="1"/>
      </c>
      <c r="BF465">
        <f ca="1"/>
      </c>
      <c r="BG465">
        <f ca="1"/>
      </c>
      <c r="BH465">
        <f ca="1"/>
      </c>
      <c r="BI465">
        <f ca="1"/>
      </c>
      <c r="BJ465">
        <f ca="1"/>
      </c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F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M465" s="7"/>
    </row>
    <row r="466" spans="41:195" x14ac:dyDescent="0.55000000000000004">
      <c r="AO466">
        <f ca="1"/>
      </c>
      <c r="AP466">
        <f ca="1"/>
      </c>
      <c r="AQ466">
        <f ca="1"/>
      </c>
      <c r="AR466">
        <f ca="1"/>
      </c>
      <c r="AS466">
        <f ca="1"/>
      </c>
      <c r="AT466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AZ466">
        <f ca="1"/>
      </c>
      <c r="BA466">
        <f ca="1"/>
      </c>
      <c r="BB466">
        <f ca="1"/>
      </c>
      <c r="BC466">
        <f ca="1"/>
      </c>
      <c r="BD466">
        <f ca="1"/>
      </c>
      <c r="BE466">
        <f ca="1"/>
      </c>
      <c r="BF466">
        <f ca="1"/>
      </c>
      <c r="BG466">
        <f ca="1"/>
      </c>
      <c r="BH466">
        <f ca="1"/>
      </c>
      <c r="BI466">
        <f ca="1"/>
      </c>
      <c r="BJ466">
        <f ca="1"/>
      </c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F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M466" s="7"/>
    </row>
    <row r="467" spans="41:195" x14ac:dyDescent="0.55000000000000004">
      <c r="AO467">
        <f ca="1"/>
      </c>
      <c r="AP467">
        <f ca="1"/>
      </c>
      <c r="AQ467">
        <f ca="1"/>
      </c>
      <c r="AR467">
        <f ca="1"/>
      </c>
      <c r="AS467">
        <f ca="1"/>
      </c>
      <c r="AT46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AZ467">
        <f ca="1"/>
      </c>
      <c r="BA467">
        <f ca="1"/>
      </c>
      <c r="BB467">
        <f ca="1"/>
      </c>
      <c r="BC467">
        <f ca="1"/>
      </c>
      <c r="BD467">
        <f ca="1"/>
      </c>
      <c r="BE467">
        <f ca="1"/>
      </c>
      <c r="BF467">
        <f ca="1"/>
      </c>
      <c r="BG467">
        <f ca="1"/>
      </c>
      <c r="BH467">
        <f ca="1"/>
      </c>
      <c r="BI467">
        <f ca="1"/>
      </c>
      <c r="BJ467">
        <f ca="1"/>
      </c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F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M467" s="7"/>
    </row>
    <row r="468" spans="41:195" x14ac:dyDescent="0.55000000000000004">
      <c r="AO468">
        <f ca="1"/>
      </c>
      <c r="AP468">
        <f ca="1"/>
      </c>
      <c r="AQ468">
        <f ca="1"/>
      </c>
      <c r="AR468">
        <f ca="1"/>
      </c>
      <c r="AS468">
        <f ca="1"/>
      </c>
      <c r="AT468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AZ468">
        <f ca="1"/>
      </c>
      <c r="BA468">
        <f ca="1"/>
      </c>
      <c r="BB468">
        <f ca="1"/>
      </c>
      <c r="BC468">
        <f ca="1"/>
      </c>
      <c r="BD468">
        <f ca="1"/>
      </c>
      <c r="BE468">
        <f ca="1"/>
      </c>
      <c r="BF468">
        <f ca="1"/>
      </c>
      <c r="BG468">
        <f ca="1"/>
      </c>
      <c r="BH468">
        <f ca="1"/>
      </c>
      <c r="BI468">
        <f ca="1"/>
      </c>
      <c r="BJ468">
        <f ca="1"/>
      </c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F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M468" s="7"/>
    </row>
    <row r="469" spans="41:195" x14ac:dyDescent="0.55000000000000004">
      <c r="AO469">
        <f ca="1"/>
      </c>
      <c r="AP469">
        <f ca="1"/>
      </c>
      <c r="AQ469">
        <f ca="1"/>
      </c>
      <c r="AR469">
        <f ca="1"/>
      </c>
      <c r="AS469">
        <f ca="1"/>
      </c>
      <c r="AT469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AZ469">
        <f ca="1"/>
      </c>
      <c r="BA469">
        <f ca="1"/>
      </c>
      <c r="BB469">
        <f ca="1"/>
      </c>
      <c r="BC469">
        <f ca="1"/>
      </c>
      <c r="BD469">
        <f ca="1"/>
      </c>
      <c r="BE469">
        <f ca="1"/>
      </c>
      <c r="BF469">
        <f ca="1"/>
      </c>
      <c r="BG469">
        <f ca="1"/>
      </c>
      <c r="BH469">
        <f ca="1"/>
      </c>
      <c r="BI469">
        <f ca="1"/>
      </c>
      <c r="BJ469">
        <f ca="1"/>
      </c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F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M469" s="7"/>
    </row>
    <row r="470" spans="41:195" x14ac:dyDescent="0.55000000000000004">
      <c r="AO470">
        <f ca="1"/>
      </c>
      <c r="AP470">
        <f ca="1"/>
      </c>
      <c r="AQ470">
        <f ca="1"/>
      </c>
      <c r="AR470">
        <f ca="1"/>
      </c>
      <c r="AS470">
        <f ca="1"/>
      </c>
      <c r="AT470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AZ470">
        <f ca="1"/>
      </c>
      <c r="BA470">
        <f ca="1"/>
      </c>
      <c r="BB470">
        <f ca="1"/>
      </c>
      <c r="BC470">
        <f ca="1"/>
      </c>
      <c r="BD470">
        <f ca="1"/>
      </c>
      <c r="BE470">
        <f ca="1"/>
      </c>
      <c r="BF470">
        <f ca="1"/>
      </c>
      <c r="BG470">
        <f ca="1"/>
      </c>
      <c r="BH470">
        <f ca="1"/>
      </c>
      <c r="BI470">
        <f ca="1"/>
      </c>
      <c r="BJ470">
        <f ca="1"/>
      </c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F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M470" s="7"/>
    </row>
    <row r="471" spans="41:195" x14ac:dyDescent="0.55000000000000004">
      <c r="AO471">
        <f ca="1"/>
      </c>
      <c r="AP471">
        <f ca="1"/>
      </c>
      <c r="AQ471">
        <f ca="1"/>
      </c>
      <c r="AR471">
        <f ca="1"/>
      </c>
      <c r="AS471">
        <f ca="1"/>
      </c>
      <c r="AT471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AZ471">
        <f ca="1"/>
      </c>
      <c r="BA471">
        <f ca="1"/>
      </c>
      <c r="BB471">
        <f ca="1"/>
      </c>
      <c r="BC471">
        <f ca="1"/>
      </c>
      <c r="BD471">
        <f ca="1"/>
      </c>
      <c r="BE471">
        <f ca="1"/>
      </c>
      <c r="BF471">
        <f ca="1"/>
      </c>
      <c r="BG471">
        <f ca="1"/>
      </c>
      <c r="BH471">
        <f ca="1"/>
      </c>
      <c r="BI471">
        <f ca="1"/>
      </c>
      <c r="BJ471">
        <f ca="1"/>
      </c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F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M471" s="7"/>
    </row>
    <row r="472" spans="41:195" x14ac:dyDescent="0.55000000000000004">
      <c r="AO472">
        <f ca="1"/>
      </c>
      <c r="AP472">
        <f ca="1"/>
      </c>
      <c r="AQ472">
        <f ca="1"/>
      </c>
      <c r="AR472">
        <f ca="1"/>
      </c>
      <c r="AS472">
        <f ca="1"/>
      </c>
      <c r="AT472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AZ472">
        <f ca="1"/>
      </c>
      <c r="BA472">
        <f ca="1"/>
      </c>
      <c r="BB472">
        <f ca="1"/>
      </c>
      <c r="BC472">
        <f ca="1"/>
      </c>
      <c r="BD472">
        <f ca="1"/>
      </c>
      <c r="BE472">
        <f ca="1"/>
      </c>
      <c r="BF472">
        <f ca="1"/>
      </c>
      <c r="BG472">
        <f ca="1"/>
      </c>
      <c r="BH472">
        <f ca="1"/>
      </c>
      <c r="BI472">
        <f ca="1"/>
      </c>
      <c r="BJ472">
        <f ca="1"/>
      </c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F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B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M472" s="7"/>
    </row>
    <row r="473" spans="41:195" x14ac:dyDescent="0.55000000000000004">
      <c r="AO473">
        <f ca="1"/>
      </c>
      <c r="AP473">
        <f ca="1"/>
      </c>
      <c r="AQ473">
        <f ca="1"/>
      </c>
      <c r="AR473">
        <f ca="1"/>
      </c>
      <c r="AS473">
        <f ca="1"/>
      </c>
      <c r="AT473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AZ473">
        <f ca="1"/>
      </c>
      <c r="BA473">
        <f ca="1"/>
      </c>
      <c r="BB473">
        <f ca="1"/>
      </c>
      <c r="BC473">
        <f ca="1"/>
      </c>
      <c r="BD473">
        <f ca="1"/>
      </c>
      <c r="BE473">
        <f ca="1"/>
      </c>
      <c r="BF473">
        <f ca="1"/>
      </c>
      <c r="BG473">
        <f ca="1"/>
      </c>
      <c r="BH473">
        <f ca="1"/>
      </c>
      <c r="BI473">
        <f ca="1"/>
      </c>
      <c r="BJ473">
        <f ca="1"/>
      </c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F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B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M473" s="7"/>
    </row>
    <row r="474" spans="41:195" x14ac:dyDescent="0.55000000000000004">
      <c r="AO474">
        <f ca="1"/>
      </c>
      <c r="AP474">
        <f ca="1"/>
      </c>
      <c r="AQ474">
        <f ca="1"/>
      </c>
      <c r="AR474">
        <f ca="1"/>
      </c>
      <c r="AS474">
        <f ca="1"/>
      </c>
      <c r="AT474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AZ474">
        <f ca="1"/>
      </c>
      <c r="BA474">
        <f ca="1"/>
      </c>
      <c r="BB474">
        <f ca="1"/>
      </c>
      <c r="BC474">
        <f ca="1"/>
      </c>
      <c r="BD474">
        <f ca="1"/>
      </c>
      <c r="BE474">
        <f ca="1"/>
      </c>
      <c r="BF474">
        <f ca="1"/>
      </c>
      <c r="BG474">
        <f ca="1"/>
      </c>
      <c r="BH474">
        <f ca="1"/>
      </c>
      <c r="BI474">
        <f ca="1"/>
      </c>
      <c r="BJ474">
        <f ca="1"/>
      </c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F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B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M474" s="7"/>
    </row>
    <row r="475" spans="41:195" x14ac:dyDescent="0.55000000000000004">
      <c r="AO475">
        <f ca="1"/>
      </c>
      <c r="AP475">
        <f ca="1"/>
      </c>
      <c r="AQ475">
        <f ca="1"/>
      </c>
      <c r="AR475">
        <f ca="1"/>
      </c>
      <c r="AS475">
        <f ca="1"/>
      </c>
      <c r="AT475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AZ475">
        <f ca="1"/>
      </c>
      <c r="BA475">
        <f ca="1"/>
      </c>
      <c r="BB475">
        <f ca="1"/>
      </c>
      <c r="BC475">
        <f ca="1"/>
      </c>
      <c r="BD475">
        <f ca="1"/>
      </c>
      <c r="BE475">
        <f ca="1"/>
      </c>
      <c r="BF475">
        <f ca="1"/>
      </c>
      <c r="BG475">
        <f ca="1"/>
      </c>
      <c r="BH475">
        <f ca="1"/>
      </c>
      <c r="BI475">
        <f ca="1"/>
      </c>
      <c r="BJ475">
        <f ca="1"/>
      </c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F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B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M475" s="7"/>
    </row>
    <row r="476" spans="41:195" x14ac:dyDescent="0.55000000000000004">
      <c r="AO476">
        <f ca="1"/>
      </c>
      <c r="AP476">
        <f ca="1"/>
      </c>
      <c r="AQ476">
        <f ca="1"/>
      </c>
      <c r="AR476">
        <f ca="1"/>
      </c>
      <c r="AS476">
        <f ca="1"/>
      </c>
      <c r="AT476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AZ476">
        <f ca="1"/>
      </c>
      <c r="BA476">
        <f ca="1"/>
      </c>
      <c r="BB476">
        <f ca="1"/>
      </c>
      <c r="BC476">
        <f ca="1"/>
      </c>
      <c r="BD476">
        <f ca="1"/>
      </c>
      <c r="BE476">
        <f ca="1"/>
      </c>
      <c r="BF476">
        <f ca="1"/>
      </c>
      <c r="BG476">
        <f ca="1"/>
      </c>
      <c r="BH476">
        <f ca="1"/>
      </c>
      <c r="BI476">
        <f ca="1"/>
      </c>
      <c r="BJ476">
        <f ca="1"/>
      </c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F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B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M476" s="7"/>
    </row>
    <row r="477" spans="41:195" x14ac:dyDescent="0.55000000000000004">
      <c r="AO477">
        <f ca="1"/>
      </c>
      <c r="AP477">
        <f ca="1"/>
      </c>
      <c r="AQ477">
        <f ca="1"/>
      </c>
      <c r="AR477">
        <f ca="1"/>
      </c>
      <c r="AS477">
        <f ca="1"/>
      </c>
      <c r="AT47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AZ477">
        <f ca="1"/>
      </c>
      <c r="BA477">
        <f ca="1"/>
      </c>
      <c r="BB477">
        <f ca="1"/>
      </c>
      <c r="BC477">
        <f ca="1"/>
      </c>
      <c r="BD477">
        <f ca="1"/>
      </c>
      <c r="BE477">
        <f ca="1"/>
      </c>
      <c r="BF477">
        <f ca="1"/>
      </c>
      <c r="BG477">
        <f ca="1"/>
      </c>
      <c r="BH477">
        <f ca="1"/>
      </c>
      <c r="BI477">
        <f ca="1"/>
      </c>
      <c r="BJ477">
        <f ca="1"/>
      </c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F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B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M477" s="7"/>
    </row>
    <row r="478" spans="41:195" x14ac:dyDescent="0.55000000000000004">
      <c r="AO478">
        <f ca="1"/>
      </c>
      <c r="AP478">
        <f ca="1"/>
      </c>
      <c r="AQ478">
        <f ca="1"/>
      </c>
      <c r="AR478">
        <f ca="1"/>
      </c>
      <c r="AS478">
        <f ca="1"/>
      </c>
      <c r="AT478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AZ478">
        <f ca="1"/>
      </c>
      <c r="BA478">
        <f ca="1"/>
      </c>
      <c r="BB478">
        <f ca="1"/>
      </c>
      <c r="BC478">
        <f ca="1"/>
      </c>
      <c r="BD478">
        <f ca="1"/>
      </c>
      <c r="BE478">
        <f ca="1"/>
      </c>
      <c r="BF478">
        <f ca="1"/>
      </c>
      <c r="BG478">
        <f ca="1"/>
      </c>
      <c r="BH478">
        <f ca="1"/>
      </c>
      <c r="BI478">
        <f ca="1"/>
      </c>
      <c r="BJ478">
        <f ca="1"/>
      </c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F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B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M478" s="7"/>
    </row>
    <row r="479" spans="41:195" x14ac:dyDescent="0.55000000000000004">
      <c r="AO479">
        <f ca="1"/>
      </c>
      <c r="AP479">
        <f ca="1"/>
      </c>
      <c r="AQ479">
        <f ca="1"/>
      </c>
      <c r="AR479">
        <f ca="1"/>
      </c>
      <c r="AS479">
        <f ca="1"/>
      </c>
      <c r="AT479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AZ479">
        <f ca="1"/>
      </c>
      <c r="BA479">
        <f ca="1"/>
      </c>
      <c r="BB479">
        <f ca="1"/>
      </c>
      <c r="BC479">
        <f ca="1"/>
      </c>
      <c r="BD479">
        <f ca="1"/>
      </c>
      <c r="BE479">
        <f ca="1"/>
      </c>
      <c r="BF479">
        <f ca="1"/>
      </c>
      <c r="BG479">
        <f ca="1"/>
      </c>
      <c r="BH479">
        <f ca="1"/>
      </c>
      <c r="BI479">
        <f ca="1"/>
      </c>
      <c r="BJ479">
        <f ca="1"/>
      </c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F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B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M479" s="7"/>
    </row>
    <row r="480" spans="41:195" x14ac:dyDescent="0.55000000000000004">
      <c r="AO480">
        <f ca="1"/>
      </c>
      <c r="AP480">
        <f ca="1"/>
      </c>
      <c r="AQ480">
        <f ca="1"/>
      </c>
      <c r="AR480">
        <f ca="1"/>
      </c>
      <c r="AS480">
        <f ca="1"/>
      </c>
      <c r="AT480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AZ480">
        <f ca="1"/>
      </c>
      <c r="BA480">
        <f ca="1"/>
      </c>
      <c r="BB480">
        <f ca="1"/>
      </c>
      <c r="BC480">
        <f ca="1"/>
      </c>
      <c r="BD480">
        <f ca="1"/>
      </c>
      <c r="BE480">
        <f ca="1"/>
      </c>
      <c r="BF480">
        <f ca="1"/>
      </c>
      <c r="BG480">
        <f ca="1"/>
      </c>
      <c r="BH480">
        <f ca="1"/>
      </c>
      <c r="BI480">
        <f ca="1"/>
      </c>
      <c r="BJ480">
        <f ca="1"/>
      </c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F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B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M480" s="7"/>
    </row>
    <row r="481" spans="41:195" x14ac:dyDescent="0.55000000000000004">
      <c r="AO481">
        <f ca="1"/>
      </c>
      <c r="AP481">
        <f ca="1"/>
      </c>
      <c r="AQ481">
        <f ca="1"/>
      </c>
      <c r="AR481">
        <f ca="1"/>
      </c>
      <c r="AS481">
        <f ca="1"/>
      </c>
      <c r="AT481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AZ481">
        <f ca="1"/>
      </c>
      <c r="BA481">
        <f ca="1"/>
      </c>
      <c r="BB481">
        <f ca="1"/>
      </c>
      <c r="BC481">
        <f ca="1"/>
      </c>
      <c r="BD481">
        <f ca="1"/>
      </c>
      <c r="BE481">
        <f ca="1"/>
      </c>
      <c r="BF481">
        <f ca="1"/>
      </c>
      <c r="BG481">
        <f ca="1"/>
      </c>
      <c r="BH481">
        <f ca="1"/>
      </c>
      <c r="BI481">
        <f ca="1"/>
      </c>
      <c r="BJ481">
        <f ca="1"/>
      </c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F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B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M481" s="7"/>
    </row>
    <row r="482" spans="41:195" x14ac:dyDescent="0.55000000000000004">
      <c r="AO482">
        <f ca="1"/>
      </c>
      <c r="AP482">
        <f ca="1"/>
      </c>
      <c r="AQ482">
        <f ca="1"/>
      </c>
      <c r="AR482">
        <f ca="1"/>
      </c>
      <c r="AS482">
        <f ca="1"/>
      </c>
      <c r="AT482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AZ482">
        <f ca="1"/>
      </c>
      <c r="BA482">
        <f ca="1"/>
      </c>
      <c r="BB482">
        <f ca="1"/>
      </c>
      <c r="BC482">
        <f ca="1"/>
      </c>
      <c r="BD482">
        <f ca="1"/>
      </c>
      <c r="BE482">
        <f ca="1"/>
      </c>
      <c r="BF482">
        <f ca="1"/>
      </c>
      <c r="BG482">
        <f ca="1"/>
      </c>
      <c r="BH482">
        <f ca="1"/>
      </c>
      <c r="BI482">
        <f ca="1"/>
      </c>
      <c r="BJ482">
        <f ca="1"/>
      </c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F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B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M482" s="7"/>
    </row>
    <row r="483" spans="41:195" x14ac:dyDescent="0.55000000000000004">
      <c r="AO483">
        <f ca="1"/>
      </c>
      <c r="AP483">
        <f ca="1"/>
      </c>
      <c r="AQ483">
        <f ca="1"/>
      </c>
      <c r="AR483">
        <f ca="1"/>
      </c>
      <c r="AS483">
        <f ca="1"/>
      </c>
      <c r="AT483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AZ483">
        <f ca="1"/>
      </c>
      <c r="BA483">
        <f ca="1"/>
      </c>
      <c r="BB483">
        <f ca="1"/>
      </c>
      <c r="BC483">
        <f ca="1"/>
      </c>
      <c r="BD483">
        <f ca="1"/>
      </c>
      <c r="BE483">
        <f ca="1"/>
      </c>
      <c r="BF483">
        <f ca="1"/>
      </c>
      <c r="BG483">
        <f ca="1"/>
      </c>
      <c r="BH483">
        <f ca="1"/>
      </c>
      <c r="BI483">
        <f ca="1"/>
      </c>
      <c r="BJ483">
        <f ca="1"/>
      </c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F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B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M483" s="7"/>
    </row>
    <row r="484" spans="41:195" x14ac:dyDescent="0.55000000000000004">
      <c r="AO484">
        <f ca="1"/>
      </c>
      <c r="AP484">
        <f ca="1"/>
      </c>
      <c r="AQ484">
        <f ca="1"/>
      </c>
      <c r="AR484">
        <f ca="1"/>
      </c>
      <c r="AS484">
        <f ca="1"/>
      </c>
      <c r="AT484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AZ484">
        <f ca="1"/>
      </c>
      <c r="BA484">
        <f ca="1"/>
      </c>
      <c r="BB484">
        <f ca="1"/>
      </c>
      <c r="BC484">
        <f ca="1"/>
      </c>
      <c r="BD484">
        <f ca="1"/>
      </c>
      <c r="BE484">
        <f ca="1"/>
      </c>
      <c r="BF484">
        <f ca="1"/>
      </c>
      <c r="BG484">
        <f ca="1"/>
      </c>
      <c r="BH484">
        <f ca="1"/>
      </c>
      <c r="BI484">
        <f ca="1"/>
      </c>
      <c r="BJ484">
        <f ca="1"/>
      </c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F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B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M484" s="7"/>
    </row>
    <row r="485" spans="41:195" x14ac:dyDescent="0.55000000000000004">
      <c r="AO485">
        <f ca="1"/>
      </c>
      <c r="AP485">
        <f ca="1"/>
      </c>
      <c r="AQ485">
        <f ca="1"/>
      </c>
      <c r="AR485">
        <f ca="1"/>
      </c>
      <c r="AS485">
        <f ca="1"/>
      </c>
      <c r="AT485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AZ485">
        <f ca="1"/>
      </c>
      <c r="BA485">
        <f ca="1"/>
      </c>
      <c r="BB485">
        <f ca="1"/>
      </c>
      <c r="BC485">
        <f ca="1"/>
      </c>
      <c r="BD485">
        <f ca="1"/>
      </c>
      <c r="BE485">
        <f ca="1"/>
      </c>
      <c r="BF485">
        <f ca="1"/>
      </c>
      <c r="BG485">
        <f ca="1"/>
      </c>
      <c r="BH485">
        <f ca="1"/>
      </c>
      <c r="BI485">
        <f ca="1"/>
      </c>
      <c r="BJ485">
        <f ca="1"/>
      </c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F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B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M485" s="7"/>
    </row>
    <row r="486" spans="41:195" x14ac:dyDescent="0.55000000000000004">
      <c r="AO486">
        <f ca="1"/>
      </c>
      <c r="AP486">
        <f ca="1"/>
      </c>
      <c r="AQ486">
        <f ca="1"/>
      </c>
      <c r="AR486">
        <f ca="1"/>
      </c>
      <c r="AS486">
        <f ca="1"/>
      </c>
      <c r="AT486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AZ486">
        <f ca="1"/>
      </c>
      <c r="BA486">
        <f ca="1"/>
      </c>
      <c r="BB486">
        <f ca="1"/>
      </c>
      <c r="BC486">
        <f ca="1"/>
      </c>
      <c r="BD486">
        <f ca="1"/>
      </c>
      <c r="BE486">
        <f ca="1"/>
      </c>
      <c r="BF486">
        <f ca="1"/>
      </c>
      <c r="BG486">
        <f ca="1"/>
      </c>
      <c r="BH486">
        <f ca="1"/>
      </c>
      <c r="BI486">
        <f ca="1"/>
      </c>
      <c r="BJ486">
        <f ca="1"/>
      </c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F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B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M486" s="7"/>
    </row>
    <row r="487" spans="41:195" x14ac:dyDescent="0.55000000000000004">
      <c r="GM487" s="7"/>
    </row>
    <row r="488" spans="41:195" x14ac:dyDescent="0.55000000000000004">
      <c r="GM488" s="7"/>
    </row>
    <row r="489" spans="41:195" x14ac:dyDescent="0.55000000000000004">
      <c r="GM489" s="7"/>
    </row>
    <row r="490" spans="41:195" x14ac:dyDescent="0.55000000000000004">
      <c r="GM490" s="7"/>
    </row>
    <row r="491" spans="41:195" x14ac:dyDescent="0.55000000000000004">
      <c r="GM491" s="7"/>
    </row>
    <row r="492" spans="41:195" x14ac:dyDescent="0.55000000000000004">
      <c r="GM492" s="7"/>
    </row>
    <row r="493" spans="41:195" x14ac:dyDescent="0.55000000000000004">
      <c r="GM493" s="7"/>
    </row>
    <row r="494" spans="41:195" x14ac:dyDescent="0.55000000000000004">
      <c r="GM494" s="7"/>
    </row>
    <row r="495" spans="41:195" x14ac:dyDescent="0.55000000000000004">
      <c r="GM495" s="7"/>
    </row>
    <row r="496" spans="41:195" x14ac:dyDescent="0.55000000000000004">
      <c r="GM496" s="7"/>
    </row>
    <row r="497" spans="195:195" x14ac:dyDescent="0.55000000000000004">
      <c r="GM497" s="7"/>
    </row>
    <row r="498" spans="195:195" x14ac:dyDescent="0.55000000000000004">
      <c r="GM498" s="7"/>
    </row>
    <row r="499" spans="195:195" x14ac:dyDescent="0.55000000000000004">
      <c r="GM499" s="7"/>
    </row>
    <row r="500" spans="195:195" x14ac:dyDescent="0.55000000000000004">
      <c r="GM500" s="7"/>
    </row>
    <row r="501" spans="195:195" x14ac:dyDescent="0.55000000000000004">
      <c r="GM501" s="7"/>
    </row>
    <row r="502" spans="195:195" x14ac:dyDescent="0.55000000000000004">
      <c r="GM502" s="7"/>
    </row>
    <row r="503" spans="195:195" x14ac:dyDescent="0.55000000000000004">
      <c r="GM503" s="7"/>
    </row>
    <row r="504" spans="195:195" x14ac:dyDescent="0.55000000000000004">
      <c r="GM504" s="7"/>
    </row>
    <row r="505" spans="195:195" x14ac:dyDescent="0.55000000000000004">
      <c r="GM505" s="7"/>
    </row>
    <row r="506" spans="195:195" x14ac:dyDescent="0.55000000000000004">
      <c r="GM506" s="7"/>
    </row>
    <row r="507" spans="195:195" x14ac:dyDescent="0.55000000000000004">
      <c r="GM507" s="7"/>
    </row>
    <row r="508" spans="195:195" x14ac:dyDescent="0.55000000000000004">
      <c r="GM508" s="7"/>
    </row>
    <row r="509" spans="195:195" x14ac:dyDescent="0.55000000000000004">
      <c r="GM509" s="7"/>
    </row>
    <row r="510" spans="195:195" x14ac:dyDescent="0.55000000000000004">
      <c r="GM510" s="7"/>
    </row>
    <row r="511" spans="195:195" x14ac:dyDescent="0.55000000000000004">
      <c r="GM511" s="7"/>
    </row>
    <row r="512" spans="195:195" x14ac:dyDescent="0.55000000000000004">
      <c r="GM512" s="7"/>
    </row>
    <row r="513" spans="195:195" x14ac:dyDescent="0.55000000000000004">
      <c r="GM513" s="7"/>
    </row>
    <row r="514" spans="195:195" x14ac:dyDescent="0.55000000000000004">
      <c r="GM514" s="7"/>
    </row>
    <row r="515" spans="195:195" x14ac:dyDescent="0.55000000000000004">
      <c r="GM515" s="7"/>
    </row>
    <row r="516" spans="195:195" x14ac:dyDescent="0.55000000000000004">
      <c r="GM516" s="7"/>
    </row>
    <row r="517" spans="195:195" x14ac:dyDescent="0.55000000000000004">
      <c r="GM517" s="7"/>
    </row>
    <row r="518" spans="195:195" x14ac:dyDescent="0.55000000000000004">
      <c r="GM518" s="7"/>
    </row>
    <row r="519" spans="195:195" x14ac:dyDescent="0.55000000000000004">
      <c r="GM519" s="7"/>
    </row>
    <row r="520" spans="195:195" x14ac:dyDescent="0.55000000000000004">
      <c r="GM520" s="7"/>
    </row>
    <row r="521" spans="195:195" x14ac:dyDescent="0.55000000000000004">
      <c r="GM521" s="7"/>
    </row>
    <row r="522" spans="195:195" x14ac:dyDescent="0.55000000000000004">
      <c r="GM522" s="7"/>
    </row>
    <row r="523" spans="195:195" x14ac:dyDescent="0.55000000000000004">
      <c r="GM523" s="7"/>
    </row>
    <row r="524" spans="195:195" x14ac:dyDescent="0.55000000000000004">
      <c r="GM524" s="7"/>
    </row>
    <row r="525" spans="195:195" x14ac:dyDescent="0.55000000000000004">
      <c r="GM525" s="7"/>
    </row>
    <row r="526" spans="195:195" x14ac:dyDescent="0.55000000000000004">
      <c r="GM526" s="7"/>
    </row>
    <row r="527" spans="195:195" x14ac:dyDescent="0.55000000000000004">
      <c r="GM527" s="7"/>
    </row>
    <row r="528" spans="195:195" x14ac:dyDescent="0.55000000000000004">
      <c r="GM528" s="7"/>
    </row>
    <row r="529" spans="195:195" x14ac:dyDescent="0.55000000000000004">
      <c r="GM529" s="7"/>
    </row>
    <row r="530" spans="195:195" x14ac:dyDescent="0.55000000000000004">
      <c r="GM530" s="7"/>
    </row>
    <row r="531" spans="195:195" x14ac:dyDescent="0.55000000000000004">
      <c r="GM531" s="7"/>
    </row>
    <row r="532" spans="195:195" x14ac:dyDescent="0.55000000000000004">
      <c r="GM532" s="7"/>
    </row>
    <row r="533" spans="195:195" x14ac:dyDescent="0.55000000000000004">
      <c r="GM533" s="7"/>
    </row>
    <row r="534" spans="195:195" x14ac:dyDescent="0.55000000000000004">
      <c r="GM534" s="7"/>
    </row>
    <row r="535" spans="195:195" x14ac:dyDescent="0.55000000000000004">
      <c r="GM535" s="7"/>
    </row>
    <row r="536" spans="195:195" x14ac:dyDescent="0.55000000000000004">
      <c r="GM536" s="7"/>
    </row>
    <row r="537" spans="195:195" x14ac:dyDescent="0.55000000000000004">
      <c r="GM537" s="7"/>
    </row>
    <row r="538" spans="195:195" x14ac:dyDescent="0.55000000000000004">
      <c r="GM538" s="7"/>
    </row>
    <row r="539" spans="195:195" x14ac:dyDescent="0.55000000000000004">
      <c r="GM539" s="7"/>
    </row>
    <row r="540" spans="195:195" x14ac:dyDescent="0.55000000000000004">
      <c r="GM540" s="7"/>
    </row>
    <row r="541" spans="195:195" x14ac:dyDescent="0.55000000000000004">
      <c r="GM541" s="7"/>
    </row>
    <row r="542" spans="195:195" x14ac:dyDescent="0.55000000000000004">
      <c r="GM542" s="7"/>
    </row>
    <row r="543" spans="195:195" x14ac:dyDescent="0.55000000000000004">
      <c r="GM543" s="7"/>
    </row>
    <row r="544" spans="195:195" x14ac:dyDescent="0.55000000000000004">
      <c r="GM544" s="7"/>
    </row>
    <row r="545" spans="195:195" x14ac:dyDescent="0.55000000000000004">
      <c r="GM545" s="7"/>
    </row>
    <row r="546" spans="195:195" x14ac:dyDescent="0.55000000000000004">
      <c r="GM546" s="7"/>
    </row>
    <row r="547" spans="195:195" x14ac:dyDescent="0.55000000000000004">
      <c r="GM547" s="7"/>
    </row>
    <row r="548" spans="195:195" x14ac:dyDescent="0.55000000000000004">
      <c r="GM548" s="7"/>
    </row>
    <row r="549" spans="195:195" x14ac:dyDescent="0.55000000000000004">
      <c r="GM549" s="7"/>
    </row>
    <row r="550" spans="195:195" x14ac:dyDescent="0.55000000000000004">
      <c r="GM550" s="7"/>
    </row>
    <row r="551" spans="195:195" x14ac:dyDescent="0.55000000000000004">
      <c r="GM551" s="7"/>
    </row>
    <row r="552" spans="195:195" x14ac:dyDescent="0.55000000000000004">
      <c r="GM552" s="7"/>
    </row>
    <row r="553" spans="195:195" x14ac:dyDescent="0.55000000000000004">
      <c r="GM553" s="7"/>
    </row>
    <row r="554" spans="195:195" x14ac:dyDescent="0.55000000000000004">
      <c r="GM554" s="7"/>
    </row>
    <row r="555" spans="195:195" x14ac:dyDescent="0.55000000000000004">
      <c r="GM555" s="7"/>
    </row>
    <row r="556" spans="195:195" x14ac:dyDescent="0.55000000000000004">
      <c r="GM556" s="7"/>
    </row>
    <row r="557" spans="195:195" x14ac:dyDescent="0.55000000000000004">
      <c r="GM557" s="7"/>
    </row>
    <row r="558" spans="195:195" x14ac:dyDescent="0.55000000000000004">
      <c r="GM558" s="7"/>
    </row>
    <row r="559" spans="195:195" x14ac:dyDescent="0.55000000000000004">
      <c r="GM559" s="7"/>
    </row>
    <row r="560" spans="195:195" x14ac:dyDescent="0.55000000000000004">
      <c r="GM560" s="7"/>
    </row>
    <row r="561" spans="195:195" x14ac:dyDescent="0.55000000000000004">
      <c r="GM561" s="7"/>
    </row>
    <row r="562" spans="195:195" x14ac:dyDescent="0.55000000000000004">
      <c r="GM562" s="7"/>
    </row>
    <row r="563" spans="195:195" x14ac:dyDescent="0.55000000000000004">
      <c r="GM563" s="7"/>
    </row>
    <row r="564" spans="195:195" x14ac:dyDescent="0.55000000000000004">
      <c r="GM564" s="7"/>
    </row>
    <row r="565" spans="195:195" x14ac:dyDescent="0.55000000000000004">
      <c r="GM565" s="7"/>
    </row>
    <row r="566" spans="195:195" x14ac:dyDescent="0.55000000000000004">
      <c r="GM566" s="7"/>
    </row>
    <row r="567" spans="195:195" x14ac:dyDescent="0.55000000000000004">
      <c r="GM567" s="7"/>
    </row>
    <row r="568" spans="195:195" x14ac:dyDescent="0.55000000000000004">
      <c r="GM568" s="7"/>
    </row>
    <row r="569" spans="195:195" x14ac:dyDescent="0.55000000000000004">
      <c r="GM569" s="7"/>
    </row>
    <row r="570" spans="195:195" x14ac:dyDescent="0.55000000000000004">
      <c r="GM570" s="7"/>
    </row>
    <row r="571" spans="195:195" x14ac:dyDescent="0.55000000000000004">
      <c r="GM571" s="7"/>
    </row>
    <row r="572" spans="195:195" x14ac:dyDescent="0.55000000000000004">
      <c r="GM572" s="7"/>
    </row>
    <row r="573" spans="195:195" x14ac:dyDescent="0.55000000000000004">
      <c r="GM573" s="7"/>
    </row>
    <row r="574" spans="195:195" x14ac:dyDescent="0.55000000000000004">
      <c r="GM574" s="7"/>
    </row>
    <row r="575" spans="195:195" x14ac:dyDescent="0.55000000000000004">
      <c r="GM575" s="7"/>
    </row>
    <row r="576" spans="195:195" x14ac:dyDescent="0.55000000000000004">
      <c r="GM576" s="7"/>
    </row>
    <row r="577" spans="195:195" x14ac:dyDescent="0.55000000000000004">
      <c r="GM577" s="7"/>
    </row>
    <row r="578" spans="195:195" x14ac:dyDescent="0.55000000000000004">
      <c r="GM578" s="7"/>
    </row>
    <row r="579" spans="195:195" x14ac:dyDescent="0.55000000000000004">
      <c r="GM579" s="7"/>
    </row>
    <row r="580" spans="195:195" x14ac:dyDescent="0.55000000000000004">
      <c r="GM580" s="7"/>
    </row>
    <row r="581" spans="195:195" x14ac:dyDescent="0.55000000000000004">
      <c r="GM581" s="7"/>
    </row>
    <row r="582" spans="195:195" x14ac:dyDescent="0.55000000000000004">
      <c r="GM582" s="7"/>
    </row>
    <row r="583" spans="195:195" x14ac:dyDescent="0.55000000000000004">
      <c r="GM583" s="7"/>
    </row>
    <row r="584" spans="195:195" x14ac:dyDescent="0.55000000000000004">
      <c r="GM584" s="7"/>
    </row>
    <row r="585" spans="195:195" x14ac:dyDescent="0.55000000000000004">
      <c r="GM585" s="7"/>
    </row>
    <row r="586" spans="195:195" x14ac:dyDescent="0.55000000000000004">
      <c r="GM586" s="7"/>
    </row>
    <row r="587" spans="195:195" x14ac:dyDescent="0.55000000000000004">
      <c r="GM587" s="7"/>
    </row>
    <row r="588" spans="195:195" x14ac:dyDescent="0.55000000000000004">
      <c r="GM588" s="7"/>
    </row>
    <row r="589" spans="195:195" x14ac:dyDescent="0.55000000000000004">
      <c r="GM589" s="7"/>
    </row>
    <row r="590" spans="195:195" x14ac:dyDescent="0.55000000000000004">
      <c r="GM590" s="7"/>
    </row>
    <row r="591" spans="195:195" x14ac:dyDescent="0.55000000000000004">
      <c r="GM591" s="7"/>
    </row>
    <row r="592" spans="195:195" x14ac:dyDescent="0.55000000000000004">
      <c r="GM592" s="7"/>
    </row>
    <row r="593" spans="195:195" x14ac:dyDescent="0.55000000000000004">
      <c r="GM593" s="7"/>
    </row>
    <row r="594" spans="195:195" x14ac:dyDescent="0.55000000000000004">
      <c r="GM594" s="7"/>
    </row>
    <row r="595" spans="195:195" x14ac:dyDescent="0.55000000000000004">
      <c r="GM595" s="7"/>
    </row>
    <row r="596" spans="195:195" x14ac:dyDescent="0.55000000000000004">
      <c r="GM596" s="7"/>
    </row>
    <row r="597" spans="195:195" x14ac:dyDescent="0.55000000000000004">
      <c r="GM597" s="7"/>
    </row>
    <row r="598" spans="195:195" x14ac:dyDescent="0.55000000000000004">
      <c r="GM598" s="7"/>
    </row>
    <row r="599" spans="195:195" x14ac:dyDescent="0.55000000000000004">
      <c r="GM599" s="7"/>
    </row>
    <row r="600" spans="195:195" x14ac:dyDescent="0.55000000000000004">
      <c r="GM600" s="7"/>
    </row>
    <row r="601" spans="195:195" x14ac:dyDescent="0.55000000000000004">
      <c r="GM601" s="7"/>
    </row>
    <row r="602" spans="195:195" x14ac:dyDescent="0.55000000000000004">
      <c r="GM602" s="7"/>
    </row>
    <row r="603" spans="195:195" x14ac:dyDescent="0.55000000000000004">
      <c r="GM603" s="7"/>
    </row>
    <row r="604" spans="195:195" x14ac:dyDescent="0.55000000000000004">
      <c r="GM604" s="7"/>
    </row>
    <row r="605" spans="195:195" x14ac:dyDescent="0.55000000000000004">
      <c r="GM605" s="7"/>
    </row>
    <row r="606" spans="195:195" x14ac:dyDescent="0.55000000000000004">
      <c r="GM606" s="7"/>
    </row>
    <row r="607" spans="195:195" x14ac:dyDescent="0.55000000000000004">
      <c r="GM607" s="7"/>
    </row>
    <row r="608" spans="195:195" x14ac:dyDescent="0.55000000000000004">
      <c r="GM608" s="7"/>
    </row>
    <row r="609" spans="195:195" x14ac:dyDescent="0.55000000000000004">
      <c r="GM609" s="7"/>
    </row>
    <row r="610" spans="195:195" x14ac:dyDescent="0.55000000000000004">
      <c r="GM610" s="7"/>
    </row>
    <row r="611" spans="195:195" x14ac:dyDescent="0.55000000000000004">
      <c r="GM611" s="7"/>
    </row>
    <row r="612" spans="195:195" x14ac:dyDescent="0.55000000000000004">
      <c r="GM612" s="7"/>
    </row>
    <row r="613" spans="195:195" x14ac:dyDescent="0.55000000000000004">
      <c r="GM613" s="7"/>
    </row>
    <row r="614" spans="195:195" x14ac:dyDescent="0.55000000000000004">
      <c r="GM614" s="7"/>
    </row>
    <row r="615" spans="195:195" x14ac:dyDescent="0.55000000000000004">
      <c r="GM615" s="7"/>
    </row>
    <row r="616" spans="195:195" x14ac:dyDescent="0.55000000000000004">
      <c r="GM616" s="7"/>
    </row>
    <row r="617" spans="195:195" x14ac:dyDescent="0.55000000000000004">
      <c r="GM617" s="7"/>
    </row>
    <row r="618" spans="195:195" x14ac:dyDescent="0.55000000000000004">
      <c r="GM618" s="7"/>
    </row>
    <row r="619" spans="195:195" x14ac:dyDescent="0.55000000000000004">
      <c r="GM619" s="7"/>
    </row>
    <row r="620" spans="195:195" x14ac:dyDescent="0.55000000000000004">
      <c r="GM620" s="7"/>
    </row>
    <row r="621" spans="195:195" x14ac:dyDescent="0.55000000000000004">
      <c r="GM621" s="7"/>
    </row>
    <row r="622" spans="195:195" x14ac:dyDescent="0.55000000000000004">
      <c r="GM622" s="7"/>
    </row>
    <row r="623" spans="195:195" x14ac:dyDescent="0.55000000000000004">
      <c r="GM623" s="7"/>
    </row>
    <row r="624" spans="195:195" x14ac:dyDescent="0.55000000000000004">
      <c r="GM624" s="7"/>
    </row>
    <row r="625" spans="195:195" x14ac:dyDescent="0.55000000000000004">
      <c r="GM625" s="7"/>
    </row>
    <row r="626" spans="195:195" x14ac:dyDescent="0.55000000000000004">
      <c r="GM626" s="7"/>
    </row>
    <row r="627" spans="195:195" x14ac:dyDescent="0.55000000000000004">
      <c r="GM627" s="7"/>
    </row>
    <row r="628" spans="195:195" x14ac:dyDescent="0.55000000000000004">
      <c r="GM628" s="7"/>
    </row>
    <row r="629" spans="195:195" x14ac:dyDescent="0.55000000000000004">
      <c r="GM629" s="7"/>
    </row>
    <row r="630" spans="195:195" x14ac:dyDescent="0.55000000000000004">
      <c r="GM630" s="7"/>
    </row>
    <row r="631" spans="195:195" x14ac:dyDescent="0.55000000000000004">
      <c r="GM631" s="7"/>
    </row>
    <row r="632" spans="195:195" x14ac:dyDescent="0.55000000000000004">
      <c r="GM632" s="7"/>
    </row>
    <row r="633" spans="195:195" x14ac:dyDescent="0.55000000000000004">
      <c r="GM633" s="7"/>
    </row>
    <row r="634" spans="195:195" x14ac:dyDescent="0.55000000000000004">
      <c r="GM634" s="7"/>
    </row>
    <row r="635" spans="195:195" x14ac:dyDescent="0.55000000000000004">
      <c r="GM635" s="7"/>
    </row>
    <row r="636" spans="195:195" x14ac:dyDescent="0.55000000000000004">
      <c r="GM636" s="7"/>
    </row>
    <row r="637" spans="195:195" x14ac:dyDescent="0.55000000000000004">
      <c r="GM637" s="7"/>
    </row>
    <row r="638" spans="195:195" x14ac:dyDescent="0.55000000000000004">
      <c r="GM638" s="7"/>
    </row>
    <row r="639" spans="195:195" x14ac:dyDescent="0.55000000000000004">
      <c r="GM639" s="7"/>
    </row>
    <row r="640" spans="195:195" x14ac:dyDescent="0.55000000000000004">
      <c r="GM640" s="7"/>
    </row>
    <row r="641" spans="195:195" x14ac:dyDescent="0.55000000000000004">
      <c r="GM641" s="7"/>
    </row>
    <row r="642" spans="195:195" x14ac:dyDescent="0.55000000000000004">
      <c r="GM642" s="7"/>
    </row>
    <row r="643" spans="195:195" x14ac:dyDescent="0.55000000000000004">
      <c r="GM643" s="7"/>
    </row>
    <row r="644" spans="195:195" x14ac:dyDescent="0.55000000000000004">
      <c r="GM644" s="7"/>
    </row>
    <row r="645" spans="195:195" x14ac:dyDescent="0.55000000000000004">
      <c r="GM645" s="7"/>
    </row>
    <row r="646" spans="195:195" x14ac:dyDescent="0.55000000000000004">
      <c r="GM646" s="7"/>
    </row>
    <row r="647" spans="195:195" x14ac:dyDescent="0.55000000000000004">
      <c r="GM647" s="7"/>
    </row>
    <row r="648" spans="195:195" x14ac:dyDescent="0.55000000000000004">
      <c r="GM648" s="7"/>
    </row>
    <row r="649" spans="195:195" x14ac:dyDescent="0.55000000000000004">
      <c r="GM649" s="7"/>
    </row>
    <row r="650" spans="195:195" x14ac:dyDescent="0.55000000000000004">
      <c r="GM650" s="7"/>
    </row>
    <row r="651" spans="195:195" x14ac:dyDescent="0.55000000000000004">
      <c r="GM651" s="7"/>
    </row>
    <row r="652" spans="195:195" x14ac:dyDescent="0.55000000000000004">
      <c r="GM652" s="7"/>
    </row>
    <row r="653" spans="195:195" x14ac:dyDescent="0.55000000000000004">
      <c r="GM653" s="7"/>
    </row>
    <row r="654" spans="195:195" x14ac:dyDescent="0.55000000000000004">
      <c r="GM654" s="7"/>
    </row>
    <row r="655" spans="195:195" x14ac:dyDescent="0.55000000000000004">
      <c r="GM655" s="7"/>
    </row>
    <row r="656" spans="195:195" x14ac:dyDescent="0.55000000000000004">
      <c r="GM656" s="7"/>
    </row>
    <row r="657" spans="195:195" x14ac:dyDescent="0.55000000000000004">
      <c r="GM657" s="7"/>
    </row>
    <row r="658" spans="195:195" x14ac:dyDescent="0.55000000000000004">
      <c r="GM658" s="7"/>
    </row>
    <row r="659" spans="195:195" x14ac:dyDescent="0.55000000000000004">
      <c r="GM659" s="7"/>
    </row>
    <row r="660" spans="195:195" x14ac:dyDescent="0.55000000000000004">
      <c r="GM660" s="7"/>
    </row>
    <row r="661" spans="195:195" x14ac:dyDescent="0.55000000000000004">
      <c r="GM661" s="7"/>
    </row>
    <row r="662" spans="195:195" x14ac:dyDescent="0.55000000000000004">
      <c r="GM662" s="7"/>
    </row>
    <row r="663" spans="195:195" x14ac:dyDescent="0.55000000000000004">
      <c r="GM663" s="7"/>
    </row>
    <row r="664" spans="195:195" x14ac:dyDescent="0.55000000000000004">
      <c r="GM664" s="7"/>
    </row>
    <row r="665" spans="195:195" x14ac:dyDescent="0.55000000000000004">
      <c r="GM665" s="7"/>
    </row>
    <row r="666" spans="195:195" x14ac:dyDescent="0.55000000000000004">
      <c r="GM666" s="7"/>
    </row>
    <row r="667" spans="195:195" x14ac:dyDescent="0.55000000000000004">
      <c r="GM667" s="7"/>
    </row>
    <row r="668" spans="195:195" x14ac:dyDescent="0.55000000000000004">
      <c r="GM668" s="7"/>
    </row>
    <row r="669" spans="195:195" x14ac:dyDescent="0.55000000000000004">
      <c r="GM669" s="7"/>
    </row>
    <row r="670" spans="195:195" x14ac:dyDescent="0.55000000000000004">
      <c r="GM670" s="7"/>
    </row>
    <row r="671" spans="195:195" x14ac:dyDescent="0.55000000000000004">
      <c r="GM671" s="7"/>
    </row>
    <row r="672" spans="195:195" x14ac:dyDescent="0.55000000000000004">
      <c r="GM672" s="7"/>
    </row>
    <row r="673" spans="195:195" x14ac:dyDescent="0.55000000000000004">
      <c r="GM673" s="7"/>
    </row>
    <row r="674" spans="195:195" x14ac:dyDescent="0.55000000000000004">
      <c r="GM674" s="7"/>
    </row>
    <row r="675" spans="195:195" x14ac:dyDescent="0.55000000000000004">
      <c r="GM675" s="7"/>
    </row>
    <row r="676" spans="195:195" x14ac:dyDescent="0.55000000000000004">
      <c r="GM676" s="7"/>
    </row>
    <row r="677" spans="195:195" x14ac:dyDescent="0.55000000000000004">
      <c r="GM677" s="7"/>
    </row>
    <row r="678" spans="195:195" x14ac:dyDescent="0.55000000000000004">
      <c r="GM678" s="7"/>
    </row>
    <row r="679" spans="195:195" x14ac:dyDescent="0.55000000000000004">
      <c r="GM679" s="7"/>
    </row>
    <row r="680" spans="195:195" x14ac:dyDescent="0.55000000000000004">
      <c r="GM680" s="7"/>
    </row>
    <row r="681" spans="195:195" x14ac:dyDescent="0.55000000000000004">
      <c r="GM681" s="7"/>
    </row>
    <row r="682" spans="195:195" x14ac:dyDescent="0.55000000000000004">
      <c r="GM682" s="7"/>
    </row>
    <row r="683" spans="195:195" x14ac:dyDescent="0.55000000000000004">
      <c r="GM683" s="7"/>
    </row>
    <row r="684" spans="195:195" x14ac:dyDescent="0.55000000000000004">
      <c r="GM684" s="7"/>
    </row>
    <row r="685" spans="195:195" x14ac:dyDescent="0.55000000000000004">
      <c r="GM685" s="7"/>
    </row>
    <row r="686" spans="195:195" x14ac:dyDescent="0.55000000000000004">
      <c r="GM686" s="7"/>
    </row>
    <row r="687" spans="195:195" x14ac:dyDescent="0.55000000000000004">
      <c r="GM687" s="7"/>
    </row>
    <row r="688" spans="195:195" x14ac:dyDescent="0.55000000000000004">
      <c r="GM688" s="7"/>
    </row>
    <row r="689" spans="195:195" x14ac:dyDescent="0.55000000000000004">
      <c r="GM689" s="7"/>
    </row>
    <row r="690" spans="195:195" x14ac:dyDescent="0.55000000000000004">
      <c r="GM690" s="7"/>
    </row>
    <row r="691" spans="195:195" x14ac:dyDescent="0.55000000000000004">
      <c r="GM691" s="7"/>
    </row>
    <row r="692" spans="195:195" x14ac:dyDescent="0.55000000000000004">
      <c r="GM692" s="7"/>
    </row>
    <row r="693" spans="195:195" x14ac:dyDescent="0.55000000000000004">
      <c r="GM693" s="7"/>
    </row>
    <row r="694" spans="195:195" x14ac:dyDescent="0.55000000000000004">
      <c r="GM694" s="7"/>
    </row>
    <row r="695" spans="195:195" x14ac:dyDescent="0.55000000000000004">
      <c r="GM695" s="7"/>
    </row>
    <row r="696" spans="195:195" x14ac:dyDescent="0.55000000000000004">
      <c r="GM696" s="7"/>
    </row>
    <row r="697" spans="195:195" x14ac:dyDescent="0.55000000000000004">
      <c r="GM697" s="7"/>
    </row>
    <row r="698" spans="195:195" x14ac:dyDescent="0.55000000000000004">
      <c r="GM698" s="7"/>
    </row>
    <row r="699" spans="195:195" x14ac:dyDescent="0.55000000000000004">
      <c r="GM699" s="7"/>
    </row>
    <row r="700" spans="195:195" x14ac:dyDescent="0.55000000000000004">
      <c r="GM700" s="7"/>
    </row>
    <row r="701" spans="195:195" x14ac:dyDescent="0.55000000000000004">
      <c r="GM701" s="7"/>
    </row>
    <row r="702" spans="195:195" x14ac:dyDescent="0.55000000000000004">
      <c r="GM702" s="7"/>
    </row>
    <row r="703" spans="195:195" x14ac:dyDescent="0.55000000000000004">
      <c r="GM703" s="7"/>
    </row>
    <row r="704" spans="195:195" x14ac:dyDescent="0.55000000000000004">
      <c r="GM704" s="7"/>
    </row>
    <row r="705" spans="195:195" x14ac:dyDescent="0.55000000000000004">
      <c r="GM705" s="7"/>
    </row>
    <row r="706" spans="195:195" x14ac:dyDescent="0.55000000000000004">
      <c r="GM706" s="7"/>
    </row>
    <row r="707" spans="195:195" x14ac:dyDescent="0.55000000000000004">
      <c r="GM707" s="7"/>
    </row>
    <row r="708" spans="195:195" x14ac:dyDescent="0.55000000000000004">
      <c r="GM708" s="7"/>
    </row>
    <row r="709" spans="195:195" x14ac:dyDescent="0.55000000000000004">
      <c r="GM709" s="7"/>
    </row>
    <row r="710" spans="195:195" x14ac:dyDescent="0.55000000000000004">
      <c r="GM710" s="7"/>
    </row>
    <row r="711" spans="195:195" x14ac:dyDescent="0.55000000000000004">
      <c r="GM711" s="7"/>
    </row>
    <row r="712" spans="195:195" x14ac:dyDescent="0.55000000000000004">
      <c r="GM712" s="7"/>
    </row>
    <row r="713" spans="195:195" x14ac:dyDescent="0.55000000000000004">
      <c r="GM713" s="7"/>
    </row>
    <row r="714" spans="195:195" x14ac:dyDescent="0.55000000000000004">
      <c r="GM714" s="7"/>
    </row>
    <row r="715" spans="195:195" x14ac:dyDescent="0.55000000000000004">
      <c r="GM715" s="7"/>
    </row>
    <row r="716" spans="195:195" x14ac:dyDescent="0.55000000000000004">
      <c r="GM716" s="7"/>
    </row>
    <row r="717" spans="195:195" x14ac:dyDescent="0.55000000000000004">
      <c r="GM717" s="7"/>
    </row>
    <row r="718" spans="195:195" x14ac:dyDescent="0.55000000000000004">
      <c r="GM718" s="7"/>
    </row>
    <row r="719" spans="195:195" x14ac:dyDescent="0.55000000000000004">
      <c r="GM719" s="7"/>
    </row>
    <row r="720" spans="195:195" x14ac:dyDescent="0.55000000000000004">
      <c r="GM720" s="7"/>
    </row>
    <row r="721" spans="195:195" x14ac:dyDescent="0.55000000000000004">
      <c r="GM721" s="7"/>
    </row>
    <row r="722" spans="195:195" x14ac:dyDescent="0.55000000000000004">
      <c r="GM722" s="7"/>
    </row>
    <row r="723" spans="195:195" x14ac:dyDescent="0.55000000000000004">
      <c r="GM723" s="7"/>
    </row>
    <row r="724" spans="195:195" x14ac:dyDescent="0.55000000000000004">
      <c r="GM724" s="7"/>
    </row>
    <row r="725" spans="195:195" x14ac:dyDescent="0.55000000000000004">
      <c r="GM725" s="7"/>
    </row>
    <row r="726" spans="195:195" x14ac:dyDescent="0.55000000000000004">
      <c r="GM726" s="7"/>
    </row>
    <row r="727" spans="195:195" x14ac:dyDescent="0.55000000000000004">
      <c r="GM727" s="7"/>
    </row>
    <row r="728" spans="195:195" x14ac:dyDescent="0.55000000000000004">
      <c r="GM728" s="7"/>
    </row>
    <row r="729" spans="195:195" x14ac:dyDescent="0.55000000000000004">
      <c r="GM729" s="7"/>
    </row>
    <row r="730" spans="195:195" x14ac:dyDescent="0.55000000000000004">
      <c r="GM730" s="7"/>
    </row>
    <row r="731" spans="195:195" x14ac:dyDescent="0.55000000000000004">
      <c r="GM731" s="7"/>
    </row>
    <row r="732" spans="195:195" x14ac:dyDescent="0.55000000000000004">
      <c r="GM732" s="7"/>
    </row>
    <row r="733" spans="195:195" x14ac:dyDescent="0.55000000000000004">
      <c r="GM733" s="7"/>
    </row>
    <row r="734" spans="195:195" x14ac:dyDescent="0.55000000000000004">
      <c r="GM734" s="7"/>
    </row>
    <row r="735" spans="195:195" x14ac:dyDescent="0.55000000000000004">
      <c r="GM735" s="7"/>
    </row>
    <row r="736" spans="195:195" x14ac:dyDescent="0.55000000000000004">
      <c r="GM736" s="7"/>
    </row>
    <row r="737" spans="195:195" x14ac:dyDescent="0.55000000000000004">
      <c r="GM737" s="7"/>
    </row>
    <row r="738" spans="195:195" x14ac:dyDescent="0.55000000000000004">
      <c r="GM738" s="7"/>
    </row>
    <row r="739" spans="195:195" x14ac:dyDescent="0.55000000000000004">
      <c r="GM739" s="7"/>
    </row>
    <row r="740" spans="195:195" x14ac:dyDescent="0.55000000000000004">
      <c r="GM740" s="7"/>
    </row>
    <row r="741" spans="195:195" x14ac:dyDescent="0.55000000000000004">
      <c r="GM741" s="7"/>
    </row>
    <row r="742" spans="195:195" x14ac:dyDescent="0.55000000000000004">
      <c r="GM742" s="7"/>
    </row>
    <row r="743" spans="195:195" x14ac:dyDescent="0.55000000000000004">
      <c r="GM743" s="7"/>
    </row>
    <row r="744" spans="195:195" x14ac:dyDescent="0.55000000000000004">
      <c r="GM744" s="7"/>
    </row>
    <row r="745" spans="195:195" x14ac:dyDescent="0.55000000000000004">
      <c r="GM745" s="7"/>
    </row>
    <row r="746" spans="195:195" x14ac:dyDescent="0.55000000000000004">
      <c r="GM746" s="7"/>
    </row>
    <row r="747" spans="195:195" x14ac:dyDescent="0.55000000000000004">
      <c r="GM747" s="7"/>
    </row>
    <row r="748" spans="195:195" x14ac:dyDescent="0.55000000000000004">
      <c r="GM748" s="7"/>
    </row>
    <row r="749" spans="195:195" x14ac:dyDescent="0.55000000000000004">
      <c r="GM749" s="7"/>
    </row>
    <row r="750" spans="195:195" x14ac:dyDescent="0.55000000000000004">
      <c r="GM750" s="7"/>
    </row>
    <row r="751" spans="195:195" x14ac:dyDescent="0.55000000000000004">
      <c r="GM751" s="7"/>
    </row>
    <row r="752" spans="195:195" x14ac:dyDescent="0.55000000000000004">
      <c r="GM752" s="7"/>
    </row>
    <row r="753" spans="195:195" x14ac:dyDescent="0.55000000000000004">
      <c r="GM753" s="7"/>
    </row>
    <row r="754" spans="195:195" x14ac:dyDescent="0.55000000000000004">
      <c r="GM754" s="7"/>
    </row>
    <row r="755" spans="195:195" x14ac:dyDescent="0.55000000000000004">
      <c r="GM755" s="7"/>
    </row>
    <row r="756" spans="195:195" x14ac:dyDescent="0.55000000000000004">
      <c r="GM756" s="7"/>
    </row>
    <row r="757" spans="195:195" x14ac:dyDescent="0.55000000000000004">
      <c r="GM757" s="7"/>
    </row>
    <row r="758" spans="195:195" x14ac:dyDescent="0.55000000000000004">
      <c r="GM758" s="7"/>
    </row>
    <row r="759" spans="195:195" x14ac:dyDescent="0.55000000000000004">
      <c r="GM759" s="7"/>
    </row>
    <row r="760" spans="195:195" x14ac:dyDescent="0.55000000000000004">
      <c r="GM760" s="7"/>
    </row>
    <row r="761" spans="195:195" x14ac:dyDescent="0.55000000000000004">
      <c r="GM761" s="7"/>
    </row>
    <row r="762" spans="195:195" x14ac:dyDescent="0.55000000000000004">
      <c r="GM762" s="7"/>
    </row>
    <row r="763" spans="195:195" x14ac:dyDescent="0.55000000000000004">
      <c r="GM763" s="7"/>
    </row>
    <row r="764" spans="195:195" x14ac:dyDescent="0.55000000000000004">
      <c r="GM764" s="7"/>
    </row>
    <row r="765" spans="195:195" x14ac:dyDescent="0.55000000000000004">
      <c r="GM765" s="7"/>
    </row>
    <row r="766" spans="195:195" x14ac:dyDescent="0.55000000000000004">
      <c r="GM766" s="7"/>
    </row>
    <row r="767" spans="195:195" x14ac:dyDescent="0.55000000000000004">
      <c r="GM767" s="7"/>
    </row>
    <row r="768" spans="195:195" x14ac:dyDescent="0.55000000000000004">
      <c r="GM768" s="7"/>
    </row>
    <row r="769" spans="195:195" x14ac:dyDescent="0.55000000000000004">
      <c r="GM769" s="7"/>
    </row>
    <row r="770" spans="195:195" x14ac:dyDescent="0.55000000000000004">
      <c r="GM770" s="7"/>
    </row>
    <row r="771" spans="195:195" x14ac:dyDescent="0.55000000000000004">
      <c r="GM771" s="7"/>
    </row>
    <row r="772" spans="195:195" x14ac:dyDescent="0.55000000000000004">
      <c r="GM772" s="7"/>
    </row>
    <row r="773" spans="195:195" x14ac:dyDescent="0.55000000000000004">
      <c r="GM773" s="7"/>
    </row>
    <row r="774" spans="195:195" x14ac:dyDescent="0.55000000000000004">
      <c r="GM774" s="7"/>
    </row>
    <row r="775" spans="195:195" x14ac:dyDescent="0.55000000000000004">
      <c r="GM775" s="7"/>
    </row>
    <row r="776" spans="195:195" x14ac:dyDescent="0.55000000000000004">
      <c r="GM776" s="7"/>
    </row>
    <row r="777" spans="195:195" x14ac:dyDescent="0.55000000000000004">
      <c r="GM777" s="7"/>
    </row>
    <row r="778" spans="195:195" x14ac:dyDescent="0.55000000000000004">
      <c r="GM778" s="7"/>
    </row>
    <row r="779" spans="195:195" x14ac:dyDescent="0.55000000000000004">
      <c r="GM779" s="7"/>
    </row>
    <row r="780" spans="195:195" x14ac:dyDescent="0.55000000000000004">
      <c r="GM780" s="7"/>
    </row>
    <row r="781" spans="195:195" x14ac:dyDescent="0.55000000000000004">
      <c r="GM781" s="7"/>
    </row>
    <row r="782" spans="195:195" x14ac:dyDescent="0.55000000000000004">
      <c r="GM782" s="7"/>
    </row>
    <row r="783" spans="195:195" x14ac:dyDescent="0.55000000000000004">
      <c r="GM783" s="7"/>
    </row>
    <row r="784" spans="195:195" x14ac:dyDescent="0.55000000000000004">
      <c r="GM784" s="7"/>
    </row>
    <row r="785" spans="195:195" x14ac:dyDescent="0.55000000000000004">
      <c r="GM785" s="7"/>
    </row>
    <row r="786" spans="195:195" x14ac:dyDescent="0.55000000000000004">
      <c r="GM786" s="7"/>
    </row>
    <row r="787" spans="195:195" x14ac:dyDescent="0.55000000000000004">
      <c r="GM787" s="7"/>
    </row>
    <row r="788" spans="195:195" x14ac:dyDescent="0.55000000000000004">
      <c r="GM788" s="7"/>
    </row>
    <row r="789" spans="195:195" x14ac:dyDescent="0.55000000000000004">
      <c r="GM789" s="7"/>
    </row>
    <row r="790" spans="195:195" x14ac:dyDescent="0.55000000000000004">
      <c r="GM790" s="7"/>
    </row>
    <row r="791" spans="195:195" x14ac:dyDescent="0.55000000000000004">
      <c r="GM791" s="7"/>
    </row>
    <row r="792" spans="195:195" x14ac:dyDescent="0.55000000000000004">
      <c r="GM792" s="7"/>
    </row>
    <row r="793" spans="195:195" x14ac:dyDescent="0.55000000000000004">
      <c r="GM793" s="7"/>
    </row>
    <row r="794" spans="195:195" x14ac:dyDescent="0.55000000000000004">
      <c r="GM794" s="7"/>
    </row>
    <row r="795" spans="195:195" x14ac:dyDescent="0.55000000000000004">
      <c r="GM795" s="7"/>
    </row>
    <row r="796" spans="195:195" x14ac:dyDescent="0.55000000000000004">
      <c r="GM796" s="7"/>
    </row>
    <row r="797" spans="195:195" x14ac:dyDescent="0.55000000000000004">
      <c r="GM797" s="7"/>
    </row>
    <row r="798" spans="195:195" x14ac:dyDescent="0.55000000000000004">
      <c r="GM798" s="7"/>
    </row>
    <row r="799" spans="195:195" x14ac:dyDescent="0.55000000000000004">
      <c r="GM799" s="7"/>
    </row>
    <row r="800" spans="195:195" x14ac:dyDescent="0.55000000000000004">
      <c r="GM800" s="7"/>
    </row>
  </sheetData>
  <phoneticPr fontId="12"/>
  <conditionalFormatting sqref="I12:J35">
    <cfRule type="colorScale" priority="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N39:O48">
    <cfRule type="colorScale" priority="2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K39:K48">
    <cfRule type="colorScale" priority="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35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35">
    <cfRule type="colorScale" priority="13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G12:G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326</v>
      </c>
    </row>
    <row r="2" spans="1:73" x14ac:dyDescent="0.55000000000000004">
      <c r="A2" t="s">
        <v>327</v>
      </c>
      <c r="AE2" s="4" t="s">
        <v>346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347</v>
      </c>
      <c r="AU2" s="4"/>
      <c r="AV2" s="4"/>
      <c r="AW2" s="4"/>
      <c r="AX2" s="4"/>
      <c r="AY2" s="4"/>
      <c r="AZ2" s="4"/>
      <c r="BA2" s="4" t="s">
        <v>353</v>
      </c>
      <c r="BB2" s="4"/>
      <c r="BC2" s="4"/>
      <c r="BD2" s="4"/>
      <c r="BE2" s="4"/>
      <c r="BF2" s="4"/>
      <c r="BG2" s="4" t="s">
        <v>355</v>
      </c>
      <c r="BH2" s="4"/>
      <c r="BI2" s="4"/>
      <c r="BJ2" s="4"/>
      <c r="BK2" s="4"/>
      <c r="BL2" s="4"/>
      <c r="BM2" s="4"/>
      <c r="BN2" s="4"/>
      <c r="BO2" s="4" t="s">
        <v>356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257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348</v>
      </c>
      <c r="AV3" s="4" t="s">
        <v>349</v>
      </c>
      <c r="AW3" s="4" t="s">
        <v>350</v>
      </c>
      <c r="AX3" s="4" t="s">
        <v>351</v>
      </c>
      <c r="AY3" s="4" t="s">
        <v>352</v>
      </c>
      <c r="AZ3" s="4"/>
      <c r="BA3" s="4" t="s">
        <v>75</v>
      </c>
      <c r="BB3" s="4" t="s">
        <v>354</v>
      </c>
      <c r="BC3" s="4" t="s">
        <v>349</v>
      </c>
      <c r="BD3" s="4" t="s">
        <v>350</v>
      </c>
      <c r="BE3" s="4" t="s">
        <v>352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357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328</v>
      </c>
      <c r="B4" s="2" t="s">
        <v>329</v>
      </c>
      <c r="D4" t="s">
        <v>330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331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332</v>
      </c>
      <c r="B6" s="2"/>
      <c r="D6" t="s">
        <v>333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334</v>
      </c>
      <c r="B7" s="2"/>
      <c r="D7" t="s">
        <v>335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264</v>
      </c>
      <c r="B8" s="3">
        <v>45590</v>
      </c>
      <c r="D8" t="s">
        <v>336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337</v>
      </c>
      <c r="B9" s="2" t="s">
        <v>338</v>
      </c>
      <c r="D9" t="s">
        <v>339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340</v>
      </c>
      <c r="B10" s="2" t="s">
        <v>341</v>
      </c>
      <c r="C10" s="2" t="s">
        <v>342</v>
      </c>
      <c r="D10" s="2" t="s">
        <v>343</v>
      </c>
      <c r="E10" s="2" t="s">
        <v>344</v>
      </c>
      <c r="F10" s="2" t="s">
        <v>345</v>
      </c>
      <c r="G10" s="2" t="s">
        <v>329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358</v>
      </c>
      <c r="Q12" s="4" t="s">
        <v>361</v>
      </c>
      <c r="T12" s="4" t="s">
        <v>362</v>
      </c>
      <c r="W12" s="4" t="s">
        <v>365</v>
      </c>
      <c r="Z12" s="4" t="s">
        <v>369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363</v>
      </c>
      <c r="W13" t="s">
        <v>366</v>
      </c>
      <c r="Z13" t="s">
        <v>370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359</v>
      </c>
      <c r="N14" s="4" t="s">
        <v>360</v>
      </c>
      <c r="O14" s="4" t="s">
        <v>350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364</v>
      </c>
      <c r="V14" s="4"/>
      <c r="W14" s="4" t="s">
        <v>367</v>
      </c>
      <c r="X14" s="4" t="s">
        <v>368</v>
      </c>
      <c r="Y14" s="4"/>
      <c r="Z14" s="4" t="s">
        <v>75</v>
      </c>
      <c r="AA14" s="4" t="s">
        <v>371</v>
      </c>
      <c r="AB14" s="4" t="s">
        <v>372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45</vt:i4>
      </vt:variant>
    </vt:vector>
  </HeadingPairs>
  <TitlesOfParts>
    <vt:vector size="52" baseType="lpstr">
      <vt:lpstr>PCA</vt:lpstr>
      <vt:lpstr>PCAGrid</vt:lpstr>
      <vt:lpstr>VolPCA</vt:lpstr>
      <vt:lpstr>VolHV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PCG_ReconDate</vt:lpstr>
      <vt:lpstr>PCG_SigmaDays</vt:lpstr>
      <vt:lpstr>VHV_Days</vt:lpstr>
      <vt:lpstr>VHV_From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2026-10-26T12:48:37Z</dcterms:modified>
</cp:coreProperties>
</file>