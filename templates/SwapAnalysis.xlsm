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drawings/drawing5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drawings/drawing6.xml" ContentType="application/vnd.openxmlformats-officedocument.drawing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xr:revisionPtr revIDLastSave="0" documentId="13_ncr:1_{8A652DE4-698E-4E12-B91D-CFCBA4CB7144}" xr6:coauthVersionLast="47" xr6:coauthVersionMax="47" xr10:uidLastSave="{00000000-0000-0000-0000-000000000000}"/>
  <bookViews>
    <workbookView xWindow="-110" yWindow="-110" windowWidth="19420" windowHeight="11500" firstSheet="1" activeTab="4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VolLevel" sheetId="17" r:id="rId5"/>
    <sheet name="BOJ" sheetId="11" r:id="rId6"/>
    <sheet name="FwdMonitor" sheetId="15" r:id="rId7"/>
    <sheet name="FutBasis" sheetId="16" r:id="rId8"/>
  </sheets>
  <functionGroups builtInGroupCount="19">
    <functionGroup name="xlwings"/>
  </functionGroups>
  <definedNames>
    <definedName name="_xlpm.a" hidden="1" xlm="1">#NAME?</definedName>
    <definedName name="_xlpm.acc" hidden="1" xlm="1">#NAME?</definedName>
    <definedName name="_xlpm.auto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es" hidden="1" xlm="1">#NAME?</definedName>
    <definedName name="_xlpm.f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dx" hidden="1" xlm="1">#NAME?</definedName>
    <definedName name="_xlpm.isImm" hidden="1" xlm="1">#NAME?</definedName>
    <definedName name="_xlpm.j" hidden="1" xlm="1">#NAME?</definedName>
    <definedName name="_xlpm.k" hidden="1" xlm="1">#NAME?</definedName>
    <definedName name="_xlpm.keep" hidden="1" xlm="1">#NAME?</definedName>
    <definedName name="_xlpm.lag" hidden="1" xlm="1">#NAME?</definedName>
    <definedName name="_xlpm.last" hidden="1" xlm="1">#NAME?</definedName>
    <definedName name="_xlpm.live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pc" hidden="1" xlm="1">#NAME?</definedName>
    <definedName name="_xlpm.pn" hidden="1" xlm="1">#NAME?</definedName>
    <definedName name="_xlpm.pr" hidden="1" xlm="1">#NAME?</definedName>
    <definedName name="_xlpm.px" hidden="1" xlm="1">#NAME?</definedName>
    <definedName name="_xlpm.py" hidden="1" xlm="1">#NAME?</definedName>
    <definedName name="_xlpm.q" hidden="1" xlm="1">#NAME?</definedName>
    <definedName name="_xlpm.r" hidden="1" xlm="1">#NAME?</definedName>
    <definedName name="_xlpm.rs" hidden="1" xlm="1">#NAME?</definedName>
    <definedName name="_xlpm.s" hidden="1" xlm="1">#NAME?</definedName>
    <definedName name="_xlpm.sfx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ts" hidden="1" xlm="1">#NAME?</definedName>
    <definedName name="_xlpm.u" hidden="1" xlm="1">#NAME?</definedName>
    <definedName name="_xlpm.v" hidden="1" xlm="1">#NAME?</definedName>
    <definedName name="_xlpm.x" hidden="1" xlm="1">#NAME?</definedName>
    <definedName name="_xlpm.y" hidden="1" xlm="1">#NAME?</definedName>
    <definedName name="FUT_AdjDate">FutBasis!$Z$15:$Z$54</definedName>
    <definedName name="FUT_AdjNet">FutBasis!$AB$15:$AB$54</definedName>
    <definedName name="FUT_AdjSettle">FutBasis!$AA$15:$AA$54</definedName>
    <definedName name="FUT_ChDate">_xlfn.ANCHORARRAY(FutBasis!$BA$4)</definedName>
    <definedName name="FUT_ChNet">_xlfn.ANCHORARRAY(FutBasis!$BD$4)</definedName>
    <definedName name="FUT_ChNetAdj">_xlfn.ANCHORARRAY(FutBasis!$BE$4)</definedName>
    <definedName name="FUT_ChSettle">_xlfn.ANCHORARRAY(FutBasis!$BB$4)</definedName>
    <definedName name="FUT_ChSettleAdj">_xlfn.ANCHORARRAY(FutBasis!$BC$4)</definedName>
    <definedName name="FUT_Contract">FutBasis!$B$4</definedName>
    <definedName name="FUT_Date">IF(FUT_DateIn="",MAX(FUT_HD),FUT_DateIn)</definedName>
    <definedName name="FUT_DateIn">FutBasis!$B$5</definedName>
    <definedName name="FUT_Field">FutBasis!$B$9</definedName>
    <definedName name="FUT_From">FutBasis!$B$8</definedName>
    <definedName name="FUT_H">_xlfn.ANCHORARRAY(FutBasis!$AE$3)</definedName>
    <definedName name="FUT_HD">_xlfn.DROP(INDEX(FUT_H,,1),1)</definedName>
    <definedName name="FUT_Ov1">_xlfn.ANCHORARRAY(FutBasis!$BP$4)</definedName>
    <definedName name="FUT_Ov2">_xlfn.ANCHORARRAY(FutBasis!$BQ$4)</definedName>
    <definedName name="FUT_Ov3">_xlfn.ANCHORARRAY(FutBasis!$BR$4)</definedName>
    <definedName name="FUT_Ov4">_xlfn.ANCHORARRAY(FutBasis!$BS$4)</definedName>
    <definedName name="FUT_Ov5">_xlfn.ANCHORARRAY(FutBasis!$BT$4)</definedName>
    <definedName name="FUT_Ov6">_xlfn.ANCHORARRAY(FutBasis!$BU$4)</definedName>
    <definedName name="FUT_OvBD">_xlfn.ANCHORARRAY(FutBasis!$BO$4)</definedName>
    <definedName name="FUT_Overlay">FutBasis!$B$10:$G$10</definedName>
    <definedName name="FUT_Price">FutBasis!$B$6</definedName>
    <definedName name="FUT_Repo">FutBasis!$B$7</definedName>
    <definedName name="FUT_Steps">FutBasis!$T$15:$U$34</definedName>
    <definedName name="FUT_Yields">FutBasis!$W$15:$X$34</definedName>
    <definedName name="FWM_Base">FwdMonitor!$B$4</definedName>
    <definedName name="FWM_Ch1">_xlfn.ANCHORARRAY(FwdMonitor!$GN$4)</definedName>
    <definedName name="FWM_Ch2">_xlfn.ANCHORARRAY(FwdMonitor!$GO$4)</definedName>
    <definedName name="FWM_Ch3">_xlfn.ANCHORARRAY(FwdMonitor!$GP$4)</definedName>
    <definedName name="FWM_Ch4">_xlfn.ANCHORARRAY(FwdMonitor!$GQ$4)</definedName>
    <definedName name="FWM_ChDate">_xlfn.ANCHORARRAY(FwdMonitor!$GM$4)</definedName>
    <definedName name="FWM_Cmp">FwdMonitor!$B$5</definedName>
    <definedName name="FWM_Dates">_xlfn.DROP(INDEX(FWM_HC,,1),1)</definedName>
    <definedName name="FWM_From">FwdMonitor!$B$7</definedName>
    <definedName name="FWM_HC">_xlfn.ANCHORARRAY(FwdMonitor!$AO$3)</definedName>
    <definedName name="FWM_HF">_xlfn.ANCHORARRAY(FwdMonitor!$CK$3)</definedName>
    <definedName name="FWM_HR">_xlfn.ANCHORARRAY(FwdMonitor!$EG$3)</definedName>
    <definedName name="FWM_Labels">FwdMonitor!$A$12:$A$35</definedName>
    <definedName name="FWM_Leg">_xlfn.LAMBDA(_xlpm.m,_xlpm.n,_xlpm.sfx,_xlfn.LET(_xlpm.h,CHOOSE(_xlfn.XMATCH(_xlpm.m,{"CMT","FIXED","ROLLING"}),FWM_HC,FWM_HF,FWM_HR),IF(_xlpm.n="",0,INDEX(_xlfn.DROP(_xlpm.h,1),,_xlfn.XMATCH(_xlpm.n&amp;_xlpm.sfx,_xlfn.TAKE(_xlpm.h,1))))))</definedName>
    <definedName name="FWM_Live">FwdMonitor!$B$12:$B$35</definedName>
    <definedName name="FWM_LiveOf">_xlfn.LAMBDA(_xlpm.n,IF(_xlpm.n="",0,_xlfn.XLOOKUP(_xlpm.n,FWM_Labels,FWM_Live)))</definedName>
    <definedName name="FWM_Row">_xlfn.LAMBDA(_xlpm.r,_xlpm.sfx,_xlfn.LET(_xlpm.m,INDEX(FWM_TMode,_xlpm.r),IF(_xlpm.sfx="",100,1)*(N(INDEX(FWM_TW1,_xlpm.r))*FWM_Leg(_xlpm.m,INDEX(FWM_TL1,_xlpm.r),_xlpm.sfx)+N(INDEX(FWM_TW2,_xlpm.r))*FWM_Leg(_xlpm.m,INDEX(FWM_TL2,_xlpm.r),_xlpm.sfx)+N(INDEX(FWM_TW3,_xlpm.r))*FWM_Leg(_xlpm.m,INDEX(FWM_TL3,_xlpm.r),_xlpm.sfx))))</definedName>
    <definedName name="FWM_Sigma">_xlfn.LAMBDA(_xlpm.x,_xlfn.LET(_xlpm.d,_xlfn.TAKE(_xlpm.x,-FWM_Win),SQRT(SUMSQ(_xlpm.d)/ROWS(_xlpm.d))))</definedName>
    <definedName name="FWM_TL1">FwdMonitor!$D$39:$D$48</definedName>
    <definedName name="FWM_TL2">FwdMonitor!$F$39:$F$48</definedName>
    <definedName name="FWM_TL3">FwdMonitor!$H$39:$H$48</definedName>
    <definedName name="FWM_TMode">FwdMonitor!$C$39:$C$48</definedName>
    <definedName name="FWM_TName">FwdMonitor!$B$39:$B$48</definedName>
    <definedName name="FWM_TShow">FwdMonitor!$A$39:$A$48</definedName>
    <definedName name="FWM_TW1">FwdMonitor!$E$39:$E$48</definedName>
    <definedName name="FWM_TW2">FwdMonitor!$G$39:$G$48</definedName>
    <definedName name="FWM_TW3">FwdMonitor!$I$39:$I$48</definedName>
    <definedName name="FWM_View">FwdMonitor!$B$8</definedName>
    <definedName name="FWM_Win">FwdMonitor!$B$6</definedName>
    <definedName name="PCA_Actual">_xlfn.ANCHORARRAY(PCA!$F$34)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conDate">PCA!$B$10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enor">_xlfn.ANCHORARRAY(PCA!$E$34)</definedName>
    <definedName name="PCA_Up">_xlfn.ANCHORARRAY(PCA!$BX$4)</definedName>
    <definedName name="PCA_window">PCA!$B$5</definedName>
    <definedName name="PCA_WindowEnd">PCA!$B$4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Guide">_xlfn.ANCHORARRAY(PCAGrid!$CC$4)</definedName>
    <definedName name="PCG_GuideIn">PCAGrid!$A$58:$A$62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ReconDate">PCAGrid!$A$4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LV_Cell">_xlfn.LAMBDA(_xlpm.n,_xlfn.LET(_xlpm.h,_xlfn.TAKE(VLV_GData,1),_xlpm.d,_xlfn.DROP(_xlfn.TAKE(VLV_GData,,1),1),_xlpm.f,_xlfn.DROP(_xlfn.CHOOSECOLS(VLV_GData,_xlfn.XMATCH(_xlpm.n&amp;" Fwd",_xlpm.h)),1),_xlpm.v,_xlfn.DROP(_xlfn.CHOOSECOLS(VLV_GData,_xlfn.XMATCH(_xlpm.n&amp;" IV",_xlpm.h)),1),_xlpm.k,ISNUMBER(_xlpm.v)*(_xlpm.d&gt;=N(VLV_From)),_xlpm.x,_xlfn._xlws.FILTER(_xlpm.f,_xlpm.k),_xlpm.y,_xlfn._xlws.FILTER(_xlpm.v,_xlpm.k),_xlpm.b,SLOPE(_xlpm.y,_xlpm.x),_xlpm.a,INTERCEPT(_xlpm.y,_xlpm.x),_xlpm.rs,_xlpm.y-(_xlpm.a+_xlpm.b*_xlpm.x),_xlpm.live,VLV_GPoint="Live",_xlpm.px,IF(_xlpm.live,_xlfn.XLOOKUP(_xlpm.n,VLV_GLabels,VLV_GLiveFwd,NA()),_xlfn.TAKE(_xlpm.x,-1)),_xlpm.py,IF(_xlpm.live,_xlfn.XLOOKUP(_xlpm.n,INDEX(VLV_LiveVol,,1),INDEX(VLV_LiveVol,,3),NA()),_xlfn.TAKE(_xlpm.y,-1)),_xlpm.r,_xlpm.py-(_xlpm.a+_xlpm.b*_xlpm.px),CHOOSE(_xlfn.XMATCH(VLV_GValue,{"Z","Residual","Pctl"}),_xlpm.r/_xlfn.STDEV.S(_xlpm.rs),_xlpm.r,SUM(--(_xlpm.rs&lt;=_xlpm.r))/ROWS(_xlpm.rs))))</definedName>
    <definedName name="VLV_Col">_xlfn.LAMBDA(_xlpm.n,_xlpm.sfx,_xlfn.DROP(_xlfn.CHOOSECOLS(VLV_Data,_xlfn.XMATCH(_xlpm.n&amp;" "&amp;_xlpm.sfx,_xlfn.TAKE(VLV_Data,1))),1))</definedName>
    <definedName name="VLV_Data">_xlfn.ANCHORARRAY(VolLevel!$AS$3)</definedName>
    <definedName name="VLV_Dates">_xlfn.DROP(_xlfn.TAKE(VLV_Data,,1),1)</definedName>
    <definedName name="VLV_From">VolLevel!$B$7</definedName>
    <definedName name="VLV_GData">_xlfn.ANCHORARRAY(VolLevel!$CN$3)</definedName>
    <definedName name="VLV_GLabels">_xlfn.ANCHORARRAY(VolLevel!$CK$4)</definedName>
    <definedName name="VLV_GLiveFwd">_xlfn.ANCHORARRAY(VolLevel!$CL$4)</definedName>
    <definedName name="VLV_GPoint">VolLevel!$B$33</definedName>
    <definedName name="VLV_GValue">VolLevel!$B$32</definedName>
    <definedName name="VLV_LiveVol">_xlfn.ANCHORARRAY(VolLevel!$AA$3)</definedName>
    <definedName name="VLV_PLiveFwd">_xlfn.ANCHORARRAY(VolLevel!$BD$4)</definedName>
    <definedName name="VLV_Recent">VolLevel!$B$8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ReconDate">VolPCA!$B$10</definedName>
    <definedName name="VOL_Standardize">VolPCA!$B$7</definedName>
    <definedName name="VOL_Tenors">_xlfn.ANCHORARRAY(VolPCA!$JE$4)</definedName>
    <definedName name="VOL_window">VolPCA!$B$5</definedName>
    <definedName name="VOL_WindowEnd">VolPCA!$B$4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utBasi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FutHistory">
          <x14:argumentDescriptions count="1">
            <x14:argumentDescription index="0">Positional argument 1</x14:argumentDescription>
          </x14:argumentDescriptions>
        </x14:definedName>
        <x14:definedName name="FutOverl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Histor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ResidStd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PcaWindow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Vol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4" i="17" l="1" a="1"/>
  <c r="CA6" i="17"/>
  <c r="CA5" i="17"/>
  <c r="CA4" i="17"/>
  <c r="D11" i="17"/>
  <c r="C11" i="17"/>
  <c r="B11" i="17"/>
  <c r="AS3" i="17" a="1"/>
  <c r="AE3" i="17" a="1"/>
  <c r="AA3" i="17" a="1"/>
  <c r="CC4" i="14" a="1"/>
  <c r="AX4" i="16" a="1"/>
  <c r="Q14" i="16" a="1"/>
  <c r="BG3" i="16" a="1"/>
  <c r="AE3" i="16" a="1"/>
  <c r="GQ4" i="15" a="1"/>
  <c r="GQ3" i="15" a="1"/>
  <c r="GP4" i="15" a="1"/>
  <c r="GP3" i="15" a="1"/>
  <c r="GO4" i="15" a="1"/>
  <c r="GO3" i="15" a="1"/>
  <c r="GN4" i="15" a="1"/>
  <c r="GN3" i="15" a="1"/>
  <c r="GS4" i="15" a="1"/>
  <c r="K29" i="15"/>
  <c r="K12" i="15"/>
  <c r="GE3" i="15"/>
  <c r="GJ3" i="15" s="1"/>
  <c r="GH10" i="15"/>
  <c r="GH9" i="15"/>
  <c r="GH8" i="15"/>
  <c r="GH7" i="15"/>
  <c r="GH6" i="15"/>
  <c r="GH5" i="15"/>
  <c r="GH4" i="15"/>
  <c r="GC19" i="15"/>
  <c r="GC18" i="15"/>
  <c r="GC17" i="15"/>
  <c r="GC16" i="15"/>
  <c r="GC15" i="15"/>
  <c r="GC14" i="15"/>
  <c r="GC13" i="15"/>
  <c r="GC12" i="15"/>
  <c r="GC11" i="15"/>
  <c r="GC10" i="15"/>
  <c r="GC9" i="15"/>
  <c r="GC8" i="15"/>
  <c r="GC7" i="15"/>
  <c r="GC6" i="15"/>
  <c r="GC5" i="15"/>
  <c r="GC4" i="15"/>
  <c r="O48" i="15" a="1"/>
  <c r="N48" i="15"/>
  <c r="M48" i="15" a="1"/>
  <c r="L48" i="15" a="1"/>
  <c r="K48" i="15" a="1"/>
  <c r="J48" i="15" a="1"/>
  <c r="B48" i="15"/>
  <c r="O47" i="15" a="1"/>
  <c r="N47" i="15"/>
  <c r="M47" i="15" a="1"/>
  <c r="L47" i="15" a="1"/>
  <c r="K47" i="15" a="1"/>
  <c r="J47" i="15" a="1"/>
  <c r="B47" i="15"/>
  <c r="O46" i="15" a="1"/>
  <c r="N46" i="15"/>
  <c r="M46" i="15" a="1"/>
  <c r="L46" i="15" a="1"/>
  <c r="K46" i="15" a="1"/>
  <c r="J46" i="15" a="1"/>
  <c r="B46" i="15"/>
  <c r="O45" i="15" a="1"/>
  <c r="N45" i="15"/>
  <c r="M45" i="15" a="1"/>
  <c r="L45" i="15" a="1"/>
  <c r="K45" i="15" a="1"/>
  <c r="J45" i="15" a="1"/>
  <c r="B45" i="15"/>
  <c r="B44" i="15"/>
  <c r="B43" i="15"/>
  <c r="B42" i="15"/>
  <c r="B41" i="15"/>
  <c r="B40" i="15"/>
  <c r="B39" i="15"/>
  <c r="EG3" i="15" a="1"/>
  <c r="CK3" i="15" a="1"/>
  <c r="AO3" i="15" a="1"/>
  <c r="AA3" i="15" a="1"/>
  <c r="CE4" i="6" a="1"/>
  <c r="CF4" i="6" s="1" a="1"/>
  <c r="Z17" i="6" a="1"/>
  <c r="AC4" i="6" a="1"/>
  <c r="E4" i="6" a="1"/>
  <c r="HS4" i="14" a="1"/>
  <c r="HE454" i="14"/>
  <c r="HE404" i="14"/>
  <c r="HE354" i="14"/>
  <c r="HE304" i="14"/>
  <c r="HE254" i="14"/>
  <c r="HE204" i="14"/>
  <c r="HE154" i="14"/>
  <c r="HE104" i="14"/>
  <c r="HE54" i="14"/>
  <c r="HE4" i="14"/>
  <c r="CD4" i="14" a="1"/>
  <c r="CB4" i="14" a="1"/>
  <c r="K3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JG4" i="9" s="1" a="1"/>
  <c r="AB4" i="6" a="1"/>
  <c r="V35" i="9" a="1"/>
  <c r="G35" i="9" a="1"/>
  <c r="CN3" i="17" l="1" a="1"/>
  <c r="BT4" i="17" a="1"/>
  <c r="BM4" i="17" a="1"/>
  <c r="BF4" i="17" a="1"/>
  <c r="F1" i="17" a="1"/>
  <c r="AJ3" i="17" a="1"/>
  <c r="D1" i="17" a="1"/>
  <c r="D17" i="17" a="1"/>
  <c r="C17" i="17" a="1"/>
  <c r="B17" i="17" a="1"/>
  <c r="F4" i="9" a="1"/>
  <c r="BP4" i="9" a="1"/>
  <c r="BF17" i="9" a="1"/>
  <c r="BS4" i="16" a="1"/>
  <c r="BR4" i="16" a="1"/>
  <c r="BU3" i="16"/>
  <c r="BT4" i="16" a="1"/>
  <c r="BR3" i="16"/>
  <c r="BS3" i="16"/>
  <c r="BP3" i="16"/>
  <c r="BU4" i="16" a="1"/>
  <c r="BQ4" i="16" a="1"/>
  <c r="BO4" i="16" a="1"/>
  <c r="BT3" i="16"/>
  <c r="BQ3" i="16"/>
  <c r="BP4" i="16" a="1"/>
  <c r="AU4" i="16" a="1"/>
  <c r="AV4" i="16" s="1" a="1"/>
  <c r="BB4" i="16" a="1"/>
  <c r="BA4" i="16" a="1"/>
  <c r="AW4" i="16" a="1"/>
  <c r="AT4" i="16" a="1"/>
  <c r="A14" i="16" a="1"/>
  <c r="M15" i="16" s="1" a="1"/>
  <c r="A13" i="16" a="1"/>
  <c r="C5" i="16" a="1"/>
  <c r="M40" i="15" a="1"/>
  <c r="M44" i="15" a="1"/>
  <c r="M42" i="15" a="1"/>
  <c r="C35" i="15" a="1"/>
  <c r="H33" i="15" a="1"/>
  <c r="M43" i="15" a="1"/>
  <c r="M41" i="15" a="1"/>
  <c r="M39" i="15" a="1"/>
  <c r="H35" i="15" a="1"/>
  <c r="H34" i="15" a="1"/>
  <c r="C34" i="15" a="1"/>
  <c r="C33" i="15" a="1"/>
  <c r="H32" i="15" a="1"/>
  <c r="C32" i="15" a="1"/>
  <c r="H31" i="15" a="1"/>
  <c r="C31" i="15" a="1"/>
  <c r="H30" i="15" a="1"/>
  <c r="C30" i="15" a="1"/>
  <c r="H29" i="15" a="1"/>
  <c r="C29" i="15" a="1"/>
  <c r="H27" i="15" a="1"/>
  <c r="C27" i="15" a="1"/>
  <c r="H26" i="15" a="1"/>
  <c r="C26" i="15" a="1"/>
  <c r="H25" i="15" a="1"/>
  <c r="C25" i="15" a="1"/>
  <c r="H24" i="15" a="1"/>
  <c r="C24" i="15" a="1"/>
  <c r="H23" i="15" a="1"/>
  <c r="C23" i="15" a="1"/>
  <c r="H22" i="15" a="1"/>
  <c r="C22" i="15" a="1"/>
  <c r="H21" i="15" a="1"/>
  <c r="C21" i="15" a="1"/>
  <c r="H20" i="15" a="1"/>
  <c r="C20" i="15" a="1"/>
  <c r="H19" i="15" a="1"/>
  <c r="C19" i="15" a="1"/>
  <c r="H18" i="15" a="1"/>
  <c r="C18" i="15" a="1"/>
  <c r="H17" i="15" a="1"/>
  <c r="C17" i="15" a="1"/>
  <c r="C13" i="15" a="1"/>
  <c r="GM4" i="15" a="1"/>
  <c r="H16" i="15" a="1"/>
  <c r="C16" i="15" a="1"/>
  <c r="H15" i="15" a="1"/>
  <c r="C15" i="15" a="1"/>
  <c r="H14" i="15" a="1"/>
  <c r="C14" i="15" a="1"/>
  <c r="H13" i="15" a="1"/>
  <c r="H12" i="15" a="1"/>
  <c r="C12" i="15" a="1"/>
  <c r="AF3" i="15" a="1"/>
  <c r="GT4" i="15" s="1" a="1"/>
  <c r="D1" i="15" a="1"/>
  <c r="P3" i="11" a="1"/>
  <c r="D1" i="11" a="1"/>
  <c r="D1" i="14" a="1"/>
  <c r="CL4" i="14" a="1"/>
  <c r="A6" i="14" s="1"/>
  <c r="CI4" i="14" a="1"/>
  <c r="CJ4" i="14" a="1"/>
  <c r="HR455" i="14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H4" i="6" a="1"/>
  <c r="F3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BD4" i="17" l="1" a="1"/>
  <c r="CL4" i="17" a="1"/>
  <c r="B36" i="17" s="1" a="1"/>
  <c r="D23" i="17"/>
  <c r="D24" i="17"/>
  <c r="D25" i="17"/>
  <c r="D26" i="17"/>
  <c r="D27" i="17"/>
  <c r="D12" i="17" a="1"/>
  <c r="D13" i="17" a="1"/>
  <c r="CE6" i="17" s="1"/>
  <c r="D14" i="17" a="1"/>
  <c r="CD6" i="17" s="1"/>
  <c r="D15" i="17" a="1"/>
  <c r="C14" i="17" a="1"/>
  <c r="CD5" i="17" s="1"/>
  <c r="C15" i="17" a="1"/>
  <c r="C12" i="17" a="1"/>
  <c r="C13" i="17" a="1"/>
  <c r="CE5" i="17" s="1"/>
  <c r="C24" i="17"/>
  <c r="C25" i="17"/>
  <c r="C26" i="17"/>
  <c r="C27" i="17"/>
  <c r="C23" i="17"/>
  <c r="B13" i="17" a="1"/>
  <c r="CE4" i="17" s="1"/>
  <c r="B15" i="17" a="1"/>
  <c r="B23" i="17"/>
  <c r="B25" i="17"/>
  <c r="B26" i="17"/>
  <c r="B27" i="17"/>
  <c r="B12" i="17" a="1"/>
  <c r="B14" i="17" a="1"/>
  <c r="CD4" i="17" s="1"/>
  <c r="B24" i="17"/>
  <c r="CC6" i="17"/>
  <c r="CC5" i="17"/>
  <c r="CC4" i="17"/>
  <c r="AY4" i="16" a="1"/>
  <c r="BD4" i="16" a="1"/>
  <c r="BC4" i="16" a="1"/>
  <c r="B18" i="15" a="1"/>
  <c r="D18" i="15" s="1"/>
  <c r="I18" i="15" s="1"/>
  <c r="B34" i="15" a="1"/>
  <c r="B14" i="15" a="1"/>
  <c r="D14" i="15" s="1"/>
  <c r="I14" i="15" s="1"/>
  <c r="B17" i="15" a="1"/>
  <c r="D17" i="15" s="1"/>
  <c r="I17" i="15" s="1"/>
  <c r="B19" i="15" a="1"/>
  <c r="B21" i="15" a="1"/>
  <c r="D21" i="15" s="1"/>
  <c r="I21" i="15" s="1"/>
  <c r="B22" i="15" a="1"/>
  <c r="D22" i="15" s="1"/>
  <c r="I22" i="15" s="1"/>
  <c r="B23" i="15" a="1"/>
  <c r="D23" i="15" s="1"/>
  <c r="I23" i="15" s="1"/>
  <c r="B24" i="15" a="1"/>
  <c r="D24" i="15" s="1"/>
  <c r="I24" i="15" s="1"/>
  <c r="B25" i="15" a="1"/>
  <c r="B26" i="15" a="1"/>
  <c r="B27" i="15" a="1"/>
  <c r="B29" i="15" a="1"/>
  <c r="B31" i="15" a="1"/>
  <c r="B32" i="15" a="1"/>
  <c r="D32" i="15" s="1"/>
  <c r="I32" i="15" s="1"/>
  <c r="B33" i="15" a="1"/>
  <c r="K34" i="15" s="1"/>
  <c r="B35" i="15" a="1"/>
  <c r="B13" i="15" a="1"/>
  <c r="B12" i="15" a="1"/>
  <c r="B15" i="15" a="1"/>
  <c r="B16" i="15" a="1"/>
  <c r="D16" i="15" s="1"/>
  <c r="I16" i="15" s="1"/>
  <c r="B20" i="15" a="1"/>
  <c r="D20" i="15" s="1"/>
  <c r="I20" i="15" s="1"/>
  <c r="B30" i="15" a="1"/>
  <c r="D34" i="15"/>
  <c r="I34" i="15" s="1"/>
  <c r="D33" i="15"/>
  <c r="I33" i="15" s="1"/>
  <c r="D31" i="15"/>
  <c r="I31" i="15" s="1"/>
  <c r="D29" i="15"/>
  <c r="I29" i="15" s="1"/>
  <c r="D27" i="15"/>
  <c r="I27" i="15" s="1"/>
  <c r="D26" i="15"/>
  <c r="I26" i="15" s="1"/>
  <c r="D25" i="15"/>
  <c r="I25" i="15" s="1"/>
  <c r="E34" i="15" a="1"/>
  <c r="J34" i="15" s="1"/>
  <c r="F33" i="15" a="1"/>
  <c r="F32" i="15" a="1"/>
  <c r="F31" i="15" a="1"/>
  <c r="F35" i="15" a="1"/>
  <c r="E35" i="15" a="1"/>
  <c r="J35" i="15" s="1"/>
  <c r="G34" i="15" a="1"/>
  <c r="G33" i="15" a="1"/>
  <c r="E31" i="15" a="1"/>
  <c r="J31" i="15" s="1"/>
  <c r="G30" i="15" a="1"/>
  <c r="F30" i="15" a="1"/>
  <c r="E30" i="15" a="1"/>
  <c r="J30" i="15" s="1"/>
  <c r="G29" i="15" a="1"/>
  <c r="F29" i="15" a="1"/>
  <c r="E29" i="15" a="1"/>
  <c r="J29" i="15" s="1"/>
  <c r="G27" i="15" a="1"/>
  <c r="F27" i="15" a="1"/>
  <c r="E27" i="15" a="1"/>
  <c r="J27" i="15" s="1"/>
  <c r="G26" i="15" a="1"/>
  <c r="F26" i="15" a="1"/>
  <c r="E26" i="15" a="1"/>
  <c r="J26" i="15" s="1"/>
  <c r="G25" i="15" a="1"/>
  <c r="F25" i="15" a="1"/>
  <c r="E25" i="15" a="1"/>
  <c r="J25" i="15" s="1"/>
  <c r="G24" i="15" a="1"/>
  <c r="F24" i="15" a="1"/>
  <c r="E24" i="15" a="1"/>
  <c r="J24" i="15" s="1"/>
  <c r="G23" i="15" a="1"/>
  <c r="F23" i="15" a="1"/>
  <c r="E23" i="15" a="1"/>
  <c r="J23" i="15" s="1"/>
  <c r="G22" i="15" a="1"/>
  <c r="F22" i="15" a="1"/>
  <c r="E22" i="15" a="1"/>
  <c r="J22" i="15" s="1"/>
  <c r="G21" i="15" a="1"/>
  <c r="F21" i="15" a="1"/>
  <c r="E21" i="15" a="1"/>
  <c r="J21" i="15" s="1"/>
  <c r="G20" i="15" a="1"/>
  <c r="F20" i="15" a="1"/>
  <c r="E20" i="15" a="1"/>
  <c r="J20" i="15" s="1"/>
  <c r="G19" i="15" a="1"/>
  <c r="F19" i="15" a="1"/>
  <c r="E19" i="15" a="1"/>
  <c r="J19" i="15" s="1"/>
  <c r="F17" i="15" a="1"/>
  <c r="E17" i="15" a="1"/>
  <c r="J17" i="15" s="1"/>
  <c r="F16" i="15" a="1"/>
  <c r="E16" i="15" a="1"/>
  <c r="J16" i="15" s="1"/>
  <c r="G14" i="15" a="1"/>
  <c r="F14" i="15" a="1"/>
  <c r="E14" i="15" a="1"/>
  <c r="J14" i="15" s="1"/>
  <c r="E13" i="15" a="1"/>
  <c r="J13" i="15" s="1"/>
  <c r="F34" i="15" a="1"/>
  <c r="E33" i="15" a="1"/>
  <c r="J33" i="15" s="1"/>
  <c r="G32" i="15" a="1"/>
  <c r="E32" i="15" a="1"/>
  <c r="J32" i="15" s="1"/>
  <c r="G31" i="15" a="1"/>
  <c r="GI10" i="15"/>
  <c r="GI9" i="15"/>
  <c r="GI8" i="15"/>
  <c r="GI7" i="15"/>
  <c r="GI6" i="15"/>
  <c r="GI5" i="15"/>
  <c r="GI4" i="15"/>
  <c r="GD19" i="15"/>
  <c r="GD18" i="15"/>
  <c r="GD17" i="15"/>
  <c r="GD16" i="15"/>
  <c r="GD15" i="15"/>
  <c r="GD14" i="15"/>
  <c r="GD13" i="15"/>
  <c r="J41" i="15" a="1"/>
  <c r="J39" i="15" a="1"/>
  <c r="GD9" i="15"/>
  <c r="GD8" i="15"/>
  <c r="GD7" i="15"/>
  <c r="GD6" i="15"/>
  <c r="GD5" i="15"/>
  <c r="J42" i="15" a="1"/>
  <c r="J44" i="15" a="1"/>
  <c r="J40" i="15" a="1"/>
  <c r="J43" i="15" a="1"/>
  <c r="B8" i="11" a="1"/>
  <c r="B10" i="11" a="1"/>
  <c r="B14" i="11" a="1"/>
  <c r="C8" i="11" a="1"/>
  <c r="C9" i="11" a="1"/>
  <c r="C10" i="11" a="1"/>
  <c r="E10" i="11" a="1"/>
  <c r="B11" i="11" a="1"/>
  <c r="C11" i="11" a="1"/>
  <c r="E11" i="11" a="1"/>
  <c r="B12" i="11" a="1"/>
  <c r="C12" i="11" a="1"/>
  <c r="E12" i="11" a="1"/>
  <c r="B13" i="11" a="1"/>
  <c r="C13" i="11" a="1"/>
  <c r="E13" i="11" a="1"/>
  <c r="C14" i="11" a="1"/>
  <c r="E14" i="11" a="1"/>
  <c r="B15" i="11" a="1"/>
  <c r="C15" i="11" a="1"/>
  <c r="E15" i="11" a="1"/>
  <c r="B16" i="11" a="1"/>
  <c r="C16" i="11" a="1"/>
  <c r="E16" i="11" a="1"/>
  <c r="B17" i="11" a="1"/>
  <c r="C17" i="11" a="1"/>
  <c r="B25" i="11" a="1"/>
  <c r="D25" i="11" s="1"/>
  <c r="B27" i="11" a="1"/>
  <c r="D27" i="11" s="1"/>
  <c r="B28" i="11" a="1"/>
  <c r="D28" i="11" s="1"/>
  <c r="B29" i="11" a="1"/>
  <c r="D29" i="11" s="1"/>
  <c r="F8" i="11" a="1"/>
  <c r="E8" i="11" a="1"/>
  <c r="B9" i="11" a="1"/>
  <c r="D9" i="11" s="1"/>
  <c r="E9" i="11" a="1"/>
  <c r="C22" i="11" s="1" a="1"/>
  <c r="D22" i="11" s="1"/>
  <c r="E17" i="11" a="1"/>
  <c r="B22" i="11" a="1"/>
  <c r="B23" i="11" a="1"/>
  <c r="D23" i="11" s="1"/>
  <c r="B24" i="11" a="1"/>
  <c r="D24" i="11" s="1"/>
  <c r="B26" i="11" a="1"/>
  <c r="D26" i="11" s="1"/>
  <c r="B30" i="11" a="1"/>
  <c r="D30" i="11" s="1"/>
  <c r="B31" i="11" a="1"/>
  <c r="D31" i="11" s="1"/>
  <c r="B32" i="11" a="1"/>
  <c r="D32" i="11" s="1"/>
  <c r="B33" i="11" a="1"/>
  <c r="D33" i="11" s="1"/>
  <c r="B34" i="11" a="1"/>
  <c r="D34" i="11" s="1"/>
  <c r="B3" i="11" a="1"/>
  <c r="HK405" i="14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O12" i="9" s="1" a="1"/>
  <c r="AK12" i="9" a="1"/>
  <c r="C18" i="17" l="1" a="1"/>
  <c r="B18" i="17" a="1"/>
  <c r="CB4" i="17" s="1"/>
  <c r="D18" i="17" a="1"/>
  <c r="B16" i="17"/>
  <c r="D16" i="17"/>
  <c r="C16" i="17"/>
  <c r="B19" i="17"/>
  <c r="B20" i="17" s="1"/>
  <c r="BM5" i="9" a="1"/>
  <c r="AN12" i="9" a="1"/>
  <c r="G60" i="9" a="1"/>
  <c r="V60" i="9" a="1"/>
  <c r="AK60" i="9" a="1"/>
  <c r="BE4" i="16" a="1"/>
  <c r="K16" i="15"/>
  <c r="GD11" i="15"/>
  <c r="D19" i="15"/>
  <c r="I19" i="15" s="1"/>
  <c r="G35" i="15" a="1"/>
  <c r="D35" i="15"/>
  <c r="I35" i="15" s="1"/>
  <c r="D13" i="15"/>
  <c r="I13" i="15" s="1"/>
  <c r="G13" i="15" a="1"/>
  <c r="K13" i="15"/>
  <c r="GD4" i="15"/>
  <c r="D12" i="15"/>
  <c r="I12" i="15" s="1"/>
  <c r="G12" i="15" a="1"/>
  <c r="E12" i="15" a="1"/>
  <c r="J12" i="15" s="1"/>
  <c r="F12" i="15" a="1"/>
  <c r="D15" i="15"/>
  <c r="I15" i="15" s="1"/>
  <c r="G15" i="15" a="1"/>
  <c r="F15" i="15" a="1"/>
  <c r="E15" i="15" a="1"/>
  <c r="J15" i="15" s="1"/>
  <c r="K30" i="15"/>
  <c r="K35" i="15"/>
  <c r="K22" i="15"/>
  <c r="K24" i="15"/>
  <c r="K26" i="15"/>
  <c r="K32" i="15"/>
  <c r="K15" i="15"/>
  <c r="K20" i="15"/>
  <c r="K23" i="15"/>
  <c r="K25" i="15"/>
  <c r="K27" i="15"/>
  <c r="K33" i="15"/>
  <c r="K19" i="15"/>
  <c r="G18" i="15" a="1"/>
  <c r="F18" i="15" a="1"/>
  <c r="E18" i="15" a="1"/>
  <c r="J18" i="15" s="1"/>
  <c r="GD10" i="15"/>
  <c r="K18" i="15"/>
  <c r="G17" i="15" a="1"/>
  <c r="K14" i="15"/>
  <c r="F13" i="15" a="1"/>
  <c r="K17" i="15"/>
  <c r="G16" i="15" a="1"/>
  <c r="K21" i="15"/>
  <c r="GD12" i="15"/>
  <c r="K31" i="15"/>
  <c r="D30" i="15"/>
  <c r="I30" i="15" s="1"/>
  <c r="L41" i="15" a="1"/>
  <c r="O41" i="15" a="1"/>
  <c r="K41" i="15" a="1"/>
  <c r="N41" i="15" s="1"/>
  <c r="K39" i="15" a="1"/>
  <c r="N39" i="15" s="1"/>
  <c r="O39" i="15" a="1"/>
  <c r="L39" i="15" a="1"/>
  <c r="L42" i="15" a="1"/>
  <c r="O42" i="15" a="1"/>
  <c r="K42" i="15" a="1"/>
  <c r="N42" i="15" s="1"/>
  <c r="O44" i="15" a="1"/>
  <c r="L44" i="15" a="1"/>
  <c r="K44" i="15" a="1"/>
  <c r="N44" i="15" s="1"/>
  <c r="L40" i="15" a="1"/>
  <c r="K40" i="15" a="1"/>
  <c r="N40" i="15" s="1"/>
  <c r="O40" i="15" a="1"/>
  <c r="GJ9" i="15"/>
  <c r="GK9" i="15"/>
  <c r="GJ8" i="15"/>
  <c r="GK8" i="15"/>
  <c r="GJ5" i="15"/>
  <c r="GK5" i="15"/>
  <c r="GJ4" i="15"/>
  <c r="GK4" i="15"/>
  <c r="GE19" i="15"/>
  <c r="GF19" i="15"/>
  <c r="GF18" i="15"/>
  <c r="GE18" i="15"/>
  <c r="GF17" i="15"/>
  <c r="GE17" i="15"/>
  <c r="GF16" i="15"/>
  <c r="GE16" i="15"/>
  <c r="GE15" i="15"/>
  <c r="GF15" i="15"/>
  <c r="GF14" i="15"/>
  <c r="GE14" i="15"/>
  <c r="GE13" i="15"/>
  <c r="GF13" i="15"/>
  <c r="GE12" i="15"/>
  <c r="GF12" i="15"/>
  <c r="GE11" i="15"/>
  <c r="GF11" i="15"/>
  <c r="GJ10" i="15"/>
  <c r="GK10" i="15"/>
  <c r="GE6" i="15"/>
  <c r="GF6" i="15"/>
  <c r="GK7" i="15"/>
  <c r="GJ7" i="15"/>
  <c r="GJ6" i="15"/>
  <c r="GK6" i="15"/>
  <c r="O43" i="15" a="1"/>
  <c r="K43" i="15" a="1"/>
  <c r="N43" i="15" s="1"/>
  <c r="L43" i="15" a="1"/>
  <c r="GF4" i="15"/>
  <c r="GE4" i="15"/>
  <c r="D14" i="1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8" i="11"/>
  <c r="H8" i="11"/>
  <c r="G9" i="11"/>
  <c r="H9" i="11"/>
  <c r="G17" i="11"/>
  <c r="H17" i="11"/>
  <c r="D8" i="11"/>
  <c r="D12" i="11"/>
  <c r="D15" i="11"/>
  <c r="D16" i="11"/>
  <c r="D10" i="11"/>
  <c r="D11" i="11"/>
  <c r="D13" i="11"/>
  <c r="D17" i="11"/>
  <c r="H34" i="6" a="1"/>
  <c r="I34" i="6" s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CF4" i="17" l="1"/>
  <c r="CH4" i="17" s="1"/>
  <c r="CG4" i="17"/>
  <c r="CI4" i="17" s="1"/>
  <c r="CB5" i="17"/>
  <c r="C19" i="17"/>
  <c r="C20" i="17" s="1"/>
  <c r="CB6" i="17"/>
  <c r="D19" i="17"/>
  <c r="D20" i="17" s="1"/>
  <c r="D22" i="17" a="1"/>
  <c r="D21" i="17"/>
  <c r="C22" i="17" a="1"/>
  <c r="C21" i="17"/>
  <c r="B22" i="17" a="1"/>
  <c r="B21" i="17"/>
  <c r="GE5" i="15"/>
  <c r="GF5" i="15"/>
  <c r="GE7" i="15"/>
  <c r="GF7" i="15"/>
  <c r="GF10" i="15"/>
  <c r="GE10" i="15"/>
  <c r="GE9" i="15"/>
  <c r="GF9" i="15"/>
  <c r="GE8" i="15"/>
  <c r="GF8" i="15"/>
  <c r="GS4" i="14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36" i="9" a="1"/>
  <c r="J11" i="10"/>
  <c r="J13" i="10"/>
  <c r="BK4" i="10" a="1"/>
  <c r="J15" i="10" a="1"/>
  <c r="BJ4" i="10" a="1"/>
  <c r="CF5" i="17" l="1"/>
  <c r="CH5" i="17" s="1"/>
  <c r="CG5" i="17"/>
  <c r="CI5" i="17" s="1"/>
  <c r="CF6" i="17"/>
  <c r="CH6" i="17" s="1"/>
  <c r="CG6" i="17"/>
  <c r="CI6" i="17" s="1"/>
  <c r="G12" i="9" a="1"/>
  <c r="J14" i="10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<sst xmlns="http://schemas.openxmlformats.org/spreadsheetml/2006/main" count="1129" uniqueCount="456">
  <si>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</si>
  <si>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</si>
  <si>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</si>
  <si>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</si>
  <si>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</si>
  <si>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</si>
  <si>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</si>
  <si>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</si>
  <si>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</si>
  <si>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</si>
  <si>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</si>
  <si>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</si>
  <si>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</si>
  <si>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</si>
  <si>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</si>
  <si>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</si>
  <si>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</si>
  <si>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</si>
  <si>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</si>
  <si>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</si>
  <si>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</si>
  <si>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</si>
  <si>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</si>
  <si>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</si>
  <si>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</si>
  <si>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</si>
  <si>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</si>
  <si>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</si>
  <si>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</si>
  <si>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</si>
  <si>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</si>
  <si>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</si>
  <si>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</si>
  <si>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</si>
  <si>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</si>
  <si>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</si>
  <si>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</si>
  <si>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</si>
  <si>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</si>
  <si>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</si>
  <si>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</si>
  <si>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</si>
  <si>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</si>
  <si>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</si>
  <si>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</si>
  <si>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</si>
  <si>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</si>
  <si>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</si>
  <si>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</si>
  <si>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</si>
  <si>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</si>
  <si>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</si>
  <si>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</si>
  <si>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</si>
  <si>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</si>
  <si>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</si>
  <si>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</si>
  <si>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</si>
  <si>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</si>
  <si>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</si>
  <si>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</si>
  <si>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</si>
  <si>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</si>
  <si>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</si>
  <si>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</si>
  <si>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</si>
  <si>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</si>
  <si>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</si>
  <si>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</si>
  <si>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</si>
  <si>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</si>
  <si>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</si>
  <si>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</si>
  <si>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</si>
  <si>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</si>
  <si>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</si>
  <si>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</si>
  <si>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</si>
  <si>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</si>
  <si>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</si>
  <si>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</si>
  <si>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</si>
  <si>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</si>
  <si>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</si>
  <si>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</si>
  <si>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</si>
  <si>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</si>
  <si>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</si>
  <si>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</si>
  <si>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</si>
  <si>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</si>
  <si>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</si>
  <si>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</si>
  <si>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</si>
  <si>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</si>
  <si>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</si>
  <si>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</si>
  <si>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</si>
  <si>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</si>
  <si>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</si>
  <si>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</si>
  <si>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</si>
  <si>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</si>
  <si>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</si>
  <si>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</si>
  <si>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</si>
  <si>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</si>
  <si>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</si>
  <si>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</si>
  <si>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</si>
  <si>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</si>
  <si>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</si>
  <si>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</si>
  <si>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</si>
  <si>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</si>
  <si>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</si>
  <si>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</si>
  <si>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</si>
  <si>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</si>
  <si>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</si>
  <si>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</si>
  <si>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</si>
  <si>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</si>
  <si>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</si>
  <si>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</si>
  <si>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</si>
  <si>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</si>
  <si>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</si>
  <si>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</si>
  <si>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</si>
  <si>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</si>
  <si>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</si>
  <si>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</si>
  <si>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</si>
  <si>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</si>
  <si>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</si>
  <si>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</si>
  <si>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</si>
  <si>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</si>
  <si>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</si>
  <si>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</si>
  <si>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</si>
  <si>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</si>
  <si>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</si>
  <si>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</si>
  <si>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</si>
  <si>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</si>
  <si>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</si>
  <si>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</si>
  <si>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</si>
  <si>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</si>
  <si>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</si>
  <si>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</si>
  <si>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</si>
  <si>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</si>
  <si>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</si>
  <si>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</si>
  <si>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</si>
  <si>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</si>
  <si>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</si>
  <si>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</si>
  <si>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</si>
  <si>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</si>
  <si>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</si>
  <si>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</si>
  <si>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</si>
  <si>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</si>
  <si>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</si>
  <si>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</si>
  <si>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</si>
  <si>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</si>
  <si>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</si>
  <si>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</si>
  <si>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</si>
  <si>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</si>
  <si>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</si>
  <si>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</si>
  <si>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</si>
  <si>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</si>
  <si>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</si>
  <si>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</si>
  <si>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</si>
  <si>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</si>
  <si>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</si>
  <si>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</si>
  <si>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</si>
  <si>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</si>
  <si>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</si>
  <si>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</si>
  <si>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</si>
  <si>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</si>
  <si>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Window (bdays)</t>
    <phoneticPr fontId="2"/>
  </si>
  <si>
    <t>Mode</t>
    <phoneticPr fontId="2"/>
  </si>
  <si>
    <t>Standardize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</si>
  <si>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</si>
  <si>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</si>
  <si>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</si>
  <si>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</si>
  <si>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</si>
  <si>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</si>
  <si>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</si>
  <si>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</si>
  <si>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</si>
  <si>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</si>
  <si>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</si>
  <si>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</si>
  <si>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</si>
  <si>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</si>
  <si>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</si>
  <si>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</si>
  <si>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</si>
  <si>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</si>
  <si>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</si>
  <si>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</si>
  <si>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</si>
  <si>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</si>
  <si>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</si>
  <si>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</si>
  <si>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</si>
  <si>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</si>
  <si>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</si>
  <si>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</si>
  <si>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</si>
  <si>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</si>
  <si>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</si>
  <si>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</si>
  <si>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</si>
  <si>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</si>
  <si>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</si>
  <si>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</si>
  <si>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</si>
  <si>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</si>
  <si>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</si>
  <si>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</si>
  <si>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</si>
  <si>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</si>
  <si>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</si>
  <si>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</si>
  <si>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</si>
  <si>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</si>
  <si>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</si>
  <si>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</si>
  <si>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</si>
  <si>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</si>
  <si>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</si>
  <si>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</si>
  <si>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</si>
  <si>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</si>
  <si>
    <t>Window end</t>
    <phoneticPr fontId="2"/>
  </si>
  <si>
    <t>Reconstruction</t>
    <phoneticPr fontId="2"/>
  </si>
  <si>
    <t>Recon date</t>
    <phoneticPr fontId="2"/>
  </si>
  <si>
    <t>Actual on recon date</t>
    <phoneticPr fontId="2"/>
  </si>
  <si>
    <t>Window end</t>
    <phoneticPr fontId="2"/>
  </si>
  <si>
    <t>Recon date</t>
  </si>
  <si>
    <t>Source</t>
  </si>
  <si>
    <t>Live: reads the latest rates on every Shift+F9. Fixed: keeps the rates last read on this sheet. History is from the DB (morning batch); only 'Live (%)' uses the live curve.</t>
  </si>
  <si>
    <t>FwdMonitor (JPY OIS forwards NyMy: live vs history)</t>
  </si>
  <si>
    <t>Settings</t>
  </si>
  <si>
    <t>Base date</t>
  </si>
  <si>
    <t>FIXED / ROLLING: trades of this date (blank = today)</t>
  </si>
  <si>
    <t>Compare date</t>
  </si>
  <si>
    <t>Strip and 'vs compare' column (nearest DB date on or before)</t>
  </si>
  <si>
    <t>Sigma window (bd)</t>
  </si>
  <si>
    <t>Business days for the daily-change sigma of the Z-scores</t>
  </si>
  <si>
    <t>Chart from</t>
  </si>
  <si>
    <t>Start of the comparison chart (blank = all)</t>
  </si>
  <si>
    <t>Chart view</t>
  </si>
  <si>
    <t>Level / Change (change from the chart start)</t>
  </si>
  <si>
    <t>FwdHistory CMT (%, dF = same-trade daily change in bp)</t>
  </si>
  <si>
    <t>FwdHistory FIXED (%, dF = same-trade daily change in bp)</t>
  </si>
  <si>
    <t>FwdHistory ROLLING (%, dF = same-trade daily change in bp)</t>
  </si>
  <si>
    <t>Monitor (CMT: spot + N years, M years)</t>
  </si>
  <si>
    <t>Series</t>
  </si>
  <si>
    <t>Live (%)</t>
  </si>
  <si>
    <t>Close (%)</t>
  </si>
  <si>
    <t>Chg 1D (bp)</t>
  </si>
  <si>
    <t>Chg 1W (bp)</t>
  </si>
  <si>
    <t>Chg 1M (bp)</t>
  </si>
  <si>
    <t>vs compare (bp)</t>
  </si>
  <si>
    <t>Sigma (bp/day)</t>
  </si>
  <si>
    <t>Z (1D)</t>
  </si>
  <si>
    <t>Z (1W)</t>
  </si>
  <si>
    <t>1y1y</t>
  </si>
  <si>
    <t>2y1y</t>
  </si>
  <si>
    <t>3y1y</t>
  </si>
  <si>
    <t>4y1y</t>
  </si>
  <si>
    <t>5y1y</t>
  </si>
  <si>
    <t>6y1y</t>
  </si>
  <si>
    <t>7y1y</t>
  </si>
  <si>
    <t>8y1y</t>
  </si>
  <si>
    <t>9y1y</t>
  </si>
  <si>
    <t>10y1y</t>
  </si>
  <si>
    <t>11y1y</t>
  </si>
  <si>
    <t>15y1y</t>
  </si>
  <si>
    <t>20y1y</t>
  </si>
  <si>
    <t>25y1y</t>
  </si>
  <si>
    <t>30y1y</t>
  </si>
  <si>
    <t>35y1y</t>
  </si>
  <si>
    <t>5y5y</t>
  </si>
  <si>
    <t>10y5y</t>
  </si>
  <si>
    <t>15y5y</t>
  </si>
  <si>
    <t>20y5y</t>
  </si>
  <si>
    <t>25y5y</t>
  </si>
  <si>
    <t>30y5y</t>
  </si>
  <si>
    <t>35y5y</t>
  </si>
  <si>
    <t>Chg = live - DB close (same tenor definition, includes roll-down). Z = Chg / (sigma x sqrt(days)); sigma = RMS of same-trade daily changes over the window.</t>
  </si>
  <si>
    <t>Comparison (1 leg = forward, 2 legs = curve, 3 legs = fly; weights in bp, e.g. -1/+1, -1/+2/-1)</t>
  </si>
  <si>
    <t>Show</t>
  </si>
  <si>
    <t>Name</t>
  </si>
  <si>
    <t>Leg1</t>
  </si>
  <si>
    <t>w1</t>
  </si>
  <si>
    <t>Leg2</t>
  </si>
  <si>
    <t>w2</t>
  </si>
  <si>
    <t>Leg3</t>
  </si>
  <si>
    <t>w3</t>
  </si>
  <si>
    <t>Live (bp)</t>
  </si>
  <si>
    <t>CMT</t>
  </si>
  <si>
    <t>FIXED</t>
  </si>
  <si>
    <t>Show: the first 4 rows with Show = Yes go to the chart. Mode per row: CMT = spot + N years, FIXED = trade dates of the base date fixed, ROLLING = business-day offsets of the base date kept.</t>
  </si>
  <si>
    <t>Strip Nx1Y</t>
  </si>
  <si>
    <t>N (y)</t>
  </si>
  <si>
    <t>Chg (bp)</t>
  </si>
  <si>
    <t>Strip Nx5Y</t>
  </si>
  <si>
    <t>Comparison chart (first 4 rows with Show = Yes)</t>
  </si>
  <si>
    <t>Curve vs prev (bp)</t>
  </si>
  <si>
    <t>Live (FwdLive on the labels without the blank row)</t>
  </si>
  <si>
    <t>FutBasis (JGB 10y futures: CTD basis, front-month history, contract overlay)</t>
  </si>
  <si>
    <t>History is from the DB (morning batch: futures settles, 10y JGB closes, TONA). Basis in sen per 100 yen face (UDF returns yen; x100 here). CTD = smallest net basis.</t>
  </si>
  <si>
    <t>Contract</t>
  </si>
  <si>
    <t>2026-12</t>
  </si>
  <si>
    <t>Contract for the basis table (e.g. 2026-12 or JGBZ6)</t>
  </si>
  <si>
    <t>Basis table date (blank = last DB date)</t>
  </si>
  <si>
    <t>Futures price</t>
  </si>
  <si>
    <t>Blank = DB settle of that date (live: e.g. =RtGet("IDN","JGBZ6","CF_LAST"))</t>
  </si>
  <si>
    <t>Repo (%)</t>
  </si>
  <si>
    <t>Blank = TONA on or before the date</t>
  </si>
  <si>
    <t>Start of the history charts (blank = all)</t>
  </si>
  <si>
    <t>Overlay field</t>
  </si>
  <si>
    <t>NET</t>
  </si>
  <si>
    <t>NET / GROSS / CARRY (sen) / IRR (%)</t>
  </si>
  <si>
    <t>Overlay contracts</t>
  </si>
  <si>
    <t>2025-09</t>
  </si>
  <si>
    <t>2025-12</t>
  </si>
  <si>
    <t>2026-03</t>
  </si>
  <si>
    <t>2026-06</t>
  </si>
  <si>
    <t>2026-09</t>
  </si>
  <si>
    <t>FutHistory (front month; basis in yen)</t>
  </si>
  <si>
    <t>Derived (sen; dX used = manual adjustment if given, else automatic)</t>
  </si>
  <si>
    <t>dSettle used</t>
  </si>
  <si>
    <t>Settle adj</t>
  </si>
  <si>
    <t>Net (sen)</t>
  </si>
  <si>
    <t>dNet used (sen)</t>
  </si>
  <si>
    <t>Net adj (sen)</t>
  </si>
  <si>
    <t>History charts (from Chart from)</t>
  </si>
  <si>
    <t>Settle</t>
  </si>
  <si>
    <t>FutOverlay (CTD by business days to the last trading day)</t>
  </si>
  <si>
    <t>Overlay chart (sen, IRR in %)</t>
  </si>
  <si>
    <t>BD</t>
  </si>
  <si>
    <t>Basis table (yen; sen columns on the right). CTD row is highlighted.</t>
  </si>
  <si>
    <t>Gross (sen)</t>
  </si>
  <si>
    <t>Carry (sen)</t>
  </si>
  <si>
    <t>Repo steps (auto, from TONA)</t>
  </si>
  <si>
    <t>Repo steps (manual)</t>
  </si>
  <si>
    <t>If any row is filled, only this table is used</t>
  </si>
  <si>
    <t>Rate (%)</t>
  </si>
  <si>
    <t>Yield overrides</t>
  </si>
  <si>
    <t>For the basis table only</t>
  </si>
  <si>
    <t>Code</t>
  </si>
  <si>
    <t>Yield (%)</t>
  </si>
  <si>
    <t>Step adjustments (history)</t>
  </si>
  <si>
    <t>Replaces the automatic daily change on that date</t>
  </si>
  <si>
    <t>dSettle</t>
  </si>
  <si>
    <t>dNet (sen)</t>
  </si>
  <si>
    <t>1M</t>
    <phoneticPr fontId="2"/>
  </si>
  <si>
    <t>○</t>
    <phoneticPr fontId="2"/>
  </si>
  <si>
    <t>3M</t>
    <phoneticPr fontId="2"/>
  </si>
  <si>
    <t>6M</t>
    <phoneticPr fontId="2"/>
  </si>
  <si>
    <t>9M</t>
    <phoneticPr fontId="2"/>
  </si>
  <si>
    <t>1Y</t>
    <phoneticPr fontId="2"/>
  </si>
  <si>
    <t>2Y</t>
    <phoneticPr fontId="2"/>
  </si>
  <si>
    <t>3Y</t>
    <phoneticPr fontId="2"/>
  </si>
  <si>
    <t>4Y</t>
    <phoneticPr fontId="2"/>
  </si>
  <si>
    <t>5Y</t>
    <phoneticPr fontId="2"/>
  </si>
  <si>
    <t>7Y</t>
    <phoneticPr fontId="2"/>
  </si>
  <si>
    <t>10Y</t>
    <phoneticPr fontId="2"/>
  </si>
  <si>
    <t>15Y</t>
    <phoneticPr fontId="2"/>
  </si>
  <si>
    <t>20Y</t>
    <phoneticPr fontId="2"/>
  </si>
  <si>
    <t>Guide tenors</t>
  </si>
  <si>
    <t>Guide</t>
  </si>
  <si>
    <t>Vol upd.</t>
  </si>
  <si>
    <t>Swap upd.</t>
  </si>
  <si>
    <t>Live: reads the latest vols and swap rates on every Shift+F9. Fixed: keeps the values last read on this sheet. History is from the DB (morning batch).</t>
  </si>
  <si>
    <t>VolLevel (normal vol vs forward rate: rich / cheap)</t>
  </si>
  <si>
    <t>Pair 1</t>
  </si>
  <si>
    <t>Pair 2</t>
  </si>
  <si>
    <t>5Yx10Y</t>
  </si>
  <si>
    <t>Pair 3</t>
  </si>
  <si>
    <t>10Yx10Y</t>
  </si>
  <si>
    <t>Recent days (bd)</t>
  </si>
  <si>
    <t>VolHistory (pairs: Date / IV / Fwd / dF)</t>
  </si>
  <si>
    <t>Live Fwd (%)</t>
  </si>
  <si>
    <t>Live Fwd</t>
  </si>
  <si>
    <t>Pairs (From onward, days with IV): Date / Fwd / IV / Residual / IV older / IV recent</t>
  </si>
  <si>
    <t>P1 Date</t>
  </si>
  <si>
    <t>P1 Fwd</t>
  </si>
  <si>
    <t>P1 IV</t>
  </si>
  <si>
    <t>P1 Resid</t>
  </si>
  <si>
    <t>P1 Hist</t>
  </si>
  <si>
    <t>P1 Recent</t>
  </si>
  <si>
    <t>P2 Date</t>
  </si>
  <si>
    <t>P2 Fwd</t>
  </si>
  <si>
    <t>P2 IV</t>
  </si>
  <si>
    <t>P2 Resid</t>
  </si>
  <si>
    <t>P2 Hist</t>
  </si>
  <si>
    <t>P2 Recent</t>
  </si>
  <si>
    <t>P3 Date</t>
  </si>
  <si>
    <t>P3 Fwd</t>
  </si>
  <si>
    <t>P3 IV</t>
  </si>
  <si>
    <t>P3 Resid</t>
  </si>
  <si>
    <t>P3 Hist</t>
  </si>
  <si>
    <t>P3 Recent</t>
  </si>
  <si>
    <t>Pair</t>
  </si>
  <si>
    <t>Fwd (DB, %)</t>
  </si>
  <si>
    <t>Residual (DB)</t>
  </si>
  <si>
    <t>Z (DB)</t>
  </si>
  <si>
    <t>Fwd (Live, %)</t>
  </si>
  <si>
    <t>Fit IV (Live)</t>
  </si>
  <si>
    <t>Residual (Live)</t>
  </si>
  <si>
    <t>Z (Live)</t>
  </si>
  <si>
    <t>Pctl of residual (Live)</t>
  </si>
  <si>
    <t>Slope (vol per 1% fwd)</t>
  </si>
  <si>
    <t>Intercept</t>
  </si>
  <si>
    <t>R2</t>
  </si>
  <si>
    <t>Residual stdev</t>
  </si>
  <si>
    <t>Obs</t>
  </si>
  <si>
    <t>Fit: IV = Intercept + Slope x Fwd (least squares, From to the latest DB date). Residual = IV - fit: + = rich, - = cheap. Z = residual / residual stdev.</t>
  </si>
  <si>
    <t>Fwd = the option's underlying forward swap (start = spot + expiry), same contract as VolHV.</t>
  </si>
  <si>
    <t>Chart points per pair</t>
  </si>
  <si>
    <t>Live IV</t>
  </si>
  <si>
    <t>DB Fwd</t>
  </si>
  <si>
    <t>DB IV</t>
  </si>
  <si>
    <t>Fit x1</t>
  </si>
  <si>
    <t>Fit x2</t>
  </si>
  <si>
    <t>Fit y1</t>
  </si>
  <si>
    <t>Fit y2</t>
  </si>
  <si>
    <t>Rich / cheap map (each option vs its own fit)</t>
  </si>
  <si>
    <t>Grid value</t>
  </si>
  <si>
    <t>Z</t>
  </si>
  <si>
    <t>Grid point</t>
  </si>
  <si>
    <t>Z = residual / stdev, Residual = vol bp, Pctl = share of past residuals at or below</t>
  </si>
  <si>
    <t>Live = live IV and Fwd, DB = latest DB date</t>
  </si>
  <si>
    <t>Expiry \ Tenor</t>
  </si>
  <si>
    <t>Map options</t>
  </si>
  <si>
    <t>VolHistory (map options)</t>
  </si>
  <si>
    <t>Red = rich (vol above its fit against the forward), blue = cheap. Up to 8 expiries x 8 tenors; the first calculation after the morning batch takes about 10-30 s.</t>
  </si>
  <si>
    <t>5Yx5Y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</si>
</sst>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  <numFmt numFmtId="184" formatCode="\+0.0;\-0.0;0.0"/>
    <numFmt numFmtId="185" formatCode="\+0.00;\-0.00;0.00"/>
    <numFmt numFmtId="186" formatCode="0.000000"/>
    <numFmt numFmtId="187" formatCode="hh:mm:ss"/>
  </numFmts>
  <fonts count="13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6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60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  <xf numFmtId="176" fontId="0" fillId="3" borderId="0" xfId="0" applyNumberFormat="1" applyFill="1" applyAlignment="1">
      <alignment horizontal="center" vertical="center"/>
    </xf>
    <xf numFmtId="187" fontId="0" fillId="0" borderId="0" xfId="0" applyNumberFormat="1">
      <alignment vertical="center"/>
    </xf>
    <xf numFmtId="0" fontId="4" fillId="0" borderId="2" xfId="0" applyFont="1" applyBorder="1" applyAlignment="1">
      <alignment horizontal="center" vertical="center"/>
    </xf>
    <xf numFmtId="176" fontId="0" fillId="0" borderId="2" xfId="0" applyNumberFormat="1" applyBorder="1">
      <alignment vertical="center"/>
    </xf>
    <xf numFmtId="180" fontId="0" fillId="0" borderId="2" xfId="0" applyNumberFormat="1" applyBorder="1">
      <alignment vertical="center"/>
    </xf>
    <xf numFmtId="179" fontId="0" fillId="0" borderId="2" xfId="0" applyNumberFormat="1" applyBorder="1">
      <alignment vertical="center"/>
    </xf>
    <xf numFmtId="2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1" fontId="0" fillId="0" borderId="2" xfId="0" applyNumberFormat="1" applyBorder="1">
      <alignment vertical="center"/>
    </xf>
    <xf numFmtId="0" fontId="4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標準" xfId="0" builtinId="0"/>
    <cellStyle name="標準 2" xfId="1" xr:uid="{5EE0B673-BC4E-4A3E-BA55-CCC089A2E0BD}"/>
  </cellStyles>
  <dxfs count="1">
    <dxf>
      <font>
        <b/>
        <i val="0"/>
      </font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D0B-4441-9624-8E88EADD5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6191"/>
        <c:axId val="368415711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valAx>
        <c:axId val="36841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6191"/>
        <c:crosses val="max"/>
        <c:crossBetween val="between"/>
      </c:valAx>
      <c:catAx>
        <c:axId val="368416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15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C83-4EFF-A24D-2F251C16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3951"/>
        <c:axId val="368432991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valAx>
        <c:axId val="36843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3951"/>
        <c:crosses val="max"/>
        <c:crossBetween val="between"/>
      </c:valAx>
      <c:catAx>
        <c:axId val="368433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00B-46E3-88C5-B4EECEFC1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20031"/>
        <c:axId val="368433471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valAx>
        <c:axId val="368433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20031"/>
        <c:crosses val="max"/>
        <c:crossBetween val="between"/>
      </c:valAx>
      <c:catAx>
        <c:axId val="368420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3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C6E-4AF6-B453-EE5FC7456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9071"/>
        <c:axId val="368434911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valAx>
        <c:axId val="36843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9071"/>
        <c:crosses val="max"/>
        <c:crossBetween val="between"/>
      </c:valAx>
      <c:catAx>
        <c:axId val="36841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FD1-476B-9F25-E9292B70E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6351"/>
        <c:axId val="368435391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valAx>
        <c:axId val="368435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6351"/>
        <c:crosses val="max"/>
        <c:crossBetween val="between"/>
      </c:valAx>
      <c:catAx>
        <c:axId val="36843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5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882-4DC9-923D-AC43F6CB1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1631"/>
        <c:axId val="368436831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valAx>
        <c:axId val="36843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1631"/>
        <c:crosses val="max"/>
        <c:crossBetween val="between"/>
      </c:valAx>
      <c:catAx>
        <c:axId val="36844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6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935-4977-8E0F-F90222612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111"/>
        <c:axId val="368438751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valAx>
        <c:axId val="368438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111"/>
        <c:crosses val="max"/>
        <c:crossBetween val="between"/>
      </c:valAx>
      <c:catAx>
        <c:axId val="368442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8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FAD-40D1-8511-0F521A456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591"/>
        <c:axId val="368439711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valAx>
        <c:axId val="36843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591"/>
        <c:crosses val="max"/>
        <c:crossBetween val="between"/>
      </c:valAx>
      <c:catAx>
        <c:axId val="3684425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9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142-4105-89A8-F1DD02A74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50271"/>
        <c:axId val="368441151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valAx>
        <c:axId val="36844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50271"/>
        <c:crosses val="max"/>
        <c:crossBetween val="between"/>
      </c:valAx>
      <c:catAx>
        <c:axId val="36845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11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0CF-4DDD-91FF-F3B4F6480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351"/>
        <c:axId val="368443551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valAx>
        <c:axId val="368443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351"/>
        <c:crosses val="max"/>
        <c:crossBetween val="between"/>
      </c:valAx>
      <c:catAx>
        <c:axId val="368448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3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7-4583-9D69-282253C13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9311"/>
        <c:axId val="368444031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valAx>
        <c:axId val="3684440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9311"/>
        <c:crosses val="max"/>
        <c:crossBetween val="between"/>
      </c:valAx>
      <c:catAx>
        <c:axId val="36844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0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391-4712-8912-470F63DB3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831"/>
        <c:axId val="368445951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valAx>
        <c:axId val="36844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831"/>
        <c:crosses val="max"/>
        <c:crossBetween val="between"/>
      </c:valAx>
      <c:catAx>
        <c:axId val="368448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5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BFC-43A4-A06A-8449D47C3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6431"/>
        <c:axId val="368446431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valAx>
        <c:axId val="368446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6431"/>
        <c:crosses val="max"/>
        <c:crossBetween val="between"/>
      </c:valAx>
      <c:catAx>
        <c:axId val="368326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6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3A-42B0-9E72-8F82A9890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031"/>
        <c:axId val="368330271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valAx>
        <c:axId val="368330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031"/>
        <c:crosses val="max"/>
        <c:crossBetween val="between"/>
      </c:valAx>
      <c:catAx>
        <c:axId val="368324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656-4542-927F-185C8BE02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6511"/>
        <c:axId val="368336991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valAx>
        <c:axId val="36833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6511"/>
        <c:crosses val="max"/>
        <c:crossBetween val="between"/>
      </c:valAx>
      <c:catAx>
        <c:axId val="368336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665-441C-BA07-BD25F24EC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551"/>
        <c:axId val="368325471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valAx>
        <c:axId val="368325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551"/>
        <c:crosses val="max"/>
        <c:crossBetween val="between"/>
      </c:valAx>
      <c:catAx>
        <c:axId val="36832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B2-470F-A5CC-A57AC89D8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7871"/>
        <c:axId val="368332191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valAx>
        <c:axId val="3683321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7871"/>
        <c:crosses val="max"/>
        <c:crossBetween val="between"/>
      </c:valAx>
      <c:catAx>
        <c:axId val="36832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2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C92-4C80-92DA-71AD7285D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311"/>
        <c:axId val="368334111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valAx>
        <c:axId val="36833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311"/>
        <c:crosses val="max"/>
        <c:crossBetween val="between"/>
      </c:valAx>
      <c:catAx>
        <c:axId val="36832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4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5AD-4142-BE51-91B17BB9B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1631"/>
        <c:axId val="368321151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valAx>
        <c:axId val="36832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1631"/>
        <c:crosses val="max"/>
        <c:crossBetween val="between"/>
      </c:valAx>
      <c:catAx>
        <c:axId val="36832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11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DA5-406D-BC10-463D8FA8D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071"/>
        <c:axId val="368328351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valAx>
        <c:axId val="368328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071"/>
        <c:crosses val="max"/>
        <c:crossBetween val="between"/>
      </c:valAx>
      <c:catAx>
        <c:axId val="368323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8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E0E-4D3C-B4DF-F7EC59BDF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791"/>
        <c:axId val="368325951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valAx>
        <c:axId val="36832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791"/>
        <c:crosses val="max"/>
        <c:crossBetween val="between"/>
      </c:valAx>
      <c:catAx>
        <c:axId val="368329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4AC-4A06-BFFE-CFFC4639A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511"/>
        <c:axId val="368335551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valAx>
        <c:axId val="36833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511"/>
        <c:crosses val="max"/>
        <c:crossBetween val="between"/>
      </c:valAx>
      <c:catAx>
        <c:axId val="368324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973-46B4-B7EC-F9DE8273E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3631"/>
        <c:axId val="368330751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valAx>
        <c:axId val="368330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3631"/>
        <c:crosses val="max"/>
        <c:crossBetween val="between"/>
      </c:valAx>
      <c:catAx>
        <c:axId val="368333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8B8-4048-9FE2-1DC37063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5151"/>
        <c:axId val="368322111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valAx>
        <c:axId val="36832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5151"/>
        <c:crosses val="max"/>
        <c:crossBetween val="between"/>
      </c:valAx>
      <c:catAx>
        <c:axId val="368345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A41-455D-997F-70607D3EB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0831"/>
        <c:axId val="368343231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valAx>
        <c:axId val="368343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0831"/>
        <c:crosses val="max"/>
        <c:crossBetween val="between"/>
      </c:valAx>
      <c:catAx>
        <c:axId val="36834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3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0DC-466A-993E-ED284F87E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4191"/>
        <c:axId val="368339391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valAx>
        <c:axId val="368339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4191"/>
        <c:crosses val="max"/>
        <c:crossBetween val="between"/>
      </c:valAx>
      <c:catAx>
        <c:axId val="368344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797-4FEA-A266-593DE6467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271"/>
        <c:axId val="368348511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valAx>
        <c:axId val="368348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271"/>
        <c:crosses val="max"/>
        <c:crossBetween val="between"/>
      </c:valAx>
      <c:catAx>
        <c:axId val="36834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8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2D6-468E-8986-988BD915E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751"/>
        <c:axId val="368339871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valAx>
        <c:axId val="368339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751"/>
        <c:crosses val="max"/>
        <c:crossBetween val="between"/>
      </c:valAx>
      <c:catAx>
        <c:axId val="36834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27-4290-BC2E-96248FEF6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3711"/>
        <c:axId val="368340351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valAx>
        <c:axId val="36834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3711"/>
        <c:crosses val="max"/>
        <c:crossBetween val="between"/>
      </c:valAx>
      <c:catAx>
        <c:axId val="368343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36B-4C8C-B4D0-C4542BC0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8031"/>
        <c:axId val="368341311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valAx>
        <c:axId val="36834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8031"/>
        <c:crosses val="max"/>
        <c:crossBetween val="between"/>
      </c:valAx>
      <c:catAx>
        <c:axId val="368348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1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D3C-43C2-A30B-8E87708AA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511"/>
        <c:axId val="368349951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valAx>
        <c:axId val="368349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511"/>
        <c:crosses val="max"/>
        <c:crossBetween val="between"/>
      </c:valAx>
      <c:catAx>
        <c:axId val="368360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9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C26-40E7-A556-CBCBD21AD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551"/>
        <c:axId val="368358591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valAx>
        <c:axId val="368358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551"/>
        <c:crosses val="max"/>
        <c:crossBetween val="between"/>
      </c:valAx>
      <c:catAx>
        <c:axId val="36835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8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709-4C2C-9182-B6E37DE5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2831"/>
        <c:axId val="368362431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valAx>
        <c:axId val="368362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2831"/>
        <c:crosses val="max"/>
        <c:crossBetween val="between"/>
      </c:valAx>
      <c:catAx>
        <c:axId val="368352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E9B-4929-BE81-9BF46DB28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6751"/>
        <c:axId val="368363871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valAx>
        <c:axId val="368363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6751"/>
        <c:crosses val="max"/>
        <c:crossBetween val="between"/>
      </c:valAx>
      <c:catAx>
        <c:axId val="368366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3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864-4B94-95E3-B3F8AD282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3791"/>
        <c:axId val="368367711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valAx>
        <c:axId val="368367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3791"/>
        <c:crosses val="max"/>
        <c:crossBetween val="between"/>
      </c:valAx>
      <c:catAx>
        <c:axId val="368353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7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84D-4E46-B25D-AC7A7D1B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951"/>
        <c:axId val="368355711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valAx>
        <c:axId val="36835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951"/>
        <c:crosses val="max"/>
        <c:crossBetween val="between"/>
      </c:valAx>
      <c:catAx>
        <c:axId val="368361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24E-4A57-82E6-C1A954DD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471"/>
        <c:axId val="368365791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valAx>
        <c:axId val="368365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471"/>
        <c:crosses val="max"/>
        <c:crossBetween val="between"/>
      </c:valAx>
      <c:catAx>
        <c:axId val="368361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5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EA7-461D-9717-8E9BB406E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7231"/>
        <c:axId val="368362911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valAx>
        <c:axId val="368362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7231"/>
        <c:crosses val="max"/>
        <c:crossBetween val="between"/>
      </c:valAx>
      <c:catAx>
        <c:axId val="368367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836-4980-B504-46D1A6838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3391"/>
        <c:axId val="368357631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valAx>
        <c:axId val="368357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3391"/>
        <c:crosses val="max"/>
        <c:crossBetween val="between"/>
      </c:valAx>
      <c:catAx>
        <c:axId val="3683633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7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7D9-417E-9325-E632BAED7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8111"/>
        <c:axId val="368355231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valAx>
        <c:axId val="368355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8111"/>
        <c:crosses val="max"/>
        <c:crossBetween val="between"/>
      </c:valAx>
      <c:catAx>
        <c:axId val="368358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E6E-4DD1-88F5-B32142113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9151"/>
        <c:axId val="368351871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valAx>
        <c:axId val="368351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9151"/>
        <c:crosses val="max"/>
        <c:crossBetween val="between"/>
      </c:valAx>
      <c:catAx>
        <c:axId val="368369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1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F72-4126-BCA2-7032F1539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0111"/>
        <c:axId val="368371071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valAx>
        <c:axId val="368371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0111"/>
        <c:crosses val="max"/>
        <c:crossBetween val="between"/>
      </c:valAx>
      <c:catAx>
        <c:axId val="368370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1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E29-4809-ABBC-F3CF37F6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071"/>
        <c:axId val="368372511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valAx>
        <c:axId val="368372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071"/>
        <c:crosses val="max"/>
        <c:crossBetween val="between"/>
      </c:valAx>
      <c:catAx>
        <c:axId val="36835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139-4536-9567-EE8091C93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3471"/>
        <c:axId val="368372991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valAx>
        <c:axId val="36837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3471"/>
        <c:crosses val="max"/>
        <c:crossBetween val="between"/>
      </c:valAx>
      <c:catAx>
        <c:axId val="368373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3C0-4E47-B230-720283D57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8751"/>
        <c:axId val="368373951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valAx>
        <c:axId val="368373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8751"/>
        <c:crosses val="max"/>
        <c:crossBetween val="between"/>
      </c:valAx>
      <c:catAx>
        <c:axId val="368378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3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00F-47B5-AA18-44F4301A5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5871"/>
        <c:axId val="368379231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valAx>
        <c:axId val="368379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5871"/>
        <c:crosses val="max"/>
        <c:crossBetween val="between"/>
      </c:valAx>
      <c:catAx>
        <c:axId val="368375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34C-456C-8281-E6D3F8534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671"/>
        <c:axId val="368374911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valAx>
        <c:axId val="36837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671"/>
        <c:crosses val="max"/>
        <c:crossBetween val="between"/>
      </c:valAx>
      <c:catAx>
        <c:axId val="368380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1-4D74-A86D-3F67AC9D5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7791"/>
        <c:axId val="368376831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valAx>
        <c:axId val="36837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7791"/>
        <c:crosses val="max"/>
        <c:crossBetween val="between"/>
      </c:valAx>
      <c:catAx>
        <c:axId val="368377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540-489B-9D17-F159BCBEC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3551"/>
        <c:axId val="368376351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valAx>
        <c:axId val="368376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3551"/>
        <c:crosses val="max"/>
        <c:crossBetween val="between"/>
      </c:valAx>
      <c:catAx>
        <c:axId val="36838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C36-44AD-B78B-428CECB9A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0271"/>
        <c:axId val="368392671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valAx>
        <c:axId val="3683926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0271"/>
        <c:crosses val="max"/>
        <c:crossBetween val="between"/>
      </c:valAx>
      <c:catAx>
        <c:axId val="36839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26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474-4490-BE3D-8AA7638EB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3151"/>
        <c:axId val="368396511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valAx>
        <c:axId val="368396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3151"/>
        <c:crosses val="max"/>
        <c:crossBetween val="between"/>
      </c:valAx>
      <c:catAx>
        <c:axId val="368393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01-49D3-BD08-0053C40D6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9311"/>
        <c:axId val="368383071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valAx>
        <c:axId val="368383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9311"/>
        <c:crosses val="max"/>
        <c:crossBetween val="between"/>
      </c:valAx>
      <c:catAx>
        <c:axId val="36838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3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2E4-49F5-A380-7E874410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231"/>
        <c:axId val="368389791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valAx>
        <c:axId val="368389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231"/>
        <c:crosses val="max"/>
        <c:crossBetween val="between"/>
      </c:valAx>
      <c:catAx>
        <c:axId val="368391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9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053-45FC-9145-F336DC254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7871"/>
        <c:axId val="368393631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valAx>
        <c:axId val="368393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7871"/>
        <c:crosses val="max"/>
        <c:crossBetween val="between"/>
      </c:valAx>
      <c:catAx>
        <c:axId val="36838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3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413-44A2-99CF-027910F5C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8431"/>
        <c:axId val="368395551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valAx>
        <c:axId val="36839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8431"/>
        <c:crosses val="max"/>
        <c:crossBetween val="between"/>
      </c:valAx>
      <c:catAx>
        <c:axId val="368398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5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91F-494B-8290-785F7A814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2191"/>
        <c:axId val="368382111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valAx>
        <c:axId val="36838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2191"/>
        <c:crosses val="max"/>
        <c:crossBetween val="between"/>
      </c:valAx>
      <c:catAx>
        <c:axId val="368392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F65-4229-B237-480C42DF5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6031"/>
        <c:axId val="368400351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valAx>
        <c:axId val="36840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6031"/>
        <c:crosses val="max"/>
        <c:crossBetween val="between"/>
      </c:valAx>
      <c:catAx>
        <c:axId val="368396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57-4CA1-A5C5-7385C7574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0831"/>
        <c:axId val="368396991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valAx>
        <c:axId val="36839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0831"/>
        <c:crosses val="max"/>
        <c:crossBetween val="between"/>
      </c:valAx>
      <c:catAx>
        <c:axId val="36840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B52-4292-BD3F-E4B8FCEC0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9871"/>
        <c:axId val="368398911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valAx>
        <c:axId val="368398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9871"/>
        <c:crosses val="max"/>
        <c:crossBetween val="between"/>
      </c:valAx>
      <c:catAx>
        <c:axId val="368399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8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5A-4C62-86F2-961173557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5471"/>
        <c:axId val="368401311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valAx>
        <c:axId val="36840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5471"/>
        <c:crosses val="max"/>
        <c:crossBetween val="between"/>
      </c:valAx>
      <c:catAx>
        <c:axId val="368385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D34-4117-AC08-B4C62558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8271"/>
        <c:axId val="368437311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valAx>
        <c:axId val="368437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8271"/>
        <c:crosses val="max"/>
        <c:crossBetween val="between"/>
      </c:valAx>
      <c:catAx>
        <c:axId val="368438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7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BD5-4988-9425-8011B9B3A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7871"/>
        <c:axId val="368444991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valAx>
        <c:axId val="368444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7871"/>
        <c:crosses val="max"/>
        <c:crossBetween val="between"/>
      </c:valAx>
      <c:catAx>
        <c:axId val="36844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BA1-4B1A-B8AC-C13D90C0E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991"/>
        <c:axId val="368335071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valAx>
        <c:axId val="368335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991"/>
        <c:crosses val="max"/>
        <c:crossBetween val="between"/>
      </c:valAx>
      <c:catAx>
        <c:axId val="368324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DEF-45DA-9368-C61F070DE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1791"/>
        <c:axId val="368322591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valAx>
        <c:axId val="368322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1791"/>
        <c:crosses val="max"/>
        <c:crossBetween val="between"/>
      </c:valAx>
      <c:catAx>
        <c:axId val="368341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9D1-4BA5-9238-1CAC5B59B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0431"/>
        <c:axId val="368347551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valAx>
        <c:axId val="368347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0431"/>
        <c:crosses val="max"/>
        <c:crossBetween val="between"/>
      </c:valAx>
      <c:catAx>
        <c:axId val="368350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7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1DB-4138-8077-C0B70A1D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991"/>
        <c:axId val="368354271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valAx>
        <c:axId val="368354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991"/>
        <c:crosses val="max"/>
        <c:crossBetween val="between"/>
      </c:valAx>
      <c:catAx>
        <c:axId val="368360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4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00D-4B45-8AE3-FB639D50B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2031"/>
        <c:axId val="368370591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valAx>
        <c:axId val="368370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2031"/>
        <c:crosses val="max"/>
        <c:crossBetween val="between"/>
      </c:valAx>
      <c:catAx>
        <c:axId val="368372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0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13-4F96-914A-91B4B26EB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191"/>
        <c:axId val="368379711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valAx>
        <c:axId val="36837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191"/>
        <c:crosses val="max"/>
        <c:crossBetween val="between"/>
      </c:valAx>
      <c:catAx>
        <c:axId val="368380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B28-45B3-85C0-0FF337DAC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711"/>
        <c:axId val="368394111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valAx>
        <c:axId val="36839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711"/>
        <c:crosses val="max"/>
        <c:crossBetween val="between"/>
      </c:valAx>
      <c:catAx>
        <c:axId val="368391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4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671-4662-9D9A-E3A93F3D8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2271"/>
        <c:axId val="368401791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valAx>
        <c:axId val="368401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2271"/>
        <c:crosses val="max"/>
        <c:crossBetween val="between"/>
      </c:valAx>
      <c:catAx>
        <c:axId val="36840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VolLevel!$BG$4:$BG$3000</c:f>
            </c:numRef>
          </c:xVal>
          <c:yVal>
            <c:numRef>
              <c:f>VolLevel!$BJ$4:$BJ$3000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6-4451-448C-B851-4873C0363EEF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VolLevel!$BG$4:$BG$3000</c:f>
            </c:numRef>
          </c:xVal>
          <c:yVal>
            <c:numRef>
              <c:f>VolLevel!$BK$4:$BK$3000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7-4451-448C-B851-4873C0363EEF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VolLevel!$CD$4</c:f>
            </c:numRef>
          </c:xVal>
          <c:yVal>
            <c:numRef>
              <c:f>VolLevel!$CE$4</c:f>
            </c:numRef>
          </c:yVal>
          <c:smooth val="0"/>
          <c:extLst>
            <c:ext xmlns:c16="http://schemas.microsoft.com/office/drawing/2014/chart" uri="{C3380CC4-5D6E-409C-BE32-E72D297353CC}">
              <c16:uniqueId val="{00000008-4451-448C-B851-4873C0363EEF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VolLevel!$CB$4</c:f>
            </c:numRef>
          </c:xVal>
          <c:yVal>
            <c:numRef>
              <c:f>VolLevel!$CC$4</c:f>
            </c:numRef>
          </c:yVal>
          <c:smooth val="0"/>
          <c:extLst>
            <c:ext xmlns:c16="http://schemas.microsoft.com/office/drawing/2014/chart" uri="{C3380CC4-5D6E-409C-BE32-E72D297353CC}">
              <c16:uniqueId val="{00000009-4451-448C-B851-4873C0363EEF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VolLevel!$CF$4:$CG$4</c:f>
            </c:numRef>
          </c:xVal>
          <c:yVal>
            <c:numRef>
              <c:f>VolLevel!$CH$4:$CI$4</c:f>
            </c:numRef>
          </c:yVal>
          <c:smooth val="0"/>
          <c:extLst>
            <c:ext xmlns:c16="http://schemas.microsoft.com/office/drawing/2014/chart" uri="{C3380CC4-5D6E-409C-BE32-E72D297353CC}">
              <c16:uniqueId val="{0000000A-4451-448C-B851-4873C0363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593791"/>
        <c:axId val="1722604831"/>
      </c:scatterChart>
      <c:valAx>
        <c:axId val="1722593791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722604831"/>
        <c:crosses val="autoZero"/>
        <c:crossBetween val="midCat"/>
      </c:valAx>
      <c:valAx>
        <c:axId val="1722604831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22593791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VolLevel!$BN$4:$BN$3000</c:f>
            </c:numRef>
          </c:xVal>
          <c:yVal>
            <c:numRef>
              <c:f>VolLevel!$BQ$4:$BQ$3000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6-4465-44BE-AE05-AB5484BF84E4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VolLevel!$BN$4:$BN$3000</c:f>
            </c:numRef>
          </c:xVal>
          <c:yVal>
            <c:numRef>
              <c:f>VolLevel!$BR$4:$BR$3000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7-4465-44BE-AE05-AB5484BF84E4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VolLevel!$CD$5</c:f>
            </c:numRef>
          </c:xVal>
          <c:yVal>
            <c:numRef>
              <c:f>VolLevel!$CE$5</c:f>
            </c:numRef>
          </c:yVal>
          <c:smooth val="0"/>
          <c:extLst>
            <c:ext xmlns:c16="http://schemas.microsoft.com/office/drawing/2014/chart" uri="{C3380CC4-5D6E-409C-BE32-E72D297353CC}">
              <c16:uniqueId val="{00000008-4465-44BE-AE05-AB5484BF84E4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VolLevel!$CB$5</c:f>
            </c:numRef>
          </c:xVal>
          <c:yVal>
            <c:numRef>
              <c:f>VolLevel!$CC$5</c:f>
            </c:numRef>
          </c:yVal>
          <c:smooth val="0"/>
          <c:extLst>
            <c:ext xmlns:c16="http://schemas.microsoft.com/office/drawing/2014/chart" uri="{C3380CC4-5D6E-409C-BE32-E72D297353CC}">
              <c16:uniqueId val="{00000009-4465-44BE-AE05-AB5484BF84E4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VolLevel!$CF$5:$CG$5</c:f>
            </c:numRef>
          </c:xVal>
          <c:yVal>
            <c:numRef>
              <c:f>VolLevel!$CH$5:$CI$5</c:f>
            </c:numRef>
          </c:yVal>
          <c:smooth val="0"/>
          <c:extLst>
            <c:ext xmlns:c16="http://schemas.microsoft.com/office/drawing/2014/chart" uri="{C3380CC4-5D6E-409C-BE32-E72D297353CC}">
              <c16:uniqueId val="{0000000A-4465-44BE-AE05-AB5484BF8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600991"/>
        <c:axId val="1722594751"/>
      </c:scatterChart>
      <c:valAx>
        <c:axId val="1722600991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722594751"/>
        <c:crosses val="autoZero"/>
        <c:crossBetween val="midCat"/>
      </c:valAx>
      <c:valAx>
        <c:axId val="1722594751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22600991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VolLevel!$BU$4:$BU$3000</c:f>
            </c:numRef>
          </c:xVal>
          <c:yVal>
            <c:numRef>
              <c:f>VolLevel!$BX$4:$BX$3000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6-B4A2-4D5C-952C-DB9B75F94A21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VolLevel!$BU$4:$BU$3000</c:f>
            </c:numRef>
          </c:xVal>
          <c:yVal>
            <c:numRef>
              <c:f>VolLevel!$BY$4:$BY$3000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7-B4A2-4D5C-952C-DB9B75F94A21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VolLevel!$CD$6</c:f>
            </c:numRef>
          </c:xVal>
          <c:yVal>
            <c:numRef>
              <c:f>VolLevel!$CE$6</c:f>
            </c:numRef>
          </c:yVal>
          <c:smooth val="0"/>
          <c:extLst>
            <c:ext xmlns:c16="http://schemas.microsoft.com/office/drawing/2014/chart" uri="{C3380CC4-5D6E-409C-BE32-E72D297353CC}">
              <c16:uniqueId val="{00000008-B4A2-4D5C-952C-DB9B75F94A21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VolLevel!$CB$6</c:f>
            </c:numRef>
          </c:xVal>
          <c:yVal>
            <c:numRef>
              <c:f>VolLevel!$CC$6</c:f>
            </c:numRef>
          </c:yVal>
          <c:smooth val="0"/>
          <c:extLst>
            <c:ext xmlns:c16="http://schemas.microsoft.com/office/drawing/2014/chart" uri="{C3380CC4-5D6E-409C-BE32-E72D297353CC}">
              <c16:uniqueId val="{00000009-B4A2-4D5C-952C-DB9B75F94A21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VolLevel!$CF$6:$CG$6</c:f>
            </c:numRef>
          </c:xVal>
          <c:yVal>
            <c:numRef>
              <c:f>VolLevel!$CH$6:$CI$6</c:f>
            </c:numRef>
          </c:yVal>
          <c:smooth val="0"/>
          <c:extLst>
            <c:ext xmlns:c16="http://schemas.microsoft.com/office/drawing/2014/chart" uri="{C3380CC4-5D6E-409C-BE32-E72D297353CC}">
              <c16:uniqueId val="{0000000A-B4A2-4D5C-952C-DB9B75F94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592351"/>
        <c:axId val="1722609151"/>
      </c:scatterChart>
      <c:valAx>
        <c:axId val="1722592351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722609151"/>
        <c:crosses val="autoZero"/>
        <c:crossBetween val="midCat"/>
      </c:valAx>
      <c:valAx>
        <c:axId val="1722609151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22592351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Nx1Y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FwdMonitor!$GC$4:$GC$19</c:f>
            </c:numRef>
          </c:xVal>
          <c:yVal>
            <c:numRef>
              <c:f>FwdMonitor!$GD$4:$GD$19</c:f>
            </c:numRef>
          </c:yVal>
          <c:smooth val="0"/>
          <c:extLst>
            <c:ext xmlns:c16="http://schemas.microsoft.com/office/drawing/2014/chart" uri="{C3380CC4-5D6E-409C-BE32-E72D297353CC}">
              <c16:uniqueId val="{00000002-E787-412D-B68E-DA821C2A1D4C}"/>
            </c:ext>
          </c:extLst>
        </c:ser>
        <c:ser>
          <c:idx val="1"/>
          <c:order val="1"/>
          <c:tx>
            <c:strRef>
              <c:f>FwdMonitor!$GE$3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FwdMonitor!$GC$4:$GC$19</c:f>
            </c:numRef>
          </c:xVal>
          <c:yVal>
            <c:numRef>
              <c:f>FwdMonitor!$GE$4:$GE$19</c:f>
            </c:numRef>
          </c:yVal>
          <c:smooth val="0"/>
          <c:extLst>
            <c:ext xmlns:c16="http://schemas.microsoft.com/office/drawing/2014/chart" uri="{C3380CC4-5D6E-409C-BE32-E72D297353CC}">
              <c16:uniqueId val="{00000003-E787-412D-B68E-DA821C2A1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698960"/>
        <c:axId val="1838699440"/>
      </c:scatterChart>
      <c:valAx>
        <c:axId val="183869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8699440"/>
        <c:crosses val="autoZero"/>
        <c:crossBetween val="midCat"/>
      </c:valAx>
      <c:valAx>
        <c:axId val="183869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8698960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Nx1Y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FwdMonitor!$A$12:$A$27</c:f>
            </c:strRef>
          </c:cat>
          <c:val>
            <c:numRef>
              <c:f>FwdMonitor!$GF$4:$GF$19</c:f>
            </c:numRef>
          </c:val>
          <c:extLst>
            <c:ext xmlns:c16="http://schemas.microsoft.com/office/drawing/2014/chart" uri="{C3380CC4-5D6E-409C-BE32-E72D297353CC}">
              <c16:uniqueId val="{00000002-D7A2-436D-9AA8-2E6CC5B5E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794608"/>
        <c:axId val="2003795088"/>
      </c:barChart>
      <c:catAx>
        <c:axId val="200379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3795088"/>
        <c:crosses val="autoZero"/>
        <c:auto val="1"/>
        <c:lblAlgn val="ctr"/>
        <c:lblOffset val="100"/>
        <c:noMultiLvlLbl val="0"/>
      </c:catAx>
      <c:valAx>
        <c:axId val="200379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794608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Nx5Y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FwdMonitor!$GH$4:$GH$10</c:f>
            </c:numRef>
          </c:xVal>
          <c:yVal>
            <c:numRef>
              <c:f>FwdMonitor!$GI$4:$GI$10</c:f>
            </c:numRef>
          </c:yVal>
          <c:smooth val="0"/>
          <c:extLst>
            <c:ext xmlns:c16="http://schemas.microsoft.com/office/drawing/2014/chart" uri="{C3380CC4-5D6E-409C-BE32-E72D297353CC}">
              <c16:uniqueId val="{00000002-4836-4BE7-997E-85F6BCC26D2E}"/>
            </c:ext>
          </c:extLst>
        </c:ser>
        <c:ser>
          <c:idx val="1"/>
          <c:order val="1"/>
          <c:tx>
            <c:strRef>
              <c:f>FwdMonitor!$GJ$3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FwdMonitor!$GH$4:$GH$10</c:f>
            </c:numRef>
          </c:xVal>
          <c:yVal>
            <c:numRef>
              <c:f>FwdMonitor!$GJ$4:$GJ$10</c:f>
            </c:numRef>
          </c:yVal>
          <c:smooth val="0"/>
          <c:extLst>
            <c:ext xmlns:c16="http://schemas.microsoft.com/office/drawing/2014/chart" uri="{C3380CC4-5D6E-409C-BE32-E72D297353CC}">
              <c16:uniqueId val="{00000003-4836-4BE7-997E-85F6BCC26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653584"/>
        <c:axId val="2001651664"/>
      </c:scatterChart>
      <c:val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1664"/>
        <c:crosses val="autoZero"/>
        <c:crossBetween val="midCat"/>
      </c:valAx>
      <c:valAx>
        <c:axId val="200165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Nx5Y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FwdMonitor!$A$29:$A$35</c:f>
            </c:strRef>
          </c:cat>
          <c:val>
            <c:numRef>
              <c:f>FwdMonitor!$GK$4:$GK$10</c:f>
            </c:numRef>
          </c:val>
          <c:extLst>
            <c:ext xmlns:c16="http://schemas.microsoft.com/office/drawing/2014/chart" uri="{C3380CC4-5D6E-409C-BE32-E72D297353CC}">
              <c16:uniqueId val="{00000002-FBAD-4B3B-AD1C-F4758878B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1653584"/>
        <c:axId val="2001654064"/>
      </c:barChart>
      <c:cat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4064"/>
        <c:crosses val="autoZero"/>
        <c:auto val="1"/>
        <c:lblAlgn val="ctr"/>
        <c:lblOffset val="100"/>
        <c:noMultiLvlLbl val="0"/>
      </c:catAx>
      <c:valAx>
        <c:axId val="200165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Comparison (bp)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FwdMonitor!$GN$3</c:f>
            </c:strRef>
          </c:tx>
          <c:spPr>
            <a:ln w="25400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[0]!FWM_Ch1</c:f>
            </c:numRef>
          </c:val>
          <c:smooth val="0"/>
          <c:extLst>
            <c:ext xmlns:c16="http://schemas.microsoft.com/office/drawing/2014/chart" uri="{C3380CC4-5D6E-409C-BE32-E72D297353CC}">
              <c16:uniqueId val="{00000002-1506-4CFC-95DF-177A4A8293F4}"/>
            </c:ext>
          </c:extLst>
        </c:ser>
        <c:ser>
          <c:idx val="1"/>
          <c:order val="1"/>
          <c:tx>
            <c:strRef>
              <c:f>FwdMonitor!$GO$3</c:f>
            </c:strRef>
          </c:tx>
          <c:spPr>
            <a:ln w="25400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[0]!FWM_Ch2</c:f>
            </c:numRef>
          </c:val>
          <c:smooth val="0"/>
          <c:extLst>
            <c:ext xmlns:c16="http://schemas.microsoft.com/office/drawing/2014/chart" uri="{C3380CC4-5D6E-409C-BE32-E72D297353CC}">
              <c16:uniqueId val="{00000003-1506-4CFC-95DF-177A4A8293F4}"/>
            </c:ext>
          </c:extLst>
        </c:ser>
        <c:ser>
          <c:idx val="2"/>
          <c:order val="2"/>
          <c:tx>
            <c:strRef>
              <c:f>FwdMonitor!$GP$3</c:f>
            </c:strRef>
          </c:tx>
          <c:spPr>
            <a:ln w="25400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[0]!FWM_Ch3</c:f>
            </c:numRef>
          </c:val>
          <c:smooth val="0"/>
          <c:extLst>
            <c:ext xmlns:c16="http://schemas.microsoft.com/office/drawing/2014/chart" uri="{C3380CC4-5D6E-409C-BE32-E72D297353CC}">
              <c16:uniqueId val="{00000004-1506-4CFC-95DF-177A4A8293F4}"/>
            </c:ext>
          </c:extLst>
        </c:ser>
        <c:ser>
          <c:idx val="3"/>
          <c:order val="3"/>
          <c:tx>
            <c:strRef>
              <c:f>FwdMonitor!$GQ$3</c:f>
            </c:strRef>
          </c:tx>
          <c:spPr>
            <a:ln w="25400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[0]!FWM_Ch4</c:f>
            </c:numRef>
          </c:val>
          <c:smooth val="0"/>
          <c:extLst>
            <c:ext xmlns:c16="http://schemas.microsoft.com/office/drawing/2014/chart" uri="{C3380CC4-5D6E-409C-BE32-E72D297353CC}">
              <c16:uniqueId val="{00000005-1506-4CFC-95DF-177A4A829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3959616"/>
        <c:axId val="2003958176"/>
      </c:lineChart>
      <c:dateAx>
        <c:axId val="20039596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2003958176"/>
        <c:crosses val="autoZero"/>
        <c:auto val="1"/>
        <c:lblOffset val="100"/>
        <c:baseTimeUnit val="days"/>
      </c:dateAx>
      <c:valAx>
        <c:axId val="20039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9596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Front-month futures (settle / roll-adjusted)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Settle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</c:f>
            </c:numRef>
          </c:val>
          <c:smooth val="0"/>
          <c:extLst>
            <c:ext xmlns:c16="http://schemas.microsoft.com/office/drawing/2014/chart" uri="{C3380CC4-5D6E-409C-BE32-E72D297353CC}">
              <c16:uniqueId val="{00000001-BC03-463D-B4A0-30CD9F078191}"/>
            </c:ext>
          </c:extLst>
        </c:ser>
        <c:ser>
          <c:idx val="1"/>
          <c:order val="1"/>
          <c:tx>
            <c:v>Settle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[0]!FUT_ChSettleAdj</c:f>
            </c:numRef>
          </c:val>
          <c:smooth val="0"/>
          <c:extLst>
            <c:ext xmlns:c16="http://schemas.microsoft.com/office/drawing/2014/chart" uri="{C3380CC4-5D6E-409C-BE32-E72D297353CC}">
              <c16:uniqueId val="{00000002-BC03-463D-B4A0-30CD9F078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43216"/>
        <c:axId val="625943696"/>
      </c:lineChart>
      <c:dateAx>
        <c:axId val="6259432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43696"/>
        <c:crosses val="autoZero"/>
        <c:auto val="1"/>
        <c:lblOffset val="100"/>
        <c:baseTimeUnit val="days"/>
      </c:dateAx>
      <c:valAx>
        <c:axId val="62594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432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CTD net basis (sen / step-adjusted)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</c:f>
            </c:numRef>
          </c:val>
          <c:smooth val="0"/>
          <c:extLst>
            <c:ext xmlns:c16="http://schemas.microsoft.com/office/drawing/2014/chart" uri="{C3380CC4-5D6E-409C-BE32-E72D297353CC}">
              <c16:uniqueId val="{00000001-C9F9-4304-A924-3D9A06195CB3}"/>
            </c:ext>
          </c:extLst>
        </c:ser>
        <c:ser>
          <c:idx val="1"/>
          <c:order val="1"/>
          <c:tx>
            <c:v>Net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[0]!FUT_ChNetAdj</c:f>
            </c:numRef>
          </c:val>
          <c:smooth val="0"/>
          <c:extLst>
            <c:ext xmlns:c16="http://schemas.microsoft.com/office/drawing/2014/chart" uri="{C3380CC4-5D6E-409C-BE32-E72D297353CC}">
              <c16:uniqueId val="{00000002-C9F9-4304-A924-3D9A06195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35536"/>
        <c:axId val="625954256"/>
      </c:lineChart>
      <c:dateAx>
        <c:axId val="62593553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54256"/>
        <c:crosses val="autoZero"/>
        <c:auto val="1"/>
        <c:lblOffset val="100"/>
        <c:baseTimeUnit val="days"/>
      </c:dateAx>
      <c:valAx>
        <c:axId val="62595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35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Overlay by business days to the last trading day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FutBasis!$BP$3</c:f>
            </c:strRef>
          </c:tx>
          <c:spPr>
            <a:ln w="22225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[0]!FUT_Ov1</c:f>
            </c:numRef>
          </c:val>
          <c:smooth val="0"/>
          <c:extLst>
            <c:ext xmlns:c16="http://schemas.microsoft.com/office/drawing/2014/chart" uri="{C3380CC4-5D6E-409C-BE32-E72D297353CC}">
              <c16:uniqueId val="{00000001-0AFF-480B-97C7-024DEB6AB79D}"/>
            </c:ext>
          </c:extLst>
        </c:ser>
        <c:ser>
          <c:idx val="1"/>
          <c:order val="1"/>
          <c:tx>
            <c:strRef>
              <c:f>FutBasis!$BQ$3</c:f>
            </c:strRef>
          </c:tx>
          <c:spPr>
            <a:ln w="22225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[0]!FUT_Ov2</c:f>
            </c:numRef>
          </c:val>
          <c:smooth val="0"/>
          <c:extLst>
            <c:ext xmlns:c16="http://schemas.microsoft.com/office/drawing/2014/chart" uri="{C3380CC4-5D6E-409C-BE32-E72D297353CC}">
              <c16:uniqueId val="{00000002-0AFF-480B-97C7-024DEB6AB79D}"/>
            </c:ext>
          </c:extLst>
        </c:ser>
        <c:ser>
          <c:idx val="2"/>
          <c:order val="2"/>
          <c:tx>
            <c:strRef>
              <c:f>FutBasis!$BR$3</c:f>
            </c:strRef>
          </c:tx>
          <c:spPr>
            <a:ln w="22225">
              <a:solidFill>
                <a:srgbClr val="8E5AA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[0]!FUT_Ov3</c:f>
            </c:numRef>
          </c:val>
          <c:smooth val="0"/>
          <c:extLst>
            <c:ext xmlns:c16="http://schemas.microsoft.com/office/drawing/2014/chart" uri="{C3380CC4-5D6E-409C-BE32-E72D297353CC}">
              <c16:uniqueId val="{00000003-0AFF-480B-97C7-024DEB6AB79D}"/>
            </c:ext>
          </c:extLst>
        </c:ser>
        <c:ser>
          <c:idx val="3"/>
          <c:order val="3"/>
          <c:tx>
            <c:strRef>
              <c:f>FutBasis!$BS$3</c:f>
            </c:strRef>
          </c:tx>
          <c:spPr>
            <a:ln w="22225">
              <a:solidFill>
                <a:srgbClr val="E6B80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[0]!FUT_Ov4</c:f>
            </c:numRef>
          </c:val>
          <c:smooth val="0"/>
          <c:extLst>
            <c:ext xmlns:c16="http://schemas.microsoft.com/office/drawing/2014/chart" uri="{C3380CC4-5D6E-409C-BE32-E72D297353CC}">
              <c16:uniqueId val="{00000004-0AFF-480B-97C7-024DEB6AB79D}"/>
            </c:ext>
          </c:extLst>
        </c:ser>
        <c:ser>
          <c:idx val="4"/>
          <c:order val="4"/>
          <c:tx>
            <c:strRef>
              <c:f>FutBasis!$BT$3</c:f>
            </c:strRef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[0]!FUT_Ov5</c:f>
            </c:numRef>
          </c:val>
          <c:smooth val="0"/>
          <c:extLst>
            <c:ext xmlns:c16="http://schemas.microsoft.com/office/drawing/2014/chart" uri="{C3380CC4-5D6E-409C-BE32-E72D297353CC}">
              <c16:uniqueId val="{00000005-0AFF-480B-97C7-024DEB6AB79D}"/>
            </c:ext>
          </c:extLst>
        </c:ser>
        <c:ser>
          <c:idx val="5"/>
          <c:order val="5"/>
          <c:tx>
            <c:strRef>
              <c:f>FutBasis!$BU$3</c:f>
            </c:strRef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[0]!FUT_Ov6</c:f>
            </c:numRef>
          </c:val>
          <c:smooth val="0"/>
          <c:extLst>
            <c:ext xmlns:c16="http://schemas.microsoft.com/office/drawing/2014/chart" uri="{C3380CC4-5D6E-409C-BE32-E72D297353CC}">
              <c16:uniqueId val="{00000006-0AFF-480B-97C7-024DEB6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51856"/>
        <c:axId val="625949936"/>
      </c:lineChart>
      <c:catAx>
        <c:axId val="6259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949936"/>
        <c:crosses val="autoZero"/>
        <c:auto val="1"/>
        <c:lblAlgn val="ctr"/>
        <c:lblOffset val="100"/>
        <c:noMultiLvlLbl val="0"/>
      </c:catAx>
      <c:valAx>
        <c:axId val="62594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5185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Relationship Id="rId5" Type="http://schemas.openxmlformats.org/officeDocument/2006/relationships/chart" Target="../charts/chart83.xml"/><Relationship Id="rId4" Type="http://schemas.openxmlformats.org/officeDocument/2006/relationships/chart" Target="../charts/chart8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6.xml"/><Relationship Id="rId2" Type="http://schemas.openxmlformats.org/officeDocument/2006/relationships/chart" Target="../charts/chart85.xml"/><Relationship Id="rId1" Type="http://schemas.openxmlformats.org/officeDocument/2006/relationships/chart" Target="../charts/chart8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10</xdr:col>
      <xdr:colOff>457200</xdr:colOff>
      <xdr:row>19</xdr:row>
      <xdr:rowOff>196850</xdr:rowOff>
    </xdr:to>
    <xdr:graphicFrame macro="">
      <xdr:nvGraphicFramePr>
        <xdr:cNvPr id="2" name="VolLevelChart1">
          <a:extLst>
            <a:ext uri="{FF2B5EF4-FFF2-40B4-BE49-F238E27FC236}">
              <a16:creationId xmlns:a16="http://schemas.microsoft.com/office/drawing/2014/main" id="{CC107D8C-78FB-8786-D0A3-E1DB0FC1EA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558800</xdr:colOff>
      <xdr:row>2</xdr:row>
      <xdr:rowOff>0</xdr:rowOff>
    </xdr:from>
    <xdr:to>
      <xdr:col>18</xdr:col>
      <xdr:colOff>101600</xdr:colOff>
      <xdr:row>19</xdr:row>
      <xdr:rowOff>196850</xdr:rowOff>
    </xdr:to>
    <xdr:graphicFrame macro="">
      <xdr:nvGraphicFramePr>
        <xdr:cNvPr id="3" name="VolLevelChart2">
          <a:extLst>
            <a:ext uri="{FF2B5EF4-FFF2-40B4-BE49-F238E27FC236}">
              <a16:creationId xmlns:a16="http://schemas.microsoft.com/office/drawing/2014/main" id="{6D7ED067-929B-8C4A-A521-13CF76A55D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203200</xdr:colOff>
      <xdr:row>2</xdr:row>
      <xdr:rowOff>0</xdr:rowOff>
    </xdr:from>
    <xdr:to>
      <xdr:col>25</xdr:col>
      <xdr:colOff>406400</xdr:colOff>
      <xdr:row>19</xdr:row>
      <xdr:rowOff>196850</xdr:rowOff>
    </xdr:to>
    <xdr:graphicFrame macro="">
      <xdr:nvGraphicFramePr>
        <xdr:cNvPr id="4" name="VolLevelChart3">
          <a:extLst>
            <a:ext uri="{FF2B5EF4-FFF2-40B4-BE49-F238E27FC236}">
              <a16:creationId xmlns:a16="http://schemas.microsoft.com/office/drawing/2014/main" id="{1A4C866B-7F34-E597-28B6-5550FFB2BF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17</xdr:col>
      <xdr:colOff>609600</xdr:colOff>
      <xdr:row>13</xdr:row>
      <xdr:rowOff>82550</xdr:rowOff>
    </xdr:to>
    <xdr:graphicFrame macro="">
      <xdr:nvGraphicFramePr>
        <xdr:cNvPr id="2" name="FWM_Strip1">
          <a:extLst>
            <a:ext uri="{FF2B5EF4-FFF2-40B4-BE49-F238E27FC236}">
              <a16:creationId xmlns:a16="http://schemas.microsoft.com/office/drawing/2014/main" id="{CE15A1FB-B93F-4E7C-77D6-8E2713573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17</xdr:row>
      <xdr:rowOff>0</xdr:rowOff>
    </xdr:from>
    <xdr:to>
      <xdr:col>17</xdr:col>
      <xdr:colOff>609600</xdr:colOff>
      <xdr:row>24</xdr:row>
      <xdr:rowOff>6350</xdr:rowOff>
    </xdr:to>
    <xdr:graphicFrame macro="">
      <xdr:nvGraphicFramePr>
        <xdr:cNvPr id="3" name="FWM_Chg1">
          <a:extLst>
            <a:ext uri="{FF2B5EF4-FFF2-40B4-BE49-F238E27FC236}">
              <a16:creationId xmlns:a16="http://schemas.microsoft.com/office/drawing/2014/main" id="{FA9D5D51-3ADF-E31E-FE3C-0C829164A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25</xdr:col>
      <xdr:colOff>609600</xdr:colOff>
      <xdr:row>13</xdr:row>
      <xdr:rowOff>82550</xdr:rowOff>
    </xdr:to>
    <xdr:graphicFrame macro="">
      <xdr:nvGraphicFramePr>
        <xdr:cNvPr id="4" name="FWM_Strip5">
          <a:extLst>
            <a:ext uri="{FF2B5EF4-FFF2-40B4-BE49-F238E27FC236}">
              <a16:creationId xmlns:a16="http://schemas.microsoft.com/office/drawing/2014/main" id="{60A6CDFD-0512-3D2D-F509-3480883EE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25</xdr:col>
      <xdr:colOff>609600</xdr:colOff>
      <xdr:row>24</xdr:row>
      <xdr:rowOff>6350</xdr:rowOff>
    </xdr:to>
    <xdr:graphicFrame macro="">
      <xdr:nvGraphicFramePr>
        <xdr:cNvPr id="5" name="FWM_Chg5">
          <a:extLst>
            <a:ext uri="{FF2B5EF4-FFF2-40B4-BE49-F238E27FC236}">
              <a16:creationId xmlns:a16="http://schemas.microsoft.com/office/drawing/2014/main" id="{46CBECEC-161D-01E6-04B3-F775C48A1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12</xdr:col>
      <xdr:colOff>304800</xdr:colOff>
      <xdr:row>66</xdr:row>
      <xdr:rowOff>50800</xdr:rowOff>
    </xdr:to>
    <xdr:graphicFrame macro="">
      <xdr:nvGraphicFramePr>
        <xdr:cNvPr id="6" name="FWM_Compare">
          <a:extLst>
            <a:ext uri="{FF2B5EF4-FFF2-40B4-BE49-F238E27FC236}">
              <a16:creationId xmlns:a16="http://schemas.microsoft.com/office/drawing/2014/main" id="{EE611711-654E-21AF-3D5A-3B1A46A40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0</xdr:rowOff>
    </xdr:from>
    <xdr:to>
      <xdr:col>7</xdr:col>
      <xdr:colOff>273050</xdr:colOff>
      <xdr:row>56</xdr:row>
      <xdr:rowOff>12700</xdr:rowOff>
    </xdr:to>
    <xdr:graphicFrame macro="">
      <xdr:nvGraphicFramePr>
        <xdr:cNvPr id="2" name="FUT_ChartSettle">
          <a:extLst>
            <a:ext uri="{FF2B5EF4-FFF2-40B4-BE49-F238E27FC236}">
              <a16:creationId xmlns:a16="http://schemas.microsoft.com/office/drawing/2014/main" id="{BADEE256-901E-9870-3257-2C27EF4A6B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16</xdr:col>
      <xdr:colOff>31750</xdr:colOff>
      <xdr:row>56</xdr:row>
      <xdr:rowOff>12700</xdr:rowOff>
    </xdr:to>
    <xdr:graphicFrame macro="">
      <xdr:nvGraphicFramePr>
        <xdr:cNvPr id="3" name="FUT_ChartNet">
          <a:extLst>
            <a:ext uri="{FF2B5EF4-FFF2-40B4-BE49-F238E27FC236}">
              <a16:creationId xmlns:a16="http://schemas.microsoft.com/office/drawing/2014/main" id="{109C0F61-8B35-5CF8-9C36-6A35BBB66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15</xdr:col>
      <xdr:colOff>247650</xdr:colOff>
      <xdr:row>76</xdr:row>
      <xdr:rowOff>31750</xdr:rowOff>
    </xdr:to>
    <xdr:graphicFrame macro="">
      <xdr:nvGraphicFramePr>
        <xdr:cNvPr id="4" name="FUT_ChartOverlay">
          <a:extLst>
            <a:ext uri="{FF2B5EF4-FFF2-40B4-BE49-F238E27FC236}">
              <a16:creationId xmlns:a16="http://schemas.microsoft.com/office/drawing/2014/main" id="{8B58E74A-7652-EC8C-8A65-098F1390D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zoomScale="57" workbookViewId="0">
      <selection activeCell="J6" sqref="J6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195</v>
      </c>
      <c r="E2" s="1"/>
      <c r="Z2" s="1" t="s">
        <v>196</v>
      </c>
      <c r="CA2" t="s">
        <v>56</v>
      </c>
    </row>
    <row r="3" spans="1:84" x14ac:dyDescent="0.55000000000000004">
      <c r="A3" s="4" t="s">
        <v>190</v>
      </c>
      <c r="E3" t="s">
        <v>197</v>
      </c>
      <c r="H3" t="s">
        <v>251</v>
      </c>
      <c r="AB3" t="s">
        <v>198</v>
      </c>
      <c r="AC3" t="s">
        <v>199</v>
      </c>
      <c r="BX3" t="s">
        <v>170</v>
      </c>
      <c r="BY3" t="s">
        <v>171</v>
      </c>
      <c r="CE3" t="s">
        <v>172</v>
      </c>
      <c r="CF3" t="s">
        <v>173</v>
      </c>
    </row>
    <row r="4" spans="1:84" x14ac:dyDescent="0.55000000000000004">
      <c r="A4" t="s">
        <v>248</v>
      </c>
      <c r="B4" s="3"/>
      <c r="E4" cm="1">
        <f t="array" aca="1" ref="E4:F8" ca="1">PcaWindow(PCA_Selected,PCA_Mode,PCA_Standardize,PCA_window,PCA_WindowEnd)</f>
      </c>
      <c r="F4" s="7">
        <f ca="1"/>
      </c>
      <c r="H4" cm="1">
        <f t="array" aca="1" ref="H4:I7" ca="1">PcaActualInfo(PCA_Selected,PCA_Mode,PCA_ReconDate,_xlfn.CHOOSECOLS(_xlfn.ANCHORARRAY($CA$4),1,2))</f>
      </c>
      <c r="I4" s="7">
        <f ca="1"/>
      </c>
      <c r="O4" t="s">
        <v>200</v>
      </c>
      <c r="AA4" s="7"/>
      <c r="AB4" cm="1">
        <f t="array" ref="AB4:AB22">_xlfn._xlws.FILTER($A$15:$A$56,$B$15:$B$56="○")</f>
      </c>
      <c r="AC4" cm="1">
        <f t="array" aca="1" ref="AC4:AY23" ca="1">PcaModel(PCA_Selected,PCA_Mode,PCA_Standardize,PCA_window,PCA_WindowEnd)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BX4" cm="1">
        <f t="array" aca="1" ref="BX4:BX22" ca="1">_xlfn.DROP(_xlfn.CHOOSECOLS(_xlfn.ANCHORARRAY($AC$4),2),1)+_xlfn.DROP(_xlfn.CHOOSECOLS(_xlfn.ANCHORARRAY($AC$4),4),1)</f>
      </c>
      <c r="BY4" cm="1">
        <f t="array" aca="1" ref="BY4:BY22" ca="1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aca="1" ref="CE4:CE22" ca="1">PcaResidStd(PCA_Selected,PCA_Mode,PCA_Standardize,PCA_window,PCA_k,PCA_WindowEnd,PCA_SigmaDays)</f>
      </c>
      <c r="CF4" cm="1">
        <f t="array" aca="1" ref="CF4:CF22" ca="1">-_xlfn.ANCHORARRAY($CE$4)</f>
      </c>
    </row>
    <row r="5" spans="1:84" x14ac:dyDescent="0.55000000000000004">
      <c r="A5" t="s">
        <v>191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201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X5">
        <f ca="1"/>
      </c>
      <c r="BY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</row>
    <row r="6" spans="1:84" x14ac:dyDescent="0.55000000000000004">
      <c r="A6" t="s">
        <v>192</v>
      </c>
      <c r="B6" s="2" t="s">
        <v>221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X6">
        <f ca="1"/>
      </c>
      <c r="BY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</row>
    <row r="7" spans="1:84" x14ac:dyDescent="0.55000000000000004">
      <c r="A7" t="s">
        <v>193</v>
      </c>
      <c r="B7" s="2" t="s">
        <v>222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X7">
        <f ca="1"/>
      </c>
      <c r="BY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</row>
    <row r="8" spans="1:84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X8">
        <f ca="1"/>
      </c>
      <c r="BY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</row>
    <row r="9" spans="1:84" x14ac:dyDescent="0.55000000000000004">
      <c r="A9" s="4" t="s">
        <v>249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X9">
        <f ca="1"/>
      </c>
      <c r="BY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</row>
    <row r="10" spans="1:84" x14ac:dyDescent="0.55000000000000004">
      <c r="A10" t="s">
        <v>250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X10">
        <f ca="1"/>
      </c>
      <c r="BY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</row>
    <row r="11" spans="1:84" x14ac:dyDescent="0.55000000000000004">
      <c r="A11" t="s">
        <v>194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X11">
        <f ca="1"/>
      </c>
      <c r="BY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</row>
    <row r="12" spans="1:84" x14ac:dyDescent="0.55000000000000004">
      <c r="A12" t="s">
        <v>202</v>
      </c>
      <c r="B12" s="2"/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X12">
        <f ca="1"/>
      </c>
      <c r="BY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</row>
    <row r="13" spans="1:84" x14ac:dyDescent="0.55000000000000004">
      <c r="A13" t="s">
        <v>203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X13">
        <f ca="1"/>
      </c>
      <c r="BY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</row>
    <row r="14" spans="1:84" x14ac:dyDescent="0.55000000000000004">
      <c r="A14" s="5" t="s">
        <v>204</v>
      </c>
      <c r="B14" s="5" t="s">
        <v>205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X14">
        <f ca="1"/>
      </c>
      <c r="BY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</row>
    <row r="15" spans="1:84" x14ac:dyDescent="0.55000000000000004">
      <c r="A15" t="s">
        <v>0</v>
      </c>
      <c r="B15" s="6" t="s">
        <v>43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X15">
        <f ca="1"/>
      </c>
      <c r="BY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</row>
    <row r="16" spans="1:84" x14ac:dyDescent="0.55000000000000004">
      <c r="A16" t="s">
        <v>1</v>
      </c>
      <c r="B16" s="6" t="s">
        <v>43</v>
      </c>
      <c r="Z16" t="s">
        <v>206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X16">
        <f ca="1"/>
      </c>
      <c r="BY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</row>
    <row r="17" spans="1:84" x14ac:dyDescent="0.55000000000000004">
      <c r="A17" t="s">
        <v>2</v>
      </c>
      <c r="B17" s="6" t="s">
        <v>43</v>
      </c>
      <c r="Z17" cm="1">
        <f t="array" aca="1" ref="Z17:AA36" ca="1">PcaEigen(PCA_Selected,PCA_Mode,PCA_Standardize,PCA_window,PCA_WindowEnd)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X17">
        <f ca="1"/>
      </c>
      <c r="BY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</row>
    <row r="18" spans="1:84" x14ac:dyDescent="0.55000000000000004">
      <c r="A18" t="s">
        <v>3</v>
      </c>
      <c r="B18" s="6" t="s">
        <v>43</v>
      </c>
      <c r="Z18">
        <f ca="1"/>
      </c>
      <c r="AA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X18">
        <f ca="1"/>
      </c>
      <c r="BY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</row>
    <row r="19" spans="1:84" x14ac:dyDescent="0.55000000000000004">
      <c r="A19" t="s">
        <v>4</v>
      </c>
      <c r="B19" s="6" t="s">
        <v>43</v>
      </c>
      <c r="Z19">
        <f ca="1"/>
      </c>
      <c r="AA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X19">
        <f ca="1"/>
      </c>
      <c r="BY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</row>
    <row r="20" spans="1:84" x14ac:dyDescent="0.55000000000000004">
      <c r="A20" t="s">
        <v>5</v>
      </c>
      <c r="B20" s="6" t="s">
        <v>43</v>
      </c>
      <c r="Z20">
        <f ca="1"/>
      </c>
      <c r="AA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X20">
        <f ca="1"/>
      </c>
      <c r="BY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</row>
    <row r="21" spans="1:84" x14ac:dyDescent="0.55000000000000004">
      <c r="A21" t="s">
        <v>6</v>
      </c>
      <c r="B21" s="6" t="s">
        <v>43</v>
      </c>
      <c r="Z21">
        <f ca="1"/>
      </c>
      <c r="AA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X21">
        <f ca="1"/>
      </c>
      <c r="BY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</row>
    <row r="22" spans="1:84" x14ac:dyDescent="0.55000000000000004">
      <c r="A22" t="s">
        <v>7</v>
      </c>
      <c r="B22" s="6" t="s">
        <v>42</v>
      </c>
      <c r="Z22">
        <f ca="1"/>
      </c>
      <c r="AA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X22">
        <f ca="1"/>
      </c>
      <c r="BY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</row>
    <row r="23" spans="1:84" x14ac:dyDescent="0.55000000000000004">
      <c r="A23" t="s">
        <v>8</v>
      </c>
      <c r="B23" s="6" t="s">
        <v>43</v>
      </c>
      <c r="Z23">
        <f ca="1"/>
      </c>
      <c r="AA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Z24">
        <f ca="1"/>
      </c>
      <c r="AA24">
        <f ca="1"/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Z25">
        <f ca="1"/>
      </c>
      <c r="AA25">
        <f ca="1"/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Z26">
        <f ca="1"/>
      </c>
      <c r="AA26">
        <f ca="1"/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Z27">
        <f ca="1"/>
      </c>
      <c r="AA27">
        <f ca="1"/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Z28">
        <f ca="1"/>
      </c>
      <c r="AA28">
        <f ca="1"/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Z29">
        <f ca="1"/>
      </c>
      <c r="AA29">
        <f ca="1"/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Z30">
        <f ca="1"/>
      </c>
      <c r="AA30">
        <f ca="1"/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Z31">
        <f ca="1"/>
      </c>
      <c r="AA31">
        <f ca="1"/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207</v>
      </c>
      <c r="L32" s="4" t="s">
        <v>208</v>
      </c>
      <c r="S32" s="4" t="s">
        <v>209</v>
      </c>
      <c r="Z32">
        <f ca="1"/>
      </c>
      <c r="AA32">
        <f ca="1"/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204</v>
      </c>
      <c r="F33" s="9" t="s">
        <v>210</v>
      </c>
      <c r="G33" s="9" t="s">
        <v>211</v>
      </c>
      <c r="H33" s="9" t="s">
        <v>212</v>
      </c>
      <c r="I33" s="9" t="s">
        <v>213</v>
      </c>
      <c r="J33" s="9" t="s">
        <v>214</v>
      </c>
      <c r="L33" s="9" t="s">
        <v>215</v>
      </c>
      <c r="M33" s="9" t="s">
        <v>216</v>
      </c>
      <c r="N33" s="9" t="s">
        <v>217</v>
      </c>
      <c r="O33" s="9" t="s">
        <v>218</v>
      </c>
      <c r="P33" s="9" t="s">
        <v>219</v>
      </c>
      <c r="Q33" s="9" t="s">
        <v>220</v>
      </c>
      <c r="S33" s="9" t="s">
        <v>204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Z33">
        <f ca="1"/>
      </c>
      <c r="AA33">
        <f ca="1"/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aca="1" ref="E34:E52" ca="1">_xlfn.DROP(_xlfn.TAKE(_xlfn.ANCHORARRAY($AC$4),,1),1)</f>
      </c>
      <c r="F34" s="10" cm="1">
        <f t="array" aca="1" ref="F34:F52" ca="1">PcaActual(PCA_Selected,PCA_Mode,PCA_ReconDate,_xlfn.CHOOSECOLS(_xlfn.ANCHORARRAY($CA$4),1,2))</f>
      </c>
      <c r="G34" s="10" cm="1">
        <f t="array" aca="1" ref="G34:G52" ca="1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aca="1" ref="L34:L52" ca="1">_xlfn.DROP(_xlfn.TAKE(_xlfn.ANCHORARRAY($Z$17),,1),1)</f>
      </c>
      <c r="M34" s="11" cm="1">
        <f t="array" aca="1" ref="M34:M52" ca="1">_xlfn.DROP(_xlfn.CHOOSECOLS(_xlfn.ANCHORARRAY($Z$17),2),1)</f>
      </c>
      <c r="N34" s="12" cm="1">
        <f t="array" aca="1" ref="N34:N52" ca="1">_xlfn.ANCHORARRAY(M34)/SUM(_xlfn.ANCHORARRAY(M34))</f>
      </c>
      <c r="O34" s="12" cm="1">
        <f t="array" aca="1" ref="O34:O52" ca="1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aca="1" ref="Q34:Q52" ca="1">IF(_xlfn.SEQUENCE(ROWS(_xlfn.ANCHORARRAY(L34)))&lt;=PCA_k,"Yes","")</f>
      </c>
      <c r="S34" cm="1">
        <f t="array" aca="1" ref="S34:S52" ca="1">_xlfn.ANCHORARRAY(E34)</f>
      </c>
      <c r="T34" s="13" cm="1">
        <f t="array" aca="1" ref="T34:T52" ca="1">_xlfn.LET(_xlpm.V,_xlfn.DROP(_xlfn.ANCHORARRAY($AC$4),1,4),IF(1&lt;=COLUMNS(_xlpm.V),_xlfn.CHOOSECOLS(_xlpm.V,MIN(1,COLUMNS(_xlpm.V))),IF(_xlfn.SEQUENCE(ROWS(_xlpm.V)),NA())))</f>
      </c>
      <c r="U34" s="13" cm="1">
        <f t="array" aca="1" ref="U34:U52" ca="1">_xlfn.LET(_xlpm.V,_xlfn.DROP(_xlfn.ANCHORARRAY($AC$4),1,4),IF(2&lt;=COLUMNS(_xlpm.V),_xlfn.CHOOSECOLS(_xlpm.V,MIN(2,COLUMNS(_xlpm.V))),IF(_xlfn.SEQUENCE(ROWS(_xlpm.V)),NA())))</f>
      </c>
      <c r="V34" s="13" cm="1">
        <f t="array" aca="1" ref="V34:V52" ca="1">_xlfn.LET(_xlpm.V,_xlfn.DROP(_xlfn.ANCHORARRAY($AC$4),1,4),IF(3&lt;=COLUMNS(_xlpm.V),_xlfn.CHOOSECOLS(_xlpm.V,MIN(3,COLUMNS(_xlpm.V))),IF(_xlfn.SEQUENCE(ROWS(_xlpm.V)),NA())))</f>
      </c>
      <c r="W34" s="13" cm="1">
        <f t="array" aca="1" ref="W34:W52" ca="1">_xlfn.LET(_xlpm.V,_xlfn.DROP(_xlfn.ANCHORARRAY($AC$4),1,4),IF(4&lt;=COLUMNS(_xlpm.V),_xlfn.CHOOSECOLS(_xlpm.V,MIN(4,COLUMNS(_xlpm.V))),IF(_xlfn.SEQUENCE(ROWS(_xlpm.V)),NA())))</f>
      </c>
      <c r="X34" s="13" cm="1">
        <f t="array" aca="1" ref="X34:X52" ca="1">_xlfn.LET(_xlpm.V,_xlfn.DROP(_xlfn.ANCHORARRAY($AC$4),1,4),IF(5&lt;=COLUMNS(_xlpm.V),_xlfn.CHOOSECOLS(_xlpm.V,MIN(5,COLUMNS(_xlpm.V))),IF(_xlfn.SEQUENCE(ROWS(_xlpm.V)),NA())))</f>
      </c>
      <c r="Z34">
        <f ca="1"/>
      </c>
      <c r="AA34">
        <f ca="1"/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  <c r="Z35">
        <f ca="1"/>
      </c>
      <c r="AA35">
        <f ca="1"/>
      </c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  <c r="Z36">
        <f ca="1"/>
      </c>
      <c r="AA36">
        <f ca="1"/>
      </c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E47">
        <f ca="1"/>
      </c>
      <c r="F47" s="10">
        <f ca="1"/>
      </c>
      <c r="G47" s="10">
        <f ca="1"/>
      </c>
      <c r="H47" s="10">
        <f ca="1"/>
      </c>
      <c r="I47" s="11">
        <f ca="1"/>
      </c>
      <c r="J47" s="11">
        <f ca="1"/>
      </c>
      <c r="L47">
        <f ca="1"/>
      </c>
      <c r="M47" s="11">
        <f ca="1"/>
      </c>
      <c r="N47" s="12">
        <f ca="1"/>
      </c>
      <c r="O47" s="12">
        <f ca="1"/>
      </c>
      <c r="P47" s="11">
        <f ca="1"/>
      </c>
      <c r="Q47">
        <f ca="1"/>
      </c>
      <c r="S47">
        <f ca="1"/>
      </c>
      <c r="T47" s="13">
        <f ca="1"/>
      </c>
      <c r="U47" s="13">
        <f ca="1"/>
      </c>
      <c r="V47" s="13">
        <f ca="1"/>
      </c>
      <c r="W47" s="13">
        <f ca="1"/>
      </c>
      <c r="X47" s="13">
        <f ca="1"/>
      </c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E48">
        <f ca="1"/>
      </c>
      <c r="F48" s="10">
        <f ca="1"/>
      </c>
      <c r="G48" s="10">
        <f ca="1"/>
      </c>
      <c r="H48" s="10">
        <f ca="1"/>
      </c>
      <c r="I48" s="11">
        <f ca="1"/>
      </c>
      <c r="J48" s="11">
        <f ca="1"/>
      </c>
      <c r="L48">
        <f ca="1"/>
      </c>
      <c r="M48" s="11">
        <f ca="1"/>
      </c>
      <c r="N48" s="12">
        <f ca="1"/>
      </c>
      <c r="O48" s="12">
        <f ca="1"/>
      </c>
      <c r="P48" s="11">
        <f ca="1"/>
      </c>
      <c r="Q48">
        <f ca="1"/>
      </c>
      <c r="S48">
        <f ca="1"/>
      </c>
      <c r="T48" s="13">
        <f ca="1"/>
      </c>
      <c r="U48" s="13">
        <f ca="1"/>
      </c>
      <c r="V48" s="13">
        <f ca="1"/>
      </c>
      <c r="W48" s="13">
        <f ca="1"/>
      </c>
      <c r="X48" s="13">
        <f ca="1"/>
      </c>
    </row>
    <row r="49" spans="1:24" x14ac:dyDescent="0.55000000000000004">
      <c r="A49" t="s">
        <v>33</v>
      </c>
      <c r="B49" s="6" t="s">
        <v>43</v>
      </c>
      <c r="E49">
        <f ca="1"/>
      </c>
      <c r="F49" s="10">
        <f ca="1"/>
      </c>
      <c r="G49" s="10">
        <f ca="1"/>
      </c>
      <c r="H49" s="10">
        <f ca="1"/>
      </c>
      <c r="I49" s="11">
        <f ca="1"/>
      </c>
      <c r="J49" s="11">
        <f ca="1"/>
      </c>
      <c r="L49">
        <f ca="1"/>
      </c>
      <c r="M49" s="11">
        <f ca="1"/>
      </c>
      <c r="N49" s="12">
        <f ca="1"/>
      </c>
      <c r="O49" s="12">
        <f ca="1"/>
      </c>
      <c r="P49" s="11">
        <f ca="1"/>
      </c>
      <c r="Q49">
        <f ca="1"/>
      </c>
      <c r="S49">
        <f ca="1"/>
      </c>
      <c r="T49" s="13">
        <f ca="1"/>
      </c>
      <c r="U49" s="13">
        <f ca="1"/>
      </c>
      <c r="V49" s="13">
        <f ca="1"/>
      </c>
      <c r="W49" s="13">
        <f ca="1"/>
      </c>
      <c r="X49" s="13">
        <f ca="1"/>
      </c>
    </row>
    <row r="50" spans="1:24" x14ac:dyDescent="0.55000000000000004">
      <c r="A50" t="s">
        <v>34</v>
      </c>
      <c r="B50" s="6" t="s">
        <v>43</v>
      </c>
      <c r="E50">
        <f ca="1"/>
      </c>
      <c r="F50" s="10">
        <f ca="1"/>
      </c>
      <c r="G50" s="10">
        <f ca="1"/>
      </c>
      <c r="H50" s="10">
        <f ca="1"/>
      </c>
      <c r="I50" s="11">
        <f ca="1"/>
      </c>
      <c r="J50" s="11">
        <f ca="1"/>
      </c>
      <c r="L50">
        <f ca="1"/>
      </c>
      <c r="M50" s="11">
        <f ca="1"/>
      </c>
      <c r="N50" s="12">
        <f ca="1"/>
      </c>
      <c r="O50" s="12">
        <f ca="1"/>
      </c>
      <c r="P50" s="11">
        <f ca="1"/>
      </c>
      <c r="Q50">
        <f ca="1"/>
      </c>
      <c r="S50">
        <f ca="1"/>
      </c>
      <c r="T50" s="13">
        <f ca="1"/>
      </c>
      <c r="U50" s="13">
        <f ca="1"/>
      </c>
      <c r="V50" s="13">
        <f ca="1"/>
      </c>
      <c r="W50" s="13">
        <f ca="1"/>
      </c>
      <c r="X50" s="13">
        <f ca="1"/>
      </c>
    </row>
    <row r="51" spans="1:24" x14ac:dyDescent="0.55000000000000004">
      <c r="A51" t="s">
        <v>35</v>
      </c>
      <c r="B51" s="6" t="s">
        <v>43</v>
      </c>
      <c r="E51">
        <f ca="1"/>
      </c>
      <c r="F51" s="10">
        <f ca="1"/>
      </c>
      <c r="G51" s="10">
        <f ca="1"/>
      </c>
      <c r="H51" s="10">
        <f ca="1"/>
      </c>
      <c r="I51" s="11">
        <f ca="1"/>
      </c>
      <c r="J51" s="11">
        <f ca="1"/>
      </c>
      <c r="L51">
        <f ca="1"/>
      </c>
      <c r="M51" s="11">
        <f ca="1"/>
      </c>
      <c r="N51" s="12">
        <f ca="1"/>
      </c>
      <c r="O51" s="12">
        <f ca="1"/>
      </c>
      <c r="P51" s="11">
        <f ca="1"/>
      </c>
      <c r="Q51">
        <f ca="1"/>
      </c>
      <c r="S51">
        <f ca="1"/>
      </c>
      <c r="T51" s="13">
        <f ca="1"/>
      </c>
      <c r="U51" s="13">
        <f ca="1"/>
      </c>
      <c r="V51" s="13">
        <f ca="1"/>
      </c>
      <c r="W51" s="13">
        <f ca="1"/>
      </c>
      <c r="X51" s="13">
        <f ca="1"/>
      </c>
    </row>
    <row r="52" spans="1:24" x14ac:dyDescent="0.55000000000000004">
      <c r="A52" t="s">
        <v>36</v>
      </c>
      <c r="B52" s="6" t="s">
        <v>43</v>
      </c>
      <c r="E52">
        <f ca="1"/>
      </c>
      <c r="F52" s="10">
        <f ca="1"/>
      </c>
      <c r="G52" s="10">
        <f ca="1"/>
      </c>
      <c r="H52" s="10">
        <f ca="1"/>
      </c>
      <c r="I52" s="11">
        <f ca="1"/>
      </c>
      <c r="J52" s="11">
        <f ca="1"/>
      </c>
      <c r="L52">
        <f ca="1"/>
      </c>
      <c r="M52" s="11">
        <f ca="1"/>
      </c>
      <c r="N52" s="12">
        <f ca="1"/>
      </c>
      <c r="O52" s="12">
        <f ca="1"/>
      </c>
      <c r="P52" s="11">
        <f ca="1"/>
      </c>
      <c r="Q52">
        <f ca="1"/>
      </c>
      <c r="S52">
        <f ca="1"/>
      </c>
      <c r="T52" s="13">
        <f ca="1"/>
      </c>
      <c r="U52" s="13">
        <f ca="1"/>
      </c>
      <c r="V52" s="13">
        <f ca="1"/>
      </c>
      <c r="W52" s="13">
        <f ca="1"/>
      </c>
      <c r="X52" s="13">
        <f ca="1"/>
      </c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復元・差分を見る日。空欄=今日(RealTimeのライブの値)。日付=DBのその日の引け値。Window end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zoomScale="44" workbookViewId="0">
      <pane xSplit="4" ySplit="9" topLeftCell="E33" activePane="bottomRight" state="frozenSplit"/>
      <selection pane="topRight" activeCell="E1" sqref="E1"/>
      <selection pane="bottomLeft" activeCell="A10" sqref="A10"/>
      <selection pane="bottomRight" activeCell="A58" sqref="A58:A62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162</v>
      </c>
    </row>
    <row r="3" spans="1:233" x14ac:dyDescent="0.55000000000000004">
      <c r="A3" t="s">
        <v>253</v>
      </c>
      <c r="D3" t="s">
        <v>144</v>
      </c>
      <c r="E3" t="s">
        <v>150</v>
      </c>
      <c r="L3" t="s">
        <v>152</v>
      </c>
      <c r="S3" t="s">
        <v>153</v>
      </c>
      <c r="Z3" t="s">
        <v>155</v>
      </c>
      <c r="AG3" t="s">
        <v>156</v>
      </c>
      <c r="AN3" t="s">
        <v>157</v>
      </c>
      <c r="AU3" t="s">
        <v>158</v>
      </c>
      <c r="BB3" t="s">
        <v>159</v>
      </c>
      <c r="BI3" t="s">
        <v>160</v>
      </c>
      <c r="BP3" t="s">
        <v>161</v>
      </c>
      <c r="CB3" t="s">
        <v>140</v>
      </c>
      <c r="CC3" t="s">
        <v>388</v>
      </c>
      <c r="CD3" t="s">
        <v>116</v>
      </c>
      <c r="CI3" t="s">
        <v>165</v>
      </c>
      <c r="CJ3" t="s">
        <v>166</v>
      </c>
      <c r="CL3" t="s">
        <v>167</v>
      </c>
      <c r="CO3" t="s">
        <v>168</v>
      </c>
      <c r="HS3" t="s">
        <v>178</v>
      </c>
    </row>
    <row r="4" spans="1:233" x14ac:dyDescent="0.55000000000000004">
      <c r="A4" s="3"/>
      <c r="D4" t="s">
        <v>252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C4" cm="1">
        <f t="array" aca="1" ref="CC4:CC21" ca="1">IF(ISNUMBER(MATCH(_xlfn.ANCHORARRAY($CB$4),$A$58:$A$62,0)),0,NA())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PcaActual(_xlfn.ANCHORARRAY($CB$4),"Level",PCG_ReconDate,_xlfn.CHOOSECOLS(_xlfn.ANCHORARRAY($CD$4),1,2))</f>
      </c>
      <c r="CJ4" cm="1">
        <f t="array" aca="1" ref="CJ4:CJ21" ca="1">PcaActual(_xlfn.ANCHORARRAY($CB$4),"Change",PCG_ReconDate,_xlfn.CHOOSECOLS(_xlfn.ANCHORARRAY($CD$4),1,2))</f>
      </c>
      <c r="CL4" cm="1">
        <f t="array" aca="1" ref="CL4:CM7" ca="1">PcaActualInfo(_xlfn.ANCHORARRAY($CB$4),"Change",PCG_ReconDate,_xlfn.CHOOSECOLS(_xlfn.ANCHORARRAY($CD$4),1,2))</f>
      </c>
      <c r="CM4">
        <f ca="1"/>
      </c>
      <c r="CO4" cm="1">
        <f t="array" aca="1" ref="CO4:DP184" ca="1">PcaGrid(_xlfn.ANCHORARRAY($CB$4),_xlfn.LET(_xlpm.r,$E$4:$BP$7,_xlfn.CHOOSECOLS(IF(_xlpm.r="","",_xlpm.r),_xlfn.SEQUENCE(1,10,1,7))))</f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EP4" t="s">
        <v>150</v>
      </c>
      <c r="EQ4" cm="1">
        <f t="array" aca="1" ref="EQ4:FR21" ca="1">_xlfn.LET(_xlpm.g,_xlfn.DROP(_xlfn.ANCHORARRAY($CO$4),1),_xlfn._xlws.FILTER(_xlpm.g,_xlfn.TAKE(_xlpm.g,,1)=1))</f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GQ4" t="s">
        <v>169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174</v>
      </c>
      <c r="HE4">
        <f>"Actual / Mean / Recon (k="&amp;$D$108&amp;")  dashed: Mean ±1σ"</f>
      </c>
      <c r="HF4" t="s">
        <v>175</v>
      </c>
      <c r="HG4" t="s">
        <v>176</v>
      </c>
      <c r="HH4" t="s">
        <v>179</v>
      </c>
      <c r="HI4" t="s">
        <v>180</v>
      </c>
      <c r="HJ4" t="s">
        <v>181</v>
      </c>
      <c r="HK4" t="s">
        <v>182</v>
      </c>
      <c r="HL4" t="s">
        <v>183</v>
      </c>
      <c r="HM4" t="s">
        <v>184</v>
      </c>
      <c r="HN4" t="s">
        <v>185</v>
      </c>
      <c r="HO4" t="s">
        <v>186</v>
      </c>
      <c r="HP4" t="s">
        <v>187</v>
      </c>
      <c r="HQ4" t="s">
        <v>188</v>
      </c>
      <c r="HR4" t="s">
        <v>189</v>
      </c>
      <c r="HS4" cm="1">
        <f t="array" aca="1" ref="HS4:HY184" ca="1">PcaGridResidStd(_xlfn.ANCHORARRAY($CB$4),_xlfn.LET(_xlpm.r,$E$4:$BP$7,_xlfn.CHOOSECOLS(IF(_xlpm.r="","",_xlpm.r),_xlfn.SEQUENCE(1,10,1,7))),_xlfn.VSTACK($D$12,$D$28,$D$44,$D$60,$D$76),$B$55)</f>
      </c>
      <c r="HT4">
        <f ca="1"/>
      </c>
      <c r="HU4">
        <f ca="1"/>
      </c>
      <c r="HV4">
        <f ca="1"/>
      </c>
      <c r="HW4">
        <f ca="1"/>
      </c>
      <c r="HX4">
        <f ca="1"/>
      </c>
      <c r="HY4">
        <f ca="1"/>
      </c>
    </row>
    <row r="5" spans="1:233" x14ac:dyDescent="0.55000000000000004">
      <c r="A5" t="s">
        <v>254</v>
      </c>
      <c r="D5" t="s">
        <v>145</v>
      </c>
      <c r="E5" s="2">
        <v>100</v>
      </c>
      <c r="L5" s="2">
        <v>50</v>
      </c>
      <c r="S5" s="2">
        <v>250</v>
      </c>
      <c r="Z5" s="2">
        <v>250</v>
      </c>
      <c r="AG5" s="2">
        <v>60</v>
      </c>
      <c r="AN5" s="2">
        <v>60</v>
      </c>
      <c r="AU5" s="2">
        <v>60</v>
      </c>
      <c r="BB5" s="2">
        <v>60</v>
      </c>
      <c r="BI5" s="2">
        <v>120</v>
      </c>
      <c r="BP5" s="2">
        <v>120</v>
      </c>
      <c r="CC5">
        <f ca="1"/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aca="1" ref="GX5:GX22" ca="1">_xlfn.LET(_xlpm.V,_xlfn.DROP(_xlfn.ANCHORARRAY($EQ$4),,10),IF(1&lt;=COLUMNS(_xlpm.V),_xlfn.CHOOSECOLS(_xlpm.V,1),IF(_xlfn.SEQUENCE(ROWS(_xlpm.V)),NA())))</f>
      </c>
      <c r="GY5" cm="1">
        <f t="array" aca="1" ref="GY5:GY22" ca="1">_xlfn.LET(_xlpm.V,_xlfn.DROP(_xlfn.ANCHORARRAY($EQ$4),,10),IF(2&lt;=COLUMNS(_xlpm.V),_xlfn.CHOOSECOLS(_xlpm.V,2),IF(_xlfn.SEQUENCE(ROWS(_xlpm.V)),NA())))</f>
      </c>
      <c r="GZ5" cm="1">
        <f t="array" aca="1" ref="GZ5:GZ22" ca="1">_xlfn.LET(_xlpm.V,_xlfn.DROP(_xlfn.ANCHORARRAY($EQ$4),,10),IF(3&lt;=COLUMNS(_xlpm.V),_xlfn.CHOOSECOLS(_xlpm.V,3),IF(_xlfn.SEQUENCE(ROWS(_xlpm.V)),NA())))</f>
      </c>
      <c r="HA5" cm="1">
        <f t="array" aca="1" ref="HA5:HA22" ca="1">_xlfn.LET(_xlpm.V,_xlfn.DROP(_xlfn.ANCHORARRAY($EQ$4),,10),IF(4&lt;=COLUMNS(_xlpm.V),_xlfn.CHOOSECOLS(_xlpm.V,4),IF(_xlfn.SEQUENCE(ROWS(_xlpm.V)),NA())))</f>
      </c>
      <c r="HB5" cm="1">
        <f t="array" aca="1" ref="HB5:HB22" ca="1">_xlfn.LET(_xlpm.V,_xlfn.DROP(_xlfn.ANCHORARRAY($EQ$4),,10),IF(5&lt;=COLUMNS(_xlpm.V),_xlfn.CHOOSECOLS(_xlpm.V,5),IF(_xlfn.SEQUENCE(ROWS(_xlpm.V)),NA())))</f>
      </c>
      <c r="HD5" cm="1">
        <f t="array" aca="1" ref="HD5:HD22" ca="1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aca="1" ref="HF5:HF22" ca="1">_xlfn.CHOOSECOLS(_xlfn.ANCHORARRAY($EQ$4),8)+_xlfn.CHOOSECOLS(_xlfn.ANCHORARRAY($EQ$4),10)</f>
      </c>
      <c r="HG5" cm="1">
        <f t="array" aca="1" ref="HG5:HG22" ca="1">_xlfn.CHOOSECOLS(_xlfn.ANCHORARRAY($EQ$4),8)-_xlfn.CHOOSECOLS(_xlfn.ANCHORARRAY($EQ$4),10)</f>
      </c>
      <c r="HH5" cm="1">
        <f t="array" aca="1" ref="HH5:HH22" ca="1">_xlfn.LET(_xlpm.v,_xlfn.CHOOSECOLS(_xlfn._xlws.FILTER(_xlfn.DROP(_xlfn.ANCHORARRAY($HS$4),1),_xlfn.TAKE(_xlfn.DROP(_xlfn.ANCHORARRAY($HS$4),1),,1)=1),3),IF(_xlpm.v="",NA(),_xlpm.v))</f>
      </c>
      <c r="HI5" cm="1">
        <f t="array" aca="1" ref="HI5:HI22" ca="1">-_xlfn.ANCHORARRAY($HH$5)</f>
      </c>
      <c r="HJ5" cm="1">
        <f t="array" aca="1" ref="HJ5:HJ22" ca="1">_xlfn.LET(_xlpm.v,_xlfn.CHOOSECOLS(_xlfn._xlws.FILTER(_xlfn.DROP(_xlfn.ANCHORARRAY($HS$4),1),_xlfn.TAKE(_xlfn.DROP(_xlfn.ANCHORARRAY($HS$4),1),,1)=1),4),IF(_xlpm.v="",NA(),_xlpm.v))</f>
      </c>
      <c r="HK5" cm="1">
        <f t="array" aca="1" ref="HK5:HK22" ca="1">-_xlfn.ANCHORARRAY($HJ$5)</f>
      </c>
      <c r="HL5" cm="1">
        <f t="array" aca="1" ref="HL5:HL22" ca="1">_xlfn.LET(_xlpm.v,_xlfn.CHOOSECOLS(_xlfn._xlws.FILTER(_xlfn.DROP(_xlfn.ANCHORARRAY($HS$4),1),_xlfn.TAKE(_xlfn.DROP(_xlfn.ANCHORARRAY($HS$4),1),,1)=1),5),IF(_xlpm.v="",NA(),_xlpm.v))</f>
      </c>
      <c r="HM5" cm="1">
        <f t="array" aca="1" ref="HM5:HM22" ca="1">-_xlfn.ANCHORARRAY($HL$5)</f>
      </c>
      <c r="HN5" cm="1">
        <f t="array" aca="1" ref="HN5:HN22" ca="1">_xlfn.LET(_xlpm.v,_xlfn.CHOOSECOLS(_xlfn._xlws.FILTER(_xlfn.DROP(_xlfn.ANCHORARRAY($HS$4),1),_xlfn.TAKE(_xlfn.DROP(_xlfn.ANCHORARRAY($HS$4),1),,1)=1),6),IF(_xlpm.v="",NA(),_xlpm.v))</f>
      </c>
      <c r="HO5" cm="1">
        <f t="array" aca="1" ref="HO5:HO22" ca="1">-_xlfn.ANCHORARRAY($HN$5)</f>
      </c>
      <c r="HP5" cm="1">
        <f t="array" aca="1" ref="HP5:HP22" ca="1">_xlfn.LET(_xlpm.v,_xlfn.CHOOSECOLS(_xlfn._xlws.FILTER(_xlfn.DROP(_xlfn.ANCHORARRAY($HS$4),1),_xlfn.TAKE(_xlfn.DROP(_xlfn.ANCHORARRAY($HS$4),1),,1)=1),7),IF(_xlpm.v="",NA(),_xlpm.v))</f>
      </c>
      <c r="HQ5" cm="1">
        <f t="array" aca="1" ref="HQ5:HQ22" ca="1">-_xlfn.ANCHORARRAY($HP$5)</f>
      </c>
      <c r="HR5" cm="1">
        <f t="array" aca="1" ref="HR5" ca="1">IFERROR(INDEX(_xlfn._xlws.FILTER(_xlfn.DROP(_xlfn.ANCHORARRAY($HS$4),1),_xlfn.TAKE(_xlfn.DROP(_xlfn.ANCHORARRAY($HS$4),1),,1)=1),1,2),"")</f>
      </c>
      <c r="HS5">
        <f ca="1"/>
      </c>
      <c r="HT5">
        <f ca="1"/>
      </c>
      <c r="HU5">
        <f ca="1"/>
      </c>
      <c r="HV5">
        <f ca="1"/>
      </c>
      <c r="HW5">
        <f ca="1"/>
      </c>
      <c r="HX5">
        <f ca="1"/>
      </c>
      <c r="HY5">
        <f ca="1"/>
      </c>
    </row>
    <row r="6" spans="1:233" x14ac:dyDescent="0.55000000000000004">
      <c r="A6">
        <f ca="1">IFERROR(INDEX(_xlfn.ANCHORARRAY($CL$4),2,2),"")</f>
      </c>
      <c r="D6" t="s">
        <v>146</v>
      </c>
      <c r="E6" s="2" t="s">
        <v>151</v>
      </c>
      <c r="L6" s="2" t="s">
        <v>151</v>
      </c>
      <c r="S6" s="2" t="s">
        <v>154</v>
      </c>
      <c r="Z6" s="2" t="s">
        <v>154</v>
      </c>
      <c r="AG6" s="2" t="s">
        <v>151</v>
      </c>
      <c r="AN6" s="2" t="s">
        <v>151</v>
      </c>
      <c r="AU6" s="2" t="s">
        <v>154</v>
      </c>
      <c r="BB6" s="2" t="s">
        <v>154</v>
      </c>
      <c r="BI6" s="2" t="s">
        <v>151</v>
      </c>
      <c r="BP6" s="2" t="s">
        <v>154</v>
      </c>
      <c r="CC6">
        <f ca="1"/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S6">
        <f ca="1"/>
      </c>
      <c r="HT6">
        <f ca="1"/>
      </c>
      <c r="HU6">
        <f ca="1"/>
      </c>
      <c r="HV6">
        <f ca="1"/>
      </c>
      <c r="HW6">
        <f ca="1"/>
      </c>
      <c r="HX6">
        <f ca="1"/>
      </c>
      <c r="HY6">
        <f ca="1"/>
      </c>
    </row>
    <row r="7" spans="1:233" x14ac:dyDescent="0.55000000000000004">
      <c r="D7" t="s">
        <v>147</v>
      </c>
      <c r="E7" s="2" t="s">
        <v>142</v>
      </c>
      <c r="L7" s="2" t="s">
        <v>143</v>
      </c>
      <c r="S7" s="2" t="s">
        <v>142</v>
      </c>
      <c r="Z7" s="2" t="s">
        <v>143</v>
      </c>
      <c r="AG7" s="2" t="s">
        <v>142</v>
      </c>
      <c r="AN7" s="2" t="s">
        <v>143</v>
      </c>
      <c r="AU7" s="2" t="s">
        <v>142</v>
      </c>
      <c r="BB7" s="2" t="s">
        <v>143</v>
      </c>
      <c r="BI7" s="2" t="s">
        <v>142</v>
      </c>
      <c r="BP7" s="2" t="s">
        <v>142</v>
      </c>
      <c r="CC7">
        <f ca="1"/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S7">
        <f ca="1"/>
      </c>
      <c r="HT7">
        <f ca="1"/>
      </c>
      <c r="HU7">
        <f ca="1"/>
      </c>
      <c r="HV7">
        <f ca="1"/>
      </c>
      <c r="HW7">
        <f ca="1"/>
      </c>
      <c r="HX7">
        <f ca="1"/>
      </c>
      <c r="HY7">
        <f ca="1"/>
      </c>
    </row>
    <row r="8" spans="1:233" x14ac:dyDescent="0.55000000000000004">
      <c r="D8" t="s">
        <v>148</v>
      </c>
      <c r="E8">
        <f ca="1"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 ca="1"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 ca="1"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 ca="1"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 ca="1"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 ca="1"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 ca="1"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 ca="1"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 ca="1"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 ca="1">IFERROR(_xlfn.LET(_xlpm.sl,_xlfn.ANCHORARRAY($EQ$454),IF(ISNUMBER(INDEX(_xlpm.sl,1,2)),TEXT(INDEX(_xlpm.sl,1,2),"yyyy-mm-dd")&amp;" - "&amp;TEXT(INDEX(_xlpm.sl,1,3),"yyyy-mm-dd")&amp;"  (n="&amp;INDEX(_xlpm.sl,1,4)&amp;")","Error")),"Error")</f>
      </c>
      <c r="CC8">
        <f ca="1"/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S8">
        <f ca="1"/>
      </c>
      <c r="HT8">
        <f ca="1"/>
      </c>
      <c r="HU8">
        <f ca="1"/>
      </c>
      <c r="HV8">
        <f ca="1"/>
      </c>
      <c r="HW8">
        <f ca="1"/>
      </c>
      <c r="HX8">
        <f ca="1"/>
      </c>
      <c r="HY8">
        <f ca="1"/>
      </c>
    </row>
    <row r="9" spans="1:233" x14ac:dyDescent="0.55000000000000004">
      <c r="D9" t="s">
        <v>149</v>
      </c>
      <c r="E9">
        <f ca="1">IFERROR(_xlfn.TEXTJOIN(" / ",TRUE,INDEX(_xlfn.ANCHORARRAY($EQ$4),1,6),IF($E$6="Change",INDEX(_xlfn.ANCHORARRAY($CL$4),4,2),""),$HR$5),"")</f>
      </c>
      <c r="L9">
        <f ca="1"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 ca="1">IFERROR(_xlfn.TEXTJOIN(" / ",TRUE,INDEX(_xlfn.ANCHORARRAY($EQ$204),1,6),IF($AG$6="Change",INDEX(_xlfn.ANCHORARRAY($CL$4),4,2),""),$HR$205),"")</f>
      </c>
      <c r="AN9">
        <f ca="1">IFERROR(_xlfn.TEXTJOIN(" / ",TRUE,INDEX(_xlfn.ANCHORARRAY($EQ$254),1,6),IF($AN$6="Change",INDEX(_xlfn.ANCHORARRAY($CL$4),4,2),""),$HR$255),"")</f>
      </c>
      <c r="AU9">
        <f ca="1">IFERROR(_xlfn.TEXTJOIN(" / ",TRUE,INDEX(_xlfn.ANCHORARRAY($EQ$304),1,6),IF($AU$6="Change",INDEX(_xlfn.ANCHORARRAY($CL$4),4,2),""),$HR$305),"")</f>
      </c>
      <c r="BB9">
        <f ca="1">IFERROR(_xlfn.TEXTJOIN(" / ",TRUE,INDEX(_xlfn.ANCHORARRAY($EQ$354),1,6),IF($BB$6="Change",INDEX(_xlfn.ANCHORARRAY($CL$4),4,2),""),$HR$355),"")</f>
      </c>
      <c r="BI9">
        <f ca="1">IFERROR(_xlfn.TEXTJOIN(" / ",TRUE,INDEX(_xlfn.ANCHORARRAY($EQ$404),1,6),IF($BI$6="Change",INDEX(_xlfn.ANCHORARRAY($CL$4),4,2),""),$HR$405),"")</f>
      </c>
      <c r="BP9">
        <f ca="1">IFERROR(_xlfn.TEXTJOIN(" / ",TRUE,INDEX(_xlfn.ANCHORARRAY($EQ$454),1,6),IF($BP$6="Change",INDEX(_xlfn.ANCHORARRAY($CL$4),4,2),""),$HR$455),"")</f>
      </c>
      <c r="CC9">
        <f ca="1"/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S9">
        <f ca="1"/>
      </c>
      <c r="HT9">
        <f ca="1"/>
      </c>
      <c r="HU9">
        <f ca="1"/>
      </c>
      <c r="HV9">
        <f ca="1"/>
      </c>
      <c r="HW9">
        <f ca="1"/>
      </c>
      <c r="HX9">
        <f ca="1"/>
      </c>
      <c r="HY9">
        <f ca="1"/>
      </c>
    </row>
    <row r="10" spans="1:233" x14ac:dyDescent="0.55000000000000004">
      <c r="A10" s="4" t="s">
        <v>140</v>
      </c>
      <c r="CC10">
        <f ca="1"/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S10">
        <f ca="1"/>
      </c>
      <c r="HT10">
        <f ca="1"/>
      </c>
      <c r="HU10">
        <f ca="1"/>
      </c>
      <c r="HV10">
        <f ca="1"/>
      </c>
      <c r="HW10">
        <f ca="1"/>
      </c>
      <c r="HX10">
        <f ca="1"/>
      </c>
      <c r="HY10">
        <f ca="1"/>
      </c>
    </row>
    <row r="11" spans="1:233" x14ac:dyDescent="0.55000000000000004">
      <c r="A11" s="5" t="s">
        <v>135</v>
      </c>
      <c r="B11" s="5" t="s">
        <v>141</v>
      </c>
      <c r="D11" t="s">
        <v>163</v>
      </c>
      <c r="CC11">
        <f ca="1"/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S11">
        <f ca="1"/>
      </c>
      <c r="HT11">
        <f ca="1"/>
      </c>
      <c r="HU11">
        <f ca="1"/>
      </c>
      <c r="HV11">
        <f ca="1"/>
      </c>
      <c r="HW11">
        <f ca="1"/>
      </c>
      <c r="HX11">
        <f ca="1"/>
      </c>
      <c r="HY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C12">
        <f ca="1"/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S12">
        <f ca="1"/>
      </c>
      <c r="HT12">
        <f ca="1"/>
      </c>
      <c r="HU12">
        <f ca="1"/>
      </c>
      <c r="HV12">
        <f ca="1"/>
      </c>
      <c r="HW12">
        <f ca="1"/>
      </c>
      <c r="HX12">
        <f ca="1"/>
      </c>
      <c r="HY12">
        <f ca="1"/>
      </c>
    </row>
    <row r="13" spans="1:233" x14ac:dyDescent="0.55000000000000004">
      <c r="A13" t="s">
        <v>1</v>
      </c>
      <c r="B13" s="6" t="s">
        <v>43</v>
      </c>
      <c r="CC13">
        <f ca="1"/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S13">
        <f ca="1"/>
      </c>
      <c r="HT13">
        <f ca="1"/>
      </c>
      <c r="HU13">
        <f ca="1"/>
      </c>
      <c r="HV13">
        <f ca="1"/>
      </c>
      <c r="HW13">
        <f ca="1"/>
      </c>
      <c r="HX13">
        <f ca="1"/>
      </c>
      <c r="HY13">
        <f ca="1"/>
      </c>
    </row>
    <row r="14" spans="1:233" x14ac:dyDescent="0.55000000000000004">
      <c r="A14" t="s">
        <v>2</v>
      </c>
      <c r="B14" s="6" t="s">
        <v>43</v>
      </c>
      <c r="CC14">
        <f ca="1"/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S14">
        <f ca="1"/>
      </c>
      <c r="HT14">
        <f ca="1"/>
      </c>
      <c r="HU14">
        <f ca="1"/>
      </c>
      <c r="HV14">
        <f ca="1"/>
      </c>
      <c r="HW14">
        <f ca="1"/>
      </c>
      <c r="HX14">
        <f ca="1"/>
      </c>
      <c r="HY14">
        <f ca="1"/>
      </c>
    </row>
    <row r="15" spans="1:233" x14ac:dyDescent="0.55000000000000004">
      <c r="A15" t="s">
        <v>3</v>
      </c>
      <c r="B15" s="6" t="s">
        <v>43</v>
      </c>
      <c r="CC15">
        <f ca="1"/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S15">
        <f ca="1"/>
      </c>
      <c r="HT15">
        <f ca="1"/>
      </c>
      <c r="HU15">
        <f ca="1"/>
      </c>
      <c r="HV15">
        <f ca="1"/>
      </c>
      <c r="HW15">
        <f ca="1"/>
      </c>
      <c r="HX15">
        <f ca="1"/>
      </c>
      <c r="HY15">
        <f ca="1"/>
      </c>
    </row>
    <row r="16" spans="1:233" x14ac:dyDescent="0.55000000000000004">
      <c r="A16" t="s">
        <v>4</v>
      </c>
      <c r="B16" s="6" t="s">
        <v>43</v>
      </c>
      <c r="CC16">
        <f ca="1"/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S16">
        <f ca="1"/>
      </c>
      <c r="HT16">
        <f ca="1"/>
      </c>
      <c r="HU16">
        <f ca="1"/>
      </c>
      <c r="HV16">
        <f ca="1"/>
      </c>
      <c r="HW16">
        <f ca="1"/>
      </c>
      <c r="HX16">
        <f ca="1"/>
      </c>
      <c r="HY16">
        <f ca="1"/>
      </c>
    </row>
    <row r="17" spans="1:233" x14ac:dyDescent="0.55000000000000004">
      <c r="A17" t="s">
        <v>5</v>
      </c>
      <c r="B17" s="6" t="s">
        <v>43</v>
      </c>
      <c r="CC17">
        <f ca="1"/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S17">
        <f ca="1"/>
      </c>
      <c r="HT17">
        <f ca="1"/>
      </c>
      <c r="HU17">
        <f ca="1"/>
      </c>
      <c r="HV17">
        <f ca="1"/>
      </c>
      <c r="HW17">
        <f ca="1"/>
      </c>
      <c r="HX17">
        <f ca="1"/>
      </c>
      <c r="HY17">
        <f ca="1"/>
      </c>
    </row>
    <row r="18" spans="1:233" x14ac:dyDescent="0.55000000000000004">
      <c r="A18" t="s">
        <v>6</v>
      </c>
      <c r="B18" s="6" t="s">
        <v>43</v>
      </c>
      <c r="CC18">
        <f ca="1"/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S18">
        <f ca="1"/>
      </c>
      <c r="HT18">
        <f ca="1"/>
      </c>
      <c r="HU18">
        <f ca="1"/>
      </c>
      <c r="HV18">
        <f ca="1"/>
      </c>
      <c r="HW18">
        <f ca="1"/>
      </c>
      <c r="HX18">
        <f ca="1"/>
      </c>
      <c r="HY18">
        <f ca="1"/>
      </c>
    </row>
    <row r="19" spans="1:233" x14ac:dyDescent="0.55000000000000004">
      <c r="A19" t="s">
        <v>7</v>
      </c>
      <c r="B19" s="6" t="s">
        <v>42</v>
      </c>
      <c r="CC19">
        <f ca="1"/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S19">
        <f ca="1"/>
      </c>
      <c r="HT19">
        <f ca="1"/>
      </c>
      <c r="HU19">
        <f ca="1"/>
      </c>
      <c r="HV19">
        <f ca="1"/>
      </c>
      <c r="HW19">
        <f ca="1"/>
      </c>
      <c r="HX19">
        <f ca="1"/>
      </c>
      <c r="HY19">
        <f ca="1"/>
      </c>
    </row>
    <row r="20" spans="1:233" x14ac:dyDescent="0.55000000000000004">
      <c r="A20" t="s">
        <v>8</v>
      </c>
      <c r="B20" s="6" t="s">
        <v>43</v>
      </c>
      <c r="CC20">
        <f ca="1"/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S20">
        <f ca="1"/>
      </c>
      <c r="HT20">
        <f ca="1"/>
      </c>
      <c r="HU20">
        <f ca="1"/>
      </c>
      <c r="HV20">
        <f ca="1"/>
      </c>
      <c r="HW20">
        <f ca="1"/>
      </c>
      <c r="HX20">
        <f ca="1"/>
      </c>
      <c r="HY20">
        <f ca="1"/>
      </c>
    </row>
    <row r="21" spans="1:233" x14ac:dyDescent="0.55000000000000004">
      <c r="A21" t="s">
        <v>9</v>
      </c>
      <c r="B21" s="6" t="s">
        <v>43</v>
      </c>
      <c r="CC21">
        <f ca="1"/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S21">
        <f ca="1"/>
      </c>
      <c r="HT21">
        <f ca="1"/>
      </c>
      <c r="HU21">
        <f ca="1"/>
      </c>
      <c r="HV21">
        <f ca="1"/>
      </c>
      <c r="HW21">
        <f ca="1"/>
      </c>
      <c r="HX21">
        <f ca="1"/>
      </c>
      <c r="HY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S22">
        <f ca="1"/>
      </c>
      <c r="HT22">
        <f ca="1"/>
      </c>
      <c r="HU22">
        <f ca="1"/>
      </c>
      <c r="HV22">
        <f ca="1"/>
      </c>
      <c r="HW22">
        <f ca="1"/>
      </c>
      <c r="HX22">
        <f ca="1"/>
      </c>
      <c r="HY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GR23" s="11"/>
      <c r="GS23" s="11"/>
      <c r="GT23" s="11"/>
      <c r="GU23" s="11"/>
      <c r="GV23" s="11"/>
      <c r="HS23">
        <f ca="1"/>
      </c>
      <c r="HT23">
        <f ca="1"/>
      </c>
      <c r="HU23">
        <f ca="1"/>
      </c>
      <c r="HV23">
        <f ca="1"/>
      </c>
      <c r="HW23">
        <f ca="1"/>
      </c>
      <c r="HX23">
        <f ca="1"/>
      </c>
      <c r="HY23">
        <f ca="1"/>
      </c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GR24" s="11"/>
      <c r="GS24" s="11"/>
      <c r="GT24" s="11"/>
      <c r="GU24" s="11"/>
      <c r="GV24" s="11"/>
      <c r="HS24">
        <f ca="1"/>
      </c>
      <c r="HT24">
        <f ca="1"/>
      </c>
      <c r="HU24">
        <f ca="1"/>
      </c>
      <c r="HV24">
        <f ca="1"/>
      </c>
      <c r="HW24">
        <f ca="1"/>
      </c>
      <c r="HX24">
        <f ca="1"/>
      </c>
      <c r="HY24">
        <f ca="1"/>
      </c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GR25" s="11"/>
      <c r="GS25" s="11"/>
      <c r="GT25" s="11"/>
      <c r="GU25" s="11"/>
      <c r="GV25" s="11"/>
      <c r="HS25">
        <f ca="1"/>
      </c>
      <c r="HT25">
        <f ca="1"/>
      </c>
      <c r="HU25">
        <f ca="1"/>
      </c>
      <c r="HV25">
        <f ca="1"/>
      </c>
      <c r="HW25">
        <f ca="1"/>
      </c>
      <c r="HX25">
        <f ca="1"/>
      </c>
      <c r="HY25">
        <f ca="1"/>
      </c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GR26" s="11"/>
      <c r="GS26" s="11"/>
      <c r="GT26" s="11"/>
      <c r="GU26" s="11"/>
      <c r="GV26" s="11"/>
      <c r="HS26">
        <f ca="1"/>
      </c>
      <c r="HT26">
        <f ca="1"/>
      </c>
      <c r="HU26">
        <f ca="1"/>
      </c>
      <c r="HV26">
        <f ca="1"/>
      </c>
      <c r="HW26">
        <f ca="1"/>
      </c>
      <c r="HX26">
        <f ca="1"/>
      </c>
      <c r="HY26">
        <f ca="1"/>
      </c>
    </row>
    <row r="27" spans="1:233" x14ac:dyDescent="0.55000000000000004">
      <c r="A27" t="s">
        <v>14</v>
      </c>
      <c r="B27" s="6" t="s">
        <v>42</v>
      </c>
      <c r="D27" t="s">
        <v>163</v>
      </c>
      <c r="CD27">
        <f ca="1"/>
      </c>
      <c r="CE27">
        <f ca="1"/>
      </c>
      <c r="CF27">
        <f ca="1"/>
      </c>
      <c r="CG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GR27" s="11"/>
      <c r="GS27" s="11"/>
      <c r="GT27" s="11"/>
      <c r="GU27" s="11"/>
      <c r="GV27" s="11"/>
      <c r="HS27">
        <f ca="1"/>
      </c>
      <c r="HT27">
        <f ca="1"/>
      </c>
      <c r="HU27">
        <f ca="1"/>
      </c>
      <c r="HV27">
        <f ca="1"/>
      </c>
      <c r="HW27">
        <f ca="1"/>
      </c>
      <c r="HX27">
        <f ca="1"/>
      </c>
      <c r="HY27">
        <f ca="1"/>
      </c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GR28" s="11"/>
      <c r="GS28" s="11"/>
      <c r="GT28" s="11"/>
      <c r="GU28" s="11"/>
      <c r="GV28" s="11"/>
      <c r="HS28">
        <f ca="1"/>
      </c>
      <c r="HT28">
        <f ca="1"/>
      </c>
      <c r="HU28">
        <f ca="1"/>
      </c>
      <c r="HV28">
        <f ca="1"/>
      </c>
      <c r="HW28">
        <f ca="1"/>
      </c>
      <c r="HX28">
        <f ca="1"/>
      </c>
      <c r="HY28">
        <f ca="1"/>
      </c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GR29" s="11"/>
      <c r="GS29" s="11"/>
      <c r="GT29" s="11"/>
      <c r="GU29" s="11"/>
      <c r="GV29" s="11"/>
      <c r="HS29">
        <f ca="1"/>
      </c>
      <c r="HT29">
        <f ca="1"/>
      </c>
      <c r="HU29">
        <f ca="1"/>
      </c>
      <c r="HV29">
        <f ca="1"/>
      </c>
      <c r="HW29">
        <f ca="1"/>
      </c>
      <c r="HX29">
        <f ca="1"/>
      </c>
      <c r="HY29">
        <f ca="1"/>
      </c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GR30" s="11"/>
      <c r="GS30" s="11"/>
      <c r="GT30" s="11"/>
      <c r="GU30" s="11"/>
      <c r="GV30" s="11"/>
      <c r="HS30">
        <f ca="1"/>
      </c>
      <c r="HT30">
        <f ca="1"/>
      </c>
      <c r="HU30">
        <f ca="1"/>
      </c>
      <c r="HV30">
        <f ca="1"/>
      </c>
      <c r="HW30">
        <f ca="1"/>
      </c>
      <c r="HX30">
        <f ca="1"/>
      </c>
      <c r="HY30">
        <f ca="1"/>
      </c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GR31" s="11"/>
      <c r="GS31" s="11"/>
      <c r="GT31" s="11"/>
      <c r="GU31" s="11"/>
      <c r="GV31" s="11"/>
      <c r="HS31">
        <f ca="1"/>
      </c>
      <c r="HT31">
        <f ca="1"/>
      </c>
      <c r="HU31">
        <f ca="1"/>
      </c>
      <c r="HV31">
        <f ca="1"/>
      </c>
      <c r="HW31">
        <f ca="1"/>
      </c>
      <c r="HX31">
        <f ca="1"/>
      </c>
      <c r="HY31">
        <f ca="1"/>
      </c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GR32" s="11"/>
      <c r="GS32" s="11"/>
      <c r="GT32" s="11"/>
      <c r="GU32" s="11"/>
      <c r="GV32" s="11"/>
      <c r="HS32">
        <f ca="1"/>
      </c>
      <c r="HT32">
        <f ca="1"/>
      </c>
      <c r="HU32">
        <f ca="1"/>
      </c>
      <c r="HV32">
        <f ca="1"/>
      </c>
      <c r="HW32">
        <f ca="1"/>
      </c>
      <c r="HX32">
        <f ca="1"/>
      </c>
      <c r="HY32">
        <f ca="1"/>
      </c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GR33" s="11"/>
      <c r="GS33" s="11"/>
      <c r="GT33" s="11"/>
      <c r="GU33" s="11"/>
      <c r="GV33" s="11"/>
      <c r="HS33">
        <f ca="1"/>
      </c>
      <c r="HT33">
        <f ca="1"/>
      </c>
      <c r="HU33">
        <f ca="1"/>
      </c>
      <c r="HV33">
        <f ca="1"/>
      </c>
      <c r="HW33">
        <f ca="1"/>
      </c>
      <c r="HX33">
        <f ca="1"/>
      </c>
      <c r="HY33">
        <f ca="1"/>
      </c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GR34" s="11"/>
      <c r="GS34" s="11"/>
      <c r="GT34" s="11"/>
      <c r="GU34" s="11"/>
      <c r="GV34" s="11"/>
      <c r="HS34">
        <f ca="1"/>
      </c>
      <c r="HT34">
        <f ca="1"/>
      </c>
      <c r="HU34">
        <f ca="1"/>
      </c>
      <c r="HV34">
        <f ca="1"/>
      </c>
      <c r="HW34">
        <f ca="1"/>
      </c>
      <c r="HX34">
        <f ca="1"/>
      </c>
      <c r="HY34">
        <f ca="1"/>
      </c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GR35" s="11"/>
      <c r="GS35" s="11"/>
      <c r="GT35" s="11"/>
      <c r="GU35" s="11"/>
      <c r="GV35" s="11"/>
      <c r="HS35">
        <f ca="1"/>
      </c>
      <c r="HT35">
        <f ca="1"/>
      </c>
      <c r="HU35">
        <f ca="1"/>
      </c>
      <c r="HV35">
        <f ca="1"/>
      </c>
      <c r="HW35">
        <f ca="1"/>
      </c>
      <c r="HX35">
        <f ca="1"/>
      </c>
      <c r="HY35">
        <f ca="1"/>
      </c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GR36" s="11"/>
      <c r="GS36" s="11"/>
      <c r="GT36" s="11"/>
      <c r="GU36" s="11"/>
      <c r="GV36" s="11"/>
      <c r="HS36">
        <f ca="1"/>
      </c>
      <c r="HT36">
        <f ca="1"/>
      </c>
      <c r="HU36">
        <f ca="1"/>
      </c>
      <c r="HV36">
        <f ca="1"/>
      </c>
      <c r="HW36">
        <f ca="1"/>
      </c>
      <c r="HX36">
        <f ca="1"/>
      </c>
      <c r="HY36">
        <f ca="1"/>
      </c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GR37" s="11"/>
      <c r="GS37" s="11"/>
      <c r="GT37" s="11"/>
      <c r="GU37" s="11"/>
      <c r="GV37" s="11"/>
      <c r="HS37">
        <f ca="1"/>
      </c>
      <c r="HT37">
        <f ca="1"/>
      </c>
      <c r="HU37">
        <f ca="1"/>
      </c>
      <c r="HV37">
        <f ca="1"/>
      </c>
      <c r="HW37">
        <f ca="1"/>
      </c>
      <c r="HX37">
        <f ca="1"/>
      </c>
      <c r="HY37">
        <f ca="1"/>
      </c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GR38" s="11"/>
      <c r="GS38" s="11"/>
      <c r="GT38" s="11"/>
      <c r="GU38" s="11"/>
      <c r="GV38" s="11"/>
      <c r="HS38">
        <f ca="1"/>
      </c>
      <c r="HT38">
        <f ca="1"/>
      </c>
      <c r="HU38">
        <f ca="1"/>
      </c>
      <c r="HV38">
        <f ca="1"/>
      </c>
      <c r="HW38">
        <f ca="1"/>
      </c>
      <c r="HX38">
        <f ca="1"/>
      </c>
      <c r="HY38">
        <f ca="1"/>
      </c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GR39" s="11"/>
      <c r="GS39" s="11"/>
      <c r="GT39" s="11"/>
      <c r="GU39" s="11"/>
      <c r="GV39" s="11"/>
      <c r="HS39">
        <f ca="1"/>
      </c>
      <c r="HT39">
        <f ca="1"/>
      </c>
      <c r="HU39">
        <f ca="1"/>
      </c>
      <c r="HV39">
        <f ca="1"/>
      </c>
      <c r="HW39">
        <f ca="1"/>
      </c>
      <c r="HX39">
        <f ca="1"/>
      </c>
      <c r="HY39">
        <f ca="1"/>
      </c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GR40" s="11"/>
      <c r="GS40" s="11"/>
      <c r="GT40" s="11"/>
      <c r="GU40" s="11"/>
      <c r="GV40" s="11"/>
      <c r="HS40">
        <f ca="1"/>
      </c>
      <c r="HT40">
        <f ca="1"/>
      </c>
      <c r="HU40">
        <f ca="1"/>
      </c>
      <c r="HV40">
        <f ca="1"/>
      </c>
      <c r="HW40">
        <f ca="1"/>
      </c>
      <c r="HX40">
        <f ca="1"/>
      </c>
      <c r="HY40">
        <f ca="1"/>
      </c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GR41" s="11"/>
      <c r="GS41" s="11"/>
      <c r="GT41" s="11"/>
      <c r="GU41" s="11"/>
      <c r="GV41" s="11"/>
      <c r="HS41">
        <f ca="1"/>
      </c>
      <c r="HT41">
        <f ca="1"/>
      </c>
      <c r="HU41">
        <f ca="1"/>
      </c>
      <c r="HV41">
        <f ca="1"/>
      </c>
      <c r="HW41">
        <f ca="1"/>
      </c>
      <c r="HX41">
        <f ca="1"/>
      </c>
      <c r="HY41">
        <f ca="1"/>
      </c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GR42" s="11"/>
      <c r="GS42" s="11"/>
      <c r="GT42" s="11"/>
      <c r="GU42" s="11"/>
      <c r="GV42" s="11"/>
      <c r="HS42">
        <f ca="1"/>
      </c>
      <c r="HT42">
        <f ca="1"/>
      </c>
      <c r="HU42">
        <f ca="1"/>
      </c>
      <c r="HV42">
        <f ca="1"/>
      </c>
      <c r="HW42">
        <f ca="1"/>
      </c>
      <c r="HX42">
        <f ca="1"/>
      </c>
      <c r="HY42">
        <f ca="1"/>
      </c>
    </row>
    <row r="43" spans="1:233" x14ac:dyDescent="0.55000000000000004">
      <c r="A43" t="s">
        <v>30</v>
      </c>
      <c r="B43" s="6" t="s">
        <v>42</v>
      </c>
      <c r="D43" t="s">
        <v>163</v>
      </c>
      <c r="CD43">
        <f ca="1"/>
      </c>
      <c r="CE43">
        <f ca="1"/>
      </c>
      <c r="CF43">
        <f ca="1"/>
      </c>
      <c r="CG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GR43" s="11"/>
      <c r="GS43" s="11"/>
      <c r="GT43" s="11"/>
      <c r="GU43" s="11"/>
      <c r="GV43" s="11"/>
      <c r="HS43">
        <f ca="1"/>
      </c>
      <c r="HT43">
        <f ca="1"/>
      </c>
      <c r="HU43">
        <f ca="1"/>
      </c>
      <c r="HV43">
        <f ca="1"/>
      </c>
      <c r="HW43">
        <f ca="1"/>
      </c>
      <c r="HX43">
        <f ca="1"/>
      </c>
      <c r="HY43">
        <f ca="1"/>
      </c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GR44" s="11"/>
      <c r="GS44" s="11"/>
      <c r="GT44" s="11"/>
      <c r="GU44" s="11"/>
      <c r="GV44" s="11"/>
      <c r="HS44">
        <f ca="1"/>
      </c>
      <c r="HT44">
        <f ca="1"/>
      </c>
      <c r="HU44">
        <f ca="1"/>
      </c>
      <c r="HV44">
        <f ca="1"/>
      </c>
      <c r="HW44">
        <f ca="1"/>
      </c>
      <c r="HX44">
        <f ca="1"/>
      </c>
      <c r="HY44">
        <f ca="1"/>
      </c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GR45" s="11"/>
      <c r="GS45" s="11"/>
      <c r="GT45" s="11"/>
      <c r="GU45" s="11"/>
      <c r="GV45" s="11"/>
      <c r="HS45">
        <f ca="1"/>
      </c>
      <c r="HT45">
        <f ca="1"/>
      </c>
      <c r="HU45">
        <f ca="1"/>
      </c>
      <c r="HV45">
        <f ca="1"/>
      </c>
      <c r="HW45">
        <f ca="1"/>
      </c>
      <c r="HX45">
        <f ca="1"/>
      </c>
      <c r="HY45">
        <f ca="1"/>
      </c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GR46" s="11"/>
      <c r="GS46" s="11"/>
      <c r="GT46" s="11"/>
      <c r="GU46" s="11"/>
      <c r="GV46" s="11"/>
      <c r="HS46">
        <f ca="1"/>
      </c>
      <c r="HT46">
        <f ca="1"/>
      </c>
      <c r="HU46">
        <f ca="1"/>
      </c>
      <c r="HV46">
        <f ca="1"/>
      </c>
      <c r="HW46">
        <f ca="1"/>
      </c>
      <c r="HX46">
        <f ca="1"/>
      </c>
      <c r="HY46">
        <f ca="1"/>
      </c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HS47">
        <f ca="1"/>
      </c>
      <c r="HT47">
        <f ca="1"/>
      </c>
      <c r="HU47">
        <f ca="1"/>
      </c>
      <c r="HV47">
        <f ca="1"/>
      </c>
      <c r="HW47">
        <f ca="1"/>
      </c>
      <c r="HX47">
        <f ca="1"/>
      </c>
      <c r="HY47">
        <f ca="1"/>
      </c>
    </row>
    <row r="48" spans="1:233" x14ac:dyDescent="0.55000000000000004">
      <c r="A48" t="s">
        <v>35</v>
      </c>
      <c r="B48" s="6" t="s">
        <v>43</v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HS48">
        <f ca="1"/>
      </c>
      <c r="HT48">
        <f ca="1"/>
      </c>
      <c r="HU48">
        <f ca="1"/>
      </c>
      <c r="HV48">
        <f ca="1"/>
      </c>
      <c r="HW48">
        <f ca="1"/>
      </c>
      <c r="HX48">
        <f ca="1"/>
      </c>
      <c r="HY48">
        <f ca="1"/>
      </c>
    </row>
    <row r="49" spans="1:233" x14ac:dyDescent="0.55000000000000004">
      <c r="A49" t="s">
        <v>36</v>
      </c>
      <c r="B49" s="6" t="s">
        <v>43</v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HS49">
        <f ca="1"/>
      </c>
      <c r="HT49">
        <f ca="1"/>
      </c>
      <c r="HU49">
        <f ca="1"/>
      </c>
      <c r="HV49">
        <f ca="1"/>
      </c>
      <c r="HW49">
        <f ca="1"/>
      </c>
      <c r="HX49">
        <f ca="1"/>
      </c>
      <c r="HY49">
        <f ca="1"/>
      </c>
    </row>
    <row r="50" spans="1:233" x14ac:dyDescent="0.55000000000000004">
      <c r="A50" t="s">
        <v>37</v>
      </c>
      <c r="B50" s="6" t="s">
        <v>43</v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HS50">
        <f ca="1"/>
      </c>
      <c r="HT50">
        <f ca="1"/>
      </c>
      <c r="HU50">
        <f ca="1"/>
      </c>
      <c r="HV50">
        <f ca="1"/>
      </c>
      <c r="HW50">
        <f ca="1"/>
      </c>
      <c r="HX50">
        <f ca="1"/>
      </c>
      <c r="HY50">
        <f ca="1"/>
      </c>
    </row>
    <row r="51" spans="1:233" x14ac:dyDescent="0.55000000000000004">
      <c r="A51" t="s">
        <v>38</v>
      </c>
      <c r="B51" s="6" t="s">
        <v>43</v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HS51">
        <f ca="1"/>
      </c>
      <c r="HT51">
        <f ca="1"/>
      </c>
      <c r="HU51">
        <f ca="1"/>
      </c>
      <c r="HV51">
        <f ca="1"/>
      </c>
      <c r="HW51">
        <f ca="1"/>
      </c>
      <c r="HX51">
        <f ca="1"/>
      </c>
      <c r="HY51">
        <f ca="1"/>
      </c>
    </row>
    <row r="52" spans="1:233" x14ac:dyDescent="0.55000000000000004">
      <c r="A52" t="s">
        <v>39</v>
      </c>
      <c r="B52" s="6" t="s">
        <v>43</v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HS52">
        <f ca="1"/>
      </c>
      <c r="HT52">
        <f ca="1"/>
      </c>
      <c r="HU52">
        <f ca="1"/>
      </c>
      <c r="HV52">
        <f ca="1"/>
      </c>
      <c r="HW52">
        <f ca="1"/>
      </c>
      <c r="HX52">
        <f ca="1"/>
      </c>
      <c r="HY52">
        <f ca="1"/>
      </c>
    </row>
    <row r="53" spans="1:233" x14ac:dyDescent="0.55000000000000004">
      <c r="A53" t="s">
        <v>40</v>
      </c>
      <c r="B53" s="6" t="s">
        <v>43</v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HS53">
        <f ca="1"/>
      </c>
      <c r="HT53">
        <f ca="1"/>
      </c>
      <c r="HU53">
        <f ca="1"/>
      </c>
      <c r="HV53">
        <f ca="1"/>
      </c>
      <c r="HW53">
        <f ca="1"/>
      </c>
      <c r="HX53">
        <f ca="1"/>
      </c>
      <c r="HY53">
        <f ca="1"/>
      </c>
    </row>
    <row r="54" spans="1:233" x14ac:dyDescent="0.55000000000000004"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EP54" t="s">
        <v>152</v>
      </c>
      <c r="EQ54" cm="1">
        <f t="array" aca="1" ref="EQ54:FR71" ca="1">_xlfn.LET(_xlpm.g,_xlfn.DROP(_xlfn.ANCHORARRAY($CO$4),1),_xlfn._xlws.FILTER(_xlpm.g,_xlfn.TAKE(_xlpm.g,,1)=2))</f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GQ54" t="s">
        <v>169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174</v>
      </c>
      <c r="HE54">
        <f>"Actual / Mean / Recon (k="&amp;$D$108&amp;")  dashed: Mean ±1σ"</f>
      </c>
      <c r="HF54" t="s">
        <v>175</v>
      </c>
      <c r="HG54" t="s">
        <v>176</v>
      </c>
      <c r="HH54" t="s">
        <v>179</v>
      </c>
      <c r="HI54" t="s">
        <v>180</v>
      </c>
      <c r="HJ54" t="s">
        <v>181</v>
      </c>
      <c r="HK54" t="s">
        <v>182</v>
      </c>
      <c r="HL54" t="s">
        <v>183</v>
      </c>
      <c r="HM54" t="s">
        <v>184</v>
      </c>
      <c r="HN54" t="s">
        <v>185</v>
      </c>
      <c r="HO54" t="s">
        <v>186</v>
      </c>
      <c r="HP54" t="s">
        <v>187</v>
      </c>
      <c r="HQ54" t="s">
        <v>188</v>
      </c>
      <c r="HR54" t="s">
        <v>189</v>
      </c>
      <c r="HS54">
        <f ca="1"/>
      </c>
      <c r="HT54">
        <f ca="1"/>
      </c>
      <c r="HU54">
        <f ca="1"/>
      </c>
      <c r="HV54">
        <f ca="1"/>
      </c>
      <c r="HW54">
        <f ca="1"/>
      </c>
      <c r="HX54">
        <f ca="1"/>
      </c>
      <c r="HY54">
        <f ca="1"/>
      </c>
    </row>
    <row r="55" spans="1:233" x14ac:dyDescent="0.55000000000000004">
      <c r="A55" t="s">
        <v>177</v>
      </c>
      <c r="B55" s="3"/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aca="1" ref="GX55:GX72" ca="1">_xlfn.LET(_xlpm.V,_xlfn.DROP(_xlfn.ANCHORARRAY($EQ$54),,10),IF(1&lt;=COLUMNS(_xlpm.V),_xlfn.CHOOSECOLS(_xlpm.V,1),IF(_xlfn.SEQUENCE(ROWS(_xlpm.V)),NA())))</f>
      </c>
      <c r="GY55" cm="1">
        <f t="array" aca="1" ref="GY55:GY72" ca="1">_xlfn.LET(_xlpm.V,_xlfn.DROP(_xlfn.ANCHORARRAY($EQ$54),,10),IF(2&lt;=COLUMNS(_xlpm.V),_xlfn.CHOOSECOLS(_xlpm.V,2),IF(_xlfn.SEQUENCE(ROWS(_xlpm.V)),NA())))</f>
      </c>
      <c r="GZ55" cm="1">
        <f t="array" aca="1" ref="GZ55:GZ72" ca="1">_xlfn.LET(_xlpm.V,_xlfn.DROP(_xlfn.ANCHORARRAY($EQ$54),,10),IF(3&lt;=COLUMNS(_xlpm.V),_xlfn.CHOOSECOLS(_xlpm.V,3),IF(_xlfn.SEQUENCE(ROWS(_xlpm.V)),NA())))</f>
      </c>
      <c r="HA55" cm="1">
        <f t="array" aca="1" ref="HA55:HA72" ca="1">_xlfn.LET(_xlpm.V,_xlfn.DROP(_xlfn.ANCHORARRAY($EQ$54),,10),IF(4&lt;=COLUMNS(_xlpm.V),_xlfn.CHOOSECOLS(_xlpm.V,4),IF(_xlfn.SEQUENCE(ROWS(_xlpm.V)),NA())))</f>
      </c>
      <c r="HB55" cm="1">
        <f t="array" aca="1" ref="HB55:HB72" ca="1">_xlfn.LET(_xlpm.V,_xlfn.DROP(_xlfn.ANCHORARRAY($EQ$54),,10),IF(5&lt;=COLUMNS(_xlpm.V),_xlfn.CHOOSECOLS(_xlpm.V,5),IF(_xlfn.SEQUENCE(ROWS(_xlpm.V)),NA())))</f>
      </c>
      <c r="HD55" cm="1">
        <f t="array" aca="1" ref="HD55:HD72" ca="1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aca="1" ref="HF55:HF72" ca="1">_xlfn.CHOOSECOLS(_xlfn.ANCHORARRAY($EQ$54),8)+_xlfn.CHOOSECOLS(_xlfn.ANCHORARRAY($EQ$54),10)</f>
      </c>
      <c r="HG55" cm="1">
        <f t="array" aca="1" ref="HG55:HG72" ca="1">_xlfn.CHOOSECOLS(_xlfn.ANCHORARRAY($EQ$54),8)-_xlfn.CHOOSECOLS(_xlfn.ANCHORARRAY($EQ$54),10)</f>
      </c>
      <c r="HH55" cm="1">
        <f t="array" aca="1" ref="HH55:HH72" ca="1">_xlfn.LET(_xlpm.v,_xlfn.CHOOSECOLS(_xlfn._xlws.FILTER(_xlfn.DROP(_xlfn.ANCHORARRAY($HS$4),1),_xlfn.TAKE(_xlfn.DROP(_xlfn.ANCHORARRAY($HS$4),1),,1)=2),3),IF(_xlpm.v="",NA(),_xlpm.v))</f>
      </c>
      <c r="HI55" cm="1">
        <f t="array" aca="1" ref="HI55:HI72" ca="1">-_xlfn.ANCHORARRAY($HH$55)</f>
      </c>
      <c r="HJ55" cm="1">
        <f t="array" aca="1" ref="HJ55:HJ72" ca="1">_xlfn.LET(_xlpm.v,_xlfn.CHOOSECOLS(_xlfn._xlws.FILTER(_xlfn.DROP(_xlfn.ANCHORARRAY($HS$4),1),_xlfn.TAKE(_xlfn.DROP(_xlfn.ANCHORARRAY($HS$4),1),,1)=2),4),IF(_xlpm.v="",NA(),_xlpm.v))</f>
      </c>
      <c r="HK55" cm="1">
        <f t="array" aca="1" ref="HK55:HK72" ca="1">-_xlfn.ANCHORARRAY($HJ$55)</f>
      </c>
      <c r="HL55" cm="1">
        <f t="array" aca="1" ref="HL55:HL72" ca="1">_xlfn.LET(_xlpm.v,_xlfn.CHOOSECOLS(_xlfn._xlws.FILTER(_xlfn.DROP(_xlfn.ANCHORARRAY($HS$4),1),_xlfn.TAKE(_xlfn.DROP(_xlfn.ANCHORARRAY($HS$4),1),,1)=2),5),IF(_xlpm.v="",NA(),_xlpm.v))</f>
      </c>
      <c r="HM55" cm="1">
        <f t="array" aca="1" ref="HM55:HM72" ca="1">-_xlfn.ANCHORARRAY($HL$55)</f>
      </c>
      <c r="HN55" cm="1">
        <f t="array" aca="1" ref="HN55:HN72" ca="1">_xlfn.LET(_xlpm.v,_xlfn.CHOOSECOLS(_xlfn._xlws.FILTER(_xlfn.DROP(_xlfn.ANCHORARRAY($HS$4),1),_xlfn.TAKE(_xlfn.DROP(_xlfn.ANCHORARRAY($HS$4),1),,1)=2),6),IF(_xlpm.v="",NA(),_xlpm.v))</f>
      </c>
      <c r="HO55" cm="1">
        <f t="array" aca="1" ref="HO55:HO72" ca="1">-_xlfn.ANCHORARRAY($HN$55)</f>
      </c>
      <c r="HP55" cm="1">
        <f t="array" aca="1" ref="HP55:HP72" ca="1">_xlfn.LET(_xlpm.v,_xlfn.CHOOSECOLS(_xlfn._xlws.FILTER(_xlfn.DROP(_xlfn.ANCHORARRAY($HS$4),1),_xlfn.TAKE(_xlfn.DROP(_xlfn.ANCHORARRAY($HS$4),1),,1)=2),7),IF(_xlpm.v="",NA(),_xlpm.v))</f>
      </c>
      <c r="HQ55" cm="1">
        <f t="array" aca="1" ref="HQ55:HQ72" ca="1">-_xlfn.ANCHORARRAY($HP$55)</f>
      </c>
      <c r="HR55" cm="1">
        <f t="array" aca="1" ref="HR55" ca="1">IFERROR(INDEX(_xlfn._xlws.FILTER(_xlfn.DROP(_xlfn.ANCHORARRAY($HS$4),1),_xlfn.TAKE(_xlfn.DROP(_xlfn.ANCHORARRAY($HS$4),1),,1)=2),1,2),"")</f>
      </c>
      <c r="HS55">
        <f ca="1"/>
      </c>
      <c r="HT55">
        <f ca="1"/>
      </c>
      <c r="HU55">
        <f ca="1"/>
      </c>
      <c r="HV55">
        <f ca="1"/>
      </c>
      <c r="HW55">
        <f ca="1"/>
      </c>
      <c r="HX55">
        <f ca="1"/>
      </c>
      <c r="HY55">
        <f ca="1"/>
      </c>
    </row>
    <row r="56" spans="1:233" x14ac:dyDescent="0.55000000000000004"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S56">
        <f ca="1"/>
      </c>
      <c r="HT56">
        <f ca="1"/>
      </c>
      <c r="HU56">
        <f ca="1"/>
      </c>
      <c r="HV56">
        <f ca="1"/>
      </c>
      <c r="HW56">
        <f ca="1"/>
      </c>
      <c r="HX56">
        <f ca="1"/>
      </c>
      <c r="HY56">
        <f ca="1"/>
      </c>
    </row>
    <row r="57" spans="1:233" x14ac:dyDescent="0.55000000000000004">
      <c r="A57" t="s">
        <v>387</v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S57">
        <f ca="1"/>
      </c>
      <c r="HT57">
        <f ca="1"/>
      </c>
      <c r="HU57">
        <f ca="1"/>
      </c>
      <c r="HV57">
        <f ca="1"/>
      </c>
      <c r="HW57">
        <f ca="1"/>
      </c>
      <c r="HX57">
        <f ca="1"/>
      </c>
      <c r="HY57">
        <f ca="1"/>
      </c>
    </row>
    <row r="58" spans="1:233" x14ac:dyDescent="0.55000000000000004">
      <c r="A58" s="47" t="s">
        <v>19</v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S58">
        <f ca="1"/>
      </c>
      <c r="HT58">
        <f ca="1"/>
      </c>
      <c r="HU58">
        <f ca="1"/>
      </c>
      <c r="HV58">
        <f ca="1"/>
      </c>
      <c r="HW58">
        <f ca="1"/>
      </c>
      <c r="HX58">
        <f ca="1"/>
      </c>
      <c r="HY58">
        <f ca="1"/>
      </c>
    </row>
    <row r="59" spans="1:233" x14ac:dyDescent="0.55000000000000004">
      <c r="A59" s="47" t="s">
        <v>24</v>
      </c>
      <c r="D59" t="s">
        <v>163</v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S59">
        <f ca="1"/>
      </c>
      <c r="HT59">
        <f ca="1"/>
      </c>
      <c r="HU59">
        <f ca="1"/>
      </c>
      <c r="HV59">
        <f ca="1"/>
      </c>
      <c r="HW59">
        <f ca="1"/>
      </c>
      <c r="HX59">
        <f ca="1"/>
      </c>
      <c r="HY59">
        <f ca="1"/>
      </c>
    </row>
    <row r="60" spans="1:233" x14ac:dyDescent="0.55000000000000004">
      <c r="A60" s="47" t="s">
        <v>28</v>
      </c>
      <c r="D60" s="2">
        <v>4</v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S60">
        <f ca="1"/>
      </c>
      <c r="HT60">
        <f ca="1"/>
      </c>
      <c r="HU60">
        <f ca="1"/>
      </c>
      <c r="HV60">
        <f ca="1"/>
      </c>
      <c r="HW60">
        <f ca="1"/>
      </c>
      <c r="HX60">
        <f ca="1"/>
      </c>
      <c r="HY60">
        <f ca="1"/>
      </c>
    </row>
    <row r="61" spans="1:233" x14ac:dyDescent="0.55000000000000004">
      <c r="A61" s="47"/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S61">
        <f ca="1"/>
      </c>
      <c r="HT61">
        <f ca="1"/>
      </c>
      <c r="HU61">
        <f ca="1"/>
      </c>
      <c r="HV61">
        <f ca="1"/>
      </c>
      <c r="HW61">
        <f ca="1"/>
      </c>
      <c r="HX61">
        <f ca="1"/>
      </c>
      <c r="HY61">
        <f ca="1"/>
      </c>
    </row>
    <row r="62" spans="1:233" x14ac:dyDescent="0.55000000000000004">
      <c r="A62" s="47"/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S62">
        <f ca="1"/>
      </c>
      <c r="HT62">
        <f ca="1"/>
      </c>
      <c r="HU62">
        <f ca="1"/>
      </c>
      <c r="HV62">
        <f ca="1"/>
      </c>
      <c r="HW62">
        <f ca="1"/>
      </c>
      <c r="HX62">
        <f ca="1"/>
      </c>
      <c r="HY62">
        <f ca="1"/>
      </c>
    </row>
    <row r="63" spans="1:233" x14ac:dyDescent="0.55000000000000004"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S63">
        <f ca="1"/>
      </c>
      <c r="HT63">
        <f ca="1"/>
      </c>
      <c r="HU63">
        <f ca="1"/>
      </c>
      <c r="HV63">
        <f ca="1"/>
      </c>
      <c r="HW63">
        <f ca="1"/>
      </c>
      <c r="HX63">
        <f ca="1"/>
      </c>
      <c r="HY63">
        <f ca="1"/>
      </c>
    </row>
    <row r="64" spans="1:233" x14ac:dyDescent="0.55000000000000004"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S64">
        <f ca="1"/>
      </c>
      <c r="HT64">
        <f ca="1"/>
      </c>
      <c r="HU64">
        <f ca="1"/>
      </c>
      <c r="HV64">
        <f ca="1"/>
      </c>
      <c r="HW64">
        <f ca="1"/>
      </c>
      <c r="HX64">
        <f ca="1"/>
      </c>
      <c r="HY64">
        <f ca="1"/>
      </c>
    </row>
    <row r="65" spans="4:233" x14ac:dyDescent="0.55000000000000004"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S65">
        <f ca="1"/>
      </c>
      <c r="HT65">
        <f ca="1"/>
      </c>
      <c r="HU65">
        <f ca="1"/>
      </c>
      <c r="HV65">
        <f ca="1"/>
      </c>
      <c r="HW65">
        <f ca="1"/>
      </c>
      <c r="HX65">
        <f ca="1"/>
      </c>
      <c r="HY65">
        <f ca="1"/>
      </c>
    </row>
    <row r="66" spans="4:233" x14ac:dyDescent="0.55000000000000004"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S66">
        <f ca="1"/>
      </c>
      <c r="HT66">
        <f ca="1"/>
      </c>
      <c r="HU66">
        <f ca="1"/>
      </c>
      <c r="HV66">
        <f ca="1"/>
      </c>
      <c r="HW66">
        <f ca="1"/>
      </c>
      <c r="HX66">
        <f ca="1"/>
      </c>
      <c r="HY66">
        <f ca="1"/>
      </c>
    </row>
    <row r="67" spans="4:233" x14ac:dyDescent="0.55000000000000004"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S67">
        <f ca="1"/>
      </c>
      <c r="HT67">
        <f ca="1"/>
      </c>
      <c r="HU67">
        <f ca="1"/>
      </c>
      <c r="HV67">
        <f ca="1"/>
      </c>
      <c r="HW67">
        <f ca="1"/>
      </c>
      <c r="HX67">
        <f ca="1"/>
      </c>
      <c r="HY67">
        <f ca="1"/>
      </c>
    </row>
    <row r="68" spans="4:233" x14ac:dyDescent="0.55000000000000004"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S68">
        <f ca="1"/>
      </c>
      <c r="HT68">
        <f ca="1"/>
      </c>
      <c r="HU68">
        <f ca="1"/>
      </c>
      <c r="HV68">
        <f ca="1"/>
      </c>
      <c r="HW68">
        <f ca="1"/>
      </c>
      <c r="HX68">
        <f ca="1"/>
      </c>
      <c r="HY68">
        <f ca="1"/>
      </c>
    </row>
    <row r="69" spans="4:233" x14ac:dyDescent="0.55000000000000004"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S69">
        <f ca="1"/>
      </c>
      <c r="HT69">
        <f ca="1"/>
      </c>
      <c r="HU69">
        <f ca="1"/>
      </c>
      <c r="HV69">
        <f ca="1"/>
      </c>
      <c r="HW69">
        <f ca="1"/>
      </c>
      <c r="HX69">
        <f ca="1"/>
      </c>
      <c r="HY69">
        <f ca="1"/>
      </c>
    </row>
    <row r="70" spans="4:233" x14ac:dyDescent="0.55000000000000004"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S70">
        <f ca="1"/>
      </c>
      <c r="HT70">
        <f ca="1"/>
      </c>
      <c r="HU70">
        <f ca="1"/>
      </c>
      <c r="HV70">
        <f ca="1"/>
      </c>
      <c r="HW70">
        <f ca="1"/>
      </c>
      <c r="HX70">
        <f ca="1"/>
      </c>
      <c r="HY70">
        <f ca="1"/>
      </c>
    </row>
    <row r="71" spans="4:233" x14ac:dyDescent="0.55000000000000004"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S71">
        <f ca="1"/>
      </c>
      <c r="HT71">
        <f ca="1"/>
      </c>
      <c r="HU71">
        <f ca="1"/>
      </c>
      <c r="HV71">
        <f ca="1"/>
      </c>
      <c r="HW71">
        <f ca="1"/>
      </c>
      <c r="HX71">
        <f ca="1"/>
      </c>
      <c r="HY71">
        <f ca="1"/>
      </c>
    </row>
    <row r="72" spans="4:233" x14ac:dyDescent="0.55000000000000004"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S72">
        <f ca="1"/>
      </c>
      <c r="HT72">
        <f ca="1"/>
      </c>
      <c r="HU72">
        <f ca="1"/>
      </c>
      <c r="HV72">
        <f ca="1"/>
      </c>
      <c r="HW72">
        <f ca="1"/>
      </c>
      <c r="HX72">
        <f ca="1"/>
      </c>
      <c r="HY72">
        <f ca="1"/>
      </c>
    </row>
    <row r="73" spans="4:233" x14ac:dyDescent="0.55000000000000004"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GR73" s="11"/>
      <c r="GS73" s="11"/>
      <c r="GT73" s="11"/>
      <c r="GU73" s="11"/>
      <c r="GV73" s="11"/>
      <c r="HS73">
        <f ca="1"/>
      </c>
      <c r="HT73">
        <f ca="1"/>
      </c>
      <c r="HU73">
        <f ca="1"/>
      </c>
      <c r="HV73">
        <f ca="1"/>
      </c>
      <c r="HW73">
        <f ca="1"/>
      </c>
      <c r="HX73">
        <f ca="1"/>
      </c>
      <c r="HY73">
        <f ca="1"/>
      </c>
    </row>
    <row r="74" spans="4:233" x14ac:dyDescent="0.55000000000000004"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GR74" s="11"/>
      <c r="GS74" s="11"/>
      <c r="GT74" s="11"/>
      <c r="GU74" s="11"/>
      <c r="GV74" s="11"/>
      <c r="HS74">
        <f ca="1"/>
      </c>
      <c r="HT74">
        <f ca="1"/>
      </c>
      <c r="HU74">
        <f ca="1"/>
      </c>
      <c r="HV74">
        <f ca="1"/>
      </c>
      <c r="HW74">
        <f ca="1"/>
      </c>
      <c r="HX74">
        <f ca="1"/>
      </c>
      <c r="HY74">
        <f ca="1"/>
      </c>
    </row>
    <row r="75" spans="4:233" x14ac:dyDescent="0.55000000000000004">
      <c r="D75" t="s">
        <v>163</v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GR75" s="11"/>
      <c r="GS75" s="11"/>
      <c r="GT75" s="11"/>
      <c r="GU75" s="11"/>
      <c r="GV75" s="11"/>
      <c r="HS75">
        <f ca="1"/>
      </c>
      <c r="HT75">
        <f ca="1"/>
      </c>
      <c r="HU75">
        <f ca="1"/>
      </c>
      <c r="HV75">
        <f ca="1"/>
      </c>
      <c r="HW75">
        <f ca="1"/>
      </c>
      <c r="HX75">
        <f ca="1"/>
      </c>
      <c r="HY75">
        <f ca="1"/>
      </c>
    </row>
    <row r="76" spans="4:233" x14ac:dyDescent="0.55000000000000004">
      <c r="D76" s="2">
        <v>5</v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GR76" s="11"/>
      <c r="GS76" s="11"/>
      <c r="GT76" s="11"/>
      <c r="GU76" s="11"/>
      <c r="GV76" s="11"/>
      <c r="HS76">
        <f ca="1"/>
      </c>
      <c r="HT76">
        <f ca="1"/>
      </c>
      <c r="HU76">
        <f ca="1"/>
      </c>
      <c r="HV76">
        <f ca="1"/>
      </c>
      <c r="HW76">
        <f ca="1"/>
      </c>
      <c r="HX76">
        <f ca="1"/>
      </c>
      <c r="HY76">
        <f ca="1"/>
      </c>
    </row>
    <row r="77" spans="4:233" x14ac:dyDescent="0.55000000000000004"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GR77" s="11"/>
      <c r="GS77" s="11"/>
      <c r="GT77" s="11"/>
      <c r="GU77" s="11"/>
      <c r="GV77" s="11"/>
      <c r="HS77">
        <f ca="1"/>
      </c>
      <c r="HT77">
        <f ca="1"/>
      </c>
      <c r="HU77">
        <f ca="1"/>
      </c>
      <c r="HV77">
        <f ca="1"/>
      </c>
      <c r="HW77">
        <f ca="1"/>
      </c>
      <c r="HX77">
        <f ca="1"/>
      </c>
      <c r="HY77">
        <f ca="1"/>
      </c>
    </row>
    <row r="78" spans="4:233" x14ac:dyDescent="0.55000000000000004"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GR78" s="11"/>
      <c r="GS78" s="11"/>
      <c r="GT78" s="11"/>
      <c r="GU78" s="11"/>
      <c r="GV78" s="11"/>
      <c r="HS78">
        <f ca="1"/>
      </c>
      <c r="HT78">
        <f ca="1"/>
      </c>
      <c r="HU78">
        <f ca="1"/>
      </c>
      <c r="HV78">
        <f ca="1"/>
      </c>
      <c r="HW78">
        <f ca="1"/>
      </c>
      <c r="HX78">
        <f ca="1"/>
      </c>
      <c r="HY78">
        <f ca="1"/>
      </c>
    </row>
    <row r="79" spans="4:233" x14ac:dyDescent="0.55000000000000004"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GR79" s="11"/>
      <c r="GS79" s="11"/>
      <c r="GT79" s="11"/>
      <c r="GU79" s="11"/>
      <c r="GV79" s="11"/>
      <c r="HS79">
        <f ca="1"/>
      </c>
      <c r="HT79">
        <f ca="1"/>
      </c>
      <c r="HU79">
        <f ca="1"/>
      </c>
      <c r="HV79">
        <f ca="1"/>
      </c>
      <c r="HW79">
        <f ca="1"/>
      </c>
      <c r="HX79">
        <f ca="1"/>
      </c>
      <c r="HY79">
        <f ca="1"/>
      </c>
    </row>
    <row r="80" spans="4:233" x14ac:dyDescent="0.55000000000000004"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GR80" s="11"/>
      <c r="GS80" s="11"/>
      <c r="GT80" s="11"/>
      <c r="GU80" s="11"/>
      <c r="GV80" s="11"/>
      <c r="HS80">
        <f ca="1"/>
      </c>
      <c r="HT80">
        <f ca="1"/>
      </c>
      <c r="HU80">
        <f ca="1"/>
      </c>
      <c r="HV80">
        <f ca="1"/>
      </c>
      <c r="HW80">
        <f ca="1"/>
      </c>
      <c r="HX80">
        <f ca="1"/>
      </c>
      <c r="HY80">
        <f ca="1"/>
      </c>
    </row>
    <row r="81" spans="4:233" x14ac:dyDescent="0.55000000000000004"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GR81" s="11"/>
      <c r="GS81" s="11"/>
      <c r="GT81" s="11"/>
      <c r="GU81" s="11"/>
      <c r="GV81" s="11"/>
      <c r="HS81">
        <f ca="1"/>
      </c>
      <c r="HT81">
        <f ca="1"/>
      </c>
      <c r="HU81">
        <f ca="1"/>
      </c>
      <c r="HV81">
        <f ca="1"/>
      </c>
      <c r="HW81">
        <f ca="1"/>
      </c>
      <c r="HX81">
        <f ca="1"/>
      </c>
      <c r="HY81">
        <f ca="1"/>
      </c>
    </row>
    <row r="82" spans="4:233" x14ac:dyDescent="0.55000000000000004"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GR82" s="11"/>
      <c r="GS82" s="11"/>
      <c r="GT82" s="11"/>
      <c r="GU82" s="11"/>
      <c r="GV82" s="11"/>
      <c r="HS82">
        <f ca="1"/>
      </c>
      <c r="HT82">
        <f ca="1"/>
      </c>
      <c r="HU82">
        <f ca="1"/>
      </c>
      <c r="HV82">
        <f ca="1"/>
      </c>
      <c r="HW82">
        <f ca="1"/>
      </c>
      <c r="HX82">
        <f ca="1"/>
      </c>
      <c r="HY82">
        <f ca="1"/>
      </c>
    </row>
    <row r="83" spans="4:233" x14ac:dyDescent="0.55000000000000004"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GR83" s="11"/>
      <c r="GS83" s="11"/>
      <c r="GT83" s="11"/>
      <c r="GU83" s="11"/>
      <c r="GV83" s="11"/>
      <c r="HS83">
        <f ca="1"/>
      </c>
      <c r="HT83">
        <f ca="1"/>
      </c>
      <c r="HU83">
        <f ca="1"/>
      </c>
      <c r="HV83">
        <f ca="1"/>
      </c>
      <c r="HW83">
        <f ca="1"/>
      </c>
      <c r="HX83">
        <f ca="1"/>
      </c>
      <c r="HY83">
        <f ca="1"/>
      </c>
    </row>
    <row r="84" spans="4:233" x14ac:dyDescent="0.55000000000000004"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GR84" s="11"/>
      <c r="GS84" s="11"/>
      <c r="GT84" s="11"/>
      <c r="GU84" s="11"/>
      <c r="GV84" s="11"/>
      <c r="HS84">
        <f ca="1"/>
      </c>
      <c r="HT84">
        <f ca="1"/>
      </c>
      <c r="HU84">
        <f ca="1"/>
      </c>
      <c r="HV84">
        <f ca="1"/>
      </c>
      <c r="HW84">
        <f ca="1"/>
      </c>
      <c r="HX84">
        <f ca="1"/>
      </c>
      <c r="HY84">
        <f ca="1"/>
      </c>
    </row>
    <row r="85" spans="4:233" x14ac:dyDescent="0.55000000000000004"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GR85" s="11"/>
      <c r="GS85" s="11"/>
      <c r="GT85" s="11"/>
      <c r="GU85" s="11"/>
      <c r="GV85" s="11"/>
      <c r="HS85">
        <f ca="1"/>
      </c>
      <c r="HT85">
        <f ca="1"/>
      </c>
      <c r="HU85">
        <f ca="1"/>
      </c>
      <c r="HV85">
        <f ca="1"/>
      </c>
      <c r="HW85">
        <f ca="1"/>
      </c>
      <c r="HX85">
        <f ca="1"/>
      </c>
      <c r="HY85">
        <f ca="1"/>
      </c>
    </row>
    <row r="86" spans="4:233" x14ac:dyDescent="0.55000000000000004"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GR86" s="11"/>
      <c r="GS86" s="11"/>
      <c r="GT86" s="11"/>
      <c r="GU86" s="11"/>
      <c r="GV86" s="11"/>
      <c r="HS86">
        <f ca="1"/>
      </c>
      <c r="HT86">
        <f ca="1"/>
      </c>
      <c r="HU86">
        <f ca="1"/>
      </c>
      <c r="HV86">
        <f ca="1"/>
      </c>
      <c r="HW86">
        <f ca="1"/>
      </c>
      <c r="HX86">
        <f ca="1"/>
      </c>
      <c r="HY86">
        <f ca="1"/>
      </c>
    </row>
    <row r="87" spans="4:233" x14ac:dyDescent="0.55000000000000004"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GR87" s="11"/>
      <c r="GS87" s="11"/>
      <c r="GT87" s="11"/>
      <c r="GU87" s="11"/>
      <c r="GV87" s="11"/>
      <c r="HS87">
        <f ca="1"/>
      </c>
      <c r="HT87">
        <f ca="1"/>
      </c>
      <c r="HU87">
        <f ca="1"/>
      </c>
      <c r="HV87">
        <f ca="1"/>
      </c>
      <c r="HW87">
        <f ca="1"/>
      </c>
      <c r="HX87">
        <f ca="1"/>
      </c>
      <c r="HY87">
        <f ca="1"/>
      </c>
    </row>
    <row r="88" spans="4:233" x14ac:dyDescent="0.55000000000000004"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GR88" s="11"/>
      <c r="GS88" s="11"/>
      <c r="GT88" s="11"/>
      <c r="GU88" s="11"/>
      <c r="GV88" s="11"/>
      <c r="HS88">
        <f ca="1"/>
      </c>
      <c r="HT88">
        <f ca="1"/>
      </c>
      <c r="HU88">
        <f ca="1"/>
      </c>
      <c r="HV88">
        <f ca="1"/>
      </c>
      <c r="HW88">
        <f ca="1"/>
      </c>
      <c r="HX88">
        <f ca="1"/>
      </c>
      <c r="HY88">
        <f ca="1"/>
      </c>
    </row>
    <row r="89" spans="4:233" x14ac:dyDescent="0.55000000000000004"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GR89" s="11"/>
      <c r="GS89" s="11"/>
      <c r="GT89" s="11"/>
      <c r="GU89" s="11"/>
      <c r="GV89" s="11"/>
      <c r="HS89">
        <f ca="1"/>
      </c>
      <c r="HT89">
        <f ca="1"/>
      </c>
      <c r="HU89">
        <f ca="1"/>
      </c>
      <c r="HV89">
        <f ca="1"/>
      </c>
      <c r="HW89">
        <f ca="1"/>
      </c>
      <c r="HX89">
        <f ca="1"/>
      </c>
      <c r="HY89">
        <f ca="1"/>
      </c>
    </row>
    <row r="90" spans="4:233" x14ac:dyDescent="0.55000000000000004"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GR90" s="11"/>
      <c r="GS90" s="11"/>
      <c r="GT90" s="11"/>
      <c r="GU90" s="11"/>
      <c r="GV90" s="11"/>
      <c r="HS90">
        <f ca="1"/>
      </c>
      <c r="HT90">
        <f ca="1"/>
      </c>
      <c r="HU90">
        <f ca="1"/>
      </c>
      <c r="HV90">
        <f ca="1"/>
      </c>
      <c r="HW90">
        <f ca="1"/>
      </c>
      <c r="HX90">
        <f ca="1"/>
      </c>
      <c r="HY90">
        <f ca="1"/>
      </c>
    </row>
    <row r="91" spans="4:233" x14ac:dyDescent="0.55000000000000004">
      <c r="D91" t="s">
        <v>164</v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GR91" s="11"/>
      <c r="GS91" s="11"/>
      <c r="GT91" s="11"/>
      <c r="GU91" s="11"/>
      <c r="GV91" s="11"/>
      <c r="HS91">
        <f ca="1"/>
      </c>
      <c r="HT91">
        <f ca="1"/>
      </c>
      <c r="HU91">
        <f ca="1"/>
      </c>
      <c r="HV91">
        <f ca="1"/>
      </c>
      <c r="HW91">
        <f ca="1"/>
      </c>
      <c r="HX91">
        <f ca="1"/>
      </c>
      <c r="HY91">
        <f ca="1"/>
      </c>
    </row>
    <row r="92" spans="4:233" x14ac:dyDescent="0.55000000000000004"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GR92" s="11"/>
      <c r="GS92" s="11"/>
      <c r="GT92" s="11"/>
      <c r="GU92" s="11"/>
      <c r="GV92" s="11"/>
      <c r="HS92">
        <f ca="1"/>
      </c>
      <c r="HT92">
        <f ca="1"/>
      </c>
      <c r="HU92">
        <f ca="1"/>
      </c>
      <c r="HV92">
        <f ca="1"/>
      </c>
      <c r="HW92">
        <f ca="1"/>
      </c>
      <c r="HX92">
        <f ca="1"/>
      </c>
      <c r="HY92">
        <f ca="1"/>
      </c>
    </row>
    <row r="93" spans="4:233" x14ac:dyDescent="0.55000000000000004"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GR93" s="11"/>
      <c r="GS93" s="11"/>
      <c r="GT93" s="11"/>
      <c r="GU93" s="11"/>
      <c r="GV93" s="11"/>
      <c r="HS93">
        <f ca="1"/>
      </c>
      <c r="HT93">
        <f ca="1"/>
      </c>
      <c r="HU93">
        <f ca="1"/>
      </c>
      <c r="HV93">
        <f ca="1"/>
      </c>
      <c r="HW93">
        <f ca="1"/>
      </c>
      <c r="HX93">
        <f ca="1"/>
      </c>
      <c r="HY93">
        <f ca="1"/>
      </c>
    </row>
    <row r="94" spans="4:233" x14ac:dyDescent="0.55000000000000004"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GR94" s="11"/>
      <c r="GS94" s="11"/>
      <c r="GT94" s="11"/>
      <c r="GU94" s="11"/>
      <c r="GV94" s="11"/>
      <c r="HS94">
        <f ca="1"/>
      </c>
      <c r="HT94">
        <f ca="1"/>
      </c>
      <c r="HU94">
        <f ca="1"/>
      </c>
      <c r="HV94">
        <f ca="1"/>
      </c>
      <c r="HW94">
        <f ca="1"/>
      </c>
      <c r="HX94">
        <f ca="1"/>
      </c>
      <c r="HY94">
        <f ca="1"/>
      </c>
    </row>
    <row r="95" spans="4:233" x14ac:dyDescent="0.55000000000000004"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GR95" s="11"/>
      <c r="GS95" s="11"/>
      <c r="GT95" s="11"/>
      <c r="GU95" s="11"/>
      <c r="GV95" s="11"/>
      <c r="HS95">
        <f ca="1"/>
      </c>
      <c r="HT95">
        <f ca="1"/>
      </c>
      <c r="HU95">
        <f ca="1"/>
      </c>
      <c r="HV95">
        <f ca="1"/>
      </c>
      <c r="HW95">
        <f ca="1"/>
      </c>
      <c r="HX95">
        <f ca="1"/>
      </c>
      <c r="HY95">
        <f ca="1"/>
      </c>
    </row>
    <row r="96" spans="4:233" x14ac:dyDescent="0.55000000000000004"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GR96" s="11"/>
      <c r="GS96" s="11"/>
      <c r="GT96" s="11"/>
      <c r="GU96" s="11"/>
      <c r="GV96" s="11"/>
      <c r="HS96">
        <f ca="1"/>
      </c>
      <c r="HT96">
        <f ca="1"/>
      </c>
      <c r="HU96">
        <f ca="1"/>
      </c>
      <c r="HV96">
        <f ca="1"/>
      </c>
      <c r="HW96">
        <f ca="1"/>
      </c>
      <c r="HX96">
        <f ca="1"/>
      </c>
      <c r="HY96">
        <f ca="1"/>
      </c>
    </row>
    <row r="97" spans="4:233" x14ac:dyDescent="0.55000000000000004"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HS97">
        <f ca="1"/>
      </c>
      <c r="HT97">
        <f ca="1"/>
      </c>
      <c r="HU97">
        <f ca="1"/>
      </c>
      <c r="HV97">
        <f ca="1"/>
      </c>
      <c r="HW97">
        <f ca="1"/>
      </c>
      <c r="HX97">
        <f ca="1"/>
      </c>
      <c r="HY97">
        <f ca="1"/>
      </c>
    </row>
    <row r="98" spans="4:233" x14ac:dyDescent="0.55000000000000004"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HS98">
        <f ca="1"/>
      </c>
      <c r="HT98">
        <f ca="1"/>
      </c>
      <c r="HU98">
        <f ca="1"/>
      </c>
      <c r="HV98">
        <f ca="1"/>
      </c>
      <c r="HW98">
        <f ca="1"/>
      </c>
      <c r="HX98">
        <f ca="1"/>
      </c>
      <c r="HY98">
        <f ca="1"/>
      </c>
    </row>
    <row r="99" spans="4:233" x14ac:dyDescent="0.55000000000000004"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HS99">
        <f ca="1"/>
      </c>
      <c r="HT99">
        <f ca="1"/>
      </c>
      <c r="HU99">
        <f ca="1"/>
      </c>
      <c r="HV99">
        <f ca="1"/>
      </c>
      <c r="HW99">
        <f ca="1"/>
      </c>
      <c r="HX99">
        <f ca="1"/>
      </c>
      <c r="HY99">
        <f ca="1"/>
      </c>
    </row>
    <row r="100" spans="4:233" x14ac:dyDescent="0.55000000000000004"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HS100">
        <f ca="1"/>
      </c>
      <c r="HT100">
        <f ca="1"/>
      </c>
      <c r="HU100">
        <f ca="1"/>
      </c>
      <c r="HV100">
        <f ca="1"/>
      </c>
      <c r="HW100">
        <f ca="1"/>
      </c>
      <c r="HX100">
        <f ca="1"/>
      </c>
      <c r="HY100">
        <f ca="1"/>
      </c>
    </row>
    <row r="101" spans="4:233" x14ac:dyDescent="0.55000000000000004"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HS101">
        <f ca="1"/>
      </c>
      <c r="HT101">
        <f ca="1"/>
      </c>
      <c r="HU101">
        <f ca="1"/>
      </c>
      <c r="HV101">
        <f ca="1"/>
      </c>
      <c r="HW101">
        <f ca="1"/>
      </c>
      <c r="HX101">
        <f ca="1"/>
      </c>
      <c r="HY101">
        <f ca="1"/>
      </c>
    </row>
    <row r="102" spans="4:233" x14ac:dyDescent="0.55000000000000004"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HS102">
        <f ca="1"/>
      </c>
      <c r="HT102">
        <f ca="1"/>
      </c>
      <c r="HU102">
        <f ca="1"/>
      </c>
      <c r="HV102">
        <f ca="1"/>
      </c>
      <c r="HW102">
        <f ca="1"/>
      </c>
      <c r="HX102">
        <f ca="1"/>
      </c>
      <c r="HY102">
        <f ca="1"/>
      </c>
    </row>
    <row r="103" spans="4:233" x14ac:dyDescent="0.55000000000000004"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HS103">
        <f ca="1"/>
      </c>
      <c r="HT103">
        <f ca="1"/>
      </c>
      <c r="HU103">
        <f ca="1"/>
      </c>
      <c r="HV103">
        <f ca="1"/>
      </c>
      <c r="HW103">
        <f ca="1"/>
      </c>
      <c r="HX103">
        <f ca="1"/>
      </c>
      <c r="HY103">
        <f ca="1"/>
      </c>
    </row>
    <row r="104" spans="4:233" x14ac:dyDescent="0.55000000000000004"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EP104" t="s">
        <v>153</v>
      </c>
      <c r="EQ104" cm="1">
        <f t="array" aca="1" ref="EQ104:FR121" ca="1">_xlfn.LET(_xlpm.g,_xlfn.DROP(_xlfn.ANCHORARRAY($CO$4),1),_xlfn._xlws.FILTER(_xlpm.g,_xlfn.TAKE(_xlpm.g,,1)=3))</f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GQ104" t="s">
        <v>169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174</v>
      </c>
      <c r="HE104">
        <f>"Actual / Mean / Recon (k="&amp;$D$108&amp;")  dashed: Mean ±1σ"</f>
      </c>
      <c r="HF104" t="s">
        <v>175</v>
      </c>
      <c r="HG104" t="s">
        <v>176</v>
      </c>
      <c r="HH104" t="s">
        <v>179</v>
      </c>
      <c r="HI104" t="s">
        <v>180</v>
      </c>
      <c r="HJ104" t="s">
        <v>181</v>
      </c>
      <c r="HK104" t="s">
        <v>182</v>
      </c>
      <c r="HL104" t="s">
        <v>183</v>
      </c>
      <c r="HM104" t="s">
        <v>184</v>
      </c>
      <c r="HN104" t="s">
        <v>185</v>
      </c>
      <c r="HO104" t="s">
        <v>186</v>
      </c>
      <c r="HP104" t="s">
        <v>187</v>
      </c>
      <c r="HQ104" t="s">
        <v>188</v>
      </c>
      <c r="HR104" t="s">
        <v>189</v>
      </c>
      <c r="HS104">
        <f ca="1"/>
      </c>
      <c r="HT104">
        <f ca="1"/>
      </c>
      <c r="HU104">
        <f ca="1"/>
      </c>
      <c r="HV104">
        <f ca="1"/>
      </c>
      <c r="HW104">
        <f ca="1"/>
      </c>
      <c r="HX104">
        <f ca="1"/>
      </c>
      <c r="HY104">
        <f ca="1"/>
      </c>
    </row>
    <row r="105" spans="4:233" x14ac:dyDescent="0.55000000000000004"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aca="1" ref="GX105:GX122" ca="1">_xlfn.LET(_xlpm.V,_xlfn.DROP(_xlfn.ANCHORARRAY($EQ$104),,10),IF(1&lt;=COLUMNS(_xlpm.V),_xlfn.CHOOSECOLS(_xlpm.V,1),IF(_xlfn.SEQUENCE(ROWS(_xlpm.V)),NA())))</f>
      </c>
      <c r="GY105" cm="1">
        <f t="array" aca="1" ref="GY105:GY122" ca="1">_xlfn.LET(_xlpm.V,_xlfn.DROP(_xlfn.ANCHORARRAY($EQ$104),,10),IF(2&lt;=COLUMNS(_xlpm.V),_xlfn.CHOOSECOLS(_xlpm.V,2),IF(_xlfn.SEQUENCE(ROWS(_xlpm.V)),NA())))</f>
      </c>
      <c r="GZ105" cm="1">
        <f t="array" aca="1" ref="GZ105:GZ122" ca="1">_xlfn.LET(_xlpm.V,_xlfn.DROP(_xlfn.ANCHORARRAY($EQ$104),,10),IF(3&lt;=COLUMNS(_xlpm.V),_xlfn.CHOOSECOLS(_xlpm.V,3),IF(_xlfn.SEQUENCE(ROWS(_xlpm.V)),NA())))</f>
      </c>
      <c r="HA105" cm="1">
        <f t="array" aca="1" ref="HA105:HA122" ca="1">_xlfn.LET(_xlpm.V,_xlfn.DROP(_xlfn.ANCHORARRAY($EQ$104),,10),IF(4&lt;=COLUMNS(_xlpm.V),_xlfn.CHOOSECOLS(_xlpm.V,4),IF(_xlfn.SEQUENCE(ROWS(_xlpm.V)),NA())))</f>
      </c>
      <c r="HB105" cm="1">
        <f t="array" aca="1" ref="HB105:HB122" ca="1">_xlfn.LET(_xlpm.V,_xlfn.DROP(_xlfn.ANCHORARRAY($EQ$104),,10),IF(5&lt;=COLUMNS(_xlpm.V),_xlfn.CHOOSECOLS(_xlpm.V,5),IF(_xlfn.SEQUENCE(ROWS(_xlpm.V)),NA())))</f>
      </c>
      <c r="HD105" cm="1">
        <f t="array" aca="1" ref="HD105:HD122" ca="1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aca="1" ref="HF105:HF122" ca="1">_xlfn.CHOOSECOLS(_xlfn.ANCHORARRAY($EQ$104),8)+_xlfn.CHOOSECOLS(_xlfn.ANCHORARRAY($EQ$104),10)</f>
      </c>
      <c r="HG105" cm="1">
        <f t="array" aca="1" ref="HG105:HG122" ca="1">_xlfn.CHOOSECOLS(_xlfn.ANCHORARRAY($EQ$104),8)-_xlfn.CHOOSECOLS(_xlfn.ANCHORARRAY($EQ$104),10)</f>
      </c>
      <c r="HH105" cm="1">
        <f t="array" aca="1" ref="HH105:HH122" ca="1">_xlfn.LET(_xlpm.v,_xlfn.CHOOSECOLS(_xlfn._xlws.FILTER(_xlfn.DROP(_xlfn.ANCHORARRAY($HS$4),1),_xlfn.TAKE(_xlfn.DROP(_xlfn.ANCHORARRAY($HS$4),1),,1)=3),3),IF(_xlpm.v="",NA(),_xlpm.v))</f>
      </c>
      <c r="HI105" cm="1">
        <f t="array" aca="1" ref="HI105:HI122" ca="1">-_xlfn.ANCHORARRAY($HH$105)</f>
      </c>
      <c r="HJ105" cm="1">
        <f t="array" aca="1" ref="HJ105:HJ122" ca="1">_xlfn.LET(_xlpm.v,_xlfn.CHOOSECOLS(_xlfn._xlws.FILTER(_xlfn.DROP(_xlfn.ANCHORARRAY($HS$4),1),_xlfn.TAKE(_xlfn.DROP(_xlfn.ANCHORARRAY($HS$4),1),,1)=3),4),IF(_xlpm.v="",NA(),_xlpm.v))</f>
      </c>
      <c r="HK105" cm="1">
        <f t="array" aca="1" ref="HK105:HK122" ca="1">-_xlfn.ANCHORARRAY($HJ$105)</f>
      </c>
      <c r="HL105" cm="1">
        <f t="array" aca="1" ref="HL105:HL122" ca="1">_xlfn.LET(_xlpm.v,_xlfn.CHOOSECOLS(_xlfn._xlws.FILTER(_xlfn.DROP(_xlfn.ANCHORARRAY($HS$4),1),_xlfn.TAKE(_xlfn.DROP(_xlfn.ANCHORARRAY($HS$4),1),,1)=3),5),IF(_xlpm.v="",NA(),_xlpm.v))</f>
      </c>
      <c r="HM105" cm="1">
        <f t="array" aca="1" ref="HM105:HM122" ca="1">-_xlfn.ANCHORARRAY($HL$105)</f>
      </c>
      <c r="HN105" cm="1">
        <f t="array" aca="1" ref="HN105:HN122" ca="1">_xlfn.LET(_xlpm.v,_xlfn.CHOOSECOLS(_xlfn._xlws.FILTER(_xlfn.DROP(_xlfn.ANCHORARRAY($HS$4),1),_xlfn.TAKE(_xlfn.DROP(_xlfn.ANCHORARRAY($HS$4),1),,1)=3),6),IF(_xlpm.v="",NA(),_xlpm.v))</f>
      </c>
      <c r="HO105" cm="1">
        <f t="array" aca="1" ref="HO105:HO122" ca="1">-_xlfn.ANCHORARRAY($HN$105)</f>
      </c>
      <c r="HP105" cm="1">
        <f t="array" aca="1" ref="HP105:HP122" ca="1">_xlfn.LET(_xlpm.v,_xlfn.CHOOSECOLS(_xlfn._xlws.FILTER(_xlfn.DROP(_xlfn.ANCHORARRAY($HS$4),1),_xlfn.TAKE(_xlfn.DROP(_xlfn.ANCHORARRAY($HS$4),1),,1)=3),7),IF(_xlpm.v="",NA(),_xlpm.v))</f>
      </c>
      <c r="HQ105" cm="1">
        <f t="array" aca="1" ref="HQ105:HQ122" ca="1">-_xlfn.ANCHORARRAY($HP$105)</f>
      </c>
      <c r="HR105" cm="1">
        <f t="array" aca="1" ref="HR105" ca="1">IFERROR(INDEX(_xlfn._xlws.FILTER(_xlfn.DROP(_xlfn.ANCHORARRAY($HS$4),1),_xlfn.TAKE(_xlfn.DROP(_xlfn.ANCHORARRAY($HS$4),1),,1)=3),1,2),"")</f>
      </c>
      <c r="HS105">
        <f ca="1"/>
      </c>
      <c r="HT105">
        <f ca="1"/>
      </c>
      <c r="HU105">
        <f ca="1"/>
      </c>
      <c r="HV105">
        <f ca="1"/>
      </c>
      <c r="HW105">
        <f ca="1"/>
      </c>
      <c r="HX105">
        <f ca="1"/>
      </c>
      <c r="HY105">
        <f ca="1"/>
      </c>
    </row>
    <row r="106" spans="4:233" x14ac:dyDescent="0.55000000000000004"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S106">
        <f ca="1"/>
      </c>
      <c r="HT106">
        <f ca="1"/>
      </c>
      <c r="HU106">
        <f ca="1"/>
      </c>
      <c r="HV106">
        <f ca="1"/>
      </c>
      <c r="HW106">
        <f ca="1"/>
      </c>
      <c r="HX106">
        <f ca="1"/>
      </c>
      <c r="HY106">
        <f ca="1"/>
      </c>
    </row>
    <row r="107" spans="4:233" x14ac:dyDescent="0.55000000000000004">
      <c r="D107" t="s">
        <v>163</v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S107">
        <f ca="1"/>
      </c>
      <c r="HT107">
        <f ca="1"/>
      </c>
      <c r="HU107">
        <f ca="1"/>
      </c>
      <c r="HV107">
        <f ca="1"/>
      </c>
      <c r="HW107">
        <f ca="1"/>
      </c>
      <c r="HX107">
        <f ca="1"/>
      </c>
      <c r="HY107">
        <f ca="1"/>
      </c>
    </row>
    <row r="108" spans="4:233" x14ac:dyDescent="0.55000000000000004">
      <c r="D108" s="2">
        <v>3</v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S108">
        <f ca="1"/>
      </c>
      <c r="HT108">
        <f ca="1"/>
      </c>
      <c r="HU108">
        <f ca="1"/>
      </c>
      <c r="HV108">
        <f ca="1"/>
      </c>
      <c r="HW108">
        <f ca="1"/>
      </c>
      <c r="HX108">
        <f ca="1"/>
      </c>
      <c r="HY108">
        <f ca="1"/>
      </c>
    </row>
    <row r="109" spans="4:233" x14ac:dyDescent="0.55000000000000004"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S109">
        <f ca="1"/>
      </c>
      <c r="HT109">
        <f ca="1"/>
      </c>
      <c r="HU109">
        <f ca="1"/>
      </c>
      <c r="HV109">
        <f ca="1"/>
      </c>
      <c r="HW109">
        <f ca="1"/>
      </c>
      <c r="HX109">
        <f ca="1"/>
      </c>
      <c r="HY109">
        <f ca="1"/>
      </c>
    </row>
    <row r="110" spans="4:233" x14ac:dyDescent="0.55000000000000004"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S110">
        <f ca="1"/>
      </c>
      <c r="HT110">
        <f ca="1"/>
      </c>
      <c r="HU110">
        <f ca="1"/>
      </c>
      <c r="HV110">
        <f ca="1"/>
      </c>
      <c r="HW110">
        <f ca="1"/>
      </c>
      <c r="HX110">
        <f ca="1"/>
      </c>
      <c r="HY110">
        <f ca="1"/>
      </c>
    </row>
    <row r="111" spans="4:233" x14ac:dyDescent="0.55000000000000004"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S111">
        <f ca="1"/>
      </c>
      <c r="HT111">
        <f ca="1"/>
      </c>
      <c r="HU111">
        <f ca="1"/>
      </c>
      <c r="HV111">
        <f ca="1"/>
      </c>
      <c r="HW111">
        <f ca="1"/>
      </c>
      <c r="HX111">
        <f ca="1"/>
      </c>
      <c r="HY111">
        <f ca="1"/>
      </c>
    </row>
    <row r="112" spans="4:233" x14ac:dyDescent="0.55000000000000004"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S112">
        <f ca="1"/>
      </c>
      <c r="HT112">
        <f ca="1"/>
      </c>
      <c r="HU112">
        <f ca="1"/>
      </c>
      <c r="HV112">
        <f ca="1"/>
      </c>
      <c r="HW112">
        <f ca="1"/>
      </c>
      <c r="HX112">
        <f ca="1"/>
      </c>
      <c r="HY112">
        <f ca="1"/>
      </c>
    </row>
    <row r="113" spans="93:233" x14ac:dyDescent="0.55000000000000004"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S113">
        <f ca="1"/>
      </c>
      <c r="HT113">
        <f ca="1"/>
      </c>
      <c r="HU113">
        <f ca="1"/>
      </c>
      <c r="HV113">
        <f ca="1"/>
      </c>
      <c r="HW113">
        <f ca="1"/>
      </c>
      <c r="HX113">
        <f ca="1"/>
      </c>
      <c r="HY113">
        <f ca="1"/>
      </c>
    </row>
    <row r="114" spans="93:233" x14ac:dyDescent="0.55000000000000004"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S114">
        <f ca="1"/>
      </c>
      <c r="HT114">
        <f ca="1"/>
      </c>
      <c r="HU114">
        <f ca="1"/>
      </c>
      <c r="HV114">
        <f ca="1"/>
      </c>
      <c r="HW114">
        <f ca="1"/>
      </c>
      <c r="HX114">
        <f ca="1"/>
      </c>
      <c r="HY114">
        <f ca="1"/>
      </c>
    </row>
    <row r="115" spans="93:233" x14ac:dyDescent="0.55000000000000004"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S115">
        <f ca="1"/>
      </c>
      <c r="HT115">
        <f ca="1"/>
      </c>
      <c r="HU115">
        <f ca="1"/>
      </c>
      <c r="HV115">
        <f ca="1"/>
      </c>
      <c r="HW115">
        <f ca="1"/>
      </c>
      <c r="HX115">
        <f ca="1"/>
      </c>
      <c r="HY115">
        <f ca="1"/>
      </c>
    </row>
    <row r="116" spans="93:233" x14ac:dyDescent="0.55000000000000004"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S116">
        <f ca="1"/>
      </c>
      <c r="HT116">
        <f ca="1"/>
      </c>
      <c r="HU116">
        <f ca="1"/>
      </c>
      <c r="HV116">
        <f ca="1"/>
      </c>
      <c r="HW116">
        <f ca="1"/>
      </c>
      <c r="HX116">
        <f ca="1"/>
      </c>
      <c r="HY116">
        <f ca="1"/>
      </c>
    </row>
    <row r="117" spans="93:233" x14ac:dyDescent="0.55000000000000004"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S117">
        <f ca="1"/>
      </c>
      <c r="HT117">
        <f ca="1"/>
      </c>
      <c r="HU117">
        <f ca="1"/>
      </c>
      <c r="HV117">
        <f ca="1"/>
      </c>
      <c r="HW117">
        <f ca="1"/>
      </c>
      <c r="HX117">
        <f ca="1"/>
      </c>
      <c r="HY117">
        <f ca="1"/>
      </c>
    </row>
    <row r="118" spans="93:233" x14ac:dyDescent="0.55000000000000004"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S118">
        <f ca="1"/>
      </c>
      <c r="HT118">
        <f ca="1"/>
      </c>
      <c r="HU118">
        <f ca="1"/>
      </c>
      <c r="HV118">
        <f ca="1"/>
      </c>
      <c r="HW118">
        <f ca="1"/>
      </c>
      <c r="HX118">
        <f ca="1"/>
      </c>
      <c r="HY118">
        <f ca="1"/>
      </c>
    </row>
    <row r="119" spans="93:233" x14ac:dyDescent="0.55000000000000004"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S119">
        <f ca="1"/>
      </c>
      <c r="HT119">
        <f ca="1"/>
      </c>
      <c r="HU119">
        <f ca="1"/>
      </c>
      <c r="HV119">
        <f ca="1"/>
      </c>
      <c r="HW119">
        <f ca="1"/>
      </c>
      <c r="HX119">
        <f ca="1"/>
      </c>
      <c r="HY119">
        <f ca="1"/>
      </c>
    </row>
    <row r="120" spans="93:233" x14ac:dyDescent="0.55000000000000004"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S120">
        <f ca="1"/>
      </c>
      <c r="HT120">
        <f ca="1"/>
      </c>
      <c r="HU120">
        <f ca="1"/>
      </c>
      <c r="HV120">
        <f ca="1"/>
      </c>
      <c r="HW120">
        <f ca="1"/>
      </c>
      <c r="HX120">
        <f ca="1"/>
      </c>
      <c r="HY120">
        <f ca="1"/>
      </c>
    </row>
    <row r="121" spans="93:233" x14ac:dyDescent="0.55000000000000004"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S121">
        <f ca="1"/>
      </c>
      <c r="HT121">
        <f ca="1"/>
      </c>
      <c r="HU121">
        <f ca="1"/>
      </c>
      <c r="HV121">
        <f ca="1"/>
      </c>
      <c r="HW121">
        <f ca="1"/>
      </c>
      <c r="HX121">
        <f ca="1"/>
      </c>
      <c r="HY121">
        <f ca="1"/>
      </c>
    </row>
    <row r="122" spans="93:233" x14ac:dyDescent="0.55000000000000004"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S122">
        <f ca="1"/>
      </c>
      <c r="HT122">
        <f ca="1"/>
      </c>
      <c r="HU122">
        <f ca="1"/>
      </c>
      <c r="HV122">
        <f ca="1"/>
      </c>
      <c r="HW122">
        <f ca="1"/>
      </c>
      <c r="HX122">
        <f ca="1"/>
      </c>
      <c r="HY122">
        <f ca="1"/>
      </c>
    </row>
    <row r="123" spans="93:233" x14ac:dyDescent="0.55000000000000004"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GR123" s="11"/>
      <c r="GS123" s="11"/>
      <c r="GT123" s="11"/>
      <c r="GU123" s="11"/>
      <c r="GV123" s="11"/>
      <c r="HS123">
        <f ca="1"/>
      </c>
      <c r="HT123">
        <f ca="1"/>
      </c>
      <c r="HU123">
        <f ca="1"/>
      </c>
      <c r="HV123">
        <f ca="1"/>
      </c>
      <c r="HW123">
        <f ca="1"/>
      </c>
      <c r="HX123">
        <f ca="1"/>
      </c>
      <c r="HY123">
        <f ca="1"/>
      </c>
    </row>
    <row r="124" spans="93:233" x14ac:dyDescent="0.55000000000000004"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GR124" s="11"/>
      <c r="GS124" s="11"/>
      <c r="GT124" s="11"/>
      <c r="GU124" s="11"/>
      <c r="GV124" s="11"/>
      <c r="HS124">
        <f ca="1"/>
      </c>
      <c r="HT124">
        <f ca="1"/>
      </c>
      <c r="HU124">
        <f ca="1"/>
      </c>
      <c r="HV124">
        <f ca="1"/>
      </c>
      <c r="HW124">
        <f ca="1"/>
      </c>
      <c r="HX124">
        <f ca="1"/>
      </c>
      <c r="HY124">
        <f ca="1"/>
      </c>
    </row>
    <row r="125" spans="93:233" x14ac:dyDescent="0.55000000000000004"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GR125" s="11"/>
      <c r="GS125" s="11"/>
      <c r="GT125" s="11"/>
      <c r="GU125" s="11"/>
      <c r="GV125" s="11"/>
      <c r="HS125">
        <f ca="1"/>
      </c>
      <c r="HT125">
        <f ca="1"/>
      </c>
      <c r="HU125">
        <f ca="1"/>
      </c>
      <c r="HV125">
        <f ca="1"/>
      </c>
      <c r="HW125">
        <f ca="1"/>
      </c>
      <c r="HX125">
        <f ca="1"/>
      </c>
      <c r="HY125">
        <f ca="1"/>
      </c>
    </row>
    <row r="126" spans="93:233" x14ac:dyDescent="0.55000000000000004"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GR126" s="11"/>
      <c r="GS126" s="11"/>
      <c r="GT126" s="11"/>
      <c r="GU126" s="11"/>
      <c r="GV126" s="11"/>
      <c r="HS126">
        <f ca="1"/>
      </c>
      <c r="HT126">
        <f ca="1"/>
      </c>
      <c r="HU126">
        <f ca="1"/>
      </c>
      <c r="HV126">
        <f ca="1"/>
      </c>
      <c r="HW126">
        <f ca="1"/>
      </c>
      <c r="HX126">
        <f ca="1"/>
      </c>
      <c r="HY126">
        <f ca="1"/>
      </c>
    </row>
    <row r="127" spans="93:233" x14ac:dyDescent="0.55000000000000004"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GR127" s="11"/>
      <c r="GS127" s="11"/>
      <c r="GT127" s="11"/>
      <c r="GU127" s="11"/>
      <c r="GV127" s="11"/>
      <c r="HS127">
        <f ca="1"/>
      </c>
      <c r="HT127">
        <f ca="1"/>
      </c>
      <c r="HU127">
        <f ca="1"/>
      </c>
      <c r="HV127">
        <f ca="1"/>
      </c>
      <c r="HW127">
        <f ca="1"/>
      </c>
      <c r="HX127">
        <f ca="1"/>
      </c>
      <c r="HY127">
        <f ca="1"/>
      </c>
    </row>
    <row r="128" spans="93:233" x14ac:dyDescent="0.55000000000000004"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GR128" s="11"/>
      <c r="GS128" s="11"/>
      <c r="GT128" s="11"/>
      <c r="GU128" s="11"/>
      <c r="GV128" s="11"/>
      <c r="HS128">
        <f ca="1"/>
      </c>
      <c r="HT128">
        <f ca="1"/>
      </c>
      <c r="HU128">
        <f ca="1"/>
      </c>
      <c r="HV128">
        <f ca="1"/>
      </c>
      <c r="HW128">
        <f ca="1"/>
      </c>
      <c r="HX128">
        <f ca="1"/>
      </c>
      <c r="HY128">
        <f ca="1"/>
      </c>
    </row>
    <row r="129" spans="93:233" x14ac:dyDescent="0.55000000000000004"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GR129" s="11"/>
      <c r="GS129" s="11"/>
      <c r="GT129" s="11"/>
      <c r="GU129" s="11"/>
      <c r="GV129" s="11"/>
      <c r="HS129">
        <f ca="1"/>
      </c>
      <c r="HT129">
        <f ca="1"/>
      </c>
      <c r="HU129">
        <f ca="1"/>
      </c>
      <c r="HV129">
        <f ca="1"/>
      </c>
      <c r="HW129">
        <f ca="1"/>
      </c>
      <c r="HX129">
        <f ca="1"/>
      </c>
      <c r="HY129">
        <f ca="1"/>
      </c>
    </row>
    <row r="130" spans="93:233" x14ac:dyDescent="0.55000000000000004"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GR130" s="11"/>
      <c r="GS130" s="11"/>
      <c r="GT130" s="11"/>
      <c r="GU130" s="11"/>
      <c r="GV130" s="11"/>
      <c r="HS130">
        <f ca="1"/>
      </c>
      <c r="HT130">
        <f ca="1"/>
      </c>
      <c r="HU130">
        <f ca="1"/>
      </c>
      <c r="HV130">
        <f ca="1"/>
      </c>
      <c r="HW130">
        <f ca="1"/>
      </c>
      <c r="HX130">
        <f ca="1"/>
      </c>
      <c r="HY130">
        <f ca="1"/>
      </c>
    </row>
    <row r="131" spans="93:233" x14ac:dyDescent="0.55000000000000004"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GR131" s="11"/>
      <c r="GS131" s="11"/>
      <c r="GT131" s="11"/>
      <c r="GU131" s="11"/>
      <c r="GV131" s="11"/>
      <c r="HS131">
        <f ca="1"/>
      </c>
      <c r="HT131">
        <f ca="1"/>
      </c>
      <c r="HU131">
        <f ca="1"/>
      </c>
      <c r="HV131">
        <f ca="1"/>
      </c>
      <c r="HW131">
        <f ca="1"/>
      </c>
      <c r="HX131">
        <f ca="1"/>
      </c>
      <c r="HY131">
        <f ca="1"/>
      </c>
    </row>
    <row r="132" spans="93:233" x14ac:dyDescent="0.55000000000000004"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GR132" s="11"/>
      <c r="GS132" s="11"/>
      <c r="GT132" s="11"/>
      <c r="GU132" s="11"/>
      <c r="GV132" s="11"/>
      <c r="HS132">
        <f ca="1"/>
      </c>
      <c r="HT132">
        <f ca="1"/>
      </c>
      <c r="HU132">
        <f ca="1"/>
      </c>
      <c r="HV132">
        <f ca="1"/>
      </c>
      <c r="HW132">
        <f ca="1"/>
      </c>
      <c r="HX132">
        <f ca="1"/>
      </c>
      <c r="HY132">
        <f ca="1"/>
      </c>
    </row>
    <row r="133" spans="93:233" x14ac:dyDescent="0.55000000000000004"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GR133" s="11"/>
      <c r="GS133" s="11"/>
      <c r="GT133" s="11"/>
      <c r="GU133" s="11"/>
      <c r="GV133" s="11"/>
      <c r="HS133">
        <f ca="1"/>
      </c>
      <c r="HT133">
        <f ca="1"/>
      </c>
      <c r="HU133">
        <f ca="1"/>
      </c>
      <c r="HV133">
        <f ca="1"/>
      </c>
      <c r="HW133">
        <f ca="1"/>
      </c>
      <c r="HX133">
        <f ca="1"/>
      </c>
      <c r="HY133">
        <f ca="1"/>
      </c>
    </row>
    <row r="134" spans="93:233" x14ac:dyDescent="0.55000000000000004"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GR134" s="11"/>
      <c r="GS134" s="11"/>
      <c r="GT134" s="11"/>
      <c r="GU134" s="11"/>
      <c r="GV134" s="11"/>
      <c r="HS134">
        <f ca="1"/>
      </c>
      <c r="HT134">
        <f ca="1"/>
      </c>
      <c r="HU134">
        <f ca="1"/>
      </c>
      <c r="HV134">
        <f ca="1"/>
      </c>
      <c r="HW134">
        <f ca="1"/>
      </c>
      <c r="HX134">
        <f ca="1"/>
      </c>
      <c r="HY134">
        <f ca="1"/>
      </c>
    </row>
    <row r="135" spans="93:233" x14ac:dyDescent="0.55000000000000004"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GR135" s="11"/>
      <c r="GS135" s="11"/>
      <c r="GT135" s="11"/>
      <c r="GU135" s="11"/>
      <c r="GV135" s="11"/>
      <c r="HS135">
        <f ca="1"/>
      </c>
      <c r="HT135">
        <f ca="1"/>
      </c>
      <c r="HU135">
        <f ca="1"/>
      </c>
      <c r="HV135">
        <f ca="1"/>
      </c>
      <c r="HW135">
        <f ca="1"/>
      </c>
      <c r="HX135">
        <f ca="1"/>
      </c>
      <c r="HY135">
        <f ca="1"/>
      </c>
    </row>
    <row r="136" spans="93:233" x14ac:dyDescent="0.55000000000000004"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GR136" s="11"/>
      <c r="GS136" s="11"/>
      <c r="GT136" s="11"/>
      <c r="GU136" s="11"/>
      <c r="GV136" s="11"/>
      <c r="HS136">
        <f ca="1"/>
      </c>
      <c r="HT136">
        <f ca="1"/>
      </c>
      <c r="HU136">
        <f ca="1"/>
      </c>
      <c r="HV136">
        <f ca="1"/>
      </c>
      <c r="HW136">
        <f ca="1"/>
      </c>
      <c r="HX136">
        <f ca="1"/>
      </c>
      <c r="HY136">
        <f ca="1"/>
      </c>
    </row>
    <row r="137" spans="93:233" x14ac:dyDescent="0.55000000000000004"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GR137" s="11"/>
      <c r="GS137" s="11"/>
      <c r="GT137" s="11"/>
      <c r="GU137" s="11"/>
      <c r="GV137" s="11"/>
      <c r="HS137">
        <f ca="1"/>
      </c>
      <c r="HT137">
        <f ca="1"/>
      </c>
      <c r="HU137">
        <f ca="1"/>
      </c>
      <c r="HV137">
        <f ca="1"/>
      </c>
      <c r="HW137">
        <f ca="1"/>
      </c>
      <c r="HX137">
        <f ca="1"/>
      </c>
      <c r="HY137">
        <f ca="1"/>
      </c>
    </row>
    <row r="138" spans="93:233" x14ac:dyDescent="0.55000000000000004"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GR138" s="11"/>
      <c r="GS138" s="11"/>
      <c r="GT138" s="11"/>
      <c r="GU138" s="11"/>
      <c r="GV138" s="11"/>
      <c r="HS138">
        <f ca="1"/>
      </c>
      <c r="HT138">
        <f ca="1"/>
      </c>
      <c r="HU138">
        <f ca="1"/>
      </c>
      <c r="HV138">
        <f ca="1"/>
      </c>
      <c r="HW138">
        <f ca="1"/>
      </c>
      <c r="HX138">
        <f ca="1"/>
      </c>
      <c r="HY138">
        <f ca="1"/>
      </c>
    </row>
    <row r="139" spans="93:233" x14ac:dyDescent="0.55000000000000004"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GR139" s="11"/>
      <c r="GS139" s="11"/>
      <c r="GT139" s="11"/>
      <c r="GU139" s="11"/>
      <c r="GV139" s="11"/>
      <c r="HS139">
        <f ca="1"/>
      </c>
      <c r="HT139">
        <f ca="1"/>
      </c>
      <c r="HU139">
        <f ca="1"/>
      </c>
      <c r="HV139">
        <f ca="1"/>
      </c>
      <c r="HW139">
        <f ca="1"/>
      </c>
      <c r="HX139">
        <f ca="1"/>
      </c>
      <c r="HY139">
        <f ca="1"/>
      </c>
    </row>
    <row r="140" spans="93:233" x14ac:dyDescent="0.55000000000000004"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GR140" s="11"/>
      <c r="GS140" s="11"/>
      <c r="GT140" s="11"/>
      <c r="GU140" s="11"/>
      <c r="GV140" s="11"/>
      <c r="HS140">
        <f ca="1"/>
      </c>
      <c r="HT140">
        <f ca="1"/>
      </c>
      <c r="HU140">
        <f ca="1"/>
      </c>
      <c r="HV140">
        <f ca="1"/>
      </c>
      <c r="HW140">
        <f ca="1"/>
      </c>
      <c r="HX140">
        <f ca="1"/>
      </c>
      <c r="HY140">
        <f ca="1"/>
      </c>
    </row>
    <row r="141" spans="93:233" x14ac:dyDescent="0.55000000000000004"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GR141" s="11"/>
      <c r="GS141" s="11"/>
      <c r="GT141" s="11"/>
      <c r="GU141" s="11"/>
      <c r="GV141" s="11"/>
      <c r="HS141">
        <f ca="1"/>
      </c>
      <c r="HT141">
        <f ca="1"/>
      </c>
      <c r="HU141">
        <f ca="1"/>
      </c>
      <c r="HV141">
        <f ca="1"/>
      </c>
      <c r="HW141">
        <f ca="1"/>
      </c>
      <c r="HX141">
        <f ca="1"/>
      </c>
      <c r="HY141">
        <f ca="1"/>
      </c>
    </row>
    <row r="142" spans="93:233" x14ac:dyDescent="0.55000000000000004"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GR142" s="11"/>
      <c r="GS142" s="11"/>
      <c r="GT142" s="11"/>
      <c r="GU142" s="11"/>
      <c r="GV142" s="11"/>
      <c r="HS142">
        <f ca="1"/>
      </c>
      <c r="HT142">
        <f ca="1"/>
      </c>
      <c r="HU142">
        <f ca="1"/>
      </c>
      <c r="HV142">
        <f ca="1"/>
      </c>
      <c r="HW142">
        <f ca="1"/>
      </c>
      <c r="HX142">
        <f ca="1"/>
      </c>
      <c r="HY142">
        <f ca="1"/>
      </c>
    </row>
    <row r="143" spans="93:233" x14ac:dyDescent="0.55000000000000004"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GR143" s="11"/>
      <c r="GS143" s="11"/>
      <c r="GT143" s="11"/>
      <c r="GU143" s="11"/>
      <c r="GV143" s="11"/>
      <c r="HS143">
        <f ca="1"/>
      </c>
      <c r="HT143">
        <f ca="1"/>
      </c>
      <c r="HU143">
        <f ca="1"/>
      </c>
      <c r="HV143">
        <f ca="1"/>
      </c>
      <c r="HW143">
        <f ca="1"/>
      </c>
      <c r="HX143">
        <f ca="1"/>
      </c>
      <c r="HY143">
        <f ca="1"/>
      </c>
    </row>
    <row r="144" spans="93:233" x14ac:dyDescent="0.55000000000000004"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GR144" s="11"/>
      <c r="GS144" s="11"/>
      <c r="GT144" s="11"/>
      <c r="GU144" s="11"/>
      <c r="GV144" s="11"/>
      <c r="HS144">
        <f ca="1"/>
      </c>
      <c r="HT144">
        <f ca="1"/>
      </c>
      <c r="HU144">
        <f ca="1"/>
      </c>
      <c r="HV144">
        <f ca="1"/>
      </c>
      <c r="HW144">
        <f ca="1"/>
      </c>
      <c r="HX144">
        <f ca="1"/>
      </c>
      <c r="HY144">
        <f ca="1"/>
      </c>
    </row>
    <row r="145" spans="93:233" x14ac:dyDescent="0.55000000000000004"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GR145" s="11"/>
      <c r="GS145" s="11"/>
      <c r="GT145" s="11"/>
      <c r="GU145" s="11"/>
      <c r="GV145" s="11"/>
      <c r="HS145">
        <f ca="1"/>
      </c>
      <c r="HT145">
        <f ca="1"/>
      </c>
      <c r="HU145">
        <f ca="1"/>
      </c>
      <c r="HV145">
        <f ca="1"/>
      </c>
      <c r="HW145">
        <f ca="1"/>
      </c>
      <c r="HX145">
        <f ca="1"/>
      </c>
      <c r="HY145">
        <f ca="1"/>
      </c>
    </row>
    <row r="146" spans="93:233" x14ac:dyDescent="0.55000000000000004"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GR146" s="11"/>
      <c r="GS146" s="11"/>
      <c r="GT146" s="11"/>
      <c r="GU146" s="11"/>
      <c r="GV146" s="11"/>
      <c r="HS146">
        <f ca="1"/>
      </c>
      <c r="HT146">
        <f ca="1"/>
      </c>
      <c r="HU146">
        <f ca="1"/>
      </c>
      <c r="HV146">
        <f ca="1"/>
      </c>
      <c r="HW146">
        <f ca="1"/>
      </c>
      <c r="HX146">
        <f ca="1"/>
      </c>
      <c r="HY146">
        <f ca="1"/>
      </c>
    </row>
    <row r="147" spans="93:233" x14ac:dyDescent="0.55000000000000004"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HS147">
        <f ca="1"/>
      </c>
      <c r="HT147">
        <f ca="1"/>
      </c>
      <c r="HU147">
        <f ca="1"/>
      </c>
      <c r="HV147">
        <f ca="1"/>
      </c>
      <c r="HW147">
        <f ca="1"/>
      </c>
      <c r="HX147">
        <f ca="1"/>
      </c>
      <c r="HY147">
        <f ca="1"/>
      </c>
    </row>
    <row r="148" spans="93:233" x14ac:dyDescent="0.55000000000000004"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HS148">
        <f ca="1"/>
      </c>
      <c r="HT148">
        <f ca="1"/>
      </c>
      <c r="HU148">
        <f ca="1"/>
      </c>
      <c r="HV148">
        <f ca="1"/>
      </c>
      <c r="HW148">
        <f ca="1"/>
      </c>
      <c r="HX148">
        <f ca="1"/>
      </c>
      <c r="HY148">
        <f ca="1"/>
      </c>
    </row>
    <row r="149" spans="93:233" x14ac:dyDescent="0.55000000000000004"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HS149">
        <f ca="1"/>
      </c>
      <c r="HT149">
        <f ca="1"/>
      </c>
      <c r="HU149">
        <f ca="1"/>
      </c>
      <c r="HV149">
        <f ca="1"/>
      </c>
      <c r="HW149">
        <f ca="1"/>
      </c>
      <c r="HX149">
        <f ca="1"/>
      </c>
      <c r="HY149">
        <f ca="1"/>
      </c>
    </row>
    <row r="150" spans="93:233" x14ac:dyDescent="0.55000000000000004"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HS150">
        <f ca="1"/>
      </c>
      <c r="HT150">
        <f ca="1"/>
      </c>
      <c r="HU150">
        <f ca="1"/>
      </c>
      <c r="HV150">
        <f ca="1"/>
      </c>
      <c r="HW150">
        <f ca="1"/>
      </c>
      <c r="HX150">
        <f ca="1"/>
      </c>
      <c r="HY150">
        <f ca="1"/>
      </c>
    </row>
    <row r="151" spans="93:233" x14ac:dyDescent="0.55000000000000004"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HS151">
        <f ca="1"/>
      </c>
      <c r="HT151">
        <f ca="1"/>
      </c>
      <c r="HU151">
        <f ca="1"/>
      </c>
      <c r="HV151">
        <f ca="1"/>
      </c>
      <c r="HW151">
        <f ca="1"/>
      </c>
      <c r="HX151">
        <f ca="1"/>
      </c>
      <c r="HY151">
        <f ca="1"/>
      </c>
    </row>
    <row r="152" spans="93:233" x14ac:dyDescent="0.55000000000000004"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HS152">
        <f ca="1"/>
      </c>
      <c r="HT152">
        <f ca="1"/>
      </c>
      <c r="HU152">
        <f ca="1"/>
      </c>
      <c r="HV152">
        <f ca="1"/>
      </c>
      <c r="HW152">
        <f ca="1"/>
      </c>
      <c r="HX152">
        <f ca="1"/>
      </c>
      <c r="HY152">
        <f ca="1"/>
      </c>
    </row>
    <row r="153" spans="93:233" x14ac:dyDescent="0.55000000000000004"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HS153">
        <f ca="1"/>
      </c>
      <c r="HT153">
        <f ca="1"/>
      </c>
      <c r="HU153">
        <f ca="1"/>
      </c>
      <c r="HV153">
        <f ca="1"/>
      </c>
      <c r="HW153">
        <f ca="1"/>
      </c>
      <c r="HX153">
        <f ca="1"/>
      </c>
      <c r="HY153">
        <f ca="1"/>
      </c>
    </row>
    <row r="154" spans="93:233" x14ac:dyDescent="0.55000000000000004"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EP154" t="s">
        <v>155</v>
      </c>
      <c r="EQ154" cm="1">
        <f t="array" aca="1" ref="EQ154:FR171" ca="1">_xlfn.LET(_xlpm.g,_xlfn.DROP(_xlfn.ANCHORARRAY($CO$4),1),_xlfn._xlws.FILTER(_xlpm.g,_xlfn.TAKE(_xlpm.g,,1)=4))</f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GQ154" t="s">
        <v>169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174</v>
      </c>
      <c r="HE154">
        <f>"Actual / Mean / Recon (k="&amp;$D$108&amp;")  dashed: Mean ±1σ"</f>
      </c>
      <c r="HF154" t="s">
        <v>175</v>
      </c>
      <c r="HG154" t="s">
        <v>176</v>
      </c>
      <c r="HH154" t="s">
        <v>179</v>
      </c>
      <c r="HI154" t="s">
        <v>180</v>
      </c>
      <c r="HJ154" t="s">
        <v>181</v>
      </c>
      <c r="HK154" t="s">
        <v>182</v>
      </c>
      <c r="HL154" t="s">
        <v>183</v>
      </c>
      <c r="HM154" t="s">
        <v>184</v>
      </c>
      <c r="HN154" t="s">
        <v>185</v>
      </c>
      <c r="HO154" t="s">
        <v>186</v>
      </c>
      <c r="HP154" t="s">
        <v>187</v>
      </c>
      <c r="HQ154" t="s">
        <v>188</v>
      </c>
      <c r="HR154" t="s">
        <v>189</v>
      </c>
      <c r="HS154">
        <f ca="1"/>
      </c>
      <c r="HT154">
        <f ca="1"/>
      </c>
      <c r="HU154">
        <f ca="1"/>
      </c>
      <c r="HV154">
        <f ca="1"/>
      </c>
      <c r="HW154">
        <f ca="1"/>
      </c>
      <c r="HX154">
        <f ca="1"/>
      </c>
      <c r="HY154">
        <f ca="1"/>
      </c>
    </row>
    <row r="155" spans="93:233" x14ac:dyDescent="0.55000000000000004"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aca="1" ref="GX155:GX172" ca="1">_xlfn.LET(_xlpm.V,_xlfn.DROP(_xlfn.ANCHORARRAY($EQ$154),,10),IF(1&lt;=COLUMNS(_xlpm.V),_xlfn.CHOOSECOLS(_xlpm.V,1),IF(_xlfn.SEQUENCE(ROWS(_xlpm.V)),NA())))</f>
      </c>
      <c r="GY155" cm="1">
        <f t="array" aca="1" ref="GY155:GY172" ca="1">_xlfn.LET(_xlpm.V,_xlfn.DROP(_xlfn.ANCHORARRAY($EQ$154),,10),IF(2&lt;=COLUMNS(_xlpm.V),_xlfn.CHOOSECOLS(_xlpm.V,2),IF(_xlfn.SEQUENCE(ROWS(_xlpm.V)),NA())))</f>
      </c>
      <c r="GZ155" cm="1">
        <f t="array" aca="1" ref="GZ155:GZ172" ca="1">_xlfn.LET(_xlpm.V,_xlfn.DROP(_xlfn.ANCHORARRAY($EQ$154),,10),IF(3&lt;=COLUMNS(_xlpm.V),_xlfn.CHOOSECOLS(_xlpm.V,3),IF(_xlfn.SEQUENCE(ROWS(_xlpm.V)),NA())))</f>
      </c>
      <c r="HA155" cm="1">
        <f t="array" aca="1" ref="HA155:HA172" ca="1">_xlfn.LET(_xlpm.V,_xlfn.DROP(_xlfn.ANCHORARRAY($EQ$154),,10),IF(4&lt;=COLUMNS(_xlpm.V),_xlfn.CHOOSECOLS(_xlpm.V,4),IF(_xlfn.SEQUENCE(ROWS(_xlpm.V)),NA())))</f>
      </c>
      <c r="HB155" cm="1">
        <f t="array" aca="1" ref="HB155:HB172" ca="1">_xlfn.LET(_xlpm.V,_xlfn.DROP(_xlfn.ANCHORARRAY($EQ$154),,10),IF(5&lt;=COLUMNS(_xlpm.V),_xlfn.CHOOSECOLS(_xlpm.V,5),IF(_xlfn.SEQUENCE(ROWS(_xlpm.V)),NA())))</f>
      </c>
      <c r="HD155" cm="1">
        <f t="array" aca="1" ref="HD155:HD172" ca="1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aca="1" ref="HF155:HF172" ca="1">_xlfn.CHOOSECOLS(_xlfn.ANCHORARRAY($EQ$154),8)+_xlfn.CHOOSECOLS(_xlfn.ANCHORARRAY($EQ$154),10)</f>
      </c>
      <c r="HG155" cm="1">
        <f t="array" aca="1" ref="HG155:HG172" ca="1">_xlfn.CHOOSECOLS(_xlfn.ANCHORARRAY($EQ$154),8)-_xlfn.CHOOSECOLS(_xlfn.ANCHORARRAY($EQ$154),10)</f>
      </c>
      <c r="HH155" cm="1">
        <f t="array" aca="1" ref="HH155:HH172" ca="1">_xlfn.LET(_xlpm.v,_xlfn.CHOOSECOLS(_xlfn._xlws.FILTER(_xlfn.DROP(_xlfn.ANCHORARRAY($HS$4),1),_xlfn.TAKE(_xlfn.DROP(_xlfn.ANCHORARRAY($HS$4),1),,1)=4),3),IF(_xlpm.v="",NA(),_xlpm.v))</f>
      </c>
      <c r="HI155" cm="1">
        <f t="array" aca="1" ref="HI155:HI172" ca="1">-_xlfn.ANCHORARRAY($HH$155)</f>
      </c>
      <c r="HJ155" cm="1">
        <f t="array" aca="1" ref="HJ155:HJ172" ca="1">_xlfn.LET(_xlpm.v,_xlfn.CHOOSECOLS(_xlfn._xlws.FILTER(_xlfn.DROP(_xlfn.ANCHORARRAY($HS$4),1),_xlfn.TAKE(_xlfn.DROP(_xlfn.ANCHORARRAY($HS$4),1),,1)=4),4),IF(_xlpm.v="",NA(),_xlpm.v))</f>
      </c>
      <c r="HK155" cm="1">
        <f t="array" aca="1" ref="HK155:HK172" ca="1">-_xlfn.ANCHORARRAY($HJ$155)</f>
      </c>
      <c r="HL155" cm="1">
        <f t="array" aca="1" ref="HL155:HL172" ca="1">_xlfn.LET(_xlpm.v,_xlfn.CHOOSECOLS(_xlfn._xlws.FILTER(_xlfn.DROP(_xlfn.ANCHORARRAY($HS$4),1),_xlfn.TAKE(_xlfn.DROP(_xlfn.ANCHORARRAY($HS$4),1),,1)=4),5),IF(_xlpm.v="",NA(),_xlpm.v))</f>
      </c>
      <c r="HM155" cm="1">
        <f t="array" aca="1" ref="HM155:HM172" ca="1">-_xlfn.ANCHORARRAY($HL$155)</f>
      </c>
      <c r="HN155" cm="1">
        <f t="array" aca="1" ref="HN155:HN172" ca="1">_xlfn.LET(_xlpm.v,_xlfn.CHOOSECOLS(_xlfn._xlws.FILTER(_xlfn.DROP(_xlfn.ANCHORARRAY($HS$4),1),_xlfn.TAKE(_xlfn.DROP(_xlfn.ANCHORARRAY($HS$4),1),,1)=4),6),IF(_xlpm.v="",NA(),_xlpm.v))</f>
      </c>
      <c r="HO155" cm="1">
        <f t="array" aca="1" ref="HO155:HO172" ca="1">-_xlfn.ANCHORARRAY($HN$155)</f>
      </c>
      <c r="HP155" cm="1">
        <f t="array" aca="1" ref="HP155:HP172" ca="1">_xlfn.LET(_xlpm.v,_xlfn.CHOOSECOLS(_xlfn._xlws.FILTER(_xlfn.DROP(_xlfn.ANCHORARRAY($HS$4),1),_xlfn.TAKE(_xlfn.DROP(_xlfn.ANCHORARRAY($HS$4),1),,1)=4),7),IF(_xlpm.v="",NA(),_xlpm.v))</f>
      </c>
      <c r="HQ155" cm="1">
        <f t="array" aca="1" ref="HQ155:HQ172" ca="1">-_xlfn.ANCHORARRAY($HP$155)</f>
      </c>
      <c r="HR155" cm="1">
        <f t="array" aca="1" ref="HR155" ca="1">IFERROR(INDEX(_xlfn._xlws.FILTER(_xlfn.DROP(_xlfn.ANCHORARRAY($HS$4),1),_xlfn.TAKE(_xlfn.DROP(_xlfn.ANCHORARRAY($HS$4),1),,1)=4),1,2),"")</f>
      </c>
      <c r="HS155">
        <f ca="1"/>
      </c>
      <c r="HT155">
        <f ca="1"/>
      </c>
      <c r="HU155">
        <f ca="1"/>
      </c>
      <c r="HV155">
        <f ca="1"/>
      </c>
      <c r="HW155">
        <f ca="1"/>
      </c>
      <c r="HX155">
        <f ca="1"/>
      </c>
      <c r="HY155">
        <f ca="1"/>
      </c>
    </row>
    <row r="156" spans="93:233" x14ac:dyDescent="0.55000000000000004"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S156">
        <f ca="1"/>
      </c>
      <c r="HT156">
        <f ca="1"/>
      </c>
      <c r="HU156">
        <f ca="1"/>
      </c>
      <c r="HV156">
        <f ca="1"/>
      </c>
      <c r="HW156">
        <f ca="1"/>
      </c>
      <c r="HX156">
        <f ca="1"/>
      </c>
      <c r="HY156">
        <f ca="1"/>
      </c>
    </row>
    <row r="157" spans="93:233" x14ac:dyDescent="0.55000000000000004"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S157">
        <f ca="1"/>
      </c>
      <c r="HT157">
        <f ca="1"/>
      </c>
      <c r="HU157">
        <f ca="1"/>
      </c>
      <c r="HV157">
        <f ca="1"/>
      </c>
      <c r="HW157">
        <f ca="1"/>
      </c>
      <c r="HX157">
        <f ca="1"/>
      </c>
      <c r="HY157">
        <f ca="1"/>
      </c>
    </row>
    <row r="158" spans="93:233" x14ac:dyDescent="0.55000000000000004"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S158">
        <f ca="1"/>
      </c>
      <c r="HT158">
        <f ca="1"/>
      </c>
      <c r="HU158">
        <f ca="1"/>
      </c>
      <c r="HV158">
        <f ca="1"/>
      </c>
      <c r="HW158">
        <f ca="1"/>
      </c>
      <c r="HX158">
        <f ca="1"/>
      </c>
      <c r="HY158">
        <f ca="1"/>
      </c>
    </row>
    <row r="159" spans="93:233" x14ac:dyDescent="0.55000000000000004"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S159">
        <f ca="1"/>
      </c>
      <c r="HT159">
        <f ca="1"/>
      </c>
      <c r="HU159">
        <f ca="1"/>
      </c>
      <c r="HV159">
        <f ca="1"/>
      </c>
      <c r="HW159">
        <f ca="1"/>
      </c>
      <c r="HX159">
        <f ca="1"/>
      </c>
      <c r="HY159">
        <f ca="1"/>
      </c>
    </row>
    <row r="160" spans="93:233" x14ac:dyDescent="0.55000000000000004"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S160">
        <f ca="1"/>
      </c>
      <c r="HT160">
        <f ca="1"/>
      </c>
      <c r="HU160">
        <f ca="1"/>
      </c>
      <c r="HV160">
        <f ca="1"/>
      </c>
      <c r="HW160">
        <f ca="1"/>
      </c>
      <c r="HX160">
        <f ca="1"/>
      </c>
      <c r="HY160">
        <f ca="1"/>
      </c>
    </row>
    <row r="161" spans="93:233" x14ac:dyDescent="0.55000000000000004"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GX161">
        <f ca="1"/>
      </c>
      <c r="GY161">
        <f ca="1"/>
      </c>
      <c r="GZ161">
        <f ca="1"/>
      </c>
      <c r="HA161">
        <f ca="1"/>
      </c>
      <c r="HB161">
        <f ca="1"/>
      </c>
      <c r="HD161">
        <f ca="1"/>
      </c>
      <c r="HE161">
        <f ca="1"/>
      </c>
      <c r="HF161">
        <f ca="1"/>
      </c>
      <c r="HG161">
        <f ca="1"/>
      </c>
      <c r="HH161">
        <f ca="1"/>
      </c>
      <c r="HI161">
        <f ca="1"/>
      </c>
      <c r="HJ161">
        <f ca="1"/>
      </c>
      <c r="HK161">
        <f ca="1"/>
      </c>
      <c r="HL161">
        <f ca="1"/>
      </c>
      <c r="HM161">
        <f ca="1"/>
      </c>
      <c r="HN161">
        <f ca="1"/>
      </c>
      <c r="HO161">
        <f ca="1"/>
      </c>
      <c r="HP161">
        <f ca="1"/>
      </c>
      <c r="HQ161">
        <f ca="1"/>
      </c>
      <c r="HS161">
        <f ca="1"/>
      </c>
      <c r="HT161">
        <f ca="1"/>
      </c>
      <c r="HU161">
        <f ca="1"/>
      </c>
      <c r="HV161">
        <f ca="1"/>
      </c>
      <c r="HW161">
        <f ca="1"/>
      </c>
      <c r="HX161">
        <f ca="1"/>
      </c>
      <c r="HY161">
        <f ca="1"/>
      </c>
    </row>
    <row r="162" spans="93:233" x14ac:dyDescent="0.55000000000000004"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GX162">
        <f ca="1"/>
      </c>
      <c r="GY162">
        <f ca="1"/>
      </c>
      <c r="GZ162">
        <f ca="1"/>
      </c>
      <c r="HA162">
        <f ca="1"/>
      </c>
      <c r="HB162">
        <f ca="1"/>
      </c>
      <c r="HD162">
        <f ca="1"/>
      </c>
      <c r="HE162">
        <f ca="1"/>
      </c>
      <c r="HF162">
        <f ca="1"/>
      </c>
      <c r="HG162">
        <f ca="1"/>
      </c>
      <c r="HH162">
        <f ca="1"/>
      </c>
      <c r="HI162">
        <f ca="1"/>
      </c>
      <c r="HJ162">
        <f ca="1"/>
      </c>
      <c r="HK162">
        <f ca="1"/>
      </c>
      <c r="HL162">
        <f ca="1"/>
      </c>
      <c r="HM162">
        <f ca="1"/>
      </c>
      <c r="HN162">
        <f ca="1"/>
      </c>
      <c r="HO162">
        <f ca="1"/>
      </c>
      <c r="HP162">
        <f ca="1"/>
      </c>
      <c r="HQ162">
        <f ca="1"/>
      </c>
      <c r="HS162">
        <f ca="1"/>
      </c>
      <c r="HT162">
        <f ca="1"/>
      </c>
      <c r="HU162">
        <f ca="1"/>
      </c>
      <c r="HV162">
        <f ca="1"/>
      </c>
      <c r="HW162">
        <f ca="1"/>
      </c>
      <c r="HX162">
        <f ca="1"/>
      </c>
      <c r="HY162">
        <f ca="1"/>
      </c>
    </row>
    <row r="163" spans="93:233" x14ac:dyDescent="0.55000000000000004"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GX163">
        <f ca="1"/>
      </c>
      <c r="GY163">
        <f ca="1"/>
      </c>
      <c r="GZ163">
        <f ca="1"/>
      </c>
      <c r="HA163">
        <f ca="1"/>
      </c>
      <c r="HB163">
        <f ca="1"/>
      </c>
      <c r="HD163">
        <f ca="1"/>
      </c>
      <c r="HE163">
        <f ca="1"/>
      </c>
      <c r="HF163">
        <f ca="1"/>
      </c>
      <c r="HG163">
        <f ca="1"/>
      </c>
      <c r="HH163">
        <f ca="1"/>
      </c>
      <c r="HI163">
        <f ca="1"/>
      </c>
      <c r="HJ163">
        <f ca="1"/>
      </c>
      <c r="HK163">
        <f ca="1"/>
      </c>
      <c r="HL163">
        <f ca="1"/>
      </c>
      <c r="HM163">
        <f ca="1"/>
      </c>
      <c r="HN163">
        <f ca="1"/>
      </c>
      <c r="HO163">
        <f ca="1"/>
      </c>
      <c r="HP163">
        <f ca="1"/>
      </c>
      <c r="HQ163">
        <f ca="1"/>
      </c>
      <c r="HS163">
        <f ca="1"/>
      </c>
      <c r="HT163">
        <f ca="1"/>
      </c>
      <c r="HU163">
        <f ca="1"/>
      </c>
      <c r="HV163">
        <f ca="1"/>
      </c>
      <c r="HW163">
        <f ca="1"/>
      </c>
      <c r="HX163">
        <f ca="1"/>
      </c>
      <c r="HY163">
        <f ca="1"/>
      </c>
    </row>
    <row r="164" spans="93:233" x14ac:dyDescent="0.55000000000000004"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GX164">
        <f ca="1"/>
      </c>
      <c r="GY164">
        <f ca="1"/>
      </c>
      <c r="GZ164">
        <f ca="1"/>
      </c>
      <c r="HA164">
        <f ca="1"/>
      </c>
      <c r="HB164">
        <f ca="1"/>
      </c>
      <c r="HD164">
        <f ca="1"/>
      </c>
      <c r="HE164">
        <f ca="1"/>
      </c>
      <c r="HF164">
        <f ca="1"/>
      </c>
      <c r="HG164">
        <f ca="1"/>
      </c>
      <c r="HH164">
        <f ca="1"/>
      </c>
      <c r="HI164">
        <f ca="1"/>
      </c>
      <c r="HJ164">
        <f ca="1"/>
      </c>
      <c r="HK164">
        <f ca="1"/>
      </c>
      <c r="HL164">
        <f ca="1"/>
      </c>
      <c r="HM164">
        <f ca="1"/>
      </c>
      <c r="HN164">
        <f ca="1"/>
      </c>
      <c r="HO164">
        <f ca="1"/>
      </c>
      <c r="HP164">
        <f ca="1"/>
      </c>
      <c r="HQ164">
        <f ca="1"/>
      </c>
      <c r="HS164">
        <f ca="1"/>
      </c>
      <c r="HT164">
        <f ca="1"/>
      </c>
      <c r="HU164">
        <f ca="1"/>
      </c>
      <c r="HV164">
        <f ca="1"/>
      </c>
      <c r="HW164">
        <f ca="1"/>
      </c>
      <c r="HX164">
        <f ca="1"/>
      </c>
      <c r="HY164">
        <f ca="1"/>
      </c>
    </row>
    <row r="165" spans="93:233" x14ac:dyDescent="0.55000000000000004"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GX165">
        <f ca="1"/>
      </c>
      <c r="GY165">
        <f ca="1"/>
      </c>
      <c r="GZ165">
        <f ca="1"/>
      </c>
      <c r="HA165">
        <f ca="1"/>
      </c>
      <c r="HB165">
        <f ca="1"/>
      </c>
      <c r="HD165">
        <f ca="1"/>
      </c>
      <c r="HE165">
        <f ca="1"/>
      </c>
      <c r="HF165">
        <f ca="1"/>
      </c>
      <c r="HG165">
        <f ca="1"/>
      </c>
      <c r="HH165">
        <f ca="1"/>
      </c>
      <c r="HI165">
        <f ca="1"/>
      </c>
      <c r="HJ165">
        <f ca="1"/>
      </c>
      <c r="HK165">
        <f ca="1"/>
      </c>
      <c r="HL165">
        <f ca="1"/>
      </c>
      <c r="HM165">
        <f ca="1"/>
      </c>
      <c r="HN165">
        <f ca="1"/>
      </c>
      <c r="HO165">
        <f ca="1"/>
      </c>
      <c r="HP165">
        <f ca="1"/>
      </c>
      <c r="HQ165">
        <f ca="1"/>
      </c>
      <c r="HS165">
        <f ca="1"/>
      </c>
      <c r="HT165">
        <f ca="1"/>
      </c>
      <c r="HU165">
        <f ca="1"/>
      </c>
      <c r="HV165">
        <f ca="1"/>
      </c>
      <c r="HW165">
        <f ca="1"/>
      </c>
      <c r="HX165">
        <f ca="1"/>
      </c>
      <c r="HY165">
        <f ca="1"/>
      </c>
    </row>
    <row r="166" spans="93:233" x14ac:dyDescent="0.55000000000000004"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GX166">
        <f ca="1"/>
      </c>
      <c r="GY166">
        <f ca="1"/>
      </c>
      <c r="GZ166">
        <f ca="1"/>
      </c>
      <c r="HA166">
        <f ca="1"/>
      </c>
      <c r="HB166">
        <f ca="1"/>
      </c>
      <c r="HD166">
        <f ca="1"/>
      </c>
      <c r="HE166">
        <f ca="1"/>
      </c>
      <c r="HF166">
        <f ca="1"/>
      </c>
      <c r="HG166">
        <f ca="1"/>
      </c>
      <c r="HH166">
        <f ca="1"/>
      </c>
      <c r="HI166">
        <f ca="1"/>
      </c>
      <c r="HJ166">
        <f ca="1"/>
      </c>
      <c r="HK166">
        <f ca="1"/>
      </c>
      <c r="HL166">
        <f ca="1"/>
      </c>
      <c r="HM166">
        <f ca="1"/>
      </c>
      <c r="HN166">
        <f ca="1"/>
      </c>
      <c r="HO166">
        <f ca="1"/>
      </c>
      <c r="HP166">
        <f ca="1"/>
      </c>
      <c r="HQ166">
        <f ca="1"/>
      </c>
      <c r="HS166">
        <f ca="1"/>
      </c>
      <c r="HT166">
        <f ca="1"/>
      </c>
      <c r="HU166">
        <f ca="1"/>
      </c>
      <c r="HV166">
        <f ca="1"/>
      </c>
      <c r="HW166">
        <f ca="1"/>
      </c>
      <c r="HX166">
        <f ca="1"/>
      </c>
      <c r="HY166">
        <f ca="1"/>
      </c>
    </row>
    <row r="167" spans="93:233" x14ac:dyDescent="0.55000000000000004"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GX167">
        <f ca="1"/>
      </c>
      <c r="GY167">
        <f ca="1"/>
      </c>
      <c r="GZ167">
        <f ca="1"/>
      </c>
      <c r="HA167">
        <f ca="1"/>
      </c>
      <c r="HB167">
        <f ca="1"/>
      </c>
      <c r="HD167">
        <f ca="1"/>
      </c>
      <c r="HE167">
        <f ca="1"/>
      </c>
      <c r="HF167">
        <f ca="1"/>
      </c>
      <c r="HG167">
        <f ca="1"/>
      </c>
      <c r="HH167">
        <f ca="1"/>
      </c>
      <c r="HI167">
        <f ca="1"/>
      </c>
      <c r="HJ167">
        <f ca="1"/>
      </c>
      <c r="HK167">
        <f ca="1"/>
      </c>
      <c r="HL167">
        <f ca="1"/>
      </c>
      <c r="HM167">
        <f ca="1"/>
      </c>
      <c r="HN167">
        <f ca="1"/>
      </c>
      <c r="HO167">
        <f ca="1"/>
      </c>
      <c r="HP167">
        <f ca="1"/>
      </c>
      <c r="HQ167">
        <f ca="1"/>
      </c>
      <c r="HS167">
        <f ca="1"/>
      </c>
      <c r="HT167">
        <f ca="1"/>
      </c>
      <c r="HU167">
        <f ca="1"/>
      </c>
      <c r="HV167">
        <f ca="1"/>
      </c>
      <c r="HW167">
        <f ca="1"/>
      </c>
      <c r="HX167">
        <f ca="1"/>
      </c>
      <c r="HY167">
        <f ca="1"/>
      </c>
    </row>
    <row r="168" spans="93:233" x14ac:dyDescent="0.55000000000000004"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GX168">
        <f ca="1"/>
      </c>
      <c r="GY168">
        <f ca="1"/>
      </c>
      <c r="GZ168">
        <f ca="1"/>
      </c>
      <c r="HA168">
        <f ca="1"/>
      </c>
      <c r="HB168">
        <f ca="1"/>
      </c>
      <c r="HD168">
        <f ca="1"/>
      </c>
      <c r="HE168">
        <f ca="1"/>
      </c>
      <c r="HF168">
        <f ca="1"/>
      </c>
      <c r="HG168">
        <f ca="1"/>
      </c>
      <c r="HH168">
        <f ca="1"/>
      </c>
      <c r="HI168">
        <f ca="1"/>
      </c>
      <c r="HJ168">
        <f ca="1"/>
      </c>
      <c r="HK168">
        <f ca="1"/>
      </c>
      <c r="HL168">
        <f ca="1"/>
      </c>
      <c r="HM168">
        <f ca="1"/>
      </c>
      <c r="HN168">
        <f ca="1"/>
      </c>
      <c r="HO168">
        <f ca="1"/>
      </c>
      <c r="HP168">
        <f ca="1"/>
      </c>
      <c r="HQ168">
        <f ca="1"/>
      </c>
      <c r="HS168">
        <f ca="1"/>
      </c>
      <c r="HT168">
        <f ca="1"/>
      </c>
      <c r="HU168">
        <f ca="1"/>
      </c>
      <c r="HV168">
        <f ca="1"/>
      </c>
      <c r="HW168">
        <f ca="1"/>
      </c>
      <c r="HX168">
        <f ca="1"/>
      </c>
      <c r="HY168">
        <f ca="1"/>
      </c>
    </row>
    <row r="169" spans="93:233" x14ac:dyDescent="0.55000000000000004"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GX169">
        <f ca="1"/>
      </c>
      <c r="GY169">
        <f ca="1"/>
      </c>
      <c r="GZ169">
        <f ca="1"/>
      </c>
      <c r="HA169">
        <f ca="1"/>
      </c>
      <c r="HB169">
        <f ca="1"/>
      </c>
      <c r="HD169">
        <f ca="1"/>
      </c>
      <c r="HE169">
        <f ca="1"/>
      </c>
      <c r="HF169">
        <f ca="1"/>
      </c>
      <c r="HG169">
        <f ca="1"/>
      </c>
      <c r="HH169">
        <f ca="1"/>
      </c>
      <c r="HI169">
        <f ca="1"/>
      </c>
      <c r="HJ169">
        <f ca="1"/>
      </c>
      <c r="HK169">
        <f ca="1"/>
      </c>
      <c r="HL169">
        <f ca="1"/>
      </c>
      <c r="HM169">
        <f ca="1"/>
      </c>
      <c r="HN169">
        <f ca="1"/>
      </c>
      <c r="HO169">
        <f ca="1"/>
      </c>
      <c r="HP169">
        <f ca="1"/>
      </c>
      <c r="HQ169">
        <f ca="1"/>
      </c>
      <c r="HS169">
        <f ca="1"/>
      </c>
      <c r="HT169">
        <f ca="1"/>
      </c>
      <c r="HU169">
        <f ca="1"/>
      </c>
      <c r="HV169">
        <f ca="1"/>
      </c>
      <c r="HW169">
        <f ca="1"/>
      </c>
      <c r="HX169">
        <f ca="1"/>
      </c>
      <c r="HY169">
        <f ca="1"/>
      </c>
    </row>
    <row r="170" spans="93:233" x14ac:dyDescent="0.55000000000000004"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GX170">
        <f ca="1"/>
      </c>
      <c r="GY170">
        <f ca="1"/>
      </c>
      <c r="GZ170">
        <f ca="1"/>
      </c>
      <c r="HA170">
        <f ca="1"/>
      </c>
      <c r="HB170">
        <f ca="1"/>
      </c>
      <c r="HD170">
        <f ca="1"/>
      </c>
      <c r="HE170">
        <f ca="1"/>
      </c>
      <c r="HF170">
        <f ca="1"/>
      </c>
      <c r="HG170">
        <f ca="1"/>
      </c>
      <c r="HH170">
        <f ca="1"/>
      </c>
      <c r="HI170">
        <f ca="1"/>
      </c>
      <c r="HJ170">
        <f ca="1"/>
      </c>
      <c r="HK170">
        <f ca="1"/>
      </c>
      <c r="HL170">
        <f ca="1"/>
      </c>
      <c r="HM170">
        <f ca="1"/>
      </c>
      <c r="HN170">
        <f ca="1"/>
      </c>
      <c r="HO170">
        <f ca="1"/>
      </c>
      <c r="HP170">
        <f ca="1"/>
      </c>
      <c r="HQ170">
        <f ca="1"/>
      </c>
      <c r="HS170">
        <f ca="1"/>
      </c>
      <c r="HT170">
        <f ca="1"/>
      </c>
      <c r="HU170">
        <f ca="1"/>
      </c>
      <c r="HV170">
        <f ca="1"/>
      </c>
      <c r="HW170">
        <f ca="1"/>
      </c>
      <c r="HX170">
        <f ca="1"/>
      </c>
      <c r="HY170">
        <f ca="1"/>
      </c>
    </row>
    <row r="171" spans="93:233" x14ac:dyDescent="0.55000000000000004"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GX171">
        <f ca="1"/>
      </c>
      <c r="GY171">
        <f ca="1"/>
      </c>
      <c r="GZ171">
        <f ca="1"/>
      </c>
      <c r="HA171">
        <f ca="1"/>
      </c>
      <c r="HB171">
        <f ca="1"/>
      </c>
      <c r="HD171">
        <f ca="1"/>
      </c>
      <c r="HE171">
        <f ca="1"/>
      </c>
      <c r="HF171">
        <f ca="1"/>
      </c>
      <c r="HG171">
        <f ca="1"/>
      </c>
      <c r="HH171">
        <f ca="1"/>
      </c>
      <c r="HI171">
        <f ca="1"/>
      </c>
      <c r="HJ171">
        <f ca="1"/>
      </c>
      <c r="HK171">
        <f ca="1"/>
      </c>
      <c r="HL171">
        <f ca="1"/>
      </c>
      <c r="HM171">
        <f ca="1"/>
      </c>
      <c r="HN171">
        <f ca="1"/>
      </c>
      <c r="HO171">
        <f ca="1"/>
      </c>
      <c r="HP171">
        <f ca="1"/>
      </c>
      <c r="HQ171">
        <f ca="1"/>
      </c>
      <c r="HS171">
        <f ca="1"/>
      </c>
      <c r="HT171">
        <f ca="1"/>
      </c>
      <c r="HU171">
        <f ca="1"/>
      </c>
      <c r="HV171">
        <f ca="1"/>
      </c>
      <c r="HW171">
        <f ca="1"/>
      </c>
      <c r="HX171">
        <f ca="1"/>
      </c>
      <c r="HY171">
        <f ca="1"/>
      </c>
    </row>
    <row r="172" spans="93:233" x14ac:dyDescent="0.55000000000000004"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GX172">
        <f ca="1"/>
      </c>
      <c r="GY172">
        <f ca="1"/>
      </c>
      <c r="GZ172">
        <f ca="1"/>
      </c>
      <c r="HA172">
        <f ca="1"/>
      </c>
      <c r="HB172">
        <f ca="1"/>
      </c>
      <c r="HD172">
        <f ca="1"/>
      </c>
      <c r="HE172">
        <f ca="1"/>
      </c>
      <c r="HF172">
        <f ca="1"/>
      </c>
      <c r="HG172">
        <f ca="1"/>
      </c>
      <c r="HH172">
        <f ca="1"/>
      </c>
      <c r="HI172">
        <f ca="1"/>
      </c>
      <c r="HJ172">
        <f ca="1"/>
      </c>
      <c r="HK172">
        <f ca="1"/>
      </c>
      <c r="HL172">
        <f ca="1"/>
      </c>
      <c r="HM172">
        <f ca="1"/>
      </c>
      <c r="HN172">
        <f ca="1"/>
      </c>
      <c r="HO172">
        <f ca="1"/>
      </c>
      <c r="HP172">
        <f ca="1"/>
      </c>
      <c r="HQ172">
        <f ca="1"/>
      </c>
      <c r="HS172">
        <f ca="1"/>
      </c>
      <c r="HT172">
        <f ca="1"/>
      </c>
      <c r="HU172">
        <f ca="1"/>
      </c>
      <c r="HV172">
        <f ca="1"/>
      </c>
      <c r="HW172">
        <f ca="1"/>
      </c>
      <c r="HX172">
        <f ca="1"/>
      </c>
      <c r="HY172">
        <f ca="1"/>
      </c>
    </row>
    <row r="173" spans="93:233" x14ac:dyDescent="0.55000000000000004"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GR173" s="11"/>
      <c r="GS173" s="11"/>
      <c r="GT173" s="11"/>
      <c r="GU173" s="11"/>
      <c r="GV173" s="11"/>
      <c r="HS173">
        <f ca="1"/>
      </c>
      <c r="HT173">
        <f ca="1"/>
      </c>
      <c r="HU173">
        <f ca="1"/>
      </c>
      <c r="HV173">
        <f ca="1"/>
      </c>
      <c r="HW173">
        <f ca="1"/>
      </c>
      <c r="HX173">
        <f ca="1"/>
      </c>
      <c r="HY173">
        <f ca="1"/>
      </c>
    </row>
    <row r="174" spans="93:233" x14ac:dyDescent="0.55000000000000004"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GR174" s="11"/>
      <c r="GS174" s="11"/>
      <c r="GT174" s="11"/>
      <c r="GU174" s="11"/>
      <c r="GV174" s="11"/>
      <c r="HS174">
        <f ca="1"/>
      </c>
      <c r="HT174">
        <f ca="1"/>
      </c>
      <c r="HU174">
        <f ca="1"/>
      </c>
      <c r="HV174">
        <f ca="1"/>
      </c>
      <c r="HW174">
        <f ca="1"/>
      </c>
      <c r="HX174">
        <f ca="1"/>
      </c>
      <c r="HY174">
        <f ca="1"/>
      </c>
    </row>
    <row r="175" spans="93:233" x14ac:dyDescent="0.55000000000000004"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GR175" s="11"/>
      <c r="GS175" s="11"/>
      <c r="GT175" s="11"/>
      <c r="GU175" s="11"/>
      <c r="GV175" s="11"/>
      <c r="HS175">
        <f ca="1"/>
      </c>
      <c r="HT175">
        <f ca="1"/>
      </c>
      <c r="HU175">
        <f ca="1"/>
      </c>
      <c r="HV175">
        <f ca="1"/>
      </c>
      <c r="HW175">
        <f ca="1"/>
      </c>
      <c r="HX175">
        <f ca="1"/>
      </c>
      <c r="HY175">
        <f ca="1"/>
      </c>
    </row>
    <row r="176" spans="93:233" x14ac:dyDescent="0.55000000000000004"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GR176" s="11"/>
      <c r="GS176" s="11"/>
      <c r="GT176" s="11"/>
      <c r="GU176" s="11"/>
      <c r="GV176" s="11"/>
      <c r="HS176">
        <f ca="1"/>
      </c>
      <c r="HT176">
        <f ca="1"/>
      </c>
      <c r="HU176">
        <f ca="1"/>
      </c>
      <c r="HV176">
        <f ca="1"/>
      </c>
      <c r="HW176">
        <f ca="1"/>
      </c>
      <c r="HX176">
        <f ca="1"/>
      </c>
      <c r="HY176">
        <f ca="1"/>
      </c>
    </row>
    <row r="177" spans="93:233" x14ac:dyDescent="0.55000000000000004"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GR177" s="11"/>
      <c r="GS177" s="11"/>
      <c r="GT177" s="11"/>
      <c r="GU177" s="11"/>
      <c r="GV177" s="11"/>
      <c r="HS177">
        <f ca="1"/>
      </c>
      <c r="HT177">
        <f ca="1"/>
      </c>
      <c r="HU177">
        <f ca="1"/>
      </c>
      <c r="HV177">
        <f ca="1"/>
      </c>
      <c r="HW177">
        <f ca="1"/>
      </c>
      <c r="HX177">
        <f ca="1"/>
      </c>
      <c r="HY177">
        <f ca="1"/>
      </c>
    </row>
    <row r="178" spans="93:233" x14ac:dyDescent="0.55000000000000004"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GR178" s="11"/>
      <c r="GS178" s="11"/>
      <c r="GT178" s="11"/>
      <c r="GU178" s="11"/>
      <c r="GV178" s="11"/>
      <c r="HS178">
        <f ca="1"/>
      </c>
      <c r="HT178">
        <f ca="1"/>
      </c>
      <c r="HU178">
        <f ca="1"/>
      </c>
      <c r="HV178">
        <f ca="1"/>
      </c>
      <c r="HW178">
        <f ca="1"/>
      </c>
      <c r="HX178">
        <f ca="1"/>
      </c>
      <c r="HY178">
        <f ca="1"/>
      </c>
    </row>
    <row r="179" spans="93:233" x14ac:dyDescent="0.55000000000000004"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GR179" s="11"/>
      <c r="GS179" s="11"/>
      <c r="GT179" s="11"/>
      <c r="GU179" s="11"/>
      <c r="GV179" s="11"/>
      <c r="HS179">
        <f ca="1"/>
      </c>
      <c r="HT179">
        <f ca="1"/>
      </c>
      <c r="HU179">
        <f ca="1"/>
      </c>
      <c r="HV179">
        <f ca="1"/>
      </c>
      <c r="HW179">
        <f ca="1"/>
      </c>
      <c r="HX179">
        <f ca="1"/>
      </c>
      <c r="HY179">
        <f ca="1"/>
      </c>
    </row>
    <row r="180" spans="93:233" x14ac:dyDescent="0.55000000000000004"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GR180" s="11"/>
      <c r="GS180" s="11"/>
      <c r="GT180" s="11"/>
      <c r="GU180" s="11"/>
      <c r="GV180" s="11"/>
      <c r="HS180">
        <f ca="1"/>
      </c>
      <c r="HT180">
        <f ca="1"/>
      </c>
      <c r="HU180">
        <f ca="1"/>
      </c>
      <c r="HV180">
        <f ca="1"/>
      </c>
      <c r="HW180">
        <f ca="1"/>
      </c>
      <c r="HX180">
        <f ca="1"/>
      </c>
      <c r="HY180">
        <f ca="1"/>
      </c>
    </row>
    <row r="181" spans="93:233" x14ac:dyDescent="0.55000000000000004"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GR181" s="11"/>
      <c r="GS181" s="11"/>
      <c r="GT181" s="11"/>
      <c r="GU181" s="11"/>
      <c r="GV181" s="11"/>
      <c r="HS181">
        <f ca="1"/>
      </c>
      <c r="HT181">
        <f ca="1"/>
      </c>
      <c r="HU181">
        <f ca="1"/>
      </c>
      <c r="HV181">
        <f ca="1"/>
      </c>
      <c r="HW181">
        <f ca="1"/>
      </c>
      <c r="HX181">
        <f ca="1"/>
      </c>
      <c r="HY181">
        <f ca="1"/>
      </c>
    </row>
    <row r="182" spans="93:233" x14ac:dyDescent="0.55000000000000004"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GR182" s="11"/>
      <c r="GS182" s="11"/>
      <c r="GT182" s="11"/>
      <c r="GU182" s="11"/>
      <c r="GV182" s="11"/>
      <c r="HS182">
        <f ca="1"/>
      </c>
      <c r="HT182">
        <f ca="1"/>
      </c>
      <c r="HU182">
        <f ca="1"/>
      </c>
      <c r="HV182">
        <f ca="1"/>
      </c>
      <c r="HW182">
        <f ca="1"/>
      </c>
      <c r="HX182">
        <f ca="1"/>
      </c>
      <c r="HY182">
        <f ca="1"/>
      </c>
    </row>
    <row r="183" spans="93:233" x14ac:dyDescent="0.55000000000000004"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GR183" s="11"/>
      <c r="GS183" s="11"/>
      <c r="GT183" s="11"/>
      <c r="GU183" s="11"/>
      <c r="GV183" s="11"/>
      <c r="HS183">
        <f ca="1"/>
      </c>
      <c r="HT183">
        <f ca="1"/>
      </c>
      <c r="HU183">
        <f ca="1"/>
      </c>
      <c r="HV183">
        <f ca="1"/>
      </c>
      <c r="HW183">
        <f ca="1"/>
      </c>
      <c r="HX183">
        <f ca="1"/>
      </c>
      <c r="HY183">
        <f ca="1"/>
      </c>
    </row>
    <row r="184" spans="93:233" x14ac:dyDescent="0.55000000000000004"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GR184" s="11"/>
      <c r="GS184" s="11"/>
      <c r="GT184" s="11"/>
      <c r="GU184" s="11"/>
      <c r="GV184" s="11"/>
      <c r="HS184">
        <f ca="1"/>
      </c>
      <c r="HT184">
        <f ca="1"/>
      </c>
      <c r="HU184">
        <f ca="1"/>
      </c>
      <c r="HV184">
        <f ca="1"/>
      </c>
      <c r="HW184">
        <f ca="1"/>
      </c>
      <c r="HX184">
        <f ca="1"/>
      </c>
      <c r="HY184">
        <f ca="1"/>
      </c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156</v>
      </c>
      <c r="EQ204" cm="1">
        <f t="array" aca="1" ref="EQ204:FR221" ca="1">_xlfn.LET(_xlpm.g,_xlfn.DROP(_xlfn.ANCHORARRAY($CO$4),1),_xlfn._xlws.FILTER(_xlpm.g,_xlfn.TAKE(_xlpm.g,,1)=5))</f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GQ204" t="s">
        <v>169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174</v>
      </c>
      <c r="HE204">
        <f>"Actual / Mean / Recon (k="&amp;$D$108&amp;")  dashed: Mean ±1σ"</f>
      </c>
      <c r="HF204" t="s">
        <v>175</v>
      </c>
      <c r="HG204" t="s">
        <v>176</v>
      </c>
      <c r="HH204" t="s">
        <v>179</v>
      </c>
      <c r="HI204" t="s">
        <v>180</v>
      </c>
      <c r="HJ204" t="s">
        <v>181</v>
      </c>
      <c r="HK204" t="s">
        <v>182</v>
      </c>
      <c r="HL204" t="s">
        <v>183</v>
      </c>
      <c r="HM204" t="s">
        <v>184</v>
      </c>
      <c r="HN204" t="s">
        <v>185</v>
      </c>
      <c r="HO204" t="s">
        <v>186</v>
      </c>
      <c r="HP204" t="s">
        <v>187</v>
      </c>
      <c r="HQ204" t="s">
        <v>188</v>
      </c>
      <c r="HR204" t="s">
        <v>189</v>
      </c>
    </row>
    <row r="205" spans="146:226" x14ac:dyDescent="0.55000000000000004"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aca="1" ref="GX205:GX222" ca="1">_xlfn.LET(_xlpm.V,_xlfn.DROP(_xlfn.ANCHORARRAY($EQ$204),,10),IF(1&lt;=COLUMNS(_xlpm.V),_xlfn.CHOOSECOLS(_xlpm.V,1),IF(_xlfn.SEQUENCE(ROWS(_xlpm.V)),NA())))</f>
      </c>
      <c r="GY205" cm="1">
        <f t="array" aca="1" ref="GY205:GY222" ca="1">_xlfn.LET(_xlpm.V,_xlfn.DROP(_xlfn.ANCHORARRAY($EQ$204),,10),IF(2&lt;=COLUMNS(_xlpm.V),_xlfn.CHOOSECOLS(_xlpm.V,2),IF(_xlfn.SEQUENCE(ROWS(_xlpm.V)),NA())))</f>
      </c>
      <c r="GZ205" cm="1">
        <f t="array" aca="1" ref="GZ205:GZ222" ca="1">_xlfn.LET(_xlpm.V,_xlfn.DROP(_xlfn.ANCHORARRAY($EQ$204),,10),IF(3&lt;=COLUMNS(_xlpm.V),_xlfn.CHOOSECOLS(_xlpm.V,3),IF(_xlfn.SEQUENCE(ROWS(_xlpm.V)),NA())))</f>
      </c>
      <c r="HA205" cm="1">
        <f t="array" aca="1" ref="HA205:HA222" ca="1">_xlfn.LET(_xlpm.V,_xlfn.DROP(_xlfn.ANCHORARRAY($EQ$204),,10),IF(4&lt;=COLUMNS(_xlpm.V),_xlfn.CHOOSECOLS(_xlpm.V,4),IF(_xlfn.SEQUENCE(ROWS(_xlpm.V)),NA())))</f>
      </c>
      <c r="HB205" cm="1">
        <f t="array" aca="1" ref="HB205:HB222" ca="1">_xlfn.LET(_xlpm.V,_xlfn.DROP(_xlfn.ANCHORARRAY($EQ$204),,10),IF(5&lt;=COLUMNS(_xlpm.V),_xlfn.CHOOSECOLS(_xlpm.V,5),IF(_xlfn.SEQUENCE(ROWS(_xlpm.V)),NA())))</f>
      </c>
      <c r="HD205" cm="1">
        <f t="array" aca="1" ref="HD205:HD222" ca="1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aca="1" ref="HF205:HF222" ca="1">_xlfn.CHOOSECOLS(_xlfn.ANCHORARRAY($EQ$204),8)+_xlfn.CHOOSECOLS(_xlfn.ANCHORARRAY($EQ$204),10)</f>
      </c>
      <c r="HG205" cm="1">
        <f t="array" aca="1" ref="HG205:HG222" ca="1">_xlfn.CHOOSECOLS(_xlfn.ANCHORARRAY($EQ$204),8)-_xlfn.CHOOSECOLS(_xlfn.ANCHORARRAY($EQ$204),10)</f>
      </c>
      <c r="HH205" cm="1">
        <f t="array" aca="1" ref="HH205:HH222" ca="1">_xlfn.LET(_xlpm.v,_xlfn.CHOOSECOLS(_xlfn._xlws.FILTER(_xlfn.DROP(_xlfn.ANCHORARRAY($HS$4),1),_xlfn.TAKE(_xlfn.DROP(_xlfn.ANCHORARRAY($HS$4),1),,1)=5),3),IF(_xlpm.v="",NA(),_xlpm.v))</f>
      </c>
      <c r="HI205" cm="1">
        <f t="array" aca="1" ref="HI205:HI222" ca="1">-_xlfn.ANCHORARRAY($HH$205)</f>
      </c>
      <c r="HJ205" cm="1">
        <f t="array" aca="1" ref="HJ205:HJ222" ca="1">_xlfn.LET(_xlpm.v,_xlfn.CHOOSECOLS(_xlfn._xlws.FILTER(_xlfn.DROP(_xlfn.ANCHORARRAY($HS$4),1),_xlfn.TAKE(_xlfn.DROP(_xlfn.ANCHORARRAY($HS$4),1),,1)=5),4),IF(_xlpm.v="",NA(),_xlpm.v))</f>
      </c>
      <c r="HK205" cm="1">
        <f t="array" aca="1" ref="HK205:HK222" ca="1">-_xlfn.ANCHORARRAY($HJ$205)</f>
      </c>
      <c r="HL205" cm="1">
        <f t="array" aca="1" ref="HL205:HL222" ca="1">_xlfn.LET(_xlpm.v,_xlfn.CHOOSECOLS(_xlfn._xlws.FILTER(_xlfn.DROP(_xlfn.ANCHORARRAY($HS$4),1),_xlfn.TAKE(_xlfn.DROP(_xlfn.ANCHORARRAY($HS$4),1),,1)=5),5),IF(_xlpm.v="",NA(),_xlpm.v))</f>
      </c>
      <c r="HM205" cm="1">
        <f t="array" aca="1" ref="HM205:HM222" ca="1">-_xlfn.ANCHORARRAY($HL$205)</f>
      </c>
      <c r="HN205" cm="1">
        <f t="array" aca="1" ref="HN205:HN222" ca="1">_xlfn.LET(_xlpm.v,_xlfn.CHOOSECOLS(_xlfn._xlws.FILTER(_xlfn.DROP(_xlfn.ANCHORARRAY($HS$4),1),_xlfn.TAKE(_xlfn.DROP(_xlfn.ANCHORARRAY($HS$4),1),,1)=5),6),IF(_xlpm.v="",NA(),_xlpm.v))</f>
      </c>
      <c r="HO205" cm="1">
        <f t="array" aca="1" ref="HO205:HO222" ca="1">-_xlfn.ANCHORARRAY($HN$205)</f>
      </c>
      <c r="HP205" cm="1">
        <f t="array" aca="1" ref="HP205:HP222" ca="1">_xlfn.LET(_xlpm.v,_xlfn.CHOOSECOLS(_xlfn._xlws.FILTER(_xlfn.DROP(_xlfn.ANCHORARRAY($HS$4),1),_xlfn.TAKE(_xlfn.DROP(_xlfn.ANCHORARRAY($HS$4),1),,1)=5),7),IF(_xlpm.v="",NA(),_xlpm.v))</f>
      </c>
      <c r="HQ205" cm="1">
        <f t="array" aca="1" ref="HQ205:HQ222" ca="1">-_xlfn.ANCHORARRAY($HP$205)</f>
      </c>
      <c r="HR205" cm="1">
        <f t="array" aca="1" ref="HR205" ca="1">IFERROR(INDEX(_xlfn._xlws.FILTER(_xlfn.DROP(_xlfn.ANCHORARRAY($HS$4),1),_xlfn.TAKE(_xlfn.DROP(_xlfn.ANCHORARRAY($HS$4),1),,1)=5),1,2),"")</f>
      </c>
    </row>
    <row r="206" spans="146:226" x14ac:dyDescent="0.55000000000000004"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GX206">
        <f ca="1"/>
      </c>
      <c r="GY206">
        <f ca="1"/>
      </c>
      <c r="GZ206">
        <f ca="1"/>
      </c>
      <c r="HA206">
        <f ca="1"/>
      </c>
      <c r="HB206">
        <f ca="1"/>
      </c>
      <c r="HD206">
        <f ca="1"/>
      </c>
      <c r="HE206">
        <f ca="1"/>
      </c>
      <c r="HF206">
        <f ca="1"/>
      </c>
      <c r="HG206">
        <f ca="1"/>
      </c>
      <c r="HH206">
        <f ca="1"/>
      </c>
      <c r="HI206">
        <f ca="1"/>
      </c>
      <c r="HJ206">
        <f ca="1"/>
      </c>
      <c r="HK206">
        <f ca="1"/>
      </c>
      <c r="HL206">
        <f ca="1"/>
      </c>
      <c r="HM206">
        <f ca="1"/>
      </c>
      <c r="HN206">
        <f ca="1"/>
      </c>
      <c r="HO206">
        <f ca="1"/>
      </c>
      <c r="HP206">
        <f ca="1"/>
      </c>
      <c r="HQ206">
        <f ca="1"/>
      </c>
    </row>
    <row r="207" spans="146:226" x14ac:dyDescent="0.55000000000000004"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GX207">
        <f ca="1"/>
      </c>
      <c r="GY207">
        <f ca="1"/>
      </c>
      <c r="GZ207">
        <f ca="1"/>
      </c>
      <c r="HA207">
        <f ca="1"/>
      </c>
      <c r="HB207">
        <f ca="1"/>
      </c>
      <c r="HD207">
        <f ca="1"/>
      </c>
      <c r="HE207">
        <f ca="1"/>
      </c>
      <c r="HF207">
        <f ca="1"/>
      </c>
      <c r="HG207">
        <f ca="1"/>
      </c>
      <c r="HH207">
        <f ca="1"/>
      </c>
      <c r="HI207">
        <f ca="1"/>
      </c>
      <c r="HJ207">
        <f ca="1"/>
      </c>
      <c r="HK207">
        <f ca="1"/>
      </c>
      <c r="HL207">
        <f ca="1"/>
      </c>
      <c r="HM207">
        <f ca="1"/>
      </c>
      <c r="HN207">
        <f ca="1"/>
      </c>
      <c r="HO207">
        <f ca="1"/>
      </c>
      <c r="HP207">
        <f ca="1"/>
      </c>
      <c r="HQ207">
        <f ca="1"/>
      </c>
    </row>
    <row r="208" spans="146:226" x14ac:dyDescent="0.55000000000000004"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GX208">
        <f ca="1"/>
      </c>
      <c r="GY208">
        <f ca="1"/>
      </c>
      <c r="GZ208">
        <f ca="1"/>
      </c>
      <c r="HA208">
        <f ca="1"/>
      </c>
      <c r="HB208">
        <f ca="1"/>
      </c>
      <c r="HD208">
        <f ca="1"/>
      </c>
      <c r="HE208">
        <f ca="1"/>
      </c>
      <c r="HF208">
        <f ca="1"/>
      </c>
      <c r="HG208">
        <f ca="1"/>
      </c>
      <c r="HH208">
        <f ca="1"/>
      </c>
      <c r="HI208">
        <f ca="1"/>
      </c>
      <c r="HJ208">
        <f ca="1"/>
      </c>
      <c r="HK208">
        <f ca="1"/>
      </c>
      <c r="HL208">
        <f ca="1"/>
      </c>
      <c r="HM208">
        <f ca="1"/>
      </c>
      <c r="HN208">
        <f ca="1"/>
      </c>
      <c r="HO208">
        <f ca="1"/>
      </c>
      <c r="HP208">
        <f ca="1"/>
      </c>
      <c r="HQ208">
        <f ca="1"/>
      </c>
    </row>
    <row r="209" spans="147:225" x14ac:dyDescent="0.55000000000000004"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GX209">
        <f ca="1"/>
      </c>
      <c r="GY209">
        <f ca="1"/>
      </c>
      <c r="GZ209">
        <f ca="1"/>
      </c>
      <c r="HA209">
        <f ca="1"/>
      </c>
      <c r="HB209">
        <f ca="1"/>
      </c>
      <c r="HD209">
        <f ca="1"/>
      </c>
      <c r="HE209">
        <f ca="1"/>
      </c>
      <c r="HF209">
        <f ca="1"/>
      </c>
      <c r="HG209">
        <f ca="1"/>
      </c>
      <c r="HH209">
        <f ca="1"/>
      </c>
      <c r="HI209">
        <f ca="1"/>
      </c>
      <c r="HJ209">
        <f ca="1"/>
      </c>
      <c r="HK209">
        <f ca="1"/>
      </c>
      <c r="HL209">
        <f ca="1"/>
      </c>
      <c r="HM209">
        <f ca="1"/>
      </c>
      <c r="HN209">
        <f ca="1"/>
      </c>
      <c r="HO209">
        <f ca="1"/>
      </c>
      <c r="HP209">
        <f ca="1"/>
      </c>
      <c r="HQ209">
        <f ca="1"/>
      </c>
    </row>
    <row r="210" spans="147:225" x14ac:dyDescent="0.55000000000000004"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GX210">
        <f ca="1"/>
      </c>
      <c r="GY210">
        <f ca="1"/>
      </c>
      <c r="GZ210">
        <f ca="1"/>
      </c>
      <c r="HA210">
        <f ca="1"/>
      </c>
      <c r="HB210">
        <f ca="1"/>
      </c>
      <c r="HD210">
        <f ca="1"/>
      </c>
      <c r="HE210">
        <f ca="1"/>
      </c>
      <c r="HF210">
        <f ca="1"/>
      </c>
      <c r="HG210">
        <f ca="1"/>
      </c>
      <c r="HH210">
        <f ca="1"/>
      </c>
      <c r="HI210">
        <f ca="1"/>
      </c>
      <c r="HJ210">
        <f ca="1"/>
      </c>
      <c r="HK210">
        <f ca="1"/>
      </c>
      <c r="HL210">
        <f ca="1"/>
      </c>
      <c r="HM210">
        <f ca="1"/>
      </c>
      <c r="HN210">
        <f ca="1"/>
      </c>
      <c r="HO210">
        <f ca="1"/>
      </c>
      <c r="HP210">
        <f ca="1"/>
      </c>
      <c r="HQ210">
        <f ca="1"/>
      </c>
    </row>
    <row r="211" spans="147:225" x14ac:dyDescent="0.55000000000000004"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GX211">
        <f ca="1"/>
      </c>
      <c r="GY211">
        <f ca="1"/>
      </c>
      <c r="GZ211">
        <f ca="1"/>
      </c>
      <c r="HA211">
        <f ca="1"/>
      </c>
      <c r="HB211">
        <f ca="1"/>
      </c>
      <c r="HD211">
        <f ca="1"/>
      </c>
      <c r="HE211">
        <f ca="1"/>
      </c>
      <c r="HF211">
        <f ca="1"/>
      </c>
      <c r="HG211">
        <f ca="1"/>
      </c>
      <c r="HH211">
        <f ca="1"/>
      </c>
      <c r="HI211">
        <f ca="1"/>
      </c>
      <c r="HJ211">
        <f ca="1"/>
      </c>
      <c r="HK211">
        <f ca="1"/>
      </c>
      <c r="HL211">
        <f ca="1"/>
      </c>
      <c r="HM211">
        <f ca="1"/>
      </c>
      <c r="HN211">
        <f ca="1"/>
      </c>
      <c r="HO211">
        <f ca="1"/>
      </c>
      <c r="HP211">
        <f ca="1"/>
      </c>
      <c r="HQ211">
        <f ca="1"/>
      </c>
    </row>
    <row r="212" spans="147:225" x14ac:dyDescent="0.55000000000000004"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GX212">
        <f ca="1"/>
      </c>
      <c r="GY212">
        <f ca="1"/>
      </c>
      <c r="GZ212">
        <f ca="1"/>
      </c>
      <c r="HA212">
        <f ca="1"/>
      </c>
      <c r="HB212">
        <f ca="1"/>
      </c>
      <c r="HD212">
        <f ca="1"/>
      </c>
      <c r="HE212">
        <f ca="1"/>
      </c>
      <c r="HF212">
        <f ca="1"/>
      </c>
      <c r="HG212">
        <f ca="1"/>
      </c>
      <c r="HH212">
        <f ca="1"/>
      </c>
      <c r="HI212">
        <f ca="1"/>
      </c>
      <c r="HJ212">
        <f ca="1"/>
      </c>
      <c r="HK212">
        <f ca="1"/>
      </c>
      <c r="HL212">
        <f ca="1"/>
      </c>
      <c r="HM212">
        <f ca="1"/>
      </c>
      <c r="HN212">
        <f ca="1"/>
      </c>
      <c r="HO212">
        <f ca="1"/>
      </c>
      <c r="HP212">
        <f ca="1"/>
      </c>
      <c r="HQ212">
        <f ca="1"/>
      </c>
    </row>
    <row r="213" spans="147:225" x14ac:dyDescent="0.55000000000000004"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GX213">
        <f ca="1"/>
      </c>
      <c r="GY213">
        <f ca="1"/>
      </c>
      <c r="GZ213">
        <f ca="1"/>
      </c>
      <c r="HA213">
        <f ca="1"/>
      </c>
      <c r="HB213">
        <f ca="1"/>
      </c>
      <c r="HD213">
        <f ca="1"/>
      </c>
      <c r="HE213">
        <f ca="1"/>
      </c>
      <c r="HF213">
        <f ca="1"/>
      </c>
      <c r="HG213">
        <f ca="1"/>
      </c>
      <c r="HH213">
        <f ca="1"/>
      </c>
      <c r="HI213">
        <f ca="1"/>
      </c>
      <c r="HJ213">
        <f ca="1"/>
      </c>
      <c r="HK213">
        <f ca="1"/>
      </c>
      <c r="HL213">
        <f ca="1"/>
      </c>
      <c r="HM213">
        <f ca="1"/>
      </c>
      <c r="HN213">
        <f ca="1"/>
      </c>
      <c r="HO213">
        <f ca="1"/>
      </c>
      <c r="HP213">
        <f ca="1"/>
      </c>
      <c r="HQ213">
        <f ca="1"/>
      </c>
    </row>
    <row r="214" spans="147:225" x14ac:dyDescent="0.55000000000000004"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GX214">
        <f ca="1"/>
      </c>
      <c r="GY214">
        <f ca="1"/>
      </c>
      <c r="GZ214">
        <f ca="1"/>
      </c>
      <c r="HA214">
        <f ca="1"/>
      </c>
      <c r="HB214">
        <f ca="1"/>
      </c>
      <c r="HD214">
        <f ca="1"/>
      </c>
      <c r="HE214">
        <f ca="1"/>
      </c>
      <c r="HF214">
        <f ca="1"/>
      </c>
      <c r="HG214">
        <f ca="1"/>
      </c>
      <c r="HH214">
        <f ca="1"/>
      </c>
      <c r="HI214">
        <f ca="1"/>
      </c>
      <c r="HJ214">
        <f ca="1"/>
      </c>
      <c r="HK214">
        <f ca="1"/>
      </c>
      <c r="HL214">
        <f ca="1"/>
      </c>
      <c r="HM214">
        <f ca="1"/>
      </c>
      <c r="HN214">
        <f ca="1"/>
      </c>
      <c r="HO214">
        <f ca="1"/>
      </c>
      <c r="HP214">
        <f ca="1"/>
      </c>
      <c r="HQ214">
        <f ca="1"/>
      </c>
    </row>
    <row r="215" spans="147:225" x14ac:dyDescent="0.55000000000000004"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GX215">
        <f ca="1"/>
      </c>
      <c r="GY215">
        <f ca="1"/>
      </c>
      <c r="GZ215">
        <f ca="1"/>
      </c>
      <c r="HA215">
        <f ca="1"/>
      </c>
      <c r="HB215">
        <f ca="1"/>
      </c>
      <c r="HD215">
        <f ca="1"/>
      </c>
      <c r="HE215">
        <f ca="1"/>
      </c>
      <c r="HF215">
        <f ca="1"/>
      </c>
      <c r="HG215">
        <f ca="1"/>
      </c>
      <c r="HH215">
        <f ca="1"/>
      </c>
      <c r="HI215">
        <f ca="1"/>
      </c>
      <c r="HJ215">
        <f ca="1"/>
      </c>
      <c r="HK215">
        <f ca="1"/>
      </c>
      <c r="HL215">
        <f ca="1"/>
      </c>
      <c r="HM215">
        <f ca="1"/>
      </c>
      <c r="HN215">
        <f ca="1"/>
      </c>
      <c r="HO215">
        <f ca="1"/>
      </c>
      <c r="HP215">
        <f ca="1"/>
      </c>
      <c r="HQ215">
        <f ca="1"/>
      </c>
    </row>
    <row r="216" spans="147:225" x14ac:dyDescent="0.55000000000000004"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GX216">
        <f ca="1"/>
      </c>
      <c r="GY216">
        <f ca="1"/>
      </c>
      <c r="GZ216">
        <f ca="1"/>
      </c>
      <c r="HA216">
        <f ca="1"/>
      </c>
      <c r="HB216">
        <f ca="1"/>
      </c>
      <c r="HD216">
        <f ca="1"/>
      </c>
      <c r="HE216">
        <f ca="1"/>
      </c>
      <c r="HF216">
        <f ca="1"/>
      </c>
      <c r="HG216">
        <f ca="1"/>
      </c>
      <c r="HH216">
        <f ca="1"/>
      </c>
      <c r="HI216">
        <f ca="1"/>
      </c>
      <c r="HJ216">
        <f ca="1"/>
      </c>
      <c r="HK216">
        <f ca="1"/>
      </c>
      <c r="HL216">
        <f ca="1"/>
      </c>
      <c r="HM216">
        <f ca="1"/>
      </c>
      <c r="HN216">
        <f ca="1"/>
      </c>
      <c r="HO216">
        <f ca="1"/>
      </c>
      <c r="HP216">
        <f ca="1"/>
      </c>
      <c r="HQ216">
        <f ca="1"/>
      </c>
    </row>
    <row r="217" spans="147:225" x14ac:dyDescent="0.55000000000000004"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GX217">
        <f ca="1"/>
      </c>
      <c r="GY217">
        <f ca="1"/>
      </c>
      <c r="GZ217">
        <f ca="1"/>
      </c>
      <c r="HA217">
        <f ca="1"/>
      </c>
      <c r="HB217">
        <f ca="1"/>
      </c>
      <c r="HD217">
        <f ca="1"/>
      </c>
      <c r="HE217">
        <f ca="1"/>
      </c>
      <c r="HF217">
        <f ca="1"/>
      </c>
      <c r="HG217">
        <f ca="1"/>
      </c>
      <c r="HH217">
        <f ca="1"/>
      </c>
      <c r="HI217">
        <f ca="1"/>
      </c>
      <c r="HJ217">
        <f ca="1"/>
      </c>
      <c r="HK217">
        <f ca="1"/>
      </c>
      <c r="HL217">
        <f ca="1"/>
      </c>
      <c r="HM217">
        <f ca="1"/>
      </c>
      <c r="HN217">
        <f ca="1"/>
      </c>
      <c r="HO217">
        <f ca="1"/>
      </c>
      <c r="HP217">
        <f ca="1"/>
      </c>
      <c r="HQ217">
        <f ca="1"/>
      </c>
    </row>
    <row r="218" spans="147:225" x14ac:dyDescent="0.55000000000000004"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GX218">
        <f ca="1"/>
      </c>
      <c r="GY218">
        <f ca="1"/>
      </c>
      <c r="GZ218">
        <f ca="1"/>
      </c>
      <c r="HA218">
        <f ca="1"/>
      </c>
      <c r="HB218">
        <f ca="1"/>
      </c>
      <c r="HD218">
        <f ca="1"/>
      </c>
      <c r="HE218">
        <f ca="1"/>
      </c>
      <c r="HF218">
        <f ca="1"/>
      </c>
      <c r="HG218">
        <f ca="1"/>
      </c>
      <c r="HH218">
        <f ca="1"/>
      </c>
      <c r="HI218">
        <f ca="1"/>
      </c>
      <c r="HJ218">
        <f ca="1"/>
      </c>
      <c r="HK218">
        <f ca="1"/>
      </c>
      <c r="HL218">
        <f ca="1"/>
      </c>
      <c r="HM218">
        <f ca="1"/>
      </c>
      <c r="HN218">
        <f ca="1"/>
      </c>
      <c r="HO218">
        <f ca="1"/>
      </c>
      <c r="HP218">
        <f ca="1"/>
      </c>
      <c r="HQ218">
        <f ca="1"/>
      </c>
    </row>
    <row r="219" spans="147:225" x14ac:dyDescent="0.55000000000000004"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GX219">
        <f ca="1"/>
      </c>
      <c r="GY219">
        <f ca="1"/>
      </c>
      <c r="GZ219">
        <f ca="1"/>
      </c>
      <c r="HA219">
        <f ca="1"/>
      </c>
      <c r="HB219">
        <f ca="1"/>
      </c>
      <c r="HD219">
        <f ca="1"/>
      </c>
      <c r="HE219">
        <f ca="1"/>
      </c>
      <c r="HF219">
        <f ca="1"/>
      </c>
      <c r="HG219">
        <f ca="1"/>
      </c>
      <c r="HH219">
        <f ca="1"/>
      </c>
      <c r="HI219">
        <f ca="1"/>
      </c>
      <c r="HJ219">
        <f ca="1"/>
      </c>
      <c r="HK219">
        <f ca="1"/>
      </c>
      <c r="HL219">
        <f ca="1"/>
      </c>
      <c r="HM219">
        <f ca="1"/>
      </c>
      <c r="HN219">
        <f ca="1"/>
      </c>
      <c r="HO219">
        <f ca="1"/>
      </c>
      <c r="HP219">
        <f ca="1"/>
      </c>
      <c r="HQ219">
        <f ca="1"/>
      </c>
    </row>
    <row r="220" spans="147:225" x14ac:dyDescent="0.55000000000000004"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GX220">
        <f ca="1"/>
      </c>
      <c r="GY220">
        <f ca="1"/>
      </c>
      <c r="GZ220">
        <f ca="1"/>
      </c>
      <c r="HA220">
        <f ca="1"/>
      </c>
      <c r="HB220">
        <f ca="1"/>
      </c>
      <c r="HD220">
        <f ca="1"/>
      </c>
      <c r="HE220">
        <f ca="1"/>
      </c>
      <c r="HF220">
        <f ca="1"/>
      </c>
      <c r="HG220">
        <f ca="1"/>
      </c>
      <c r="HH220">
        <f ca="1"/>
      </c>
      <c r="HI220">
        <f ca="1"/>
      </c>
      <c r="HJ220">
        <f ca="1"/>
      </c>
      <c r="HK220">
        <f ca="1"/>
      </c>
      <c r="HL220">
        <f ca="1"/>
      </c>
      <c r="HM220">
        <f ca="1"/>
      </c>
      <c r="HN220">
        <f ca="1"/>
      </c>
      <c r="HO220">
        <f ca="1"/>
      </c>
      <c r="HP220">
        <f ca="1"/>
      </c>
      <c r="HQ220">
        <f ca="1"/>
      </c>
    </row>
    <row r="221" spans="147:225" x14ac:dyDescent="0.55000000000000004"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GX221">
        <f ca="1"/>
      </c>
      <c r="GY221">
        <f ca="1"/>
      </c>
      <c r="GZ221">
        <f ca="1"/>
      </c>
      <c r="HA221">
        <f ca="1"/>
      </c>
      <c r="HB221">
        <f ca="1"/>
      </c>
      <c r="HD221">
        <f ca="1"/>
      </c>
      <c r="HE221">
        <f ca="1"/>
      </c>
      <c r="HF221">
        <f ca="1"/>
      </c>
      <c r="HG221">
        <f ca="1"/>
      </c>
      <c r="HH221">
        <f ca="1"/>
      </c>
      <c r="HI221">
        <f ca="1"/>
      </c>
      <c r="HJ221">
        <f ca="1"/>
      </c>
      <c r="HK221">
        <f ca="1"/>
      </c>
      <c r="HL221">
        <f ca="1"/>
      </c>
      <c r="HM221">
        <f ca="1"/>
      </c>
      <c r="HN221">
        <f ca="1"/>
      </c>
      <c r="HO221">
        <f ca="1"/>
      </c>
      <c r="HP221">
        <f ca="1"/>
      </c>
      <c r="HQ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GX222">
        <f ca="1"/>
      </c>
      <c r="GY222">
        <f ca="1"/>
      </c>
      <c r="GZ222">
        <f ca="1"/>
      </c>
      <c r="HA222">
        <f ca="1"/>
      </c>
      <c r="HB222">
        <f ca="1"/>
      </c>
      <c r="HD222">
        <f ca="1"/>
      </c>
      <c r="HE222">
        <f ca="1"/>
      </c>
      <c r="HF222">
        <f ca="1"/>
      </c>
      <c r="HG222">
        <f ca="1"/>
      </c>
      <c r="HH222">
        <f ca="1"/>
      </c>
      <c r="HI222">
        <f ca="1"/>
      </c>
      <c r="HJ222">
        <f ca="1"/>
      </c>
      <c r="HK222">
        <f ca="1"/>
      </c>
      <c r="HL222">
        <f ca="1"/>
      </c>
      <c r="HM222">
        <f ca="1"/>
      </c>
      <c r="HN222">
        <f ca="1"/>
      </c>
      <c r="HO222">
        <f ca="1"/>
      </c>
      <c r="HP222">
        <f ca="1"/>
      </c>
      <c r="HQ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157</v>
      </c>
      <c r="EQ254" cm="1">
        <f t="array" aca="1" ref="EQ254:FR271" ca="1">_xlfn.LET(_xlpm.g,_xlfn.DROP(_xlfn.ANCHORARRAY($CO$4),1),_xlfn._xlws.FILTER(_xlpm.g,_xlfn.TAKE(_xlpm.g,,1)=6))</f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GQ254" t="s">
        <v>169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174</v>
      </c>
      <c r="HE254">
        <f>"Actual / Mean / Recon (k="&amp;$D$108&amp;")  dashed: Mean ±1σ"</f>
      </c>
      <c r="HF254" t="s">
        <v>175</v>
      </c>
      <c r="HG254" t="s">
        <v>176</v>
      </c>
      <c r="HH254" t="s">
        <v>179</v>
      </c>
      <c r="HI254" t="s">
        <v>180</v>
      </c>
      <c r="HJ254" t="s">
        <v>181</v>
      </c>
      <c r="HK254" t="s">
        <v>182</v>
      </c>
      <c r="HL254" t="s">
        <v>183</v>
      </c>
      <c r="HM254" t="s">
        <v>184</v>
      </c>
      <c r="HN254" t="s">
        <v>185</v>
      </c>
      <c r="HO254" t="s">
        <v>186</v>
      </c>
      <c r="HP254" t="s">
        <v>187</v>
      </c>
      <c r="HQ254" t="s">
        <v>188</v>
      </c>
      <c r="HR254" t="s">
        <v>189</v>
      </c>
    </row>
    <row r="255" spans="146:226" x14ac:dyDescent="0.55000000000000004"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aca="1" ref="GX255:GX272" ca="1">_xlfn.LET(_xlpm.V,_xlfn.DROP(_xlfn.ANCHORARRAY($EQ$254),,10),IF(1&lt;=COLUMNS(_xlpm.V),_xlfn.CHOOSECOLS(_xlpm.V,1),IF(_xlfn.SEQUENCE(ROWS(_xlpm.V)),NA())))</f>
      </c>
      <c r="GY255" cm="1">
        <f t="array" aca="1" ref="GY255:GY272" ca="1">_xlfn.LET(_xlpm.V,_xlfn.DROP(_xlfn.ANCHORARRAY($EQ$254),,10),IF(2&lt;=COLUMNS(_xlpm.V),_xlfn.CHOOSECOLS(_xlpm.V,2),IF(_xlfn.SEQUENCE(ROWS(_xlpm.V)),NA())))</f>
      </c>
      <c r="GZ255" cm="1">
        <f t="array" aca="1" ref="GZ255:GZ272" ca="1">_xlfn.LET(_xlpm.V,_xlfn.DROP(_xlfn.ANCHORARRAY($EQ$254),,10),IF(3&lt;=COLUMNS(_xlpm.V),_xlfn.CHOOSECOLS(_xlpm.V,3),IF(_xlfn.SEQUENCE(ROWS(_xlpm.V)),NA())))</f>
      </c>
      <c r="HA255" cm="1">
        <f t="array" aca="1" ref="HA255:HA272" ca="1">_xlfn.LET(_xlpm.V,_xlfn.DROP(_xlfn.ANCHORARRAY($EQ$254),,10),IF(4&lt;=COLUMNS(_xlpm.V),_xlfn.CHOOSECOLS(_xlpm.V,4),IF(_xlfn.SEQUENCE(ROWS(_xlpm.V)),NA())))</f>
      </c>
      <c r="HB255" cm="1">
        <f t="array" aca="1" ref="HB255:HB272" ca="1">_xlfn.LET(_xlpm.V,_xlfn.DROP(_xlfn.ANCHORARRAY($EQ$254),,10),IF(5&lt;=COLUMNS(_xlpm.V),_xlfn.CHOOSECOLS(_xlpm.V,5),IF(_xlfn.SEQUENCE(ROWS(_xlpm.V)),NA())))</f>
      </c>
      <c r="HD255" cm="1">
        <f t="array" aca="1" ref="HD255:HD272" ca="1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aca="1" ref="HF255:HF272" ca="1">_xlfn.CHOOSECOLS(_xlfn.ANCHORARRAY($EQ$254),8)+_xlfn.CHOOSECOLS(_xlfn.ANCHORARRAY($EQ$254),10)</f>
      </c>
      <c r="HG255" cm="1">
        <f t="array" aca="1" ref="HG255:HG272" ca="1">_xlfn.CHOOSECOLS(_xlfn.ANCHORARRAY($EQ$254),8)-_xlfn.CHOOSECOLS(_xlfn.ANCHORARRAY($EQ$254),10)</f>
      </c>
      <c r="HH255" cm="1">
        <f t="array" aca="1" ref="HH255:HH272" ca="1">_xlfn.LET(_xlpm.v,_xlfn.CHOOSECOLS(_xlfn._xlws.FILTER(_xlfn.DROP(_xlfn.ANCHORARRAY($HS$4),1),_xlfn.TAKE(_xlfn.DROP(_xlfn.ANCHORARRAY($HS$4),1),,1)=6),3),IF(_xlpm.v="",NA(),_xlpm.v))</f>
      </c>
      <c r="HI255" cm="1">
        <f t="array" aca="1" ref="HI255:HI272" ca="1">-_xlfn.ANCHORARRAY($HH$255)</f>
      </c>
      <c r="HJ255" cm="1">
        <f t="array" aca="1" ref="HJ255:HJ272" ca="1">_xlfn.LET(_xlpm.v,_xlfn.CHOOSECOLS(_xlfn._xlws.FILTER(_xlfn.DROP(_xlfn.ANCHORARRAY($HS$4),1),_xlfn.TAKE(_xlfn.DROP(_xlfn.ANCHORARRAY($HS$4),1),,1)=6),4),IF(_xlpm.v="",NA(),_xlpm.v))</f>
      </c>
      <c r="HK255" cm="1">
        <f t="array" aca="1" ref="HK255:HK272" ca="1">-_xlfn.ANCHORARRAY($HJ$255)</f>
      </c>
      <c r="HL255" cm="1">
        <f t="array" aca="1" ref="HL255:HL272" ca="1">_xlfn.LET(_xlpm.v,_xlfn.CHOOSECOLS(_xlfn._xlws.FILTER(_xlfn.DROP(_xlfn.ANCHORARRAY($HS$4),1),_xlfn.TAKE(_xlfn.DROP(_xlfn.ANCHORARRAY($HS$4),1),,1)=6),5),IF(_xlpm.v="",NA(),_xlpm.v))</f>
      </c>
      <c r="HM255" cm="1">
        <f t="array" aca="1" ref="HM255:HM272" ca="1">-_xlfn.ANCHORARRAY($HL$255)</f>
      </c>
      <c r="HN255" cm="1">
        <f t="array" aca="1" ref="HN255:HN272" ca="1">_xlfn.LET(_xlpm.v,_xlfn.CHOOSECOLS(_xlfn._xlws.FILTER(_xlfn.DROP(_xlfn.ANCHORARRAY($HS$4),1),_xlfn.TAKE(_xlfn.DROP(_xlfn.ANCHORARRAY($HS$4),1),,1)=6),6),IF(_xlpm.v="",NA(),_xlpm.v))</f>
      </c>
      <c r="HO255" cm="1">
        <f t="array" aca="1" ref="HO255:HO272" ca="1">-_xlfn.ANCHORARRAY($HN$255)</f>
      </c>
      <c r="HP255" cm="1">
        <f t="array" aca="1" ref="HP255:HP272" ca="1">_xlfn.LET(_xlpm.v,_xlfn.CHOOSECOLS(_xlfn._xlws.FILTER(_xlfn.DROP(_xlfn.ANCHORARRAY($HS$4),1),_xlfn.TAKE(_xlfn.DROP(_xlfn.ANCHORARRAY($HS$4),1),,1)=6),7),IF(_xlpm.v="",NA(),_xlpm.v))</f>
      </c>
      <c r="HQ255" cm="1">
        <f t="array" aca="1" ref="HQ255:HQ272" ca="1">-_xlfn.ANCHORARRAY($HP$255)</f>
      </c>
      <c r="HR255" cm="1">
        <f t="array" aca="1" ref="HR255" ca="1">IFERROR(INDEX(_xlfn._xlws.FILTER(_xlfn.DROP(_xlfn.ANCHORARRAY($HS$4),1),_xlfn.TAKE(_xlfn.DROP(_xlfn.ANCHORARRAY($HS$4),1),,1)=6),1,2),"")</f>
      </c>
    </row>
    <row r="256" spans="146:226" x14ac:dyDescent="0.55000000000000004"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GX256">
        <f ca="1"/>
      </c>
      <c r="GY256">
        <f ca="1"/>
      </c>
      <c r="GZ256">
        <f ca="1"/>
      </c>
      <c r="HA256">
        <f ca="1"/>
      </c>
      <c r="HB256">
        <f ca="1"/>
      </c>
      <c r="HD256">
        <f ca="1"/>
      </c>
      <c r="HE256">
        <f ca="1"/>
      </c>
      <c r="HF256">
        <f ca="1"/>
      </c>
      <c r="HG256">
        <f ca="1"/>
      </c>
      <c r="HH256">
        <f ca="1"/>
      </c>
      <c r="HI256">
        <f ca="1"/>
      </c>
      <c r="HJ256">
        <f ca="1"/>
      </c>
      <c r="HK256">
        <f ca="1"/>
      </c>
      <c r="HL256">
        <f ca="1"/>
      </c>
      <c r="HM256">
        <f ca="1"/>
      </c>
      <c r="HN256">
        <f ca="1"/>
      </c>
      <c r="HO256">
        <f ca="1"/>
      </c>
      <c r="HP256">
        <f ca="1"/>
      </c>
      <c r="HQ256">
        <f ca="1"/>
      </c>
    </row>
    <row r="257" spans="147:225" x14ac:dyDescent="0.55000000000000004"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GX257">
        <f ca="1"/>
      </c>
      <c r="GY257">
        <f ca="1"/>
      </c>
      <c r="GZ257">
        <f ca="1"/>
      </c>
      <c r="HA257">
        <f ca="1"/>
      </c>
      <c r="HB257">
        <f ca="1"/>
      </c>
      <c r="HD257">
        <f ca="1"/>
      </c>
      <c r="HE257">
        <f ca="1"/>
      </c>
      <c r="HF257">
        <f ca="1"/>
      </c>
      <c r="HG257">
        <f ca="1"/>
      </c>
      <c r="HH257">
        <f ca="1"/>
      </c>
      <c r="HI257">
        <f ca="1"/>
      </c>
      <c r="HJ257">
        <f ca="1"/>
      </c>
      <c r="HK257">
        <f ca="1"/>
      </c>
      <c r="HL257">
        <f ca="1"/>
      </c>
      <c r="HM257">
        <f ca="1"/>
      </c>
      <c r="HN257">
        <f ca="1"/>
      </c>
      <c r="HO257">
        <f ca="1"/>
      </c>
      <c r="HP257">
        <f ca="1"/>
      </c>
      <c r="HQ257">
        <f ca="1"/>
      </c>
    </row>
    <row r="258" spans="147:225" x14ac:dyDescent="0.55000000000000004"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GX258">
        <f ca="1"/>
      </c>
      <c r="GY258">
        <f ca="1"/>
      </c>
      <c r="GZ258">
        <f ca="1"/>
      </c>
      <c r="HA258">
        <f ca="1"/>
      </c>
      <c r="HB258">
        <f ca="1"/>
      </c>
      <c r="HD258">
        <f ca="1"/>
      </c>
      <c r="HE258">
        <f ca="1"/>
      </c>
      <c r="HF258">
        <f ca="1"/>
      </c>
      <c r="HG258">
        <f ca="1"/>
      </c>
      <c r="HH258">
        <f ca="1"/>
      </c>
      <c r="HI258">
        <f ca="1"/>
      </c>
      <c r="HJ258">
        <f ca="1"/>
      </c>
      <c r="HK258">
        <f ca="1"/>
      </c>
      <c r="HL258">
        <f ca="1"/>
      </c>
      <c r="HM258">
        <f ca="1"/>
      </c>
      <c r="HN258">
        <f ca="1"/>
      </c>
      <c r="HO258">
        <f ca="1"/>
      </c>
      <c r="HP258">
        <f ca="1"/>
      </c>
      <c r="HQ258">
        <f ca="1"/>
      </c>
    </row>
    <row r="259" spans="147:225" x14ac:dyDescent="0.55000000000000004"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GX259">
        <f ca="1"/>
      </c>
      <c r="GY259">
        <f ca="1"/>
      </c>
      <c r="GZ259">
        <f ca="1"/>
      </c>
      <c r="HA259">
        <f ca="1"/>
      </c>
      <c r="HB259">
        <f ca="1"/>
      </c>
      <c r="HD259">
        <f ca="1"/>
      </c>
      <c r="HE259">
        <f ca="1"/>
      </c>
      <c r="HF259">
        <f ca="1"/>
      </c>
      <c r="HG259">
        <f ca="1"/>
      </c>
      <c r="HH259">
        <f ca="1"/>
      </c>
      <c r="HI259">
        <f ca="1"/>
      </c>
      <c r="HJ259">
        <f ca="1"/>
      </c>
      <c r="HK259">
        <f ca="1"/>
      </c>
      <c r="HL259">
        <f ca="1"/>
      </c>
      <c r="HM259">
        <f ca="1"/>
      </c>
      <c r="HN259">
        <f ca="1"/>
      </c>
      <c r="HO259">
        <f ca="1"/>
      </c>
      <c r="HP259">
        <f ca="1"/>
      </c>
      <c r="HQ259">
        <f ca="1"/>
      </c>
    </row>
    <row r="260" spans="147:225" x14ac:dyDescent="0.55000000000000004"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GX260">
        <f ca="1"/>
      </c>
      <c r="GY260">
        <f ca="1"/>
      </c>
      <c r="GZ260">
        <f ca="1"/>
      </c>
      <c r="HA260">
        <f ca="1"/>
      </c>
      <c r="HB260">
        <f ca="1"/>
      </c>
      <c r="HD260">
        <f ca="1"/>
      </c>
      <c r="HE260">
        <f ca="1"/>
      </c>
      <c r="HF260">
        <f ca="1"/>
      </c>
      <c r="HG260">
        <f ca="1"/>
      </c>
      <c r="HH260">
        <f ca="1"/>
      </c>
      <c r="HI260">
        <f ca="1"/>
      </c>
      <c r="HJ260">
        <f ca="1"/>
      </c>
      <c r="HK260">
        <f ca="1"/>
      </c>
      <c r="HL260">
        <f ca="1"/>
      </c>
      <c r="HM260">
        <f ca="1"/>
      </c>
      <c r="HN260">
        <f ca="1"/>
      </c>
      <c r="HO260">
        <f ca="1"/>
      </c>
      <c r="HP260">
        <f ca="1"/>
      </c>
      <c r="HQ260">
        <f ca="1"/>
      </c>
    </row>
    <row r="261" spans="147:225" x14ac:dyDescent="0.55000000000000004"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GX261">
        <f ca="1"/>
      </c>
      <c r="GY261">
        <f ca="1"/>
      </c>
      <c r="GZ261">
        <f ca="1"/>
      </c>
      <c r="HA261">
        <f ca="1"/>
      </c>
      <c r="HB261">
        <f ca="1"/>
      </c>
      <c r="HD261">
        <f ca="1"/>
      </c>
      <c r="HE261">
        <f ca="1"/>
      </c>
      <c r="HF261">
        <f ca="1"/>
      </c>
      <c r="HG261">
        <f ca="1"/>
      </c>
      <c r="HH261">
        <f ca="1"/>
      </c>
      <c r="HI261">
        <f ca="1"/>
      </c>
      <c r="HJ261">
        <f ca="1"/>
      </c>
      <c r="HK261">
        <f ca="1"/>
      </c>
      <c r="HL261">
        <f ca="1"/>
      </c>
      <c r="HM261">
        <f ca="1"/>
      </c>
      <c r="HN261">
        <f ca="1"/>
      </c>
      <c r="HO261">
        <f ca="1"/>
      </c>
      <c r="HP261">
        <f ca="1"/>
      </c>
      <c r="HQ261">
        <f ca="1"/>
      </c>
    </row>
    <row r="262" spans="147:225" x14ac:dyDescent="0.55000000000000004"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GX262">
        <f ca="1"/>
      </c>
      <c r="GY262">
        <f ca="1"/>
      </c>
      <c r="GZ262">
        <f ca="1"/>
      </c>
      <c r="HA262">
        <f ca="1"/>
      </c>
      <c r="HB262">
        <f ca="1"/>
      </c>
      <c r="HD262">
        <f ca="1"/>
      </c>
      <c r="HE262">
        <f ca="1"/>
      </c>
      <c r="HF262">
        <f ca="1"/>
      </c>
      <c r="HG262">
        <f ca="1"/>
      </c>
      <c r="HH262">
        <f ca="1"/>
      </c>
      <c r="HI262">
        <f ca="1"/>
      </c>
      <c r="HJ262">
        <f ca="1"/>
      </c>
      <c r="HK262">
        <f ca="1"/>
      </c>
      <c r="HL262">
        <f ca="1"/>
      </c>
      <c r="HM262">
        <f ca="1"/>
      </c>
      <c r="HN262">
        <f ca="1"/>
      </c>
      <c r="HO262">
        <f ca="1"/>
      </c>
      <c r="HP262">
        <f ca="1"/>
      </c>
      <c r="HQ262">
        <f ca="1"/>
      </c>
    </row>
    <row r="263" spans="147:225" x14ac:dyDescent="0.55000000000000004"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GX263">
        <f ca="1"/>
      </c>
      <c r="GY263">
        <f ca="1"/>
      </c>
      <c r="GZ263">
        <f ca="1"/>
      </c>
      <c r="HA263">
        <f ca="1"/>
      </c>
      <c r="HB263">
        <f ca="1"/>
      </c>
      <c r="HD263">
        <f ca="1"/>
      </c>
      <c r="HE263">
        <f ca="1"/>
      </c>
      <c r="HF263">
        <f ca="1"/>
      </c>
      <c r="HG263">
        <f ca="1"/>
      </c>
      <c r="HH263">
        <f ca="1"/>
      </c>
      <c r="HI263">
        <f ca="1"/>
      </c>
      <c r="HJ263">
        <f ca="1"/>
      </c>
      <c r="HK263">
        <f ca="1"/>
      </c>
      <c r="HL263">
        <f ca="1"/>
      </c>
      <c r="HM263">
        <f ca="1"/>
      </c>
      <c r="HN263">
        <f ca="1"/>
      </c>
      <c r="HO263">
        <f ca="1"/>
      </c>
      <c r="HP263">
        <f ca="1"/>
      </c>
      <c r="HQ263">
        <f ca="1"/>
      </c>
    </row>
    <row r="264" spans="147:225" x14ac:dyDescent="0.55000000000000004"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GX264">
        <f ca="1"/>
      </c>
      <c r="GY264">
        <f ca="1"/>
      </c>
      <c r="GZ264">
        <f ca="1"/>
      </c>
      <c r="HA264">
        <f ca="1"/>
      </c>
      <c r="HB264">
        <f ca="1"/>
      </c>
      <c r="HD264">
        <f ca="1"/>
      </c>
      <c r="HE264">
        <f ca="1"/>
      </c>
      <c r="HF264">
        <f ca="1"/>
      </c>
      <c r="HG264">
        <f ca="1"/>
      </c>
      <c r="HH264">
        <f ca="1"/>
      </c>
      <c r="HI264">
        <f ca="1"/>
      </c>
      <c r="HJ264">
        <f ca="1"/>
      </c>
      <c r="HK264">
        <f ca="1"/>
      </c>
      <c r="HL264">
        <f ca="1"/>
      </c>
      <c r="HM264">
        <f ca="1"/>
      </c>
      <c r="HN264">
        <f ca="1"/>
      </c>
      <c r="HO264">
        <f ca="1"/>
      </c>
      <c r="HP264">
        <f ca="1"/>
      </c>
      <c r="HQ264">
        <f ca="1"/>
      </c>
    </row>
    <row r="265" spans="147:225" x14ac:dyDescent="0.55000000000000004"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GX265">
        <f ca="1"/>
      </c>
      <c r="GY265">
        <f ca="1"/>
      </c>
      <c r="GZ265">
        <f ca="1"/>
      </c>
      <c r="HA265">
        <f ca="1"/>
      </c>
      <c r="HB265">
        <f ca="1"/>
      </c>
      <c r="HD265">
        <f ca="1"/>
      </c>
      <c r="HE265">
        <f ca="1"/>
      </c>
      <c r="HF265">
        <f ca="1"/>
      </c>
      <c r="HG265">
        <f ca="1"/>
      </c>
      <c r="HH265">
        <f ca="1"/>
      </c>
      <c r="HI265">
        <f ca="1"/>
      </c>
      <c r="HJ265">
        <f ca="1"/>
      </c>
      <c r="HK265">
        <f ca="1"/>
      </c>
      <c r="HL265">
        <f ca="1"/>
      </c>
      <c r="HM265">
        <f ca="1"/>
      </c>
      <c r="HN265">
        <f ca="1"/>
      </c>
      <c r="HO265">
        <f ca="1"/>
      </c>
      <c r="HP265">
        <f ca="1"/>
      </c>
      <c r="HQ265">
        <f ca="1"/>
      </c>
    </row>
    <row r="266" spans="147:225" x14ac:dyDescent="0.55000000000000004"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GX266">
        <f ca="1"/>
      </c>
      <c r="GY266">
        <f ca="1"/>
      </c>
      <c r="GZ266">
        <f ca="1"/>
      </c>
      <c r="HA266">
        <f ca="1"/>
      </c>
      <c r="HB266">
        <f ca="1"/>
      </c>
      <c r="HD266">
        <f ca="1"/>
      </c>
      <c r="HE266">
        <f ca="1"/>
      </c>
      <c r="HF266">
        <f ca="1"/>
      </c>
      <c r="HG266">
        <f ca="1"/>
      </c>
      <c r="HH266">
        <f ca="1"/>
      </c>
      <c r="HI266">
        <f ca="1"/>
      </c>
      <c r="HJ266">
        <f ca="1"/>
      </c>
      <c r="HK266">
        <f ca="1"/>
      </c>
      <c r="HL266">
        <f ca="1"/>
      </c>
      <c r="HM266">
        <f ca="1"/>
      </c>
      <c r="HN266">
        <f ca="1"/>
      </c>
      <c r="HO266">
        <f ca="1"/>
      </c>
      <c r="HP266">
        <f ca="1"/>
      </c>
      <c r="HQ266">
        <f ca="1"/>
      </c>
    </row>
    <row r="267" spans="147:225" x14ac:dyDescent="0.55000000000000004"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GX267">
        <f ca="1"/>
      </c>
      <c r="GY267">
        <f ca="1"/>
      </c>
      <c r="GZ267">
        <f ca="1"/>
      </c>
      <c r="HA267">
        <f ca="1"/>
      </c>
      <c r="HB267">
        <f ca="1"/>
      </c>
      <c r="HD267">
        <f ca="1"/>
      </c>
      <c r="HE267">
        <f ca="1"/>
      </c>
      <c r="HF267">
        <f ca="1"/>
      </c>
      <c r="HG267">
        <f ca="1"/>
      </c>
      <c r="HH267">
        <f ca="1"/>
      </c>
      <c r="HI267">
        <f ca="1"/>
      </c>
      <c r="HJ267">
        <f ca="1"/>
      </c>
      <c r="HK267">
        <f ca="1"/>
      </c>
      <c r="HL267">
        <f ca="1"/>
      </c>
      <c r="HM267">
        <f ca="1"/>
      </c>
      <c r="HN267">
        <f ca="1"/>
      </c>
      <c r="HO267">
        <f ca="1"/>
      </c>
      <c r="HP267">
        <f ca="1"/>
      </c>
      <c r="HQ267">
        <f ca="1"/>
      </c>
    </row>
    <row r="268" spans="147:225" x14ac:dyDescent="0.55000000000000004"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GX268">
        <f ca="1"/>
      </c>
      <c r="GY268">
        <f ca="1"/>
      </c>
      <c r="GZ268">
        <f ca="1"/>
      </c>
      <c r="HA268">
        <f ca="1"/>
      </c>
      <c r="HB268">
        <f ca="1"/>
      </c>
      <c r="HD268">
        <f ca="1"/>
      </c>
      <c r="HE268">
        <f ca="1"/>
      </c>
      <c r="HF268">
        <f ca="1"/>
      </c>
      <c r="HG268">
        <f ca="1"/>
      </c>
      <c r="HH268">
        <f ca="1"/>
      </c>
      <c r="HI268">
        <f ca="1"/>
      </c>
      <c r="HJ268">
        <f ca="1"/>
      </c>
      <c r="HK268">
        <f ca="1"/>
      </c>
      <c r="HL268">
        <f ca="1"/>
      </c>
      <c r="HM268">
        <f ca="1"/>
      </c>
      <c r="HN268">
        <f ca="1"/>
      </c>
      <c r="HO268">
        <f ca="1"/>
      </c>
      <c r="HP268">
        <f ca="1"/>
      </c>
      <c r="HQ268">
        <f ca="1"/>
      </c>
    </row>
    <row r="269" spans="147:225" x14ac:dyDescent="0.55000000000000004"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GX269">
        <f ca="1"/>
      </c>
      <c r="GY269">
        <f ca="1"/>
      </c>
      <c r="GZ269">
        <f ca="1"/>
      </c>
      <c r="HA269">
        <f ca="1"/>
      </c>
      <c r="HB269">
        <f ca="1"/>
      </c>
      <c r="HD269">
        <f ca="1"/>
      </c>
      <c r="HE269">
        <f ca="1"/>
      </c>
      <c r="HF269">
        <f ca="1"/>
      </c>
      <c r="HG269">
        <f ca="1"/>
      </c>
      <c r="HH269">
        <f ca="1"/>
      </c>
      <c r="HI269">
        <f ca="1"/>
      </c>
      <c r="HJ269">
        <f ca="1"/>
      </c>
      <c r="HK269">
        <f ca="1"/>
      </c>
      <c r="HL269">
        <f ca="1"/>
      </c>
      <c r="HM269">
        <f ca="1"/>
      </c>
      <c r="HN269">
        <f ca="1"/>
      </c>
      <c r="HO269">
        <f ca="1"/>
      </c>
      <c r="HP269">
        <f ca="1"/>
      </c>
      <c r="HQ269">
        <f ca="1"/>
      </c>
    </row>
    <row r="270" spans="147:225" x14ac:dyDescent="0.55000000000000004"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GX270">
        <f ca="1"/>
      </c>
      <c r="GY270">
        <f ca="1"/>
      </c>
      <c r="GZ270">
        <f ca="1"/>
      </c>
      <c r="HA270">
        <f ca="1"/>
      </c>
      <c r="HB270">
        <f ca="1"/>
      </c>
      <c r="HD270">
        <f ca="1"/>
      </c>
      <c r="HE270">
        <f ca="1"/>
      </c>
      <c r="HF270">
        <f ca="1"/>
      </c>
      <c r="HG270">
        <f ca="1"/>
      </c>
      <c r="HH270">
        <f ca="1"/>
      </c>
      <c r="HI270">
        <f ca="1"/>
      </c>
      <c r="HJ270">
        <f ca="1"/>
      </c>
      <c r="HK270">
        <f ca="1"/>
      </c>
      <c r="HL270">
        <f ca="1"/>
      </c>
      <c r="HM270">
        <f ca="1"/>
      </c>
      <c r="HN270">
        <f ca="1"/>
      </c>
      <c r="HO270">
        <f ca="1"/>
      </c>
      <c r="HP270">
        <f ca="1"/>
      </c>
      <c r="HQ270">
        <f ca="1"/>
      </c>
    </row>
    <row r="271" spans="147:225" x14ac:dyDescent="0.55000000000000004"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GX271">
        <f ca="1"/>
      </c>
      <c r="GY271">
        <f ca="1"/>
      </c>
      <c r="GZ271">
        <f ca="1"/>
      </c>
      <c r="HA271">
        <f ca="1"/>
      </c>
      <c r="HB271">
        <f ca="1"/>
      </c>
      <c r="HD271">
        <f ca="1"/>
      </c>
      <c r="HE271">
        <f ca="1"/>
      </c>
      <c r="HF271">
        <f ca="1"/>
      </c>
      <c r="HG271">
        <f ca="1"/>
      </c>
      <c r="HH271">
        <f ca="1"/>
      </c>
      <c r="HI271">
        <f ca="1"/>
      </c>
      <c r="HJ271">
        <f ca="1"/>
      </c>
      <c r="HK271">
        <f ca="1"/>
      </c>
      <c r="HL271">
        <f ca="1"/>
      </c>
      <c r="HM271">
        <f ca="1"/>
      </c>
      <c r="HN271">
        <f ca="1"/>
      </c>
      <c r="HO271">
        <f ca="1"/>
      </c>
      <c r="HP271">
        <f ca="1"/>
      </c>
      <c r="HQ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GX272">
        <f ca="1"/>
      </c>
      <c r="GY272">
        <f ca="1"/>
      </c>
      <c r="GZ272">
        <f ca="1"/>
      </c>
      <c r="HA272">
        <f ca="1"/>
      </c>
      <c r="HB272">
        <f ca="1"/>
      </c>
      <c r="HD272">
        <f ca="1"/>
      </c>
      <c r="HE272">
        <f ca="1"/>
      </c>
      <c r="HF272">
        <f ca="1"/>
      </c>
      <c r="HG272">
        <f ca="1"/>
      </c>
      <c r="HH272">
        <f ca="1"/>
      </c>
      <c r="HI272">
        <f ca="1"/>
      </c>
      <c r="HJ272">
        <f ca="1"/>
      </c>
      <c r="HK272">
        <f ca="1"/>
      </c>
      <c r="HL272">
        <f ca="1"/>
      </c>
      <c r="HM272">
        <f ca="1"/>
      </c>
      <c r="HN272">
        <f ca="1"/>
      </c>
      <c r="HO272">
        <f ca="1"/>
      </c>
      <c r="HP272">
        <f ca="1"/>
      </c>
      <c r="HQ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158</v>
      </c>
      <c r="EQ304" cm="1">
        <f t="array" aca="1" ref="EQ304:FR321" ca="1">_xlfn.LET(_xlpm.g,_xlfn.DROP(_xlfn.ANCHORARRAY($CO$4),1),_xlfn._xlws.FILTER(_xlpm.g,_xlfn.TAKE(_xlpm.g,,1)=7))</f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GQ304" t="s">
        <v>169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174</v>
      </c>
      <c r="HE304">
        <f>"Actual / Mean / Recon (k="&amp;$D$108&amp;")  dashed: Mean ±1σ"</f>
      </c>
      <c r="HF304" t="s">
        <v>175</v>
      </c>
      <c r="HG304" t="s">
        <v>176</v>
      </c>
      <c r="HH304" t="s">
        <v>179</v>
      </c>
      <c r="HI304" t="s">
        <v>180</v>
      </c>
      <c r="HJ304" t="s">
        <v>181</v>
      </c>
      <c r="HK304" t="s">
        <v>182</v>
      </c>
      <c r="HL304" t="s">
        <v>183</v>
      </c>
      <c r="HM304" t="s">
        <v>184</v>
      </c>
      <c r="HN304" t="s">
        <v>185</v>
      </c>
      <c r="HO304" t="s">
        <v>186</v>
      </c>
      <c r="HP304" t="s">
        <v>187</v>
      </c>
      <c r="HQ304" t="s">
        <v>188</v>
      </c>
      <c r="HR304" t="s">
        <v>189</v>
      </c>
    </row>
    <row r="305" spans="147:226" x14ac:dyDescent="0.55000000000000004"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aca="1" ref="GX305:GX322" ca="1">_xlfn.LET(_xlpm.V,_xlfn.DROP(_xlfn.ANCHORARRAY($EQ$304),,10),IF(1&lt;=COLUMNS(_xlpm.V),_xlfn.CHOOSECOLS(_xlpm.V,1),IF(_xlfn.SEQUENCE(ROWS(_xlpm.V)),NA())))</f>
      </c>
      <c r="GY305" cm="1">
        <f t="array" aca="1" ref="GY305:GY322" ca="1">_xlfn.LET(_xlpm.V,_xlfn.DROP(_xlfn.ANCHORARRAY($EQ$304),,10),IF(2&lt;=COLUMNS(_xlpm.V),_xlfn.CHOOSECOLS(_xlpm.V,2),IF(_xlfn.SEQUENCE(ROWS(_xlpm.V)),NA())))</f>
      </c>
      <c r="GZ305" cm="1">
        <f t="array" aca="1" ref="GZ305:GZ322" ca="1">_xlfn.LET(_xlpm.V,_xlfn.DROP(_xlfn.ANCHORARRAY($EQ$304),,10),IF(3&lt;=COLUMNS(_xlpm.V),_xlfn.CHOOSECOLS(_xlpm.V,3),IF(_xlfn.SEQUENCE(ROWS(_xlpm.V)),NA())))</f>
      </c>
      <c r="HA305" cm="1">
        <f t="array" aca="1" ref="HA305:HA322" ca="1">_xlfn.LET(_xlpm.V,_xlfn.DROP(_xlfn.ANCHORARRAY($EQ$304),,10),IF(4&lt;=COLUMNS(_xlpm.V),_xlfn.CHOOSECOLS(_xlpm.V,4),IF(_xlfn.SEQUENCE(ROWS(_xlpm.V)),NA())))</f>
      </c>
      <c r="HB305" cm="1">
        <f t="array" aca="1" ref="HB305:HB322" ca="1">_xlfn.LET(_xlpm.V,_xlfn.DROP(_xlfn.ANCHORARRAY($EQ$304),,10),IF(5&lt;=COLUMNS(_xlpm.V),_xlfn.CHOOSECOLS(_xlpm.V,5),IF(_xlfn.SEQUENCE(ROWS(_xlpm.V)),NA())))</f>
      </c>
      <c r="HD305" cm="1">
        <f t="array" aca="1" ref="HD305:HD322" ca="1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aca="1" ref="HF305:HF322" ca="1">_xlfn.CHOOSECOLS(_xlfn.ANCHORARRAY($EQ$304),8)+_xlfn.CHOOSECOLS(_xlfn.ANCHORARRAY($EQ$304),10)</f>
      </c>
      <c r="HG305" cm="1">
        <f t="array" aca="1" ref="HG305:HG322" ca="1">_xlfn.CHOOSECOLS(_xlfn.ANCHORARRAY($EQ$304),8)-_xlfn.CHOOSECOLS(_xlfn.ANCHORARRAY($EQ$304),10)</f>
      </c>
      <c r="HH305" cm="1">
        <f t="array" aca="1" ref="HH305:HH322" ca="1">_xlfn.LET(_xlpm.v,_xlfn.CHOOSECOLS(_xlfn._xlws.FILTER(_xlfn.DROP(_xlfn.ANCHORARRAY($HS$4),1),_xlfn.TAKE(_xlfn.DROP(_xlfn.ANCHORARRAY($HS$4),1),,1)=7),3),IF(_xlpm.v="",NA(),_xlpm.v))</f>
      </c>
      <c r="HI305" cm="1">
        <f t="array" aca="1" ref="HI305:HI322" ca="1">-_xlfn.ANCHORARRAY($HH$305)</f>
      </c>
      <c r="HJ305" cm="1">
        <f t="array" aca="1" ref="HJ305:HJ322" ca="1">_xlfn.LET(_xlpm.v,_xlfn.CHOOSECOLS(_xlfn._xlws.FILTER(_xlfn.DROP(_xlfn.ANCHORARRAY($HS$4),1),_xlfn.TAKE(_xlfn.DROP(_xlfn.ANCHORARRAY($HS$4),1),,1)=7),4),IF(_xlpm.v="",NA(),_xlpm.v))</f>
      </c>
      <c r="HK305" cm="1">
        <f t="array" aca="1" ref="HK305:HK322" ca="1">-_xlfn.ANCHORARRAY($HJ$305)</f>
      </c>
      <c r="HL305" cm="1">
        <f t="array" aca="1" ref="HL305:HL322" ca="1">_xlfn.LET(_xlpm.v,_xlfn.CHOOSECOLS(_xlfn._xlws.FILTER(_xlfn.DROP(_xlfn.ANCHORARRAY($HS$4),1),_xlfn.TAKE(_xlfn.DROP(_xlfn.ANCHORARRAY($HS$4),1),,1)=7),5),IF(_xlpm.v="",NA(),_xlpm.v))</f>
      </c>
      <c r="HM305" cm="1">
        <f t="array" aca="1" ref="HM305:HM322" ca="1">-_xlfn.ANCHORARRAY($HL$305)</f>
      </c>
      <c r="HN305" cm="1">
        <f t="array" aca="1" ref="HN305:HN322" ca="1">_xlfn.LET(_xlpm.v,_xlfn.CHOOSECOLS(_xlfn._xlws.FILTER(_xlfn.DROP(_xlfn.ANCHORARRAY($HS$4),1),_xlfn.TAKE(_xlfn.DROP(_xlfn.ANCHORARRAY($HS$4),1),,1)=7),6),IF(_xlpm.v="",NA(),_xlpm.v))</f>
      </c>
      <c r="HO305" cm="1">
        <f t="array" aca="1" ref="HO305:HO322" ca="1">-_xlfn.ANCHORARRAY($HN$305)</f>
      </c>
      <c r="HP305" cm="1">
        <f t="array" aca="1" ref="HP305:HP322" ca="1">_xlfn.LET(_xlpm.v,_xlfn.CHOOSECOLS(_xlfn._xlws.FILTER(_xlfn.DROP(_xlfn.ANCHORARRAY($HS$4),1),_xlfn.TAKE(_xlfn.DROP(_xlfn.ANCHORARRAY($HS$4),1),,1)=7),7),IF(_xlpm.v="",NA(),_xlpm.v))</f>
      </c>
      <c r="HQ305" cm="1">
        <f t="array" aca="1" ref="HQ305:HQ322" ca="1">-_xlfn.ANCHORARRAY($HP$305)</f>
      </c>
      <c r="HR305" cm="1">
        <f t="array" aca="1" ref="HR305" ca="1">IFERROR(INDEX(_xlfn._xlws.FILTER(_xlfn.DROP(_xlfn.ANCHORARRAY($HS$4),1),_xlfn.TAKE(_xlfn.DROP(_xlfn.ANCHORARRAY($HS$4),1),,1)=7),1,2),"")</f>
      </c>
    </row>
    <row r="306" spans="147:226" x14ac:dyDescent="0.55000000000000004"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GX306">
        <f ca="1"/>
      </c>
      <c r="GY306">
        <f ca="1"/>
      </c>
      <c r="GZ306">
        <f ca="1"/>
      </c>
      <c r="HA306">
        <f ca="1"/>
      </c>
      <c r="HB306">
        <f ca="1"/>
      </c>
      <c r="HD306">
        <f ca="1"/>
      </c>
      <c r="HE306">
        <f ca="1"/>
      </c>
      <c r="HF306">
        <f ca="1"/>
      </c>
      <c r="HG306">
        <f ca="1"/>
      </c>
      <c r="HH306">
        <f ca="1"/>
      </c>
      <c r="HI306">
        <f ca="1"/>
      </c>
      <c r="HJ306">
        <f ca="1"/>
      </c>
      <c r="HK306">
        <f ca="1"/>
      </c>
      <c r="HL306">
        <f ca="1"/>
      </c>
      <c r="HM306">
        <f ca="1"/>
      </c>
      <c r="HN306">
        <f ca="1"/>
      </c>
      <c r="HO306">
        <f ca="1"/>
      </c>
      <c r="HP306">
        <f ca="1"/>
      </c>
      <c r="HQ306">
        <f ca="1"/>
      </c>
    </row>
    <row r="307" spans="147:226" x14ac:dyDescent="0.55000000000000004"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GX307">
        <f ca="1"/>
      </c>
      <c r="GY307">
        <f ca="1"/>
      </c>
      <c r="GZ307">
        <f ca="1"/>
      </c>
      <c r="HA307">
        <f ca="1"/>
      </c>
      <c r="HB307">
        <f ca="1"/>
      </c>
      <c r="HD307">
        <f ca="1"/>
      </c>
      <c r="HE307">
        <f ca="1"/>
      </c>
      <c r="HF307">
        <f ca="1"/>
      </c>
      <c r="HG307">
        <f ca="1"/>
      </c>
      <c r="HH307">
        <f ca="1"/>
      </c>
      <c r="HI307">
        <f ca="1"/>
      </c>
      <c r="HJ307">
        <f ca="1"/>
      </c>
      <c r="HK307">
        <f ca="1"/>
      </c>
      <c r="HL307">
        <f ca="1"/>
      </c>
      <c r="HM307">
        <f ca="1"/>
      </c>
      <c r="HN307">
        <f ca="1"/>
      </c>
      <c r="HO307">
        <f ca="1"/>
      </c>
      <c r="HP307">
        <f ca="1"/>
      </c>
      <c r="HQ307">
        <f ca="1"/>
      </c>
    </row>
    <row r="308" spans="147:226" x14ac:dyDescent="0.55000000000000004"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GX308">
        <f ca="1"/>
      </c>
      <c r="GY308">
        <f ca="1"/>
      </c>
      <c r="GZ308">
        <f ca="1"/>
      </c>
      <c r="HA308">
        <f ca="1"/>
      </c>
      <c r="HB308">
        <f ca="1"/>
      </c>
      <c r="HD308">
        <f ca="1"/>
      </c>
      <c r="HE308">
        <f ca="1"/>
      </c>
      <c r="HF308">
        <f ca="1"/>
      </c>
      <c r="HG308">
        <f ca="1"/>
      </c>
      <c r="HH308">
        <f ca="1"/>
      </c>
      <c r="HI308">
        <f ca="1"/>
      </c>
      <c r="HJ308">
        <f ca="1"/>
      </c>
      <c r="HK308">
        <f ca="1"/>
      </c>
      <c r="HL308">
        <f ca="1"/>
      </c>
      <c r="HM308">
        <f ca="1"/>
      </c>
      <c r="HN308">
        <f ca="1"/>
      </c>
      <c r="HO308">
        <f ca="1"/>
      </c>
      <c r="HP308">
        <f ca="1"/>
      </c>
      <c r="HQ308">
        <f ca="1"/>
      </c>
    </row>
    <row r="309" spans="147:226" x14ac:dyDescent="0.55000000000000004"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GX309">
        <f ca="1"/>
      </c>
      <c r="GY309">
        <f ca="1"/>
      </c>
      <c r="GZ309">
        <f ca="1"/>
      </c>
      <c r="HA309">
        <f ca="1"/>
      </c>
      <c r="HB309">
        <f ca="1"/>
      </c>
      <c r="HD309">
        <f ca="1"/>
      </c>
      <c r="HE309">
        <f ca="1"/>
      </c>
      <c r="HF309">
        <f ca="1"/>
      </c>
      <c r="HG309">
        <f ca="1"/>
      </c>
      <c r="HH309">
        <f ca="1"/>
      </c>
      <c r="HI309">
        <f ca="1"/>
      </c>
      <c r="HJ309">
        <f ca="1"/>
      </c>
      <c r="HK309">
        <f ca="1"/>
      </c>
      <c r="HL309">
        <f ca="1"/>
      </c>
      <c r="HM309">
        <f ca="1"/>
      </c>
      <c r="HN309">
        <f ca="1"/>
      </c>
      <c r="HO309">
        <f ca="1"/>
      </c>
      <c r="HP309">
        <f ca="1"/>
      </c>
      <c r="HQ309">
        <f ca="1"/>
      </c>
    </row>
    <row r="310" spans="147:226" x14ac:dyDescent="0.55000000000000004"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GX310">
        <f ca="1"/>
      </c>
      <c r="GY310">
        <f ca="1"/>
      </c>
      <c r="GZ310">
        <f ca="1"/>
      </c>
      <c r="HA310">
        <f ca="1"/>
      </c>
      <c r="HB310">
        <f ca="1"/>
      </c>
      <c r="HD310">
        <f ca="1"/>
      </c>
      <c r="HE310">
        <f ca="1"/>
      </c>
      <c r="HF310">
        <f ca="1"/>
      </c>
      <c r="HG310">
        <f ca="1"/>
      </c>
      <c r="HH310">
        <f ca="1"/>
      </c>
      <c r="HI310">
        <f ca="1"/>
      </c>
      <c r="HJ310">
        <f ca="1"/>
      </c>
      <c r="HK310">
        <f ca="1"/>
      </c>
      <c r="HL310">
        <f ca="1"/>
      </c>
      <c r="HM310">
        <f ca="1"/>
      </c>
      <c r="HN310">
        <f ca="1"/>
      </c>
      <c r="HO310">
        <f ca="1"/>
      </c>
      <c r="HP310">
        <f ca="1"/>
      </c>
      <c r="HQ310">
        <f ca="1"/>
      </c>
    </row>
    <row r="311" spans="147:226" x14ac:dyDescent="0.55000000000000004"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GX311">
        <f ca="1"/>
      </c>
      <c r="GY311">
        <f ca="1"/>
      </c>
      <c r="GZ311">
        <f ca="1"/>
      </c>
      <c r="HA311">
        <f ca="1"/>
      </c>
      <c r="HB311">
        <f ca="1"/>
      </c>
      <c r="HD311">
        <f ca="1"/>
      </c>
      <c r="HE311">
        <f ca="1"/>
      </c>
      <c r="HF311">
        <f ca="1"/>
      </c>
      <c r="HG311">
        <f ca="1"/>
      </c>
      <c r="HH311">
        <f ca="1"/>
      </c>
      <c r="HI311">
        <f ca="1"/>
      </c>
      <c r="HJ311">
        <f ca="1"/>
      </c>
      <c r="HK311">
        <f ca="1"/>
      </c>
      <c r="HL311">
        <f ca="1"/>
      </c>
      <c r="HM311">
        <f ca="1"/>
      </c>
      <c r="HN311">
        <f ca="1"/>
      </c>
      <c r="HO311">
        <f ca="1"/>
      </c>
      <c r="HP311">
        <f ca="1"/>
      </c>
      <c r="HQ311">
        <f ca="1"/>
      </c>
    </row>
    <row r="312" spans="147:226" x14ac:dyDescent="0.55000000000000004"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GX312">
        <f ca="1"/>
      </c>
      <c r="GY312">
        <f ca="1"/>
      </c>
      <c r="GZ312">
        <f ca="1"/>
      </c>
      <c r="HA312">
        <f ca="1"/>
      </c>
      <c r="HB312">
        <f ca="1"/>
      </c>
      <c r="HD312">
        <f ca="1"/>
      </c>
      <c r="HE312">
        <f ca="1"/>
      </c>
      <c r="HF312">
        <f ca="1"/>
      </c>
      <c r="HG312">
        <f ca="1"/>
      </c>
      <c r="HH312">
        <f ca="1"/>
      </c>
      <c r="HI312">
        <f ca="1"/>
      </c>
      <c r="HJ312">
        <f ca="1"/>
      </c>
      <c r="HK312">
        <f ca="1"/>
      </c>
      <c r="HL312">
        <f ca="1"/>
      </c>
      <c r="HM312">
        <f ca="1"/>
      </c>
      <c r="HN312">
        <f ca="1"/>
      </c>
      <c r="HO312">
        <f ca="1"/>
      </c>
      <c r="HP312">
        <f ca="1"/>
      </c>
      <c r="HQ312">
        <f ca="1"/>
      </c>
    </row>
    <row r="313" spans="147:226" x14ac:dyDescent="0.55000000000000004"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GX313">
        <f ca="1"/>
      </c>
      <c r="GY313">
        <f ca="1"/>
      </c>
      <c r="GZ313">
        <f ca="1"/>
      </c>
      <c r="HA313">
        <f ca="1"/>
      </c>
      <c r="HB313">
        <f ca="1"/>
      </c>
      <c r="HD313">
        <f ca="1"/>
      </c>
      <c r="HE313">
        <f ca="1"/>
      </c>
      <c r="HF313">
        <f ca="1"/>
      </c>
      <c r="HG313">
        <f ca="1"/>
      </c>
      <c r="HH313">
        <f ca="1"/>
      </c>
      <c r="HI313">
        <f ca="1"/>
      </c>
      <c r="HJ313">
        <f ca="1"/>
      </c>
      <c r="HK313">
        <f ca="1"/>
      </c>
      <c r="HL313">
        <f ca="1"/>
      </c>
      <c r="HM313">
        <f ca="1"/>
      </c>
      <c r="HN313">
        <f ca="1"/>
      </c>
      <c r="HO313">
        <f ca="1"/>
      </c>
      <c r="HP313">
        <f ca="1"/>
      </c>
      <c r="HQ313">
        <f ca="1"/>
      </c>
    </row>
    <row r="314" spans="147:226" x14ac:dyDescent="0.55000000000000004"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GX314">
        <f ca="1"/>
      </c>
      <c r="GY314">
        <f ca="1"/>
      </c>
      <c r="GZ314">
        <f ca="1"/>
      </c>
      <c r="HA314">
        <f ca="1"/>
      </c>
      <c r="HB314">
        <f ca="1"/>
      </c>
      <c r="HD314">
        <f ca="1"/>
      </c>
      <c r="HE314">
        <f ca="1"/>
      </c>
      <c r="HF314">
        <f ca="1"/>
      </c>
      <c r="HG314">
        <f ca="1"/>
      </c>
      <c r="HH314">
        <f ca="1"/>
      </c>
      <c r="HI314">
        <f ca="1"/>
      </c>
      <c r="HJ314">
        <f ca="1"/>
      </c>
      <c r="HK314">
        <f ca="1"/>
      </c>
      <c r="HL314">
        <f ca="1"/>
      </c>
      <c r="HM314">
        <f ca="1"/>
      </c>
      <c r="HN314">
        <f ca="1"/>
      </c>
      <c r="HO314">
        <f ca="1"/>
      </c>
      <c r="HP314">
        <f ca="1"/>
      </c>
      <c r="HQ314">
        <f ca="1"/>
      </c>
    </row>
    <row r="315" spans="147:226" x14ac:dyDescent="0.55000000000000004"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GX315">
        <f ca="1"/>
      </c>
      <c r="GY315">
        <f ca="1"/>
      </c>
      <c r="GZ315">
        <f ca="1"/>
      </c>
      <c r="HA315">
        <f ca="1"/>
      </c>
      <c r="HB315">
        <f ca="1"/>
      </c>
      <c r="HD315">
        <f ca="1"/>
      </c>
      <c r="HE315">
        <f ca="1"/>
      </c>
      <c r="HF315">
        <f ca="1"/>
      </c>
      <c r="HG315">
        <f ca="1"/>
      </c>
      <c r="HH315">
        <f ca="1"/>
      </c>
      <c r="HI315">
        <f ca="1"/>
      </c>
      <c r="HJ315">
        <f ca="1"/>
      </c>
      <c r="HK315">
        <f ca="1"/>
      </c>
      <c r="HL315">
        <f ca="1"/>
      </c>
      <c r="HM315">
        <f ca="1"/>
      </c>
      <c r="HN315">
        <f ca="1"/>
      </c>
      <c r="HO315">
        <f ca="1"/>
      </c>
      <c r="HP315">
        <f ca="1"/>
      </c>
      <c r="HQ315">
        <f ca="1"/>
      </c>
    </row>
    <row r="316" spans="147:226" x14ac:dyDescent="0.55000000000000004"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GX316">
        <f ca="1"/>
      </c>
      <c r="GY316">
        <f ca="1"/>
      </c>
      <c r="GZ316">
        <f ca="1"/>
      </c>
      <c r="HA316">
        <f ca="1"/>
      </c>
      <c r="HB316">
        <f ca="1"/>
      </c>
      <c r="HD316">
        <f ca="1"/>
      </c>
      <c r="HE316">
        <f ca="1"/>
      </c>
      <c r="HF316">
        <f ca="1"/>
      </c>
      <c r="HG316">
        <f ca="1"/>
      </c>
      <c r="HH316">
        <f ca="1"/>
      </c>
      <c r="HI316">
        <f ca="1"/>
      </c>
      <c r="HJ316">
        <f ca="1"/>
      </c>
      <c r="HK316">
        <f ca="1"/>
      </c>
      <c r="HL316">
        <f ca="1"/>
      </c>
      <c r="HM316">
        <f ca="1"/>
      </c>
      <c r="HN316">
        <f ca="1"/>
      </c>
      <c r="HO316">
        <f ca="1"/>
      </c>
      <c r="HP316">
        <f ca="1"/>
      </c>
      <c r="HQ316">
        <f ca="1"/>
      </c>
    </row>
    <row r="317" spans="147:226" x14ac:dyDescent="0.55000000000000004"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GX317">
        <f ca="1"/>
      </c>
      <c r="GY317">
        <f ca="1"/>
      </c>
      <c r="GZ317">
        <f ca="1"/>
      </c>
      <c r="HA317">
        <f ca="1"/>
      </c>
      <c r="HB317">
        <f ca="1"/>
      </c>
      <c r="HD317">
        <f ca="1"/>
      </c>
      <c r="HE317">
        <f ca="1"/>
      </c>
      <c r="HF317">
        <f ca="1"/>
      </c>
      <c r="HG317">
        <f ca="1"/>
      </c>
      <c r="HH317">
        <f ca="1"/>
      </c>
      <c r="HI317">
        <f ca="1"/>
      </c>
      <c r="HJ317">
        <f ca="1"/>
      </c>
      <c r="HK317">
        <f ca="1"/>
      </c>
      <c r="HL317">
        <f ca="1"/>
      </c>
      <c r="HM317">
        <f ca="1"/>
      </c>
      <c r="HN317">
        <f ca="1"/>
      </c>
      <c r="HO317">
        <f ca="1"/>
      </c>
      <c r="HP317">
        <f ca="1"/>
      </c>
      <c r="HQ317">
        <f ca="1"/>
      </c>
    </row>
    <row r="318" spans="147:226" x14ac:dyDescent="0.55000000000000004"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GX318">
        <f ca="1"/>
      </c>
      <c r="GY318">
        <f ca="1"/>
      </c>
      <c r="GZ318">
        <f ca="1"/>
      </c>
      <c r="HA318">
        <f ca="1"/>
      </c>
      <c r="HB318">
        <f ca="1"/>
      </c>
      <c r="HD318">
        <f ca="1"/>
      </c>
      <c r="HE318">
        <f ca="1"/>
      </c>
      <c r="HF318">
        <f ca="1"/>
      </c>
      <c r="HG318">
        <f ca="1"/>
      </c>
      <c r="HH318">
        <f ca="1"/>
      </c>
      <c r="HI318">
        <f ca="1"/>
      </c>
      <c r="HJ318">
        <f ca="1"/>
      </c>
      <c r="HK318">
        <f ca="1"/>
      </c>
      <c r="HL318">
        <f ca="1"/>
      </c>
      <c r="HM318">
        <f ca="1"/>
      </c>
      <c r="HN318">
        <f ca="1"/>
      </c>
      <c r="HO318">
        <f ca="1"/>
      </c>
      <c r="HP318">
        <f ca="1"/>
      </c>
      <c r="HQ318">
        <f ca="1"/>
      </c>
    </row>
    <row r="319" spans="147:226" x14ac:dyDescent="0.55000000000000004"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GX319">
        <f ca="1"/>
      </c>
      <c r="GY319">
        <f ca="1"/>
      </c>
      <c r="GZ319">
        <f ca="1"/>
      </c>
      <c r="HA319">
        <f ca="1"/>
      </c>
      <c r="HB319">
        <f ca="1"/>
      </c>
      <c r="HD319">
        <f ca="1"/>
      </c>
      <c r="HE319">
        <f ca="1"/>
      </c>
      <c r="HF319">
        <f ca="1"/>
      </c>
      <c r="HG319">
        <f ca="1"/>
      </c>
      <c r="HH319">
        <f ca="1"/>
      </c>
      <c r="HI319">
        <f ca="1"/>
      </c>
      <c r="HJ319">
        <f ca="1"/>
      </c>
      <c r="HK319">
        <f ca="1"/>
      </c>
      <c r="HL319">
        <f ca="1"/>
      </c>
      <c r="HM319">
        <f ca="1"/>
      </c>
      <c r="HN319">
        <f ca="1"/>
      </c>
      <c r="HO319">
        <f ca="1"/>
      </c>
      <c r="HP319">
        <f ca="1"/>
      </c>
      <c r="HQ319">
        <f ca="1"/>
      </c>
    </row>
    <row r="320" spans="147:226" x14ac:dyDescent="0.55000000000000004"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GX320">
        <f ca="1"/>
      </c>
      <c r="GY320">
        <f ca="1"/>
      </c>
      <c r="GZ320">
        <f ca="1"/>
      </c>
      <c r="HA320">
        <f ca="1"/>
      </c>
      <c r="HB320">
        <f ca="1"/>
      </c>
      <c r="HD320">
        <f ca="1"/>
      </c>
      <c r="HE320">
        <f ca="1"/>
      </c>
      <c r="HF320">
        <f ca="1"/>
      </c>
      <c r="HG320">
        <f ca="1"/>
      </c>
      <c r="HH320">
        <f ca="1"/>
      </c>
      <c r="HI320">
        <f ca="1"/>
      </c>
      <c r="HJ320">
        <f ca="1"/>
      </c>
      <c r="HK320">
        <f ca="1"/>
      </c>
      <c r="HL320">
        <f ca="1"/>
      </c>
      <c r="HM320">
        <f ca="1"/>
      </c>
      <c r="HN320">
        <f ca="1"/>
      </c>
      <c r="HO320">
        <f ca="1"/>
      </c>
      <c r="HP320">
        <f ca="1"/>
      </c>
      <c r="HQ320">
        <f ca="1"/>
      </c>
    </row>
    <row r="321" spans="147:225" x14ac:dyDescent="0.55000000000000004"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GX321">
        <f ca="1"/>
      </c>
      <c r="GY321">
        <f ca="1"/>
      </c>
      <c r="GZ321">
        <f ca="1"/>
      </c>
      <c r="HA321">
        <f ca="1"/>
      </c>
      <c r="HB321">
        <f ca="1"/>
      </c>
      <c r="HD321">
        <f ca="1"/>
      </c>
      <c r="HE321">
        <f ca="1"/>
      </c>
      <c r="HF321">
        <f ca="1"/>
      </c>
      <c r="HG321">
        <f ca="1"/>
      </c>
      <c r="HH321">
        <f ca="1"/>
      </c>
      <c r="HI321">
        <f ca="1"/>
      </c>
      <c r="HJ321">
        <f ca="1"/>
      </c>
      <c r="HK321">
        <f ca="1"/>
      </c>
      <c r="HL321">
        <f ca="1"/>
      </c>
      <c r="HM321">
        <f ca="1"/>
      </c>
      <c r="HN321">
        <f ca="1"/>
      </c>
      <c r="HO321">
        <f ca="1"/>
      </c>
      <c r="HP321">
        <f ca="1"/>
      </c>
      <c r="HQ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GX322">
        <f ca="1"/>
      </c>
      <c r="GY322">
        <f ca="1"/>
      </c>
      <c r="GZ322">
        <f ca="1"/>
      </c>
      <c r="HA322">
        <f ca="1"/>
      </c>
      <c r="HB322">
        <f ca="1"/>
      </c>
      <c r="HD322">
        <f ca="1"/>
      </c>
      <c r="HE322">
        <f ca="1"/>
      </c>
      <c r="HF322">
        <f ca="1"/>
      </c>
      <c r="HG322">
        <f ca="1"/>
      </c>
      <c r="HH322">
        <f ca="1"/>
      </c>
      <c r="HI322">
        <f ca="1"/>
      </c>
      <c r="HJ322">
        <f ca="1"/>
      </c>
      <c r="HK322">
        <f ca="1"/>
      </c>
      <c r="HL322">
        <f ca="1"/>
      </c>
      <c r="HM322">
        <f ca="1"/>
      </c>
      <c r="HN322">
        <f ca="1"/>
      </c>
      <c r="HO322">
        <f ca="1"/>
      </c>
      <c r="HP322">
        <f ca="1"/>
      </c>
      <c r="HQ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159</v>
      </c>
      <c r="EQ354" cm="1">
        <f t="array" aca="1" ref="EQ354:FR371" ca="1">_xlfn.LET(_xlpm.g,_xlfn.DROP(_xlfn.ANCHORARRAY($CO$4),1),_xlfn._xlws.FILTER(_xlpm.g,_xlfn.TAKE(_xlpm.g,,1)=8))</f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GQ354" t="s">
        <v>169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174</v>
      </c>
      <c r="HE354">
        <f>"Actual / Mean / Recon (k="&amp;$D$108&amp;")  dashed: Mean ±1σ"</f>
      </c>
      <c r="HF354" t="s">
        <v>175</v>
      </c>
      <c r="HG354" t="s">
        <v>176</v>
      </c>
      <c r="HH354" t="s">
        <v>179</v>
      </c>
      <c r="HI354" t="s">
        <v>180</v>
      </c>
      <c r="HJ354" t="s">
        <v>181</v>
      </c>
      <c r="HK354" t="s">
        <v>182</v>
      </c>
      <c r="HL354" t="s">
        <v>183</v>
      </c>
      <c r="HM354" t="s">
        <v>184</v>
      </c>
      <c r="HN354" t="s">
        <v>185</v>
      </c>
      <c r="HO354" t="s">
        <v>186</v>
      </c>
      <c r="HP354" t="s">
        <v>187</v>
      </c>
      <c r="HQ354" t="s">
        <v>188</v>
      </c>
      <c r="HR354" t="s">
        <v>189</v>
      </c>
    </row>
    <row r="355" spans="146:226" x14ac:dyDescent="0.55000000000000004"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aca="1" ref="GX355:GX372" ca="1">_xlfn.LET(_xlpm.V,_xlfn.DROP(_xlfn.ANCHORARRAY($EQ$354),,10),IF(1&lt;=COLUMNS(_xlpm.V),_xlfn.CHOOSECOLS(_xlpm.V,1),IF(_xlfn.SEQUENCE(ROWS(_xlpm.V)),NA())))</f>
      </c>
      <c r="GY355" cm="1">
        <f t="array" aca="1" ref="GY355:GY372" ca="1">_xlfn.LET(_xlpm.V,_xlfn.DROP(_xlfn.ANCHORARRAY($EQ$354),,10),IF(2&lt;=COLUMNS(_xlpm.V),_xlfn.CHOOSECOLS(_xlpm.V,2),IF(_xlfn.SEQUENCE(ROWS(_xlpm.V)),NA())))</f>
      </c>
      <c r="GZ355" cm="1">
        <f t="array" aca="1" ref="GZ355:GZ372" ca="1">_xlfn.LET(_xlpm.V,_xlfn.DROP(_xlfn.ANCHORARRAY($EQ$354),,10),IF(3&lt;=COLUMNS(_xlpm.V),_xlfn.CHOOSECOLS(_xlpm.V,3),IF(_xlfn.SEQUENCE(ROWS(_xlpm.V)),NA())))</f>
      </c>
      <c r="HA355" cm="1">
        <f t="array" aca="1" ref="HA355:HA372" ca="1">_xlfn.LET(_xlpm.V,_xlfn.DROP(_xlfn.ANCHORARRAY($EQ$354),,10),IF(4&lt;=COLUMNS(_xlpm.V),_xlfn.CHOOSECOLS(_xlpm.V,4),IF(_xlfn.SEQUENCE(ROWS(_xlpm.V)),NA())))</f>
      </c>
      <c r="HB355" cm="1">
        <f t="array" aca="1" ref="HB355:HB372" ca="1">_xlfn.LET(_xlpm.V,_xlfn.DROP(_xlfn.ANCHORARRAY($EQ$354),,10),IF(5&lt;=COLUMNS(_xlpm.V),_xlfn.CHOOSECOLS(_xlpm.V,5),IF(_xlfn.SEQUENCE(ROWS(_xlpm.V)),NA())))</f>
      </c>
      <c r="HD355" cm="1">
        <f t="array" aca="1" ref="HD355:HD372" ca="1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aca="1" ref="HF355:HF372" ca="1">_xlfn.CHOOSECOLS(_xlfn.ANCHORARRAY($EQ$354),8)+_xlfn.CHOOSECOLS(_xlfn.ANCHORARRAY($EQ$354),10)</f>
      </c>
      <c r="HG355" cm="1">
        <f t="array" aca="1" ref="HG355:HG372" ca="1">_xlfn.CHOOSECOLS(_xlfn.ANCHORARRAY($EQ$354),8)-_xlfn.CHOOSECOLS(_xlfn.ANCHORARRAY($EQ$354),10)</f>
      </c>
      <c r="HH355" cm="1">
        <f t="array" aca="1" ref="HH355:HH372" ca="1">_xlfn.LET(_xlpm.v,_xlfn.CHOOSECOLS(_xlfn._xlws.FILTER(_xlfn.DROP(_xlfn.ANCHORARRAY($HS$4),1),_xlfn.TAKE(_xlfn.DROP(_xlfn.ANCHORARRAY($HS$4),1),,1)=8),3),IF(_xlpm.v="",NA(),_xlpm.v))</f>
      </c>
      <c r="HI355" cm="1">
        <f t="array" aca="1" ref="HI355:HI372" ca="1">-_xlfn.ANCHORARRAY($HH$355)</f>
      </c>
      <c r="HJ355" cm="1">
        <f t="array" aca="1" ref="HJ355:HJ372" ca="1">_xlfn.LET(_xlpm.v,_xlfn.CHOOSECOLS(_xlfn._xlws.FILTER(_xlfn.DROP(_xlfn.ANCHORARRAY($HS$4),1),_xlfn.TAKE(_xlfn.DROP(_xlfn.ANCHORARRAY($HS$4),1),,1)=8),4),IF(_xlpm.v="",NA(),_xlpm.v))</f>
      </c>
      <c r="HK355" cm="1">
        <f t="array" aca="1" ref="HK355:HK372" ca="1">-_xlfn.ANCHORARRAY($HJ$355)</f>
      </c>
      <c r="HL355" cm="1">
        <f t="array" aca="1" ref="HL355:HL372" ca="1">_xlfn.LET(_xlpm.v,_xlfn.CHOOSECOLS(_xlfn._xlws.FILTER(_xlfn.DROP(_xlfn.ANCHORARRAY($HS$4),1),_xlfn.TAKE(_xlfn.DROP(_xlfn.ANCHORARRAY($HS$4),1),,1)=8),5),IF(_xlpm.v="",NA(),_xlpm.v))</f>
      </c>
      <c r="HM355" cm="1">
        <f t="array" aca="1" ref="HM355:HM372" ca="1">-_xlfn.ANCHORARRAY($HL$355)</f>
      </c>
      <c r="HN355" cm="1">
        <f t="array" aca="1" ref="HN355:HN372" ca="1">_xlfn.LET(_xlpm.v,_xlfn.CHOOSECOLS(_xlfn._xlws.FILTER(_xlfn.DROP(_xlfn.ANCHORARRAY($HS$4),1),_xlfn.TAKE(_xlfn.DROP(_xlfn.ANCHORARRAY($HS$4),1),,1)=8),6),IF(_xlpm.v="",NA(),_xlpm.v))</f>
      </c>
      <c r="HO355" cm="1">
        <f t="array" aca="1" ref="HO355:HO372" ca="1">-_xlfn.ANCHORARRAY($HN$355)</f>
      </c>
      <c r="HP355" cm="1">
        <f t="array" aca="1" ref="HP355:HP372" ca="1">_xlfn.LET(_xlpm.v,_xlfn.CHOOSECOLS(_xlfn._xlws.FILTER(_xlfn.DROP(_xlfn.ANCHORARRAY($HS$4),1),_xlfn.TAKE(_xlfn.DROP(_xlfn.ANCHORARRAY($HS$4),1),,1)=8),7),IF(_xlpm.v="",NA(),_xlpm.v))</f>
      </c>
      <c r="HQ355" cm="1">
        <f t="array" aca="1" ref="HQ355:HQ372" ca="1">-_xlfn.ANCHORARRAY($HP$355)</f>
      </c>
      <c r="HR355" cm="1">
        <f t="array" aca="1" ref="HR355" ca="1">IFERROR(INDEX(_xlfn._xlws.FILTER(_xlfn.DROP(_xlfn.ANCHORARRAY($HS$4),1),_xlfn.TAKE(_xlfn.DROP(_xlfn.ANCHORARRAY($HS$4),1),,1)=8),1,2),"")</f>
      </c>
    </row>
    <row r="356" spans="146:226" x14ac:dyDescent="0.55000000000000004"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GX356">
        <f ca="1"/>
      </c>
      <c r="GY356">
        <f ca="1"/>
      </c>
      <c r="GZ356">
        <f ca="1"/>
      </c>
      <c r="HA356">
        <f ca="1"/>
      </c>
      <c r="HB356">
        <f ca="1"/>
      </c>
      <c r="HD356">
        <f ca="1"/>
      </c>
      <c r="HE356">
        <f ca="1"/>
      </c>
      <c r="HF356">
        <f ca="1"/>
      </c>
      <c r="HG356">
        <f ca="1"/>
      </c>
      <c r="HH356">
        <f ca="1"/>
      </c>
      <c r="HI356">
        <f ca="1"/>
      </c>
      <c r="HJ356">
        <f ca="1"/>
      </c>
      <c r="HK356">
        <f ca="1"/>
      </c>
      <c r="HL356">
        <f ca="1"/>
      </c>
      <c r="HM356">
        <f ca="1"/>
      </c>
      <c r="HN356">
        <f ca="1"/>
      </c>
      <c r="HO356">
        <f ca="1"/>
      </c>
      <c r="HP356">
        <f ca="1"/>
      </c>
      <c r="HQ356">
        <f ca="1"/>
      </c>
    </row>
    <row r="357" spans="146:226" x14ac:dyDescent="0.55000000000000004"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GX357">
        <f ca="1"/>
      </c>
      <c r="GY357">
        <f ca="1"/>
      </c>
      <c r="GZ357">
        <f ca="1"/>
      </c>
      <c r="HA357">
        <f ca="1"/>
      </c>
      <c r="HB357">
        <f ca="1"/>
      </c>
      <c r="HD357">
        <f ca="1"/>
      </c>
      <c r="HE357">
        <f ca="1"/>
      </c>
      <c r="HF357">
        <f ca="1"/>
      </c>
      <c r="HG357">
        <f ca="1"/>
      </c>
      <c r="HH357">
        <f ca="1"/>
      </c>
      <c r="HI357">
        <f ca="1"/>
      </c>
      <c r="HJ357">
        <f ca="1"/>
      </c>
      <c r="HK357">
        <f ca="1"/>
      </c>
      <c r="HL357">
        <f ca="1"/>
      </c>
      <c r="HM357">
        <f ca="1"/>
      </c>
      <c r="HN357">
        <f ca="1"/>
      </c>
      <c r="HO357">
        <f ca="1"/>
      </c>
      <c r="HP357">
        <f ca="1"/>
      </c>
      <c r="HQ357">
        <f ca="1"/>
      </c>
    </row>
    <row r="358" spans="146:226" x14ac:dyDescent="0.55000000000000004"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GX358">
        <f ca="1"/>
      </c>
      <c r="GY358">
        <f ca="1"/>
      </c>
      <c r="GZ358">
        <f ca="1"/>
      </c>
      <c r="HA358">
        <f ca="1"/>
      </c>
      <c r="HB358">
        <f ca="1"/>
      </c>
      <c r="HD358">
        <f ca="1"/>
      </c>
      <c r="HE358">
        <f ca="1"/>
      </c>
      <c r="HF358">
        <f ca="1"/>
      </c>
      <c r="HG358">
        <f ca="1"/>
      </c>
      <c r="HH358">
        <f ca="1"/>
      </c>
      <c r="HI358">
        <f ca="1"/>
      </c>
      <c r="HJ358">
        <f ca="1"/>
      </c>
      <c r="HK358">
        <f ca="1"/>
      </c>
      <c r="HL358">
        <f ca="1"/>
      </c>
      <c r="HM358">
        <f ca="1"/>
      </c>
      <c r="HN358">
        <f ca="1"/>
      </c>
      <c r="HO358">
        <f ca="1"/>
      </c>
      <c r="HP358">
        <f ca="1"/>
      </c>
      <c r="HQ358">
        <f ca="1"/>
      </c>
    </row>
    <row r="359" spans="146:226" x14ac:dyDescent="0.55000000000000004"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GX359">
        <f ca="1"/>
      </c>
      <c r="GY359">
        <f ca="1"/>
      </c>
      <c r="GZ359">
        <f ca="1"/>
      </c>
      <c r="HA359">
        <f ca="1"/>
      </c>
      <c r="HB359">
        <f ca="1"/>
      </c>
      <c r="HD359">
        <f ca="1"/>
      </c>
      <c r="HE359">
        <f ca="1"/>
      </c>
      <c r="HF359">
        <f ca="1"/>
      </c>
      <c r="HG359">
        <f ca="1"/>
      </c>
      <c r="HH359">
        <f ca="1"/>
      </c>
      <c r="HI359">
        <f ca="1"/>
      </c>
      <c r="HJ359">
        <f ca="1"/>
      </c>
      <c r="HK359">
        <f ca="1"/>
      </c>
      <c r="HL359">
        <f ca="1"/>
      </c>
      <c r="HM359">
        <f ca="1"/>
      </c>
      <c r="HN359">
        <f ca="1"/>
      </c>
      <c r="HO359">
        <f ca="1"/>
      </c>
      <c r="HP359">
        <f ca="1"/>
      </c>
      <c r="HQ359">
        <f ca="1"/>
      </c>
    </row>
    <row r="360" spans="146:226" x14ac:dyDescent="0.55000000000000004"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GX360">
        <f ca="1"/>
      </c>
      <c r="GY360">
        <f ca="1"/>
      </c>
      <c r="GZ360">
        <f ca="1"/>
      </c>
      <c r="HA360">
        <f ca="1"/>
      </c>
      <c r="HB360">
        <f ca="1"/>
      </c>
      <c r="HD360">
        <f ca="1"/>
      </c>
      <c r="HE360">
        <f ca="1"/>
      </c>
      <c r="HF360">
        <f ca="1"/>
      </c>
      <c r="HG360">
        <f ca="1"/>
      </c>
      <c r="HH360">
        <f ca="1"/>
      </c>
      <c r="HI360">
        <f ca="1"/>
      </c>
      <c r="HJ360">
        <f ca="1"/>
      </c>
      <c r="HK360">
        <f ca="1"/>
      </c>
      <c r="HL360">
        <f ca="1"/>
      </c>
      <c r="HM360">
        <f ca="1"/>
      </c>
      <c r="HN360">
        <f ca="1"/>
      </c>
      <c r="HO360">
        <f ca="1"/>
      </c>
      <c r="HP360">
        <f ca="1"/>
      </c>
      <c r="HQ360">
        <f ca="1"/>
      </c>
    </row>
    <row r="361" spans="146:226" x14ac:dyDescent="0.55000000000000004"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GX361">
        <f ca="1"/>
      </c>
      <c r="GY361">
        <f ca="1"/>
      </c>
      <c r="GZ361">
        <f ca="1"/>
      </c>
      <c r="HA361">
        <f ca="1"/>
      </c>
      <c r="HB361">
        <f ca="1"/>
      </c>
      <c r="HD361">
        <f ca="1"/>
      </c>
      <c r="HE361">
        <f ca="1"/>
      </c>
      <c r="HF361">
        <f ca="1"/>
      </c>
      <c r="HG361">
        <f ca="1"/>
      </c>
      <c r="HH361">
        <f ca="1"/>
      </c>
      <c r="HI361">
        <f ca="1"/>
      </c>
      <c r="HJ361">
        <f ca="1"/>
      </c>
      <c r="HK361">
        <f ca="1"/>
      </c>
      <c r="HL361">
        <f ca="1"/>
      </c>
      <c r="HM361">
        <f ca="1"/>
      </c>
      <c r="HN361">
        <f ca="1"/>
      </c>
      <c r="HO361">
        <f ca="1"/>
      </c>
      <c r="HP361">
        <f ca="1"/>
      </c>
      <c r="HQ361">
        <f ca="1"/>
      </c>
    </row>
    <row r="362" spans="146:226" x14ac:dyDescent="0.55000000000000004"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GX362">
        <f ca="1"/>
      </c>
      <c r="GY362">
        <f ca="1"/>
      </c>
      <c r="GZ362">
        <f ca="1"/>
      </c>
      <c r="HA362">
        <f ca="1"/>
      </c>
      <c r="HB362">
        <f ca="1"/>
      </c>
      <c r="HD362">
        <f ca="1"/>
      </c>
      <c r="HE362">
        <f ca="1"/>
      </c>
      <c r="HF362">
        <f ca="1"/>
      </c>
      <c r="HG362">
        <f ca="1"/>
      </c>
      <c r="HH362">
        <f ca="1"/>
      </c>
      <c r="HI362">
        <f ca="1"/>
      </c>
      <c r="HJ362">
        <f ca="1"/>
      </c>
      <c r="HK362">
        <f ca="1"/>
      </c>
      <c r="HL362">
        <f ca="1"/>
      </c>
      <c r="HM362">
        <f ca="1"/>
      </c>
      <c r="HN362">
        <f ca="1"/>
      </c>
      <c r="HO362">
        <f ca="1"/>
      </c>
      <c r="HP362">
        <f ca="1"/>
      </c>
      <c r="HQ362">
        <f ca="1"/>
      </c>
    </row>
    <row r="363" spans="146:226" x14ac:dyDescent="0.55000000000000004"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GX363">
        <f ca="1"/>
      </c>
      <c r="GY363">
        <f ca="1"/>
      </c>
      <c r="GZ363">
        <f ca="1"/>
      </c>
      <c r="HA363">
        <f ca="1"/>
      </c>
      <c r="HB363">
        <f ca="1"/>
      </c>
      <c r="HD363">
        <f ca="1"/>
      </c>
      <c r="HE363">
        <f ca="1"/>
      </c>
      <c r="HF363">
        <f ca="1"/>
      </c>
      <c r="HG363">
        <f ca="1"/>
      </c>
      <c r="HH363">
        <f ca="1"/>
      </c>
      <c r="HI363">
        <f ca="1"/>
      </c>
      <c r="HJ363">
        <f ca="1"/>
      </c>
      <c r="HK363">
        <f ca="1"/>
      </c>
      <c r="HL363">
        <f ca="1"/>
      </c>
      <c r="HM363">
        <f ca="1"/>
      </c>
      <c r="HN363">
        <f ca="1"/>
      </c>
      <c r="HO363">
        <f ca="1"/>
      </c>
      <c r="HP363">
        <f ca="1"/>
      </c>
      <c r="HQ363">
        <f ca="1"/>
      </c>
    </row>
    <row r="364" spans="146:226" x14ac:dyDescent="0.55000000000000004"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GX364">
        <f ca="1"/>
      </c>
      <c r="GY364">
        <f ca="1"/>
      </c>
      <c r="GZ364">
        <f ca="1"/>
      </c>
      <c r="HA364">
        <f ca="1"/>
      </c>
      <c r="HB364">
        <f ca="1"/>
      </c>
      <c r="HD364">
        <f ca="1"/>
      </c>
      <c r="HE364">
        <f ca="1"/>
      </c>
      <c r="HF364">
        <f ca="1"/>
      </c>
      <c r="HG364">
        <f ca="1"/>
      </c>
      <c r="HH364">
        <f ca="1"/>
      </c>
      <c r="HI364">
        <f ca="1"/>
      </c>
      <c r="HJ364">
        <f ca="1"/>
      </c>
      <c r="HK364">
        <f ca="1"/>
      </c>
      <c r="HL364">
        <f ca="1"/>
      </c>
      <c r="HM364">
        <f ca="1"/>
      </c>
      <c r="HN364">
        <f ca="1"/>
      </c>
      <c r="HO364">
        <f ca="1"/>
      </c>
      <c r="HP364">
        <f ca="1"/>
      </c>
      <c r="HQ364">
        <f ca="1"/>
      </c>
    </row>
    <row r="365" spans="146:226" x14ac:dyDescent="0.55000000000000004"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GX365">
        <f ca="1"/>
      </c>
      <c r="GY365">
        <f ca="1"/>
      </c>
      <c r="GZ365">
        <f ca="1"/>
      </c>
      <c r="HA365">
        <f ca="1"/>
      </c>
      <c r="HB365">
        <f ca="1"/>
      </c>
      <c r="HD365">
        <f ca="1"/>
      </c>
      <c r="HE365">
        <f ca="1"/>
      </c>
      <c r="HF365">
        <f ca="1"/>
      </c>
      <c r="HG365">
        <f ca="1"/>
      </c>
      <c r="HH365">
        <f ca="1"/>
      </c>
      <c r="HI365">
        <f ca="1"/>
      </c>
      <c r="HJ365">
        <f ca="1"/>
      </c>
      <c r="HK365">
        <f ca="1"/>
      </c>
      <c r="HL365">
        <f ca="1"/>
      </c>
      <c r="HM365">
        <f ca="1"/>
      </c>
      <c r="HN365">
        <f ca="1"/>
      </c>
      <c r="HO365">
        <f ca="1"/>
      </c>
      <c r="HP365">
        <f ca="1"/>
      </c>
      <c r="HQ365">
        <f ca="1"/>
      </c>
    </row>
    <row r="366" spans="146:226" x14ac:dyDescent="0.55000000000000004"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GX366">
        <f ca="1"/>
      </c>
      <c r="GY366">
        <f ca="1"/>
      </c>
      <c r="GZ366">
        <f ca="1"/>
      </c>
      <c r="HA366">
        <f ca="1"/>
      </c>
      <c r="HB366">
        <f ca="1"/>
      </c>
      <c r="HD366">
        <f ca="1"/>
      </c>
      <c r="HE366">
        <f ca="1"/>
      </c>
      <c r="HF366">
        <f ca="1"/>
      </c>
      <c r="HG366">
        <f ca="1"/>
      </c>
      <c r="HH366">
        <f ca="1"/>
      </c>
      <c r="HI366">
        <f ca="1"/>
      </c>
      <c r="HJ366">
        <f ca="1"/>
      </c>
      <c r="HK366">
        <f ca="1"/>
      </c>
      <c r="HL366">
        <f ca="1"/>
      </c>
      <c r="HM366">
        <f ca="1"/>
      </c>
      <c r="HN366">
        <f ca="1"/>
      </c>
      <c r="HO366">
        <f ca="1"/>
      </c>
      <c r="HP366">
        <f ca="1"/>
      </c>
      <c r="HQ366">
        <f ca="1"/>
      </c>
    </row>
    <row r="367" spans="146:226" x14ac:dyDescent="0.55000000000000004"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GX367">
        <f ca="1"/>
      </c>
      <c r="GY367">
        <f ca="1"/>
      </c>
      <c r="GZ367">
        <f ca="1"/>
      </c>
      <c r="HA367">
        <f ca="1"/>
      </c>
      <c r="HB367">
        <f ca="1"/>
      </c>
      <c r="HD367">
        <f ca="1"/>
      </c>
      <c r="HE367">
        <f ca="1"/>
      </c>
      <c r="HF367">
        <f ca="1"/>
      </c>
      <c r="HG367">
        <f ca="1"/>
      </c>
      <c r="HH367">
        <f ca="1"/>
      </c>
      <c r="HI367">
        <f ca="1"/>
      </c>
      <c r="HJ367">
        <f ca="1"/>
      </c>
      <c r="HK367">
        <f ca="1"/>
      </c>
      <c r="HL367">
        <f ca="1"/>
      </c>
      <c r="HM367">
        <f ca="1"/>
      </c>
      <c r="HN367">
        <f ca="1"/>
      </c>
      <c r="HO367">
        <f ca="1"/>
      </c>
      <c r="HP367">
        <f ca="1"/>
      </c>
      <c r="HQ367">
        <f ca="1"/>
      </c>
    </row>
    <row r="368" spans="146:226" x14ac:dyDescent="0.55000000000000004"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GX368">
        <f ca="1"/>
      </c>
      <c r="GY368">
        <f ca="1"/>
      </c>
      <c r="GZ368">
        <f ca="1"/>
      </c>
      <c r="HA368">
        <f ca="1"/>
      </c>
      <c r="HB368">
        <f ca="1"/>
      </c>
      <c r="HD368">
        <f ca="1"/>
      </c>
      <c r="HE368">
        <f ca="1"/>
      </c>
      <c r="HF368">
        <f ca="1"/>
      </c>
      <c r="HG368">
        <f ca="1"/>
      </c>
      <c r="HH368">
        <f ca="1"/>
      </c>
      <c r="HI368">
        <f ca="1"/>
      </c>
      <c r="HJ368">
        <f ca="1"/>
      </c>
      <c r="HK368">
        <f ca="1"/>
      </c>
      <c r="HL368">
        <f ca="1"/>
      </c>
      <c r="HM368">
        <f ca="1"/>
      </c>
      <c r="HN368">
        <f ca="1"/>
      </c>
      <c r="HO368">
        <f ca="1"/>
      </c>
      <c r="HP368">
        <f ca="1"/>
      </c>
      <c r="HQ368">
        <f ca="1"/>
      </c>
    </row>
    <row r="369" spans="147:225" x14ac:dyDescent="0.55000000000000004"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GX369">
        <f ca="1"/>
      </c>
      <c r="GY369">
        <f ca="1"/>
      </c>
      <c r="GZ369">
        <f ca="1"/>
      </c>
      <c r="HA369">
        <f ca="1"/>
      </c>
      <c r="HB369">
        <f ca="1"/>
      </c>
      <c r="HD369">
        <f ca="1"/>
      </c>
      <c r="HE369">
        <f ca="1"/>
      </c>
      <c r="HF369">
        <f ca="1"/>
      </c>
      <c r="HG369">
        <f ca="1"/>
      </c>
      <c r="HH369">
        <f ca="1"/>
      </c>
      <c r="HI369">
        <f ca="1"/>
      </c>
      <c r="HJ369">
        <f ca="1"/>
      </c>
      <c r="HK369">
        <f ca="1"/>
      </c>
      <c r="HL369">
        <f ca="1"/>
      </c>
      <c r="HM369">
        <f ca="1"/>
      </c>
      <c r="HN369">
        <f ca="1"/>
      </c>
      <c r="HO369">
        <f ca="1"/>
      </c>
      <c r="HP369">
        <f ca="1"/>
      </c>
      <c r="HQ369">
        <f ca="1"/>
      </c>
    </row>
    <row r="370" spans="147:225" x14ac:dyDescent="0.55000000000000004"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GX370">
        <f ca="1"/>
      </c>
      <c r="GY370">
        <f ca="1"/>
      </c>
      <c r="GZ370">
        <f ca="1"/>
      </c>
      <c r="HA370">
        <f ca="1"/>
      </c>
      <c r="HB370">
        <f ca="1"/>
      </c>
      <c r="HD370">
        <f ca="1"/>
      </c>
      <c r="HE370">
        <f ca="1"/>
      </c>
      <c r="HF370">
        <f ca="1"/>
      </c>
      <c r="HG370">
        <f ca="1"/>
      </c>
      <c r="HH370">
        <f ca="1"/>
      </c>
      <c r="HI370">
        <f ca="1"/>
      </c>
      <c r="HJ370">
        <f ca="1"/>
      </c>
      <c r="HK370">
        <f ca="1"/>
      </c>
      <c r="HL370">
        <f ca="1"/>
      </c>
      <c r="HM370">
        <f ca="1"/>
      </c>
      <c r="HN370">
        <f ca="1"/>
      </c>
      <c r="HO370">
        <f ca="1"/>
      </c>
      <c r="HP370">
        <f ca="1"/>
      </c>
      <c r="HQ370">
        <f ca="1"/>
      </c>
    </row>
    <row r="371" spans="147:225" x14ac:dyDescent="0.55000000000000004"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GX371">
        <f ca="1"/>
      </c>
      <c r="GY371">
        <f ca="1"/>
      </c>
      <c r="GZ371">
        <f ca="1"/>
      </c>
      <c r="HA371">
        <f ca="1"/>
      </c>
      <c r="HB371">
        <f ca="1"/>
      </c>
      <c r="HD371">
        <f ca="1"/>
      </c>
      <c r="HE371">
        <f ca="1"/>
      </c>
      <c r="HF371">
        <f ca="1"/>
      </c>
      <c r="HG371">
        <f ca="1"/>
      </c>
      <c r="HH371">
        <f ca="1"/>
      </c>
      <c r="HI371">
        <f ca="1"/>
      </c>
      <c r="HJ371">
        <f ca="1"/>
      </c>
      <c r="HK371">
        <f ca="1"/>
      </c>
      <c r="HL371">
        <f ca="1"/>
      </c>
      <c r="HM371">
        <f ca="1"/>
      </c>
      <c r="HN371">
        <f ca="1"/>
      </c>
      <c r="HO371">
        <f ca="1"/>
      </c>
      <c r="HP371">
        <f ca="1"/>
      </c>
      <c r="HQ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GX372">
        <f ca="1"/>
      </c>
      <c r="GY372">
        <f ca="1"/>
      </c>
      <c r="GZ372">
        <f ca="1"/>
      </c>
      <c r="HA372">
        <f ca="1"/>
      </c>
      <c r="HB372">
        <f ca="1"/>
      </c>
      <c r="HD372">
        <f ca="1"/>
      </c>
      <c r="HE372">
        <f ca="1"/>
      </c>
      <c r="HF372">
        <f ca="1"/>
      </c>
      <c r="HG372">
        <f ca="1"/>
      </c>
      <c r="HH372">
        <f ca="1"/>
      </c>
      <c r="HI372">
        <f ca="1"/>
      </c>
      <c r="HJ372">
        <f ca="1"/>
      </c>
      <c r="HK372">
        <f ca="1"/>
      </c>
      <c r="HL372">
        <f ca="1"/>
      </c>
      <c r="HM372">
        <f ca="1"/>
      </c>
      <c r="HN372">
        <f ca="1"/>
      </c>
      <c r="HO372">
        <f ca="1"/>
      </c>
      <c r="HP372">
        <f ca="1"/>
      </c>
      <c r="HQ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160</v>
      </c>
      <c r="EQ404" cm="1">
        <f t="array" aca="1" ref="EQ404:FR421" ca="1">_xlfn.LET(_xlpm.g,_xlfn.DROP(_xlfn.ANCHORARRAY($CO$4),1),_xlfn._xlws.FILTER(_xlpm.g,_xlfn.TAKE(_xlpm.g,,1)=9))</f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GQ404" t="s">
        <v>169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174</v>
      </c>
      <c r="HE404">
        <f>"Actual / Mean / Recon (k="&amp;$D$108&amp;")  dashed: Mean ±1σ"</f>
      </c>
      <c r="HF404" t="s">
        <v>175</v>
      </c>
      <c r="HG404" t="s">
        <v>176</v>
      </c>
      <c r="HH404" t="s">
        <v>179</v>
      </c>
      <c r="HI404" t="s">
        <v>180</v>
      </c>
      <c r="HJ404" t="s">
        <v>181</v>
      </c>
      <c r="HK404" t="s">
        <v>182</v>
      </c>
      <c r="HL404" t="s">
        <v>183</v>
      </c>
      <c r="HM404" t="s">
        <v>184</v>
      </c>
      <c r="HN404" t="s">
        <v>185</v>
      </c>
      <c r="HO404" t="s">
        <v>186</v>
      </c>
      <c r="HP404" t="s">
        <v>187</v>
      </c>
      <c r="HQ404" t="s">
        <v>188</v>
      </c>
      <c r="HR404" t="s">
        <v>189</v>
      </c>
    </row>
    <row r="405" spans="146:226" x14ac:dyDescent="0.55000000000000004"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aca="1" ref="GX405:GX422" ca="1">_xlfn.LET(_xlpm.V,_xlfn.DROP(_xlfn.ANCHORARRAY($EQ$404),,10),IF(1&lt;=COLUMNS(_xlpm.V),_xlfn.CHOOSECOLS(_xlpm.V,1),IF(_xlfn.SEQUENCE(ROWS(_xlpm.V)),NA())))</f>
      </c>
      <c r="GY405" cm="1">
        <f t="array" aca="1" ref="GY405:GY422" ca="1">_xlfn.LET(_xlpm.V,_xlfn.DROP(_xlfn.ANCHORARRAY($EQ$404),,10),IF(2&lt;=COLUMNS(_xlpm.V),_xlfn.CHOOSECOLS(_xlpm.V,2),IF(_xlfn.SEQUENCE(ROWS(_xlpm.V)),NA())))</f>
      </c>
      <c r="GZ405" cm="1">
        <f t="array" aca="1" ref="GZ405:GZ422" ca="1">_xlfn.LET(_xlpm.V,_xlfn.DROP(_xlfn.ANCHORARRAY($EQ$404),,10),IF(3&lt;=COLUMNS(_xlpm.V),_xlfn.CHOOSECOLS(_xlpm.V,3),IF(_xlfn.SEQUENCE(ROWS(_xlpm.V)),NA())))</f>
      </c>
      <c r="HA405" cm="1">
        <f t="array" aca="1" ref="HA405:HA422" ca="1">_xlfn.LET(_xlpm.V,_xlfn.DROP(_xlfn.ANCHORARRAY($EQ$404),,10),IF(4&lt;=COLUMNS(_xlpm.V),_xlfn.CHOOSECOLS(_xlpm.V,4),IF(_xlfn.SEQUENCE(ROWS(_xlpm.V)),NA())))</f>
      </c>
      <c r="HB405" cm="1">
        <f t="array" aca="1" ref="HB405:HB422" ca="1">_xlfn.LET(_xlpm.V,_xlfn.DROP(_xlfn.ANCHORARRAY($EQ$404),,10),IF(5&lt;=COLUMNS(_xlpm.V),_xlfn.CHOOSECOLS(_xlpm.V,5),IF(_xlfn.SEQUENCE(ROWS(_xlpm.V)),NA())))</f>
      </c>
      <c r="HD405" cm="1">
        <f t="array" aca="1" ref="HD405:HD422" ca="1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aca="1" ref="HF405:HF422" ca="1">_xlfn.CHOOSECOLS(_xlfn.ANCHORARRAY($EQ$404),8)+_xlfn.CHOOSECOLS(_xlfn.ANCHORARRAY($EQ$404),10)</f>
      </c>
      <c r="HG405" cm="1">
        <f t="array" aca="1" ref="HG405:HG422" ca="1">_xlfn.CHOOSECOLS(_xlfn.ANCHORARRAY($EQ$404),8)-_xlfn.CHOOSECOLS(_xlfn.ANCHORARRAY($EQ$404),10)</f>
      </c>
      <c r="HH405" cm="1">
        <f t="array" aca="1" ref="HH405:HH422" ca="1">_xlfn.LET(_xlpm.v,_xlfn.CHOOSECOLS(_xlfn._xlws.FILTER(_xlfn.DROP(_xlfn.ANCHORARRAY($HS$4),1),_xlfn.TAKE(_xlfn.DROP(_xlfn.ANCHORARRAY($HS$4),1),,1)=9),3),IF(_xlpm.v="",NA(),_xlpm.v))</f>
      </c>
      <c r="HI405" cm="1">
        <f t="array" aca="1" ref="HI405:HI422" ca="1">-_xlfn.ANCHORARRAY($HH$405)</f>
      </c>
      <c r="HJ405" cm="1">
        <f t="array" aca="1" ref="HJ405:HJ422" ca="1">_xlfn.LET(_xlpm.v,_xlfn.CHOOSECOLS(_xlfn._xlws.FILTER(_xlfn.DROP(_xlfn.ANCHORARRAY($HS$4),1),_xlfn.TAKE(_xlfn.DROP(_xlfn.ANCHORARRAY($HS$4),1),,1)=9),4),IF(_xlpm.v="",NA(),_xlpm.v))</f>
      </c>
      <c r="HK405" cm="1">
        <f t="array" aca="1" ref="HK405:HK422" ca="1">-_xlfn.ANCHORARRAY($HJ$405)</f>
      </c>
      <c r="HL405" cm="1">
        <f t="array" aca="1" ref="HL405:HL422" ca="1">_xlfn.LET(_xlpm.v,_xlfn.CHOOSECOLS(_xlfn._xlws.FILTER(_xlfn.DROP(_xlfn.ANCHORARRAY($HS$4),1),_xlfn.TAKE(_xlfn.DROP(_xlfn.ANCHORARRAY($HS$4),1),,1)=9),5),IF(_xlpm.v="",NA(),_xlpm.v))</f>
      </c>
      <c r="HM405" cm="1">
        <f t="array" aca="1" ref="HM405:HM422" ca="1">-_xlfn.ANCHORARRAY($HL$405)</f>
      </c>
      <c r="HN405" cm="1">
        <f t="array" aca="1" ref="HN405:HN422" ca="1">_xlfn.LET(_xlpm.v,_xlfn.CHOOSECOLS(_xlfn._xlws.FILTER(_xlfn.DROP(_xlfn.ANCHORARRAY($HS$4),1),_xlfn.TAKE(_xlfn.DROP(_xlfn.ANCHORARRAY($HS$4),1),,1)=9),6),IF(_xlpm.v="",NA(),_xlpm.v))</f>
      </c>
      <c r="HO405" cm="1">
        <f t="array" aca="1" ref="HO405:HO422" ca="1">-_xlfn.ANCHORARRAY($HN$405)</f>
      </c>
      <c r="HP405" cm="1">
        <f t="array" aca="1" ref="HP405:HP422" ca="1">_xlfn.LET(_xlpm.v,_xlfn.CHOOSECOLS(_xlfn._xlws.FILTER(_xlfn.DROP(_xlfn.ANCHORARRAY($HS$4),1),_xlfn.TAKE(_xlfn.DROP(_xlfn.ANCHORARRAY($HS$4),1),,1)=9),7),IF(_xlpm.v="",NA(),_xlpm.v))</f>
      </c>
      <c r="HQ405" cm="1">
        <f t="array" aca="1" ref="HQ405:HQ422" ca="1">-_xlfn.ANCHORARRAY($HP$405)</f>
      </c>
      <c r="HR405" cm="1">
        <f t="array" aca="1" ref="HR405" ca="1">IFERROR(INDEX(_xlfn._xlws.FILTER(_xlfn.DROP(_xlfn.ANCHORARRAY($HS$4),1),_xlfn.TAKE(_xlfn.DROP(_xlfn.ANCHORARRAY($HS$4),1),,1)=9),1,2),"")</f>
      </c>
    </row>
    <row r="406" spans="146:226" x14ac:dyDescent="0.55000000000000004"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GX406">
        <f ca="1"/>
      </c>
      <c r="GY406">
        <f ca="1"/>
      </c>
      <c r="GZ406">
        <f ca="1"/>
      </c>
      <c r="HA406">
        <f ca="1"/>
      </c>
      <c r="HB406">
        <f ca="1"/>
      </c>
      <c r="HD406">
        <f ca="1"/>
      </c>
      <c r="HE406">
        <f ca="1"/>
      </c>
      <c r="HF406">
        <f ca="1"/>
      </c>
      <c r="HG406">
        <f ca="1"/>
      </c>
      <c r="HH406">
        <f ca="1"/>
      </c>
      <c r="HI406">
        <f ca="1"/>
      </c>
      <c r="HJ406">
        <f ca="1"/>
      </c>
      <c r="HK406">
        <f ca="1"/>
      </c>
      <c r="HL406">
        <f ca="1"/>
      </c>
      <c r="HM406">
        <f ca="1"/>
      </c>
      <c r="HN406">
        <f ca="1"/>
      </c>
      <c r="HO406">
        <f ca="1"/>
      </c>
      <c r="HP406">
        <f ca="1"/>
      </c>
      <c r="HQ406">
        <f ca="1"/>
      </c>
    </row>
    <row r="407" spans="146:226" x14ac:dyDescent="0.55000000000000004"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GX407">
        <f ca="1"/>
      </c>
      <c r="GY407">
        <f ca="1"/>
      </c>
      <c r="GZ407">
        <f ca="1"/>
      </c>
      <c r="HA407">
        <f ca="1"/>
      </c>
      <c r="HB407">
        <f ca="1"/>
      </c>
      <c r="HD407">
        <f ca="1"/>
      </c>
      <c r="HE407">
        <f ca="1"/>
      </c>
      <c r="HF407">
        <f ca="1"/>
      </c>
      <c r="HG407">
        <f ca="1"/>
      </c>
      <c r="HH407">
        <f ca="1"/>
      </c>
      <c r="HI407">
        <f ca="1"/>
      </c>
      <c r="HJ407">
        <f ca="1"/>
      </c>
      <c r="HK407">
        <f ca="1"/>
      </c>
      <c r="HL407">
        <f ca="1"/>
      </c>
      <c r="HM407">
        <f ca="1"/>
      </c>
      <c r="HN407">
        <f ca="1"/>
      </c>
      <c r="HO407">
        <f ca="1"/>
      </c>
      <c r="HP407">
        <f ca="1"/>
      </c>
      <c r="HQ407">
        <f ca="1"/>
      </c>
    </row>
    <row r="408" spans="146:226" x14ac:dyDescent="0.55000000000000004"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GX408">
        <f ca="1"/>
      </c>
      <c r="GY408">
        <f ca="1"/>
      </c>
      <c r="GZ408">
        <f ca="1"/>
      </c>
      <c r="HA408">
        <f ca="1"/>
      </c>
      <c r="HB408">
        <f ca="1"/>
      </c>
      <c r="HD408">
        <f ca="1"/>
      </c>
      <c r="HE408">
        <f ca="1"/>
      </c>
      <c r="HF408">
        <f ca="1"/>
      </c>
      <c r="HG408">
        <f ca="1"/>
      </c>
      <c r="HH408">
        <f ca="1"/>
      </c>
      <c r="HI408">
        <f ca="1"/>
      </c>
      <c r="HJ408">
        <f ca="1"/>
      </c>
      <c r="HK408">
        <f ca="1"/>
      </c>
      <c r="HL408">
        <f ca="1"/>
      </c>
      <c r="HM408">
        <f ca="1"/>
      </c>
      <c r="HN408">
        <f ca="1"/>
      </c>
      <c r="HO408">
        <f ca="1"/>
      </c>
      <c r="HP408">
        <f ca="1"/>
      </c>
      <c r="HQ408">
        <f ca="1"/>
      </c>
    </row>
    <row r="409" spans="146:226" x14ac:dyDescent="0.55000000000000004"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GX409">
        <f ca="1"/>
      </c>
      <c r="GY409">
        <f ca="1"/>
      </c>
      <c r="GZ409">
        <f ca="1"/>
      </c>
      <c r="HA409">
        <f ca="1"/>
      </c>
      <c r="HB409">
        <f ca="1"/>
      </c>
      <c r="HD409">
        <f ca="1"/>
      </c>
      <c r="HE409">
        <f ca="1"/>
      </c>
      <c r="HF409">
        <f ca="1"/>
      </c>
      <c r="HG409">
        <f ca="1"/>
      </c>
      <c r="HH409">
        <f ca="1"/>
      </c>
      <c r="HI409">
        <f ca="1"/>
      </c>
      <c r="HJ409">
        <f ca="1"/>
      </c>
      <c r="HK409">
        <f ca="1"/>
      </c>
      <c r="HL409">
        <f ca="1"/>
      </c>
      <c r="HM409">
        <f ca="1"/>
      </c>
      <c r="HN409">
        <f ca="1"/>
      </c>
      <c r="HO409">
        <f ca="1"/>
      </c>
      <c r="HP409">
        <f ca="1"/>
      </c>
      <c r="HQ409">
        <f ca="1"/>
      </c>
    </row>
    <row r="410" spans="146:226" x14ac:dyDescent="0.55000000000000004"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GX410">
        <f ca="1"/>
      </c>
      <c r="GY410">
        <f ca="1"/>
      </c>
      <c r="GZ410">
        <f ca="1"/>
      </c>
      <c r="HA410">
        <f ca="1"/>
      </c>
      <c r="HB410">
        <f ca="1"/>
      </c>
      <c r="HD410">
        <f ca="1"/>
      </c>
      <c r="HE410">
        <f ca="1"/>
      </c>
      <c r="HF410">
        <f ca="1"/>
      </c>
      <c r="HG410">
        <f ca="1"/>
      </c>
      <c r="HH410">
        <f ca="1"/>
      </c>
      <c r="HI410">
        <f ca="1"/>
      </c>
      <c r="HJ410">
        <f ca="1"/>
      </c>
      <c r="HK410">
        <f ca="1"/>
      </c>
      <c r="HL410">
        <f ca="1"/>
      </c>
      <c r="HM410">
        <f ca="1"/>
      </c>
      <c r="HN410">
        <f ca="1"/>
      </c>
      <c r="HO410">
        <f ca="1"/>
      </c>
      <c r="HP410">
        <f ca="1"/>
      </c>
      <c r="HQ410">
        <f ca="1"/>
      </c>
    </row>
    <row r="411" spans="146:226" x14ac:dyDescent="0.55000000000000004"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GX411">
        <f ca="1"/>
      </c>
      <c r="GY411">
        <f ca="1"/>
      </c>
      <c r="GZ411">
        <f ca="1"/>
      </c>
      <c r="HA411">
        <f ca="1"/>
      </c>
      <c r="HB411">
        <f ca="1"/>
      </c>
      <c r="HD411">
        <f ca="1"/>
      </c>
      <c r="HE411">
        <f ca="1"/>
      </c>
      <c r="HF411">
        <f ca="1"/>
      </c>
      <c r="HG411">
        <f ca="1"/>
      </c>
      <c r="HH411">
        <f ca="1"/>
      </c>
      <c r="HI411">
        <f ca="1"/>
      </c>
      <c r="HJ411">
        <f ca="1"/>
      </c>
      <c r="HK411">
        <f ca="1"/>
      </c>
      <c r="HL411">
        <f ca="1"/>
      </c>
      <c r="HM411">
        <f ca="1"/>
      </c>
      <c r="HN411">
        <f ca="1"/>
      </c>
      <c r="HO411">
        <f ca="1"/>
      </c>
      <c r="HP411">
        <f ca="1"/>
      </c>
      <c r="HQ411">
        <f ca="1"/>
      </c>
    </row>
    <row r="412" spans="146:226" x14ac:dyDescent="0.55000000000000004"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GX412">
        <f ca="1"/>
      </c>
      <c r="GY412">
        <f ca="1"/>
      </c>
      <c r="GZ412">
        <f ca="1"/>
      </c>
      <c r="HA412">
        <f ca="1"/>
      </c>
      <c r="HB412">
        <f ca="1"/>
      </c>
      <c r="HD412">
        <f ca="1"/>
      </c>
      <c r="HE412">
        <f ca="1"/>
      </c>
      <c r="HF412">
        <f ca="1"/>
      </c>
      <c r="HG412">
        <f ca="1"/>
      </c>
      <c r="HH412">
        <f ca="1"/>
      </c>
      <c r="HI412">
        <f ca="1"/>
      </c>
      <c r="HJ412">
        <f ca="1"/>
      </c>
      <c r="HK412">
        <f ca="1"/>
      </c>
      <c r="HL412">
        <f ca="1"/>
      </c>
      <c r="HM412">
        <f ca="1"/>
      </c>
      <c r="HN412">
        <f ca="1"/>
      </c>
      <c r="HO412">
        <f ca="1"/>
      </c>
      <c r="HP412">
        <f ca="1"/>
      </c>
      <c r="HQ412">
        <f ca="1"/>
      </c>
    </row>
    <row r="413" spans="146:226" x14ac:dyDescent="0.55000000000000004"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GX413">
        <f ca="1"/>
      </c>
      <c r="GY413">
        <f ca="1"/>
      </c>
      <c r="GZ413">
        <f ca="1"/>
      </c>
      <c r="HA413">
        <f ca="1"/>
      </c>
      <c r="HB413">
        <f ca="1"/>
      </c>
      <c r="HD413">
        <f ca="1"/>
      </c>
      <c r="HE413">
        <f ca="1"/>
      </c>
      <c r="HF413">
        <f ca="1"/>
      </c>
      <c r="HG413">
        <f ca="1"/>
      </c>
      <c r="HH413">
        <f ca="1"/>
      </c>
      <c r="HI413">
        <f ca="1"/>
      </c>
      <c r="HJ413">
        <f ca="1"/>
      </c>
      <c r="HK413">
        <f ca="1"/>
      </c>
      <c r="HL413">
        <f ca="1"/>
      </c>
      <c r="HM413">
        <f ca="1"/>
      </c>
      <c r="HN413">
        <f ca="1"/>
      </c>
      <c r="HO413">
        <f ca="1"/>
      </c>
      <c r="HP413">
        <f ca="1"/>
      </c>
      <c r="HQ413">
        <f ca="1"/>
      </c>
    </row>
    <row r="414" spans="146:226" x14ac:dyDescent="0.55000000000000004"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GX414">
        <f ca="1"/>
      </c>
      <c r="GY414">
        <f ca="1"/>
      </c>
      <c r="GZ414">
        <f ca="1"/>
      </c>
      <c r="HA414">
        <f ca="1"/>
      </c>
      <c r="HB414">
        <f ca="1"/>
      </c>
      <c r="HD414">
        <f ca="1"/>
      </c>
      <c r="HE414">
        <f ca="1"/>
      </c>
      <c r="HF414">
        <f ca="1"/>
      </c>
      <c r="HG414">
        <f ca="1"/>
      </c>
      <c r="HH414">
        <f ca="1"/>
      </c>
      <c r="HI414">
        <f ca="1"/>
      </c>
      <c r="HJ414">
        <f ca="1"/>
      </c>
      <c r="HK414">
        <f ca="1"/>
      </c>
      <c r="HL414">
        <f ca="1"/>
      </c>
      <c r="HM414">
        <f ca="1"/>
      </c>
      <c r="HN414">
        <f ca="1"/>
      </c>
      <c r="HO414">
        <f ca="1"/>
      </c>
      <c r="HP414">
        <f ca="1"/>
      </c>
      <c r="HQ414">
        <f ca="1"/>
      </c>
    </row>
    <row r="415" spans="146:226" x14ac:dyDescent="0.55000000000000004"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GX415">
        <f ca="1"/>
      </c>
      <c r="GY415">
        <f ca="1"/>
      </c>
      <c r="GZ415">
        <f ca="1"/>
      </c>
      <c r="HA415">
        <f ca="1"/>
      </c>
      <c r="HB415">
        <f ca="1"/>
      </c>
      <c r="HD415">
        <f ca="1"/>
      </c>
      <c r="HE415">
        <f ca="1"/>
      </c>
      <c r="HF415">
        <f ca="1"/>
      </c>
      <c r="HG415">
        <f ca="1"/>
      </c>
      <c r="HH415">
        <f ca="1"/>
      </c>
      <c r="HI415">
        <f ca="1"/>
      </c>
      <c r="HJ415">
        <f ca="1"/>
      </c>
      <c r="HK415">
        <f ca="1"/>
      </c>
      <c r="HL415">
        <f ca="1"/>
      </c>
      <c r="HM415">
        <f ca="1"/>
      </c>
      <c r="HN415">
        <f ca="1"/>
      </c>
      <c r="HO415">
        <f ca="1"/>
      </c>
      <c r="HP415">
        <f ca="1"/>
      </c>
      <c r="HQ415">
        <f ca="1"/>
      </c>
    </row>
    <row r="416" spans="146:226" x14ac:dyDescent="0.55000000000000004"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GX416">
        <f ca="1"/>
      </c>
      <c r="GY416">
        <f ca="1"/>
      </c>
      <c r="GZ416">
        <f ca="1"/>
      </c>
      <c r="HA416">
        <f ca="1"/>
      </c>
      <c r="HB416">
        <f ca="1"/>
      </c>
      <c r="HD416">
        <f ca="1"/>
      </c>
      <c r="HE416">
        <f ca="1"/>
      </c>
      <c r="HF416">
        <f ca="1"/>
      </c>
      <c r="HG416">
        <f ca="1"/>
      </c>
      <c r="HH416">
        <f ca="1"/>
      </c>
      <c r="HI416">
        <f ca="1"/>
      </c>
      <c r="HJ416">
        <f ca="1"/>
      </c>
      <c r="HK416">
        <f ca="1"/>
      </c>
      <c r="HL416">
        <f ca="1"/>
      </c>
      <c r="HM416">
        <f ca="1"/>
      </c>
      <c r="HN416">
        <f ca="1"/>
      </c>
      <c r="HO416">
        <f ca="1"/>
      </c>
      <c r="HP416">
        <f ca="1"/>
      </c>
      <c r="HQ416">
        <f ca="1"/>
      </c>
    </row>
    <row r="417" spans="147:225" x14ac:dyDescent="0.55000000000000004"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GX417">
        <f ca="1"/>
      </c>
      <c r="GY417">
        <f ca="1"/>
      </c>
      <c r="GZ417">
        <f ca="1"/>
      </c>
      <c r="HA417">
        <f ca="1"/>
      </c>
      <c r="HB417">
        <f ca="1"/>
      </c>
      <c r="HD417">
        <f ca="1"/>
      </c>
      <c r="HE417">
        <f ca="1"/>
      </c>
      <c r="HF417">
        <f ca="1"/>
      </c>
      <c r="HG417">
        <f ca="1"/>
      </c>
      <c r="HH417">
        <f ca="1"/>
      </c>
      <c r="HI417">
        <f ca="1"/>
      </c>
      <c r="HJ417">
        <f ca="1"/>
      </c>
      <c r="HK417">
        <f ca="1"/>
      </c>
      <c r="HL417">
        <f ca="1"/>
      </c>
      <c r="HM417">
        <f ca="1"/>
      </c>
      <c r="HN417">
        <f ca="1"/>
      </c>
      <c r="HO417">
        <f ca="1"/>
      </c>
      <c r="HP417">
        <f ca="1"/>
      </c>
      <c r="HQ417">
        <f ca="1"/>
      </c>
    </row>
    <row r="418" spans="147:225" x14ac:dyDescent="0.55000000000000004"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GX418">
        <f ca="1"/>
      </c>
      <c r="GY418">
        <f ca="1"/>
      </c>
      <c r="GZ418">
        <f ca="1"/>
      </c>
      <c r="HA418">
        <f ca="1"/>
      </c>
      <c r="HB418">
        <f ca="1"/>
      </c>
      <c r="HD418">
        <f ca="1"/>
      </c>
      <c r="HE418">
        <f ca="1"/>
      </c>
      <c r="HF418">
        <f ca="1"/>
      </c>
      <c r="HG418">
        <f ca="1"/>
      </c>
      <c r="HH418">
        <f ca="1"/>
      </c>
      <c r="HI418">
        <f ca="1"/>
      </c>
      <c r="HJ418">
        <f ca="1"/>
      </c>
      <c r="HK418">
        <f ca="1"/>
      </c>
      <c r="HL418">
        <f ca="1"/>
      </c>
      <c r="HM418">
        <f ca="1"/>
      </c>
      <c r="HN418">
        <f ca="1"/>
      </c>
      <c r="HO418">
        <f ca="1"/>
      </c>
      <c r="HP418">
        <f ca="1"/>
      </c>
      <c r="HQ418">
        <f ca="1"/>
      </c>
    </row>
    <row r="419" spans="147:225" x14ac:dyDescent="0.55000000000000004"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GX419">
        <f ca="1"/>
      </c>
      <c r="GY419">
        <f ca="1"/>
      </c>
      <c r="GZ419">
        <f ca="1"/>
      </c>
      <c r="HA419">
        <f ca="1"/>
      </c>
      <c r="HB419">
        <f ca="1"/>
      </c>
      <c r="HD419">
        <f ca="1"/>
      </c>
      <c r="HE419">
        <f ca="1"/>
      </c>
      <c r="HF419">
        <f ca="1"/>
      </c>
      <c r="HG419">
        <f ca="1"/>
      </c>
      <c r="HH419">
        <f ca="1"/>
      </c>
      <c r="HI419">
        <f ca="1"/>
      </c>
      <c r="HJ419">
        <f ca="1"/>
      </c>
      <c r="HK419">
        <f ca="1"/>
      </c>
      <c r="HL419">
        <f ca="1"/>
      </c>
      <c r="HM419">
        <f ca="1"/>
      </c>
      <c r="HN419">
        <f ca="1"/>
      </c>
      <c r="HO419">
        <f ca="1"/>
      </c>
      <c r="HP419">
        <f ca="1"/>
      </c>
      <c r="HQ419">
        <f ca="1"/>
      </c>
    </row>
    <row r="420" spans="147:225" x14ac:dyDescent="0.55000000000000004"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GX420">
        <f ca="1"/>
      </c>
      <c r="GY420">
        <f ca="1"/>
      </c>
      <c r="GZ420">
        <f ca="1"/>
      </c>
      <c r="HA420">
        <f ca="1"/>
      </c>
      <c r="HB420">
        <f ca="1"/>
      </c>
      <c r="HD420">
        <f ca="1"/>
      </c>
      <c r="HE420">
        <f ca="1"/>
      </c>
      <c r="HF420">
        <f ca="1"/>
      </c>
      <c r="HG420">
        <f ca="1"/>
      </c>
      <c r="HH420">
        <f ca="1"/>
      </c>
      <c r="HI420">
        <f ca="1"/>
      </c>
      <c r="HJ420">
        <f ca="1"/>
      </c>
      <c r="HK420">
        <f ca="1"/>
      </c>
      <c r="HL420">
        <f ca="1"/>
      </c>
      <c r="HM420">
        <f ca="1"/>
      </c>
      <c r="HN420">
        <f ca="1"/>
      </c>
      <c r="HO420">
        <f ca="1"/>
      </c>
      <c r="HP420">
        <f ca="1"/>
      </c>
      <c r="HQ420">
        <f ca="1"/>
      </c>
    </row>
    <row r="421" spans="147:225" x14ac:dyDescent="0.55000000000000004"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GX421">
        <f ca="1"/>
      </c>
      <c r="GY421">
        <f ca="1"/>
      </c>
      <c r="GZ421">
        <f ca="1"/>
      </c>
      <c r="HA421">
        <f ca="1"/>
      </c>
      <c r="HB421">
        <f ca="1"/>
      </c>
      <c r="HD421">
        <f ca="1"/>
      </c>
      <c r="HE421">
        <f ca="1"/>
      </c>
      <c r="HF421">
        <f ca="1"/>
      </c>
      <c r="HG421">
        <f ca="1"/>
      </c>
      <c r="HH421">
        <f ca="1"/>
      </c>
      <c r="HI421">
        <f ca="1"/>
      </c>
      <c r="HJ421">
        <f ca="1"/>
      </c>
      <c r="HK421">
        <f ca="1"/>
      </c>
      <c r="HL421">
        <f ca="1"/>
      </c>
      <c r="HM421">
        <f ca="1"/>
      </c>
      <c r="HN421">
        <f ca="1"/>
      </c>
      <c r="HO421">
        <f ca="1"/>
      </c>
      <c r="HP421">
        <f ca="1"/>
      </c>
      <c r="HQ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GX422">
        <f ca="1"/>
      </c>
      <c r="GY422">
        <f ca="1"/>
      </c>
      <c r="GZ422">
        <f ca="1"/>
      </c>
      <c r="HA422">
        <f ca="1"/>
      </c>
      <c r="HB422">
        <f ca="1"/>
      </c>
      <c r="HD422">
        <f ca="1"/>
      </c>
      <c r="HE422">
        <f ca="1"/>
      </c>
      <c r="HF422">
        <f ca="1"/>
      </c>
      <c r="HG422">
        <f ca="1"/>
      </c>
      <c r="HH422">
        <f ca="1"/>
      </c>
      <c r="HI422">
        <f ca="1"/>
      </c>
      <c r="HJ422">
        <f ca="1"/>
      </c>
      <c r="HK422">
        <f ca="1"/>
      </c>
      <c r="HL422">
        <f ca="1"/>
      </c>
      <c r="HM422">
        <f ca="1"/>
      </c>
      <c r="HN422">
        <f ca="1"/>
      </c>
      <c r="HO422">
        <f ca="1"/>
      </c>
      <c r="HP422">
        <f ca="1"/>
      </c>
      <c r="HQ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161</v>
      </c>
      <c r="EQ454" cm="1">
        <f t="array" aca="1" ref="EQ454:FR471" ca="1">_xlfn.LET(_xlpm.g,_xlfn.DROP(_xlfn.ANCHORARRAY($CO$4),1),_xlfn._xlws.FILTER(_xlpm.g,_xlfn.TAKE(_xlpm.g,,1)=10))</f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GQ454" t="s">
        <v>169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174</v>
      </c>
      <c r="HE454">
        <f>"Actual / Mean / Recon (k="&amp;$D$108&amp;")  dashed: Mean ±1σ"</f>
      </c>
      <c r="HF454" t="s">
        <v>175</v>
      </c>
      <c r="HG454" t="s">
        <v>176</v>
      </c>
      <c r="HH454" t="s">
        <v>179</v>
      </c>
      <c r="HI454" t="s">
        <v>180</v>
      </c>
      <c r="HJ454" t="s">
        <v>181</v>
      </c>
      <c r="HK454" t="s">
        <v>182</v>
      </c>
      <c r="HL454" t="s">
        <v>183</v>
      </c>
      <c r="HM454" t="s">
        <v>184</v>
      </c>
      <c r="HN454" t="s">
        <v>185</v>
      </c>
      <c r="HO454" t="s">
        <v>186</v>
      </c>
      <c r="HP454" t="s">
        <v>187</v>
      </c>
      <c r="HQ454" t="s">
        <v>188</v>
      </c>
      <c r="HR454" t="s">
        <v>189</v>
      </c>
    </row>
    <row r="455" spans="146:226" x14ac:dyDescent="0.55000000000000004"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aca="1" ref="GX455:GX472" ca="1">_xlfn.LET(_xlpm.V,_xlfn.DROP(_xlfn.ANCHORARRAY($EQ$454),,10),IF(1&lt;=COLUMNS(_xlpm.V),_xlfn.CHOOSECOLS(_xlpm.V,1),IF(_xlfn.SEQUENCE(ROWS(_xlpm.V)),NA())))</f>
      </c>
      <c r="GY455" cm="1">
        <f t="array" aca="1" ref="GY455:GY472" ca="1">_xlfn.LET(_xlpm.V,_xlfn.DROP(_xlfn.ANCHORARRAY($EQ$454),,10),IF(2&lt;=COLUMNS(_xlpm.V),_xlfn.CHOOSECOLS(_xlpm.V,2),IF(_xlfn.SEQUENCE(ROWS(_xlpm.V)),NA())))</f>
      </c>
      <c r="GZ455" cm="1">
        <f t="array" aca="1" ref="GZ455:GZ472" ca="1">_xlfn.LET(_xlpm.V,_xlfn.DROP(_xlfn.ANCHORARRAY($EQ$454),,10),IF(3&lt;=COLUMNS(_xlpm.V),_xlfn.CHOOSECOLS(_xlpm.V,3),IF(_xlfn.SEQUENCE(ROWS(_xlpm.V)),NA())))</f>
      </c>
      <c r="HA455" cm="1">
        <f t="array" aca="1" ref="HA455:HA472" ca="1">_xlfn.LET(_xlpm.V,_xlfn.DROP(_xlfn.ANCHORARRAY($EQ$454),,10),IF(4&lt;=COLUMNS(_xlpm.V),_xlfn.CHOOSECOLS(_xlpm.V,4),IF(_xlfn.SEQUENCE(ROWS(_xlpm.V)),NA())))</f>
      </c>
      <c r="HB455" cm="1">
        <f t="array" aca="1" ref="HB455:HB472" ca="1">_xlfn.LET(_xlpm.V,_xlfn.DROP(_xlfn.ANCHORARRAY($EQ$454),,10),IF(5&lt;=COLUMNS(_xlpm.V),_xlfn.CHOOSECOLS(_xlpm.V,5),IF(_xlfn.SEQUENCE(ROWS(_xlpm.V)),NA())))</f>
      </c>
      <c r="HD455" cm="1">
        <f t="array" aca="1" ref="HD455:HD472" ca="1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aca="1" ref="HF455:HF472" ca="1">_xlfn.CHOOSECOLS(_xlfn.ANCHORARRAY($EQ$454),8)+_xlfn.CHOOSECOLS(_xlfn.ANCHORARRAY($EQ$454),10)</f>
      </c>
      <c r="HG455" cm="1">
        <f t="array" aca="1" ref="HG455:HG472" ca="1">_xlfn.CHOOSECOLS(_xlfn.ANCHORARRAY($EQ$454),8)-_xlfn.CHOOSECOLS(_xlfn.ANCHORARRAY($EQ$454),10)</f>
      </c>
      <c r="HH455" cm="1">
        <f t="array" aca="1" ref="HH455:HH472" ca="1">_xlfn.LET(_xlpm.v,_xlfn.CHOOSECOLS(_xlfn._xlws.FILTER(_xlfn.DROP(_xlfn.ANCHORARRAY($HS$4),1),_xlfn.TAKE(_xlfn.DROP(_xlfn.ANCHORARRAY($HS$4),1),,1)=10),3),IF(_xlpm.v="",NA(),_xlpm.v))</f>
      </c>
      <c r="HI455" cm="1">
        <f t="array" aca="1" ref="HI455:HI472" ca="1">-_xlfn.ANCHORARRAY($HH$455)</f>
      </c>
      <c r="HJ455" cm="1">
        <f t="array" aca="1" ref="HJ455:HJ472" ca="1">_xlfn.LET(_xlpm.v,_xlfn.CHOOSECOLS(_xlfn._xlws.FILTER(_xlfn.DROP(_xlfn.ANCHORARRAY($HS$4),1),_xlfn.TAKE(_xlfn.DROP(_xlfn.ANCHORARRAY($HS$4),1),,1)=10),4),IF(_xlpm.v="",NA(),_xlpm.v))</f>
      </c>
      <c r="HK455" cm="1">
        <f t="array" aca="1" ref="HK455:HK472" ca="1">-_xlfn.ANCHORARRAY($HJ$455)</f>
      </c>
      <c r="HL455" cm="1">
        <f t="array" aca="1" ref="HL455:HL472" ca="1">_xlfn.LET(_xlpm.v,_xlfn.CHOOSECOLS(_xlfn._xlws.FILTER(_xlfn.DROP(_xlfn.ANCHORARRAY($HS$4),1),_xlfn.TAKE(_xlfn.DROP(_xlfn.ANCHORARRAY($HS$4),1),,1)=10),5),IF(_xlpm.v="",NA(),_xlpm.v))</f>
      </c>
      <c r="HM455" cm="1">
        <f t="array" aca="1" ref="HM455:HM472" ca="1">-_xlfn.ANCHORARRAY($HL$455)</f>
      </c>
      <c r="HN455" cm="1">
        <f t="array" aca="1" ref="HN455:HN472" ca="1">_xlfn.LET(_xlpm.v,_xlfn.CHOOSECOLS(_xlfn._xlws.FILTER(_xlfn.DROP(_xlfn.ANCHORARRAY($HS$4),1),_xlfn.TAKE(_xlfn.DROP(_xlfn.ANCHORARRAY($HS$4),1),,1)=10),6),IF(_xlpm.v="",NA(),_xlpm.v))</f>
      </c>
      <c r="HO455" cm="1">
        <f t="array" aca="1" ref="HO455:HO472" ca="1">-_xlfn.ANCHORARRAY($HN$455)</f>
      </c>
      <c r="HP455" cm="1">
        <f t="array" aca="1" ref="HP455:HP472" ca="1">_xlfn.LET(_xlpm.v,_xlfn.CHOOSECOLS(_xlfn._xlws.FILTER(_xlfn.DROP(_xlfn.ANCHORARRAY($HS$4),1),_xlfn.TAKE(_xlfn.DROP(_xlfn.ANCHORARRAY($HS$4),1),,1)=10),7),IF(_xlpm.v="",NA(),_xlpm.v))</f>
      </c>
      <c r="HQ455" cm="1">
        <f t="array" aca="1" ref="HQ455:HQ472" ca="1">-_xlfn.ANCHORARRAY($HP$455)</f>
      </c>
      <c r="HR455" cm="1">
        <f t="array" aca="1" ref="HR455" ca="1">IFERROR(INDEX(_xlfn._xlws.FILTER(_xlfn.DROP(_xlfn.ANCHORARRAY($HS$4),1),_xlfn.TAKE(_xlfn.DROP(_xlfn.ANCHORARRAY($HS$4),1),,1)=10),1,2),"")</f>
      </c>
    </row>
    <row r="456" spans="146:226" x14ac:dyDescent="0.55000000000000004"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GX456">
        <f ca="1"/>
      </c>
      <c r="GY456">
        <f ca="1"/>
      </c>
      <c r="GZ456">
        <f ca="1"/>
      </c>
      <c r="HA456">
        <f ca="1"/>
      </c>
      <c r="HB456">
        <f ca="1"/>
      </c>
      <c r="HD456">
        <f ca="1"/>
      </c>
      <c r="HE456">
        <f ca="1"/>
      </c>
      <c r="HF456">
        <f ca="1"/>
      </c>
      <c r="HG456">
        <f ca="1"/>
      </c>
      <c r="HH456">
        <f ca="1"/>
      </c>
      <c r="HI456">
        <f ca="1"/>
      </c>
      <c r="HJ456">
        <f ca="1"/>
      </c>
      <c r="HK456">
        <f ca="1"/>
      </c>
      <c r="HL456">
        <f ca="1"/>
      </c>
      <c r="HM456">
        <f ca="1"/>
      </c>
      <c r="HN456">
        <f ca="1"/>
      </c>
      <c r="HO456">
        <f ca="1"/>
      </c>
      <c r="HP456">
        <f ca="1"/>
      </c>
      <c r="HQ456">
        <f ca="1"/>
      </c>
    </row>
    <row r="457" spans="146:226" x14ac:dyDescent="0.55000000000000004"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GX457">
        <f ca="1"/>
      </c>
      <c r="GY457">
        <f ca="1"/>
      </c>
      <c r="GZ457">
        <f ca="1"/>
      </c>
      <c r="HA457">
        <f ca="1"/>
      </c>
      <c r="HB457">
        <f ca="1"/>
      </c>
      <c r="HD457">
        <f ca="1"/>
      </c>
      <c r="HE457">
        <f ca="1"/>
      </c>
      <c r="HF457">
        <f ca="1"/>
      </c>
      <c r="HG457">
        <f ca="1"/>
      </c>
      <c r="HH457">
        <f ca="1"/>
      </c>
      <c r="HI457">
        <f ca="1"/>
      </c>
      <c r="HJ457">
        <f ca="1"/>
      </c>
      <c r="HK457">
        <f ca="1"/>
      </c>
      <c r="HL457">
        <f ca="1"/>
      </c>
      <c r="HM457">
        <f ca="1"/>
      </c>
      <c r="HN457">
        <f ca="1"/>
      </c>
      <c r="HO457">
        <f ca="1"/>
      </c>
      <c r="HP457">
        <f ca="1"/>
      </c>
      <c r="HQ457">
        <f ca="1"/>
      </c>
    </row>
    <row r="458" spans="146:226" x14ac:dyDescent="0.55000000000000004"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GX458">
        <f ca="1"/>
      </c>
      <c r="GY458">
        <f ca="1"/>
      </c>
      <c r="GZ458">
        <f ca="1"/>
      </c>
      <c r="HA458">
        <f ca="1"/>
      </c>
      <c r="HB458">
        <f ca="1"/>
      </c>
      <c r="HD458">
        <f ca="1"/>
      </c>
      <c r="HE458">
        <f ca="1"/>
      </c>
      <c r="HF458">
        <f ca="1"/>
      </c>
      <c r="HG458">
        <f ca="1"/>
      </c>
      <c r="HH458">
        <f ca="1"/>
      </c>
      <c r="HI458">
        <f ca="1"/>
      </c>
      <c r="HJ458">
        <f ca="1"/>
      </c>
      <c r="HK458">
        <f ca="1"/>
      </c>
      <c r="HL458">
        <f ca="1"/>
      </c>
      <c r="HM458">
        <f ca="1"/>
      </c>
      <c r="HN458">
        <f ca="1"/>
      </c>
      <c r="HO458">
        <f ca="1"/>
      </c>
      <c r="HP458">
        <f ca="1"/>
      </c>
      <c r="HQ458">
        <f ca="1"/>
      </c>
    </row>
    <row r="459" spans="146:226" x14ac:dyDescent="0.55000000000000004"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GX459">
        <f ca="1"/>
      </c>
      <c r="GY459">
        <f ca="1"/>
      </c>
      <c r="GZ459">
        <f ca="1"/>
      </c>
      <c r="HA459">
        <f ca="1"/>
      </c>
      <c r="HB459">
        <f ca="1"/>
      </c>
      <c r="HD459">
        <f ca="1"/>
      </c>
      <c r="HE459">
        <f ca="1"/>
      </c>
      <c r="HF459">
        <f ca="1"/>
      </c>
      <c r="HG459">
        <f ca="1"/>
      </c>
      <c r="HH459">
        <f ca="1"/>
      </c>
      <c r="HI459">
        <f ca="1"/>
      </c>
      <c r="HJ459">
        <f ca="1"/>
      </c>
      <c r="HK459">
        <f ca="1"/>
      </c>
      <c r="HL459">
        <f ca="1"/>
      </c>
      <c r="HM459">
        <f ca="1"/>
      </c>
      <c r="HN459">
        <f ca="1"/>
      </c>
      <c r="HO459">
        <f ca="1"/>
      </c>
      <c r="HP459">
        <f ca="1"/>
      </c>
      <c r="HQ459">
        <f ca="1"/>
      </c>
    </row>
    <row r="460" spans="146:226" x14ac:dyDescent="0.55000000000000004"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GX460">
        <f ca="1"/>
      </c>
      <c r="GY460">
        <f ca="1"/>
      </c>
      <c r="GZ460">
        <f ca="1"/>
      </c>
      <c r="HA460">
        <f ca="1"/>
      </c>
      <c r="HB460">
        <f ca="1"/>
      </c>
      <c r="HD460">
        <f ca="1"/>
      </c>
      <c r="HE460">
        <f ca="1"/>
      </c>
      <c r="HF460">
        <f ca="1"/>
      </c>
      <c r="HG460">
        <f ca="1"/>
      </c>
      <c r="HH460">
        <f ca="1"/>
      </c>
      <c r="HI460">
        <f ca="1"/>
      </c>
      <c r="HJ460">
        <f ca="1"/>
      </c>
      <c r="HK460">
        <f ca="1"/>
      </c>
      <c r="HL460">
        <f ca="1"/>
      </c>
      <c r="HM460">
        <f ca="1"/>
      </c>
      <c r="HN460">
        <f ca="1"/>
      </c>
      <c r="HO460">
        <f ca="1"/>
      </c>
      <c r="HP460">
        <f ca="1"/>
      </c>
      <c r="HQ460">
        <f ca="1"/>
      </c>
    </row>
    <row r="461" spans="146:226" x14ac:dyDescent="0.55000000000000004"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GX461">
        <f ca="1"/>
      </c>
      <c r="GY461">
        <f ca="1"/>
      </c>
      <c r="GZ461">
        <f ca="1"/>
      </c>
      <c r="HA461">
        <f ca="1"/>
      </c>
      <c r="HB461">
        <f ca="1"/>
      </c>
      <c r="HD461">
        <f ca="1"/>
      </c>
      <c r="HE461">
        <f ca="1"/>
      </c>
      <c r="HF461">
        <f ca="1"/>
      </c>
      <c r="HG461">
        <f ca="1"/>
      </c>
      <c r="HH461">
        <f ca="1"/>
      </c>
      <c r="HI461">
        <f ca="1"/>
      </c>
      <c r="HJ461">
        <f ca="1"/>
      </c>
      <c r="HK461">
        <f ca="1"/>
      </c>
      <c r="HL461">
        <f ca="1"/>
      </c>
      <c r="HM461">
        <f ca="1"/>
      </c>
      <c r="HN461">
        <f ca="1"/>
      </c>
      <c r="HO461">
        <f ca="1"/>
      </c>
      <c r="HP461">
        <f ca="1"/>
      </c>
      <c r="HQ461">
        <f ca="1"/>
      </c>
    </row>
    <row r="462" spans="146:226" x14ac:dyDescent="0.55000000000000004"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GX462">
        <f ca="1"/>
      </c>
      <c r="GY462">
        <f ca="1"/>
      </c>
      <c r="GZ462">
        <f ca="1"/>
      </c>
      <c r="HA462">
        <f ca="1"/>
      </c>
      <c r="HB462">
        <f ca="1"/>
      </c>
      <c r="HD462">
        <f ca="1"/>
      </c>
      <c r="HE462">
        <f ca="1"/>
      </c>
      <c r="HF462">
        <f ca="1"/>
      </c>
      <c r="HG462">
        <f ca="1"/>
      </c>
      <c r="HH462">
        <f ca="1"/>
      </c>
      <c r="HI462">
        <f ca="1"/>
      </c>
      <c r="HJ462">
        <f ca="1"/>
      </c>
      <c r="HK462">
        <f ca="1"/>
      </c>
      <c r="HL462">
        <f ca="1"/>
      </c>
      <c r="HM462">
        <f ca="1"/>
      </c>
      <c r="HN462">
        <f ca="1"/>
      </c>
      <c r="HO462">
        <f ca="1"/>
      </c>
      <c r="HP462">
        <f ca="1"/>
      </c>
      <c r="HQ462">
        <f ca="1"/>
      </c>
    </row>
    <row r="463" spans="146:226" x14ac:dyDescent="0.55000000000000004"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GX463">
        <f ca="1"/>
      </c>
      <c r="GY463">
        <f ca="1"/>
      </c>
      <c r="GZ463">
        <f ca="1"/>
      </c>
      <c r="HA463">
        <f ca="1"/>
      </c>
      <c r="HB463">
        <f ca="1"/>
      </c>
      <c r="HD463">
        <f ca="1"/>
      </c>
      <c r="HE463">
        <f ca="1"/>
      </c>
      <c r="HF463">
        <f ca="1"/>
      </c>
      <c r="HG463">
        <f ca="1"/>
      </c>
      <c r="HH463">
        <f ca="1"/>
      </c>
      <c r="HI463">
        <f ca="1"/>
      </c>
      <c r="HJ463">
        <f ca="1"/>
      </c>
      <c r="HK463">
        <f ca="1"/>
      </c>
      <c r="HL463">
        <f ca="1"/>
      </c>
      <c r="HM463">
        <f ca="1"/>
      </c>
      <c r="HN463">
        <f ca="1"/>
      </c>
      <c r="HO463">
        <f ca="1"/>
      </c>
      <c r="HP463">
        <f ca="1"/>
      </c>
      <c r="HQ463">
        <f ca="1"/>
      </c>
    </row>
    <row r="464" spans="146:226" x14ac:dyDescent="0.55000000000000004"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GX464">
        <f ca="1"/>
      </c>
      <c r="GY464">
        <f ca="1"/>
      </c>
      <c r="GZ464">
        <f ca="1"/>
      </c>
      <c r="HA464">
        <f ca="1"/>
      </c>
      <c r="HB464">
        <f ca="1"/>
      </c>
      <c r="HD464">
        <f ca="1"/>
      </c>
      <c r="HE464">
        <f ca="1"/>
      </c>
      <c r="HF464">
        <f ca="1"/>
      </c>
      <c r="HG464">
        <f ca="1"/>
      </c>
      <c r="HH464">
        <f ca="1"/>
      </c>
      <c r="HI464">
        <f ca="1"/>
      </c>
      <c r="HJ464">
        <f ca="1"/>
      </c>
      <c r="HK464">
        <f ca="1"/>
      </c>
      <c r="HL464">
        <f ca="1"/>
      </c>
      <c r="HM464">
        <f ca="1"/>
      </c>
      <c r="HN464">
        <f ca="1"/>
      </c>
      <c r="HO464">
        <f ca="1"/>
      </c>
      <c r="HP464">
        <f ca="1"/>
      </c>
      <c r="HQ464">
        <f ca="1"/>
      </c>
    </row>
    <row r="465" spans="147:225" x14ac:dyDescent="0.55000000000000004"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GX465">
        <f ca="1"/>
      </c>
      <c r="GY465">
        <f ca="1"/>
      </c>
      <c r="GZ465">
        <f ca="1"/>
      </c>
      <c r="HA465">
        <f ca="1"/>
      </c>
      <c r="HB465">
        <f ca="1"/>
      </c>
      <c r="HD465">
        <f ca="1"/>
      </c>
      <c r="HE465">
        <f ca="1"/>
      </c>
      <c r="HF465">
        <f ca="1"/>
      </c>
      <c r="HG465">
        <f ca="1"/>
      </c>
      <c r="HH465">
        <f ca="1"/>
      </c>
      <c r="HI465">
        <f ca="1"/>
      </c>
      <c r="HJ465">
        <f ca="1"/>
      </c>
      <c r="HK465">
        <f ca="1"/>
      </c>
      <c r="HL465">
        <f ca="1"/>
      </c>
      <c r="HM465">
        <f ca="1"/>
      </c>
      <c r="HN465">
        <f ca="1"/>
      </c>
      <c r="HO465">
        <f ca="1"/>
      </c>
      <c r="HP465">
        <f ca="1"/>
      </c>
      <c r="HQ465">
        <f ca="1"/>
      </c>
    </row>
    <row r="466" spans="147:225" x14ac:dyDescent="0.55000000000000004"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GX466">
        <f ca="1"/>
      </c>
      <c r="GY466">
        <f ca="1"/>
      </c>
      <c r="GZ466">
        <f ca="1"/>
      </c>
      <c r="HA466">
        <f ca="1"/>
      </c>
      <c r="HB466">
        <f ca="1"/>
      </c>
      <c r="HD466">
        <f ca="1"/>
      </c>
      <c r="HE466">
        <f ca="1"/>
      </c>
      <c r="HF466">
        <f ca="1"/>
      </c>
      <c r="HG466">
        <f ca="1"/>
      </c>
      <c r="HH466">
        <f ca="1"/>
      </c>
      <c r="HI466">
        <f ca="1"/>
      </c>
      <c r="HJ466">
        <f ca="1"/>
      </c>
      <c r="HK466">
        <f ca="1"/>
      </c>
      <c r="HL466">
        <f ca="1"/>
      </c>
      <c r="HM466">
        <f ca="1"/>
      </c>
      <c r="HN466">
        <f ca="1"/>
      </c>
      <c r="HO466">
        <f ca="1"/>
      </c>
      <c r="HP466">
        <f ca="1"/>
      </c>
      <c r="HQ466">
        <f ca="1"/>
      </c>
    </row>
    <row r="467" spans="147:225" x14ac:dyDescent="0.55000000000000004"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GX467">
        <f ca="1"/>
      </c>
      <c r="GY467">
        <f ca="1"/>
      </c>
      <c r="GZ467">
        <f ca="1"/>
      </c>
      <c r="HA467">
        <f ca="1"/>
      </c>
      <c r="HB467">
        <f ca="1"/>
      </c>
      <c r="HD467">
        <f ca="1"/>
      </c>
      <c r="HE467">
        <f ca="1"/>
      </c>
      <c r="HF467">
        <f ca="1"/>
      </c>
      <c r="HG467">
        <f ca="1"/>
      </c>
      <c r="HH467">
        <f ca="1"/>
      </c>
      <c r="HI467">
        <f ca="1"/>
      </c>
      <c r="HJ467">
        <f ca="1"/>
      </c>
      <c r="HK467">
        <f ca="1"/>
      </c>
      <c r="HL467">
        <f ca="1"/>
      </c>
      <c r="HM467">
        <f ca="1"/>
      </c>
      <c r="HN467">
        <f ca="1"/>
      </c>
      <c r="HO467">
        <f ca="1"/>
      </c>
      <c r="HP467">
        <f ca="1"/>
      </c>
      <c r="HQ467">
        <f ca="1"/>
      </c>
    </row>
    <row r="468" spans="147:225" x14ac:dyDescent="0.55000000000000004"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GX468">
        <f ca="1"/>
      </c>
      <c r="GY468">
        <f ca="1"/>
      </c>
      <c r="GZ468">
        <f ca="1"/>
      </c>
      <c r="HA468">
        <f ca="1"/>
      </c>
      <c r="HB468">
        <f ca="1"/>
      </c>
      <c r="HD468">
        <f ca="1"/>
      </c>
      <c r="HE468">
        <f ca="1"/>
      </c>
      <c r="HF468">
        <f ca="1"/>
      </c>
      <c r="HG468">
        <f ca="1"/>
      </c>
      <c r="HH468">
        <f ca="1"/>
      </c>
      <c r="HI468">
        <f ca="1"/>
      </c>
      <c r="HJ468">
        <f ca="1"/>
      </c>
      <c r="HK468">
        <f ca="1"/>
      </c>
      <c r="HL468">
        <f ca="1"/>
      </c>
      <c r="HM468">
        <f ca="1"/>
      </c>
      <c r="HN468">
        <f ca="1"/>
      </c>
      <c r="HO468">
        <f ca="1"/>
      </c>
      <c r="HP468">
        <f ca="1"/>
      </c>
      <c r="HQ468">
        <f ca="1"/>
      </c>
    </row>
    <row r="469" spans="147:225" x14ac:dyDescent="0.55000000000000004"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GX469">
        <f ca="1"/>
      </c>
      <c r="GY469">
        <f ca="1"/>
      </c>
      <c r="GZ469">
        <f ca="1"/>
      </c>
      <c r="HA469">
        <f ca="1"/>
      </c>
      <c r="HB469">
        <f ca="1"/>
      </c>
      <c r="HD469">
        <f ca="1"/>
      </c>
      <c r="HE469">
        <f ca="1"/>
      </c>
      <c r="HF469">
        <f ca="1"/>
      </c>
      <c r="HG469">
        <f ca="1"/>
      </c>
      <c r="HH469">
        <f ca="1"/>
      </c>
      <c r="HI469">
        <f ca="1"/>
      </c>
      <c r="HJ469">
        <f ca="1"/>
      </c>
      <c r="HK469">
        <f ca="1"/>
      </c>
      <c r="HL469">
        <f ca="1"/>
      </c>
      <c r="HM469">
        <f ca="1"/>
      </c>
      <c r="HN469">
        <f ca="1"/>
      </c>
      <c r="HO469">
        <f ca="1"/>
      </c>
      <c r="HP469">
        <f ca="1"/>
      </c>
      <c r="HQ469">
        <f ca="1"/>
      </c>
    </row>
    <row r="470" spans="147:225" x14ac:dyDescent="0.55000000000000004"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GX470">
        <f ca="1"/>
      </c>
      <c r="GY470">
        <f ca="1"/>
      </c>
      <c r="GZ470">
        <f ca="1"/>
      </c>
      <c r="HA470">
        <f ca="1"/>
      </c>
      <c r="HB470">
        <f ca="1"/>
      </c>
      <c r="HD470">
        <f ca="1"/>
      </c>
      <c r="HE470">
        <f ca="1"/>
      </c>
      <c r="HF470">
        <f ca="1"/>
      </c>
      <c r="HG470">
        <f ca="1"/>
      </c>
      <c r="HH470">
        <f ca="1"/>
      </c>
      <c r="HI470">
        <f ca="1"/>
      </c>
      <c r="HJ470">
        <f ca="1"/>
      </c>
      <c r="HK470">
        <f ca="1"/>
      </c>
      <c r="HL470">
        <f ca="1"/>
      </c>
      <c r="HM470">
        <f ca="1"/>
      </c>
      <c r="HN470">
        <f ca="1"/>
      </c>
      <c r="HO470">
        <f ca="1"/>
      </c>
      <c r="HP470">
        <f ca="1"/>
      </c>
      <c r="HQ470">
        <f ca="1"/>
      </c>
    </row>
    <row r="471" spans="147:225" x14ac:dyDescent="0.55000000000000004"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GX471">
        <f ca="1"/>
      </c>
      <c r="GY471">
        <f ca="1"/>
      </c>
      <c r="GZ471">
        <f ca="1"/>
      </c>
      <c r="HA471">
        <f ca="1"/>
      </c>
      <c r="HB471">
        <f ca="1"/>
      </c>
      <c r="HD471">
        <f ca="1"/>
      </c>
      <c r="HE471">
        <f ca="1"/>
      </c>
      <c r="HF471">
        <f ca="1"/>
      </c>
      <c r="HG471">
        <f ca="1"/>
      </c>
      <c r="HH471">
        <f ca="1"/>
      </c>
      <c r="HI471">
        <f ca="1"/>
      </c>
      <c r="HJ471">
        <f ca="1"/>
      </c>
      <c r="HK471">
        <f ca="1"/>
      </c>
      <c r="HL471">
        <f ca="1"/>
      </c>
      <c r="HM471">
        <f ca="1"/>
      </c>
      <c r="HN471">
        <f ca="1"/>
      </c>
      <c r="HO471">
        <f ca="1"/>
      </c>
      <c r="HP471">
        <f ca="1"/>
      </c>
      <c r="HQ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GX472">
        <f ca="1"/>
      </c>
      <c r="GY472">
        <f ca="1"/>
      </c>
      <c r="GZ472">
        <f ca="1"/>
      </c>
      <c r="HA472">
        <f ca="1"/>
      </c>
      <c r="HB472">
        <f ca="1"/>
      </c>
      <c r="HD472">
        <f ca="1"/>
      </c>
      <c r="HE472">
        <f ca="1"/>
      </c>
      <c r="HF472">
        <f ca="1"/>
      </c>
      <c r="HG472">
        <f ca="1"/>
      </c>
      <c r="HH472">
        <f ca="1"/>
      </c>
      <c r="HI472">
        <f ca="1"/>
      </c>
      <c r="HJ472">
        <f ca="1"/>
      </c>
      <c r="HK472">
        <f ca="1"/>
      </c>
      <c r="HL472">
        <f ca="1"/>
      </c>
      <c r="HM472">
        <f ca="1"/>
      </c>
      <c r="HN472">
        <f ca="1"/>
      </c>
      <c r="HO472">
        <f ca="1"/>
      </c>
      <c r="HP472">
        <f ca="1"/>
      </c>
      <c r="HQ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11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P6 BI6 BB6 AU6 AN6 AG6 Z6 S6 L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  <dataValidation type="date" operator="greaterThanOrEqual" allowBlank="1" showInputMessage="1" showErrorMessage="1" prompt="推定期間(window)の最終日。空欄=今日(推定はDBの引け値だけ。DBに今日の値がなければ直近の営業日まで)" sqref="E4 L4 S4 Z4 AG4 AN4 AU4 BB4 BI4 BP4" xr:uid="{6B7EA848-C4B1-40B6-AA85-3B7CB2E8E639}">
      <formula1>1</formula1>
    </dataValidation>
    <dataValidation type="date" operator="greaterThanOrEqual" allowBlank="1" showInputMessage="1" showErrorMessage="1" prompt="復元・差分を見る日(全ケース共通)。空欄=今日(RealTimeのライブの値)。日付=DBのその日の引け値" sqref="A4" xr:uid="{07D39F00-0859-432F-90F6-05FB010042D7}">
      <formula1>1</formula1>
    </dataValidation>
    <dataValidation type="list" allowBlank="1" showInputMessage="1" showErrorMessage="1" prompt="Tenor to mark with a vertical guide line on all charts (blank = none)" sqref="A58:A62" xr:uid="{18A3996A-B383-4B29-B586-48262F8DD582}">
      <formula1>$A$12:$A$53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zoomScale="56" workbookViewId="0">
      <selection activeCell="F28" sqref="F28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223</v>
      </c>
      <c r="F2" s="1"/>
      <c r="BF2" s="1" t="s">
        <v>224</v>
      </c>
      <c r="LA2" t="s">
        <v>57</v>
      </c>
    </row>
    <row r="3" spans="1:315" x14ac:dyDescent="0.55000000000000004">
      <c r="A3" s="4" t="s">
        <v>190</v>
      </c>
      <c r="F3" t="s">
        <v>197</v>
      </c>
      <c r="I3" t="s">
        <v>251</v>
      </c>
      <c r="BI3" t="s">
        <v>225</v>
      </c>
      <c r="BP3" t="s">
        <v>226</v>
      </c>
      <c r="JD3" t="s">
        <v>227</v>
      </c>
      <c r="JE3" t="s">
        <v>198</v>
      </c>
      <c r="JG3" t="s">
        <v>228</v>
      </c>
      <c r="LA3" cm="1">
        <f t="array" aca="1" ref="LA3:LC170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248</v>
      </c>
      <c r="B4" s="3"/>
      <c r="F4" cm="1">
        <f t="array" aca="1" ref="F4:G8" ca="1">PcaWindow(VOL_Labels,VOL_Mode,VOL_Standardize,VOL_window,VOL_WindowEnd,"vol")</f>
      </c>
      <c r="G4" s="7">
        <f ca="1"/>
      </c>
      <c r="I4" cm="1">
        <f t="array" aca="1" ref="I4:J7" ca="1">PcaActualInfo(VOL_Labels,VOL_Mode,VOL_ReconDate,_xlfn.ANCHORARRAY($LA$3),"vol")</f>
      </c>
      <c r="J4" s="7">
        <f ca="1"/>
      </c>
      <c r="P4" t="s">
        <v>229</v>
      </c>
      <c r="BG4" s="7"/>
      <c r="BI4" s="5" t="s">
        <v>231</v>
      </c>
      <c r="BJ4" s="5" t="s">
        <v>232</v>
      </c>
      <c r="BK4" s="5" t="s">
        <v>233</v>
      </c>
      <c r="BL4" s="5" t="s">
        <v>234</v>
      </c>
      <c r="BM4" s="5" t="s">
        <v>235</v>
      </c>
      <c r="BN4" s="5" t="s">
        <v>236</v>
      </c>
      <c r="BP4" cm="1">
        <f t="array" aca="1" ref="BP4:HS160" ca="1">PcaModel(VOL_Labels,VOL_Mode,VOL_Standardize,VOL_window,VOL_WindowEnd,"vol")</f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X4">
        <f ca="1"/>
      </c>
      <c r="GY4">
        <f ca="1"/>
      </c>
      <c r="GZ4">
        <f ca="1"/>
      </c>
      <c r="HA4">
        <f ca="1"/>
      </c>
      <c r="HB4">
        <f ca="1"/>
      </c>
      <c r="HC4">
        <f ca="1"/>
      </c>
      <c r="HD4">
        <f ca="1"/>
      </c>
      <c r="HE4">
        <f ca="1"/>
      </c>
      <c r="HF4">
        <f ca="1"/>
      </c>
      <c r="HG4">
        <f ca="1"/>
      </c>
      <c r="HH4">
        <f ca="1"/>
      </c>
      <c r="HI4">
        <f ca="1"/>
      </c>
      <c r="HJ4">
        <f ca="1"/>
      </c>
      <c r="HK4">
        <f ca="1"/>
      </c>
      <c r="HL4">
        <f ca="1"/>
      </c>
      <c r="HM4">
        <f ca="1"/>
      </c>
      <c r="HN4">
        <f ca="1"/>
      </c>
      <c r="HO4">
        <f ca="1"/>
      </c>
      <c r="HP4">
        <f ca="1"/>
      </c>
      <c r="HQ4">
        <f ca="1"/>
      </c>
      <c r="HR4">
        <f ca="1"/>
      </c>
      <c r="HS4">
        <f ca="1"/>
      </c>
      <c r="JD4" cm="1">
        <f t="array" ref="JD4:JD16">_xlfn._xlws.FILTER($A$15:$A$30,$B$15:$B$30="○")</f>
      </c>
      <c r="JE4" cm="1">
        <f t="array" ref="JE4:JE15">_xlfn._xlws.FILTER($C$15:$C$26,$D$15:$D$26="○")</f>
      </c>
      <c r="JG4" cm="1">
        <f t="array" ref="JG4:JG159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191</v>
      </c>
      <c r="B5" s="2">
        <v>250</v>
      </c>
      <c r="F5">
        <f ca="1"/>
      </c>
      <c r="G5" s="7">
        <f ca="1"/>
      </c>
      <c r="I5">
        <f ca="1"/>
      </c>
      <c r="J5">
        <f ca="1"/>
      </c>
      <c r="P5" t="s">
        <v>230</v>
      </c>
      <c r="BG5" s="7"/>
      <c r="BI5" cm="1">
        <f t="array" aca="1" ref="BI5:BI160" ca="1">_xlfn.DROP(_xlfn.TAKE(_xlfn.ANCHORARRAY($BP$4),,1),1)</f>
      </c>
      <c r="BJ5" s="11" cm="1">
        <f t="array" aca="1" ref="BJ5:BJ160" ca="1">PcaActual(VOL_Labels,VOL_Mode,VOL_ReconDate,_xlfn.ANCHORARRAY($LA$3),"vol")</f>
      </c>
      <c r="BK5" s="11" cm="1">
        <f t="array" aca="1" ref="BK5:BK160" ca="1">_xlfn.DROP(_xlfn.CHOOSECOLS(_xlfn.ANCHORARRAY($BP$4),2),1)</f>
      </c>
      <c r="BL5" s="11" cm="1">
        <f t="array" aca="1" ref="BL5:BL160" ca="1">_xlfn.DROP(_xlfn.CHOOSECOLS(_xlfn.ANCHORARRAY($BP$4),3),1)</f>
      </c>
      <c r="BM5" s="11" cm="1">
        <f t="array" aca="1" ref="BM5:BM160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60" ca="1">_xlfn.ANCHORARRAY(BJ5)-_xlfn.ANCHORARRAY(BM5)</f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X5">
        <f ca="1"/>
      </c>
      <c r="GY5">
        <f ca="1"/>
      </c>
      <c r="GZ5">
        <f ca="1"/>
      </c>
      <c r="HA5">
        <f ca="1"/>
      </c>
      <c r="HB5">
        <f ca="1"/>
      </c>
      <c r="HC5">
        <f ca="1"/>
      </c>
      <c r="HD5">
        <f ca="1"/>
      </c>
      <c r="HE5">
        <f ca="1"/>
      </c>
      <c r="HF5">
        <f ca="1"/>
      </c>
      <c r="HG5">
        <f ca="1"/>
      </c>
      <c r="HH5">
        <f ca="1"/>
      </c>
      <c r="HI5">
        <f ca="1"/>
      </c>
      <c r="HJ5">
        <f ca="1"/>
      </c>
      <c r="HK5">
        <f ca="1"/>
      </c>
      <c r="HL5">
        <f ca="1"/>
      </c>
      <c r="HM5">
        <f ca="1"/>
      </c>
      <c r="HN5">
        <f ca="1"/>
      </c>
      <c r="HO5">
        <f ca="1"/>
      </c>
      <c r="HP5">
        <f ca="1"/>
      </c>
      <c r="HQ5">
        <f ca="1"/>
      </c>
      <c r="HR5">
        <f ca="1"/>
      </c>
      <c r="HS5">
        <f ca="1"/>
      </c>
      <c r="LA5">
        <f ca="1"/>
      </c>
      <c r="LB5">
        <f ca="1"/>
      </c>
      <c r="LC5">
        <f ca="1"/>
      </c>
    </row>
    <row r="6" spans="1:315" x14ac:dyDescent="0.55000000000000004">
      <c r="A6" t="s">
        <v>192</v>
      </c>
      <c r="B6" s="2" t="s">
        <v>221</v>
      </c>
      <c r="F6">
        <f ca="1"/>
      </c>
      <c r="G6">
        <f ca="1"/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C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R6">
        <f ca="1"/>
      </c>
      <c r="HS6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193</v>
      </c>
      <c r="B7" s="2" t="s">
        <v>222</v>
      </c>
      <c r="F7">
        <f ca="1"/>
      </c>
      <c r="G7">
        <f ca="1"/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C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R7">
        <f ca="1"/>
      </c>
      <c r="HS7">
        <f ca="1"/>
      </c>
      <c r="LA7">
        <f ca="1"/>
      </c>
      <c r="LB7">
        <f ca="1"/>
      </c>
      <c r="LC7">
        <f ca="1"/>
      </c>
    </row>
    <row r="8" spans="1:315" x14ac:dyDescent="0.55000000000000004">
      <c r="F8">
        <f ca="1"/>
      </c>
      <c r="G8" s="8">
        <f ca="1"/>
      </c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C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R8">
        <f ca="1"/>
      </c>
      <c r="HS8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249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C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R9">
        <f ca="1"/>
      </c>
      <c r="HS9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250</v>
      </c>
      <c r="B10" s="3"/>
      <c r="F10" s="4" t="s">
        <v>237</v>
      </c>
      <c r="U10" s="4" t="s">
        <v>238</v>
      </c>
      <c r="AJ10" s="4" t="s">
        <v>239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C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R10">
        <f ca="1"/>
      </c>
      <c r="HS10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194</v>
      </c>
      <c r="B11" s="2">
        <v>3</v>
      </c>
      <c r="F11" s="5" t="s">
        <v>240</v>
      </c>
      <c r="G11" cm="1">
        <f t="array" ref="G11:R11">TRANSPOSE(VOL_Tenors)</f>
      </c>
      <c r="U11" s="5" t="s">
        <v>240</v>
      </c>
      <c r="V11" cm="1">
        <f t="array" ref="V11:AG11">TRANSPOSE(VOL_Tenors)</f>
      </c>
      <c r="AJ11" s="5" t="s">
        <v>215</v>
      </c>
      <c r="AK11" s="5" t="s">
        <v>216</v>
      </c>
      <c r="AL11" s="5" t="s">
        <v>217</v>
      </c>
      <c r="AM11" s="5" t="s">
        <v>218</v>
      </c>
      <c r="AN11" s="5" t="s">
        <v>219</v>
      </c>
      <c r="AO11" s="5" t="s">
        <v>220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C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R11">
        <f ca="1"/>
      </c>
      <c r="HS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4">VOL_Expiries</f>
      </c>
      <c r="G12" s="11" cm="1">
        <f t="array" aca="1" ref="G12:R24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4">VOL_Expiries</f>
      </c>
      <c r="V12" s="14" cm="1">
        <f t="array" aca="1" ref="V12:AG24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aca="1" ref="AO12:AO21" ca="1">IF(_xlfn.SEQUENCE(ROWS(_xlfn.ANCHORARRAY(AJ12)))&lt;=VOL_k,"Yes","")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C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R12">
        <f ca="1"/>
      </c>
      <c r="HS12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241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C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R13">
        <f ca="1"/>
      </c>
      <c r="HS13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242</v>
      </c>
      <c r="B14" s="5" t="s">
        <v>205</v>
      </c>
      <c r="C14" s="5" t="s">
        <v>204</v>
      </c>
      <c r="D14" s="5" t="s">
        <v>205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C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R14">
        <f ca="1"/>
      </c>
      <c r="HS14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373</v>
      </c>
      <c r="B15" s="6" t="s">
        <v>374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C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R15">
        <f ca="1"/>
      </c>
      <c r="HS15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375</v>
      </c>
      <c r="B16" s="6" t="s">
        <v>374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206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C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R16">
        <f ca="1"/>
      </c>
      <c r="HS16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376</v>
      </c>
      <c r="B17" s="6" t="s">
        <v>374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:BG173" ca="1">PcaEigen(VOL_Labels,VOL_Mode,VOL_Standardize,VOL_window,VOL_WindowEnd,"vol")</f>
      </c>
      <c r="BG17">
        <f ca="1"/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C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R17">
        <f ca="1"/>
      </c>
      <c r="HS17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377</v>
      </c>
      <c r="B18" s="6" t="s">
        <v>374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F18">
        <f ca="1"/>
      </c>
      <c r="BG18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C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R18">
        <f ca="1"/>
      </c>
      <c r="HS18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378</v>
      </c>
      <c r="B19" s="6" t="s">
        <v>374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F19">
        <f ca="1"/>
      </c>
      <c r="BG19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C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R19">
        <f ca="1"/>
      </c>
      <c r="HS19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379</v>
      </c>
      <c r="B20" s="6" t="s">
        <v>374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F20">
        <f ca="1"/>
      </c>
      <c r="BG20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C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R20">
        <f ca="1"/>
      </c>
      <c r="HS20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380</v>
      </c>
      <c r="B21" s="6" t="s">
        <v>374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F21">
        <f ca="1"/>
      </c>
      <c r="BG21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C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R21">
        <f ca="1"/>
      </c>
      <c r="HS2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381</v>
      </c>
      <c r="B22" s="6" t="s">
        <v>374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F22">
        <f ca="1"/>
      </c>
      <c r="BG22">
        <f ca="1"/>
      </c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C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R22">
        <f ca="1"/>
      </c>
      <c r="HS22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382</v>
      </c>
      <c r="B23" s="6" t="s">
        <v>374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F23">
        <f ca="1"/>
      </c>
      <c r="BG23">
        <f ca="1"/>
      </c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GX23">
        <f ca="1"/>
      </c>
      <c r="GY23">
        <f ca="1"/>
      </c>
      <c r="GZ23">
        <f ca="1"/>
      </c>
      <c r="HA23">
        <f ca="1"/>
      </c>
      <c r="HB23">
        <f ca="1"/>
      </c>
      <c r="HC23">
        <f ca="1"/>
      </c>
      <c r="HD23">
        <f ca="1"/>
      </c>
      <c r="HE23">
        <f ca="1"/>
      </c>
      <c r="HF23">
        <f ca="1"/>
      </c>
      <c r="HG23">
        <f ca="1"/>
      </c>
      <c r="HH23">
        <f ca="1"/>
      </c>
      <c r="HI23">
        <f ca="1"/>
      </c>
      <c r="HJ23">
        <f ca="1"/>
      </c>
      <c r="HK23">
        <f ca="1"/>
      </c>
      <c r="HL23">
        <f ca="1"/>
      </c>
      <c r="HM23">
        <f ca="1"/>
      </c>
      <c r="HN23">
        <f ca="1"/>
      </c>
      <c r="HO23">
        <f ca="1"/>
      </c>
      <c r="HP23">
        <f ca="1"/>
      </c>
      <c r="HQ23">
        <f ca="1"/>
      </c>
      <c r="HR23">
        <f ca="1"/>
      </c>
      <c r="HS23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383</v>
      </c>
      <c r="B24" s="6" t="s">
        <v>374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F24">
        <f ca="1"/>
      </c>
      <c r="BG24">
        <f ca="1"/>
      </c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GX24">
        <f ca="1"/>
      </c>
      <c r="GY24">
        <f ca="1"/>
      </c>
      <c r="GZ24">
        <f ca="1"/>
      </c>
      <c r="HA24">
        <f ca="1"/>
      </c>
      <c r="HB24">
        <f ca="1"/>
      </c>
      <c r="HC24">
        <f ca="1"/>
      </c>
      <c r="HD24">
        <f ca="1"/>
      </c>
      <c r="HE24">
        <f ca="1"/>
      </c>
      <c r="HF24">
        <f ca="1"/>
      </c>
      <c r="HG24">
        <f ca="1"/>
      </c>
      <c r="HH24">
        <f ca="1"/>
      </c>
      <c r="HI24">
        <f ca="1"/>
      </c>
      <c r="HJ24">
        <f ca="1"/>
      </c>
      <c r="HK24">
        <f ca="1"/>
      </c>
      <c r="HL24">
        <f ca="1"/>
      </c>
      <c r="HM24">
        <f ca="1"/>
      </c>
      <c r="HN24">
        <f ca="1"/>
      </c>
      <c r="HO24">
        <f ca="1"/>
      </c>
      <c r="HP24">
        <f ca="1"/>
      </c>
      <c r="HQ24">
        <f ca="1"/>
      </c>
      <c r="HR24">
        <f ca="1"/>
      </c>
      <c r="HS24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384</v>
      </c>
      <c r="B25" s="6" t="s">
        <v>374</v>
      </c>
      <c r="C25" t="s">
        <v>27</v>
      </c>
      <c r="D25" s="6" t="s">
        <v>42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BF25">
        <f ca="1"/>
      </c>
      <c r="BG25">
        <f ca="1"/>
      </c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GX25">
        <f ca="1"/>
      </c>
      <c r="GY25">
        <f ca="1"/>
      </c>
      <c r="GZ25">
        <f ca="1"/>
      </c>
      <c r="HA25">
        <f ca="1"/>
      </c>
      <c r="HB25">
        <f ca="1"/>
      </c>
      <c r="HC25">
        <f ca="1"/>
      </c>
      <c r="HD25">
        <f ca="1"/>
      </c>
      <c r="HE25">
        <f ca="1"/>
      </c>
      <c r="HF25">
        <f ca="1"/>
      </c>
      <c r="HG25">
        <f ca="1"/>
      </c>
      <c r="HH25">
        <f ca="1"/>
      </c>
      <c r="HI25">
        <f ca="1"/>
      </c>
      <c r="HJ25">
        <f ca="1"/>
      </c>
      <c r="HK25">
        <f ca="1"/>
      </c>
      <c r="HL25">
        <f ca="1"/>
      </c>
      <c r="HM25">
        <f ca="1"/>
      </c>
      <c r="HN25">
        <f ca="1"/>
      </c>
      <c r="HO25">
        <f ca="1"/>
      </c>
      <c r="HP25">
        <f ca="1"/>
      </c>
      <c r="HQ25">
        <f ca="1"/>
      </c>
      <c r="HR25">
        <f ca="1"/>
      </c>
      <c r="HS25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385</v>
      </c>
      <c r="B26" s="6" t="s">
        <v>374</v>
      </c>
      <c r="C26" t="s">
        <v>28</v>
      </c>
      <c r="D26" s="6" t="s">
        <v>42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BF26">
        <f ca="1"/>
      </c>
      <c r="BG26">
        <f ca="1"/>
      </c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GX26">
        <f ca="1"/>
      </c>
      <c r="GY26">
        <f ca="1"/>
      </c>
      <c r="GZ26">
        <f ca="1"/>
      </c>
      <c r="HA26">
        <f ca="1"/>
      </c>
      <c r="HB26">
        <f ca="1"/>
      </c>
      <c r="HC26">
        <f ca="1"/>
      </c>
      <c r="HD26">
        <f ca="1"/>
      </c>
      <c r="HE26">
        <f ca="1"/>
      </c>
      <c r="HF26">
        <f ca="1"/>
      </c>
      <c r="HG26">
        <f ca="1"/>
      </c>
      <c r="HH26">
        <f ca="1"/>
      </c>
      <c r="HI26">
        <f ca="1"/>
      </c>
      <c r="HJ26">
        <f ca="1"/>
      </c>
      <c r="HK26">
        <f ca="1"/>
      </c>
      <c r="HL26">
        <f ca="1"/>
      </c>
      <c r="HM26">
        <f ca="1"/>
      </c>
      <c r="HN26">
        <f ca="1"/>
      </c>
      <c r="HO26">
        <f ca="1"/>
      </c>
      <c r="HP26">
        <f ca="1"/>
      </c>
      <c r="HQ26">
        <f ca="1"/>
      </c>
      <c r="HR26">
        <f ca="1"/>
      </c>
      <c r="HS26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386</v>
      </c>
      <c r="B27" s="6" t="s">
        <v>374</v>
      </c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BF27">
        <f ca="1"/>
      </c>
      <c r="BG27">
        <f ca="1"/>
      </c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GX27">
        <f ca="1"/>
      </c>
      <c r="GY27">
        <f ca="1"/>
      </c>
      <c r="GZ27">
        <f ca="1"/>
      </c>
      <c r="HA27">
        <f ca="1"/>
      </c>
      <c r="HB27">
        <f ca="1"/>
      </c>
      <c r="HC27">
        <f ca="1"/>
      </c>
      <c r="HD27">
        <f ca="1"/>
      </c>
      <c r="HE27">
        <f ca="1"/>
      </c>
      <c r="HF27">
        <f ca="1"/>
      </c>
      <c r="HG27">
        <f ca="1"/>
      </c>
      <c r="HH27">
        <f ca="1"/>
      </c>
      <c r="HI27">
        <f ca="1"/>
      </c>
      <c r="HJ27">
        <f ca="1"/>
      </c>
      <c r="HK27">
        <f ca="1"/>
      </c>
      <c r="HL27">
        <f ca="1"/>
      </c>
      <c r="HM27">
        <f ca="1"/>
      </c>
      <c r="HN27">
        <f ca="1"/>
      </c>
      <c r="HO27">
        <f ca="1"/>
      </c>
      <c r="HP27">
        <f ca="1"/>
      </c>
      <c r="HQ27">
        <f ca="1"/>
      </c>
      <c r="HR27">
        <f ca="1"/>
      </c>
      <c r="HS27">
        <f ca="1"/>
      </c>
      <c r="LA27">
        <f ca="1"/>
      </c>
      <c r="LB27">
        <f ca="1"/>
      </c>
      <c r="LC27">
        <f ca="1"/>
      </c>
    </row>
    <row r="28" spans="1:315" x14ac:dyDescent="0.55000000000000004">
      <c r="B28" s="6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F28">
        <f ca="1"/>
      </c>
      <c r="BG28">
        <f ca="1"/>
      </c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GX28">
        <f ca="1"/>
      </c>
      <c r="GY28">
        <f ca="1"/>
      </c>
      <c r="GZ28">
        <f ca="1"/>
      </c>
      <c r="HA28">
        <f ca="1"/>
      </c>
      <c r="HB28">
        <f ca="1"/>
      </c>
      <c r="HC28">
        <f ca="1"/>
      </c>
      <c r="HD28">
        <f ca="1"/>
      </c>
      <c r="HE28">
        <f ca="1"/>
      </c>
      <c r="HF28">
        <f ca="1"/>
      </c>
      <c r="HG28">
        <f ca="1"/>
      </c>
      <c r="HH28">
        <f ca="1"/>
      </c>
      <c r="HI28">
        <f ca="1"/>
      </c>
      <c r="HJ28">
        <f ca="1"/>
      </c>
      <c r="HK28">
        <f ca="1"/>
      </c>
      <c r="HL28">
        <f ca="1"/>
      </c>
      <c r="HM28">
        <f ca="1"/>
      </c>
      <c r="HN28">
        <f ca="1"/>
      </c>
      <c r="HO28">
        <f ca="1"/>
      </c>
      <c r="HP28">
        <f ca="1"/>
      </c>
      <c r="HQ28">
        <f ca="1"/>
      </c>
      <c r="HR28">
        <f ca="1"/>
      </c>
      <c r="HS28">
        <f ca="1"/>
      </c>
      <c r="LA28">
        <f ca="1"/>
      </c>
      <c r="LB28">
        <f ca="1"/>
      </c>
      <c r="LC28">
        <f ca="1"/>
      </c>
    </row>
    <row r="29" spans="1:315" x14ac:dyDescent="0.55000000000000004">
      <c r="B29" s="6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F29">
        <f ca="1"/>
      </c>
      <c r="BG29">
        <f ca="1"/>
      </c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GX29">
        <f ca="1"/>
      </c>
      <c r="GY29">
        <f ca="1"/>
      </c>
      <c r="GZ29">
        <f ca="1"/>
      </c>
      <c r="HA29">
        <f ca="1"/>
      </c>
      <c r="HB29">
        <f ca="1"/>
      </c>
      <c r="HC29">
        <f ca="1"/>
      </c>
      <c r="HD29">
        <f ca="1"/>
      </c>
      <c r="HE29">
        <f ca="1"/>
      </c>
      <c r="HF29">
        <f ca="1"/>
      </c>
      <c r="HG29">
        <f ca="1"/>
      </c>
      <c r="HH29">
        <f ca="1"/>
      </c>
      <c r="HI29">
        <f ca="1"/>
      </c>
      <c r="HJ29">
        <f ca="1"/>
      </c>
      <c r="HK29">
        <f ca="1"/>
      </c>
      <c r="HL29">
        <f ca="1"/>
      </c>
      <c r="HM29">
        <f ca="1"/>
      </c>
      <c r="HN29">
        <f ca="1"/>
      </c>
      <c r="HO29">
        <f ca="1"/>
      </c>
      <c r="HP29">
        <f ca="1"/>
      </c>
      <c r="HQ29">
        <f ca="1"/>
      </c>
      <c r="HR29">
        <f ca="1"/>
      </c>
      <c r="HS29">
        <f ca="1"/>
      </c>
      <c r="LA29">
        <f ca="1"/>
      </c>
      <c r="LB29">
        <f ca="1"/>
      </c>
      <c r="LC29">
        <f ca="1"/>
      </c>
    </row>
    <row r="30" spans="1:315" x14ac:dyDescent="0.55000000000000004">
      <c r="B30" s="6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F30">
        <f ca="1"/>
      </c>
      <c r="BG30">
        <f ca="1"/>
      </c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GX30">
        <f ca="1"/>
      </c>
      <c r="GY30">
        <f ca="1"/>
      </c>
      <c r="GZ30">
        <f ca="1"/>
      </c>
      <c r="HA30">
        <f ca="1"/>
      </c>
      <c r="HB30">
        <f ca="1"/>
      </c>
      <c r="HC30">
        <f ca="1"/>
      </c>
      <c r="HD30">
        <f ca="1"/>
      </c>
      <c r="HE30">
        <f ca="1"/>
      </c>
      <c r="HF30">
        <f ca="1"/>
      </c>
      <c r="HG30">
        <f ca="1"/>
      </c>
      <c r="HH30">
        <f ca="1"/>
      </c>
      <c r="HI30">
        <f ca="1"/>
      </c>
      <c r="HJ30">
        <f ca="1"/>
      </c>
      <c r="HK30">
        <f ca="1"/>
      </c>
      <c r="HL30">
        <f ca="1"/>
      </c>
      <c r="HM30">
        <f ca="1"/>
      </c>
      <c r="HN30">
        <f ca="1"/>
      </c>
      <c r="HO30">
        <f ca="1"/>
      </c>
      <c r="HP30">
        <f ca="1"/>
      </c>
      <c r="HQ30">
        <f ca="1"/>
      </c>
      <c r="HR30">
        <f ca="1"/>
      </c>
      <c r="HS30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F31">
        <f ca="1"/>
      </c>
      <c r="BG31">
        <f ca="1"/>
      </c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GX31">
        <f ca="1"/>
      </c>
      <c r="GY31">
        <f ca="1"/>
      </c>
      <c r="GZ31">
        <f ca="1"/>
      </c>
      <c r="HA31">
        <f ca="1"/>
      </c>
      <c r="HB31">
        <f ca="1"/>
      </c>
      <c r="HC31">
        <f ca="1"/>
      </c>
      <c r="HD31">
        <f ca="1"/>
      </c>
      <c r="HE31">
        <f ca="1"/>
      </c>
      <c r="HF31">
        <f ca="1"/>
      </c>
      <c r="HG31">
        <f ca="1"/>
      </c>
      <c r="HH31">
        <f ca="1"/>
      </c>
      <c r="HI31">
        <f ca="1"/>
      </c>
      <c r="HJ31">
        <f ca="1"/>
      </c>
      <c r="HK31">
        <f ca="1"/>
      </c>
      <c r="HL31">
        <f ca="1"/>
      </c>
      <c r="HM31">
        <f ca="1"/>
      </c>
      <c r="HN31">
        <f ca="1"/>
      </c>
      <c r="HO31">
        <f ca="1"/>
      </c>
      <c r="HP31">
        <f ca="1"/>
      </c>
      <c r="HQ31">
        <f ca="1"/>
      </c>
      <c r="HR31">
        <f ca="1"/>
      </c>
      <c r="HS31">
        <f ca="1"/>
      </c>
      <c r="LA31">
        <f ca="1"/>
      </c>
      <c r="LB31">
        <f ca="1"/>
      </c>
      <c r="LC31">
        <f ca="1"/>
      </c>
    </row>
    <row r="32" spans="1:315" x14ac:dyDescent="0.55000000000000004">
      <c r="BF32">
        <f ca="1"/>
      </c>
      <c r="BG32">
        <f ca="1"/>
      </c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GX32">
        <f ca="1"/>
      </c>
      <c r="GY32">
        <f ca="1"/>
      </c>
      <c r="GZ32">
        <f ca="1"/>
      </c>
      <c r="HA32">
        <f ca="1"/>
      </c>
      <c r="HB32">
        <f ca="1"/>
      </c>
      <c r="HC32">
        <f ca="1"/>
      </c>
      <c r="HD32">
        <f ca="1"/>
      </c>
      <c r="HE32">
        <f ca="1"/>
      </c>
      <c r="HF32">
        <f ca="1"/>
      </c>
      <c r="HG32">
        <f ca="1"/>
      </c>
      <c r="HH32">
        <f ca="1"/>
      </c>
      <c r="HI32">
        <f ca="1"/>
      </c>
      <c r="HJ32">
        <f ca="1"/>
      </c>
      <c r="HK32">
        <f ca="1"/>
      </c>
      <c r="HL32">
        <f ca="1"/>
      </c>
      <c r="HM32">
        <f ca="1"/>
      </c>
      <c r="HN32">
        <f ca="1"/>
      </c>
      <c r="HO32">
        <f ca="1"/>
      </c>
      <c r="HP32">
        <f ca="1"/>
      </c>
      <c r="HQ32">
        <f ca="1"/>
      </c>
      <c r="HR32">
        <f ca="1"/>
      </c>
      <c r="HS32">
        <f ca="1"/>
      </c>
      <c r="LA32">
        <f ca="1"/>
      </c>
      <c r="LB32">
        <f ca="1"/>
      </c>
      <c r="LC32">
        <f ca="1"/>
      </c>
    </row>
    <row r="33" spans="6:315" x14ac:dyDescent="0.55000000000000004">
      <c r="BF33">
        <f ca="1"/>
      </c>
      <c r="BG33">
        <f ca="1"/>
      </c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GX33">
        <f ca="1"/>
      </c>
      <c r="GY33">
        <f ca="1"/>
      </c>
      <c r="GZ33">
        <f ca="1"/>
      </c>
      <c r="HA33">
        <f ca="1"/>
      </c>
      <c r="HB33">
        <f ca="1"/>
      </c>
      <c r="HC33">
        <f ca="1"/>
      </c>
      <c r="HD33">
        <f ca="1"/>
      </c>
      <c r="HE33">
        <f ca="1"/>
      </c>
      <c r="HF33">
        <f ca="1"/>
      </c>
      <c r="HG33">
        <f ca="1"/>
      </c>
      <c r="HH33">
        <f ca="1"/>
      </c>
      <c r="HI33">
        <f ca="1"/>
      </c>
      <c r="HJ33">
        <f ca="1"/>
      </c>
      <c r="HK33">
        <f ca="1"/>
      </c>
      <c r="HL33">
        <f ca="1"/>
      </c>
      <c r="HM33">
        <f ca="1"/>
      </c>
      <c r="HN33">
        <f ca="1"/>
      </c>
      <c r="HO33">
        <f ca="1"/>
      </c>
      <c r="HP33">
        <f ca="1"/>
      </c>
      <c r="HQ33">
        <f ca="1"/>
      </c>
      <c r="HR33">
        <f ca="1"/>
      </c>
      <c r="HS33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243</v>
      </c>
      <c r="U34" s="4" t="s">
        <v>244</v>
      </c>
      <c r="BF34">
        <f ca="1"/>
      </c>
      <c r="BG34">
        <f ca="1"/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GX34">
        <f ca="1"/>
      </c>
      <c r="GY34">
        <f ca="1"/>
      </c>
      <c r="GZ34">
        <f ca="1"/>
      </c>
      <c r="HA34">
        <f ca="1"/>
      </c>
      <c r="HB34">
        <f ca="1"/>
      </c>
      <c r="HC34">
        <f ca="1"/>
      </c>
      <c r="HD34">
        <f ca="1"/>
      </c>
      <c r="HE34">
        <f ca="1"/>
      </c>
      <c r="HF34">
        <f ca="1"/>
      </c>
      <c r="HG34">
        <f ca="1"/>
      </c>
      <c r="HH34">
        <f ca="1"/>
      </c>
      <c r="HI34">
        <f ca="1"/>
      </c>
      <c r="HJ34">
        <f ca="1"/>
      </c>
      <c r="HK34">
        <f ca="1"/>
      </c>
      <c r="HL34">
        <f ca="1"/>
      </c>
      <c r="HM34">
        <f ca="1"/>
      </c>
      <c r="HN34">
        <f ca="1"/>
      </c>
      <c r="HO34">
        <f ca="1"/>
      </c>
      <c r="HP34">
        <f ca="1"/>
      </c>
      <c r="HQ34">
        <f ca="1"/>
      </c>
      <c r="HR34">
        <f ca="1"/>
      </c>
      <c r="HS34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240</v>
      </c>
      <c r="G35" cm="1">
        <f t="array" ref="G35:R35">TRANSPOSE(VOL_Tenors)</f>
      </c>
      <c r="U35" s="5" t="s">
        <v>240</v>
      </c>
      <c r="V35" cm="1">
        <f t="array" ref="V35:AG35">TRANSPOSE(VOL_Tenors)</f>
      </c>
      <c r="BF35">
        <f ca="1"/>
      </c>
      <c r="BG35">
        <f ca="1"/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GX35">
        <f ca="1"/>
      </c>
      <c r="GY35">
        <f ca="1"/>
      </c>
      <c r="GZ35">
        <f ca="1"/>
      </c>
      <c r="HA35">
        <f ca="1"/>
      </c>
      <c r="HB35">
        <f ca="1"/>
      </c>
      <c r="HC35">
        <f ca="1"/>
      </c>
      <c r="HD35">
        <f ca="1"/>
      </c>
      <c r="HE35">
        <f ca="1"/>
      </c>
      <c r="HF35">
        <f ca="1"/>
      </c>
      <c r="HG35">
        <f ca="1"/>
      </c>
      <c r="HH35">
        <f ca="1"/>
      </c>
      <c r="HI35">
        <f ca="1"/>
      </c>
      <c r="HJ35">
        <f ca="1"/>
      </c>
      <c r="HK35">
        <f ca="1"/>
      </c>
      <c r="HL35">
        <f ca="1"/>
      </c>
      <c r="HM35">
        <f ca="1"/>
      </c>
      <c r="HN35">
        <f ca="1"/>
      </c>
      <c r="HO35">
        <f ca="1"/>
      </c>
      <c r="HP35">
        <f ca="1"/>
      </c>
      <c r="HQ35">
        <f ca="1"/>
      </c>
      <c r="HR35">
        <f ca="1"/>
      </c>
      <c r="HS35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48">VOL_Expiries</f>
      </c>
      <c r="G36" s="14" cm="1">
        <f t="array" aca="1" ref="G36:R48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48">VOL_Expiries</f>
      </c>
      <c r="V36" s="14" cm="1">
        <f t="array" aca="1" ref="V36:AG48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F36">
        <f ca="1"/>
      </c>
      <c r="BG36">
        <f ca="1"/>
      </c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GX36">
        <f ca="1"/>
      </c>
      <c r="GY36">
        <f ca="1"/>
      </c>
      <c r="GZ36">
        <f ca="1"/>
      </c>
      <c r="HA36">
        <f ca="1"/>
      </c>
      <c r="HB36">
        <f ca="1"/>
      </c>
      <c r="HC36">
        <f ca="1"/>
      </c>
      <c r="HD36">
        <f ca="1"/>
      </c>
      <c r="HE36">
        <f ca="1"/>
      </c>
      <c r="HF36">
        <f ca="1"/>
      </c>
      <c r="HG36">
        <f ca="1"/>
      </c>
      <c r="HH36">
        <f ca="1"/>
      </c>
      <c r="HI36">
        <f ca="1"/>
      </c>
      <c r="HJ36">
        <f ca="1"/>
      </c>
      <c r="HK36">
        <f ca="1"/>
      </c>
      <c r="HL36">
        <f ca="1"/>
      </c>
      <c r="HM36">
        <f ca="1"/>
      </c>
      <c r="HN36">
        <f ca="1"/>
      </c>
      <c r="HO36">
        <f ca="1"/>
      </c>
      <c r="HP36">
        <f ca="1"/>
      </c>
      <c r="HQ36">
        <f ca="1"/>
      </c>
      <c r="HR36">
        <f ca="1"/>
      </c>
      <c r="HS36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F37">
        <f ca="1"/>
      </c>
      <c r="BG37">
        <f ca="1"/>
      </c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GX37">
        <f ca="1"/>
      </c>
      <c r="GY37">
        <f ca="1"/>
      </c>
      <c r="GZ37">
        <f ca="1"/>
      </c>
      <c r="HA37">
        <f ca="1"/>
      </c>
      <c r="HB37">
        <f ca="1"/>
      </c>
      <c r="HC37">
        <f ca="1"/>
      </c>
      <c r="HD37">
        <f ca="1"/>
      </c>
      <c r="HE37">
        <f ca="1"/>
      </c>
      <c r="HF37">
        <f ca="1"/>
      </c>
      <c r="HG37">
        <f ca="1"/>
      </c>
      <c r="HH37">
        <f ca="1"/>
      </c>
      <c r="HI37">
        <f ca="1"/>
      </c>
      <c r="HJ37">
        <f ca="1"/>
      </c>
      <c r="HK37">
        <f ca="1"/>
      </c>
      <c r="HL37">
        <f ca="1"/>
      </c>
      <c r="HM37">
        <f ca="1"/>
      </c>
      <c r="HN37">
        <f ca="1"/>
      </c>
      <c r="HO37">
        <f ca="1"/>
      </c>
      <c r="HP37">
        <f ca="1"/>
      </c>
      <c r="HQ37">
        <f ca="1"/>
      </c>
      <c r="HR37">
        <f ca="1"/>
      </c>
      <c r="HS37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F38">
        <f ca="1"/>
      </c>
      <c r="BG38">
        <f ca="1"/>
      </c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GX38">
        <f ca="1"/>
      </c>
      <c r="GY38">
        <f ca="1"/>
      </c>
      <c r="GZ38">
        <f ca="1"/>
      </c>
      <c r="HA38">
        <f ca="1"/>
      </c>
      <c r="HB38">
        <f ca="1"/>
      </c>
      <c r="HC38">
        <f ca="1"/>
      </c>
      <c r="HD38">
        <f ca="1"/>
      </c>
      <c r="HE38">
        <f ca="1"/>
      </c>
      <c r="HF38">
        <f ca="1"/>
      </c>
      <c r="HG38">
        <f ca="1"/>
      </c>
      <c r="HH38">
        <f ca="1"/>
      </c>
      <c r="HI38">
        <f ca="1"/>
      </c>
      <c r="HJ38">
        <f ca="1"/>
      </c>
      <c r="HK38">
        <f ca="1"/>
      </c>
      <c r="HL38">
        <f ca="1"/>
      </c>
      <c r="HM38">
        <f ca="1"/>
      </c>
      <c r="HN38">
        <f ca="1"/>
      </c>
      <c r="HO38">
        <f ca="1"/>
      </c>
      <c r="HP38">
        <f ca="1"/>
      </c>
      <c r="HQ38">
        <f ca="1"/>
      </c>
      <c r="HR38">
        <f ca="1"/>
      </c>
      <c r="HS38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F39">
        <f ca="1"/>
      </c>
      <c r="BG39">
        <f ca="1"/>
      </c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GX39">
        <f ca="1"/>
      </c>
      <c r="GY39">
        <f ca="1"/>
      </c>
      <c r="GZ39">
        <f ca="1"/>
      </c>
      <c r="HA39">
        <f ca="1"/>
      </c>
      <c r="HB39">
        <f ca="1"/>
      </c>
      <c r="HC39">
        <f ca="1"/>
      </c>
      <c r="HD39">
        <f ca="1"/>
      </c>
      <c r="HE39">
        <f ca="1"/>
      </c>
      <c r="HF39">
        <f ca="1"/>
      </c>
      <c r="HG39">
        <f ca="1"/>
      </c>
      <c r="HH39">
        <f ca="1"/>
      </c>
      <c r="HI39">
        <f ca="1"/>
      </c>
      <c r="HJ39">
        <f ca="1"/>
      </c>
      <c r="HK39">
        <f ca="1"/>
      </c>
      <c r="HL39">
        <f ca="1"/>
      </c>
      <c r="HM39">
        <f ca="1"/>
      </c>
      <c r="HN39">
        <f ca="1"/>
      </c>
      <c r="HO39">
        <f ca="1"/>
      </c>
      <c r="HP39">
        <f ca="1"/>
      </c>
      <c r="HQ39">
        <f ca="1"/>
      </c>
      <c r="HR39">
        <f ca="1"/>
      </c>
      <c r="HS39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F40">
        <f ca="1"/>
      </c>
      <c r="BG40">
        <f ca="1"/>
      </c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GX40">
        <f ca="1"/>
      </c>
      <c r="GY40">
        <f ca="1"/>
      </c>
      <c r="GZ40">
        <f ca="1"/>
      </c>
      <c r="HA40">
        <f ca="1"/>
      </c>
      <c r="HB40">
        <f ca="1"/>
      </c>
      <c r="HC40">
        <f ca="1"/>
      </c>
      <c r="HD40">
        <f ca="1"/>
      </c>
      <c r="HE40">
        <f ca="1"/>
      </c>
      <c r="HF40">
        <f ca="1"/>
      </c>
      <c r="HG40">
        <f ca="1"/>
      </c>
      <c r="HH40">
        <f ca="1"/>
      </c>
      <c r="HI40">
        <f ca="1"/>
      </c>
      <c r="HJ40">
        <f ca="1"/>
      </c>
      <c r="HK40">
        <f ca="1"/>
      </c>
      <c r="HL40">
        <f ca="1"/>
      </c>
      <c r="HM40">
        <f ca="1"/>
      </c>
      <c r="HN40">
        <f ca="1"/>
      </c>
      <c r="HO40">
        <f ca="1"/>
      </c>
      <c r="HP40">
        <f ca="1"/>
      </c>
      <c r="HQ40">
        <f ca="1"/>
      </c>
      <c r="HR40">
        <f ca="1"/>
      </c>
      <c r="HS40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F41">
        <f ca="1"/>
      </c>
      <c r="BG41">
        <f ca="1"/>
      </c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GX41">
        <f ca="1"/>
      </c>
      <c r="GY41">
        <f ca="1"/>
      </c>
      <c r="GZ41">
        <f ca="1"/>
      </c>
      <c r="HA41">
        <f ca="1"/>
      </c>
      <c r="HB41">
        <f ca="1"/>
      </c>
      <c r="HC41">
        <f ca="1"/>
      </c>
      <c r="HD41">
        <f ca="1"/>
      </c>
      <c r="HE41">
        <f ca="1"/>
      </c>
      <c r="HF41">
        <f ca="1"/>
      </c>
      <c r="HG41">
        <f ca="1"/>
      </c>
      <c r="HH41">
        <f ca="1"/>
      </c>
      <c r="HI41">
        <f ca="1"/>
      </c>
      <c r="HJ41">
        <f ca="1"/>
      </c>
      <c r="HK41">
        <f ca="1"/>
      </c>
      <c r="HL41">
        <f ca="1"/>
      </c>
      <c r="HM41">
        <f ca="1"/>
      </c>
      <c r="HN41">
        <f ca="1"/>
      </c>
      <c r="HO41">
        <f ca="1"/>
      </c>
      <c r="HP41">
        <f ca="1"/>
      </c>
      <c r="HQ41">
        <f ca="1"/>
      </c>
      <c r="HR41">
        <f ca="1"/>
      </c>
      <c r="HS4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F42">
        <f ca="1"/>
      </c>
      <c r="BG42">
        <f ca="1"/>
      </c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GX42">
        <f ca="1"/>
      </c>
      <c r="GY42">
        <f ca="1"/>
      </c>
      <c r="GZ42">
        <f ca="1"/>
      </c>
      <c r="HA42">
        <f ca="1"/>
      </c>
      <c r="HB42">
        <f ca="1"/>
      </c>
      <c r="HC42">
        <f ca="1"/>
      </c>
      <c r="HD42">
        <f ca="1"/>
      </c>
      <c r="HE42">
        <f ca="1"/>
      </c>
      <c r="HF42">
        <f ca="1"/>
      </c>
      <c r="HG42">
        <f ca="1"/>
      </c>
      <c r="HH42">
        <f ca="1"/>
      </c>
      <c r="HI42">
        <f ca="1"/>
      </c>
      <c r="HJ42">
        <f ca="1"/>
      </c>
      <c r="HK42">
        <f ca="1"/>
      </c>
      <c r="HL42">
        <f ca="1"/>
      </c>
      <c r="HM42">
        <f ca="1"/>
      </c>
      <c r="HN42">
        <f ca="1"/>
      </c>
      <c r="HO42">
        <f ca="1"/>
      </c>
      <c r="HP42">
        <f ca="1"/>
      </c>
      <c r="HQ42">
        <f ca="1"/>
      </c>
      <c r="HR42">
        <f ca="1"/>
      </c>
      <c r="HS42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F43">
        <f ca="1"/>
      </c>
      <c r="BG43">
        <f ca="1"/>
      </c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GX43">
        <f ca="1"/>
      </c>
      <c r="GY43">
        <f ca="1"/>
      </c>
      <c r="GZ43">
        <f ca="1"/>
      </c>
      <c r="HA43">
        <f ca="1"/>
      </c>
      <c r="HB43">
        <f ca="1"/>
      </c>
      <c r="HC43">
        <f ca="1"/>
      </c>
      <c r="HD43">
        <f ca="1"/>
      </c>
      <c r="HE43">
        <f ca="1"/>
      </c>
      <c r="HF43">
        <f ca="1"/>
      </c>
      <c r="HG43">
        <f ca="1"/>
      </c>
      <c r="HH43">
        <f ca="1"/>
      </c>
      <c r="HI43">
        <f ca="1"/>
      </c>
      <c r="HJ43">
        <f ca="1"/>
      </c>
      <c r="HK43">
        <f ca="1"/>
      </c>
      <c r="HL43">
        <f ca="1"/>
      </c>
      <c r="HM43">
        <f ca="1"/>
      </c>
      <c r="HN43">
        <f ca="1"/>
      </c>
      <c r="HO43">
        <f ca="1"/>
      </c>
      <c r="HP43">
        <f ca="1"/>
      </c>
      <c r="HQ43">
        <f ca="1"/>
      </c>
      <c r="HR43">
        <f ca="1"/>
      </c>
      <c r="HS43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F44">
        <f ca="1"/>
      </c>
      <c r="BG44">
        <f ca="1"/>
      </c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GX44">
        <f ca="1"/>
      </c>
      <c r="GY44">
        <f ca="1"/>
      </c>
      <c r="GZ44">
        <f ca="1"/>
      </c>
      <c r="HA44">
        <f ca="1"/>
      </c>
      <c r="HB44">
        <f ca="1"/>
      </c>
      <c r="HC44">
        <f ca="1"/>
      </c>
      <c r="HD44">
        <f ca="1"/>
      </c>
      <c r="HE44">
        <f ca="1"/>
      </c>
      <c r="HF44">
        <f ca="1"/>
      </c>
      <c r="HG44">
        <f ca="1"/>
      </c>
      <c r="HH44">
        <f ca="1"/>
      </c>
      <c r="HI44">
        <f ca="1"/>
      </c>
      <c r="HJ44">
        <f ca="1"/>
      </c>
      <c r="HK44">
        <f ca="1"/>
      </c>
      <c r="HL44">
        <f ca="1"/>
      </c>
      <c r="HM44">
        <f ca="1"/>
      </c>
      <c r="HN44">
        <f ca="1"/>
      </c>
      <c r="HO44">
        <f ca="1"/>
      </c>
      <c r="HP44">
        <f ca="1"/>
      </c>
      <c r="HQ44">
        <f ca="1"/>
      </c>
      <c r="HR44">
        <f ca="1"/>
      </c>
      <c r="HS44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F45">
        <f ca="1"/>
      </c>
      <c r="BG45">
        <f ca="1"/>
      </c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GX45">
        <f ca="1"/>
      </c>
      <c r="GY45">
        <f ca="1"/>
      </c>
      <c r="GZ45">
        <f ca="1"/>
      </c>
      <c r="HA45">
        <f ca="1"/>
      </c>
      <c r="HB45">
        <f ca="1"/>
      </c>
      <c r="HC45">
        <f ca="1"/>
      </c>
      <c r="HD45">
        <f ca="1"/>
      </c>
      <c r="HE45">
        <f ca="1"/>
      </c>
      <c r="HF45">
        <f ca="1"/>
      </c>
      <c r="HG45">
        <f ca="1"/>
      </c>
      <c r="HH45">
        <f ca="1"/>
      </c>
      <c r="HI45">
        <f ca="1"/>
      </c>
      <c r="HJ45">
        <f ca="1"/>
      </c>
      <c r="HK45">
        <f ca="1"/>
      </c>
      <c r="HL45">
        <f ca="1"/>
      </c>
      <c r="HM45">
        <f ca="1"/>
      </c>
      <c r="HN45">
        <f ca="1"/>
      </c>
      <c r="HO45">
        <f ca="1"/>
      </c>
      <c r="HP45">
        <f ca="1"/>
      </c>
      <c r="HQ45">
        <f ca="1"/>
      </c>
      <c r="HR45">
        <f ca="1"/>
      </c>
      <c r="HS45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F46">
        <f ca="1"/>
      </c>
      <c r="BG46">
        <f ca="1"/>
      </c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GX46">
        <f ca="1"/>
      </c>
      <c r="GY46">
        <f ca="1"/>
      </c>
      <c r="GZ46">
        <f ca="1"/>
      </c>
      <c r="HA46">
        <f ca="1"/>
      </c>
      <c r="HB46">
        <f ca="1"/>
      </c>
      <c r="HC46">
        <f ca="1"/>
      </c>
      <c r="HD46">
        <f ca="1"/>
      </c>
      <c r="HE46">
        <f ca="1"/>
      </c>
      <c r="HF46">
        <f ca="1"/>
      </c>
      <c r="HG46">
        <f ca="1"/>
      </c>
      <c r="HH46">
        <f ca="1"/>
      </c>
      <c r="HI46">
        <f ca="1"/>
      </c>
      <c r="HJ46">
        <f ca="1"/>
      </c>
      <c r="HK46">
        <f ca="1"/>
      </c>
      <c r="HL46">
        <f ca="1"/>
      </c>
      <c r="HM46">
        <f ca="1"/>
      </c>
      <c r="HN46">
        <f ca="1"/>
      </c>
      <c r="HO46">
        <f ca="1"/>
      </c>
      <c r="HP46">
        <f ca="1"/>
      </c>
      <c r="HQ46">
        <f ca="1"/>
      </c>
      <c r="HR46">
        <f ca="1"/>
      </c>
      <c r="HS46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F47">
        <f ca="1"/>
      </c>
      <c r="BG47">
        <f ca="1"/>
      </c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GX47">
        <f ca="1"/>
      </c>
      <c r="GY47">
        <f ca="1"/>
      </c>
      <c r="GZ47">
        <f ca="1"/>
      </c>
      <c r="HA47">
        <f ca="1"/>
      </c>
      <c r="HB47">
        <f ca="1"/>
      </c>
      <c r="HC47">
        <f ca="1"/>
      </c>
      <c r="HD47">
        <f ca="1"/>
      </c>
      <c r="HE47">
        <f ca="1"/>
      </c>
      <c r="HF47">
        <f ca="1"/>
      </c>
      <c r="HG47">
        <f ca="1"/>
      </c>
      <c r="HH47">
        <f ca="1"/>
      </c>
      <c r="HI47">
        <f ca="1"/>
      </c>
      <c r="HJ47">
        <f ca="1"/>
      </c>
      <c r="HK47">
        <f ca="1"/>
      </c>
      <c r="HL47">
        <f ca="1"/>
      </c>
      <c r="HM47">
        <f ca="1"/>
      </c>
      <c r="HN47">
        <f ca="1"/>
      </c>
      <c r="HO47">
        <f ca="1"/>
      </c>
      <c r="HP47">
        <f ca="1"/>
      </c>
      <c r="HQ47">
        <f ca="1"/>
      </c>
      <c r="HR47">
        <f ca="1"/>
      </c>
      <c r="HS47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F48">
        <f ca="1"/>
      </c>
      <c r="BG48">
        <f ca="1"/>
      </c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GX48">
        <f ca="1"/>
      </c>
      <c r="GY48">
        <f ca="1"/>
      </c>
      <c r="GZ48">
        <f ca="1"/>
      </c>
      <c r="HA48">
        <f ca="1"/>
      </c>
      <c r="HB48">
        <f ca="1"/>
      </c>
      <c r="HC48">
        <f ca="1"/>
      </c>
      <c r="HD48">
        <f ca="1"/>
      </c>
      <c r="HE48">
        <f ca="1"/>
      </c>
      <c r="HF48">
        <f ca="1"/>
      </c>
      <c r="HG48">
        <f ca="1"/>
      </c>
      <c r="HH48">
        <f ca="1"/>
      </c>
      <c r="HI48">
        <f ca="1"/>
      </c>
      <c r="HJ48">
        <f ca="1"/>
      </c>
      <c r="HK48">
        <f ca="1"/>
      </c>
      <c r="HL48">
        <f ca="1"/>
      </c>
      <c r="HM48">
        <f ca="1"/>
      </c>
      <c r="HN48">
        <f ca="1"/>
      </c>
      <c r="HO48">
        <f ca="1"/>
      </c>
      <c r="HP48">
        <f ca="1"/>
      </c>
      <c r="HQ48">
        <f ca="1"/>
      </c>
      <c r="HR48">
        <f ca="1"/>
      </c>
      <c r="HS48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BF49">
        <f ca="1"/>
      </c>
      <c r="BG49">
        <f ca="1"/>
      </c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GX49">
        <f ca="1"/>
      </c>
      <c r="GY49">
        <f ca="1"/>
      </c>
      <c r="GZ49">
        <f ca="1"/>
      </c>
      <c r="HA49">
        <f ca="1"/>
      </c>
      <c r="HB49">
        <f ca="1"/>
      </c>
      <c r="HC49">
        <f ca="1"/>
      </c>
      <c r="HD49">
        <f ca="1"/>
      </c>
      <c r="HE49">
        <f ca="1"/>
      </c>
      <c r="HF49">
        <f ca="1"/>
      </c>
      <c r="HG49">
        <f ca="1"/>
      </c>
      <c r="HH49">
        <f ca="1"/>
      </c>
      <c r="HI49">
        <f ca="1"/>
      </c>
      <c r="HJ49">
        <f ca="1"/>
      </c>
      <c r="HK49">
        <f ca="1"/>
      </c>
      <c r="HL49">
        <f ca="1"/>
      </c>
      <c r="HM49">
        <f ca="1"/>
      </c>
      <c r="HN49">
        <f ca="1"/>
      </c>
      <c r="HO49">
        <f ca="1"/>
      </c>
      <c r="HP49">
        <f ca="1"/>
      </c>
      <c r="HQ49">
        <f ca="1"/>
      </c>
      <c r="HR49">
        <f ca="1"/>
      </c>
      <c r="HS49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BF50">
        <f ca="1"/>
      </c>
      <c r="BG50">
        <f ca="1"/>
      </c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GX50">
        <f ca="1"/>
      </c>
      <c r="GY50">
        <f ca="1"/>
      </c>
      <c r="GZ50">
        <f ca="1"/>
      </c>
      <c r="HA50">
        <f ca="1"/>
      </c>
      <c r="HB50">
        <f ca="1"/>
      </c>
      <c r="HC50">
        <f ca="1"/>
      </c>
      <c r="HD50">
        <f ca="1"/>
      </c>
      <c r="HE50">
        <f ca="1"/>
      </c>
      <c r="HF50">
        <f ca="1"/>
      </c>
      <c r="HG50">
        <f ca="1"/>
      </c>
      <c r="HH50">
        <f ca="1"/>
      </c>
      <c r="HI50">
        <f ca="1"/>
      </c>
      <c r="HJ50">
        <f ca="1"/>
      </c>
      <c r="HK50">
        <f ca="1"/>
      </c>
      <c r="HL50">
        <f ca="1"/>
      </c>
      <c r="HM50">
        <f ca="1"/>
      </c>
      <c r="HN50">
        <f ca="1"/>
      </c>
      <c r="HO50">
        <f ca="1"/>
      </c>
      <c r="HP50">
        <f ca="1"/>
      </c>
      <c r="HQ50">
        <f ca="1"/>
      </c>
      <c r="HR50">
        <f ca="1"/>
      </c>
      <c r="HS50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BF51">
        <f ca="1"/>
      </c>
      <c r="BG51">
        <f ca="1"/>
      </c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GX51">
        <f ca="1"/>
      </c>
      <c r="GY51">
        <f ca="1"/>
      </c>
      <c r="GZ51">
        <f ca="1"/>
      </c>
      <c r="HA51">
        <f ca="1"/>
      </c>
      <c r="HB51">
        <f ca="1"/>
      </c>
      <c r="HC51">
        <f ca="1"/>
      </c>
      <c r="HD51">
        <f ca="1"/>
      </c>
      <c r="HE51">
        <f ca="1"/>
      </c>
      <c r="HF51">
        <f ca="1"/>
      </c>
      <c r="HG51">
        <f ca="1"/>
      </c>
      <c r="HH51">
        <f ca="1"/>
      </c>
      <c r="HI51">
        <f ca="1"/>
      </c>
      <c r="HJ51">
        <f ca="1"/>
      </c>
      <c r="HK51">
        <f ca="1"/>
      </c>
      <c r="HL51">
        <f ca="1"/>
      </c>
      <c r="HM51">
        <f ca="1"/>
      </c>
      <c r="HN51">
        <f ca="1"/>
      </c>
      <c r="HO51">
        <f ca="1"/>
      </c>
      <c r="HP51">
        <f ca="1"/>
      </c>
      <c r="HQ51">
        <f ca="1"/>
      </c>
      <c r="HR51">
        <f ca="1"/>
      </c>
      <c r="HS5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F52">
        <f ca="1"/>
      </c>
      <c r="BG52">
        <f ca="1"/>
      </c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GX52">
        <f ca="1"/>
      </c>
      <c r="GY52">
        <f ca="1"/>
      </c>
      <c r="GZ52">
        <f ca="1"/>
      </c>
      <c r="HA52">
        <f ca="1"/>
      </c>
      <c r="HB52">
        <f ca="1"/>
      </c>
      <c r="HC52">
        <f ca="1"/>
      </c>
      <c r="HD52">
        <f ca="1"/>
      </c>
      <c r="HE52">
        <f ca="1"/>
      </c>
      <c r="HF52">
        <f ca="1"/>
      </c>
      <c r="HG52">
        <f ca="1"/>
      </c>
      <c r="HH52">
        <f ca="1"/>
      </c>
      <c r="HI52">
        <f ca="1"/>
      </c>
      <c r="HJ52">
        <f ca="1"/>
      </c>
      <c r="HK52">
        <f ca="1"/>
      </c>
      <c r="HL52">
        <f ca="1"/>
      </c>
      <c r="HM52">
        <f ca="1"/>
      </c>
      <c r="HN52">
        <f ca="1"/>
      </c>
      <c r="HO52">
        <f ca="1"/>
      </c>
      <c r="HP52">
        <f ca="1"/>
      </c>
      <c r="HQ52">
        <f ca="1"/>
      </c>
      <c r="HR52">
        <f ca="1"/>
      </c>
      <c r="HS52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F53">
        <f ca="1"/>
      </c>
      <c r="BG53">
        <f ca="1"/>
      </c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GX53">
        <f ca="1"/>
      </c>
      <c r="GY53">
        <f ca="1"/>
      </c>
      <c r="GZ53">
        <f ca="1"/>
      </c>
      <c r="HA53">
        <f ca="1"/>
      </c>
      <c r="HB53">
        <f ca="1"/>
      </c>
      <c r="HC53">
        <f ca="1"/>
      </c>
      <c r="HD53">
        <f ca="1"/>
      </c>
      <c r="HE53">
        <f ca="1"/>
      </c>
      <c r="HF53">
        <f ca="1"/>
      </c>
      <c r="HG53">
        <f ca="1"/>
      </c>
      <c r="HH53">
        <f ca="1"/>
      </c>
      <c r="HI53">
        <f ca="1"/>
      </c>
      <c r="HJ53">
        <f ca="1"/>
      </c>
      <c r="HK53">
        <f ca="1"/>
      </c>
      <c r="HL53">
        <f ca="1"/>
      </c>
      <c r="HM53">
        <f ca="1"/>
      </c>
      <c r="HN53">
        <f ca="1"/>
      </c>
      <c r="HO53">
        <f ca="1"/>
      </c>
      <c r="HP53">
        <f ca="1"/>
      </c>
      <c r="HQ53">
        <f ca="1"/>
      </c>
      <c r="HR53">
        <f ca="1"/>
      </c>
      <c r="HS53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F54">
        <f ca="1"/>
      </c>
      <c r="BG54">
        <f ca="1"/>
      </c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GX54">
        <f ca="1"/>
      </c>
      <c r="GY54">
        <f ca="1"/>
      </c>
      <c r="GZ54">
        <f ca="1"/>
      </c>
      <c r="HA54">
        <f ca="1"/>
      </c>
      <c r="HB54">
        <f ca="1"/>
      </c>
      <c r="HC54">
        <f ca="1"/>
      </c>
      <c r="HD54">
        <f ca="1"/>
      </c>
      <c r="HE54">
        <f ca="1"/>
      </c>
      <c r="HF54">
        <f ca="1"/>
      </c>
      <c r="HG54">
        <f ca="1"/>
      </c>
      <c r="HH54">
        <f ca="1"/>
      </c>
      <c r="HI54">
        <f ca="1"/>
      </c>
      <c r="HJ54">
        <f ca="1"/>
      </c>
      <c r="HK54">
        <f ca="1"/>
      </c>
      <c r="HL54">
        <f ca="1"/>
      </c>
      <c r="HM54">
        <f ca="1"/>
      </c>
      <c r="HN54">
        <f ca="1"/>
      </c>
      <c r="HO54">
        <f ca="1"/>
      </c>
      <c r="HP54">
        <f ca="1"/>
      </c>
      <c r="HQ54">
        <f ca="1"/>
      </c>
      <c r="HR54">
        <f ca="1"/>
      </c>
      <c r="HS54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F55">
        <f ca="1"/>
      </c>
      <c r="BG55">
        <f ca="1"/>
      </c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GX55">
        <f ca="1"/>
      </c>
      <c r="GY55">
        <f ca="1"/>
      </c>
      <c r="GZ55">
        <f ca="1"/>
      </c>
      <c r="HA55">
        <f ca="1"/>
      </c>
      <c r="HB55">
        <f ca="1"/>
      </c>
      <c r="HC55">
        <f ca="1"/>
      </c>
      <c r="HD55">
        <f ca="1"/>
      </c>
      <c r="HE55">
        <f ca="1"/>
      </c>
      <c r="HF55">
        <f ca="1"/>
      </c>
      <c r="HG55">
        <f ca="1"/>
      </c>
      <c r="HH55">
        <f ca="1"/>
      </c>
      <c r="HI55">
        <f ca="1"/>
      </c>
      <c r="HJ55">
        <f ca="1"/>
      </c>
      <c r="HK55">
        <f ca="1"/>
      </c>
      <c r="HL55">
        <f ca="1"/>
      </c>
      <c r="HM55">
        <f ca="1"/>
      </c>
      <c r="HN55">
        <f ca="1"/>
      </c>
      <c r="HO55">
        <f ca="1"/>
      </c>
      <c r="HP55">
        <f ca="1"/>
      </c>
      <c r="HQ55">
        <f ca="1"/>
      </c>
      <c r="HR55">
        <f ca="1"/>
      </c>
      <c r="HS55">
        <f ca="1"/>
      </c>
      <c r="LA55">
        <f ca="1"/>
      </c>
      <c r="LB55">
        <f ca="1"/>
      </c>
      <c r="LC55">
        <f ca="1"/>
      </c>
    </row>
    <row r="56" spans="6:315" x14ac:dyDescent="0.55000000000000004">
      <c r="BF56">
        <f ca="1"/>
      </c>
      <c r="BG56">
        <f ca="1"/>
      </c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C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R56">
        <f ca="1"/>
      </c>
      <c r="HS56">
        <f ca="1"/>
      </c>
      <c r="LA56">
        <f ca="1"/>
      </c>
      <c r="LB56">
        <f ca="1"/>
      </c>
      <c r="LC56">
        <f ca="1"/>
      </c>
    </row>
    <row r="57" spans="6:315" x14ac:dyDescent="0.55000000000000004">
      <c r="BF57">
        <f ca="1"/>
      </c>
      <c r="BG57">
        <f ca="1"/>
      </c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C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R57">
        <f ca="1"/>
      </c>
      <c r="HS57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245</v>
      </c>
      <c r="U58" s="4" t="s">
        <v>246</v>
      </c>
      <c r="AJ58" s="4" t="s">
        <v>247</v>
      </c>
      <c r="BF58">
        <f ca="1"/>
      </c>
      <c r="BG58">
        <f ca="1"/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C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R58">
        <f ca="1"/>
      </c>
      <c r="HS58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240</v>
      </c>
      <c r="G59" cm="1">
        <f t="array" ref="G59:R59">TRANSPOSE(VOL_Tenors)</f>
      </c>
      <c r="U59" s="5" t="s">
        <v>240</v>
      </c>
      <c r="V59" cm="1">
        <f t="array" ref="V59:AG59">TRANSPOSE(VOL_Tenors)</f>
      </c>
      <c r="AJ59" s="5" t="s">
        <v>240</v>
      </c>
      <c r="AK59" cm="1">
        <f t="array" ref="AK59:AV59">TRANSPOSE(VOL_Tenors)</f>
      </c>
      <c r="BF59">
        <f ca="1"/>
      </c>
      <c r="BG59">
        <f ca="1"/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C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R59">
        <f ca="1"/>
      </c>
      <c r="HS59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2">VOL_Expiries</f>
      </c>
      <c r="G60" s="13" cm="1">
        <f t="array" aca="1" ref="G60:R72" ca="1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ref="U60:U72">VOL_Expiries</f>
      </c>
      <c r="V60" s="13" cm="1">
        <f t="array" aca="1" ref="V60:AG72" ca="1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ref="AJ60:AJ72">VOL_Expiries</f>
      </c>
      <c r="AK60" s="13" cm="1">
        <f t="array" aca="1" ref="AK60:AV72" ca="1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F60">
        <f ca="1"/>
      </c>
      <c r="BG60">
        <f ca="1"/>
      </c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C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R60">
        <f ca="1"/>
      </c>
      <c r="HS60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/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/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F61">
        <f ca="1"/>
      </c>
      <c r="BG61">
        <f ca="1"/>
      </c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C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R61">
        <f ca="1"/>
      </c>
      <c r="HS6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/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/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F62">
        <f ca="1"/>
      </c>
      <c r="BG62">
        <f ca="1"/>
      </c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C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R62">
        <f ca="1"/>
      </c>
      <c r="HS62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/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/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F63">
        <f ca="1"/>
      </c>
      <c r="BG63">
        <f ca="1"/>
      </c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C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R63">
        <f ca="1"/>
      </c>
      <c r="HS63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/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/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F64">
        <f ca="1"/>
      </c>
      <c r="BG64">
        <f ca="1"/>
      </c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C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R64">
        <f ca="1"/>
      </c>
      <c r="HS64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/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/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F65">
        <f ca="1"/>
      </c>
      <c r="BG65">
        <f ca="1"/>
      </c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C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R65">
        <f ca="1"/>
      </c>
      <c r="HS65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/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/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F66">
        <f ca="1"/>
      </c>
      <c r="BG66">
        <f ca="1"/>
      </c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C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R66">
        <f ca="1"/>
      </c>
      <c r="HS66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/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/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F67">
        <f ca="1"/>
      </c>
      <c r="BG67">
        <f ca="1"/>
      </c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C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R67">
        <f ca="1"/>
      </c>
      <c r="HS67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/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/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F68">
        <f ca="1"/>
      </c>
      <c r="BG68">
        <f ca="1"/>
      </c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C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R68">
        <f ca="1"/>
      </c>
      <c r="HS68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/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/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F69">
        <f ca="1"/>
      </c>
      <c r="BG69">
        <f ca="1"/>
      </c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C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R69">
        <f ca="1"/>
      </c>
      <c r="HS69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/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/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F70">
        <f ca="1"/>
      </c>
      <c r="BG70">
        <f ca="1"/>
      </c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C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R70">
        <f ca="1"/>
      </c>
      <c r="HS70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/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/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F71">
        <f ca="1"/>
      </c>
      <c r="BG71">
        <f ca="1"/>
      </c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C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R71">
        <f ca="1"/>
      </c>
      <c r="HS7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/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/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F72">
        <f ca="1"/>
      </c>
      <c r="BG72">
        <f ca="1"/>
      </c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C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R72">
        <f ca="1"/>
      </c>
      <c r="HS72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F73">
        <f ca="1"/>
      </c>
      <c r="BG73">
        <f ca="1"/>
      </c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GX73">
        <f ca="1"/>
      </c>
      <c r="GY73">
        <f ca="1"/>
      </c>
      <c r="GZ73">
        <f ca="1"/>
      </c>
      <c r="HA73">
        <f ca="1"/>
      </c>
      <c r="HB73">
        <f ca="1"/>
      </c>
      <c r="HC73">
        <f ca="1"/>
      </c>
      <c r="HD73">
        <f ca="1"/>
      </c>
      <c r="HE73">
        <f ca="1"/>
      </c>
      <c r="HF73">
        <f ca="1"/>
      </c>
      <c r="HG73">
        <f ca="1"/>
      </c>
      <c r="HH73">
        <f ca="1"/>
      </c>
      <c r="HI73">
        <f ca="1"/>
      </c>
      <c r="HJ73">
        <f ca="1"/>
      </c>
      <c r="HK73">
        <f ca="1"/>
      </c>
      <c r="HL73">
        <f ca="1"/>
      </c>
      <c r="HM73">
        <f ca="1"/>
      </c>
      <c r="HN73">
        <f ca="1"/>
      </c>
      <c r="HO73">
        <f ca="1"/>
      </c>
      <c r="HP73">
        <f ca="1"/>
      </c>
      <c r="HQ73">
        <f ca="1"/>
      </c>
      <c r="HR73">
        <f ca="1"/>
      </c>
      <c r="HS73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F74">
        <f ca="1"/>
      </c>
      <c r="BG74">
        <f ca="1"/>
      </c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GX74">
        <f ca="1"/>
      </c>
      <c r="GY74">
        <f ca="1"/>
      </c>
      <c r="GZ74">
        <f ca="1"/>
      </c>
      <c r="HA74">
        <f ca="1"/>
      </c>
      <c r="HB74">
        <f ca="1"/>
      </c>
      <c r="HC74">
        <f ca="1"/>
      </c>
      <c r="HD74">
        <f ca="1"/>
      </c>
      <c r="HE74">
        <f ca="1"/>
      </c>
      <c r="HF74">
        <f ca="1"/>
      </c>
      <c r="HG74">
        <f ca="1"/>
      </c>
      <c r="HH74">
        <f ca="1"/>
      </c>
      <c r="HI74">
        <f ca="1"/>
      </c>
      <c r="HJ74">
        <f ca="1"/>
      </c>
      <c r="HK74">
        <f ca="1"/>
      </c>
      <c r="HL74">
        <f ca="1"/>
      </c>
      <c r="HM74">
        <f ca="1"/>
      </c>
      <c r="HN74">
        <f ca="1"/>
      </c>
      <c r="HO74">
        <f ca="1"/>
      </c>
      <c r="HP74">
        <f ca="1"/>
      </c>
      <c r="HQ74">
        <f ca="1"/>
      </c>
      <c r="HR74">
        <f ca="1"/>
      </c>
      <c r="HS74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F75">
        <f ca="1"/>
      </c>
      <c r="BG75">
        <f ca="1"/>
      </c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GX75">
        <f ca="1"/>
      </c>
      <c r="GY75">
        <f ca="1"/>
      </c>
      <c r="GZ75">
        <f ca="1"/>
      </c>
      <c r="HA75">
        <f ca="1"/>
      </c>
      <c r="HB75">
        <f ca="1"/>
      </c>
      <c r="HC75">
        <f ca="1"/>
      </c>
      <c r="HD75">
        <f ca="1"/>
      </c>
      <c r="HE75">
        <f ca="1"/>
      </c>
      <c r="HF75">
        <f ca="1"/>
      </c>
      <c r="HG75">
        <f ca="1"/>
      </c>
      <c r="HH75">
        <f ca="1"/>
      </c>
      <c r="HI75">
        <f ca="1"/>
      </c>
      <c r="HJ75">
        <f ca="1"/>
      </c>
      <c r="HK75">
        <f ca="1"/>
      </c>
      <c r="HL75">
        <f ca="1"/>
      </c>
      <c r="HM75">
        <f ca="1"/>
      </c>
      <c r="HN75">
        <f ca="1"/>
      </c>
      <c r="HO75">
        <f ca="1"/>
      </c>
      <c r="HP75">
        <f ca="1"/>
      </c>
      <c r="HQ75">
        <f ca="1"/>
      </c>
      <c r="HR75">
        <f ca="1"/>
      </c>
      <c r="HS75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F76">
        <f ca="1"/>
      </c>
      <c r="BG76">
        <f ca="1"/>
      </c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GX76">
        <f ca="1"/>
      </c>
      <c r="GY76">
        <f ca="1"/>
      </c>
      <c r="GZ76">
        <f ca="1"/>
      </c>
      <c r="HA76">
        <f ca="1"/>
      </c>
      <c r="HB76">
        <f ca="1"/>
      </c>
      <c r="HC76">
        <f ca="1"/>
      </c>
      <c r="HD76">
        <f ca="1"/>
      </c>
      <c r="HE76">
        <f ca="1"/>
      </c>
      <c r="HF76">
        <f ca="1"/>
      </c>
      <c r="HG76">
        <f ca="1"/>
      </c>
      <c r="HH76">
        <f ca="1"/>
      </c>
      <c r="HI76">
        <f ca="1"/>
      </c>
      <c r="HJ76">
        <f ca="1"/>
      </c>
      <c r="HK76">
        <f ca="1"/>
      </c>
      <c r="HL76">
        <f ca="1"/>
      </c>
      <c r="HM76">
        <f ca="1"/>
      </c>
      <c r="HN76">
        <f ca="1"/>
      </c>
      <c r="HO76">
        <f ca="1"/>
      </c>
      <c r="HP76">
        <f ca="1"/>
      </c>
      <c r="HQ76">
        <f ca="1"/>
      </c>
      <c r="HR76">
        <f ca="1"/>
      </c>
      <c r="HS76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F77">
        <f ca="1"/>
      </c>
      <c r="BG77">
        <f ca="1"/>
      </c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GX77">
        <f ca="1"/>
      </c>
      <c r="GY77">
        <f ca="1"/>
      </c>
      <c r="GZ77">
        <f ca="1"/>
      </c>
      <c r="HA77">
        <f ca="1"/>
      </c>
      <c r="HB77">
        <f ca="1"/>
      </c>
      <c r="HC77">
        <f ca="1"/>
      </c>
      <c r="HD77">
        <f ca="1"/>
      </c>
      <c r="HE77">
        <f ca="1"/>
      </c>
      <c r="HF77">
        <f ca="1"/>
      </c>
      <c r="HG77">
        <f ca="1"/>
      </c>
      <c r="HH77">
        <f ca="1"/>
      </c>
      <c r="HI77">
        <f ca="1"/>
      </c>
      <c r="HJ77">
        <f ca="1"/>
      </c>
      <c r="HK77">
        <f ca="1"/>
      </c>
      <c r="HL77">
        <f ca="1"/>
      </c>
      <c r="HM77">
        <f ca="1"/>
      </c>
      <c r="HN77">
        <f ca="1"/>
      </c>
      <c r="HO77">
        <f ca="1"/>
      </c>
      <c r="HP77">
        <f ca="1"/>
      </c>
      <c r="HQ77">
        <f ca="1"/>
      </c>
      <c r="HR77">
        <f ca="1"/>
      </c>
      <c r="HS77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F78">
        <f ca="1"/>
      </c>
      <c r="BG78">
        <f ca="1"/>
      </c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GX78">
        <f ca="1"/>
      </c>
      <c r="GY78">
        <f ca="1"/>
      </c>
      <c r="GZ78">
        <f ca="1"/>
      </c>
      <c r="HA78">
        <f ca="1"/>
      </c>
      <c r="HB78">
        <f ca="1"/>
      </c>
      <c r="HC78">
        <f ca="1"/>
      </c>
      <c r="HD78">
        <f ca="1"/>
      </c>
      <c r="HE78">
        <f ca="1"/>
      </c>
      <c r="HF78">
        <f ca="1"/>
      </c>
      <c r="HG78">
        <f ca="1"/>
      </c>
      <c r="HH78">
        <f ca="1"/>
      </c>
      <c r="HI78">
        <f ca="1"/>
      </c>
      <c r="HJ78">
        <f ca="1"/>
      </c>
      <c r="HK78">
        <f ca="1"/>
      </c>
      <c r="HL78">
        <f ca="1"/>
      </c>
      <c r="HM78">
        <f ca="1"/>
      </c>
      <c r="HN78">
        <f ca="1"/>
      </c>
      <c r="HO78">
        <f ca="1"/>
      </c>
      <c r="HP78">
        <f ca="1"/>
      </c>
      <c r="HQ78">
        <f ca="1"/>
      </c>
      <c r="HR78">
        <f ca="1"/>
      </c>
      <c r="HS78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F79">
        <f ca="1"/>
      </c>
      <c r="BG79">
        <f ca="1"/>
      </c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GX79">
        <f ca="1"/>
      </c>
      <c r="GY79">
        <f ca="1"/>
      </c>
      <c r="GZ79">
        <f ca="1"/>
      </c>
      <c r="HA79">
        <f ca="1"/>
      </c>
      <c r="HB79">
        <f ca="1"/>
      </c>
      <c r="HC79">
        <f ca="1"/>
      </c>
      <c r="HD79">
        <f ca="1"/>
      </c>
      <c r="HE79">
        <f ca="1"/>
      </c>
      <c r="HF79">
        <f ca="1"/>
      </c>
      <c r="HG79">
        <f ca="1"/>
      </c>
      <c r="HH79">
        <f ca="1"/>
      </c>
      <c r="HI79">
        <f ca="1"/>
      </c>
      <c r="HJ79">
        <f ca="1"/>
      </c>
      <c r="HK79">
        <f ca="1"/>
      </c>
      <c r="HL79">
        <f ca="1"/>
      </c>
      <c r="HM79">
        <f ca="1"/>
      </c>
      <c r="HN79">
        <f ca="1"/>
      </c>
      <c r="HO79">
        <f ca="1"/>
      </c>
      <c r="HP79">
        <f ca="1"/>
      </c>
      <c r="HQ79">
        <f ca="1"/>
      </c>
      <c r="HR79">
        <f ca="1"/>
      </c>
      <c r="HS79">
        <f ca="1"/>
      </c>
      <c r="LA79">
        <f ca="1"/>
      </c>
      <c r="LB79">
        <f ca="1"/>
      </c>
      <c r="LC79">
        <f ca="1"/>
      </c>
    </row>
    <row r="80" spans="6:315" x14ac:dyDescent="0.55000000000000004">
      <c r="BF80">
        <f ca="1"/>
      </c>
      <c r="BG80">
        <f ca="1"/>
      </c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GX80">
        <f ca="1"/>
      </c>
      <c r="GY80">
        <f ca="1"/>
      </c>
      <c r="GZ80">
        <f ca="1"/>
      </c>
      <c r="HA80">
        <f ca="1"/>
      </c>
      <c r="HB80">
        <f ca="1"/>
      </c>
      <c r="HC80">
        <f ca="1"/>
      </c>
      <c r="HD80">
        <f ca="1"/>
      </c>
      <c r="HE80">
        <f ca="1"/>
      </c>
      <c r="HF80">
        <f ca="1"/>
      </c>
      <c r="HG80">
        <f ca="1"/>
      </c>
      <c r="HH80">
        <f ca="1"/>
      </c>
      <c r="HI80">
        <f ca="1"/>
      </c>
      <c r="HJ80">
        <f ca="1"/>
      </c>
      <c r="HK80">
        <f ca="1"/>
      </c>
      <c r="HL80">
        <f ca="1"/>
      </c>
      <c r="HM80">
        <f ca="1"/>
      </c>
      <c r="HN80">
        <f ca="1"/>
      </c>
      <c r="HO80">
        <f ca="1"/>
      </c>
      <c r="HP80">
        <f ca="1"/>
      </c>
      <c r="HQ80">
        <f ca="1"/>
      </c>
      <c r="HR80">
        <f ca="1"/>
      </c>
      <c r="HS80">
        <f ca="1"/>
      </c>
      <c r="LA80">
        <f ca="1"/>
      </c>
      <c r="LB80">
        <f ca="1"/>
      </c>
      <c r="LC80">
        <f ca="1"/>
      </c>
    </row>
    <row r="81" spans="58:315" x14ac:dyDescent="0.55000000000000004">
      <c r="BF81">
        <f ca="1"/>
      </c>
      <c r="BG81">
        <f ca="1"/>
      </c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GX81">
        <f ca="1"/>
      </c>
      <c r="GY81">
        <f ca="1"/>
      </c>
      <c r="GZ81">
        <f ca="1"/>
      </c>
      <c r="HA81">
        <f ca="1"/>
      </c>
      <c r="HB81">
        <f ca="1"/>
      </c>
      <c r="HC81">
        <f ca="1"/>
      </c>
      <c r="HD81">
        <f ca="1"/>
      </c>
      <c r="HE81">
        <f ca="1"/>
      </c>
      <c r="HF81">
        <f ca="1"/>
      </c>
      <c r="HG81">
        <f ca="1"/>
      </c>
      <c r="HH81">
        <f ca="1"/>
      </c>
      <c r="HI81">
        <f ca="1"/>
      </c>
      <c r="HJ81">
        <f ca="1"/>
      </c>
      <c r="HK81">
        <f ca="1"/>
      </c>
      <c r="HL81">
        <f ca="1"/>
      </c>
      <c r="HM81">
        <f ca="1"/>
      </c>
      <c r="HN81">
        <f ca="1"/>
      </c>
      <c r="HO81">
        <f ca="1"/>
      </c>
      <c r="HP81">
        <f ca="1"/>
      </c>
      <c r="HQ81">
        <f ca="1"/>
      </c>
      <c r="HR81">
        <f ca="1"/>
      </c>
      <c r="HS81">
        <f ca="1"/>
      </c>
      <c r="LA81">
        <f ca="1"/>
      </c>
      <c r="LB81">
        <f ca="1"/>
      </c>
      <c r="LC81">
        <f ca="1"/>
      </c>
    </row>
    <row r="82" spans="58:315" x14ac:dyDescent="0.55000000000000004">
      <c r="BF82">
        <f ca="1"/>
      </c>
      <c r="BG82">
        <f ca="1"/>
      </c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GX82">
        <f ca="1"/>
      </c>
      <c r="GY82">
        <f ca="1"/>
      </c>
      <c r="GZ82">
        <f ca="1"/>
      </c>
      <c r="HA82">
        <f ca="1"/>
      </c>
      <c r="HB82">
        <f ca="1"/>
      </c>
      <c r="HC82">
        <f ca="1"/>
      </c>
      <c r="HD82">
        <f ca="1"/>
      </c>
      <c r="HE82">
        <f ca="1"/>
      </c>
      <c r="HF82">
        <f ca="1"/>
      </c>
      <c r="HG82">
        <f ca="1"/>
      </c>
      <c r="HH82">
        <f ca="1"/>
      </c>
      <c r="HI82">
        <f ca="1"/>
      </c>
      <c r="HJ82">
        <f ca="1"/>
      </c>
      <c r="HK82">
        <f ca="1"/>
      </c>
      <c r="HL82">
        <f ca="1"/>
      </c>
      <c r="HM82">
        <f ca="1"/>
      </c>
      <c r="HN82">
        <f ca="1"/>
      </c>
      <c r="HO82">
        <f ca="1"/>
      </c>
      <c r="HP82">
        <f ca="1"/>
      </c>
      <c r="HQ82">
        <f ca="1"/>
      </c>
      <c r="HR82">
        <f ca="1"/>
      </c>
      <c r="HS82">
        <f ca="1"/>
      </c>
      <c r="LA82">
        <f ca="1"/>
      </c>
      <c r="LB82">
        <f ca="1"/>
      </c>
      <c r="LC82">
        <f ca="1"/>
      </c>
    </row>
    <row r="83" spans="58:315" x14ac:dyDescent="0.55000000000000004">
      <c r="BF83">
        <f ca="1"/>
      </c>
      <c r="BG83">
        <f ca="1"/>
      </c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GX83">
        <f ca="1"/>
      </c>
      <c r="GY83">
        <f ca="1"/>
      </c>
      <c r="GZ83">
        <f ca="1"/>
      </c>
      <c r="HA83">
        <f ca="1"/>
      </c>
      <c r="HB83">
        <f ca="1"/>
      </c>
      <c r="HC83">
        <f ca="1"/>
      </c>
      <c r="HD83">
        <f ca="1"/>
      </c>
      <c r="HE83">
        <f ca="1"/>
      </c>
      <c r="HF83">
        <f ca="1"/>
      </c>
      <c r="HG83">
        <f ca="1"/>
      </c>
      <c r="HH83">
        <f ca="1"/>
      </c>
      <c r="HI83">
        <f ca="1"/>
      </c>
      <c r="HJ83">
        <f ca="1"/>
      </c>
      <c r="HK83">
        <f ca="1"/>
      </c>
      <c r="HL83">
        <f ca="1"/>
      </c>
      <c r="HM83">
        <f ca="1"/>
      </c>
      <c r="HN83">
        <f ca="1"/>
      </c>
      <c r="HO83">
        <f ca="1"/>
      </c>
      <c r="HP83">
        <f ca="1"/>
      </c>
      <c r="HQ83">
        <f ca="1"/>
      </c>
      <c r="HR83">
        <f ca="1"/>
      </c>
      <c r="HS83">
        <f ca="1"/>
      </c>
      <c r="LA83">
        <f ca="1"/>
      </c>
      <c r="LB83">
        <f ca="1"/>
      </c>
      <c r="LC83">
        <f ca="1"/>
      </c>
    </row>
    <row r="84" spans="58:315" x14ac:dyDescent="0.55000000000000004">
      <c r="BF84">
        <f ca="1"/>
      </c>
      <c r="BG84">
        <f ca="1"/>
      </c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GX84">
        <f ca="1"/>
      </c>
      <c r="GY84">
        <f ca="1"/>
      </c>
      <c r="GZ84">
        <f ca="1"/>
      </c>
      <c r="HA84">
        <f ca="1"/>
      </c>
      <c r="HB84">
        <f ca="1"/>
      </c>
      <c r="HC84">
        <f ca="1"/>
      </c>
      <c r="HD84">
        <f ca="1"/>
      </c>
      <c r="HE84">
        <f ca="1"/>
      </c>
      <c r="HF84">
        <f ca="1"/>
      </c>
      <c r="HG84">
        <f ca="1"/>
      </c>
      <c r="HH84">
        <f ca="1"/>
      </c>
      <c r="HI84">
        <f ca="1"/>
      </c>
      <c r="HJ84">
        <f ca="1"/>
      </c>
      <c r="HK84">
        <f ca="1"/>
      </c>
      <c r="HL84">
        <f ca="1"/>
      </c>
      <c r="HM84">
        <f ca="1"/>
      </c>
      <c r="HN84">
        <f ca="1"/>
      </c>
      <c r="HO84">
        <f ca="1"/>
      </c>
      <c r="HP84">
        <f ca="1"/>
      </c>
      <c r="HQ84">
        <f ca="1"/>
      </c>
      <c r="HR84">
        <f ca="1"/>
      </c>
      <c r="HS84">
        <f ca="1"/>
      </c>
      <c r="LA84">
        <f ca="1"/>
      </c>
      <c r="LB84">
        <f ca="1"/>
      </c>
      <c r="LC84">
        <f ca="1"/>
      </c>
    </row>
    <row r="85" spans="58:315" x14ac:dyDescent="0.55000000000000004">
      <c r="BF85">
        <f ca="1"/>
      </c>
      <c r="BG85">
        <f ca="1"/>
      </c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GX85">
        <f ca="1"/>
      </c>
      <c r="GY85">
        <f ca="1"/>
      </c>
      <c r="GZ85">
        <f ca="1"/>
      </c>
      <c r="HA85">
        <f ca="1"/>
      </c>
      <c r="HB85">
        <f ca="1"/>
      </c>
      <c r="HC85">
        <f ca="1"/>
      </c>
      <c r="HD85">
        <f ca="1"/>
      </c>
      <c r="HE85">
        <f ca="1"/>
      </c>
      <c r="HF85">
        <f ca="1"/>
      </c>
      <c r="HG85">
        <f ca="1"/>
      </c>
      <c r="HH85">
        <f ca="1"/>
      </c>
      <c r="HI85">
        <f ca="1"/>
      </c>
      <c r="HJ85">
        <f ca="1"/>
      </c>
      <c r="HK85">
        <f ca="1"/>
      </c>
      <c r="HL85">
        <f ca="1"/>
      </c>
      <c r="HM85">
        <f ca="1"/>
      </c>
      <c r="HN85">
        <f ca="1"/>
      </c>
      <c r="HO85">
        <f ca="1"/>
      </c>
      <c r="HP85">
        <f ca="1"/>
      </c>
      <c r="HQ85">
        <f ca="1"/>
      </c>
      <c r="HR85">
        <f ca="1"/>
      </c>
      <c r="HS85">
        <f ca="1"/>
      </c>
      <c r="LA85">
        <f ca="1"/>
      </c>
      <c r="LB85">
        <f ca="1"/>
      </c>
      <c r="LC85">
        <f ca="1"/>
      </c>
    </row>
    <row r="86" spans="58:315" x14ac:dyDescent="0.55000000000000004">
      <c r="BF86">
        <f ca="1"/>
      </c>
      <c r="BG86">
        <f ca="1"/>
      </c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GX86">
        <f ca="1"/>
      </c>
      <c r="GY86">
        <f ca="1"/>
      </c>
      <c r="GZ86">
        <f ca="1"/>
      </c>
      <c r="HA86">
        <f ca="1"/>
      </c>
      <c r="HB86">
        <f ca="1"/>
      </c>
      <c r="HC86">
        <f ca="1"/>
      </c>
      <c r="HD86">
        <f ca="1"/>
      </c>
      <c r="HE86">
        <f ca="1"/>
      </c>
      <c r="HF86">
        <f ca="1"/>
      </c>
      <c r="HG86">
        <f ca="1"/>
      </c>
      <c r="HH86">
        <f ca="1"/>
      </c>
      <c r="HI86">
        <f ca="1"/>
      </c>
      <c r="HJ86">
        <f ca="1"/>
      </c>
      <c r="HK86">
        <f ca="1"/>
      </c>
      <c r="HL86">
        <f ca="1"/>
      </c>
      <c r="HM86">
        <f ca="1"/>
      </c>
      <c r="HN86">
        <f ca="1"/>
      </c>
      <c r="HO86">
        <f ca="1"/>
      </c>
      <c r="HP86">
        <f ca="1"/>
      </c>
      <c r="HQ86">
        <f ca="1"/>
      </c>
      <c r="HR86">
        <f ca="1"/>
      </c>
      <c r="HS86">
        <f ca="1"/>
      </c>
      <c r="LA86">
        <f ca="1"/>
      </c>
      <c r="LB86">
        <f ca="1"/>
      </c>
      <c r="LC86">
        <f ca="1"/>
      </c>
    </row>
    <row r="87" spans="58:315" x14ac:dyDescent="0.55000000000000004">
      <c r="BF87">
        <f ca="1"/>
      </c>
      <c r="BG87">
        <f ca="1"/>
      </c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GX87">
        <f ca="1"/>
      </c>
      <c r="GY87">
        <f ca="1"/>
      </c>
      <c r="GZ87">
        <f ca="1"/>
      </c>
      <c r="HA87">
        <f ca="1"/>
      </c>
      <c r="HB87">
        <f ca="1"/>
      </c>
      <c r="HC87">
        <f ca="1"/>
      </c>
      <c r="HD87">
        <f ca="1"/>
      </c>
      <c r="HE87">
        <f ca="1"/>
      </c>
      <c r="HF87">
        <f ca="1"/>
      </c>
      <c r="HG87">
        <f ca="1"/>
      </c>
      <c r="HH87">
        <f ca="1"/>
      </c>
      <c r="HI87">
        <f ca="1"/>
      </c>
      <c r="HJ87">
        <f ca="1"/>
      </c>
      <c r="HK87">
        <f ca="1"/>
      </c>
      <c r="HL87">
        <f ca="1"/>
      </c>
      <c r="HM87">
        <f ca="1"/>
      </c>
      <c r="HN87">
        <f ca="1"/>
      </c>
      <c r="HO87">
        <f ca="1"/>
      </c>
      <c r="HP87">
        <f ca="1"/>
      </c>
      <c r="HQ87">
        <f ca="1"/>
      </c>
      <c r="HR87">
        <f ca="1"/>
      </c>
      <c r="HS87">
        <f ca="1"/>
      </c>
      <c r="LA87">
        <f ca="1"/>
      </c>
      <c r="LB87">
        <f ca="1"/>
      </c>
      <c r="LC87">
        <f ca="1"/>
      </c>
    </row>
    <row r="88" spans="58:315" x14ac:dyDescent="0.55000000000000004">
      <c r="BF88">
        <f ca="1"/>
      </c>
      <c r="BG88">
        <f ca="1"/>
      </c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GX88">
        <f ca="1"/>
      </c>
      <c r="GY88">
        <f ca="1"/>
      </c>
      <c r="GZ88">
        <f ca="1"/>
      </c>
      <c r="HA88">
        <f ca="1"/>
      </c>
      <c r="HB88">
        <f ca="1"/>
      </c>
      <c r="HC88">
        <f ca="1"/>
      </c>
      <c r="HD88">
        <f ca="1"/>
      </c>
      <c r="HE88">
        <f ca="1"/>
      </c>
      <c r="HF88">
        <f ca="1"/>
      </c>
      <c r="HG88">
        <f ca="1"/>
      </c>
      <c r="HH88">
        <f ca="1"/>
      </c>
      <c r="HI88">
        <f ca="1"/>
      </c>
      <c r="HJ88">
        <f ca="1"/>
      </c>
      <c r="HK88">
        <f ca="1"/>
      </c>
      <c r="HL88">
        <f ca="1"/>
      </c>
      <c r="HM88">
        <f ca="1"/>
      </c>
      <c r="HN88">
        <f ca="1"/>
      </c>
      <c r="HO88">
        <f ca="1"/>
      </c>
      <c r="HP88">
        <f ca="1"/>
      </c>
      <c r="HQ88">
        <f ca="1"/>
      </c>
      <c r="HR88">
        <f ca="1"/>
      </c>
      <c r="HS88">
        <f ca="1"/>
      </c>
      <c r="LA88">
        <f ca="1"/>
      </c>
      <c r="LB88">
        <f ca="1"/>
      </c>
      <c r="LC88">
        <f ca="1"/>
      </c>
    </row>
    <row r="89" spans="58:315" x14ac:dyDescent="0.55000000000000004">
      <c r="BF89">
        <f ca="1"/>
      </c>
      <c r="BG89">
        <f ca="1"/>
      </c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GX89">
        <f ca="1"/>
      </c>
      <c r="GY89">
        <f ca="1"/>
      </c>
      <c r="GZ89">
        <f ca="1"/>
      </c>
      <c r="HA89">
        <f ca="1"/>
      </c>
      <c r="HB89">
        <f ca="1"/>
      </c>
      <c r="HC89">
        <f ca="1"/>
      </c>
      <c r="HD89">
        <f ca="1"/>
      </c>
      <c r="HE89">
        <f ca="1"/>
      </c>
      <c r="HF89">
        <f ca="1"/>
      </c>
      <c r="HG89">
        <f ca="1"/>
      </c>
      <c r="HH89">
        <f ca="1"/>
      </c>
      <c r="HI89">
        <f ca="1"/>
      </c>
      <c r="HJ89">
        <f ca="1"/>
      </c>
      <c r="HK89">
        <f ca="1"/>
      </c>
      <c r="HL89">
        <f ca="1"/>
      </c>
      <c r="HM89">
        <f ca="1"/>
      </c>
      <c r="HN89">
        <f ca="1"/>
      </c>
      <c r="HO89">
        <f ca="1"/>
      </c>
      <c r="HP89">
        <f ca="1"/>
      </c>
      <c r="HQ89">
        <f ca="1"/>
      </c>
      <c r="HR89">
        <f ca="1"/>
      </c>
      <c r="HS89">
        <f ca="1"/>
      </c>
      <c r="LA89">
        <f ca="1"/>
      </c>
      <c r="LB89">
        <f ca="1"/>
      </c>
      <c r="LC89">
        <f ca="1"/>
      </c>
    </row>
    <row r="90" spans="58:315" x14ac:dyDescent="0.55000000000000004">
      <c r="BF90">
        <f ca="1"/>
      </c>
      <c r="BG90">
        <f ca="1"/>
      </c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GX90">
        <f ca="1"/>
      </c>
      <c r="GY90">
        <f ca="1"/>
      </c>
      <c r="GZ90">
        <f ca="1"/>
      </c>
      <c r="HA90">
        <f ca="1"/>
      </c>
      <c r="HB90">
        <f ca="1"/>
      </c>
      <c r="HC90">
        <f ca="1"/>
      </c>
      <c r="HD90">
        <f ca="1"/>
      </c>
      <c r="HE90">
        <f ca="1"/>
      </c>
      <c r="HF90">
        <f ca="1"/>
      </c>
      <c r="HG90">
        <f ca="1"/>
      </c>
      <c r="HH90">
        <f ca="1"/>
      </c>
      <c r="HI90">
        <f ca="1"/>
      </c>
      <c r="HJ90">
        <f ca="1"/>
      </c>
      <c r="HK90">
        <f ca="1"/>
      </c>
      <c r="HL90">
        <f ca="1"/>
      </c>
      <c r="HM90">
        <f ca="1"/>
      </c>
      <c r="HN90">
        <f ca="1"/>
      </c>
      <c r="HO90">
        <f ca="1"/>
      </c>
      <c r="HP90">
        <f ca="1"/>
      </c>
      <c r="HQ90">
        <f ca="1"/>
      </c>
      <c r="HR90">
        <f ca="1"/>
      </c>
      <c r="HS90">
        <f ca="1"/>
      </c>
      <c r="LA90">
        <f ca="1"/>
      </c>
      <c r="LB90">
        <f ca="1"/>
      </c>
      <c r="LC90">
        <f ca="1"/>
      </c>
    </row>
    <row r="91" spans="58:315" x14ac:dyDescent="0.55000000000000004">
      <c r="BF91">
        <f ca="1"/>
      </c>
      <c r="BG91">
        <f ca="1"/>
      </c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GX91">
        <f ca="1"/>
      </c>
      <c r="GY91">
        <f ca="1"/>
      </c>
      <c r="GZ91">
        <f ca="1"/>
      </c>
      <c r="HA91">
        <f ca="1"/>
      </c>
      <c r="HB91">
        <f ca="1"/>
      </c>
      <c r="HC91">
        <f ca="1"/>
      </c>
      <c r="HD91">
        <f ca="1"/>
      </c>
      <c r="HE91">
        <f ca="1"/>
      </c>
      <c r="HF91">
        <f ca="1"/>
      </c>
      <c r="HG91">
        <f ca="1"/>
      </c>
      <c r="HH91">
        <f ca="1"/>
      </c>
      <c r="HI91">
        <f ca="1"/>
      </c>
      <c r="HJ91">
        <f ca="1"/>
      </c>
      <c r="HK91">
        <f ca="1"/>
      </c>
      <c r="HL91">
        <f ca="1"/>
      </c>
      <c r="HM91">
        <f ca="1"/>
      </c>
      <c r="HN91">
        <f ca="1"/>
      </c>
      <c r="HO91">
        <f ca="1"/>
      </c>
      <c r="HP91">
        <f ca="1"/>
      </c>
      <c r="HQ91">
        <f ca="1"/>
      </c>
      <c r="HR91">
        <f ca="1"/>
      </c>
      <c r="HS91">
        <f ca="1"/>
      </c>
      <c r="LA91">
        <f ca="1"/>
      </c>
      <c r="LB91">
        <f ca="1"/>
      </c>
      <c r="LC91">
        <f ca="1"/>
      </c>
    </row>
    <row r="92" spans="58:315" x14ac:dyDescent="0.55000000000000004">
      <c r="BF92">
        <f ca="1"/>
      </c>
      <c r="BG92">
        <f ca="1"/>
      </c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GX92">
        <f ca="1"/>
      </c>
      <c r="GY92">
        <f ca="1"/>
      </c>
      <c r="GZ92">
        <f ca="1"/>
      </c>
      <c r="HA92">
        <f ca="1"/>
      </c>
      <c r="HB92">
        <f ca="1"/>
      </c>
      <c r="HC92">
        <f ca="1"/>
      </c>
      <c r="HD92">
        <f ca="1"/>
      </c>
      <c r="HE92">
        <f ca="1"/>
      </c>
      <c r="HF92">
        <f ca="1"/>
      </c>
      <c r="HG92">
        <f ca="1"/>
      </c>
      <c r="HH92">
        <f ca="1"/>
      </c>
      <c r="HI92">
        <f ca="1"/>
      </c>
      <c r="HJ92">
        <f ca="1"/>
      </c>
      <c r="HK92">
        <f ca="1"/>
      </c>
      <c r="HL92">
        <f ca="1"/>
      </c>
      <c r="HM92">
        <f ca="1"/>
      </c>
      <c r="HN92">
        <f ca="1"/>
      </c>
      <c r="HO92">
        <f ca="1"/>
      </c>
      <c r="HP92">
        <f ca="1"/>
      </c>
      <c r="HQ92">
        <f ca="1"/>
      </c>
      <c r="HR92">
        <f ca="1"/>
      </c>
      <c r="HS92">
        <f ca="1"/>
      </c>
      <c r="LA92">
        <f ca="1"/>
      </c>
      <c r="LB92">
        <f ca="1"/>
      </c>
      <c r="LC92">
        <f ca="1"/>
      </c>
    </row>
    <row r="93" spans="58:315" x14ac:dyDescent="0.55000000000000004">
      <c r="BF93">
        <f ca="1"/>
      </c>
      <c r="BG93">
        <f ca="1"/>
      </c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GX93">
        <f ca="1"/>
      </c>
      <c r="GY93">
        <f ca="1"/>
      </c>
      <c r="GZ93">
        <f ca="1"/>
      </c>
      <c r="HA93">
        <f ca="1"/>
      </c>
      <c r="HB93">
        <f ca="1"/>
      </c>
      <c r="HC93">
        <f ca="1"/>
      </c>
      <c r="HD93">
        <f ca="1"/>
      </c>
      <c r="HE93">
        <f ca="1"/>
      </c>
      <c r="HF93">
        <f ca="1"/>
      </c>
      <c r="HG93">
        <f ca="1"/>
      </c>
      <c r="HH93">
        <f ca="1"/>
      </c>
      <c r="HI93">
        <f ca="1"/>
      </c>
      <c r="HJ93">
        <f ca="1"/>
      </c>
      <c r="HK93">
        <f ca="1"/>
      </c>
      <c r="HL93">
        <f ca="1"/>
      </c>
      <c r="HM93">
        <f ca="1"/>
      </c>
      <c r="HN93">
        <f ca="1"/>
      </c>
      <c r="HO93">
        <f ca="1"/>
      </c>
      <c r="HP93">
        <f ca="1"/>
      </c>
      <c r="HQ93">
        <f ca="1"/>
      </c>
      <c r="HR93">
        <f ca="1"/>
      </c>
      <c r="HS93">
        <f ca="1"/>
      </c>
      <c r="LA93">
        <f ca="1"/>
      </c>
      <c r="LB93">
        <f ca="1"/>
      </c>
      <c r="LC93">
        <f ca="1"/>
      </c>
    </row>
    <row r="94" spans="58:315" x14ac:dyDescent="0.55000000000000004">
      <c r="BF94">
        <f ca="1"/>
      </c>
      <c r="BG94">
        <f ca="1"/>
      </c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GX94">
        <f ca="1"/>
      </c>
      <c r="GY94">
        <f ca="1"/>
      </c>
      <c r="GZ94">
        <f ca="1"/>
      </c>
      <c r="HA94">
        <f ca="1"/>
      </c>
      <c r="HB94">
        <f ca="1"/>
      </c>
      <c r="HC94">
        <f ca="1"/>
      </c>
      <c r="HD94">
        <f ca="1"/>
      </c>
      <c r="HE94">
        <f ca="1"/>
      </c>
      <c r="HF94">
        <f ca="1"/>
      </c>
      <c r="HG94">
        <f ca="1"/>
      </c>
      <c r="HH94">
        <f ca="1"/>
      </c>
      <c r="HI94">
        <f ca="1"/>
      </c>
      <c r="HJ94">
        <f ca="1"/>
      </c>
      <c r="HK94">
        <f ca="1"/>
      </c>
      <c r="HL94">
        <f ca="1"/>
      </c>
      <c r="HM94">
        <f ca="1"/>
      </c>
      <c r="HN94">
        <f ca="1"/>
      </c>
      <c r="HO94">
        <f ca="1"/>
      </c>
      <c r="HP94">
        <f ca="1"/>
      </c>
      <c r="HQ94">
        <f ca="1"/>
      </c>
      <c r="HR94">
        <f ca="1"/>
      </c>
      <c r="HS94">
        <f ca="1"/>
      </c>
      <c r="LA94">
        <f ca="1"/>
      </c>
      <c r="LB94">
        <f ca="1"/>
      </c>
      <c r="LC94">
        <f ca="1"/>
      </c>
    </row>
    <row r="95" spans="58:315" x14ac:dyDescent="0.55000000000000004">
      <c r="BF95">
        <f ca="1"/>
      </c>
      <c r="BG95">
        <f ca="1"/>
      </c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GX95">
        <f ca="1"/>
      </c>
      <c r="GY95">
        <f ca="1"/>
      </c>
      <c r="GZ95">
        <f ca="1"/>
      </c>
      <c r="HA95">
        <f ca="1"/>
      </c>
      <c r="HB95">
        <f ca="1"/>
      </c>
      <c r="HC95">
        <f ca="1"/>
      </c>
      <c r="HD95">
        <f ca="1"/>
      </c>
      <c r="HE95">
        <f ca="1"/>
      </c>
      <c r="HF95">
        <f ca="1"/>
      </c>
      <c r="HG95">
        <f ca="1"/>
      </c>
      <c r="HH95">
        <f ca="1"/>
      </c>
      <c r="HI95">
        <f ca="1"/>
      </c>
      <c r="HJ95">
        <f ca="1"/>
      </c>
      <c r="HK95">
        <f ca="1"/>
      </c>
      <c r="HL95">
        <f ca="1"/>
      </c>
      <c r="HM95">
        <f ca="1"/>
      </c>
      <c r="HN95">
        <f ca="1"/>
      </c>
      <c r="HO95">
        <f ca="1"/>
      </c>
      <c r="HP95">
        <f ca="1"/>
      </c>
      <c r="HQ95">
        <f ca="1"/>
      </c>
      <c r="HR95">
        <f ca="1"/>
      </c>
      <c r="HS95">
        <f ca="1"/>
      </c>
      <c r="LA95">
        <f ca="1"/>
      </c>
      <c r="LB95">
        <f ca="1"/>
      </c>
      <c r="LC95">
        <f ca="1"/>
      </c>
    </row>
    <row r="96" spans="58:315" x14ac:dyDescent="0.55000000000000004">
      <c r="BF96">
        <f ca="1"/>
      </c>
      <c r="BG96">
        <f ca="1"/>
      </c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GX96">
        <f ca="1"/>
      </c>
      <c r="GY96">
        <f ca="1"/>
      </c>
      <c r="GZ96">
        <f ca="1"/>
      </c>
      <c r="HA96">
        <f ca="1"/>
      </c>
      <c r="HB96">
        <f ca="1"/>
      </c>
      <c r="HC96">
        <f ca="1"/>
      </c>
      <c r="HD96">
        <f ca="1"/>
      </c>
      <c r="HE96">
        <f ca="1"/>
      </c>
      <c r="HF96">
        <f ca="1"/>
      </c>
      <c r="HG96">
        <f ca="1"/>
      </c>
      <c r="HH96">
        <f ca="1"/>
      </c>
      <c r="HI96">
        <f ca="1"/>
      </c>
      <c r="HJ96">
        <f ca="1"/>
      </c>
      <c r="HK96">
        <f ca="1"/>
      </c>
      <c r="HL96">
        <f ca="1"/>
      </c>
      <c r="HM96">
        <f ca="1"/>
      </c>
      <c r="HN96">
        <f ca="1"/>
      </c>
      <c r="HO96">
        <f ca="1"/>
      </c>
      <c r="HP96">
        <f ca="1"/>
      </c>
      <c r="HQ96">
        <f ca="1"/>
      </c>
      <c r="HR96">
        <f ca="1"/>
      </c>
      <c r="HS96">
        <f ca="1"/>
      </c>
      <c r="LA96">
        <f ca="1"/>
      </c>
      <c r="LB96">
        <f ca="1"/>
      </c>
      <c r="LC96">
        <f ca="1"/>
      </c>
    </row>
    <row r="97" spans="58:315" x14ac:dyDescent="0.55000000000000004">
      <c r="BF97">
        <f ca="1"/>
      </c>
      <c r="BG97">
        <f ca="1"/>
      </c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GX97">
        <f ca="1"/>
      </c>
      <c r="GY97">
        <f ca="1"/>
      </c>
      <c r="GZ97">
        <f ca="1"/>
      </c>
      <c r="HA97">
        <f ca="1"/>
      </c>
      <c r="HB97">
        <f ca="1"/>
      </c>
      <c r="HC97">
        <f ca="1"/>
      </c>
      <c r="HD97">
        <f ca="1"/>
      </c>
      <c r="HE97">
        <f ca="1"/>
      </c>
      <c r="HF97">
        <f ca="1"/>
      </c>
      <c r="HG97">
        <f ca="1"/>
      </c>
      <c r="HH97">
        <f ca="1"/>
      </c>
      <c r="HI97">
        <f ca="1"/>
      </c>
      <c r="HJ97">
        <f ca="1"/>
      </c>
      <c r="HK97">
        <f ca="1"/>
      </c>
      <c r="HL97">
        <f ca="1"/>
      </c>
      <c r="HM97">
        <f ca="1"/>
      </c>
      <c r="HN97">
        <f ca="1"/>
      </c>
      <c r="HO97">
        <f ca="1"/>
      </c>
      <c r="HP97">
        <f ca="1"/>
      </c>
      <c r="HQ97">
        <f ca="1"/>
      </c>
      <c r="HR97">
        <f ca="1"/>
      </c>
      <c r="HS97">
        <f ca="1"/>
      </c>
      <c r="LA97">
        <f ca="1"/>
      </c>
      <c r="LB97">
        <f ca="1"/>
      </c>
      <c r="LC97">
        <f ca="1"/>
      </c>
    </row>
    <row r="98" spans="58:315" x14ac:dyDescent="0.55000000000000004">
      <c r="BF98">
        <f ca="1"/>
      </c>
      <c r="BG98">
        <f ca="1"/>
      </c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GX98">
        <f ca="1"/>
      </c>
      <c r="GY98">
        <f ca="1"/>
      </c>
      <c r="GZ98">
        <f ca="1"/>
      </c>
      <c r="HA98">
        <f ca="1"/>
      </c>
      <c r="HB98">
        <f ca="1"/>
      </c>
      <c r="HC98">
        <f ca="1"/>
      </c>
      <c r="HD98">
        <f ca="1"/>
      </c>
      <c r="HE98">
        <f ca="1"/>
      </c>
      <c r="HF98">
        <f ca="1"/>
      </c>
      <c r="HG98">
        <f ca="1"/>
      </c>
      <c r="HH98">
        <f ca="1"/>
      </c>
      <c r="HI98">
        <f ca="1"/>
      </c>
      <c r="HJ98">
        <f ca="1"/>
      </c>
      <c r="HK98">
        <f ca="1"/>
      </c>
      <c r="HL98">
        <f ca="1"/>
      </c>
      <c r="HM98">
        <f ca="1"/>
      </c>
      <c r="HN98">
        <f ca="1"/>
      </c>
      <c r="HO98">
        <f ca="1"/>
      </c>
      <c r="HP98">
        <f ca="1"/>
      </c>
      <c r="HQ98">
        <f ca="1"/>
      </c>
      <c r="HR98">
        <f ca="1"/>
      </c>
      <c r="HS98">
        <f ca="1"/>
      </c>
      <c r="LA98">
        <f ca="1"/>
      </c>
      <c r="LB98">
        <f ca="1"/>
      </c>
      <c r="LC98">
        <f ca="1"/>
      </c>
    </row>
    <row r="99" spans="58:315" x14ac:dyDescent="0.55000000000000004">
      <c r="BF99">
        <f ca="1"/>
      </c>
      <c r="BG99">
        <f ca="1"/>
      </c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GX99">
        <f ca="1"/>
      </c>
      <c r="GY99">
        <f ca="1"/>
      </c>
      <c r="GZ99">
        <f ca="1"/>
      </c>
      <c r="HA99">
        <f ca="1"/>
      </c>
      <c r="HB99">
        <f ca="1"/>
      </c>
      <c r="HC99">
        <f ca="1"/>
      </c>
      <c r="HD99">
        <f ca="1"/>
      </c>
      <c r="HE99">
        <f ca="1"/>
      </c>
      <c r="HF99">
        <f ca="1"/>
      </c>
      <c r="HG99">
        <f ca="1"/>
      </c>
      <c r="HH99">
        <f ca="1"/>
      </c>
      <c r="HI99">
        <f ca="1"/>
      </c>
      <c r="HJ99">
        <f ca="1"/>
      </c>
      <c r="HK99">
        <f ca="1"/>
      </c>
      <c r="HL99">
        <f ca="1"/>
      </c>
      <c r="HM99">
        <f ca="1"/>
      </c>
      <c r="HN99">
        <f ca="1"/>
      </c>
      <c r="HO99">
        <f ca="1"/>
      </c>
      <c r="HP99">
        <f ca="1"/>
      </c>
      <c r="HQ99">
        <f ca="1"/>
      </c>
      <c r="HR99">
        <f ca="1"/>
      </c>
      <c r="HS99">
        <f ca="1"/>
      </c>
      <c r="LA99">
        <f ca="1"/>
      </c>
      <c r="LB99">
        <f ca="1"/>
      </c>
      <c r="LC99">
        <f ca="1"/>
      </c>
    </row>
    <row r="100" spans="58:315" x14ac:dyDescent="0.55000000000000004">
      <c r="BF100">
        <f ca="1"/>
      </c>
      <c r="BG100">
        <f ca="1"/>
      </c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GX100">
        <f ca="1"/>
      </c>
      <c r="GY100">
        <f ca="1"/>
      </c>
      <c r="GZ100">
        <f ca="1"/>
      </c>
      <c r="HA100">
        <f ca="1"/>
      </c>
      <c r="HB100">
        <f ca="1"/>
      </c>
      <c r="HC100">
        <f ca="1"/>
      </c>
      <c r="HD100">
        <f ca="1"/>
      </c>
      <c r="HE100">
        <f ca="1"/>
      </c>
      <c r="HF100">
        <f ca="1"/>
      </c>
      <c r="HG100">
        <f ca="1"/>
      </c>
      <c r="HH100">
        <f ca="1"/>
      </c>
      <c r="HI100">
        <f ca="1"/>
      </c>
      <c r="HJ100">
        <f ca="1"/>
      </c>
      <c r="HK100">
        <f ca="1"/>
      </c>
      <c r="HL100">
        <f ca="1"/>
      </c>
      <c r="HM100">
        <f ca="1"/>
      </c>
      <c r="HN100">
        <f ca="1"/>
      </c>
      <c r="HO100">
        <f ca="1"/>
      </c>
      <c r="HP100">
        <f ca="1"/>
      </c>
      <c r="HQ100">
        <f ca="1"/>
      </c>
      <c r="HR100">
        <f ca="1"/>
      </c>
      <c r="HS100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F101">
        <f ca="1"/>
      </c>
      <c r="BG101">
        <f ca="1"/>
      </c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GX101">
        <f ca="1"/>
      </c>
      <c r="GY101">
        <f ca="1"/>
      </c>
      <c r="GZ101">
        <f ca="1"/>
      </c>
      <c r="HA101">
        <f ca="1"/>
      </c>
      <c r="HB101">
        <f ca="1"/>
      </c>
      <c r="HC101">
        <f ca="1"/>
      </c>
      <c r="HD101">
        <f ca="1"/>
      </c>
      <c r="HE101">
        <f ca="1"/>
      </c>
      <c r="HF101">
        <f ca="1"/>
      </c>
      <c r="HG101">
        <f ca="1"/>
      </c>
      <c r="HH101">
        <f ca="1"/>
      </c>
      <c r="HI101">
        <f ca="1"/>
      </c>
      <c r="HJ101">
        <f ca="1"/>
      </c>
      <c r="HK101">
        <f ca="1"/>
      </c>
      <c r="HL101">
        <f ca="1"/>
      </c>
      <c r="HM101">
        <f ca="1"/>
      </c>
      <c r="HN101">
        <f ca="1"/>
      </c>
      <c r="HO101">
        <f ca="1"/>
      </c>
      <c r="HP101">
        <f ca="1"/>
      </c>
      <c r="HQ101">
        <f ca="1"/>
      </c>
      <c r="HR101">
        <f ca="1"/>
      </c>
      <c r="HS10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F102">
        <f ca="1"/>
      </c>
      <c r="BG102">
        <f ca="1"/>
      </c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GX102">
        <f ca="1"/>
      </c>
      <c r="GY102">
        <f ca="1"/>
      </c>
      <c r="GZ102">
        <f ca="1"/>
      </c>
      <c r="HA102">
        <f ca="1"/>
      </c>
      <c r="HB102">
        <f ca="1"/>
      </c>
      <c r="HC102">
        <f ca="1"/>
      </c>
      <c r="HD102">
        <f ca="1"/>
      </c>
      <c r="HE102">
        <f ca="1"/>
      </c>
      <c r="HF102">
        <f ca="1"/>
      </c>
      <c r="HG102">
        <f ca="1"/>
      </c>
      <c r="HH102">
        <f ca="1"/>
      </c>
      <c r="HI102">
        <f ca="1"/>
      </c>
      <c r="HJ102">
        <f ca="1"/>
      </c>
      <c r="HK102">
        <f ca="1"/>
      </c>
      <c r="HL102">
        <f ca="1"/>
      </c>
      <c r="HM102">
        <f ca="1"/>
      </c>
      <c r="HN102">
        <f ca="1"/>
      </c>
      <c r="HO102">
        <f ca="1"/>
      </c>
      <c r="HP102">
        <f ca="1"/>
      </c>
      <c r="HQ102">
        <f ca="1"/>
      </c>
      <c r="HR102">
        <f ca="1"/>
      </c>
      <c r="HS102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F103">
        <f ca="1"/>
      </c>
      <c r="BG103">
        <f ca="1"/>
      </c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GX103">
        <f ca="1"/>
      </c>
      <c r="GY103">
        <f ca="1"/>
      </c>
      <c r="GZ103">
        <f ca="1"/>
      </c>
      <c r="HA103">
        <f ca="1"/>
      </c>
      <c r="HB103">
        <f ca="1"/>
      </c>
      <c r="HC103">
        <f ca="1"/>
      </c>
      <c r="HD103">
        <f ca="1"/>
      </c>
      <c r="HE103">
        <f ca="1"/>
      </c>
      <c r="HF103">
        <f ca="1"/>
      </c>
      <c r="HG103">
        <f ca="1"/>
      </c>
      <c r="HH103">
        <f ca="1"/>
      </c>
      <c r="HI103">
        <f ca="1"/>
      </c>
      <c r="HJ103">
        <f ca="1"/>
      </c>
      <c r="HK103">
        <f ca="1"/>
      </c>
      <c r="HL103">
        <f ca="1"/>
      </c>
      <c r="HM103">
        <f ca="1"/>
      </c>
      <c r="HN103">
        <f ca="1"/>
      </c>
      <c r="HO103">
        <f ca="1"/>
      </c>
      <c r="HP103">
        <f ca="1"/>
      </c>
      <c r="HQ103">
        <f ca="1"/>
      </c>
      <c r="HR103">
        <f ca="1"/>
      </c>
      <c r="HS103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F104">
        <f ca="1"/>
      </c>
      <c r="BG104">
        <f ca="1"/>
      </c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GX104">
        <f ca="1"/>
      </c>
      <c r="GY104">
        <f ca="1"/>
      </c>
      <c r="GZ104">
        <f ca="1"/>
      </c>
      <c r="HA104">
        <f ca="1"/>
      </c>
      <c r="HB104">
        <f ca="1"/>
      </c>
      <c r="HC104">
        <f ca="1"/>
      </c>
      <c r="HD104">
        <f ca="1"/>
      </c>
      <c r="HE104">
        <f ca="1"/>
      </c>
      <c r="HF104">
        <f ca="1"/>
      </c>
      <c r="HG104">
        <f ca="1"/>
      </c>
      <c r="HH104">
        <f ca="1"/>
      </c>
      <c r="HI104">
        <f ca="1"/>
      </c>
      <c r="HJ104">
        <f ca="1"/>
      </c>
      <c r="HK104">
        <f ca="1"/>
      </c>
      <c r="HL104">
        <f ca="1"/>
      </c>
      <c r="HM104">
        <f ca="1"/>
      </c>
      <c r="HN104">
        <f ca="1"/>
      </c>
      <c r="HO104">
        <f ca="1"/>
      </c>
      <c r="HP104">
        <f ca="1"/>
      </c>
      <c r="HQ104">
        <f ca="1"/>
      </c>
      <c r="HR104">
        <f ca="1"/>
      </c>
      <c r="HS104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F105">
        <f ca="1"/>
      </c>
      <c r="BG105">
        <f ca="1"/>
      </c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GX105">
        <f ca="1"/>
      </c>
      <c r="GY105">
        <f ca="1"/>
      </c>
      <c r="GZ105">
        <f ca="1"/>
      </c>
      <c r="HA105">
        <f ca="1"/>
      </c>
      <c r="HB105">
        <f ca="1"/>
      </c>
      <c r="HC105">
        <f ca="1"/>
      </c>
      <c r="HD105">
        <f ca="1"/>
      </c>
      <c r="HE105">
        <f ca="1"/>
      </c>
      <c r="HF105">
        <f ca="1"/>
      </c>
      <c r="HG105">
        <f ca="1"/>
      </c>
      <c r="HH105">
        <f ca="1"/>
      </c>
      <c r="HI105">
        <f ca="1"/>
      </c>
      <c r="HJ105">
        <f ca="1"/>
      </c>
      <c r="HK105">
        <f ca="1"/>
      </c>
      <c r="HL105">
        <f ca="1"/>
      </c>
      <c r="HM105">
        <f ca="1"/>
      </c>
      <c r="HN105">
        <f ca="1"/>
      </c>
      <c r="HO105">
        <f ca="1"/>
      </c>
      <c r="HP105">
        <f ca="1"/>
      </c>
      <c r="HQ105">
        <f ca="1"/>
      </c>
      <c r="HR105">
        <f ca="1"/>
      </c>
      <c r="HS105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F106">
        <f ca="1"/>
      </c>
      <c r="BG106">
        <f ca="1"/>
      </c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C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R106">
        <f ca="1"/>
      </c>
      <c r="HS106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F107">
        <f ca="1"/>
      </c>
      <c r="BG107">
        <f ca="1"/>
      </c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C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R107">
        <f ca="1"/>
      </c>
      <c r="HS107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F108">
        <f ca="1"/>
      </c>
      <c r="BG108">
        <f ca="1"/>
      </c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C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R108">
        <f ca="1"/>
      </c>
      <c r="HS108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F109">
        <f ca="1"/>
      </c>
      <c r="BG109">
        <f ca="1"/>
      </c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C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R109">
        <f ca="1"/>
      </c>
      <c r="HS109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F110">
        <f ca="1"/>
      </c>
      <c r="BG110">
        <f ca="1"/>
      </c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C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R110">
        <f ca="1"/>
      </c>
      <c r="HS110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F111">
        <f ca="1"/>
      </c>
      <c r="BG111">
        <f ca="1"/>
      </c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C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R111">
        <f ca="1"/>
      </c>
      <c r="HS1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F112">
        <f ca="1"/>
      </c>
      <c r="BG112">
        <f ca="1"/>
      </c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C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R112">
        <f ca="1"/>
      </c>
      <c r="HS112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F113">
        <f ca="1"/>
      </c>
      <c r="BG113">
        <f ca="1"/>
      </c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C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R113">
        <f ca="1"/>
      </c>
      <c r="HS113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F114">
        <f ca="1"/>
      </c>
      <c r="BG114">
        <f ca="1"/>
      </c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C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R114">
        <f ca="1"/>
      </c>
      <c r="HS114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F115">
        <f ca="1"/>
      </c>
      <c r="BG115">
        <f ca="1"/>
      </c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C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R115">
        <f ca="1"/>
      </c>
      <c r="HS115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F116">
        <f ca="1"/>
      </c>
      <c r="BG116">
        <f ca="1"/>
      </c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C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R116">
        <f ca="1"/>
      </c>
      <c r="HS116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F117">
        <f ca="1"/>
      </c>
      <c r="BG117">
        <f ca="1"/>
      </c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C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R117">
        <f ca="1"/>
      </c>
      <c r="HS117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F118">
        <f ca="1"/>
      </c>
      <c r="BG118">
        <f ca="1"/>
      </c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C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R118">
        <f ca="1"/>
      </c>
      <c r="HS118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F119">
        <f ca="1"/>
      </c>
      <c r="BG119">
        <f ca="1"/>
      </c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C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R119">
        <f ca="1"/>
      </c>
      <c r="HS119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F120">
        <f ca="1"/>
      </c>
      <c r="BG120">
        <f ca="1"/>
      </c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C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R120">
        <f ca="1"/>
      </c>
      <c r="HS120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F121">
        <f ca="1"/>
      </c>
      <c r="BG121">
        <f ca="1"/>
      </c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C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R121">
        <f ca="1"/>
      </c>
      <c r="HS12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F122">
        <f ca="1"/>
      </c>
      <c r="BG122">
        <f ca="1"/>
      </c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C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R122">
        <f ca="1"/>
      </c>
      <c r="HS122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F123">
        <f ca="1"/>
      </c>
      <c r="BG123">
        <f ca="1"/>
      </c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GX123">
        <f ca="1"/>
      </c>
      <c r="GY123">
        <f ca="1"/>
      </c>
      <c r="GZ123">
        <f ca="1"/>
      </c>
      <c r="HA123">
        <f ca="1"/>
      </c>
      <c r="HB123">
        <f ca="1"/>
      </c>
      <c r="HC123">
        <f ca="1"/>
      </c>
      <c r="HD123">
        <f ca="1"/>
      </c>
      <c r="HE123">
        <f ca="1"/>
      </c>
      <c r="HF123">
        <f ca="1"/>
      </c>
      <c r="HG123">
        <f ca="1"/>
      </c>
      <c r="HH123">
        <f ca="1"/>
      </c>
      <c r="HI123">
        <f ca="1"/>
      </c>
      <c r="HJ123">
        <f ca="1"/>
      </c>
      <c r="HK123">
        <f ca="1"/>
      </c>
      <c r="HL123">
        <f ca="1"/>
      </c>
      <c r="HM123">
        <f ca="1"/>
      </c>
      <c r="HN123">
        <f ca="1"/>
      </c>
      <c r="HO123">
        <f ca="1"/>
      </c>
      <c r="HP123">
        <f ca="1"/>
      </c>
      <c r="HQ123">
        <f ca="1"/>
      </c>
      <c r="HR123">
        <f ca="1"/>
      </c>
      <c r="HS123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F124">
        <f ca="1"/>
      </c>
      <c r="BG124">
        <f ca="1"/>
      </c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GX124">
        <f ca="1"/>
      </c>
      <c r="GY124">
        <f ca="1"/>
      </c>
      <c r="GZ124">
        <f ca="1"/>
      </c>
      <c r="HA124">
        <f ca="1"/>
      </c>
      <c r="HB124">
        <f ca="1"/>
      </c>
      <c r="HC124">
        <f ca="1"/>
      </c>
      <c r="HD124">
        <f ca="1"/>
      </c>
      <c r="HE124">
        <f ca="1"/>
      </c>
      <c r="HF124">
        <f ca="1"/>
      </c>
      <c r="HG124">
        <f ca="1"/>
      </c>
      <c r="HH124">
        <f ca="1"/>
      </c>
      <c r="HI124">
        <f ca="1"/>
      </c>
      <c r="HJ124">
        <f ca="1"/>
      </c>
      <c r="HK124">
        <f ca="1"/>
      </c>
      <c r="HL124">
        <f ca="1"/>
      </c>
      <c r="HM124">
        <f ca="1"/>
      </c>
      <c r="HN124">
        <f ca="1"/>
      </c>
      <c r="HO124">
        <f ca="1"/>
      </c>
      <c r="HP124">
        <f ca="1"/>
      </c>
      <c r="HQ124">
        <f ca="1"/>
      </c>
      <c r="HR124">
        <f ca="1"/>
      </c>
      <c r="HS124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F125">
        <f ca="1"/>
      </c>
      <c r="BG125">
        <f ca="1"/>
      </c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GX125">
        <f ca="1"/>
      </c>
      <c r="GY125">
        <f ca="1"/>
      </c>
      <c r="GZ125">
        <f ca="1"/>
      </c>
      <c r="HA125">
        <f ca="1"/>
      </c>
      <c r="HB125">
        <f ca="1"/>
      </c>
      <c r="HC125">
        <f ca="1"/>
      </c>
      <c r="HD125">
        <f ca="1"/>
      </c>
      <c r="HE125">
        <f ca="1"/>
      </c>
      <c r="HF125">
        <f ca="1"/>
      </c>
      <c r="HG125">
        <f ca="1"/>
      </c>
      <c r="HH125">
        <f ca="1"/>
      </c>
      <c r="HI125">
        <f ca="1"/>
      </c>
      <c r="HJ125">
        <f ca="1"/>
      </c>
      <c r="HK125">
        <f ca="1"/>
      </c>
      <c r="HL125">
        <f ca="1"/>
      </c>
      <c r="HM125">
        <f ca="1"/>
      </c>
      <c r="HN125">
        <f ca="1"/>
      </c>
      <c r="HO125">
        <f ca="1"/>
      </c>
      <c r="HP125">
        <f ca="1"/>
      </c>
      <c r="HQ125">
        <f ca="1"/>
      </c>
      <c r="HR125">
        <f ca="1"/>
      </c>
      <c r="HS125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F126">
        <f ca="1"/>
      </c>
      <c r="BG126">
        <f ca="1"/>
      </c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GX126">
        <f ca="1"/>
      </c>
      <c r="GY126">
        <f ca="1"/>
      </c>
      <c r="GZ126">
        <f ca="1"/>
      </c>
      <c r="HA126">
        <f ca="1"/>
      </c>
      <c r="HB126">
        <f ca="1"/>
      </c>
      <c r="HC126">
        <f ca="1"/>
      </c>
      <c r="HD126">
        <f ca="1"/>
      </c>
      <c r="HE126">
        <f ca="1"/>
      </c>
      <c r="HF126">
        <f ca="1"/>
      </c>
      <c r="HG126">
        <f ca="1"/>
      </c>
      <c r="HH126">
        <f ca="1"/>
      </c>
      <c r="HI126">
        <f ca="1"/>
      </c>
      <c r="HJ126">
        <f ca="1"/>
      </c>
      <c r="HK126">
        <f ca="1"/>
      </c>
      <c r="HL126">
        <f ca="1"/>
      </c>
      <c r="HM126">
        <f ca="1"/>
      </c>
      <c r="HN126">
        <f ca="1"/>
      </c>
      <c r="HO126">
        <f ca="1"/>
      </c>
      <c r="HP126">
        <f ca="1"/>
      </c>
      <c r="HQ126">
        <f ca="1"/>
      </c>
      <c r="HR126">
        <f ca="1"/>
      </c>
      <c r="HS126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F127">
        <f ca="1"/>
      </c>
      <c r="BG127">
        <f ca="1"/>
      </c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GX127">
        <f ca="1"/>
      </c>
      <c r="GY127">
        <f ca="1"/>
      </c>
      <c r="GZ127">
        <f ca="1"/>
      </c>
      <c r="HA127">
        <f ca="1"/>
      </c>
      <c r="HB127">
        <f ca="1"/>
      </c>
      <c r="HC127">
        <f ca="1"/>
      </c>
      <c r="HD127">
        <f ca="1"/>
      </c>
      <c r="HE127">
        <f ca="1"/>
      </c>
      <c r="HF127">
        <f ca="1"/>
      </c>
      <c r="HG127">
        <f ca="1"/>
      </c>
      <c r="HH127">
        <f ca="1"/>
      </c>
      <c r="HI127">
        <f ca="1"/>
      </c>
      <c r="HJ127">
        <f ca="1"/>
      </c>
      <c r="HK127">
        <f ca="1"/>
      </c>
      <c r="HL127">
        <f ca="1"/>
      </c>
      <c r="HM127">
        <f ca="1"/>
      </c>
      <c r="HN127">
        <f ca="1"/>
      </c>
      <c r="HO127">
        <f ca="1"/>
      </c>
      <c r="HP127">
        <f ca="1"/>
      </c>
      <c r="HQ127">
        <f ca="1"/>
      </c>
      <c r="HR127">
        <f ca="1"/>
      </c>
      <c r="HS127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F128">
        <f ca="1"/>
      </c>
      <c r="BG128">
        <f ca="1"/>
      </c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GX128">
        <f ca="1"/>
      </c>
      <c r="GY128">
        <f ca="1"/>
      </c>
      <c r="GZ128">
        <f ca="1"/>
      </c>
      <c r="HA128">
        <f ca="1"/>
      </c>
      <c r="HB128">
        <f ca="1"/>
      </c>
      <c r="HC128">
        <f ca="1"/>
      </c>
      <c r="HD128">
        <f ca="1"/>
      </c>
      <c r="HE128">
        <f ca="1"/>
      </c>
      <c r="HF128">
        <f ca="1"/>
      </c>
      <c r="HG128">
        <f ca="1"/>
      </c>
      <c r="HH128">
        <f ca="1"/>
      </c>
      <c r="HI128">
        <f ca="1"/>
      </c>
      <c r="HJ128">
        <f ca="1"/>
      </c>
      <c r="HK128">
        <f ca="1"/>
      </c>
      <c r="HL128">
        <f ca="1"/>
      </c>
      <c r="HM128">
        <f ca="1"/>
      </c>
      <c r="HN128">
        <f ca="1"/>
      </c>
      <c r="HO128">
        <f ca="1"/>
      </c>
      <c r="HP128">
        <f ca="1"/>
      </c>
      <c r="HQ128">
        <f ca="1"/>
      </c>
      <c r="HR128">
        <f ca="1"/>
      </c>
      <c r="HS128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F129">
        <f ca="1"/>
      </c>
      <c r="BG129">
        <f ca="1"/>
      </c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GX129">
        <f ca="1"/>
      </c>
      <c r="GY129">
        <f ca="1"/>
      </c>
      <c r="GZ129">
        <f ca="1"/>
      </c>
      <c r="HA129">
        <f ca="1"/>
      </c>
      <c r="HB129">
        <f ca="1"/>
      </c>
      <c r="HC129">
        <f ca="1"/>
      </c>
      <c r="HD129">
        <f ca="1"/>
      </c>
      <c r="HE129">
        <f ca="1"/>
      </c>
      <c r="HF129">
        <f ca="1"/>
      </c>
      <c r="HG129">
        <f ca="1"/>
      </c>
      <c r="HH129">
        <f ca="1"/>
      </c>
      <c r="HI129">
        <f ca="1"/>
      </c>
      <c r="HJ129">
        <f ca="1"/>
      </c>
      <c r="HK129">
        <f ca="1"/>
      </c>
      <c r="HL129">
        <f ca="1"/>
      </c>
      <c r="HM129">
        <f ca="1"/>
      </c>
      <c r="HN129">
        <f ca="1"/>
      </c>
      <c r="HO129">
        <f ca="1"/>
      </c>
      <c r="HP129">
        <f ca="1"/>
      </c>
      <c r="HQ129">
        <f ca="1"/>
      </c>
      <c r="HR129">
        <f ca="1"/>
      </c>
      <c r="HS129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F130">
        <f ca="1"/>
      </c>
      <c r="BG130">
        <f ca="1"/>
      </c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GX130">
        <f ca="1"/>
      </c>
      <c r="GY130">
        <f ca="1"/>
      </c>
      <c r="GZ130">
        <f ca="1"/>
      </c>
      <c r="HA130">
        <f ca="1"/>
      </c>
      <c r="HB130">
        <f ca="1"/>
      </c>
      <c r="HC130">
        <f ca="1"/>
      </c>
      <c r="HD130">
        <f ca="1"/>
      </c>
      <c r="HE130">
        <f ca="1"/>
      </c>
      <c r="HF130">
        <f ca="1"/>
      </c>
      <c r="HG130">
        <f ca="1"/>
      </c>
      <c r="HH130">
        <f ca="1"/>
      </c>
      <c r="HI130">
        <f ca="1"/>
      </c>
      <c r="HJ130">
        <f ca="1"/>
      </c>
      <c r="HK130">
        <f ca="1"/>
      </c>
      <c r="HL130">
        <f ca="1"/>
      </c>
      <c r="HM130">
        <f ca="1"/>
      </c>
      <c r="HN130">
        <f ca="1"/>
      </c>
      <c r="HO130">
        <f ca="1"/>
      </c>
      <c r="HP130">
        <f ca="1"/>
      </c>
      <c r="HQ130">
        <f ca="1"/>
      </c>
      <c r="HR130">
        <f ca="1"/>
      </c>
      <c r="HS130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F131">
        <f ca="1"/>
      </c>
      <c r="BG131">
        <f ca="1"/>
      </c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GX131">
        <f ca="1"/>
      </c>
      <c r="GY131">
        <f ca="1"/>
      </c>
      <c r="GZ131">
        <f ca="1"/>
      </c>
      <c r="HA131">
        <f ca="1"/>
      </c>
      <c r="HB131">
        <f ca="1"/>
      </c>
      <c r="HC131">
        <f ca="1"/>
      </c>
      <c r="HD131">
        <f ca="1"/>
      </c>
      <c r="HE131">
        <f ca="1"/>
      </c>
      <c r="HF131">
        <f ca="1"/>
      </c>
      <c r="HG131">
        <f ca="1"/>
      </c>
      <c r="HH131">
        <f ca="1"/>
      </c>
      <c r="HI131">
        <f ca="1"/>
      </c>
      <c r="HJ131">
        <f ca="1"/>
      </c>
      <c r="HK131">
        <f ca="1"/>
      </c>
      <c r="HL131">
        <f ca="1"/>
      </c>
      <c r="HM131">
        <f ca="1"/>
      </c>
      <c r="HN131">
        <f ca="1"/>
      </c>
      <c r="HO131">
        <f ca="1"/>
      </c>
      <c r="HP131">
        <f ca="1"/>
      </c>
      <c r="HQ131">
        <f ca="1"/>
      </c>
      <c r="HR131">
        <f ca="1"/>
      </c>
      <c r="HS13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F132">
        <f ca="1"/>
      </c>
      <c r="BG132">
        <f ca="1"/>
      </c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GX132">
        <f ca="1"/>
      </c>
      <c r="GY132">
        <f ca="1"/>
      </c>
      <c r="GZ132">
        <f ca="1"/>
      </c>
      <c r="HA132">
        <f ca="1"/>
      </c>
      <c r="HB132">
        <f ca="1"/>
      </c>
      <c r="HC132">
        <f ca="1"/>
      </c>
      <c r="HD132">
        <f ca="1"/>
      </c>
      <c r="HE132">
        <f ca="1"/>
      </c>
      <c r="HF132">
        <f ca="1"/>
      </c>
      <c r="HG132">
        <f ca="1"/>
      </c>
      <c r="HH132">
        <f ca="1"/>
      </c>
      <c r="HI132">
        <f ca="1"/>
      </c>
      <c r="HJ132">
        <f ca="1"/>
      </c>
      <c r="HK132">
        <f ca="1"/>
      </c>
      <c r="HL132">
        <f ca="1"/>
      </c>
      <c r="HM132">
        <f ca="1"/>
      </c>
      <c r="HN132">
        <f ca="1"/>
      </c>
      <c r="HO132">
        <f ca="1"/>
      </c>
      <c r="HP132">
        <f ca="1"/>
      </c>
      <c r="HQ132">
        <f ca="1"/>
      </c>
      <c r="HR132">
        <f ca="1"/>
      </c>
      <c r="HS132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F133">
        <f ca="1"/>
      </c>
      <c r="BG133">
        <f ca="1"/>
      </c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GX133">
        <f ca="1"/>
      </c>
      <c r="GY133">
        <f ca="1"/>
      </c>
      <c r="GZ133">
        <f ca="1"/>
      </c>
      <c r="HA133">
        <f ca="1"/>
      </c>
      <c r="HB133">
        <f ca="1"/>
      </c>
      <c r="HC133">
        <f ca="1"/>
      </c>
      <c r="HD133">
        <f ca="1"/>
      </c>
      <c r="HE133">
        <f ca="1"/>
      </c>
      <c r="HF133">
        <f ca="1"/>
      </c>
      <c r="HG133">
        <f ca="1"/>
      </c>
      <c r="HH133">
        <f ca="1"/>
      </c>
      <c r="HI133">
        <f ca="1"/>
      </c>
      <c r="HJ133">
        <f ca="1"/>
      </c>
      <c r="HK133">
        <f ca="1"/>
      </c>
      <c r="HL133">
        <f ca="1"/>
      </c>
      <c r="HM133">
        <f ca="1"/>
      </c>
      <c r="HN133">
        <f ca="1"/>
      </c>
      <c r="HO133">
        <f ca="1"/>
      </c>
      <c r="HP133">
        <f ca="1"/>
      </c>
      <c r="HQ133">
        <f ca="1"/>
      </c>
      <c r="HR133">
        <f ca="1"/>
      </c>
      <c r="HS133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F134">
        <f ca="1"/>
      </c>
      <c r="BG134">
        <f ca="1"/>
      </c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GX134">
        <f ca="1"/>
      </c>
      <c r="GY134">
        <f ca="1"/>
      </c>
      <c r="GZ134">
        <f ca="1"/>
      </c>
      <c r="HA134">
        <f ca="1"/>
      </c>
      <c r="HB134">
        <f ca="1"/>
      </c>
      <c r="HC134">
        <f ca="1"/>
      </c>
      <c r="HD134">
        <f ca="1"/>
      </c>
      <c r="HE134">
        <f ca="1"/>
      </c>
      <c r="HF134">
        <f ca="1"/>
      </c>
      <c r="HG134">
        <f ca="1"/>
      </c>
      <c r="HH134">
        <f ca="1"/>
      </c>
      <c r="HI134">
        <f ca="1"/>
      </c>
      <c r="HJ134">
        <f ca="1"/>
      </c>
      <c r="HK134">
        <f ca="1"/>
      </c>
      <c r="HL134">
        <f ca="1"/>
      </c>
      <c r="HM134">
        <f ca="1"/>
      </c>
      <c r="HN134">
        <f ca="1"/>
      </c>
      <c r="HO134">
        <f ca="1"/>
      </c>
      <c r="HP134">
        <f ca="1"/>
      </c>
      <c r="HQ134">
        <f ca="1"/>
      </c>
      <c r="HR134">
        <f ca="1"/>
      </c>
      <c r="HS134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F135">
        <f ca="1"/>
      </c>
      <c r="BG135">
        <f ca="1"/>
      </c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GX135">
        <f ca="1"/>
      </c>
      <c r="GY135">
        <f ca="1"/>
      </c>
      <c r="GZ135">
        <f ca="1"/>
      </c>
      <c r="HA135">
        <f ca="1"/>
      </c>
      <c r="HB135">
        <f ca="1"/>
      </c>
      <c r="HC135">
        <f ca="1"/>
      </c>
      <c r="HD135">
        <f ca="1"/>
      </c>
      <c r="HE135">
        <f ca="1"/>
      </c>
      <c r="HF135">
        <f ca="1"/>
      </c>
      <c r="HG135">
        <f ca="1"/>
      </c>
      <c r="HH135">
        <f ca="1"/>
      </c>
      <c r="HI135">
        <f ca="1"/>
      </c>
      <c r="HJ135">
        <f ca="1"/>
      </c>
      <c r="HK135">
        <f ca="1"/>
      </c>
      <c r="HL135">
        <f ca="1"/>
      </c>
      <c r="HM135">
        <f ca="1"/>
      </c>
      <c r="HN135">
        <f ca="1"/>
      </c>
      <c r="HO135">
        <f ca="1"/>
      </c>
      <c r="HP135">
        <f ca="1"/>
      </c>
      <c r="HQ135">
        <f ca="1"/>
      </c>
      <c r="HR135">
        <f ca="1"/>
      </c>
      <c r="HS135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F136">
        <f ca="1"/>
      </c>
      <c r="BG136">
        <f ca="1"/>
      </c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GX136">
        <f ca="1"/>
      </c>
      <c r="GY136">
        <f ca="1"/>
      </c>
      <c r="GZ136">
        <f ca="1"/>
      </c>
      <c r="HA136">
        <f ca="1"/>
      </c>
      <c r="HB136">
        <f ca="1"/>
      </c>
      <c r="HC136">
        <f ca="1"/>
      </c>
      <c r="HD136">
        <f ca="1"/>
      </c>
      <c r="HE136">
        <f ca="1"/>
      </c>
      <c r="HF136">
        <f ca="1"/>
      </c>
      <c r="HG136">
        <f ca="1"/>
      </c>
      <c r="HH136">
        <f ca="1"/>
      </c>
      <c r="HI136">
        <f ca="1"/>
      </c>
      <c r="HJ136">
        <f ca="1"/>
      </c>
      <c r="HK136">
        <f ca="1"/>
      </c>
      <c r="HL136">
        <f ca="1"/>
      </c>
      <c r="HM136">
        <f ca="1"/>
      </c>
      <c r="HN136">
        <f ca="1"/>
      </c>
      <c r="HO136">
        <f ca="1"/>
      </c>
      <c r="HP136">
        <f ca="1"/>
      </c>
      <c r="HQ136">
        <f ca="1"/>
      </c>
      <c r="HR136">
        <f ca="1"/>
      </c>
      <c r="HS136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F137">
        <f ca="1"/>
      </c>
      <c r="BG137">
        <f ca="1"/>
      </c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GX137">
        <f ca="1"/>
      </c>
      <c r="GY137">
        <f ca="1"/>
      </c>
      <c r="GZ137">
        <f ca="1"/>
      </c>
      <c r="HA137">
        <f ca="1"/>
      </c>
      <c r="HB137">
        <f ca="1"/>
      </c>
      <c r="HC137">
        <f ca="1"/>
      </c>
      <c r="HD137">
        <f ca="1"/>
      </c>
      <c r="HE137">
        <f ca="1"/>
      </c>
      <c r="HF137">
        <f ca="1"/>
      </c>
      <c r="HG137">
        <f ca="1"/>
      </c>
      <c r="HH137">
        <f ca="1"/>
      </c>
      <c r="HI137">
        <f ca="1"/>
      </c>
      <c r="HJ137">
        <f ca="1"/>
      </c>
      <c r="HK137">
        <f ca="1"/>
      </c>
      <c r="HL137">
        <f ca="1"/>
      </c>
      <c r="HM137">
        <f ca="1"/>
      </c>
      <c r="HN137">
        <f ca="1"/>
      </c>
      <c r="HO137">
        <f ca="1"/>
      </c>
      <c r="HP137">
        <f ca="1"/>
      </c>
      <c r="HQ137">
        <f ca="1"/>
      </c>
      <c r="HR137">
        <f ca="1"/>
      </c>
      <c r="HS137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F138">
        <f ca="1"/>
      </c>
      <c r="BG138">
        <f ca="1"/>
      </c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GX138">
        <f ca="1"/>
      </c>
      <c r="GY138">
        <f ca="1"/>
      </c>
      <c r="GZ138">
        <f ca="1"/>
      </c>
      <c r="HA138">
        <f ca="1"/>
      </c>
      <c r="HB138">
        <f ca="1"/>
      </c>
      <c r="HC138">
        <f ca="1"/>
      </c>
      <c r="HD138">
        <f ca="1"/>
      </c>
      <c r="HE138">
        <f ca="1"/>
      </c>
      <c r="HF138">
        <f ca="1"/>
      </c>
      <c r="HG138">
        <f ca="1"/>
      </c>
      <c r="HH138">
        <f ca="1"/>
      </c>
      <c r="HI138">
        <f ca="1"/>
      </c>
      <c r="HJ138">
        <f ca="1"/>
      </c>
      <c r="HK138">
        <f ca="1"/>
      </c>
      <c r="HL138">
        <f ca="1"/>
      </c>
      <c r="HM138">
        <f ca="1"/>
      </c>
      <c r="HN138">
        <f ca="1"/>
      </c>
      <c r="HO138">
        <f ca="1"/>
      </c>
      <c r="HP138">
        <f ca="1"/>
      </c>
      <c r="HQ138">
        <f ca="1"/>
      </c>
      <c r="HR138">
        <f ca="1"/>
      </c>
      <c r="HS138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F139">
        <f ca="1"/>
      </c>
      <c r="BG139">
        <f ca="1"/>
      </c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GX139">
        <f ca="1"/>
      </c>
      <c r="GY139">
        <f ca="1"/>
      </c>
      <c r="GZ139">
        <f ca="1"/>
      </c>
      <c r="HA139">
        <f ca="1"/>
      </c>
      <c r="HB139">
        <f ca="1"/>
      </c>
      <c r="HC139">
        <f ca="1"/>
      </c>
      <c r="HD139">
        <f ca="1"/>
      </c>
      <c r="HE139">
        <f ca="1"/>
      </c>
      <c r="HF139">
        <f ca="1"/>
      </c>
      <c r="HG139">
        <f ca="1"/>
      </c>
      <c r="HH139">
        <f ca="1"/>
      </c>
      <c r="HI139">
        <f ca="1"/>
      </c>
      <c r="HJ139">
        <f ca="1"/>
      </c>
      <c r="HK139">
        <f ca="1"/>
      </c>
      <c r="HL139">
        <f ca="1"/>
      </c>
      <c r="HM139">
        <f ca="1"/>
      </c>
      <c r="HN139">
        <f ca="1"/>
      </c>
      <c r="HO139">
        <f ca="1"/>
      </c>
      <c r="HP139">
        <f ca="1"/>
      </c>
      <c r="HQ139">
        <f ca="1"/>
      </c>
      <c r="HR139">
        <f ca="1"/>
      </c>
      <c r="HS139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F140">
        <f ca="1"/>
      </c>
      <c r="BG140">
        <f ca="1"/>
      </c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GX140">
        <f ca="1"/>
      </c>
      <c r="GY140">
        <f ca="1"/>
      </c>
      <c r="GZ140">
        <f ca="1"/>
      </c>
      <c r="HA140">
        <f ca="1"/>
      </c>
      <c r="HB140">
        <f ca="1"/>
      </c>
      <c r="HC140">
        <f ca="1"/>
      </c>
      <c r="HD140">
        <f ca="1"/>
      </c>
      <c r="HE140">
        <f ca="1"/>
      </c>
      <c r="HF140">
        <f ca="1"/>
      </c>
      <c r="HG140">
        <f ca="1"/>
      </c>
      <c r="HH140">
        <f ca="1"/>
      </c>
      <c r="HI140">
        <f ca="1"/>
      </c>
      <c r="HJ140">
        <f ca="1"/>
      </c>
      <c r="HK140">
        <f ca="1"/>
      </c>
      <c r="HL140">
        <f ca="1"/>
      </c>
      <c r="HM140">
        <f ca="1"/>
      </c>
      <c r="HN140">
        <f ca="1"/>
      </c>
      <c r="HO140">
        <f ca="1"/>
      </c>
      <c r="HP140">
        <f ca="1"/>
      </c>
      <c r="HQ140">
        <f ca="1"/>
      </c>
      <c r="HR140">
        <f ca="1"/>
      </c>
      <c r="HS140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F141">
        <f ca="1"/>
      </c>
      <c r="BG141">
        <f ca="1"/>
      </c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GX141">
        <f ca="1"/>
      </c>
      <c r="GY141">
        <f ca="1"/>
      </c>
      <c r="GZ141">
        <f ca="1"/>
      </c>
      <c r="HA141">
        <f ca="1"/>
      </c>
      <c r="HB141">
        <f ca="1"/>
      </c>
      <c r="HC141">
        <f ca="1"/>
      </c>
      <c r="HD141">
        <f ca="1"/>
      </c>
      <c r="HE141">
        <f ca="1"/>
      </c>
      <c r="HF141">
        <f ca="1"/>
      </c>
      <c r="HG141">
        <f ca="1"/>
      </c>
      <c r="HH141">
        <f ca="1"/>
      </c>
      <c r="HI141">
        <f ca="1"/>
      </c>
      <c r="HJ141">
        <f ca="1"/>
      </c>
      <c r="HK141">
        <f ca="1"/>
      </c>
      <c r="HL141">
        <f ca="1"/>
      </c>
      <c r="HM141">
        <f ca="1"/>
      </c>
      <c r="HN141">
        <f ca="1"/>
      </c>
      <c r="HO141">
        <f ca="1"/>
      </c>
      <c r="HP141">
        <f ca="1"/>
      </c>
      <c r="HQ141">
        <f ca="1"/>
      </c>
      <c r="HR141">
        <f ca="1"/>
      </c>
      <c r="HS14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F142">
        <f ca="1"/>
      </c>
      <c r="BG142">
        <f ca="1"/>
      </c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GX142">
        <f ca="1"/>
      </c>
      <c r="GY142">
        <f ca="1"/>
      </c>
      <c r="GZ142">
        <f ca="1"/>
      </c>
      <c r="HA142">
        <f ca="1"/>
      </c>
      <c r="HB142">
        <f ca="1"/>
      </c>
      <c r="HC142">
        <f ca="1"/>
      </c>
      <c r="HD142">
        <f ca="1"/>
      </c>
      <c r="HE142">
        <f ca="1"/>
      </c>
      <c r="HF142">
        <f ca="1"/>
      </c>
      <c r="HG142">
        <f ca="1"/>
      </c>
      <c r="HH142">
        <f ca="1"/>
      </c>
      <c r="HI142">
        <f ca="1"/>
      </c>
      <c r="HJ142">
        <f ca="1"/>
      </c>
      <c r="HK142">
        <f ca="1"/>
      </c>
      <c r="HL142">
        <f ca="1"/>
      </c>
      <c r="HM142">
        <f ca="1"/>
      </c>
      <c r="HN142">
        <f ca="1"/>
      </c>
      <c r="HO142">
        <f ca="1"/>
      </c>
      <c r="HP142">
        <f ca="1"/>
      </c>
      <c r="HQ142">
        <f ca="1"/>
      </c>
      <c r="HR142">
        <f ca="1"/>
      </c>
      <c r="HS142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F143">
        <f ca="1"/>
      </c>
      <c r="BG143">
        <f ca="1"/>
      </c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GX143">
        <f ca="1"/>
      </c>
      <c r="GY143">
        <f ca="1"/>
      </c>
      <c r="GZ143">
        <f ca="1"/>
      </c>
      <c r="HA143">
        <f ca="1"/>
      </c>
      <c r="HB143">
        <f ca="1"/>
      </c>
      <c r="HC143">
        <f ca="1"/>
      </c>
      <c r="HD143">
        <f ca="1"/>
      </c>
      <c r="HE143">
        <f ca="1"/>
      </c>
      <c r="HF143">
        <f ca="1"/>
      </c>
      <c r="HG143">
        <f ca="1"/>
      </c>
      <c r="HH143">
        <f ca="1"/>
      </c>
      <c r="HI143">
        <f ca="1"/>
      </c>
      <c r="HJ143">
        <f ca="1"/>
      </c>
      <c r="HK143">
        <f ca="1"/>
      </c>
      <c r="HL143">
        <f ca="1"/>
      </c>
      <c r="HM143">
        <f ca="1"/>
      </c>
      <c r="HN143">
        <f ca="1"/>
      </c>
      <c r="HO143">
        <f ca="1"/>
      </c>
      <c r="HP143">
        <f ca="1"/>
      </c>
      <c r="HQ143">
        <f ca="1"/>
      </c>
      <c r="HR143">
        <f ca="1"/>
      </c>
      <c r="HS143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F144">
        <f ca="1"/>
      </c>
      <c r="BG144">
        <f ca="1"/>
      </c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GX144">
        <f ca="1"/>
      </c>
      <c r="GY144">
        <f ca="1"/>
      </c>
      <c r="GZ144">
        <f ca="1"/>
      </c>
      <c r="HA144">
        <f ca="1"/>
      </c>
      <c r="HB144">
        <f ca="1"/>
      </c>
      <c r="HC144">
        <f ca="1"/>
      </c>
      <c r="HD144">
        <f ca="1"/>
      </c>
      <c r="HE144">
        <f ca="1"/>
      </c>
      <c r="HF144">
        <f ca="1"/>
      </c>
      <c r="HG144">
        <f ca="1"/>
      </c>
      <c r="HH144">
        <f ca="1"/>
      </c>
      <c r="HI144">
        <f ca="1"/>
      </c>
      <c r="HJ144">
        <f ca="1"/>
      </c>
      <c r="HK144">
        <f ca="1"/>
      </c>
      <c r="HL144">
        <f ca="1"/>
      </c>
      <c r="HM144">
        <f ca="1"/>
      </c>
      <c r="HN144">
        <f ca="1"/>
      </c>
      <c r="HO144">
        <f ca="1"/>
      </c>
      <c r="HP144">
        <f ca="1"/>
      </c>
      <c r="HQ144">
        <f ca="1"/>
      </c>
      <c r="HR144">
        <f ca="1"/>
      </c>
      <c r="HS144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F145">
        <f ca="1"/>
      </c>
      <c r="BG145">
        <f ca="1"/>
      </c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GX145">
        <f ca="1"/>
      </c>
      <c r="GY145">
        <f ca="1"/>
      </c>
      <c r="GZ145">
        <f ca="1"/>
      </c>
      <c r="HA145">
        <f ca="1"/>
      </c>
      <c r="HB145">
        <f ca="1"/>
      </c>
      <c r="HC145">
        <f ca="1"/>
      </c>
      <c r="HD145">
        <f ca="1"/>
      </c>
      <c r="HE145">
        <f ca="1"/>
      </c>
      <c r="HF145">
        <f ca="1"/>
      </c>
      <c r="HG145">
        <f ca="1"/>
      </c>
      <c r="HH145">
        <f ca="1"/>
      </c>
      <c r="HI145">
        <f ca="1"/>
      </c>
      <c r="HJ145">
        <f ca="1"/>
      </c>
      <c r="HK145">
        <f ca="1"/>
      </c>
      <c r="HL145">
        <f ca="1"/>
      </c>
      <c r="HM145">
        <f ca="1"/>
      </c>
      <c r="HN145">
        <f ca="1"/>
      </c>
      <c r="HO145">
        <f ca="1"/>
      </c>
      <c r="HP145">
        <f ca="1"/>
      </c>
      <c r="HQ145">
        <f ca="1"/>
      </c>
      <c r="HR145">
        <f ca="1"/>
      </c>
      <c r="HS145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F146">
        <f ca="1"/>
      </c>
      <c r="BG146">
        <f ca="1"/>
      </c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GX146">
        <f ca="1"/>
      </c>
      <c r="GY146">
        <f ca="1"/>
      </c>
      <c r="GZ146">
        <f ca="1"/>
      </c>
      <c r="HA146">
        <f ca="1"/>
      </c>
      <c r="HB146">
        <f ca="1"/>
      </c>
      <c r="HC146">
        <f ca="1"/>
      </c>
      <c r="HD146">
        <f ca="1"/>
      </c>
      <c r="HE146">
        <f ca="1"/>
      </c>
      <c r="HF146">
        <f ca="1"/>
      </c>
      <c r="HG146">
        <f ca="1"/>
      </c>
      <c r="HH146">
        <f ca="1"/>
      </c>
      <c r="HI146">
        <f ca="1"/>
      </c>
      <c r="HJ146">
        <f ca="1"/>
      </c>
      <c r="HK146">
        <f ca="1"/>
      </c>
      <c r="HL146">
        <f ca="1"/>
      </c>
      <c r="HM146">
        <f ca="1"/>
      </c>
      <c r="HN146">
        <f ca="1"/>
      </c>
      <c r="HO146">
        <f ca="1"/>
      </c>
      <c r="HP146">
        <f ca="1"/>
      </c>
      <c r="HQ146">
        <f ca="1"/>
      </c>
      <c r="HR146">
        <f ca="1"/>
      </c>
      <c r="HS146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F147">
        <f ca="1"/>
      </c>
      <c r="BG147">
        <f ca="1"/>
      </c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GX147">
        <f ca="1"/>
      </c>
      <c r="GY147">
        <f ca="1"/>
      </c>
      <c r="GZ147">
        <f ca="1"/>
      </c>
      <c r="HA147">
        <f ca="1"/>
      </c>
      <c r="HB147">
        <f ca="1"/>
      </c>
      <c r="HC147">
        <f ca="1"/>
      </c>
      <c r="HD147">
        <f ca="1"/>
      </c>
      <c r="HE147">
        <f ca="1"/>
      </c>
      <c r="HF147">
        <f ca="1"/>
      </c>
      <c r="HG147">
        <f ca="1"/>
      </c>
      <c r="HH147">
        <f ca="1"/>
      </c>
      <c r="HI147">
        <f ca="1"/>
      </c>
      <c r="HJ147">
        <f ca="1"/>
      </c>
      <c r="HK147">
        <f ca="1"/>
      </c>
      <c r="HL147">
        <f ca="1"/>
      </c>
      <c r="HM147">
        <f ca="1"/>
      </c>
      <c r="HN147">
        <f ca="1"/>
      </c>
      <c r="HO147">
        <f ca="1"/>
      </c>
      <c r="HP147">
        <f ca="1"/>
      </c>
      <c r="HQ147">
        <f ca="1"/>
      </c>
      <c r="HR147">
        <f ca="1"/>
      </c>
      <c r="HS147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F148">
        <f ca="1"/>
      </c>
      <c r="BG148">
        <f ca="1"/>
      </c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GX148">
        <f ca="1"/>
      </c>
      <c r="GY148">
        <f ca="1"/>
      </c>
      <c r="GZ148">
        <f ca="1"/>
      </c>
      <c r="HA148">
        <f ca="1"/>
      </c>
      <c r="HB148">
        <f ca="1"/>
      </c>
      <c r="HC148">
        <f ca="1"/>
      </c>
      <c r="HD148">
        <f ca="1"/>
      </c>
      <c r="HE148">
        <f ca="1"/>
      </c>
      <c r="HF148">
        <f ca="1"/>
      </c>
      <c r="HG148">
        <f ca="1"/>
      </c>
      <c r="HH148">
        <f ca="1"/>
      </c>
      <c r="HI148">
        <f ca="1"/>
      </c>
      <c r="HJ148">
        <f ca="1"/>
      </c>
      <c r="HK148">
        <f ca="1"/>
      </c>
      <c r="HL148">
        <f ca="1"/>
      </c>
      <c r="HM148">
        <f ca="1"/>
      </c>
      <c r="HN148">
        <f ca="1"/>
      </c>
      <c r="HO148">
        <f ca="1"/>
      </c>
      <c r="HP148">
        <f ca="1"/>
      </c>
      <c r="HQ148">
        <f ca="1"/>
      </c>
      <c r="HR148">
        <f ca="1"/>
      </c>
      <c r="HS148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F149">
        <f ca="1"/>
      </c>
      <c r="BG149">
        <f ca="1"/>
      </c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GX149">
        <f ca="1"/>
      </c>
      <c r="GY149">
        <f ca="1"/>
      </c>
      <c r="GZ149">
        <f ca="1"/>
      </c>
      <c r="HA149">
        <f ca="1"/>
      </c>
      <c r="HB149">
        <f ca="1"/>
      </c>
      <c r="HC149">
        <f ca="1"/>
      </c>
      <c r="HD149">
        <f ca="1"/>
      </c>
      <c r="HE149">
        <f ca="1"/>
      </c>
      <c r="HF149">
        <f ca="1"/>
      </c>
      <c r="HG149">
        <f ca="1"/>
      </c>
      <c r="HH149">
        <f ca="1"/>
      </c>
      <c r="HI149">
        <f ca="1"/>
      </c>
      <c r="HJ149">
        <f ca="1"/>
      </c>
      <c r="HK149">
        <f ca="1"/>
      </c>
      <c r="HL149">
        <f ca="1"/>
      </c>
      <c r="HM149">
        <f ca="1"/>
      </c>
      <c r="HN149">
        <f ca="1"/>
      </c>
      <c r="HO149">
        <f ca="1"/>
      </c>
      <c r="HP149">
        <f ca="1"/>
      </c>
      <c r="HQ149">
        <f ca="1"/>
      </c>
      <c r="HR149">
        <f ca="1"/>
      </c>
      <c r="HS149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F150">
        <f ca="1"/>
      </c>
      <c r="BG150">
        <f ca="1"/>
      </c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GX150">
        <f ca="1"/>
      </c>
      <c r="GY150">
        <f ca="1"/>
      </c>
      <c r="GZ150">
        <f ca="1"/>
      </c>
      <c r="HA150">
        <f ca="1"/>
      </c>
      <c r="HB150">
        <f ca="1"/>
      </c>
      <c r="HC150">
        <f ca="1"/>
      </c>
      <c r="HD150">
        <f ca="1"/>
      </c>
      <c r="HE150">
        <f ca="1"/>
      </c>
      <c r="HF150">
        <f ca="1"/>
      </c>
      <c r="HG150">
        <f ca="1"/>
      </c>
      <c r="HH150">
        <f ca="1"/>
      </c>
      <c r="HI150">
        <f ca="1"/>
      </c>
      <c r="HJ150">
        <f ca="1"/>
      </c>
      <c r="HK150">
        <f ca="1"/>
      </c>
      <c r="HL150">
        <f ca="1"/>
      </c>
      <c r="HM150">
        <f ca="1"/>
      </c>
      <c r="HN150">
        <f ca="1"/>
      </c>
      <c r="HO150">
        <f ca="1"/>
      </c>
      <c r="HP150">
        <f ca="1"/>
      </c>
      <c r="HQ150">
        <f ca="1"/>
      </c>
      <c r="HR150">
        <f ca="1"/>
      </c>
      <c r="HS150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F151">
        <f ca="1"/>
      </c>
      <c r="BG151">
        <f ca="1"/>
      </c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GX151">
        <f ca="1"/>
      </c>
      <c r="GY151">
        <f ca="1"/>
      </c>
      <c r="GZ151">
        <f ca="1"/>
      </c>
      <c r="HA151">
        <f ca="1"/>
      </c>
      <c r="HB151">
        <f ca="1"/>
      </c>
      <c r="HC151">
        <f ca="1"/>
      </c>
      <c r="HD151">
        <f ca="1"/>
      </c>
      <c r="HE151">
        <f ca="1"/>
      </c>
      <c r="HF151">
        <f ca="1"/>
      </c>
      <c r="HG151">
        <f ca="1"/>
      </c>
      <c r="HH151">
        <f ca="1"/>
      </c>
      <c r="HI151">
        <f ca="1"/>
      </c>
      <c r="HJ151">
        <f ca="1"/>
      </c>
      <c r="HK151">
        <f ca="1"/>
      </c>
      <c r="HL151">
        <f ca="1"/>
      </c>
      <c r="HM151">
        <f ca="1"/>
      </c>
      <c r="HN151">
        <f ca="1"/>
      </c>
      <c r="HO151">
        <f ca="1"/>
      </c>
      <c r="HP151">
        <f ca="1"/>
      </c>
      <c r="HQ151">
        <f ca="1"/>
      </c>
      <c r="HR151">
        <f ca="1"/>
      </c>
      <c r="HS15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F152">
        <f ca="1"/>
      </c>
      <c r="BG152">
        <f ca="1"/>
      </c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GX152">
        <f ca="1"/>
      </c>
      <c r="GY152">
        <f ca="1"/>
      </c>
      <c r="GZ152">
        <f ca="1"/>
      </c>
      <c r="HA152">
        <f ca="1"/>
      </c>
      <c r="HB152">
        <f ca="1"/>
      </c>
      <c r="HC152">
        <f ca="1"/>
      </c>
      <c r="HD152">
        <f ca="1"/>
      </c>
      <c r="HE152">
        <f ca="1"/>
      </c>
      <c r="HF152">
        <f ca="1"/>
      </c>
      <c r="HG152">
        <f ca="1"/>
      </c>
      <c r="HH152">
        <f ca="1"/>
      </c>
      <c r="HI152">
        <f ca="1"/>
      </c>
      <c r="HJ152">
        <f ca="1"/>
      </c>
      <c r="HK152">
        <f ca="1"/>
      </c>
      <c r="HL152">
        <f ca="1"/>
      </c>
      <c r="HM152">
        <f ca="1"/>
      </c>
      <c r="HN152">
        <f ca="1"/>
      </c>
      <c r="HO152">
        <f ca="1"/>
      </c>
      <c r="HP152">
        <f ca="1"/>
      </c>
      <c r="HQ152">
        <f ca="1"/>
      </c>
      <c r="HR152">
        <f ca="1"/>
      </c>
      <c r="HS152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F153">
        <f ca="1"/>
      </c>
      <c r="BG153">
        <f ca="1"/>
      </c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GX153">
        <f ca="1"/>
      </c>
      <c r="GY153">
        <f ca="1"/>
      </c>
      <c r="GZ153">
        <f ca="1"/>
      </c>
      <c r="HA153">
        <f ca="1"/>
      </c>
      <c r="HB153">
        <f ca="1"/>
      </c>
      <c r="HC153">
        <f ca="1"/>
      </c>
      <c r="HD153">
        <f ca="1"/>
      </c>
      <c r="HE153">
        <f ca="1"/>
      </c>
      <c r="HF153">
        <f ca="1"/>
      </c>
      <c r="HG153">
        <f ca="1"/>
      </c>
      <c r="HH153">
        <f ca="1"/>
      </c>
      <c r="HI153">
        <f ca="1"/>
      </c>
      <c r="HJ153">
        <f ca="1"/>
      </c>
      <c r="HK153">
        <f ca="1"/>
      </c>
      <c r="HL153">
        <f ca="1"/>
      </c>
      <c r="HM153">
        <f ca="1"/>
      </c>
      <c r="HN153">
        <f ca="1"/>
      </c>
      <c r="HO153">
        <f ca="1"/>
      </c>
      <c r="HP153">
        <f ca="1"/>
      </c>
      <c r="HQ153">
        <f ca="1"/>
      </c>
      <c r="HR153">
        <f ca="1"/>
      </c>
      <c r="HS153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F154">
        <f ca="1"/>
      </c>
      <c r="BG154">
        <f ca="1"/>
      </c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GX154">
        <f ca="1"/>
      </c>
      <c r="GY154">
        <f ca="1"/>
      </c>
      <c r="GZ154">
        <f ca="1"/>
      </c>
      <c r="HA154">
        <f ca="1"/>
      </c>
      <c r="HB154">
        <f ca="1"/>
      </c>
      <c r="HC154">
        <f ca="1"/>
      </c>
      <c r="HD154">
        <f ca="1"/>
      </c>
      <c r="HE154">
        <f ca="1"/>
      </c>
      <c r="HF154">
        <f ca="1"/>
      </c>
      <c r="HG154">
        <f ca="1"/>
      </c>
      <c r="HH154">
        <f ca="1"/>
      </c>
      <c r="HI154">
        <f ca="1"/>
      </c>
      <c r="HJ154">
        <f ca="1"/>
      </c>
      <c r="HK154">
        <f ca="1"/>
      </c>
      <c r="HL154">
        <f ca="1"/>
      </c>
      <c r="HM154">
        <f ca="1"/>
      </c>
      <c r="HN154">
        <f ca="1"/>
      </c>
      <c r="HO154">
        <f ca="1"/>
      </c>
      <c r="HP154">
        <f ca="1"/>
      </c>
      <c r="HQ154">
        <f ca="1"/>
      </c>
      <c r="HR154">
        <f ca="1"/>
      </c>
      <c r="HS154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F155">
        <f ca="1"/>
      </c>
      <c r="BG155">
        <f ca="1"/>
      </c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GX155">
        <f ca="1"/>
      </c>
      <c r="GY155">
        <f ca="1"/>
      </c>
      <c r="GZ155">
        <f ca="1"/>
      </c>
      <c r="HA155">
        <f ca="1"/>
      </c>
      <c r="HB155">
        <f ca="1"/>
      </c>
      <c r="HC155">
        <f ca="1"/>
      </c>
      <c r="HD155">
        <f ca="1"/>
      </c>
      <c r="HE155">
        <f ca="1"/>
      </c>
      <c r="HF155">
        <f ca="1"/>
      </c>
      <c r="HG155">
        <f ca="1"/>
      </c>
      <c r="HH155">
        <f ca="1"/>
      </c>
      <c r="HI155">
        <f ca="1"/>
      </c>
      <c r="HJ155">
        <f ca="1"/>
      </c>
      <c r="HK155">
        <f ca="1"/>
      </c>
      <c r="HL155">
        <f ca="1"/>
      </c>
      <c r="HM155">
        <f ca="1"/>
      </c>
      <c r="HN155">
        <f ca="1"/>
      </c>
      <c r="HO155">
        <f ca="1"/>
      </c>
      <c r="HP155">
        <f ca="1"/>
      </c>
      <c r="HQ155">
        <f ca="1"/>
      </c>
      <c r="HR155">
        <f ca="1"/>
      </c>
      <c r="HS155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F156">
        <f ca="1"/>
      </c>
      <c r="BG156">
        <f ca="1"/>
      </c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C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R156">
        <f ca="1"/>
      </c>
      <c r="HS156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F157">
        <f ca="1"/>
      </c>
      <c r="BG157">
        <f ca="1"/>
      </c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C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R157">
        <f ca="1"/>
      </c>
      <c r="HS157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F158">
        <f ca="1"/>
      </c>
      <c r="BG158">
        <f ca="1"/>
      </c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C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R158">
        <f ca="1"/>
      </c>
      <c r="HS158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F159">
        <f ca="1"/>
      </c>
      <c r="BG159">
        <f ca="1"/>
      </c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C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R159">
        <f ca="1"/>
      </c>
      <c r="HS159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F160">
        <f ca="1"/>
      </c>
      <c r="BG160">
        <f ca="1"/>
      </c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C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R160">
        <f ca="1"/>
      </c>
      <c r="HS160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F161">
        <f ca="1"/>
      </c>
      <c r="BG161">
        <f ca="1"/>
      </c>
      <c r="BJ161" s="11"/>
      <c r="BK161" s="11"/>
      <c r="BL161" s="11"/>
      <c r="BM161" s="11"/>
      <c r="BN161" s="11"/>
      <c r="LA161">
        <f ca="1"/>
      </c>
      <c r="LB161">
        <f ca="1"/>
      </c>
      <c r="LC161">
        <f ca="1"/>
      </c>
    </row>
    <row r="162" spans="58:315" x14ac:dyDescent="0.55000000000000004">
      <c r="BF162">
        <f ca="1"/>
      </c>
      <c r="BG162">
        <f ca="1"/>
      </c>
      <c r="BJ162" s="11"/>
      <c r="BK162" s="11"/>
      <c r="BL162" s="11"/>
      <c r="BM162" s="11"/>
      <c r="BN162" s="11"/>
      <c r="LA162">
        <f ca="1"/>
      </c>
      <c r="LB162">
        <f ca="1"/>
      </c>
      <c r="LC162">
        <f ca="1"/>
      </c>
    </row>
    <row r="163" spans="58:315" x14ac:dyDescent="0.55000000000000004">
      <c r="BF163">
        <f ca="1"/>
      </c>
      <c r="BG163">
        <f ca="1"/>
      </c>
      <c r="BJ163" s="11"/>
      <c r="BK163" s="11"/>
      <c r="BL163" s="11"/>
      <c r="BM163" s="11"/>
      <c r="BN163" s="11"/>
      <c r="LA163">
        <f ca="1"/>
      </c>
      <c r="LB163">
        <f ca="1"/>
      </c>
      <c r="LC163">
        <f ca="1"/>
      </c>
    </row>
    <row r="164" spans="58:315" x14ac:dyDescent="0.55000000000000004">
      <c r="BF164">
        <f ca="1"/>
      </c>
      <c r="BG164">
        <f ca="1"/>
      </c>
      <c r="BJ164" s="11"/>
      <c r="BK164" s="11"/>
      <c r="BL164" s="11"/>
      <c r="BM164" s="11"/>
      <c r="BN164" s="11"/>
      <c r="LA164">
        <f ca="1"/>
      </c>
      <c r="LB164">
        <f ca="1"/>
      </c>
      <c r="LC164">
        <f ca="1"/>
      </c>
    </row>
    <row r="165" spans="58:315" x14ac:dyDescent="0.55000000000000004">
      <c r="BF165">
        <f ca="1"/>
      </c>
      <c r="BG165">
        <f ca="1"/>
      </c>
      <c r="BJ165" s="11"/>
      <c r="BK165" s="11"/>
      <c r="BL165" s="11"/>
      <c r="BM165" s="11"/>
      <c r="BN165" s="11"/>
      <c r="LA165">
        <f ca="1"/>
      </c>
      <c r="LB165">
        <f ca="1"/>
      </c>
      <c r="LC165">
        <f ca="1"/>
      </c>
    </row>
    <row r="166" spans="58:315" x14ac:dyDescent="0.55000000000000004">
      <c r="BF166">
        <f ca="1"/>
      </c>
      <c r="BG166">
        <f ca="1"/>
      </c>
      <c r="BJ166" s="11"/>
      <c r="BK166" s="11"/>
      <c r="BL166" s="11"/>
      <c r="BM166" s="11"/>
      <c r="BN166" s="11"/>
      <c r="LA166">
        <f ca="1"/>
      </c>
      <c r="LB166">
        <f ca="1"/>
      </c>
      <c r="LC166">
        <f ca="1"/>
      </c>
    </row>
    <row r="167" spans="58:315" x14ac:dyDescent="0.55000000000000004">
      <c r="BF167">
        <f ca="1"/>
      </c>
      <c r="BG167">
        <f ca="1"/>
      </c>
      <c r="BJ167" s="11"/>
      <c r="BK167" s="11"/>
      <c r="BL167" s="11"/>
      <c r="BM167" s="11"/>
      <c r="BN167" s="11"/>
      <c r="LA167">
        <f ca="1"/>
      </c>
      <c r="LB167">
        <f ca="1"/>
      </c>
      <c r="LC167">
        <f ca="1"/>
      </c>
    </row>
    <row r="168" spans="58:315" x14ac:dyDescent="0.55000000000000004">
      <c r="BF168">
        <f ca="1"/>
      </c>
      <c r="BG168">
        <f ca="1"/>
      </c>
      <c r="BJ168" s="11"/>
      <c r="BK168" s="11"/>
      <c r="BL168" s="11"/>
      <c r="BM168" s="11"/>
      <c r="BN168" s="11"/>
      <c r="LA168">
        <f ca="1"/>
      </c>
      <c r="LB168">
        <f ca="1"/>
      </c>
      <c r="LC168">
        <f ca="1"/>
      </c>
    </row>
    <row r="169" spans="58:315" x14ac:dyDescent="0.55000000000000004">
      <c r="BF169">
        <f ca="1"/>
      </c>
      <c r="BG169">
        <f ca="1"/>
      </c>
      <c r="BJ169" s="11"/>
      <c r="BK169" s="11"/>
      <c r="BL169" s="11"/>
      <c r="BM169" s="11"/>
      <c r="BN169" s="11"/>
      <c r="LA169">
        <f ca="1"/>
      </c>
      <c r="LB169">
        <f ca="1"/>
      </c>
      <c r="LC169">
        <f ca="1"/>
      </c>
    </row>
    <row r="170" spans="58:315" x14ac:dyDescent="0.55000000000000004">
      <c r="BF170">
        <f ca="1"/>
      </c>
      <c r="BG170">
        <f ca="1"/>
      </c>
      <c r="BJ170" s="11"/>
      <c r="BK170" s="11"/>
      <c r="BL170" s="11"/>
      <c r="BM170" s="11"/>
      <c r="BN170" s="11"/>
      <c r="LA170">
        <f ca="1"/>
      </c>
      <c r="LB170">
        <f ca="1"/>
      </c>
      <c r="LC170">
        <f ca="1"/>
      </c>
    </row>
    <row r="171" spans="58:315" x14ac:dyDescent="0.55000000000000004">
      <c r="BF171">
        <f ca="1"/>
      </c>
      <c r="BG171">
        <f ca="1"/>
      </c>
      <c r="BJ171" s="11"/>
      <c r="BK171" s="11"/>
      <c r="BL171" s="11"/>
      <c r="BM171" s="11"/>
      <c r="BN171" s="11"/>
    </row>
    <row r="172" spans="58:315" x14ac:dyDescent="0.55000000000000004">
      <c r="BF172">
        <f ca="1"/>
      </c>
      <c r="BG172">
        <f ca="1"/>
      </c>
      <c r="BJ172" s="11"/>
      <c r="BK172" s="11"/>
      <c r="BL172" s="11"/>
      <c r="BM172" s="11"/>
      <c r="BN172" s="11"/>
    </row>
    <row r="173" spans="58:315" x14ac:dyDescent="0.55000000000000004">
      <c r="BF173">
        <f ca="1"/>
      </c>
      <c r="BG173">
        <f ca="1"/>
      </c>
      <c r="BJ173" s="11"/>
      <c r="BK173" s="11"/>
      <c r="BL173" s="11"/>
      <c r="BM173" s="11"/>
      <c r="BN173" s="11"/>
    </row>
    <row r="174" spans="58:315" x14ac:dyDescent="0.55000000000000004">
      <c r="BJ174" s="11"/>
      <c r="BK174" s="11"/>
      <c r="BL174" s="11"/>
      <c r="BM174" s="11"/>
      <c r="BN174" s="11"/>
    </row>
    <row r="175" spans="58:315" x14ac:dyDescent="0.55000000000000004">
      <c r="BJ175" s="11"/>
      <c r="BK175" s="11"/>
      <c r="BL175" s="11"/>
      <c r="BM175" s="11"/>
      <c r="BN175" s="11"/>
    </row>
    <row r="176" spans="58:315" x14ac:dyDescent="0.55000000000000004">
      <c r="BJ176" s="11"/>
      <c r="BK176" s="11"/>
      <c r="BL176" s="11"/>
      <c r="BM176" s="11"/>
      <c r="BN176" s="11"/>
    </row>
    <row r="177" spans="62:66" x14ac:dyDescent="0.55000000000000004">
      <c r="BJ177" s="11"/>
      <c r="BK177" s="11"/>
      <c r="BL177" s="11"/>
      <c r="BM177" s="11"/>
      <c r="BN177" s="11"/>
    </row>
    <row r="178" spans="62:66" x14ac:dyDescent="0.55000000000000004">
      <c r="BJ178" s="11"/>
      <c r="BK178" s="11"/>
      <c r="BL178" s="11"/>
      <c r="BM178" s="11"/>
      <c r="BN178" s="11"/>
    </row>
    <row r="179" spans="62:66" x14ac:dyDescent="0.55000000000000004">
      <c r="BJ179" s="11"/>
      <c r="BK179" s="11"/>
      <c r="BL179" s="11"/>
      <c r="BM179" s="11"/>
      <c r="BN179" s="11"/>
    </row>
    <row r="180" spans="62:66" x14ac:dyDescent="0.55000000000000004">
      <c r="BJ180" s="11"/>
      <c r="BK180" s="11"/>
      <c r="BL180" s="11"/>
      <c r="BM180" s="11"/>
      <c r="BN180" s="11"/>
    </row>
    <row r="181" spans="62:66" x14ac:dyDescent="0.55000000000000004">
      <c r="BJ181" s="11"/>
      <c r="BK181" s="11"/>
      <c r="BL181" s="11"/>
      <c r="BM181" s="11"/>
      <c r="BN181" s="11"/>
    </row>
    <row r="182" spans="62:66" x14ac:dyDescent="0.55000000000000004">
      <c r="BJ182" s="11"/>
      <c r="BK182" s="11"/>
      <c r="BL182" s="11"/>
      <c r="BM182" s="11"/>
      <c r="BN182" s="11"/>
    </row>
    <row r="183" spans="62:66" x14ac:dyDescent="0.55000000000000004">
      <c r="BJ183" s="11"/>
      <c r="BK183" s="11"/>
      <c r="BL183" s="11"/>
      <c r="BM183" s="11"/>
      <c r="BN183" s="11"/>
    </row>
    <row r="184" spans="62:66" x14ac:dyDescent="0.55000000000000004">
      <c r="BJ184" s="11"/>
      <c r="BK184" s="11"/>
      <c r="BL184" s="11"/>
      <c r="BM184" s="11"/>
      <c r="BN184" s="11"/>
    </row>
    <row r="185" spans="62:66" x14ac:dyDescent="0.55000000000000004">
      <c r="BJ185" s="11"/>
      <c r="BK185" s="11"/>
      <c r="BL185" s="11"/>
      <c r="BM185" s="11"/>
      <c r="BN185" s="11"/>
    </row>
    <row r="186" spans="62:66" x14ac:dyDescent="0.55000000000000004">
      <c r="BJ186" s="11"/>
      <c r="BK186" s="11"/>
      <c r="BL186" s="11"/>
      <c r="BM186" s="11"/>
      <c r="BN186" s="11"/>
    </row>
    <row r="187" spans="62:66" x14ac:dyDescent="0.55000000000000004">
      <c r="BJ187" s="11"/>
      <c r="BK187" s="11"/>
      <c r="BL187" s="11"/>
      <c r="BM187" s="11"/>
      <c r="BN187" s="11"/>
    </row>
    <row r="188" spans="62:66" x14ac:dyDescent="0.55000000000000004">
      <c r="BJ188" s="11"/>
      <c r="BK188" s="11"/>
      <c r="BL188" s="11"/>
      <c r="BM188" s="11"/>
      <c r="BN188" s="11"/>
    </row>
    <row r="189" spans="62:66" x14ac:dyDescent="0.55000000000000004">
      <c r="BJ189" s="11"/>
      <c r="BK189" s="11"/>
      <c r="BL189" s="11"/>
      <c r="BM189" s="11"/>
      <c r="BN189" s="11"/>
    </row>
    <row r="190" spans="62:66" x14ac:dyDescent="0.55000000000000004">
      <c r="BJ190" s="11"/>
      <c r="BK190" s="11"/>
      <c r="BL190" s="11"/>
      <c r="BM190" s="11"/>
      <c r="BN190" s="11"/>
    </row>
    <row r="191" spans="62:66" x14ac:dyDescent="0.55000000000000004">
      <c r="BJ191" s="11"/>
      <c r="BK191" s="11"/>
      <c r="BL191" s="11"/>
      <c r="BM191" s="11"/>
      <c r="BN191" s="11"/>
    </row>
    <row r="192" spans="62:66" x14ac:dyDescent="0.55000000000000004">
      <c r="BJ192" s="11"/>
      <c r="BK192" s="11"/>
      <c r="BL192" s="11"/>
      <c r="BM192" s="11"/>
      <c r="BN192" s="11"/>
    </row>
    <row r="193" spans="62:66" x14ac:dyDescent="0.55000000000000004">
      <c r="BJ193" s="11"/>
      <c r="BK193" s="11"/>
      <c r="BL193" s="11"/>
      <c r="BM193" s="11"/>
      <c r="BN193" s="11"/>
    </row>
    <row r="194" spans="62:66" x14ac:dyDescent="0.55000000000000004">
      <c r="BJ194" s="11"/>
      <c r="BK194" s="11"/>
      <c r="BL194" s="11"/>
      <c r="BM194" s="11"/>
      <c r="BN194" s="11"/>
    </row>
    <row r="195" spans="62:66" x14ac:dyDescent="0.55000000000000004">
      <c r="BJ195" s="11"/>
      <c r="BK195" s="11"/>
      <c r="BL195" s="11"/>
      <c r="BM195" s="11"/>
      <c r="BN195" s="11"/>
    </row>
    <row r="196" spans="62:66" x14ac:dyDescent="0.55000000000000004">
      <c r="BJ196" s="11"/>
      <c r="BK196" s="11"/>
      <c r="BL196" s="11"/>
      <c r="BM196" s="11"/>
      <c r="BN196" s="11"/>
    </row>
    <row r="197" spans="62:66" x14ac:dyDescent="0.55000000000000004">
      <c r="BJ197" s="11"/>
      <c r="BK197" s="11"/>
      <c r="BL197" s="11"/>
      <c r="BM197" s="11"/>
      <c r="BN197" s="11"/>
    </row>
    <row r="198" spans="62:66" x14ac:dyDescent="0.55000000000000004">
      <c r="BJ198" s="11"/>
      <c r="BK198" s="11"/>
      <c r="BL198" s="11"/>
      <c r="BM198" s="11"/>
      <c r="BN198" s="11"/>
    </row>
    <row r="199" spans="62:66" x14ac:dyDescent="0.55000000000000004">
      <c r="BJ199" s="11"/>
      <c r="BK199" s="11"/>
      <c r="BL199" s="11"/>
      <c r="BM199" s="11"/>
      <c r="BN199" s="11"/>
    </row>
    <row r="200" spans="62:66" x14ac:dyDescent="0.55000000000000004">
      <c r="BJ200" s="11"/>
      <c r="BK200" s="11"/>
      <c r="BL200" s="11"/>
      <c r="BM200" s="11"/>
      <c r="BN200" s="11"/>
    </row>
    <row r="201" spans="62:66" x14ac:dyDescent="0.55000000000000004">
      <c r="BJ201" s="11"/>
      <c r="BK201" s="11"/>
      <c r="BL201" s="11"/>
      <c r="BM201" s="11"/>
      <c r="BN201" s="11"/>
    </row>
    <row r="202" spans="62:66" x14ac:dyDescent="0.55000000000000004">
      <c r="BJ202" s="11"/>
      <c r="BK202" s="11"/>
      <c r="BL202" s="11"/>
      <c r="BM202" s="11"/>
      <c r="BN202" s="11"/>
    </row>
    <row r="203" spans="62:66" x14ac:dyDescent="0.55000000000000004">
      <c r="BJ203" s="11"/>
      <c r="BK203" s="11"/>
      <c r="BL203" s="11"/>
      <c r="BM203" s="11"/>
      <c r="BN203" s="11"/>
    </row>
    <row r="204" spans="62:66" x14ac:dyDescent="0.55000000000000004">
      <c r="BJ204" s="11"/>
      <c r="BK204" s="11"/>
      <c r="BL204" s="11"/>
      <c r="BM204" s="11"/>
      <c r="BN204" s="11"/>
    </row>
    <row r="205" spans="62:66" x14ac:dyDescent="0.55000000000000004">
      <c r="BJ205" s="11"/>
      <c r="BK205" s="11"/>
      <c r="BL205" s="11"/>
      <c r="BM205" s="11"/>
      <c r="BN205" s="11"/>
    </row>
    <row r="206" spans="62:66" x14ac:dyDescent="0.55000000000000004">
      <c r="BJ206" s="11"/>
      <c r="BK206" s="11"/>
      <c r="BL206" s="11"/>
      <c r="BM206" s="11"/>
      <c r="BN206" s="11"/>
    </row>
    <row r="207" spans="62:66" x14ac:dyDescent="0.55000000000000004">
      <c r="BJ207" s="11"/>
      <c r="BK207" s="11"/>
      <c r="BL207" s="11"/>
      <c r="BM207" s="11"/>
      <c r="BN207" s="11"/>
    </row>
    <row r="208" spans="62:66" x14ac:dyDescent="0.55000000000000004">
      <c r="BJ208" s="11"/>
      <c r="BK208" s="11"/>
      <c r="BL208" s="11"/>
      <c r="BM208" s="11"/>
      <c r="BN208" s="11"/>
    </row>
    <row r="209" spans="62:66" x14ac:dyDescent="0.55000000000000004">
      <c r="BJ209" s="11"/>
      <c r="BK209" s="11"/>
      <c r="BL209" s="11"/>
      <c r="BM209" s="11"/>
      <c r="BN209" s="11"/>
    </row>
    <row r="210" spans="62:66" x14ac:dyDescent="0.55000000000000004">
      <c r="BJ210" s="11"/>
      <c r="BK210" s="11"/>
      <c r="BL210" s="11"/>
      <c r="BM210" s="11"/>
      <c r="BN210" s="11"/>
    </row>
    <row r="211" spans="62:66" x14ac:dyDescent="0.55000000000000004">
      <c r="BJ211" s="11"/>
      <c r="BK211" s="11"/>
      <c r="BL211" s="11"/>
      <c r="BM211" s="11"/>
      <c r="BN211" s="11"/>
    </row>
    <row r="212" spans="62:66" x14ac:dyDescent="0.55000000000000004">
      <c r="BJ212" s="11"/>
      <c r="BK212" s="11"/>
      <c r="BL212" s="11"/>
      <c r="BM212" s="11"/>
      <c r="BN212" s="11"/>
    </row>
    <row r="213" spans="62:66" x14ac:dyDescent="0.55000000000000004">
      <c r="BJ213" s="11"/>
      <c r="BK213" s="11"/>
      <c r="BL213" s="11"/>
      <c r="BM213" s="11"/>
      <c r="BN213" s="11"/>
    </row>
    <row r="214" spans="62:66" x14ac:dyDescent="0.55000000000000004">
      <c r="BJ214" s="11"/>
      <c r="BK214" s="11"/>
      <c r="BL214" s="11"/>
      <c r="BM214" s="11"/>
      <c r="BN214" s="11"/>
    </row>
    <row r="215" spans="62:66" x14ac:dyDescent="0.55000000000000004">
      <c r="BJ215" s="11"/>
      <c r="BK215" s="11"/>
      <c r="BL215" s="11"/>
      <c r="BM215" s="11"/>
      <c r="BN215" s="11"/>
    </row>
    <row r="216" spans="62:66" x14ac:dyDescent="0.55000000000000004">
      <c r="BJ216" s="11"/>
      <c r="BK216" s="11"/>
      <c r="BL216" s="11"/>
      <c r="BM216" s="11"/>
      <c r="BN216" s="11"/>
    </row>
    <row r="217" spans="62:66" x14ac:dyDescent="0.55000000000000004">
      <c r="BJ217" s="11"/>
      <c r="BK217" s="11"/>
      <c r="BL217" s="11"/>
      <c r="BM217" s="11"/>
      <c r="BN217" s="11"/>
    </row>
    <row r="218" spans="62:66" x14ac:dyDescent="0.55000000000000004">
      <c r="BJ218" s="11"/>
      <c r="BK218" s="11"/>
      <c r="BL218" s="11"/>
      <c r="BM218" s="11"/>
      <c r="BN218" s="11"/>
    </row>
    <row r="219" spans="62:66" x14ac:dyDescent="0.55000000000000004">
      <c r="BJ219" s="11"/>
      <c r="BK219" s="11"/>
      <c r="BL219" s="11"/>
      <c r="BM219" s="11"/>
      <c r="BN219" s="11"/>
    </row>
    <row r="220" spans="62:66" x14ac:dyDescent="0.55000000000000004">
      <c r="BJ220" s="11"/>
      <c r="BK220" s="11"/>
      <c r="BL220" s="11"/>
      <c r="BM220" s="11"/>
      <c r="BN220" s="11"/>
    </row>
    <row r="221" spans="62:66" x14ac:dyDescent="0.55000000000000004">
      <c r="BJ221" s="11"/>
      <c r="BK221" s="11"/>
      <c r="BL221" s="11"/>
      <c r="BM221" s="11"/>
      <c r="BN221" s="11"/>
    </row>
    <row r="222" spans="62:66" x14ac:dyDescent="0.55000000000000004">
      <c r="BJ222" s="11"/>
      <c r="BK222" s="11"/>
      <c r="BL222" s="11"/>
      <c r="BM222" s="11"/>
      <c r="BN222" s="11"/>
    </row>
    <row r="223" spans="62:66" x14ac:dyDescent="0.55000000000000004">
      <c r="BJ223" s="11"/>
      <c r="BK223" s="11"/>
      <c r="BL223" s="11"/>
      <c r="BM223" s="11"/>
      <c r="BN223" s="11"/>
    </row>
    <row r="224" spans="62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復元・差分を見る日。空欄=今日(RealTimeのライブの値)。日付=DBのその日の引け値。Window end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6330C-0A9D-4D09-A12F-B9AE5B44F962}">
  <sheetPr codeName="Sheet8"/>
  <dimension ref="A1:MA3000"/>
  <sheetViews>
    <sheetView tabSelected="1" zoomScale="61" workbookViewId="0">
      <selection activeCell="O22" sqref="O22"/>
    </sheetView>
  </sheetViews>
  <sheetFormatPr defaultRowHeight="18.5" outlineLevelCol="1" x14ac:dyDescent="0.55000000000000004"/>
  <cols>
    <col min="1" max="1" width="22.58203125" customWidth="1"/>
    <col min="2" max="9" width="12.1640625" customWidth="1"/>
    <col min="27" max="338" width="0" hidden="1" customWidth="1" outlineLevel="1"/>
    <col min="339" max="339" width="8.6640625" collapsed="1"/>
  </cols>
  <sheetData>
    <row r="1" spans="1:182" x14ac:dyDescent="0.55000000000000004">
      <c r="A1" s="4" t="s">
        <v>58</v>
      </c>
      <c r="B1" s="2" t="s">
        <v>53</v>
      </c>
      <c r="C1" t="s">
        <v>389</v>
      </c>
      <c r="D1" s="48" cm="1">
        <f t="array" aca="1" ref="D1" ca="1">LiveInfo("vol",_xlfn.ANCHORARRAY($AA$3))</f>
      </c>
      <c r="E1" t="s">
        <v>390</v>
      </c>
      <c r="F1" s="48" cm="1">
        <f t="array" aca="1" ref="F1" ca="1">LiveInfo("swap",_xlfn.ANCHORARRAY($AE$3))</f>
      </c>
      <c r="G1" t="s">
        <v>391</v>
      </c>
    </row>
    <row r="2" spans="1:182" ht="20" x14ac:dyDescent="0.55000000000000004">
      <c r="A2" s="20" t="s">
        <v>392</v>
      </c>
      <c r="AA2" s="4" t="s">
        <v>91</v>
      </c>
      <c r="AE2" s="4" t="s">
        <v>116</v>
      </c>
      <c r="AJ2" s="4" t="s">
        <v>117</v>
      </c>
      <c r="AP2" s="4" t="s">
        <v>118</v>
      </c>
      <c r="AS2" s="4" t="s">
        <v>399</v>
      </c>
      <c r="BD2" s="4" t="s">
        <v>400</v>
      </c>
      <c r="BF2" s="4" t="s">
        <v>402</v>
      </c>
      <c r="CA2" s="4" t="s">
        <v>437</v>
      </c>
      <c r="CK2" s="4" t="s">
        <v>452</v>
      </c>
      <c r="CN2" s="4" t="s">
        <v>453</v>
      </c>
    </row>
    <row r="3" spans="1:182" x14ac:dyDescent="0.55000000000000004">
      <c r="A3" s="4" t="s">
        <v>257</v>
      </c>
      <c r="AA3" cm="1">
        <f t="array" aca="1" ref="AA3:AC158" ca="1">IF($B$1="Fixed",LiveSnapshot("vol"),LiveQuotes("vol"))</f>
      </c>
      <c r="AB3">
        <f ca="1"/>
      </c>
      <c r="AC3">
        <f ca="1"/>
      </c>
      <c r="AE3" cm="1">
        <f t="array" aca="1" ref="AE3:AH46" ca="1">IF($B$1="Fixed",LiveSnapshot("swap"),LiveQuotes("swap"))</f>
      </c>
      <c r="AF3">
        <f ca="1"/>
      </c>
      <c r="AG3">
        <f ca="1"/>
      </c>
      <c r="AH3">
        <f ca="1"/>
      </c>
      <c r="AJ3" cm="1">
        <f t="array" aca="1" ref="AJ3:AN46" ca="1">_xlfn.LET(_xlpm.q,_xlfn.ANCHORARRAY($AE$3),_xlpm.t,$AP$4:$AP$47,_xlfn.HSTACK($AQ$4:$AQ$47,_xlpm.t,INDEX(_xlpm.q,_xlfn.XMATCH(_xlpm.t,INDEX(_xlpm.q,,1)),{2,3,4})))</f>
      </c>
      <c r="AK3">
        <f ca="1"/>
      </c>
      <c r="AL3">
        <f ca="1"/>
      </c>
      <c r="AM3">
        <f ca="1"/>
      </c>
      <c r="AN3">
        <f ca="1"/>
      </c>
      <c r="AP3" s="4" t="s">
        <v>119</v>
      </c>
      <c r="AQ3" s="4" t="s">
        <v>120</v>
      </c>
      <c r="AS3" cm="1">
        <f t="array" ref="AS3:BB486">VolHistory($B$4:$B$6)</f>
      </c>
      <c r="BD3" s="4" t="s">
        <v>401</v>
      </c>
      <c r="BF3" s="4" t="s">
        <v>403</v>
      </c>
      <c r="BG3" s="4" t="s">
        <v>404</v>
      </c>
      <c r="BH3" s="4" t="s">
        <v>405</v>
      </c>
      <c r="BI3" s="4" t="s">
        <v>406</v>
      </c>
      <c r="BJ3" s="4" t="s">
        <v>407</v>
      </c>
      <c r="BK3" s="4" t="s">
        <v>408</v>
      </c>
      <c r="BM3" s="4" t="s">
        <v>409</v>
      </c>
      <c r="BN3" s="4" t="s">
        <v>410</v>
      </c>
      <c r="BO3" s="4" t="s">
        <v>411</v>
      </c>
      <c r="BP3" s="4" t="s">
        <v>412</v>
      </c>
      <c r="BQ3" s="4" t="s">
        <v>413</v>
      </c>
      <c r="BR3" s="4" t="s">
        <v>414</v>
      </c>
      <c r="BT3" s="4" t="s">
        <v>415</v>
      </c>
      <c r="BU3" s="4" t="s">
        <v>416</v>
      </c>
      <c r="BV3" s="4" t="s">
        <v>417</v>
      </c>
      <c r="BW3" s="4" t="s">
        <v>418</v>
      </c>
      <c r="BX3" s="4" t="s">
        <v>419</v>
      </c>
      <c r="BY3" s="4" t="s">
        <v>420</v>
      </c>
      <c r="CA3" s="4" t="s">
        <v>421</v>
      </c>
      <c r="CB3" s="4" t="s">
        <v>401</v>
      </c>
      <c r="CC3" s="4" t="s">
        <v>438</v>
      </c>
      <c r="CD3" s="4" t="s">
        <v>439</v>
      </c>
      <c r="CE3" s="4" t="s">
        <v>440</v>
      </c>
      <c r="CF3" s="4" t="s">
        <v>441</v>
      </c>
      <c r="CG3" s="4" t="s">
        <v>442</v>
      </c>
      <c r="CH3" s="4" t="s">
        <v>443</v>
      </c>
      <c r="CI3" s="4" t="s">
        <v>444</v>
      </c>
      <c r="CK3" s="4" t="s">
        <v>64</v>
      </c>
      <c r="CL3" s="4" t="s">
        <v>401</v>
      </c>
      <c r="CN3" cm="1">
        <f t="array" ref="CN3:FZ486">VolHistory(_xlfn.ANCHORARRAY($CK$4))</f>
      </c>
    </row>
    <row r="4" spans="1:182" x14ac:dyDescent="0.55000000000000004">
      <c r="A4" s="4" t="s">
        <v>393</v>
      </c>
      <c r="B4" s="2" t="s">
        <v>455</v>
      </c>
      <c r="AA4">
        <f ca="1"/>
      </c>
      <c r="AB4">
        <f ca="1"/>
      </c>
      <c r="AC4">
        <f ca="1"/>
      </c>
      <c r="AE4">
        <f ca="1"/>
      </c>
      <c r="AF4">
        <f ca="1"/>
      </c>
      <c r="AG4">
        <f ca="1"/>
      </c>
      <c r="AH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P4" t="s">
        <v>0</v>
      </c>
      <c r="BD4" cm="1">
        <f t="array" aca="1" ref="BD4:BD6" ca="1">VolFwdLive($B$4:$B$6,_xlfn.TAKE(_xlfn.ANCHORARRAY($AJ$3),,3))</f>
      </c>
      <c r="BF4" s="7" cm="1">
        <f t="array" ref="BF4:BK486">IF($B$4="",NA(),_xlfn.LET(_xlpm.d,VLV_Dates,_xlpm.f,VLV_Col($B$4,"Fwd"),_xlpm.v,VLV_Col($B$4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M4" s="7" cm="1">
        <f t="array" ref="BM4:BR486">IF($B$5="",NA(),_xlfn.LET(_xlpm.d,VLV_Dates,_xlpm.f,VLV_Col($B$5,"Fwd"),_xlpm.v,VLV_Col($B$5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T4" s="7" cm="1">
        <f t="array" ref="BT4:BY486">IF($B$6="",NA(),_xlfn.LET(_xlpm.d,VLV_Dates,_xlpm.f,VLV_Col($B$6,"Fwd"),_xlpm.v,VLV_Col($B$6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CA4">
        <f>IF($B$4="",NA(),$B$4)</f>
      </c>
      <c r="CB4">
        <f ca="1">IF($B$4="",NA(),B18)</f>
      </c>
      <c r="CC4">
        <f ca="1">IF($B$4="",NA(),B17)</f>
      </c>
      <c r="CD4">
        <f>IF($B$4="",NA(),B14)</f>
      </c>
      <c r="CE4">
        <f>IF($B$4="",NA(),B13)</f>
      </c>
      <c r="CF4">
        <f ca="1">IF($B$4="",NA(),_xlfn.LET(_xlpm.x,INDEX(_xlfn.ANCHORARRAY($BF$4),,2),IF(ISNUMBER(CB4),MIN(_xlpm.x,CB4),MIN(_xlpm.x))))</f>
      </c>
      <c r="CG4">
        <f ca="1">IF($B$4="",NA(),_xlfn.LET(_xlpm.x,INDEX(_xlfn.ANCHORARRAY($BF$4),,2),IF(ISNUMBER(CB4),MAX(_xlpm.x,CB4),MAX(_xlpm.x))))</f>
      </c>
      <c r="CH4">
        <f ca="1">IF($B$4="",NA(),B24+B23*CF4)</f>
      </c>
      <c r="CI4">
        <f ca="1">IF($B$4="",NA(),B24+B23*CG4)</f>
      </c>
      <c r="CK4" cm="1">
        <f t="array" ref="CK4:CK33">_xlfn.LET(_xlpm.es,$A$36:$A$43,_xlpm.ts,$B$35:$I$35,_xlfn.TOCOL(IF((_xlpm.es&lt;&gt;"")*(_xlpm.ts&lt;&gt;""),_xlpm.es&amp;"x"&amp;_xlpm.ts,NA()),2))</f>
      </c>
      <c r="CL4" cm="1">
        <f t="array" aca="1" ref="CL4:CL33" ca="1">VolFwdLive(_xlfn.ANCHORARRAY($CK$4),_xlfn.TAKE(_xlfn.ANCHORARRAY($AJ$3),,3))</f>
      </c>
    </row>
    <row r="5" spans="1:182" x14ac:dyDescent="0.55000000000000004">
      <c r="A5" s="4" t="s">
        <v>394</v>
      </c>
      <c r="B5" s="2" t="s">
        <v>395</v>
      </c>
      <c r="AA5">
        <f ca="1"/>
      </c>
      <c r="AB5">
        <f ca="1"/>
      </c>
      <c r="AC5">
        <f ca="1"/>
      </c>
      <c r="AE5">
        <f ca="1"/>
      </c>
      <c r="AF5">
        <f ca="1"/>
      </c>
      <c r="AG5">
        <f ca="1"/>
      </c>
      <c r="AH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P5" t="s">
        <v>1</v>
      </c>
      <c r="AQ5">
        <v>1</v>
      </c>
      <c r="BD5">
        <f ca="1"/>
      </c>
      <c r="BF5" s="7"/>
      <c r="BM5" s="7"/>
      <c r="BT5" s="7"/>
      <c r="CA5">
        <f>IF($B$5="",NA(),$B$5)</f>
      </c>
      <c r="CB5">
        <f ca="1">IF($B$5="",NA(),C18)</f>
      </c>
      <c r="CC5">
        <f ca="1">IF($B$5="",NA(),C17)</f>
      </c>
      <c r="CD5">
        <f>IF($B$5="",NA(),C14)</f>
      </c>
      <c r="CE5">
        <f>IF($B$5="",NA(),C13)</f>
      </c>
      <c r="CF5">
        <f ca="1">IF($B$5="",NA(),_xlfn.LET(_xlpm.x,INDEX(_xlfn.ANCHORARRAY($BM$4),,2),IF(ISNUMBER(CB5),MIN(_xlpm.x,CB5),MIN(_xlpm.x))))</f>
      </c>
      <c r="CG5">
        <f ca="1">IF($B$5="",NA(),_xlfn.LET(_xlpm.x,INDEX(_xlfn.ANCHORARRAY($BM$4),,2),IF(ISNUMBER(CB5),MAX(_xlpm.x,CB5),MAX(_xlpm.x))))</f>
      </c>
      <c r="CH5">
        <f ca="1">IF($B$5="",NA(),C24+C23*CF5)</f>
      </c>
      <c r="CI5">
        <f ca="1">IF($B$5="",NA(),C24+C23*CG5)</f>
      </c>
      <c r="CL5">
        <f ca="1"/>
      </c>
    </row>
    <row r="6" spans="1:182" x14ac:dyDescent="0.55000000000000004">
      <c r="A6" s="4" t="s">
        <v>396</v>
      </c>
      <c r="B6" s="2" t="s">
        <v>397</v>
      </c>
      <c r="AA6">
        <f ca="1"/>
      </c>
      <c r="AB6">
        <f ca="1"/>
      </c>
      <c r="AC6">
        <f ca="1"/>
      </c>
      <c r="AE6">
        <f ca="1"/>
      </c>
      <c r="AF6">
        <f ca="1"/>
      </c>
      <c r="AG6">
        <f ca="1"/>
      </c>
      <c r="AH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P6" t="s">
        <v>2</v>
      </c>
      <c r="AQ6">
        <v>1</v>
      </c>
      <c r="BD6">
        <f ca="1"/>
      </c>
      <c r="BF6" s="7"/>
      <c r="BM6" s="7"/>
      <c r="BT6" s="7"/>
      <c r="CA6">
        <f>IF($B$6="",NA(),$B$6)</f>
      </c>
      <c r="CB6">
        <f ca="1">IF($B$6="",NA(),D18)</f>
      </c>
      <c r="CC6">
        <f ca="1">IF($B$6="",NA(),D17)</f>
      </c>
      <c r="CD6">
        <f>IF($B$6="",NA(),D14)</f>
      </c>
      <c r="CE6">
        <f>IF($B$6="",NA(),D13)</f>
      </c>
      <c r="CF6">
        <f ca="1">IF($B$6="",NA(),_xlfn.LET(_xlpm.x,INDEX(_xlfn.ANCHORARRAY($BT$4),,2),IF(ISNUMBER(CB6),MIN(_xlpm.x,CB6),MIN(_xlpm.x))))</f>
      </c>
      <c r="CG6">
        <f ca="1">IF($B$6="",NA(),_xlfn.LET(_xlpm.x,INDEX(_xlfn.ANCHORARRAY($BT$4),,2),IF(ISNUMBER(CB6),MAX(_xlpm.x,CB6),MAX(_xlpm.x))))</f>
      </c>
      <c r="CH6">
        <f ca="1">IF($B$6="",NA(),D24+D23*CF6)</f>
      </c>
      <c r="CI6">
        <f ca="1">IF($B$6="",NA(),D24+D23*CG6)</f>
      </c>
      <c r="CL6">
        <f ca="1"/>
      </c>
    </row>
    <row r="7" spans="1:182" x14ac:dyDescent="0.55000000000000004">
      <c r="A7" s="4" t="s">
        <v>71</v>
      </c>
      <c r="B7" s="3"/>
      <c r="AA7">
        <f ca="1"/>
      </c>
      <c r="AB7">
        <f ca="1"/>
      </c>
      <c r="AC7">
        <f ca="1"/>
      </c>
      <c r="AE7">
        <f ca="1"/>
      </c>
      <c r="AF7">
        <f ca="1"/>
      </c>
      <c r="AG7">
        <f ca="1"/>
      </c>
      <c r="AH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P7" t="s">
        <v>3</v>
      </c>
      <c r="AQ7">
        <v>1</v>
      </c>
      <c r="BF7" s="7"/>
      <c r="BM7" s="7"/>
      <c r="BT7" s="7"/>
      <c r="CL7">
        <f ca="1"/>
      </c>
    </row>
    <row r="8" spans="1:182" x14ac:dyDescent="0.55000000000000004">
      <c r="A8" s="4" t="s">
        <v>398</v>
      </c>
      <c r="B8" s="2">
        <v>20</v>
      </c>
      <c r="AA8">
        <f ca="1"/>
      </c>
      <c r="AB8">
        <f ca="1"/>
      </c>
      <c r="AC8">
        <f ca="1"/>
      </c>
      <c r="AE8">
        <f ca="1"/>
      </c>
      <c r="AF8">
        <f ca="1"/>
      </c>
      <c r="AG8">
        <f ca="1"/>
      </c>
      <c r="AH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P8" t="s">
        <v>4</v>
      </c>
      <c r="AQ8">
        <v>1</v>
      </c>
      <c r="BF8" s="7"/>
      <c r="BM8" s="7"/>
      <c r="BT8" s="7"/>
      <c r="CL8">
        <f ca="1"/>
      </c>
    </row>
    <row r="9" spans="1:182" x14ac:dyDescent="0.55000000000000004">
      <c r="AA9">
        <f ca="1"/>
      </c>
      <c r="AB9">
        <f ca="1"/>
      </c>
      <c r="AC9">
        <f ca="1"/>
      </c>
      <c r="AE9">
        <f ca="1"/>
      </c>
      <c r="AF9">
        <f ca="1"/>
      </c>
      <c r="AG9">
        <f ca="1"/>
      </c>
      <c r="AH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P9" t="s">
        <v>5</v>
      </c>
      <c r="AQ9">
        <v>1</v>
      </c>
      <c r="BF9" s="7"/>
      <c r="BM9" s="7"/>
      <c r="BT9" s="7"/>
      <c r="CL9">
        <f ca="1"/>
      </c>
    </row>
    <row r="10" spans="1:182" x14ac:dyDescent="0.55000000000000004">
      <c r="A10" s="4" t="s">
        <v>93</v>
      </c>
      <c r="AA10">
        <f ca="1"/>
      </c>
      <c r="AB10">
        <f ca="1"/>
      </c>
      <c r="AC10">
        <f ca="1"/>
      </c>
      <c r="AE10">
        <f ca="1"/>
      </c>
      <c r="AF10">
        <f ca="1"/>
      </c>
      <c r="AG10">
        <f ca="1"/>
      </c>
      <c r="AH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P10" t="s">
        <v>6</v>
      </c>
      <c r="AQ10">
        <v>1</v>
      </c>
      <c r="BF10" s="7"/>
      <c r="BM10" s="7"/>
      <c r="BT10" s="7"/>
      <c r="CL10">
        <f ca="1"/>
      </c>
    </row>
    <row r="11" spans="1:182" x14ac:dyDescent="0.55000000000000004">
      <c r="A11" s="25" t="s">
        <v>421</v>
      </c>
      <c r="B11" s="49">
        <f>IF($B$4="","",$B$4)</f>
      </c>
      <c r="C11" s="49">
        <f>IF($B$5="","",$B$5)</f>
      </c>
      <c r="D11" s="49">
        <f>IF($B$6="","",$B$6)</f>
      </c>
      <c r="AA11">
        <f ca="1"/>
      </c>
      <c r="AB11">
        <f ca="1"/>
      </c>
      <c r="AC11">
        <f ca="1"/>
      </c>
      <c r="AE11">
        <f ca="1"/>
      </c>
      <c r="AF11">
        <f ca="1"/>
      </c>
      <c r="AG11">
        <f ca="1"/>
      </c>
      <c r="AH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P11" t="s">
        <v>7</v>
      </c>
      <c r="AQ11">
        <v>1</v>
      </c>
      <c r="BF11" s="7"/>
      <c r="BM11" s="7"/>
      <c r="BT11" s="7"/>
      <c r="CL11">
        <f ca="1"/>
      </c>
    </row>
    <row r="12" spans="1:182" x14ac:dyDescent="0.55000000000000004">
      <c r="A12" s="25" t="s">
        <v>98</v>
      </c>
      <c r="B12" s="50" cm="1">
        <f t="array" ref="B12">IF($B$4="","",_xlfn.TAKE(INDEX(_xlfn.ANCHORARRAY($BF$4),,1),-1))</f>
      </c>
      <c r="C12" s="50" cm="1">
        <f t="array" ref="C12">IF($B$5="","",_xlfn.TAKE(INDEX(_xlfn.ANCHORARRAY($BM$4),,1),-1))</f>
      </c>
      <c r="D12" s="50" cm="1">
        <f t="array" ref="D12">IF($B$6="","",_xlfn.TAKE(INDEX(_xlfn.ANCHORARRAY($BT$4),,1),-1))</f>
      </c>
      <c r="AA12">
        <f ca="1"/>
      </c>
      <c r="AB12">
        <f ca="1"/>
      </c>
      <c r="AC12">
        <f ca="1"/>
      </c>
      <c r="AE12">
        <f ca="1"/>
      </c>
      <c r="AF12">
        <f ca="1"/>
      </c>
      <c r="AG12">
        <f ca="1"/>
      </c>
      <c r="AH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P12" t="s">
        <v>8</v>
      </c>
      <c r="AQ12">
        <v>1</v>
      </c>
      <c r="BF12" s="7"/>
      <c r="BM12" s="7"/>
      <c r="BT12" s="7"/>
      <c r="CL12">
        <f ca="1"/>
      </c>
    </row>
    <row r="13" spans="1:182" x14ac:dyDescent="0.55000000000000004">
      <c r="A13" s="25" t="s">
        <v>99</v>
      </c>
      <c r="B13" s="51" cm="1">
        <f t="array" ref="B13">IF($B$4="","",_xlfn.TAKE(INDEX(_xlfn.ANCHORARRAY($BF$4),,3),-1))</f>
      </c>
      <c r="C13" s="51" cm="1">
        <f t="array" ref="C13">IF($B$5="","",_xlfn.TAKE(INDEX(_xlfn.ANCHORARRAY($BM$4),,3),-1))</f>
      </c>
      <c r="D13" s="51" cm="1">
        <f t="array" ref="D13">IF($B$6="","",_xlfn.TAKE(INDEX(_xlfn.ANCHORARRAY($BT$4),,3),-1))</f>
      </c>
      <c r="AA13">
        <f ca="1"/>
      </c>
      <c r="AB13">
        <f ca="1"/>
      </c>
      <c r="AC13">
        <f ca="1"/>
      </c>
      <c r="AE13">
        <f ca="1"/>
      </c>
      <c r="AF13">
        <f ca="1"/>
      </c>
      <c r="AG13">
        <f ca="1"/>
      </c>
      <c r="AH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P13" t="s">
        <v>9</v>
      </c>
      <c r="AQ13">
        <v>1</v>
      </c>
      <c r="BF13" s="7"/>
      <c r="BM13" s="7"/>
      <c r="BT13" s="7"/>
      <c r="CL13">
        <f ca="1"/>
      </c>
    </row>
    <row r="14" spans="1:182" x14ac:dyDescent="0.55000000000000004">
      <c r="A14" s="25" t="s">
        <v>422</v>
      </c>
      <c r="B14" s="52" cm="1">
        <f t="array" ref="B14">IF($B$4="","",_xlfn.TAKE(INDEX(_xlfn.ANCHORARRAY($BF$4),,2),-1))</f>
      </c>
      <c r="C14" s="52" cm="1">
        <f t="array" ref="C14">IF($B$5="","",_xlfn.TAKE(INDEX(_xlfn.ANCHORARRAY($BM$4),,2),-1))</f>
      </c>
      <c r="D14" s="52" cm="1">
        <f t="array" ref="D14">IF($B$6="","",_xlfn.TAKE(INDEX(_xlfn.ANCHORARRAY($BT$4),,2),-1))</f>
      </c>
      <c r="AA14">
        <f ca="1"/>
      </c>
      <c r="AB14">
        <f ca="1"/>
      </c>
      <c r="AC14">
        <f ca="1"/>
      </c>
      <c r="AE14">
        <f ca="1"/>
      </c>
      <c r="AF14">
        <f ca="1"/>
      </c>
      <c r="AG14">
        <f ca="1"/>
      </c>
      <c r="AH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P14" t="s">
        <v>10</v>
      </c>
      <c r="AQ14">
        <v>1</v>
      </c>
      <c r="BF14" s="7"/>
      <c r="BM14" s="7"/>
      <c r="BT14" s="7"/>
      <c r="CL14">
        <f ca="1"/>
      </c>
    </row>
    <row r="15" spans="1:182" x14ac:dyDescent="0.55000000000000004">
      <c r="A15" s="25" t="s">
        <v>423</v>
      </c>
      <c r="B15" s="51" cm="1">
        <f t="array" ref="B15">IF($B$4="","",_xlfn.TAKE(INDEX(_xlfn.ANCHORARRAY($BF$4),,4),-1))</f>
      </c>
      <c r="C15" s="51" cm="1">
        <f t="array" ref="C15">IF($B$5="","",_xlfn.TAKE(INDEX(_xlfn.ANCHORARRAY($BM$4),,4),-1))</f>
      </c>
      <c r="D15" s="51" cm="1">
        <f t="array" ref="D15">IF($B$6="","",_xlfn.TAKE(INDEX(_xlfn.ANCHORARRAY($BT$4),,4),-1))</f>
      </c>
      <c r="AA15">
        <f ca="1"/>
      </c>
      <c r="AB15">
        <f ca="1"/>
      </c>
      <c r="AC15">
        <f ca="1"/>
      </c>
      <c r="AE15">
        <f ca="1"/>
      </c>
      <c r="AF15">
        <f ca="1"/>
      </c>
      <c r="AG15">
        <f ca="1"/>
      </c>
      <c r="AH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P15" t="s">
        <v>11</v>
      </c>
      <c r="AQ15">
        <v>1</v>
      </c>
      <c r="BF15" s="7"/>
      <c r="BM15" s="7"/>
      <c r="BT15" s="7"/>
      <c r="CL15">
        <f ca="1"/>
      </c>
    </row>
    <row r="16" spans="1:182" x14ac:dyDescent="0.55000000000000004">
      <c r="A16" s="25" t="s">
        <v>424</v>
      </c>
      <c r="B16" s="53">
        <f>IF($B$4="","",B15/B26)</f>
      </c>
      <c r="C16" s="53">
        <f>IF($B$5="","",C15/C26)</f>
      </c>
      <c r="D16" s="53">
        <f>IF($B$6="","",D15/D26)</f>
      </c>
      <c r="AA16">
        <f ca="1"/>
      </c>
      <c r="AB16">
        <f ca="1"/>
      </c>
      <c r="AC16">
        <f ca="1"/>
      </c>
      <c r="AE16">
        <f ca="1"/>
      </c>
      <c r="AF16">
        <f ca="1"/>
      </c>
      <c r="AG16">
        <f ca="1"/>
      </c>
      <c r="AH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P16" t="s">
        <v>12</v>
      </c>
      <c r="AQ16">
        <v>1</v>
      </c>
      <c r="BF16" s="7"/>
      <c r="BM16" s="7"/>
      <c r="BT16" s="7"/>
      <c r="CL16">
        <f ca="1"/>
      </c>
    </row>
    <row r="17" spans="1:182" x14ac:dyDescent="0.55000000000000004">
      <c r="A17" s="25" t="s">
        <v>100</v>
      </c>
      <c r="B17" s="51" cm="1">
        <f t="array" aca="1" ref="B17" ca="1">IF($B$4="","",_xlfn.XLOOKUP($B$4,INDEX(VLV_LiveVol,,1),INDEX(VLV_LiveVol,,3),NA()))</f>
      </c>
      <c r="C17" s="51" cm="1">
        <f t="array" aca="1" ref="C17" ca="1">IF($B$5="","",_xlfn.XLOOKUP($B$5,INDEX(VLV_LiveVol,,1),INDEX(VLV_LiveVol,,3),NA()))</f>
      </c>
      <c r="D17" s="51" cm="1">
        <f t="array" aca="1" ref="D17" ca="1">IF($B$6="","",_xlfn.XLOOKUP($B$6,INDEX(VLV_LiveVol,,1),INDEX(VLV_LiveVol,,3),NA()))</f>
      </c>
      <c r="AA17">
        <f ca="1"/>
      </c>
      <c r="AB17">
        <f ca="1"/>
      </c>
      <c r="AC17">
        <f ca="1"/>
      </c>
      <c r="AE17">
        <f ca="1"/>
      </c>
      <c r="AF17">
        <f ca="1"/>
      </c>
      <c r="AG17">
        <f ca="1"/>
      </c>
      <c r="AH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P17" t="s">
        <v>41</v>
      </c>
      <c r="AQ17">
        <v>1</v>
      </c>
      <c r="BF17" s="7"/>
      <c r="BM17" s="7"/>
      <c r="BT17" s="7"/>
      <c r="CL17">
        <f ca="1"/>
      </c>
    </row>
    <row r="18" spans="1:182" x14ac:dyDescent="0.55000000000000004">
      <c r="A18" s="25" t="s">
        <v>425</v>
      </c>
      <c r="B18" s="52" cm="1">
        <f t="array" aca="1" ref="B18" ca="1">IF($B$4="","",INDEX(VLV_PLiveFwd,1))</f>
      </c>
      <c r="C18" s="52" cm="1">
        <f t="array" aca="1" ref="C18" ca="1">IF($B$5="","",INDEX(VLV_PLiveFwd,2))</f>
      </c>
      <c r="D18" s="52" cm="1">
        <f t="array" aca="1" ref="D18" ca="1">IF($B$6="","",INDEX(VLV_PLiveFwd,3))</f>
      </c>
      <c r="AA18">
        <f ca="1"/>
      </c>
      <c r="AB18">
        <f ca="1"/>
      </c>
      <c r="AC18">
        <f ca="1"/>
      </c>
      <c r="AE18">
        <f ca="1"/>
      </c>
      <c r="AF18">
        <f ca="1"/>
      </c>
      <c r="AG18">
        <f ca="1"/>
      </c>
      <c r="AH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P18" t="s">
        <v>13</v>
      </c>
      <c r="AQ18">
        <v>1</v>
      </c>
      <c r="BF18" s="7"/>
      <c r="BM18" s="7"/>
      <c r="BT18" s="7"/>
      <c r="CL18">
        <f ca="1"/>
      </c>
    </row>
    <row r="19" spans="1:182" x14ac:dyDescent="0.55000000000000004">
      <c r="A19" s="25" t="s">
        <v>426</v>
      </c>
      <c r="B19" s="51">
        <f ca="1">IF($B$4="","",B24+B23*B18)</f>
      </c>
      <c r="C19" s="51">
        <f ca="1">IF($B$5="","",C24+C23*C18)</f>
      </c>
      <c r="D19" s="51">
        <f ca="1">IF($B$6="","",D24+D23*D18)</f>
      </c>
      <c r="AA19">
        <f ca="1"/>
      </c>
      <c r="AB19">
        <f ca="1"/>
      </c>
      <c r="AC19">
        <f ca="1"/>
      </c>
      <c r="AE19">
        <f ca="1"/>
      </c>
      <c r="AF19">
        <f ca="1"/>
      </c>
      <c r="AG19">
        <f ca="1"/>
      </c>
      <c r="AH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P19" t="s">
        <v>14</v>
      </c>
      <c r="AQ19">
        <v>1</v>
      </c>
      <c r="BF19" s="7"/>
      <c r="BM19" s="7"/>
      <c r="BT19" s="7"/>
      <c r="CL19">
        <f ca="1"/>
      </c>
    </row>
    <row r="20" spans="1:182" x14ac:dyDescent="0.55000000000000004">
      <c r="A20" s="25" t="s">
        <v>427</v>
      </c>
      <c r="B20" s="51">
        <f ca="1">IF($B$4="","",B17-B19)</f>
      </c>
      <c r="C20" s="51">
        <f ca="1">IF($B$5="","",C17-C19)</f>
      </c>
      <c r="D20" s="51">
        <f ca="1">IF($B$6="","",D17-D19)</f>
      </c>
      <c r="AA20">
        <f ca="1"/>
      </c>
      <c r="AB20">
        <f ca="1"/>
      </c>
      <c r="AC20">
        <f ca="1"/>
      </c>
      <c r="AE20">
        <f ca="1"/>
      </c>
      <c r="AF20">
        <f ca="1"/>
      </c>
      <c r="AG20">
        <f ca="1"/>
      </c>
      <c r="AH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P20" t="s">
        <v>15</v>
      </c>
      <c r="AQ20">
        <v>1</v>
      </c>
      <c r="BF20" s="7"/>
      <c r="BM20" s="7"/>
      <c r="BT20" s="7"/>
      <c r="CL20">
        <f ca="1"/>
      </c>
    </row>
    <row r="21" spans="1:182" x14ac:dyDescent="0.55000000000000004">
      <c r="A21" s="25" t="s">
        <v>428</v>
      </c>
      <c r="B21" s="53">
        <f ca="1">IF($B$4="","",B20/B26)</f>
      </c>
      <c r="C21" s="53">
        <f ca="1">IF($B$5="","",C20/C26)</f>
      </c>
      <c r="D21" s="53">
        <f ca="1">IF($B$6="","",D20/D26)</f>
      </c>
      <c r="AA21">
        <f ca="1"/>
      </c>
      <c r="AB21">
        <f ca="1"/>
      </c>
      <c r="AC21">
        <f ca="1"/>
      </c>
      <c r="AE21">
        <f ca="1"/>
      </c>
      <c r="AF21">
        <f ca="1"/>
      </c>
      <c r="AG21">
        <f ca="1"/>
      </c>
      <c r="AH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P21" t="s">
        <v>16</v>
      </c>
      <c r="AQ21">
        <v>1</v>
      </c>
      <c r="BF21" s="7"/>
      <c r="BM21" s="7"/>
      <c r="BT21" s="7"/>
      <c r="CL21">
        <f ca="1"/>
      </c>
    </row>
    <row r="22" spans="1:182" x14ac:dyDescent="0.55000000000000004">
      <c r="A22" s="25" t="s">
        <v>429</v>
      </c>
      <c r="B22" s="54" cm="1">
        <f t="array" aca="1" ref="B22" ca="1">IF($B$4="","",_xlfn.LET(_xlpm.rs,INDEX(_xlfn.ANCHORARRAY($BF$4),,4),SUM(--(_xlpm.rs&lt;=B20))/ROWS(_xlpm.rs)))</f>
      </c>
      <c r="C22" s="54" cm="1">
        <f t="array" aca="1" ref="C22" ca="1">IF($B$5="","",_xlfn.LET(_xlpm.rs,INDEX(_xlfn.ANCHORARRAY($BM$4),,4),SUM(--(_xlpm.rs&lt;=C20))/ROWS(_xlpm.rs)))</f>
      </c>
      <c r="D22" s="54" cm="1">
        <f t="array" aca="1" ref="D22" ca="1">IF($B$6="","",_xlfn.LET(_xlpm.rs,INDEX(_xlfn.ANCHORARRAY($BT$4),,4),SUM(--(_xlpm.rs&lt;=D20))/ROWS(_xlpm.rs)))</f>
      </c>
      <c r="AA22">
        <f ca="1"/>
      </c>
      <c r="AB22">
        <f ca="1"/>
      </c>
      <c r="AC22">
        <f ca="1"/>
      </c>
      <c r="AE22">
        <f ca="1"/>
      </c>
      <c r="AF22">
        <f ca="1"/>
      </c>
      <c r="AG22">
        <f ca="1"/>
      </c>
      <c r="AH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P22" t="s">
        <v>17</v>
      </c>
      <c r="AQ22">
        <v>1</v>
      </c>
      <c r="BF22" s="7"/>
      <c r="BM22" s="7"/>
      <c r="BT22" s="7"/>
      <c r="CL22">
        <f ca="1"/>
      </c>
    </row>
    <row r="23" spans="1:182" x14ac:dyDescent="0.55000000000000004">
      <c r="A23" s="25" t="s">
        <v>430</v>
      </c>
      <c r="B23" s="51">
        <f>IF($B$4="","",SLOPE(INDEX(_xlfn.ANCHORARRAY($BF$4),,3),INDEX(_xlfn.ANCHORARRAY($BF$4),,2)))</f>
      </c>
      <c r="C23" s="51">
        <f>IF($B$5="","",SLOPE(INDEX(_xlfn.ANCHORARRAY($BM$4),,3),INDEX(_xlfn.ANCHORARRAY($BM$4),,2)))</f>
      </c>
      <c r="D23" s="51">
        <f>IF($B$6="","",SLOPE(INDEX(_xlfn.ANCHORARRAY($BT$4),,3),INDEX(_xlfn.ANCHORARRAY($BT$4),,2)))</f>
      </c>
      <c r="AA23">
        <f ca="1"/>
      </c>
      <c r="AB23">
        <f ca="1"/>
      </c>
      <c r="AC23">
        <f ca="1"/>
      </c>
      <c r="AE23">
        <f ca="1"/>
      </c>
      <c r="AF23">
        <f ca="1"/>
      </c>
      <c r="AG23">
        <f ca="1"/>
      </c>
      <c r="AH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P23" t="s">
        <v>18</v>
      </c>
      <c r="AQ23">
        <v>1</v>
      </c>
      <c r="BF23" s="7"/>
      <c r="BM23" s="7"/>
      <c r="BT23" s="7"/>
      <c r="CL23">
        <f ca="1"/>
      </c>
    </row>
    <row r="24" spans="1:182" x14ac:dyDescent="0.55000000000000004">
      <c r="A24" s="25" t="s">
        <v>431</v>
      </c>
      <c r="B24" s="51">
        <f>IF($B$4="","",INTERCEPT(INDEX(_xlfn.ANCHORARRAY($BF$4),,3),INDEX(_xlfn.ANCHORARRAY($BF$4),,2)))</f>
      </c>
      <c r="C24" s="51">
        <f>IF($B$5="","",INTERCEPT(INDEX(_xlfn.ANCHORARRAY($BM$4),,3),INDEX(_xlfn.ANCHORARRAY($BM$4),,2)))</f>
      </c>
      <c r="D24" s="51">
        <f>IF($B$6="","",INTERCEPT(INDEX(_xlfn.ANCHORARRAY($BT$4),,3),INDEX(_xlfn.ANCHORARRAY($BT$4),,2)))</f>
      </c>
      <c r="AA24">
        <f ca="1"/>
      </c>
      <c r="AB24">
        <f ca="1"/>
      </c>
      <c r="AC24">
        <f ca="1"/>
      </c>
      <c r="AE24">
        <f ca="1"/>
      </c>
      <c r="AF24">
        <f ca="1"/>
      </c>
      <c r="AG24">
        <f ca="1"/>
      </c>
      <c r="AH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P24" t="s">
        <v>19</v>
      </c>
      <c r="AQ24">
        <v>1</v>
      </c>
      <c r="BF24" s="7"/>
      <c r="BM24" s="7"/>
      <c r="BT24" s="7"/>
      <c r="CL24">
        <f ca="1"/>
      </c>
    </row>
    <row r="25" spans="1:182" x14ac:dyDescent="0.55000000000000004">
      <c r="A25" s="25" t="s">
        <v>432</v>
      </c>
      <c r="B25" s="53">
        <f>IF($B$4="","",RSQ(INDEX(_xlfn.ANCHORARRAY($BF$4),,3),INDEX(_xlfn.ANCHORARRAY($BF$4),,2)))</f>
      </c>
      <c r="C25" s="53">
        <f>IF($B$5="","",RSQ(INDEX(_xlfn.ANCHORARRAY($BM$4),,3),INDEX(_xlfn.ANCHORARRAY($BM$4),,2)))</f>
      </c>
      <c r="D25" s="53">
        <f>IF($B$6="","",RSQ(INDEX(_xlfn.ANCHORARRAY($BT$4),,3),INDEX(_xlfn.ANCHORARRAY($BT$4),,2)))</f>
      </c>
      <c r="AA25">
        <f ca="1"/>
      </c>
      <c r="AB25">
        <f ca="1"/>
      </c>
      <c r="AC25">
        <f ca="1"/>
      </c>
      <c r="AE25">
        <f ca="1"/>
      </c>
      <c r="AF25">
        <f ca="1"/>
      </c>
      <c r="AG25">
        <f ca="1"/>
      </c>
      <c r="AH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P25" t="s">
        <v>20</v>
      </c>
      <c r="AQ25">
        <v>1</v>
      </c>
      <c r="BF25" s="7"/>
      <c r="BM25" s="7"/>
      <c r="BT25" s="7"/>
      <c r="CL25">
        <f ca="1"/>
      </c>
    </row>
    <row r="26" spans="1:182" x14ac:dyDescent="0.55000000000000004">
      <c r="A26" s="25" t="s">
        <v>433</v>
      </c>
      <c r="B26" s="53">
        <f>IF($B$4="","",_xlfn.STDEV.S(INDEX(_xlfn.ANCHORARRAY($BF$4),,4)))</f>
      </c>
      <c r="C26" s="53">
        <f>IF($B$5="","",_xlfn.STDEV.S(INDEX(_xlfn.ANCHORARRAY($BM$4),,4)))</f>
      </c>
      <c r="D26" s="53">
        <f>IF($B$6="","",_xlfn.STDEV.S(INDEX(_xlfn.ANCHORARRAY($BT$4),,4)))</f>
      </c>
      <c r="AA26">
        <f ca="1"/>
      </c>
      <c r="AB26">
        <f ca="1"/>
      </c>
      <c r="AC26">
        <f ca="1"/>
      </c>
      <c r="AE26">
        <f ca="1"/>
      </c>
      <c r="AF26">
        <f ca="1"/>
      </c>
      <c r="AG26">
        <f ca="1"/>
      </c>
      <c r="AH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P26" t="s">
        <v>21</v>
      </c>
      <c r="AQ26">
        <v>1</v>
      </c>
      <c r="BF26" s="7"/>
      <c r="BM26" s="7"/>
      <c r="BT26" s="7"/>
      <c r="CL26">
        <f ca="1"/>
      </c>
    </row>
    <row r="27" spans="1:182" x14ac:dyDescent="0.55000000000000004">
      <c r="A27" s="25" t="s">
        <v>434</v>
      </c>
      <c r="B27" s="55">
        <f>IF($B$4="","",ROWS(INDEX(_xlfn.ANCHORARRAY($BF$4),,1)))</f>
      </c>
      <c r="C27" s="55">
        <f>IF($B$5="","",ROWS(INDEX(_xlfn.ANCHORARRAY($BM$4),,1)))</f>
      </c>
      <c r="D27" s="55">
        <f>IF($B$6="","",ROWS(INDEX(_xlfn.ANCHORARRAY($BT$4),,1)))</f>
      </c>
      <c r="AA27">
        <f ca="1"/>
      </c>
      <c r="AB27">
        <f ca="1"/>
      </c>
      <c r="AC27">
        <f ca="1"/>
      </c>
      <c r="AE27">
        <f ca="1"/>
      </c>
      <c r="AF27">
        <f ca="1"/>
      </c>
      <c r="AG27">
        <f ca="1"/>
      </c>
      <c r="AH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P27" t="s">
        <v>22</v>
      </c>
      <c r="AQ27">
        <v>1</v>
      </c>
      <c r="BF27" s="7"/>
      <c r="BM27" s="7"/>
      <c r="BT27" s="7"/>
      <c r="CL27">
        <f ca="1"/>
      </c>
    </row>
    <row r="28" spans="1:182" x14ac:dyDescent="0.55000000000000004">
      <c r="A28" t="s">
        <v>435</v>
      </c>
      <c r="AA28">
        <f ca="1"/>
      </c>
      <c r="AB28">
        <f ca="1"/>
      </c>
      <c r="AC28">
        <f ca="1"/>
      </c>
      <c r="AE28">
        <f ca="1"/>
      </c>
      <c r="AF28">
        <f ca="1"/>
      </c>
      <c r="AG28">
        <f ca="1"/>
      </c>
      <c r="AH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P28" t="s">
        <v>23</v>
      </c>
      <c r="AQ28">
        <v>1</v>
      </c>
      <c r="BF28" s="7"/>
      <c r="BM28" s="7"/>
      <c r="BT28" s="7"/>
      <c r="CL28">
        <f ca="1"/>
      </c>
    </row>
    <row r="29" spans="1:182" x14ac:dyDescent="0.55000000000000004">
      <c r="A29" t="s">
        <v>436</v>
      </c>
      <c r="AA29">
        <f ca="1"/>
      </c>
      <c r="AB29">
        <f ca="1"/>
      </c>
      <c r="AC29">
        <f ca="1"/>
      </c>
      <c r="AE29">
        <f ca="1"/>
      </c>
      <c r="AF29">
        <f ca="1"/>
      </c>
      <c r="AG29">
        <f ca="1"/>
      </c>
      <c r="AH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P29" t="s">
        <v>24</v>
      </c>
      <c r="AQ29">
        <v>1</v>
      </c>
      <c r="BF29" s="7"/>
      <c r="BM29" s="7"/>
      <c r="BT29" s="7"/>
      <c r="CL29">
        <f ca="1"/>
      </c>
    </row>
    <row r="30" spans="1:182" x14ac:dyDescent="0.55000000000000004">
      <c r="AA30">
        <f ca="1"/>
      </c>
      <c r="AB30">
        <f ca="1"/>
      </c>
      <c r="AC30">
        <f ca="1"/>
      </c>
      <c r="AE30">
        <f ca="1"/>
      </c>
      <c r="AF30">
        <f ca="1"/>
      </c>
      <c r="AG30">
        <f ca="1"/>
      </c>
      <c r="AH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P30" t="s">
        <v>25</v>
      </c>
      <c r="AQ30">
        <v>1</v>
      </c>
      <c r="BF30" s="7"/>
      <c r="BM30" s="7"/>
      <c r="BT30" s="7"/>
      <c r="CL30">
        <f ca="1"/>
      </c>
    </row>
    <row r="31" spans="1:182" x14ac:dyDescent="0.55000000000000004">
      <c r="A31" s="4" t="s">
        <v>445</v>
      </c>
      <c r="AA31">
        <f ca="1"/>
      </c>
      <c r="AB31">
        <f ca="1"/>
      </c>
      <c r="AC31">
        <f ca="1"/>
      </c>
      <c r="AE31">
        <f ca="1"/>
      </c>
      <c r="AF31">
        <f ca="1"/>
      </c>
      <c r="AG31">
        <f ca="1"/>
      </c>
      <c r="AH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P31" t="s">
        <v>26</v>
      </c>
      <c r="AQ31">
        <v>1</v>
      </c>
      <c r="BF31" s="7"/>
      <c r="BM31" s="7"/>
      <c r="BT31" s="7"/>
      <c r="CL31">
        <f ca="1"/>
      </c>
    </row>
    <row r="32" spans="1:182" x14ac:dyDescent="0.55000000000000004">
      <c r="A32" s="4" t="s">
        <v>446</v>
      </c>
      <c r="B32" s="2" t="s">
        <v>447</v>
      </c>
      <c r="C32" t="s">
        <v>449</v>
      </c>
      <c r="AA32">
        <f ca="1"/>
      </c>
      <c r="AB32">
        <f ca="1"/>
      </c>
      <c r="AC32">
        <f ca="1"/>
      </c>
      <c r="AE32">
        <f ca="1"/>
      </c>
      <c r="AF32">
        <f ca="1"/>
      </c>
      <c r="AG32">
        <f ca="1"/>
      </c>
      <c r="AH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P32" t="s">
        <v>27</v>
      </c>
      <c r="AQ32">
        <v>1</v>
      </c>
      <c r="BF32" s="7"/>
      <c r="BM32" s="7"/>
      <c r="BT32" s="7"/>
      <c r="CL32">
        <f ca="1"/>
      </c>
    </row>
    <row r="33" spans="1:182" x14ac:dyDescent="0.55000000000000004">
      <c r="A33" s="4" t="s">
        <v>448</v>
      </c>
      <c r="B33" s="2" t="s">
        <v>53</v>
      </c>
      <c r="C33" t="s">
        <v>450</v>
      </c>
      <c r="AA33">
        <f ca="1"/>
      </c>
      <c r="AB33">
        <f ca="1"/>
      </c>
      <c r="AC33">
        <f ca="1"/>
      </c>
      <c r="AE33">
        <f ca="1"/>
      </c>
      <c r="AF33">
        <f ca="1"/>
      </c>
      <c r="AG33">
        <f ca="1"/>
      </c>
      <c r="AH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P33" t="s">
        <v>28</v>
      </c>
      <c r="AQ33">
        <v>1</v>
      </c>
      <c r="BF33" s="7"/>
      <c r="BM33" s="7"/>
      <c r="BT33" s="7"/>
      <c r="CL33">
        <f ca="1"/>
      </c>
    </row>
    <row r="34" spans="1:182" x14ac:dyDescent="0.55000000000000004">
      <c r="AA34">
        <f ca="1"/>
      </c>
      <c r="AB34">
        <f ca="1"/>
      </c>
      <c r="AC34">
        <f ca="1"/>
      </c>
      <c r="AE34">
        <f ca="1"/>
      </c>
      <c r="AF34">
        <f ca="1"/>
      </c>
      <c r="AG34">
        <f ca="1"/>
      </c>
      <c r="AH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P34" t="s">
        <v>29</v>
      </c>
      <c r="AQ34">
        <v>1</v>
      </c>
      <c r="BF34" s="7"/>
      <c r="BM34" s="7"/>
      <c r="BT34" s="7"/>
    </row>
    <row r="35" spans="1:182" x14ac:dyDescent="0.55000000000000004">
      <c r="A35" s="4" t="s">
        <v>451</v>
      </c>
      <c r="B35" s="57" t="s">
        <v>49</v>
      </c>
      <c r="C35" s="57" t="s">
        <v>50</v>
      </c>
      <c r="D35" s="57" t="s">
        <v>19</v>
      </c>
      <c r="E35" s="57" t="s">
        <v>24</v>
      </c>
      <c r="F35" s="57" t="s">
        <v>28</v>
      </c>
      <c r="G35" s="6"/>
      <c r="H35" s="6"/>
      <c r="I35" s="6"/>
      <c r="AA35">
        <f ca="1"/>
      </c>
      <c r="AB35">
        <f ca="1"/>
      </c>
      <c r="AC35">
        <f ca="1"/>
      </c>
      <c r="AE35">
        <f ca="1"/>
      </c>
      <c r="AF35">
        <f ca="1"/>
      </c>
      <c r="AG35">
        <f ca="1"/>
      </c>
      <c r="AH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P35" t="s">
        <v>30</v>
      </c>
      <c r="AQ35">
        <v>1</v>
      </c>
      <c r="BF35" s="7"/>
      <c r="BM35" s="7"/>
      <c r="BT35" s="7"/>
    </row>
    <row r="36" spans="1:182" x14ac:dyDescent="0.55000000000000004">
      <c r="A36" s="56" t="s">
        <v>4</v>
      </c>
      <c r="B36" s="58" cm="1">
        <f t="array" aca="1" ref="B36:I43" ca="1">_xlfn.LET(_xlpm.es,$A$36:$A$43,_xlpm.ts,$B$35:$I$35,_xlfn.MAKEARRAY(8,8,_xlfn.LAMBDA(_xlpm.i,_xlpm.j,_xlfn.LET(_xlpm.e,INDEX(_xlpm.es,_xlpm.i),_xlpm.t,INDEX(_xlpm.ts,_xlpm.j),IF(OR(_xlpm.e="",_xlpm.t=""),"",IFERROR(VLV_Cell(_xlpm.e&amp;"x"&amp;_xlpm.t),NA()))))))</f>
      </c>
      <c r="C36" s="59">
        <f ca="1"/>
      </c>
      <c r="D36" s="59">
        <f ca="1"/>
      </c>
      <c r="E36" s="59">
        <f ca="1"/>
      </c>
      <c r="F36" s="59">
        <f ca="1"/>
      </c>
      <c r="G36" s="59">
        <f ca="1"/>
      </c>
      <c r="H36" s="59">
        <f ca="1"/>
      </c>
      <c r="I36" s="59">
        <f ca="1"/>
      </c>
      <c r="AA36">
        <f ca="1"/>
      </c>
      <c r="AB36">
        <f ca="1"/>
      </c>
      <c r="AC36">
        <f ca="1"/>
      </c>
      <c r="AE36">
        <f ca="1"/>
      </c>
      <c r="AF36">
        <f ca="1"/>
      </c>
      <c r="AG36">
        <f ca="1"/>
      </c>
      <c r="AH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P36" t="s">
        <v>31</v>
      </c>
      <c r="AQ36">
        <v>1</v>
      </c>
      <c r="BF36" s="7"/>
      <c r="BM36" s="7"/>
      <c r="BT36" s="7"/>
    </row>
    <row r="37" spans="1:182" x14ac:dyDescent="0.55000000000000004">
      <c r="A37" s="56" t="s">
        <v>49</v>
      </c>
      <c r="B37" s="59">
        <f ca="1"/>
      </c>
      <c r="C37" s="59">
        <f ca="1"/>
      </c>
      <c r="D37" s="59">
        <f ca="1"/>
      </c>
      <c r="E37" s="59">
        <f ca="1"/>
      </c>
      <c r="F37" s="59">
        <f ca="1"/>
      </c>
      <c r="G37" s="59">
        <f ca="1"/>
      </c>
      <c r="H37" s="59">
        <f ca="1"/>
      </c>
      <c r="I37" s="59">
        <f ca="1"/>
      </c>
      <c r="AA37">
        <f ca="1"/>
      </c>
      <c r="AB37">
        <f ca="1"/>
      </c>
      <c r="AC37">
        <f ca="1"/>
      </c>
      <c r="AE37">
        <f ca="1"/>
      </c>
      <c r="AF37">
        <f ca="1"/>
      </c>
      <c r="AG37">
        <f ca="1"/>
      </c>
      <c r="AH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P37" t="s">
        <v>32</v>
      </c>
      <c r="AQ37">
        <v>1</v>
      </c>
      <c r="BF37" s="7"/>
      <c r="BM37" s="7"/>
      <c r="BT37" s="7"/>
    </row>
    <row r="38" spans="1:182" x14ac:dyDescent="0.55000000000000004">
      <c r="A38" s="56" t="s">
        <v>50</v>
      </c>
      <c r="B38" s="59">
        <f ca="1"/>
      </c>
      <c r="C38" s="59">
        <f ca="1"/>
      </c>
      <c r="D38" s="59">
        <f ca="1"/>
      </c>
      <c r="E38" s="59">
        <f ca="1"/>
      </c>
      <c r="F38" s="59">
        <f ca="1"/>
      </c>
      <c r="G38" s="59">
        <f ca="1"/>
      </c>
      <c r="H38" s="59">
        <f ca="1"/>
      </c>
      <c r="I38" s="59">
        <f ca="1"/>
      </c>
      <c r="AA38">
        <f ca="1"/>
      </c>
      <c r="AB38">
        <f ca="1"/>
      </c>
      <c r="AC38">
        <f ca="1"/>
      </c>
      <c r="AE38">
        <f ca="1"/>
      </c>
      <c r="AF38">
        <f ca="1"/>
      </c>
      <c r="AG38">
        <f ca="1"/>
      </c>
      <c r="AH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P38" t="s">
        <v>109</v>
      </c>
      <c r="AQ38">
        <v>0</v>
      </c>
      <c r="BF38" s="7"/>
      <c r="BM38" s="7"/>
      <c r="BT38" s="7"/>
    </row>
    <row r="39" spans="1:182" x14ac:dyDescent="0.55000000000000004">
      <c r="A39" s="56" t="s">
        <v>19</v>
      </c>
      <c r="B39" s="59">
        <f ca="1"/>
      </c>
      <c r="C39" s="59">
        <f ca="1"/>
      </c>
      <c r="D39" s="59">
        <f ca="1"/>
      </c>
      <c r="E39" s="59">
        <f ca="1"/>
      </c>
      <c r="F39" s="59">
        <f ca="1"/>
      </c>
      <c r="G39" s="59">
        <f ca="1"/>
      </c>
      <c r="H39" s="59">
        <f ca="1"/>
      </c>
      <c r="I39" s="59">
        <f ca="1"/>
      </c>
      <c r="AA39">
        <f ca="1"/>
      </c>
      <c r="AB39">
        <f ca="1"/>
      </c>
      <c r="AC39">
        <f ca="1"/>
      </c>
      <c r="AE39">
        <f ca="1"/>
      </c>
      <c r="AF39">
        <f ca="1"/>
      </c>
      <c r="AG39">
        <f ca="1"/>
      </c>
      <c r="AH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P39" t="s">
        <v>33</v>
      </c>
      <c r="AQ39">
        <v>0</v>
      </c>
      <c r="BF39" s="7"/>
      <c r="BM39" s="7"/>
      <c r="BT39" s="7"/>
    </row>
    <row r="40" spans="1:182" x14ac:dyDescent="0.55000000000000004">
      <c r="A40" s="56" t="s">
        <v>24</v>
      </c>
      <c r="B40" s="59">
        <f ca="1"/>
      </c>
      <c r="C40" s="59">
        <f ca="1"/>
      </c>
      <c r="D40" s="59">
        <f ca="1"/>
      </c>
      <c r="E40" s="59">
        <f ca="1"/>
      </c>
      <c r="F40" s="59">
        <f ca="1"/>
      </c>
      <c r="G40" s="59">
        <f ca="1"/>
      </c>
      <c r="H40" s="59">
        <f ca="1"/>
      </c>
      <c r="I40" s="59">
        <f ca="1"/>
      </c>
      <c r="AA40">
        <f ca="1"/>
      </c>
      <c r="AB40">
        <f ca="1"/>
      </c>
      <c r="AC40">
        <f ca="1"/>
      </c>
      <c r="AE40">
        <f ca="1"/>
      </c>
      <c r="AF40">
        <f ca="1"/>
      </c>
      <c r="AG40">
        <f ca="1"/>
      </c>
      <c r="AH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P40" t="s">
        <v>34</v>
      </c>
      <c r="AQ40">
        <v>0</v>
      </c>
      <c r="BF40" s="7"/>
      <c r="BM40" s="7"/>
      <c r="BT40" s="7"/>
    </row>
    <row r="41" spans="1:182" x14ac:dyDescent="0.55000000000000004">
      <c r="A41" s="56" t="s">
        <v>28</v>
      </c>
      <c r="B41" s="59">
        <f ca="1"/>
      </c>
      <c r="C41" s="59">
        <f ca="1"/>
      </c>
      <c r="D41" s="59">
        <f ca="1"/>
      </c>
      <c r="E41" s="59">
        <f ca="1"/>
      </c>
      <c r="F41" s="59">
        <f ca="1"/>
      </c>
      <c r="G41" s="59">
        <f ca="1"/>
      </c>
      <c r="H41" s="59">
        <f ca="1"/>
      </c>
      <c r="I41" s="59">
        <f ca="1"/>
      </c>
      <c r="AA41">
        <f ca="1"/>
      </c>
      <c r="AB41">
        <f ca="1"/>
      </c>
      <c r="AC41">
        <f ca="1"/>
      </c>
      <c r="AE41">
        <f ca="1"/>
      </c>
      <c r="AF41">
        <f ca="1"/>
      </c>
      <c r="AG41">
        <f ca="1"/>
      </c>
      <c r="AH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P41" t="s">
        <v>35</v>
      </c>
      <c r="AQ41">
        <v>0</v>
      </c>
      <c r="BF41" s="7"/>
      <c r="BM41" s="7"/>
      <c r="BT41" s="7"/>
    </row>
    <row r="42" spans="1:182" x14ac:dyDescent="0.55000000000000004">
      <c r="A42" s="2"/>
      <c r="B42" s="59">
        <f ca="1"/>
      </c>
      <c r="C42" s="59">
        <f ca="1"/>
      </c>
      <c r="D42" s="59">
        <f ca="1"/>
      </c>
      <c r="E42" s="59">
        <f ca="1"/>
      </c>
      <c r="F42" s="59">
        <f ca="1"/>
      </c>
      <c r="G42" s="59">
        <f ca="1"/>
      </c>
      <c r="H42" s="59">
        <f ca="1"/>
      </c>
      <c r="I42" s="59">
        <f ca="1"/>
      </c>
      <c r="AA42">
        <f ca="1"/>
      </c>
      <c r="AB42">
        <f ca="1"/>
      </c>
      <c r="AC42">
        <f ca="1"/>
      </c>
      <c r="AE42">
        <f ca="1"/>
      </c>
      <c r="AF42">
        <f ca="1"/>
      </c>
      <c r="AG42">
        <f ca="1"/>
      </c>
      <c r="AH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P42" t="s">
        <v>36</v>
      </c>
      <c r="AQ42">
        <v>0</v>
      </c>
      <c r="BF42" s="7"/>
      <c r="BM42" s="7"/>
      <c r="BT42" s="7"/>
    </row>
    <row r="43" spans="1:182" x14ac:dyDescent="0.55000000000000004">
      <c r="A43" s="2"/>
      <c r="B43" s="59">
        <f ca="1"/>
      </c>
      <c r="C43" s="59">
        <f ca="1"/>
      </c>
      <c r="D43" s="59">
        <f ca="1"/>
      </c>
      <c r="E43" s="59">
        <f ca="1"/>
      </c>
      <c r="F43" s="59">
        <f ca="1"/>
      </c>
      <c r="G43" s="59">
        <f ca="1"/>
      </c>
      <c r="H43" s="59">
        <f ca="1"/>
      </c>
      <c r="I43" s="59">
        <f ca="1"/>
      </c>
      <c r="AA43">
        <f ca="1"/>
      </c>
      <c r="AB43">
        <f ca="1"/>
      </c>
      <c r="AC43">
        <f ca="1"/>
      </c>
      <c r="AE43">
        <f ca="1"/>
      </c>
      <c r="AF43">
        <f ca="1"/>
      </c>
      <c r="AG43">
        <f ca="1"/>
      </c>
      <c r="AH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P43" t="s">
        <v>37</v>
      </c>
      <c r="AQ43">
        <v>0</v>
      </c>
      <c r="BF43" s="7"/>
      <c r="BM43" s="7"/>
      <c r="BT43" s="7"/>
    </row>
    <row r="44" spans="1:182" x14ac:dyDescent="0.55000000000000004">
      <c r="AA44">
        <f ca="1"/>
      </c>
      <c r="AB44">
        <f ca="1"/>
      </c>
      <c r="AC44">
        <f ca="1"/>
      </c>
      <c r="AE44">
        <f ca="1"/>
      </c>
      <c r="AF44">
        <f ca="1"/>
      </c>
      <c r="AG44">
        <f ca="1"/>
      </c>
      <c r="AH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P44" t="s">
        <v>38</v>
      </c>
      <c r="AQ44">
        <v>0</v>
      </c>
      <c r="BF44" s="7"/>
      <c r="BM44" s="7"/>
      <c r="BT44" s="7"/>
    </row>
    <row r="45" spans="1:182" x14ac:dyDescent="0.55000000000000004">
      <c r="A45" t="s">
        <v>454</v>
      </c>
      <c r="AA45">
        <f ca="1"/>
      </c>
      <c r="AB45">
        <f ca="1"/>
      </c>
      <c r="AC45">
        <f ca="1"/>
      </c>
      <c r="AE45">
        <f ca="1"/>
      </c>
      <c r="AF45">
        <f ca="1"/>
      </c>
      <c r="AG45">
        <f ca="1"/>
      </c>
      <c r="AH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P45" t="s">
        <v>39</v>
      </c>
      <c r="AQ45">
        <v>0</v>
      </c>
      <c r="BF45" s="7"/>
      <c r="BM45" s="7"/>
      <c r="BT45" s="7"/>
    </row>
    <row r="46" spans="1:182" x14ac:dyDescent="0.55000000000000004">
      <c r="AA46">
        <f ca="1"/>
      </c>
      <c r="AB46">
        <f ca="1"/>
      </c>
      <c r="AC46">
        <f ca="1"/>
      </c>
      <c r="AE46">
        <f ca="1"/>
      </c>
      <c r="AF46">
        <f ca="1"/>
      </c>
      <c r="AG46">
        <f ca="1"/>
      </c>
      <c r="AH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P46" t="s">
        <v>40</v>
      </c>
      <c r="AQ46">
        <v>0</v>
      </c>
      <c r="BF46" s="7"/>
      <c r="BM46" s="7"/>
      <c r="BT46" s="7"/>
    </row>
    <row r="47" spans="1:182" x14ac:dyDescent="0.55000000000000004">
      <c r="AA47">
        <f ca="1"/>
      </c>
      <c r="AB47">
        <f ca="1"/>
      </c>
      <c r="AC47">
        <f ca="1"/>
      </c>
      <c r="AP47" t="s">
        <v>110</v>
      </c>
      <c r="AQ47">
        <v>0</v>
      </c>
      <c r="BF47" s="7"/>
      <c r="BM47" s="7"/>
      <c r="BT47" s="7"/>
    </row>
    <row r="48" spans="1:182" x14ac:dyDescent="0.55000000000000004">
      <c r="AA48">
        <f ca="1"/>
      </c>
      <c r="AB48">
        <f ca="1"/>
      </c>
      <c r="AC48">
        <f ca="1"/>
      </c>
      <c r="BF48" s="7"/>
      <c r="BM48" s="7"/>
      <c r="BT48" s="7"/>
    </row>
    <row r="49" spans="27:182" x14ac:dyDescent="0.55000000000000004">
      <c r="AA49">
        <f ca="1"/>
      </c>
      <c r="AB49">
        <f ca="1"/>
      </c>
      <c r="AC49">
        <f ca="1"/>
      </c>
      <c r="BF49" s="7"/>
      <c r="BM49" s="7"/>
      <c r="BT49" s="7"/>
    </row>
    <row r="50" spans="27:182" x14ac:dyDescent="0.55000000000000004">
      <c r="AA50">
        <f ca="1"/>
      </c>
      <c r="AB50">
        <f ca="1"/>
      </c>
      <c r="AC50">
        <f ca="1"/>
      </c>
      <c r="BF50" s="7"/>
      <c r="BM50" s="7"/>
      <c r="BT50" s="7"/>
    </row>
    <row r="51" spans="27:182" x14ac:dyDescent="0.55000000000000004">
      <c r="AA51">
        <f ca="1"/>
      </c>
      <c r="AB51">
        <f ca="1"/>
      </c>
      <c r="AC51">
        <f ca="1"/>
      </c>
      <c r="BF51" s="7"/>
      <c r="BM51" s="7"/>
      <c r="BT51" s="7"/>
    </row>
    <row r="52" spans="27:182" x14ac:dyDescent="0.55000000000000004">
      <c r="AA52">
        <f ca="1"/>
      </c>
      <c r="AB52">
        <f ca="1"/>
      </c>
      <c r="AC52">
        <f ca="1"/>
      </c>
      <c r="BF52" s="7"/>
      <c r="BM52" s="7"/>
      <c r="BT52" s="7"/>
    </row>
    <row r="53" spans="27:182" x14ac:dyDescent="0.55000000000000004">
      <c r="AA53">
        <f ca="1"/>
      </c>
      <c r="AB53">
        <f ca="1"/>
      </c>
      <c r="AC53">
        <f ca="1"/>
      </c>
      <c r="BF53" s="7"/>
      <c r="BM53" s="7"/>
      <c r="BT53" s="7"/>
    </row>
    <row r="54" spans="27:182" x14ac:dyDescent="0.55000000000000004">
      <c r="AA54">
        <f ca="1"/>
      </c>
      <c r="AB54">
        <f ca="1"/>
      </c>
      <c r="AC54">
        <f ca="1"/>
      </c>
      <c r="BF54" s="7"/>
      <c r="BM54" s="7"/>
      <c r="BT54" s="7"/>
    </row>
    <row r="55" spans="27:182" x14ac:dyDescent="0.55000000000000004">
      <c r="AA55">
        <f ca="1"/>
      </c>
      <c r="AB55">
        <f ca="1"/>
      </c>
      <c r="AC55">
        <f ca="1"/>
      </c>
      <c r="BF55" s="7"/>
      <c r="BM55" s="7"/>
      <c r="BT55" s="7"/>
    </row>
    <row r="56" spans="27:182" x14ac:dyDescent="0.55000000000000004">
      <c r="AA56">
        <f ca="1"/>
      </c>
      <c r="AB56">
        <f ca="1"/>
      </c>
      <c r="AC56">
        <f ca="1"/>
      </c>
      <c r="BF56" s="7"/>
      <c r="BM56" s="7"/>
      <c r="BT56" s="7"/>
    </row>
    <row r="57" spans="27:182" x14ac:dyDescent="0.55000000000000004">
      <c r="AA57">
        <f ca="1"/>
      </c>
      <c r="AB57">
        <f ca="1"/>
      </c>
      <c r="AC57">
        <f ca="1"/>
      </c>
      <c r="BF57" s="7"/>
      <c r="BM57" s="7"/>
      <c r="BT57" s="7"/>
    </row>
    <row r="58" spans="27:182" x14ac:dyDescent="0.55000000000000004">
      <c r="AA58">
        <f ca="1"/>
      </c>
      <c r="AB58">
        <f ca="1"/>
      </c>
      <c r="AC58">
        <f ca="1"/>
      </c>
      <c r="BF58" s="7"/>
      <c r="BM58" s="7"/>
      <c r="BT58" s="7"/>
    </row>
    <row r="59" spans="27:182" x14ac:dyDescent="0.55000000000000004">
      <c r="AA59">
        <f ca="1"/>
      </c>
      <c r="AB59">
        <f ca="1"/>
      </c>
      <c r="AC59">
        <f ca="1"/>
      </c>
      <c r="BF59" s="7"/>
      <c r="BM59" s="7"/>
      <c r="BT59" s="7"/>
    </row>
    <row r="60" spans="27:182" x14ac:dyDescent="0.55000000000000004">
      <c r="AA60">
        <f ca="1"/>
      </c>
      <c r="AB60">
        <f ca="1"/>
      </c>
      <c r="AC60">
        <f ca="1"/>
      </c>
      <c r="BF60" s="7"/>
      <c r="BM60" s="7"/>
      <c r="BT60" s="7"/>
    </row>
    <row r="61" spans="27:182" x14ac:dyDescent="0.55000000000000004">
      <c r="AA61">
        <f ca="1"/>
      </c>
      <c r="AB61">
        <f ca="1"/>
      </c>
      <c r="AC61">
        <f ca="1"/>
      </c>
      <c r="BF61" s="7"/>
      <c r="BM61" s="7"/>
      <c r="BT61" s="7"/>
    </row>
    <row r="62" spans="27:182" x14ac:dyDescent="0.55000000000000004">
      <c r="AA62">
        <f ca="1"/>
      </c>
      <c r="AB62">
        <f ca="1"/>
      </c>
      <c r="AC62">
        <f ca="1"/>
      </c>
      <c r="BF62" s="7"/>
      <c r="BM62" s="7"/>
      <c r="BT62" s="7"/>
    </row>
    <row r="63" spans="27:182" x14ac:dyDescent="0.55000000000000004">
      <c r="AA63">
        <f ca="1"/>
      </c>
      <c r="AB63">
        <f ca="1"/>
      </c>
      <c r="AC63">
        <f ca="1"/>
      </c>
      <c r="BF63" s="7"/>
      <c r="BM63" s="7"/>
      <c r="BT63" s="7"/>
    </row>
    <row r="64" spans="27:182" x14ac:dyDescent="0.55000000000000004">
      <c r="AA64">
        <f ca="1"/>
      </c>
      <c r="AB64">
        <f ca="1"/>
      </c>
      <c r="AC64">
        <f ca="1"/>
      </c>
      <c r="BF64" s="7"/>
      <c r="BM64" s="7"/>
      <c r="BT64" s="7"/>
    </row>
    <row r="65" spans="27:182" x14ac:dyDescent="0.55000000000000004">
      <c r="AA65">
        <f ca="1"/>
      </c>
      <c r="AB65">
        <f ca="1"/>
      </c>
      <c r="AC65">
        <f ca="1"/>
      </c>
      <c r="BF65" s="7"/>
      <c r="BM65" s="7"/>
      <c r="BT65" s="7"/>
    </row>
    <row r="66" spans="27:182" x14ac:dyDescent="0.55000000000000004">
      <c r="AA66">
        <f ca="1"/>
      </c>
      <c r="AB66">
        <f ca="1"/>
      </c>
      <c r="AC66">
        <f ca="1"/>
      </c>
      <c r="BF66" s="7"/>
      <c r="BM66" s="7"/>
      <c r="BT66" s="7"/>
    </row>
    <row r="67" spans="27:182" x14ac:dyDescent="0.55000000000000004">
      <c r="AA67">
        <f ca="1"/>
      </c>
      <c r="AB67">
        <f ca="1"/>
      </c>
      <c r="AC67">
        <f ca="1"/>
      </c>
      <c r="BF67" s="7"/>
      <c r="BM67" s="7"/>
      <c r="BT67" s="7"/>
    </row>
    <row r="68" spans="27:182" x14ac:dyDescent="0.55000000000000004">
      <c r="AA68">
        <f ca="1"/>
      </c>
      <c r="AB68">
        <f ca="1"/>
      </c>
      <c r="AC68">
        <f ca="1"/>
      </c>
      <c r="BF68" s="7"/>
      <c r="BM68" s="7"/>
      <c r="BT68" s="7"/>
    </row>
    <row r="69" spans="27:182" x14ac:dyDescent="0.55000000000000004">
      <c r="AA69">
        <f ca="1"/>
      </c>
      <c r="AB69">
        <f ca="1"/>
      </c>
      <c r="AC69">
        <f ca="1"/>
      </c>
      <c r="BF69" s="7"/>
      <c r="BM69" s="7"/>
      <c r="BT69" s="7"/>
    </row>
    <row r="70" spans="27:182" x14ac:dyDescent="0.55000000000000004">
      <c r="AA70">
        <f ca="1"/>
      </c>
      <c r="AB70">
        <f ca="1"/>
      </c>
      <c r="AC70">
        <f ca="1"/>
      </c>
      <c r="BF70" s="7"/>
      <c r="BM70" s="7"/>
      <c r="BT70" s="7"/>
    </row>
    <row r="71" spans="27:182" x14ac:dyDescent="0.55000000000000004">
      <c r="AA71">
        <f ca="1"/>
      </c>
      <c r="AB71">
        <f ca="1"/>
      </c>
      <c r="AC71">
        <f ca="1"/>
      </c>
      <c r="BF71" s="7"/>
      <c r="BM71" s="7"/>
      <c r="BT71" s="7"/>
    </row>
    <row r="72" spans="27:182" x14ac:dyDescent="0.55000000000000004">
      <c r="AA72">
        <f ca="1"/>
      </c>
      <c r="AB72">
        <f ca="1"/>
      </c>
      <c r="AC72">
        <f ca="1"/>
      </c>
      <c r="BF72" s="7"/>
      <c r="BM72" s="7"/>
      <c r="BT72" s="7"/>
    </row>
    <row r="73" spans="27:182" x14ac:dyDescent="0.55000000000000004">
      <c r="AA73">
        <f ca="1"/>
      </c>
      <c r="AB73">
        <f ca="1"/>
      </c>
      <c r="AC73">
        <f ca="1"/>
      </c>
      <c r="BF73" s="7"/>
      <c r="BM73" s="7"/>
      <c r="BT73" s="7"/>
    </row>
    <row r="74" spans="27:182" x14ac:dyDescent="0.55000000000000004">
      <c r="AA74">
        <f ca="1"/>
      </c>
      <c r="AB74">
        <f ca="1"/>
      </c>
      <c r="AC74">
        <f ca="1"/>
      </c>
      <c r="BF74" s="7"/>
      <c r="BM74" s="7"/>
      <c r="BT74" s="7"/>
    </row>
    <row r="75" spans="27:182" x14ac:dyDescent="0.55000000000000004">
      <c r="AA75">
        <f ca="1"/>
      </c>
      <c r="AB75">
        <f ca="1"/>
      </c>
      <c r="AC75">
        <f ca="1"/>
      </c>
      <c r="BF75" s="7"/>
      <c r="BM75" s="7"/>
      <c r="BT75" s="7"/>
    </row>
    <row r="76" spans="27:182" x14ac:dyDescent="0.55000000000000004">
      <c r="AA76">
        <f ca="1"/>
      </c>
      <c r="AB76">
        <f ca="1"/>
      </c>
      <c r="AC76">
        <f ca="1"/>
      </c>
      <c r="BF76" s="7"/>
      <c r="BM76" s="7"/>
      <c r="BT76" s="7"/>
    </row>
    <row r="77" spans="27:182" x14ac:dyDescent="0.55000000000000004">
      <c r="AA77">
        <f ca="1"/>
      </c>
      <c r="AB77">
        <f ca="1"/>
      </c>
      <c r="AC77">
        <f ca="1"/>
      </c>
      <c r="BF77" s="7"/>
      <c r="BM77" s="7"/>
      <c r="BT77" s="7"/>
    </row>
    <row r="78" spans="27:182" x14ac:dyDescent="0.55000000000000004">
      <c r="AA78">
        <f ca="1"/>
      </c>
      <c r="AB78">
        <f ca="1"/>
      </c>
      <c r="AC78">
        <f ca="1"/>
      </c>
      <c r="BF78" s="7"/>
      <c r="BM78" s="7"/>
      <c r="BT78" s="7"/>
    </row>
    <row r="79" spans="27:182" x14ac:dyDescent="0.55000000000000004">
      <c r="AA79">
        <f ca="1"/>
      </c>
      <c r="AB79">
        <f ca="1"/>
      </c>
      <c r="AC79">
        <f ca="1"/>
      </c>
      <c r="BF79" s="7"/>
      <c r="BM79" s="7"/>
      <c r="BT79" s="7"/>
    </row>
    <row r="80" spans="27:182" x14ac:dyDescent="0.55000000000000004">
      <c r="AA80">
        <f ca="1"/>
      </c>
      <c r="AB80">
        <f ca="1"/>
      </c>
      <c r="AC80">
        <f ca="1"/>
      </c>
      <c r="BF80" s="7"/>
      <c r="BM80" s="7"/>
      <c r="BT80" s="7"/>
    </row>
    <row r="81" spans="27:182" x14ac:dyDescent="0.55000000000000004">
      <c r="AA81">
        <f ca="1"/>
      </c>
      <c r="AB81">
        <f ca="1"/>
      </c>
      <c r="AC81">
        <f ca="1"/>
      </c>
      <c r="BF81" s="7"/>
      <c r="BM81" s="7"/>
      <c r="BT81" s="7"/>
    </row>
    <row r="82" spans="27:182" x14ac:dyDescent="0.55000000000000004">
      <c r="AA82">
        <f ca="1"/>
      </c>
      <c r="AB82">
        <f ca="1"/>
      </c>
      <c r="AC82">
        <f ca="1"/>
      </c>
      <c r="BF82" s="7"/>
      <c r="BM82" s="7"/>
      <c r="BT82" s="7"/>
    </row>
    <row r="83" spans="27:182" x14ac:dyDescent="0.55000000000000004">
      <c r="AA83">
        <f ca="1"/>
      </c>
      <c r="AB83">
        <f ca="1"/>
      </c>
      <c r="AC83">
        <f ca="1"/>
      </c>
      <c r="BF83" s="7"/>
      <c r="BM83" s="7"/>
      <c r="BT83" s="7"/>
    </row>
    <row r="84" spans="27:182" x14ac:dyDescent="0.55000000000000004">
      <c r="AA84">
        <f ca="1"/>
      </c>
      <c r="AB84">
        <f ca="1"/>
      </c>
      <c r="AC84">
        <f ca="1"/>
      </c>
      <c r="BF84" s="7"/>
      <c r="BM84" s="7"/>
      <c r="BT84" s="7"/>
    </row>
    <row r="85" spans="27:182" x14ac:dyDescent="0.55000000000000004">
      <c r="AA85">
        <f ca="1"/>
      </c>
      <c r="AB85">
        <f ca="1"/>
      </c>
      <c r="AC85">
        <f ca="1"/>
      </c>
      <c r="BF85" s="7"/>
      <c r="BM85" s="7"/>
      <c r="BT85" s="7"/>
    </row>
    <row r="86" spans="27:182" x14ac:dyDescent="0.55000000000000004">
      <c r="AA86">
        <f ca="1"/>
      </c>
      <c r="AB86">
        <f ca="1"/>
      </c>
      <c r="AC86">
        <f ca="1"/>
      </c>
      <c r="BF86" s="7"/>
      <c r="BM86" s="7"/>
      <c r="BT86" s="7"/>
    </row>
    <row r="87" spans="27:182" x14ac:dyDescent="0.55000000000000004">
      <c r="AA87">
        <f ca="1"/>
      </c>
      <c r="AB87">
        <f ca="1"/>
      </c>
      <c r="AC87">
        <f ca="1"/>
      </c>
      <c r="BF87" s="7"/>
      <c r="BM87" s="7"/>
      <c r="BT87" s="7"/>
    </row>
    <row r="88" spans="27:182" x14ac:dyDescent="0.55000000000000004">
      <c r="AA88">
        <f ca="1"/>
      </c>
      <c r="AB88">
        <f ca="1"/>
      </c>
      <c r="AC88">
        <f ca="1"/>
      </c>
      <c r="BF88" s="7"/>
      <c r="BM88" s="7"/>
      <c r="BT88" s="7"/>
    </row>
    <row r="89" spans="27:182" x14ac:dyDescent="0.55000000000000004">
      <c r="AA89">
        <f ca="1"/>
      </c>
      <c r="AB89">
        <f ca="1"/>
      </c>
      <c r="AC89">
        <f ca="1"/>
      </c>
      <c r="BF89" s="7"/>
      <c r="BM89" s="7"/>
      <c r="BT89" s="7"/>
    </row>
    <row r="90" spans="27:182" x14ac:dyDescent="0.55000000000000004">
      <c r="AA90">
        <f ca="1"/>
      </c>
      <c r="AB90">
        <f ca="1"/>
      </c>
      <c r="AC90">
        <f ca="1"/>
      </c>
      <c r="BF90" s="7"/>
      <c r="BM90" s="7"/>
      <c r="BT90" s="7"/>
    </row>
    <row r="91" spans="27:182" x14ac:dyDescent="0.55000000000000004">
      <c r="AA91">
        <f ca="1"/>
      </c>
      <c r="AB91">
        <f ca="1"/>
      </c>
      <c r="AC91">
        <f ca="1"/>
      </c>
      <c r="BF91" s="7"/>
      <c r="BM91" s="7"/>
      <c r="BT91" s="7"/>
    </row>
    <row r="92" spans="27:182" x14ac:dyDescent="0.55000000000000004">
      <c r="AA92">
        <f ca="1"/>
      </c>
      <c r="AB92">
        <f ca="1"/>
      </c>
      <c r="AC92">
        <f ca="1"/>
      </c>
      <c r="BF92" s="7"/>
      <c r="BM92" s="7"/>
      <c r="BT92" s="7"/>
    </row>
    <row r="93" spans="27:182" x14ac:dyDescent="0.55000000000000004">
      <c r="AA93">
        <f ca="1"/>
      </c>
      <c r="AB93">
        <f ca="1"/>
      </c>
      <c r="AC93">
        <f ca="1"/>
      </c>
      <c r="BF93" s="7"/>
      <c r="BM93" s="7"/>
      <c r="BT93" s="7"/>
    </row>
    <row r="94" spans="27:182" x14ac:dyDescent="0.55000000000000004">
      <c r="AA94">
        <f ca="1"/>
      </c>
      <c r="AB94">
        <f ca="1"/>
      </c>
      <c r="AC94">
        <f ca="1"/>
      </c>
      <c r="BF94" s="7"/>
      <c r="BM94" s="7"/>
      <c r="BT94" s="7"/>
    </row>
    <row r="95" spans="27:182" x14ac:dyDescent="0.55000000000000004">
      <c r="AA95">
        <f ca="1"/>
      </c>
      <c r="AB95">
        <f ca="1"/>
      </c>
      <c r="AC95">
        <f ca="1"/>
      </c>
      <c r="BF95" s="7"/>
      <c r="BM95" s="7"/>
      <c r="BT95" s="7"/>
    </row>
    <row r="96" spans="27:182" x14ac:dyDescent="0.55000000000000004">
      <c r="AA96">
        <f ca="1"/>
      </c>
      <c r="AB96">
        <f ca="1"/>
      </c>
      <c r="AC96">
        <f ca="1"/>
      </c>
      <c r="BF96" s="7"/>
      <c r="BM96" s="7"/>
      <c r="BT96" s="7"/>
    </row>
    <row r="97" spans="27:182" x14ac:dyDescent="0.55000000000000004">
      <c r="AA97">
        <f ca="1"/>
      </c>
      <c r="AB97">
        <f ca="1"/>
      </c>
      <c r="AC97">
        <f ca="1"/>
      </c>
      <c r="BF97" s="7"/>
      <c r="BM97" s="7"/>
      <c r="BT97" s="7"/>
    </row>
    <row r="98" spans="27:182" x14ac:dyDescent="0.55000000000000004">
      <c r="AA98">
        <f ca="1"/>
      </c>
      <c r="AB98">
        <f ca="1"/>
      </c>
      <c r="AC98">
        <f ca="1"/>
      </c>
      <c r="BF98" s="7"/>
      <c r="BM98" s="7"/>
      <c r="BT98" s="7"/>
    </row>
    <row r="99" spans="27:182" x14ac:dyDescent="0.55000000000000004">
      <c r="AA99">
        <f ca="1"/>
      </c>
      <c r="AB99">
        <f ca="1"/>
      </c>
      <c r="AC99">
        <f ca="1"/>
      </c>
      <c r="BF99" s="7"/>
      <c r="BM99" s="7"/>
      <c r="BT99" s="7"/>
    </row>
    <row r="100" spans="27:182" x14ac:dyDescent="0.55000000000000004">
      <c r="AA100">
        <f ca="1"/>
      </c>
      <c r="AB100">
        <f ca="1"/>
      </c>
      <c r="AC100">
        <f ca="1"/>
      </c>
      <c r="BF100" s="7"/>
      <c r="BM100" s="7"/>
      <c r="BT100" s="7"/>
    </row>
    <row r="101" spans="27:182" x14ac:dyDescent="0.55000000000000004">
      <c r="AA101">
        <f ca="1"/>
      </c>
      <c r="AB101">
        <f ca="1"/>
      </c>
      <c r="AC101">
        <f ca="1"/>
      </c>
      <c r="BF101" s="7"/>
      <c r="BM101" s="7"/>
      <c r="BT101" s="7"/>
    </row>
    <row r="102" spans="27:182" x14ac:dyDescent="0.55000000000000004">
      <c r="AA102">
        <f ca="1"/>
      </c>
      <c r="AB102">
        <f ca="1"/>
      </c>
      <c r="AC102">
        <f ca="1"/>
      </c>
      <c r="BF102" s="7"/>
      <c r="BM102" s="7"/>
      <c r="BT102" s="7"/>
    </row>
    <row r="103" spans="27:182" x14ac:dyDescent="0.55000000000000004">
      <c r="AA103">
        <f ca="1"/>
      </c>
      <c r="AB103">
        <f ca="1"/>
      </c>
      <c r="AC103">
        <f ca="1"/>
      </c>
      <c r="BF103" s="7"/>
      <c r="BM103" s="7"/>
      <c r="BT103" s="7"/>
    </row>
    <row r="104" spans="27:182" x14ac:dyDescent="0.55000000000000004">
      <c r="AA104">
        <f ca="1"/>
      </c>
      <c r="AB104">
        <f ca="1"/>
      </c>
      <c r="AC104">
        <f ca="1"/>
      </c>
      <c r="BF104" s="7"/>
      <c r="BM104" s="7"/>
      <c r="BT104" s="7"/>
    </row>
    <row r="105" spans="27:182" x14ac:dyDescent="0.55000000000000004">
      <c r="AA105">
        <f ca="1"/>
      </c>
      <c r="AB105">
        <f ca="1"/>
      </c>
      <c r="AC105">
        <f ca="1"/>
      </c>
      <c r="BF105" s="7"/>
      <c r="BM105" s="7"/>
      <c r="BT105" s="7"/>
    </row>
    <row r="106" spans="27:182" x14ac:dyDescent="0.55000000000000004">
      <c r="AA106">
        <f ca="1"/>
      </c>
      <c r="AB106">
        <f ca="1"/>
      </c>
      <c r="AC106">
        <f ca="1"/>
      </c>
      <c r="BF106" s="7"/>
      <c r="BM106" s="7"/>
      <c r="BT106" s="7"/>
    </row>
    <row r="107" spans="27:182" x14ac:dyDescent="0.55000000000000004">
      <c r="AA107">
        <f ca="1"/>
      </c>
      <c r="AB107">
        <f ca="1"/>
      </c>
      <c r="AC107">
        <f ca="1"/>
      </c>
      <c r="BF107" s="7"/>
      <c r="BM107" s="7"/>
      <c r="BT107" s="7"/>
    </row>
    <row r="108" spans="27:182" x14ac:dyDescent="0.55000000000000004">
      <c r="AA108">
        <f ca="1"/>
      </c>
      <c r="AB108">
        <f ca="1"/>
      </c>
      <c r="AC108">
        <f ca="1"/>
      </c>
      <c r="BF108" s="7"/>
      <c r="BM108" s="7"/>
      <c r="BT108" s="7"/>
    </row>
    <row r="109" spans="27:182" x14ac:dyDescent="0.55000000000000004">
      <c r="AA109">
        <f ca="1"/>
      </c>
      <c r="AB109">
        <f ca="1"/>
      </c>
      <c r="AC109">
        <f ca="1"/>
      </c>
      <c r="BF109" s="7"/>
      <c r="BM109" s="7"/>
      <c r="BT109" s="7"/>
    </row>
    <row r="110" spans="27:182" x14ac:dyDescent="0.55000000000000004">
      <c r="AA110">
        <f ca="1"/>
      </c>
      <c r="AB110">
        <f ca="1"/>
      </c>
      <c r="AC110">
        <f ca="1"/>
      </c>
      <c r="BF110" s="7"/>
      <c r="BM110" s="7"/>
      <c r="BT110" s="7"/>
    </row>
    <row r="111" spans="27:182" x14ac:dyDescent="0.55000000000000004">
      <c r="AA111">
        <f ca="1"/>
      </c>
      <c r="AB111">
        <f ca="1"/>
      </c>
      <c r="AC111">
        <f ca="1"/>
      </c>
      <c r="BF111" s="7"/>
      <c r="BM111" s="7"/>
      <c r="BT111" s="7"/>
    </row>
    <row r="112" spans="27:182" x14ac:dyDescent="0.55000000000000004">
      <c r="AA112">
        <f ca="1"/>
      </c>
      <c r="AB112">
        <f ca="1"/>
      </c>
      <c r="AC112">
        <f ca="1"/>
      </c>
      <c r="BF112" s="7"/>
      <c r="BM112" s="7"/>
      <c r="BT112" s="7"/>
    </row>
    <row r="113" spans="27:182" x14ac:dyDescent="0.55000000000000004">
      <c r="AA113">
        <f ca="1"/>
      </c>
      <c r="AB113">
        <f ca="1"/>
      </c>
      <c r="AC113">
        <f ca="1"/>
      </c>
      <c r="BF113" s="7"/>
      <c r="BM113" s="7"/>
      <c r="BT113" s="7"/>
    </row>
    <row r="114" spans="27:182" x14ac:dyDescent="0.55000000000000004">
      <c r="AA114">
        <f ca="1"/>
      </c>
      <c r="AB114">
        <f ca="1"/>
      </c>
      <c r="AC114">
        <f ca="1"/>
      </c>
      <c r="BF114" s="7"/>
      <c r="BM114" s="7"/>
      <c r="BT114" s="7"/>
    </row>
    <row r="115" spans="27:182" x14ac:dyDescent="0.55000000000000004">
      <c r="AA115">
        <f ca="1"/>
      </c>
      <c r="AB115">
        <f ca="1"/>
      </c>
      <c r="AC115">
        <f ca="1"/>
      </c>
      <c r="BF115" s="7"/>
      <c r="BM115" s="7"/>
      <c r="BT115" s="7"/>
    </row>
    <row r="116" spans="27:182" x14ac:dyDescent="0.55000000000000004">
      <c r="AA116">
        <f ca="1"/>
      </c>
      <c r="AB116">
        <f ca="1"/>
      </c>
      <c r="AC116">
        <f ca="1"/>
      </c>
      <c r="BF116" s="7"/>
      <c r="BM116" s="7"/>
      <c r="BT116" s="7"/>
    </row>
    <row r="117" spans="27:182" x14ac:dyDescent="0.55000000000000004">
      <c r="AA117">
        <f ca="1"/>
      </c>
      <c r="AB117">
        <f ca="1"/>
      </c>
      <c r="AC117">
        <f ca="1"/>
      </c>
      <c r="BF117" s="7"/>
      <c r="BM117" s="7"/>
      <c r="BT117" s="7"/>
    </row>
    <row r="118" spans="27:182" x14ac:dyDescent="0.55000000000000004">
      <c r="AA118">
        <f ca="1"/>
      </c>
      <c r="AB118">
        <f ca="1"/>
      </c>
      <c r="AC118">
        <f ca="1"/>
      </c>
      <c r="BF118" s="7"/>
      <c r="BM118" s="7"/>
      <c r="BT118" s="7"/>
    </row>
    <row r="119" spans="27:182" x14ac:dyDescent="0.55000000000000004">
      <c r="AA119">
        <f ca="1"/>
      </c>
      <c r="AB119">
        <f ca="1"/>
      </c>
      <c r="AC119">
        <f ca="1"/>
      </c>
      <c r="BF119" s="7"/>
      <c r="BM119" s="7"/>
      <c r="BT119" s="7"/>
    </row>
    <row r="120" spans="27:182" x14ac:dyDescent="0.55000000000000004">
      <c r="AA120">
        <f ca="1"/>
      </c>
      <c r="AB120">
        <f ca="1"/>
      </c>
      <c r="AC120">
        <f ca="1"/>
      </c>
      <c r="BF120" s="7"/>
      <c r="BM120" s="7"/>
      <c r="BT120" s="7"/>
    </row>
    <row r="121" spans="27:182" x14ac:dyDescent="0.55000000000000004">
      <c r="AA121">
        <f ca="1"/>
      </c>
      <c r="AB121">
        <f ca="1"/>
      </c>
      <c r="AC121">
        <f ca="1"/>
      </c>
      <c r="BF121" s="7"/>
      <c r="BM121" s="7"/>
      <c r="BT121" s="7"/>
    </row>
    <row r="122" spans="27:182" x14ac:dyDescent="0.55000000000000004">
      <c r="AA122">
        <f ca="1"/>
      </c>
      <c r="AB122">
        <f ca="1"/>
      </c>
      <c r="AC122">
        <f ca="1"/>
      </c>
      <c r="BF122" s="7"/>
      <c r="BM122" s="7"/>
      <c r="BT122" s="7"/>
    </row>
    <row r="123" spans="27:182" x14ac:dyDescent="0.55000000000000004">
      <c r="AA123">
        <f ca="1"/>
      </c>
      <c r="AB123">
        <f ca="1"/>
      </c>
      <c r="AC123">
        <f ca="1"/>
      </c>
      <c r="BF123" s="7"/>
      <c r="BM123" s="7"/>
      <c r="BT123" s="7"/>
    </row>
    <row r="124" spans="27:182" x14ac:dyDescent="0.55000000000000004">
      <c r="AA124">
        <f ca="1"/>
      </c>
      <c r="AB124">
        <f ca="1"/>
      </c>
      <c r="AC124">
        <f ca="1"/>
      </c>
      <c r="BF124" s="7"/>
      <c r="BM124" s="7"/>
      <c r="BT124" s="7"/>
    </row>
    <row r="125" spans="27:182" x14ac:dyDescent="0.55000000000000004">
      <c r="AA125">
        <f ca="1"/>
      </c>
      <c r="AB125">
        <f ca="1"/>
      </c>
      <c r="AC125">
        <f ca="1"/>
      </c>
      <c r="BF125" s="7"/>
      <c r="BM125" s="7"/>
      <c r="BT125" s="7"/>
    </row>
    <row r="126" spans="27:182" x14ac:dyDescent="0.55000000000000004">
      <c r="AA126">
        <f ca="1"/>
      </c>
      <c r="AB126">
        <f ca="1"/>
      </c>
      <c r="AC126">
        <f ca="1"/>
      </c>
      <c r="BF126" s="7"/>
      <c r="BM126" s="7"/>
      <c r="BT126" s="7"/>
    </row>
    <row r="127" spans="27:182" x14ac:dyDescent="0.55000000000000004">
      <c r="AA127">
        <f ca="1"/>
      </c>
      <c r="AB127">
        <f ca="1"/>
      </c>
      <c r="AC127">
        <f ca="1"/>
      </c>
      <c r="BF127" s="7"/>
      <c r="BM127" s="7"/>
      <c r="BT127" s="7"/>
    </row>
    <row r="128" spans="27:182" x14ac:dyDescent="0.55000000000000004">
      <c r="AA128">
        <f ca="1"/>
      </c>
      <c r="AB128">
        <f ca="1"/>
      </c>
      <c r="AC128">
        <f ca="1"/>
      </c>
      <c r="BF128" s="7"/>
      <c r="BM128" s="7"/>
      <c r="BT128" s="7"/>
    </row>
    <row r="129" spans="27:182" x14ac:dyDescent="0.55000000000000004">
      <c r="AA129">
        <f ca="1"/>
      </c>
      <c r="AB129">
        <f ca="1"/>
      </c>
      <c r="AC129">
        <f ca="1"/>
      </c>
      <c r="BF129" s="7"/>
      <c r="BM129" s="7"/>
      <c r="BT129" s="7"/>
    </row>
    <row r="130" spans="27:182" x14ac:dyDescent="0.55000000000000004">
      <c r="AA130">
        <f ca="1"/>
      </c>
      <c r="AB130">
        <f ca="1"/>
      </c>
      <c r="AC130">
        <f ca="1"/>
      </c>
      <c r="BF130" s="7"/>
      <c r="BM130" s="7"/>
      <c r="BT130" s="7"/>
    </row>
    <row r="131" spans="27:182" x14ac:dyDescent="0.55000000000000004">
      <c r="AA131">
        <f ca="1"/>
      </c>
      <c r="AB131">
        <f ca="1"/>
      </c>
      <c r="AC131">
        <f ca="1"/>
      </c>
      <c r="BF131" s="7"/>
      <c r="BM131" s="7"/>
      <c r="BT131" s="7"/>
    </row>
    <row r="132" spans="27:182" x14ac:dyDescent="0.55000000000000004">
      <c r="AA132">
        <f ca="1"/>
      </c>
      <c r="AB132">
        <f ca="1"/>
      </c>
      <c r="AC132">
        <f ca="1"/>
      </c>
      <c r="BF132" s="7"/>
      <c r="BM132" s="7"/>
      <c r="BT132" s="7"/>
    </row>
    <row r="133" spans="27:182" x14ac:dyDescent="0.55000000000000004">
      <c r="AA133">
        <f ca="1"/>
      </c>
      <c r="AB133">
        <f ca="1"/>
      </c>
      <c r="AC133">
        <f ca="1"/>
      </c>
      <c r="BF133" s="7"/>
      <c r="BM133" s="7"/>
      <c r="BT133" s="7"/>
    </row>
    <row r="134" spans="27:182" x14ac:dyDescent="0.55000000000000004">
      <c r="AA134">
        <f ca="1"/>
      </c>
      <c r="AB134">
        <f ca="1"/>
      </c>
      <c r="AC134">
        <f ca="1"/>
      </c>
      <c r="BF134" s="7"/>
      <c r="BM134" s="7"/>
      <c r="BT134" s="7"/>
    </row>
    <row r="135" spans="27:182" x14ac:dyDescent="0.55000000000000004">
      <c r="AA135">
        <f ca="1"/>
      </c>
      <c r="AB135">
        <f ca="1"/>
      </c>
      <c r="AC135">
        <f ca="1"/>
      </c>
      <c r="BF135" s="7"/>
      <c r="BM135" s="7"/>
      <c r="BT135" s="7"/>
    </row>
    <row r="136" spans="27:182" x14ac:dyDescent="0.55000000000000004">
      <c r="AA136">
        <f ca="1"/>
      </c>
      <c r="AB136">
        <f ca="1"/>
      </c>
      <c r="AC136">
        <f ca="1"/>
      </c>
      <c r="BF136" s="7"/>
      <c r="BM136" s="7"/>
      <c r="BT136" s="7"/>
    </row>
    <row r="137" spans="27:182" x14ac:dyDescent="0.55000000000000004">
      <c r="AA137">
        <f ca="1"/>
      </c>
      <c r="AB137">
        <f ca="1"/>
      </c>
      <c r="AC137">
        <f ca="1"/>
      </c>
      <c r="BF137" s="7"/>
      <c r="BM137" s="7"/>
      <c r="BT137" s="7"/>
    </row>
    <row r="138" spans="27:182" x14ac:dyDescent="0.55000000000000004">
      <c r="AA138">
        <f ca="1"/>
      </c>
      <c r="AB138">
        <f ca="1"/>
      </c>
      <c r="AC138">
        <f ca="1"/>
      </c>
      <c r="BF138" s="7"/>
      <c r="BM138" s="7"/>
      <c r="BT138" s="7"/>
    </row>
    <row r="139" spans="27:182" x14ac:dyDescent="0.55000000000000004">
      <c r="AA139">
        <f ca="1"/>
      </c>
      <c r="AB139">
        <f ca="1"/>
      </c>
      <c r="AC139">
        <f ca="1"/>
      </c>
      <c r="BF139" s="7"/>
      <c r="BM139" s="7"/>
      <c r="BT139" s="7"/>
    </row>
    <row r="140" spans="27:182" x14ac:dyDescent="0.55000000000000004">
      <c r="AA140">
        <f ca="1"/>
      </c>
      <c r="AB140">
        <f ca="1"/>
      </c>
      <c r="AC140">
        <f ca="1"/>
      </c>
      <c r="BF140" s="7"/>
      <c r="BM140" s="7"/>
      <c r="BT140" s="7"/>
    </row>
    <row r="141" spans="27:182" x14ac:dyDescent="0.55000000000000004">
      <c r="AA141">
        <f ca="1"/>
      </c>
      <c r="AB141">
        <f ca="1"/>
      </c>
      <c r="AC141">
        <f ca="1"/>
      </c>
      <c r="BF141" s="7"/>
      <c r="BM141" s="7"/>
      <c r="BT141" s="7"/>
    </row>
    <row r="142" spans="27:182" x14ac:dyDescent="0.55000000000000004">
      <c r="AA142">
        <f ca="1"/>
      </c>
      <c r="AB142">
        <f ca="1"/>
      </c>
      <c r="AC142">
        <f ca="1"/>
      </c>
      <c r="BF142" s="7"/>
      <c r="BM142" s="7"/>
      <c r="BT142" s="7"/>
    </row>
    <row r="143" spans="27:182" x14ac:dyDescent="0.55000000000000004">
      <c r="AA143">
        <f ca="1"/>
      </c>
      <c r="AB143">
        <f ca="1"/>
      </c>
      <c r="AC143">
        <f ca="1"/>
      </c>
      <c r="BF143" s="7"/>
      <c r="BM143" s="7"/>
      <c r="BT143" s="7"/>
    </row>
    <row r="144" spans="27:182" x14ac:dyDescent="0.55000000000000004">
      <c r="AA144">
        <f ca="1"/>
      </c>
      <c r="AB144">
        <f ca="1"/>
      </c>
      <c r="AC144">
        <f ca="1"/>
      </c>
      <c r="BF144" s="7"/>
      <c r="BM144" s="7"/>
      <c r="BT144" s="7"/>
    </row>
    <row r="145" spans="27:182" x14ac:dyDescent="0.55000000000000004">
      <c r="AA145">
        <f ca="1"/>
      </c>
      <c r="AB145">
        <f ca="1"/>
      </c>
      <c r="AC145">
        <f ca="1"/>
      </c>
      <c r="BF145" s="7"/>
      <c r="BM145" s="7"/>
      <c r="BT145" s="7"/>
    </row>
    <row r="146" spans="27:182" x14ac:dyDescent="0.55000000000000004">
      <c r="AA146">
        <f ca="1"/>
      </c>
      <c r="AB146">
        <f ca="1"/>
      </c>
      <c r="AC146">
        <f ca="1"/>
      </c>
      <c r="BF146" s="7"/>
      <c r="BM146" s="7"/>
      <c r="BT146" s="7"/>
    </row>
    <row r="147" spans="27:182" x14ac:dyDescent="0.55000000000000004">
      <c r="AA147">
        <f ca="1"/>
      </c>
      <c r="AB147">
        <f ca="1"/>
      </c>
      <c r="AC147">
        <f ca="1"/>
      </c>
      <c r="BF147" s="7"/>
      <c r="BM147" s="7"/>
      <c r="BT147" s="7"/>
    </row>
    <row r="148" spans="27:182" x14ac:dyDescent="0.55000000000000004">
      <c r="AA148">
        <f ca="1"/>
      </c>
      <c r="AB148">
        <f ca="1"/>
      </c>
      <c r="AC148">
        <f ca="1"/>
      </c>
      <c r="BF148" s="7"/>
      <c r="BM148" s="7"/>
      <c r="BT148" s="7"/>
    </row>
    <row r="149" spans="27:182" x14ac:dyDescent="0.55000000000000004">
      <c r="AA149">
        <f ca="1"/>
      </c>
      <c r="AB149">
        <f ca="1"/>
      </c>
      <c r="AC149">
        <f ca="1"/>
      </c>
      <c r="BF149" s="7"/>
      <c r="BM149" s="7"/>
      <c r="BT149" s="7"/>
    </row>
    <row r="150" spans="27:182" x14ac:dyDescent="0.55000000000000004">
      <c r="AA150">
        <f ca="1"/>
      </c>
      <c r="AB150">
        <f ca="1"/>
      </c>
      <c r="AC150">
        <f ca="1"/>
      </c>
      <c r="BF150" s="7"/>
      <c r="BM150" s="7"/>
      <c r="BT150" s="7"/>
    </row>
    <row r="151" spans="27:182" x14ac:dyDescent="0.55000000000000004">
      <c r="AA151">
        <f ca="1"/>
      </c>
      <c r="AB151">
        <f ca="1"/>
      </c>
      <c r="AC151">
        <f ca="1"/>
      </c>
      <c r="BF151" s="7"/>
      <c r="BM151" s="7"/>
      <c r="BT151" s="7"/>
    </row>
    <row r="152" spans="27:182" x14ac:dyDescent="0.55000000000000004">
      <c r="AA152">
        <f ca="1"/>
      </c>
      <c r="AB152">
        <f ca="1"/>
      </c>
      <c r="AC152">
        <f ca="1"/>
      </c>
      <c r="BF152" s="7"/>
      <c r="BM152" s="7"/>
      <c r="BT152" s="7"/>
    </row>
    <row r="153" spans="27:182" x14ac:dyDescent="0.55000000000000004">
      <c r="AA153">
        <f ca="1"/>
      </c>
      <c r="AB153">
        <f ca="1"/>
      </c>
      <c r="AC153">
        <f ca="1"/>
      </c>
      <c r="BF153" s="7"/>
      <c r="BM153" s="7"/>
      <c r="BT153" s="7"/>
    </row>
    <row r="154" spans="27:182" x14ac:dyDescent="0.55000000000000004">
      <c r="AA154">
        <f ca="1"/>
      </c>
      <c r="AB154">
        <f ca="1"/>
      </c>
      <c r="AC154">
        <f ca="1"/>
      </c>
      <c r="BF154" s="7"/>
      <c r="BM154" s="7"/>
      <c r="BT154" s="7"/>
    </row>
    <row r="155" spans="27:182" x14ac:dyDescent="0.55000000000000004">
      <c r="AA155">
        <f ca="1"/>
      </c>
      <c r="AB155">
        <f ca="1"/>
      </c>
      <c r="AC155">
        <f ca="1"/>
      </c>
      <c r="BF155" s="7"/>
      <c r="BM155" s="7"/>
      <c r="BT155" s="7"/>
    </row>
    <row r="156" spans="27:182" x14ac:dyDescent="0.55000000000000004">
      <c r="AA156">
        <f ca="1"/>
      </c>
      <c r="AB156">
        <f ca="1"/>
      </c>
      <c r="AC156">
        <f ca="1"/>
      </c>
      <c r="BF156" s="7"/>
      <c r="BM156" s="7"/>
      <c r="BT156" s="7"/>
    </row>
    <row r="157" spans="27:182" x14ac:dyDescent="0.55000000000000004">
      <c r="AA157">
        <f ca="1"/>
      </c>
      <c r="AB157">
        <f ca="1"/>
      </c>
      <c r="AC157">
        <f ca="1"/>
      </c>
      <c r="BF157" s="7"/>
      <c r="BM157" s="7"/>
      <c r="BT157" s="7"/>
    </row>
    <row r="158" spans="27:182" x14ac:dyDescent="0.55000000000000004">
      <c r="AA158">
        <f ca="1"/>
      </c>
      <c r="AB158">
        <f ca="1"/>
      </c>
      <c r="AC158">
        <f ca="1"/>
      </c>
      <c r="BF158" s="7"/>
      <c r="BM158" s="7"/>
      <c r="BT158" s="7"/>
    </row>
    <row r="159" spans="27:182" x14ac:dyDescent="0.55000000000000004">
      <c r="BF159" s="7"/>
      <c r="BM159" s="7"/>
      <c r="BT159" s="7"/>
    </row>
    <row r="160" spans="27:182" x14ac:dyDescent="0.55000000000000004">
      <c r="BF160" s="7"/>
      <c r="BM160" s="7"/>
      <c r="BT160" s="7"/>
    </row>
    <row r="161" spans="45:182" x14ac:dyDescent="0.55000000000000004">
      <c r="BF161" s="7"/>
      <c r="BM161" s="7"/>
      <c r="BT161" s="7"/>
    </row>
    <row r="162" spans="45:182" x14ac:dyDescent="0.55000000000000004">
      <c r="BF162" s="7"/>
      <c r="BM162" s="7"/>
      <c r="BT162" s="7"/>
    </row>
    <row r="163" spans="45:182" x14ac:dyDescent="0.55000000000000004">
      <c r="BF163" s="7"/>
      <c r="BM163" s="7"/>
      <c r="BT163" s="7"/>
    </row>
    <row r="164" spans="45:182" x14ac:dyDescent="0.55000000000000004">
      <c r="BF164" s="7"/>
      <c r="BM164" s="7"/>
      <c r="BT164" s="7"/>
    </row>
    <row r="165" spans="45:182" x14ac:dyDescent="0.55000000000000004">
      <c r="BF165" s="7"/>
      <c r="BM165" s="7"/>
      <c r="BT165" s="7"/>
    </row>
    <row r="166" spans="45:182" x14ac:dyDescent="0.55000000000000004">
      <c r="BF166" s="7"/>
      <c r="BM166" s="7"/>
      <c r="BT166" s="7"/>
    </row>
    <row r="167" spans="45:182" x14ac:dyDescent="0.55000000000000004">
      <c r="BF167" s="7"/>
      <c r="BM167" s="7"/>
      <c r="BT167" s="7"/>
    </row>
    <row r="168" spans="45:182" x14ac:dyDescent="0.55000000000000004">
      <c r="BF168" s="7"/>
      <c r="BM168" s="7"/>
      <c r="BT168" s="7"/>
    </row>
    <row r="169" spans="45:182" x14ac:dyDescent="0.55000000000000004">
      <c r="BF169" s="7"/>
      <c r="BM169" s="7"/>
      <c r="BT169" s="7"/>
    </row>
    <row r="170" spans="45:182" x14ac:dyDescent="0.55000000000000004">
      <c r="BF170" s="7"/>
      <c r="BM170" s="7"/>
      <c r="BT170" s="7"/>
    </row>
    <row r="171" spans="45:182" x14ac:dyDescent="0.55000000000000004">
      <c r="BF171" s="7"/>
      <c r="BM171" s="7"/>
      <c r="BT171" s="7"/>
    </row>
    <row r="172" spans="45:182" x14ac:dyDescent="0.55000000000000004">
      <c r="BF172" s="7"/>
      <c r="BM172" s="7"/>
      <c r="BT172" s="7"/>
    </row>
    <row r="173" spans="45:182" x14ac:dyDescent="0.55000000000000004">
      <c r="BF173" s="7"/>
      <c r="BM173" s="7"/>
      <c r="BT173" s="7"/>
    </row>
    <row r="174" spans="45:182" x14ac:dyDescent="0.55000000000000004">
      <c r="BF174" s="7"/>
      <c r="BM174" s="7"/>
      <c r="BT174" s="7"/>
    </row>
    <row r="175" spans="45:182" x14ac:dyDescent="0.55000000000000004">
      <c r="BF175" s="7"/>
      <c r="BM175" s="7"/>
      <c r="BT175" s="7"/>
    </row>
    <row r="176" spans="45:182" x14ac:dyDescent="0.55000000000000004">
      <c r="BF176" s="7"/>
      <c r="BM176" s="7"/>
      <c r="BT176" s="7"/>
    </row>
    <row r="177" spans="45:182" x14ac:dyDescent="0.55000000000000004">
      <c r="BF177" s="7"/>
      <c r="BM177" s="7"/>
      <c r="BT177" s="7"/>
    </row>
    <row r="178" spans="45:182" x14ac:dyDescent="0.55000000000000004">
      <c r="BF178" s="7"/>
      <c r="BM178" s="7"/>
      <c r="BT178" s="7"/>
    </row>
    <row r="179" spans="45:182" x14ac:dyDescent="0.55000000000000004">
      <c r="BF179" s="7"/>
      <c r="BM179" s="7"/>
      <c r="BT179" s="7"/>
    </row>
    <row r="180" spans="45:182" x14ac:dyDescent="0.55000000000000004">
      <c r="BF180" s="7"/>
      <c r="BM180" s="7"/>
      <c r="BT180" s="7"/>
    </row>
    <row r="181" spans="45:182" x14ac:dyDescent="0.55000000000000004">
      <c r="BF181" s="7"/>
      <c r="BM181" s="7"/>
      <c r="BT181" s="7"/>
    </row>
    <row r="182" spans="45:182" x14ac:dyDescent="0.55000000000000004">
      <c r="BF182" s="7"/>
      <c r="BM182" s="7"/>
      <c r="BT182" s="7"/>
    </row>
    <row r="183" spans="45:182" x14ac:dyDescent="0.55000000000000004">
      <c r="BF183" s="7"/>
      <c r="BM183" s="7"/>
      <c r="BT183" s="7"/>
    </row>
    <row r="184" spans="45:182" x14ac:dyDescent="0.55000000000000004">
      <c r="BF184" s="7"/>
      <c r="BM184" s="7"/>
      <c r="BT184" s="7"/>
    </row>
    <row r="185" spans="45:182" x14ac:dyDescent="0.55000000000000004">
      <c r="BF185" s="7"/>
      <c r="BM185" s="7"/>
      <c r="BT185" s="7"/>
    </row>
    <row r="186" spans="45:182" x14ac:dyDescent="0.55000000000000004">
      <c r="BF186" s="7"/>
      <c r="BM186" s="7"/>
      <c r="BT186" s="7"/>
    </row>
    <row r="187" spans="45:182" x14ac:dyDescent="0.55000000000000004">
      <c r="BF187" s="7"/>
      <c r="BM187" s="7"/>
      <c r="BT187" s="7"/>
    </row>
    <row r="188" spans="45:182" x14ac:dyDescent="0.55000000000000004">
      <c r="BF188" s="7"/>
      <c r="BM188" s="7"/>
      <c r="BT188" s="7"/>
    </row>
    <row r="189" spans="45:182" x14ac:dyDescent="0.55000000000000004">
      <c r="BF189" s="7"/>
      <c r="BM189" s="7"/>
      <c r="BT189" s="7"/>
    </row>
    <row r="190" spans="45:182" x14ac:dyDescent="0.55000000000000004">
      <c r="BF190" s="7"/>
      <c r="BM190" s="7"/>
      <c r="BT190" s="7"/>
    </row>
    <row r="191" spans="45:182" x14ac:dyDescent="0.55000000000000004">
      <c r="BF191" s="7"/>
      <c r="BM191" s="7"/>
      <c r="BT191" s="7"/>
    </row>
    <row r="192" spans="45:182" x14ac:dyDescent="0.55000000000000004">
      <c r="BF192" s="7"/>
      <c r="BM192" s="7"/>
      <c r="BT192" s="7"/>
    </row>
    <row r="193" spans="45:182" x14ac:dyDescent="0.55000000000000004">
      <c r="BF193" s="7"/>
      <c r="BM193" s="7"/>
      <c r="BT193" s="7"/>
    </row>
    <row r="194" spans="45:182" x14ac:dyDescent="0.55000000000000004">
      <c r="BF194" s="7"/>
      <c r="BM194" s="7"/>
      <c r="BT194" s="7"/>
    </row>
    <row r="195" spans="45:182" x14ac:dyDescent="0.55000000000000004">
      <c r="BF195" s="7"/>
      <c r="BM195" s="7"/>
      <c r="BT195" s="7"/>
    </row>
    <row r="196" spans="45:182" x14ac:dyDescent="0.55000000000000004">
      <c r="BF196" s="7"/>
      <c r="BM196" s="7"/>
      <c r="BT196" s="7"/>
    </row>
    <row r="197" spans="45:182" x14ac:dyDescent="0.55000000000000004">
      <c r="BF197" s="7"/>
      <c r="BM197" s="7"/>
      <c r="BT197" s="7"/>
    </row>
    <row r="198" spans="45:182" x14ac:dyDescent="0.55000000000000004">
      <c r="BF198" s="7"/>
      <c r="BM198" s="7"/>
      <c r="BT198" s="7"/>
    </row>
    <row r="199" spans="45:182" x14ac:dyDescent="0.55000000000000004">
      <c r="BF199" s="7"/>
      <c r="BM199" s="7"/>
      <c r="BT199" s="7"/>
    </row>
    <row r="200" spans="45:182" x14ac:dyDescent="0.55000000000000004">
      <c r="BF200" s="7"/>
      <c r="BM200" s="7"/>
      <c r="BT200" s="7"/>
    </row>
    <row r="201" spans="45:182" x14ac:dyDescent="0.55000000000000004">
      <c r="BF201" s="7"/>
      <c r="BM201" s="7"/>
      <c r="BT201" s="7"/>
    </row>
    <row r="202" spans="45:182" x14ac:dyDescent="0.55000000000000004">
      <c r="BF202" s="7"/>
      <c r="BM202" s="7"/>
      <c r="BT202" s="7"/>
    </row>
    <row r="203" spans="45:182" x14ac:dyDescent="0.55000000000000004">
      <c r="BF203" s="7"/>
      <c r="BM203" s="7"/>
      <c r="BT203" s="7"/>
    </row>
    <row r="204" spans="45:182" x14ac:dyDescent="0.55000000000000004">
      <c r="BF204" s="7"/>
      <c r="BM204" s="7"/>
      <c r="BT204" s="7"/>
    </row>
    <row r="205" spans="45:182" x14ac:dyDescent="0.55000000000000004">
      <c r="BF205" s="7"/>
      <c r="BM205" s="7"/>
      <c r="BT205" s="7"/>
    </row>
    <row r="206" spans="45:182" x14ac:dyDescent="0.55000000000000004">
      <c r="BF206" s="7"/>
      <c r="BM206" s="7"/>
      <c r="BT206" s="7"/>
    </row>
    <row r="207" spans="45:182" x14ac:dyDescent="0.55000000000000004">
      <c r="BF207" s="7"/>
      <c r="BM207" s="7"/>
      <c r="BT207" s="7"/>
    </row>
    <row r="208" spans="45:182" x14ac:dyDescent="0.55000000000000004">
      <c r="BF208" s="7"/>
      <c r="BM208" s="7"/>
      <c r="BT208" s="7"/>
    </row>
    <row r="209" spans="45:182" x14ac:dyDescent="0.55000000000000004">
      <c r="BF209" s="7"/>
      <c r="BM209" s="7"/>
      <c r="BT209" s="7"/>
    </row>
    <row r="210" spans="45:182" x14ac:dyDescent="0.55000000000000004">
      <c r="BF210" s="7"/>
      <c r="BM210" s="7"/>
      <c r="BT210" s="7"/>
    </row>
    <row r="211" spans="45:182" x14ac:dyDescent="0.55000000000000004">
      <c r="BF211" s="7"/>
      <c r="BM211" s="7"/>
      <c r="BT211" s="7"/>
    </row>
    <row r="212" spans="45:182" x14ac:dyDescent="0.55000000000000004">
      <c r="BF212" s="7"/>
      <c r="BM212" s="7"/>
      <c r="BT212" s="7"/>
    </row>
    <row r="213" spans="45:182" x14ac:dyDescent="0.55000000000000004">
      <c r="BF213" s="7"/>
      <c r="BM213" s="7"/>
      <c r="BT213" s="7"/>
    </row>
    <row r="214" spans="45:182" x14ac:dyDescent="0.55000000000000004">
      <c r="BF214" s="7"/>
      <c r="BM214" s="7"/>
      <c r="BT214" s="7"/>
    </row>
    <row r="215" spans="45:182" x14ac:dyDescent="0.55000000000000004">
      <c r="BF215" s="7"/>
      <c r="BM215" s="7"/>
      <c r="BT215" s="7"/>
    </row>
    <row r="216" spans="45:182" x14ac:dyDescent="0.55000000000000004">
      <c r="BF216" s="7"/>
      <c r="BM216" s="7"/>
      <c r="BT216" s="7"/>
    </row>
    <row r="217" spans="45:182" x14ac:dyDescent="0.55000000000000004">
      <c r="BF217" s="7"/>
      <c r="BM217" s="7"/>
      <c r="BT217" s="7"/>
    </row>
    <row r="218" spans="45:182" x14ac:dyDescent="0.55000000000000004">
      <c r="BF218" s="7"/>
      <c r="BM218" s="7"/>
      <c r="BT218" s="7"/>
    </row>
    <row r="219" spans="45:182" x14ac:dyDescent="0.55000000000000004">
      <c r="BF219" s="7"/>
      <c r="BM219" s="7"/>
      <c r="BT219" s="7"/>
    </row>
    <row r="220" spans="45:182" x14ac:dyDescent="0.55000000000000004">
      <c r="BF220" s="7"/>
      <c r="BM220" s="7"/>
      <c r="BT220" s="7"/>
    </row>
    <row r="221" spans="45:182" x14ac:dyDescent="0.55000000000000004">
      <c r="BF221" s="7"/>
      <c r="BM221" s="7"/>
      <c r="BT221" s="7"/>
    </row>
    <row r="222" spans="45:182" x14ac:dyDescent="0.55000000000000004">
      <c r="BF222" s="7"/>
      <c r="BM222" s="7"/>
      <c r="BT222" s="7"/>
    </row>
    <row r="223" spans="45:182" x14ac:dyDescent="0.55000000000000004">
      <c r="BF223" s="7"/>
      <c r="BM223" s="7"/>
      <c r="BT223" s="7"/>
    </row>
    <row r="224" spans="45:182" x14ac:dyDescent="0.55000000000000004">
      <c r="BF224" s="7"/>
      <c r="BM224" s="7"/>
      <c r="BT224" s="7"/>
    </row>
    <row r="225" spans="45:182" x14ac:dyDescent="0.55000000000000004">
      <c r="BF225" s="7"/>
      <c r="BM225" s="7"/>
      <c r="BT225" s="7"/>
    </row>
    <row r="226" spans="45:182" x14ac:dyDescent="0.55000000000000004">
      <c r="BF226" s="7"/>
      <c r="BM226" s="7"/>
      <c r="BT226" s="7"/>
    </row>
    <row r="227" spans="45:182" x14ac:dyDescent="0.55000000000000004">
      <c r="BF227" s="7"/>
      <c r="BM227" s="7"/>
      <c r="BT227" s="7"/>
    </row>
    <row r="228" spans="45:182" x14ac:dyDescent="0.55000000000000004">
      <c r="BF228" s="7"/>
      <c r="BM228" s="7"/>
      <c r="BT228" s="7"/>
    </row>
    <row r="229" spans="45:182" x14ac:dyDescent="0.55000000000000004">
      <c r="BF229" s="7"/>
      <c r="BM229" s="7"/>
      <c r="BT229" s="7"/>
    </row>
    <row r="230" spans="45:182" x14ac:dyDescent="0.55000000000000004">
      <c r="BF230" s="7"/>
      <c r="BM230" s="7"/>
      <c r="BT230" s="7"/>
    </row>
    <row r="231" spans="45:182" x14ac:dyDescent="0.55000000000000004">
      <c r="BF231" s="7"/>
      <c r="BM231" s="7"/>
      <c r="BT231" s="7"/>
    </row>
    <row r="232" spans="45:182" x14ac:dyDescent="0.55000000000000004">
      <c r="BF232" s="7"/>
      <c r="BM232" s="7"/>
      <c r="BT232" s="7"/>
    </row>
    <row r="233" spans="45:182" x14ac:dyDescent="0.55000000000000004">
      <c r="BF233" s="7"/>
      <c r="BM233" s="7"/>
      <c r="BT233" s="7"/>
    </row>
    <row r="234" spans="45:182" x14ac:dyDescent="0.55000000000000004">
      <c r="BF234" s="7"/>
      <c r="BM234" s="7"/>
      <c r="BT234" s="7"/>
    </row>
    <row r="235" spans="45:182" x14ac:dyDescent="0.55000000000000004">
      <c r="BF235" s="7"/>
      <c r="BM235" s="7"/>
      <c r="BT235" s="7"/>
    </row>
    <row r="236" spans="45:182" x14ac:dyDescent="0.55000000000000004">
      <c r="BF236" s="7"/>
      <c r="BM236" s="7"/>
      <c r="BT236" s="7"/>
    </row>
    <row r="237" spans="45:182" x14ac:dyDescent="0.55000000000000004">
      <c r="BF237" s="7"/>
      <c r="BM237" s="7"/>
      <c r="BT237" s="7"/>
    </row>
    <row r="238" spans="45:182" x14ac:dyDescent="0.55000000000000004">
      <c r="BF238" s="7"/>
      <c r="BM238" s="7"/>
      <c r="BT238" s="7"/>
    </row>
    <row r="239" spans="45:182" x14ac:dyDescent="0.55000000000000004">
      <c r="BF239" s="7"/>
      <c r="BM239" s="7"/>
      <c r="BT239" s="7"/>
    </row>
    <row r="240" spans="45:182" x14ac:dyDescent="0.55000000000000004">
      <c r="BF240" s="7"/>
      <c r="BM240" s="7"/>
      <c r="BT240" s="7"/>
    </row>
    <row r="241" spans="45:182" x14ac:dyDescent="0.55000000000000004">
      <c r="BF241" s="7"/>
      <c r="BM241" s="7"/>
      <c r="BT241" s="7"/>
    </row>
    <row r="242" spans="45:182" x14ac:dyDescent="0.55000000000000004">
      <c r="BF242" s="7"/>
      <c r="BM242" s="7"/>
      <c r="BT242" s="7"/>
    </row>
    <row r="243" spans="45:182" x14ac:dyDescent="0.55000000000000004">
      <c r="BF243" s="7"/>
      <c r="BM243" s="7"/>
      <c r="BT243" s="7"/>
    </row>
    <row r="244" spans="45:182" x14ac:dyDescent="0.55000000000000004">
      <c r="BF244" s="7"/>
      <c r="BM244" s="7"/>
      <c r="BT244" s="7"/>
    </row>
    <row r="245" spans="45:182" x14ac:dyDescent="0.55000000000000004">
      <c r="BF245" s="7"/>
      <c r="BM245" s="7"/>
      <c r="BT245" s="7"/>
    </row>
    <row r="246" spans="45:182" x14ac:dyDescent="0.55000000000000004">
      <c r="BF246" s="7"/>
      <c r="BM246" s="7"/>
      <c r="BT246" s="7"/>
    </row>
    <row r="247" spans="45:182" x14ac:dyDescent="0.55000000000000004">
      <c r="BF247" s="7"/>
      <c r="BM247" s="7"/>
      <c r="BT247" s="7"/>
    </row>
    <row r="248" spans="45:182" x14ac:dyDescent="0.55000000000000004">
      <c r="BF248" s="7"/>
      <c r="BM248" s="7"/>
      <c r="BT248" s="7"/>
    </row>
    <row r="249" spans="45:182" x14ac:dyDescent="0.55000000000000004">
      <c r="BF249" s="7"/>
      <c r="BM249" s="7"/>
      <c r="BT249" s="7"/>
    </row>
    <row r="250" spans="45:182" x14ac:dyDescent="0.55000000000000004">
      <c r="BF250" s="7"/>
      <c r="BM250" s="7"/>
      <c r="BT250" s="7"/>
    </row>
    <row r="251" spans="45:182" x14ac:dyDescent="0.55000000000000004">
      <c r="BF251" s="7"/>
      <c r="BM251" s="7"/>
      <c r="BT251" s="7"/>
    </row>
    <row r="252" spans="45:182" x14ac:dyDescent="0.55000000000000004">
      <c r="BF252" s="7"/>
      <c r="BM252" s="7"/>
      <c r="BT252" s="7"/>
    </row>
    <row r="253" spans="45:182" x14ac:dyDescent="0.55000000000000004">
      <c r="BF253" s="7"/>
      <c r="BM253" s="7"/>
      <c r="BT253" s="7"/>
    </row>
    <row r="254" spans="45:182" x14ac:dyDescent="0.55000000000000004">
      <c r="BF254" s="7"/>
      <c r="BM254" s="7"/>
      <c r="BT254" s="7"/>
    </row>
    <row r="255" spans="45:182" x14ac:dyDescent="0.55000000000000004">
      <c r="BF255" s="7"/>
      <c r="BM255" s="7"/>
      <c r="BT255" s="7"/>
    </row>
    <row r="256" spans="45:182" x14ac:dyDescent="0.55000000000000004">
      <c r="BF256" s="7"/>
      <c r="BM256" s="7"/>
      <c r="BT256" s="7"/>
    </row>
    <row r="257" spans="45:182" x14ac:dyDescent="0.55000000000000004">
      <c r="BF257" s="7"/>
      <c r="BM257" s="7"/>
      <c r="BT257" s="7"/>
    </row>
    <row r="258" spans="45:182" x14ac:dyDescent="0.55000000000000004">
      <c r="BF258" s="7"/>
      <c r="BM258" s="7"/>
      <c r="BT258" s="7"/>
    </row>
    <row r="259" spans="45:182" x14ac:dyDescent="0.55000000000000004">
      <c r="BF259" s="7"/>
      <c r="BM259" s="7"/>
      <c r="BT259" s="7"/>
    </row>
    <row r="260" spans="45:182" x14ac:dyDescent="0.55000000000000004">
      <c r="BF260" s="7"/>
      <c r="BM260" s="7"/>
      <c r="BT260" s="7"/>
    </row>
    <row r="261" spans="45:182" x14ac:dyDescent="0.55000000000000004">
      <c r="BF261" s="7"/>
      <c r="BM261" s="7"/>
      <c r="BT261" s="7"/>
    </row>
    <row r="262" spans="45:182" x14ac:dyDescent="0.55000000000000004">
      <c r="BF262" s="7"/>
      <c r="BM262" s="7"/>
      <c r="BT262" s="7"/>
    </row>
    <row r="263" spans="45:182" x14ac:dyDescent="0.55000000000000004">
      <c r="BF263" s="7"/>
      <c r="BM263" s="7"/>
      <c r="BT263" s="7"/>
    </row>
    <row r="264" spans="45:182" x14ac:dyDescent="0.55000000000000004">
      <c r="BF264" s="7"/>
      <c r="BM264" s="7"/>
      <c r="BT264" s="7"/>
    </row>
    <row r="265" spans="45:182" x14ac:dyDescent="0.55000000000000004">
      <c r="BF265" s="7"/>
      <c r="BM265" s="7"/>
      <c r="BT265" s="7"/>
    </row>
    <row r="266" spans="45:182" x14ac:dyDescent="0.55000000000000004">
      <c r="BF266" s="7"/>
      <c r="BM266" s="7"/>
      <c r="BT266" s="7"/>
    </row>
    <row r="267" spans="45:182" x14ac:dyDescent="0.55000000000000004">
      <c r="BF267" s="7"/>
      <c r="BM267" s="7"/>
      <c r="BT267" s="7"/>
    </row>
    <row r="268" spans="45:182" x14ac:dyDescent="0.55000000000000004">
      <c r="BF268" s="7"/>
      <c r="BM268" s="7"/>
      <c r="BT268" s="7"/>
    </row>
    <row r="269" spans="45:182" x14ac:dyDescent="0.55000000000000004">
      <c r="BF269" s="7"/>
      <c r="BM269" s="7"/>
      <c r="BT269" s="7"/>
    </row>
    <row r="270" spans="45:182" x14ac:dyDescent="0.55000000000000004">
      <c r="BF270" s="7"/>
      <c r="BM270" s="7"/>
      <c r="BT270" s="7"/>
    </row>
    <row r="271" spans="45:182" x14ac:dyDescent="0.55000000000000004">
      <c r="BF271" s="7"/>
      <c r="BM271" s="7"/>
      <c r="BT271" s="7"/>
    </row>
    <row r="272" spans="45:182" x14ac:dyDescent="0.55000000000000004">
      <c r="BF272" s="7"/>
      <c r="BM272" s="7"/>
      <c r="BT272" s="7"/>
    </row>
    <row r="273" spans="45:182" x14ac:dyDescent="0.55000000000000004">
      <c r="BF273" s="7"/>
      <c r="BM273" s="7"/>
      <c r="BT273" s="7"/>
    </row>
    <row r="274" spans="45:182" x14ac:dyDescent="0.55000000000000004">
      <c r="BF274" s="7"/>
      <c r="BM274" s="7"/>
      <c r="BT274" s="7"/>
    </row>
    <row r="275" spans="45:182" x14ac:dyDescent="0.55000000000000004">
      <c r="BF275" s="7"/>
      <c r="BM275" s="7"/>
      <c r="BT275" s="7"/>
    </row>
    <row r="276" spans="45:182" x14ac:dyDescent="0.55000000000000004">
      <c r="BF276" s="7"/>
      <c r="BM276" s="7"/>
      <c r="BT276" s="7"/>
    </row>
    <row r="277" spans="45:182" x14ac:dyDescent="0.55000000000000004">
      <c r="BF277" s="7"/>
      <c r="BM277" s="7"/>
      <c r="BT277" s="7"/>
    </row>
    <row r="278" spans="45:182" x14ac:dyDescent="0.55000000000000004">
      <c r="BF278" s="7"/>
      <c r="BM278" s="7"/>
      <c r="BT278" s="7"/>
    </row>
    <row r="279" spans="45:182" x14ac:dyDescent="0.55000000000000004">
      <c r="BF279" s="7"/>
      <c r="BM279" s="7"/>
      <c r="BT279" s="7"/>
    </row>
    <row r="280" spans="45:182" x14ac:dyDescent="0.55000000000000004">
      <c r="BF280" s="7"/>
      <c r="BM280" s="7"/>
      <c r="BT280" s="7"/>
    </row>
    <row r="281" spans="45:182" x14ac:dyDescent="0.55000000000000004">
      <c r="BF281" s="7"/>
      <c r="BM281" s="7"/>
      <c r="BT281" s="7"/>
    </row>
    <row r="282" spans="45:182" x14ac:dyDescent="0.55000000000000004">
      <c r="BF282" s="7"/>
      <c r="BM282" s="7"/>
      <c r="BT282" s="7"/>
    </row>
    <row r="283" spans="45:182" x14ac:dyDescent="0.55000000000000004">
      <c r="BF283" s="7"/>
      <c r="BM283" s="7"/>
      <c r="BT283" s="7"/>
    </row>
    <row r="284" spans="45:182" x14ac:dyDescent="0.55000000000000004">
      <c r="BF284" s="7"/>
      <c r="BM284" s="7"/>
      <c r="BT284" s="7"/>
    </row>
    <row r="285" spans="45:182" x14ac:dyDescent="0.55000000000000004">
      <c r="BF285" s="7"/>
      <c r="BM285" s="7"/>
      <c r="BT285" s="7"/>
    </row>
    <row r="286" spans="45:182" x14ac:dyDescent="0.55000000000000004">
      <c r="BF286" s="7"/>
      <c r="BM286" s="7"/>
      <c r="BT286" s="7"/>
    </row>
    <row r="287" spans="45:182" x14ac:dyDescent="0.55000000000000004">
      <c r="BF287" s="7"/>
      <c r="BM287" s="7"/>
      <c r="BT287" s="7"/>
    </row>
    <row r="288" spans="45:182" x14ac:dyDescent="0.55000000000000004">
      <c r="BF288" s="7"/>
      <c r="BM288" s="7"/>
      <c r="BT288" s="7"/>
    </row>
    <row r="289" spans="45:182" x14ac:dyDescent="0.55000000000000004">
      <c r="BF289" s="7"/>
      <c r="BM289" s="7"/>
      <c r="BT289" s="7"/>
    </row>
    <row r="290" spans="45:182" x14ac:dyDescent="0.55000000000000004">
      <c r="BF290" s="7"/>
      <c r="BM290" s="7"/>
      <c r="BT290" s="7"/>
    </row>
    <row r="291" spans="45:182" x14ac:dyDescent="0.55000000000000004">
      <c r="BF291" s="7"/>
      <c r="BM291" s="7"/>
      <c r="BT291" s="7"/>
    </row>
    <row r="292" spans="45:182" x14ac:dyDescent="0.55000000000000004">
      <c r="BF292" s="7"/>
      <c r="BM292" s="7"/>
      <c r="BT292" s="7"/>
    </row>
    <row r="293" spans="45:182" x14ac:dyDescent="0.55000000000000004">
      <c r="BF293" s="7"/>
      <c r="BM293" s="7"/>
      <c r="BT293" s="7"/>
    </row>
    <row r="294" spans="45:182" x14ac:dyDescent="0.55000000000000004">
      <c r="BF294" s="7"/>
      <c r="BM294" s="7"/>
      <c r="BT294" s="7"/>
    </row>
    <row r="295" spans="45:182" x14ac:dyDescent="0.55000000000000004">
      <c r="BF295" s="7"/>
      <c r="BM295" s="7"/>
      <c r="BT295" s="7"/>
    </row>
    <row r="296" spans="45:182" x14ac:dyDescent="0.55000000000000004">
      <c r="BF296" s="7"/>
      <c r="BM296" s="7"/>
      <c r="BT296" s="7"/>
    </row>
    <row r="297" spans="45:182" x14ac:dyDescent="0.55000000000000004">
      <c r="BF297" s="7"/>
      <c r="BM297" s="7"/>
      <c r="BT297" s="7"/>
    </row>
    <row r="298" spans="45:182" x14ac:dyDescent="0.55000000000000004">
      <c r="BF298" s="7"/>
      <c r="BM298" s="7"/>
      <c r="BT298" s="7"/>
    </row>
    <row r="299" spans="45:182" x14ac:dyDescent="0.55000000000000004">
      <c r="BF299" s="7"/>
      <c r="BM299" s="7"/>
      <c r="BT299" s="7"/>
    </row>
    <row r="300" spans="45:182" x14ac:dyDescent="0.55000000000000004">
      <c r="BF300" s="7"/>
      <c r="BM300" s="7"/>
      <c r="BT300" s="7"/>
    </row>
    <row r="301" spans="45:182" x14ac:dyDescent="0.55000000000000004">
      <c r="BF301" s="7"/>
      <c r="BM301" s="7"/>
      <c r="BT301" s="7"/>
    </row>
    <row r="302" spans="45:182" x14ac:dyDescent="0.55000000000000004">
      <c r="BF302" s="7"/>
      <c r="BM302" s="7"/>
      <c r="BT302" s="7"/>
    </row>
    <row r="303" spans="45:182" x14ac:dyDescent="0.55000000000000004">
      <c r="BF303" s="7"/>
      <c r="BM303" s="7"/>
      <c r="BT303" s="7"/>
    </row>
    <row r="304" spans="45:182" x14ac:dyDescent="0.55000000000000004">
      <c r="BF304" s="7"/>
      <c r="BM304" s="7"/>
      <c r="BT304" s="7"/>
    </row>
    <row r="305" spans="45:182" x14ac:dyDescent="0.55000000000000004">
      <c r="BF305" s="7"/>
      <c r="BM305" s="7"/>
      <c r="BT305" s="7"/>
    </row>
    <row r="306" spans="45:182" x14ac:dyDescent="0.55000000000000004">
      <c r="BF306" s="7"/>
      <c r="BM306" s="7"/>
      <c r="BT306" s="7"/>
    </row>
    <row r="307" spans="45:182" x14ac:dyDescent="0.55000000000000004">
      <c r="BF307" s="7"/>
      <c r="BM307" s="7"/>
      <c r="BT307" s="7"/>
    </row>
    <row r="308" spans="45:182" x14ac:dyDescent="0.55000000000000004">
      <c r="BF308" s="7"/>
      <c r="BM308" s="7"/>
      <c r="BT308" s="7"/>
    </row>
    <row r="309" spans="45:182" x14ac:dyDescent="0.55000000000000004">
      <c r="BF309" s="7"/>
      <c r="BM309" s="7"/>
      <c r="BT309" s="7"/>
    </row>
    <row r="310" spans="45:182" x14ac:dyDescent="0.55000000000000004">
      <c r="BF310" s="7"/>
      <c r="BM310" s="7"/>
      <c r="BT310" s="7"/>
    </row>
    <row r="311" spans="45:182" x14ac:dyDescent="0.55000000000000004">
      <c r="BF311" s="7"/>
      <c r="BM311" s="7"/>
      <c r="BT311" s="7"/>
    </row>
    <row r="312" spans="45:182" x14ac:dyDescent="0.55000000000000004">
      <c r="BF312" s="7"/>
      <c r="BM312" s="7"/>
      <c r="BT312" s="7"/>
    </row>
    <row r="313" spans="45:182" x14ac:dyDescent="0.55000000000000004">
      <c r="BF313" s="7"/>
      <c r="BM313" s="7"/>
      <c r="BT313" s="7"/>
    </row>
    <row r="314" spans="45:182" x14ac:dyDescent="0.55000000000000004">
      <c r="BF314" s="7"/>
      <c r="BM314" s="7"/>
      <c r="BT314" s="7"/>
    </row>
    <row r="315" spans="45:182" x14ac:dyDescent="0.55000000000000004">
      <c r="BF315" s="7"/>
      <c r="BM315" s="7"/>
      <c r="BT315" s="7"/>
    </row>
    <row r="316" spans="45:182" x14ac:dyDescent="0.55000000000000004">
      <c r="BF316" s="7"/>
      <c r="BM316" s="7"/>
      <c r="BT316" s="7"/>
    </row>
    <row r="317" spans="45:182" x14ac:dyDescent="0.55000000000000004">
      <c r="BF317" s="7"/>
      <c r="BM317" s="7"/>
      <c r="BT317" s="7"/>
    </row>
    <row r="318" spans="45:182" x14ac:dyDescent="0.55000000000000004">
      <c r="BF318" s="7"/>
      <c r="BM318" s="7"/>
      <c r="BT318" s="7"/>
    </row>
    <row r="319" spans="45:182" x14ac:dyDescent="0.55000000000000004">
      <c r="BF319" s="7"/>
      <c r="BM319" s="7"/>
      <c r="BT319" s="7"/>
    </row>
    <row r="320" spans="45:182" x14ac:dyDescent="0.55000000000000004">
      <c r="BF320" s="7"/>
      <c r="BM320" s="7"/>
      <c r="BT320" s="7"/>
    </row>
    <row r="321" spans="45:182" x14ac:dyDescent="0.55000000000000004">
      <c r="BF321" s="7"/>
      <c r="BM321" s="7"/>
      <c r="BT321" s="7"/>
    </row>
    <row r="322" spans="45:182" x14ac:dyDescent="0.55000000000000004">
      <c r="BF322" s="7"/>
      <c r="BM322" s="7"/>
      <c r="BT322" s="7"/>
    </row>
    <row r="323" spans="45:182" x14ac:dyDescent="0.55000000000000004">
      <c r="BF323" s="7"/>
      <c r="BM323" s="7"/>
      <c r="BT323" s="7"/>
    </row>
    <row r="324" spans="45:182" x14ac:dyDescent="0.55000000000000004">
      <c r="BF324" s="7"/>
      <c r="BM324" s="7"/>
      <c r="BT324" s="7"/>
    </row>
    <row r="325" spans="45:182" x14ac:dyDescent="0.55000000000000004">
      <c r="BF325" s="7"/>
      <c r="BM325" s="7"/>
      <c r="BT325" s="7"/>
    </row>
    <row r="326" spans="45:182" x14ac:dyDescent="0.55000000000000004">
      <c r="BF326" s="7"/>
      <c r="BM326" s="7"/>
      <c r="BT326" s="7"/>
    </row>
    <row r="327" spans="45:182" x14ac:dyDescent="0.55000000000000004">
      <c r="BF327" s="7"/>
      <c r="BM327" s="7"/>
      <c r="BT327" s="7"/>
    </row>
    <row r="328" spans="45:182" x14ac:dyDescent="0.55000000000000004">
      <c r="BF328" s="7"/>
      <c r="BM328" s="7"/>
      <c r="BT328" s="7"/>
    </row>
    <row r="329" spans="45:182" x14ac:dyDescent="0.55000000000000004">
      <c r="BF329" s="7"/>
      <c r="BM329" s="7"/>
      <c r="BT329" s="7"/>
    </row>
    <row r="330" spans="45:182" x14ac:dyDescent="0.55000000000000004">
      <c r="BF330" s="7"/>
      <c r="BM330" s="7"/>
      <c r="BT330" s="7"/>
    </row>
    <row r="331" spans="45:182" x14ac:dyDescent="0.55000000000000004">
      <c r="BF331" s="7"/>
      <c r="BM331" s="7"/>
      <c r="BT331" s="7"/>
    </row>
    <row r="332" spans="45:182" x14ac:dyDescent="0.55000000000000004">
      <c r="BF332" s="7"/>
      <c r="BM332" s="7"/>
      <c r="BT332" s="7"/>
    </row>
    <row r="333" spans="45:182" x14ac:dyDescent="0.55000000000000004">
      <c r="BF333" s="7"/>
      <c r="BM333" s="7"/>
      <c r="BT333" s="7"/>
    </row>
    <row r="334" spans="45:182" x14ac:dyDescent="0.55000000000000004">
      <c r="BF334" s="7"/>
      <c r="BM334" s="7"/>
      <c r="BT334" s="7"/>
    </row>
    <row r="335" spans="45:182" x14ac:dyDescent="0.55000000000000004">
      <c r="BF335" s="7"/>
      <c r="BM335" s="7"/>
      <c r="BT335" s="7"/>
    </row>
    <row r="336" spans="45:182" x14ac:dyDescent="0.55000000000000004">
      <c r="BF336" s="7"/>
      <c r="BM336" s="7"/>
      <c r="BT336" s="7"/>
    </row>
    <row r="337" spans="45:182" x14ac:dyDescent="0.55000000000000004">
      <c r="BF337" s="7"/>
      <c r="BM337" s="7"/>
      <c r="BT337" s="7"/>
    </row>
    <row r="338" spans="45:182" x14ac:dyDescent="0.55000000000000004">
      <c r="BF338" s="7"/>
      <c r="BM338" s="7"/>
      <c r="BT338" s="7"/>
    </row>
    <row r="339" spans="45:182" x14ac:dyDescent="0.55000000000000004">
      <c r="BF339" s="7"/>
      <c r="BM339" s="7"/>
      <c r="BT339" s="7"/>
    </row>
    <row r="340" spans="45:182" x14ac:dyDescent="0.55000000000000004">
      <c r="BF340" s="7"/>
      <c r="BM340" s="7"/>
      <c r="BT340" s="7"/>
    </row>
    <row r="341" spans="45:182" x14ac:dyDescent="0.55000000000000004">
      <c r="BF341" s="7"/>
      <c r="BM341" s="7"/>
      <c r="BT341" s="7"/>
    </row>
    <row r="342" spans="45:182" x14ac:dyDescent="0.55000000000000004">
      <c r="BF342" s="7"/>
      <c r="BM342" s="7"/>
      <c r="BT342" s="7"/>
    </row>
    <row r="343" spans="45:182" x14ac:dyDescent="0.55000000000000004">
      <c r="BF343" s="7"/>
      <c r="BM343" s="7"/>
      <c r="BT343" s="7"/>
    </row>
    <row r="344" spans="45:182" x14ac:dyDescent="0.55000000000000004">
      <c r="BF344" s="7"/>
      <c r="BM344" s="7"/>
      <c r="BT344" s="7"/>
    </row>
    <row r="345" spans="45:182" x14ac:dyDescent="0.55000000000000004">
      <c r="BF345" s="7"/>
      <c r="BM345" s="7"/>
      <c r="BT345" s="7"/>
    </row>
    <row r="346" spans="45:182" x14ac:dyDescent="0.55000000000000004">
      <c r="BF346" s="7"/>
      <c r="BM346" s="7"/>
      <c r="BT346" s="7"/>
    </row>
    <row r="347" spans="45:182" x14ac:dyDescent="0.55000000000000004">
      <c r="BF347" s="7"/>
      <c r="BM347" s="7"/>
      <c r="BT347" s="7"/>
    </row>
    <row r="348" spans="45:182" x14ac:dyDescent="0.55000000000000004">
      <c r="BF348" s="7"/>
      <c r="BM348" s="7"/>
      <c r="BT348" s="7"/>
    </row>
    <row r="349" spans="45:182" x14ac:dyDescent="0.55000000000000004">
      <c r="BF349" s="7"/>
      <c r="BM349" s="7"/>
      <c r="BT349" s="7"/>
    </row>
    <row r="350" spans="45:182" x14ac:dyDescent="0.55000000000000004">
      <c r="BF350" s="7"/>
      <c r="BM350" s="7"/>
      <c r="BT350" s="7"/>
    </row>
    <row r="351" spans="45:182" x14ac:dyDescent="0.55000000000000004">
      <c r="BF351" s="7"/>
      <c r="BM351" s="7"/>
      <c r="BT351" s="7"/>
    </row>
    <row r="352" spans="45:182" x14ac:dyDescent="0.55000000000000004">
      <c r="BF352" s="7"/>
      <c r="BM352" s="7"/>
      <c r="BT352" s="7"/>
    </row>
    <row r="353" spans="45:182" x14ac:dyDescent="0.55000000000000004">
      <c r="BF353" s="7"/>
      <c r="BM353" s="7"/>
      <c r="BT353" s="7"/>
    </row>
    <row r="354" spans="45:182" x14ac:dyDescent="0.55000000000000004">
      <c r="BF354" s="7"/>
      <c r="BM354" s="7"/>
      <c r="BT354" s="7"/>
    </row>
    <row r="355" spans="45:182" x14ac:dyDescent="0.55000000000000004">
      <c r="BF355" s="7"/>
      <c r="BM355" s="7"/>
      <c r="BT355" s="7"/>
    </row>
    <row r="356" spans="45:182" x14ac:dyDescent="0.55000000000000004">
      <c r="BF356" s="7"/>
      <c r="BM356" s="7"/>
      <c r="BT356" s="7"/>
    </row>
    <row r="357" spans="45:182" x14ac:dyDescent="0.55000000000000004">
      <c r="BF357" s="7"/>
      <c r="BM357" s="7"/>
      <c r="BT357" s="7"/>
    </row>
    <row r="358" spans="45:182" x14ac:dyDescent="0.55000000000000004">
      <c r="BF358" s="7"/>
      <c r="BM358" s="7"/>
      <c r="BT358" s="7"/>
    </row>
    <row r="359" spans="45:182" x14ac:dyDescent="0.55000000000000004">
      <c r="BF359" s="7"/>
      <c r="BM359" s="7"/>
      <c r="BT359" s="7"/>
    </row>
    <row r="360" spans="45:182" x14ac:dyDescent="0.55000000000000004">
      <c r="BF360" s="7"/>
      <c r="BM360" s="7"/>
      <c r="BT360" s="7"/>
    </row>
    <row r="361" spans="45:182" x14ac:dyDescent="0.55000000000000004">
      <c r="BF361" s="7"/>
      <c r="BM361" s="7"/>
      <c r="BT361" s="7"/>
    </row>
    <row r="362" spans="45:182" x14ac:dyDescent="0.55000000000000004">
      <c r="BF362" s="7"/>
      <c r="BM362" s="7"/>
      <c r="BT362" s="7"/>
    </row>
    <row r="363" spans="45:182" x14ac:dyDescent="0.55000000000000004">
      <c r="BF363" s="7"/>
      <c r="BM363" s="7"/>
      <c r="BT363" s="7"/>
    </row>
    <row r="364" spans="45:182" x14ac:dyDescent="0.55000000000000004">
      <c r="BF364" s="7"/>
      <c r="BM364" s="7"/>
      <c r="BT364" s="7"/>
    </row>
    <row r="365" spans="45:182" x14ac:dyDescent="0.55000000000000004">
      <c r="BF365" s="7"/>
      <c r="BM365" s="7"/>
      <c r="BT365" s="7"/>
    </row>
    <row r="366" spans="45:182" x14ac:dyDescent="0.55000000000000004">
      <c r="BF366" s="7"/>
      <c r="BM366" s="7"/>
      <c r="BT366" s="7"/>
    </row>
    <row r="367" spans="45:182" x14ac:dyDescent="0.55000000000000004">
      <c r="BF367" s="7"/>
      <c r="BM367" s="7"/>
      <c r="BT367" s="7"/>
    </row>
    <row r="368" spans="45:182" x14ac:dyDescent="0.55000000000000004">
      <c r="BF368" s="7"/>
      <c r="BM368" s="7"/>
      <c r="BT368" s="7"/>
    </row>
    <row r="369" spans="45:182" x14ac:dyDescent="0.55000000000000004">
      <c r="BF369" s="7"/>
      <c r="BM369" s="7"/>
      <c r="BT369" s="7"/>
    </row>
    <row r="370" spans="45:182" x14ac:dyDescent="0.55000000000000004">
      <c r="BF370" s="7"/>
      <c r="BM370" s="7"/>
      <c r="BT370" s="7"/>
    </row>
    <row r="371" spans="45:182" x14ac:dyDescent="0.55000000000000004">
      <c r="BF371" s="7"/>
      <c r="BM371" s="7"/>
      <c r="BT371" s="7"/>
    </row>
    <row r="372" spans="45:182" x14ac:dyDescent="0.55000000000000004">
      <c r="BF372" s="7"/>
      <c r="BM372" s="7"/>
      <c r="BT372" s="7"/>
    </row>
    <row r="373" spans="45:182" x14ac:dyDescent="0.55000000000000004">
      <c r="BF373" s="7"/>
      <c r="BM373" s="7"/>
      <c r="BT373" s="7"/>
    </row>
    <row r="374" spans="45:182" x14ac:dyDescent="0.55000000000000004">
      <c r="BF374" s="7"/>
      <c r="BM374" s="7"/>
      <c r="BT374" s="7"/>
    </row>
    <row r="375" spans="45:182" x14ac:dyDescent="0.55000000000000004">
      <c r="BF375" s="7"/>
      <c r="BM375" s="7"/>
      <c r="BT375" s="7"/>
    </row>
    <row r="376" spans="45:182" x14ac:dyDescent="0.55000000000000004">
      <c r="BF376" s="7"/>
      <c r="BM376" s="7"/>
      <c r="BT376" s="7"/>
    </row>
    <row r="377" spans="45:182" x14ac:dyDescent="0.55000000000000004">
      <c r="BF377" s="7"/>
      <c r="BM377" s="7"/>
      <c r="BT377" s="7"/>
    </row>
    <row r="378" spans="45:182" x14ac:dyDescent="0.55000000000000004">
      <c r="BF378" s="7"/>
      <c r="BM378" s="7"/>
      <c r="BT378" s="7"/>
    </row>
    <row r="379" spans="45:182" x14ac:dyDescent="0.55000000000000004">
      <c r="BF379" s="7"/>
      <c r="BM379" s="7"/>
      <c r="BT379" s="7"/>
    </row>
    <row r="380" spans="45:182" x14ac:dyDescent="0.55000000000000004">
      <c r="BF380" s="7"/>
      <c r="BM380" s="7"/>
      <c r="BT380" s="7"/>
    </row>
    <row r="381" spans="45:182" x14ac:dyDescent="0.55000000000000004">
      <c r="BF381" s="7"/>
      <c r="BM381" s="7"/>
      <c r="BT381" s="7"/>
    </row>
    <row r="382" spans="45:182" x14ac:dyDescent="0.55000000000000004">
      <c r="BF382" s="7"/>
      <c r="BM382" s="7"/>
      <c r="BT382" s="7"/>
    </row>
    <row r="383" spans="45:182" x14ac:dyDescent="0.55000000000000004">
      <c r="BF383" s="7"/>
      <c r="BM383" s="7"/>
      <c r="BT383" s="7"/>
    </row>
    <row r="384" spans="45:182" x14ac:dyDescent="0.55000000000000004">
      <c r="BF384" s="7"/>
      <c r="BM384" s="7"/>
      <c r="BT384" s="7"/>
    </row>
    <row r="385" spans="45:182" x14ac:dyDescent="0.55000000000000004">
      <c r="BF385" s="7"/>
      <c r="BM385" s="7"/>
      <c r="BT385" s="7"/>
    </row>
    <row r="386" spans="45:182" x14ac:dyDescent="0.55000000000000004">
      <c r="BF386" s="7"/>
      <c r="BM386" s="7"/>
      <c r="BT386" s="7"/>
    </row>
    <row r="387" spans="45:182" x14ac:dyDescent="0.55000000000000004">
      <c r="BF387" s="7"/>
      <c r="BM387" s="7"/>
      <c r="BT387" s="7"/>
    </row>
    <row r="388" spans="45:182" x14ac:dyDescent="0.55000000000000004">
      <c r="BF388" s="7"/>
      <c r="BM388" s="7"/>
      <c r="BT388" s="7"/>
    </row>
    <row r="389" spans="45:182" x14ac:dyDescent="0.55000000000000004">
      <c r="BF389" s="7"/>
      <c r="BM389" s="7"/>
      <c r="BT389" s="7"/>
    </row>
    <row r="390" spans="45:182" x14ac:dyDescent="0.55000000000000004">
      <c r="BF390" s="7"/>
      <c r="BM390" s="7"/>
      <c r="BT390" s="7"/>
    </row>
    <row r="391" spans="45:182" x14ac:dyDescent="0.55000000000000004">
      <c r="BF391" s="7"/>
      <c r="BM391" s="7"/>
      <c r="BT391" s="7"/>
    </row>
    <row r="392" spans="45:182" x14ac:dyDescent="0.55000000000000004">
      <c r="BF392" s="7"/>
      <c r="BM392" s="7"/>
      <c r="BT392" s="7"/>
    </row>
    <row r="393" spans="45:182" x14ac:dyDescent="0.55000000000000004">
      <c r="BF393" s="7"/>
      <c r="BM393" s="7"/>
      <c r="BT393" s="7"/>
    </row>
    <row r="394" spans="45:182" x14ac:dyDescent="0.55000000000000004">
      <c r="BF394" s="7"/>
      <c r="BM394" s="7"/>
      <c r="BT394" s="7"/>
    </row>
    <row r="395" spans="45:182" x14ac:dyDescent="0.55000000000000004">
      <c r="BF395" s="7"/>
      <c r="BM395" s="7"/>
      <c r="BT395" s="7"/>
    </row>
    <row r="396" spans="45:182" x14ac:dyDescent="0.55000000000000004">
      <c r="BF396" s="7"/>
      <c r="BM396" s="7"/>
      <c r="BT396" s="7"/>
    </row>
    <row r="397" spans="45:182" x14ac:dyDescent="0.55000000000000004">
      <c r="BF397" s="7"/>
      <c r="BM397" s="7"/>
      <c r="BT397" s="7"/>
    </row>
    <row r="398" spans="45:182" x14ac:dyDescent="0.55000000000000004">
      <c r="BF398" s="7"/>
      <c r="BM398" s="7"/>
      <c r="BT398" s="7"/>
    </row>
    <row r="399" spans="45:182" x14ac:dyDescent="0.55000000000000004">
      <c r="BF399" s="7"/>
      <c r="BM399" s="7"/>
      <c r="BT399" s="7"/>
    </row>
    <row r="400" spans="45:182" x14ac:dyDescent="0.55000000000000004">
      <c r="BF400" s="7"/>
      <c r="BM400" s="7"/>
      <c r="BT400" s="7"/>
    </row>
    <row r="401" spans="45:182" x14ac:dyDescent="0.55000000000000004">
      <c r="BF401" s="7"/>
      <c r="BM401" s="7"/>
      <c r="BT401" s="7"/>
    </row>
    <row r="402" spans="45:182" x14ac:dyDescent="0.55000000000000004">
      <c r="BF402" s="7"/>
      <c r="BM402" s="7"/>
      <c r="BT402" s="7"/>
    </row>
    <row r="403" spans="45:182" x14ac:dyDescent="0.55000000000000004">
      <c r="BF403" s="7"/>
      <c r="BM403" s="7"/>
      <c r="BT403" s="7"/>
    </row>
    <row r="404" spans="45:182" x14ac:dyDescent="0.55000000000000004">
      <c r="BF404" s="7"/>
      <c r="BM404" s="7"/>
      <c r="BT404" s="7"/>
    </row>
    <row r="405" spans="45:182" x14ac:dyDescent="0.55000000000000004">
      <c r="BF405" s="7"/>
      <c r="BM405" s="7"/>
      <c r="BT405" s="7"/>
    </row>
    <row r="406" spans="45:182" x14ac:dyDescent="0.55000000000000004">
      <c r="BF406" s="7"/>
      <c r="BM406" s="7"/>
      <c r="BT406" s="7"/>
    </row>
    <row r="407" spans="45:182" x14ac:dyDescent="0.55000000000000004">
      <c r="BF407" s="7"/>
      <c r="BM407" s="7"/>
      <c r="BT407" s="7"/>
    </row>
    <row r="408" spans="45:182" x14ac:dyDescent="0.55000000000000004">
      <c r="BF408" s="7"/>
      <c r="BM408" s="7"/>
      <c r="BT408" s="7"/>
    </row>
    <row r="409" spans="45:182" x14ac:dyDescent="0.55000000000000004">
      <c r="BF409" s="7"/>
      <c r="BM409" s="7"/>
      <c r="BT409" s="7"/>
    </row>
    <row r="410" spans="45:182" x14ac:dyDescent="0.55000000000000004">
      <c r="BF410" s="7"/>
      <c r="BM410" s="7"/>
      <c r="BT410" s="7"/>
    </row>
    <row r="411" spans="45:182" x14ac:dyDescent="0.55000000000000004">
      <c r="BF411" s="7"/>
      <c r="BM411" s="7"/>
      <c r="BT411" s="7"/>
    </row>
    <row r="412" spans="45:182" x14ac:dyDescent="0.55000000000000004">
      <c r="BF412" s="7"/>
      <c r="BM412" s="7"/>
      <c r="BT412" s="7"/>
    </row>
    <row r="413" spans="45:182" x14ac:dyDescent="0.55000000000000004">
      <c r="BF413" s="7"/>
      <c r="BM413" s="7"/>
      <c r="BT413" s="7"/>
    </row>
    <row r="414" spans="45:182" x14ac:dyDescent="0.55000000000000004">
      <c r="BF414" s="7"/>
      <c r="BM414" s="7"/>
      <c r="BT414" s="7"/>
    </row>
    <row r="415" spans="45:182" x14ac:dyDescent="0.55000000000000004">
      <c r="BF415" s="7"/>
      <c r="BM415" s="7"/>
      <c r="BT415" s="7"/>
    </row>
    <row r="416" spans="45:182" x14ac:dyDescent="0.55000000000000004">
      <c r="BF416" s="7"/>
      <c r="BM416" s="7"/>
      <c r="BT416" s="7"/>
    </row>
    <row r="417" spans="45:182" x14ac:dyDescent="0.55000000000000004">
      <c r="BF417" s="7"/>
      <c r="BM417" s="7"/>
      <c r="BT417" s="7"/>
    </row>
    <row r="418" spans="45:182" x14ac:dyDescent="0.55000000000000004">
      <c r="BF418" s="7"/>
      <c r="BM418" s="7"/>
      <c r="BT418" s="7"/>
    </row>
    <row r="419" spans="45:182" x14ac:dyDescent="0.55000000000000004">
      <c r="BF419" s="7"/>
      <c r="BM419" s="7"/>
      <c r="BT419" s="7"/>
    </row>
    <row r="420" spans="45:182" x14ac:dyDescent="0.55000000000000004">
      <c r="BF420" s="7"/>
      <c r="BM420" s="7"/>
      <c r="BT420" s="7"/>
    </row>
    <row r="421" spans="45:182" x14ac:dyDescent="0.55000000000000004">
      <c r="BF421" s="7"/>
      <c r="BM421" s="7"/>
      <c r="BT421" s="7"/>
    </row>
    <row r="422" spans="45:182" x14ac:dyDescent="0.55000000000000004">
      <c r="BF422" s="7"/>
      <c r="BM422" s="7"/>
      <c r="BT422" s="7"/>
    </row>
    <row r="423" spans="45:182" x14ac:dyDescent="0.55000000000000004">
      <c r="BF423" s="7"/>
      <c r="BM423" s="7"/>
      <c r="BT423" s="7"/>
    </row>
    <row r="424" spans="45:182" x14ac:dyDescent="0.55000000000000004">
      <c r="BF424" s="7"/>
      <c r="BM424" s="7"/>
      <c r="BT424" s="7"/>
    </row>
    <row r="425" spans="45:182" x14ac:dyDescent="0.55000000000000004">
      <c r="BF425" s="7"/>
      <c r="BM425" s="7"/>
      <c r="BT425" s="7"/>
    </row>
    <row r="426" spans="45:182" x14ac:dyDescent="0.55000000000000004">
      <c r="BF426" s="7"/>
      <c r="BM426" s="7"/>
      <c r="BT426" s="7"/>
    </row>
    <row r="427" spans="45:182" x14ac:dyDescent="0.55000000000000004">
      <c r="BF427" s="7"/>
      <c r="BM427" s="7"/>
      <c r="BT427" s="7"/>
    </row>
    <row r="428" spans="45:182" x14ac:dyDescent="0.55000000000000004">
      <c r="BF428" s="7"/>
      <c r="BM428" s="7"/>
      <c r="BT428" s="7"/>
    </row>
    <row r="429" spans="45:182" x14ac:dyDescent="0.55000000000000004">
      <c r="BF429" s="7"/>
      <c r="BM429" s="7"/>
      <c r="BT429" s="7"/>
    </row>
    <row r="430" spans="45:182" x14ac:dyDescent="0.55000000000000004">
      <c r="BF430" s="7"/>
      <c r="BM430" s="7"/>
      <c r="BT430" s="7"/>
    </row>
    <row r="431" spans="45:182" x14ac:dyDescent="0.55000000000000004">
      <c r="BF431" s="7"/>
      <c r="BM431" s="7"/>
      <c r="BT431" s="7"/>
    </row>
    <row r="432" spans="45:182" x14ac:dyDescent="0.55000000000000004">
      <c r="BF432" s="7"/>
      <c r="BM432" s="7"/>
      <c r="BT432" s="7"/>
    </row>
    <row r="433" spans="45:182" x14ac:dyDescent="0.55000000000000004">
      <c r="BF433" s="7"/>
      <c r="BM433" s="7"/>
      <c r="BT433" s="7"/>
    </row>
    <row r="434" spans="45:182" x14ac:dyDescent="0.55000000000000004">
      <c r="BF434" s="7"/>
      <c r="BM434" s="7"/>
      <c r="BT434" s="7"/>
    </row>
    <row r="435" spans="45:182" x14ac:dyDescent="0.55000000000000004">
      <c r="BF435" s="7"/>
      <c r="BM435" s="7"/>
      <c r="BT435" s="7"/>
    </row>
    <row r="436" spans="45:182" x14ac:dyDescent="0.55000000000000004">
      <c r="BF436" s="7"/>
      <c r="BM436" s="7"/>
      <c r="BT436" s="7"/>
    </row>
    <row r="437" spans="45:182" x14ac:dyDescent="0.55000000000000004">
      <c r="BF437" s="7"/>
      <c r="BM437" s="7"/>
      <c r="BT437" s="7"/>
    </row>
    <row r="438" spans="45:182" x14ac:dyDescent="0.55000000000000004">
      <c r="BF438" s="7"/>
      <c r="BM438" s="7"/>
      <c r="BT438" s="7"/>
    </row>
    <row r="439" spans="45:182" x14ac:dyDescent="0.55000000000000004">
      <c r="BF439" s="7"/>
      <c r="BM439" s="7"/>
      <c r="BT439" s="7"/>
    </row>
    <row r="440" spans="45:182" x14ac:dyDescent="0.55000000000000004">
      <c r="BF440" s="7"/>
      <c r="BM440" s="7"/>
      <c r="BT440" s="7"/>
    </row>
    <row r="441" spans="45:182" x14ac:dyDescent="0.55000000000000004">
      <c r="BF441" s="7"/>
      <c r="BM441" s="7"/>
      <c r="BT441" s="7"/>
    </row>
    <row r="442" spans="45:182" x14ac:dyDescent="0.55000000000000004">
      <c r="BF442" s="7"/>
      <c r="BM442" s="7"/>
      <c r="BT442" s="7"/>
    </row>
    <row r="443" spans="45:182" x14ac:dyDescent="0.55000000000000004">
      <c r="BF443" s="7"/>
      <c r="BM443" s="7"/>
      <c r="BT443" s="7"/>
    </row>
    <row r="444" spans="45:182" x14ac:dyDescent="0.55000000000000004">
      <c r="BF444" s="7"/>
      <c r="BM444" s="7"/>
      <c r="BT444" s="7"/>
    </row>
    <row r="445" spans="45:182" x14ac:dyDescent="0.55000000000000004">
      <c r="BF445" s="7"/>
      <c r="BM445" s="7"/>
      <c r="BT445" s="7"/>
    </row>
    <row r="446" spans="45:182" x14ac:dyDescent="0.55000000000000004">
      <c r="BF446" s="7"/>
      <c r="BM446" s="7"/>
      <c r="BT446" s="7"/>
    </row>
    <row r="447" spans="45:182" x14ac:dyDescent="0.55000000000000004">
      <c r="BF447" s="7"/>
      <c r="BM447" s="7"/>
      <c r="BT447" s="7"/>
    </row>
    <row r="448" spans="45:182" x14ac:dyDescent="0.55000000000000004">
      <c r="BF448" s="7"/>
      <c r="BM448" s="7"/>
      <c r="BT448" s="7"/>
    </row>
    <row r="449" spans="45:182" x14ac:dyDescent="0.55000000000000004">
      <c r="BF449" s="7"/>
      <c r="BM449" s="7"/>
      <c r="BT449" s="7"/>
    </row>
    <row r="450" spans="45:182" x14ac:dyDescent="0.55000000000000004">
      <c r="BF450" s="7"/>
      <c r="BM450" s="7"/>
      <c r="BT450" s="7"/>
    </row>
    <row r="451" spans="45:182" x14ac:dyDescent="0.55000000000000004">
      <c r="BF451" s="7"/>
      <c r="BM451" s="7"/>
      <c r="BT451" s="7"/>
    </row>
    <row r="452" spans="45:182" x14ac:dyDescent="0.55000000000000004">
      <c r="BF452" s="7"/>
      <c r="BM452" s="7"/>
      <c r="BT452" s="7"/>
    </row>
    <row r="453" spans="45:182" x14ac:dyDescent="0.55000000000000004">
      <c r="BF453" s="7"/>
      <c r="BM453" s="7"/>
      <c r="BT453" s="7"/>
    </row>
    <row r="454" spans="45:182" x14ac:dyDescent="0.55000000000000004">
      <c r="BF454" s="7"/>
      <c r="BM454" s="7"/>
      <c r="BT454" s="7"/>
    </row>
    <row r="455" spans="45:182" x14ac:dyDescent="0.55000000000000004">
      <c r="BF455" s="7"/>
      <c r="BM455" s="7"/>
      <c r="BT455" s="7"/>
    </row>
    <row r="456" spans="45:182" x14ac:dyDescent="0.55000000000000004">
      <c r="BF456" s="7"/>
      <c r="BM456" s="7"/>
      <c r="BT456" s="7"/>
    </row>
    <row r="457" spans="45:182" x14ac:dyDescent="0.55000000000000004">
      <c r="BF457" s="7"/>
      <c r="BM457" s="7"/>
      <c r="BT457" s="7"/>
    </row>
    <row r="458" spans="45:182" x14ac:dyDescent="0.55000000000000004">
      <c r="BF458" s="7"/>
      <c r="BM458" s="7"/>
      <c r="BT458" s="7"/>
    </row>
    <row r="459" spans="45:182" x14ac:dyDescent="0.55000000000000004">
      <c r="BF459" s="7"/>
      <c r="BM459" s="7"/>
      <c r="BT459" s="7"/>
    </row>
    <row r="460" spans="45:182" x14ac:dyDescent="0.55000000000000004">
      <c r="BF460" s="7"/>
      <c r="BM460" s="7"/>
      <c r="BT460" s="7"/>
    </row>
    <row r="461" spans="45:182" x14ac:dyDescent="0.55000000000000004">
      <c r="BF461" s="7"/>
      <c r="BM461" s="7"/>
      <c r="BT461" s="7"/>
    </row>
    <row r="462" spans="45:182" x14ac:dyDescent="0.55000000000000004">
      <c r="BF462" s="7"/>
      <c r="BM462" s="7"/>
      <c r="BT462" s="7"/>
    </row>
    <row r="463" spans="45:182" x14ac:dyDescent="0.55000000000000004">
      <c r="BF463" s="7"/>
      <c r="BM463" s="7"/>
      <c r="BT463" s="7"/>
    </row>
    <row r="464" spans="45:182" x14ac:dyDescent="0.55000000000000004">
      <c r="BF464" s="7"/>
      <c r="BM464" s="7"/>
      <c r="BT464" s="7"/>
    </row>
    <row r="465" spans="45:182" x14ac:dyDescent="0.55000000000000004">
      <c r="BF465" s="7"/>
      <c r="BM465" s="7"/>
      <c r="BT465" s="7"/>
    </row>
    <row r="466" spans="45:182" x14ac:dyDescent="0.55000000000000004">
      <c r="BF466" s="7"/>
      <c r="BM466" s="7"/>
      <c r="BT466" s="7"/>
    </row>
    <row r="467" spans="45:182" x14ac:dyDescent="0.55000000000000004">
      <c r="BF467" s="7"/>
      <c r="BM467" s="7"/>
      <c r="BT467" s="7"/>
    </row>
    <row r="468" spans="45:182" x14ac:dyDescent="0.55000000000000004">
      <c r="BF468" s="7"/>
      <c r="BM468" s="7"/>
      <c r="BT468" s="7"/>
    </row>
    <row r="469" spans="45:182" x14ac:dyDescent="0.55000000000000004">
      <c r="BF469" s="7"/>
      <c r="BM469" s="7"/>
      <c r="BT469" s="7"/>
    </row>
    <row r="470" spans="45:182" x14ac:dyDescent="0.55000000000000004">
      <c r="BF470" s="7"/>
      <c r="BM470" s="7"/>
      <c r="BT470" s="7"/>
    </row>
    <row r="471" spans="45:182" x14ac:dyDescent="0.55000000000000004">
      <c r="BF471" s="7"/>
      <c r="BM471" s="7"/>
      <c r="BT471" s="7"/>
    </row>
    <row r="472" spans="45:182" x14ac:dyDescent="0.55000000000000004">
      <c r="BF472" s="7"/>
      <c r="BM472" s="7"/>
      <c r="BT472" s="7"/>
    </row>
    <row r="473" spans="45:182" x14ac:dyDescent="0.55000000000000004">
      <c r="BF473" s="7"/>
      <c r="BM473" s="7"/>
      <c r="BT473" s="7"/>
    </row>
    <row r="474" spans="45:182" x14ac:dyDescent="0.55000000000000004">
      <c r="BF474" s="7"/>
      <c r="BM474" s="7"/>
      <c r="BT474" s="7"/>
    </row>
    <row r="475" spans="45:182" x14ac:dyDescent="0.55000000000000004">
      <c r="BF475" s="7"/>
      <c r="BM475" s="7"/>
      <c r="BT475" s="7"/>
    </row>
    <row r="476" spans="45:182" x14ac:dyDescent="0.55000000000000004">
      <c r="BF476" s="7"/>
      <c r="BM476" s="7"/>
      <c r="BT476" s="7"/>
    </row>
    <row r="477" spans="45:182" x14ac:dyDescent="0.55000000000000004">
      <c r="BF477" s="7"/>
      <c r="BM477" s="7"/>
      <c r="BT477" s="7"/>
    </row>
    <row r="478" spans="45:182" x14ac:dyDescent="0.55000000000000004">
      <c r="BF478" s="7"/>
      <c r="BM478" s="7"/>
      <c r="BT478" s="7"/>
    </row>
    <row r="479" spans="45:182" x14ac:dyDescent="0.55000000000000004">
      <c r="BF479" s="7"/>
      <c r="BM479" s="7"/>
      <c r="BT479" s="7"/>
    </row>
    <row r="480" spans="45:182" x14ac:dyDescent="0.55000000000000004">
      <c r="BF480" s="7"/>
      <c r="BM480" s="7"/>
      <c r="BT480" s="7"/>
    </row>
    <row r="481" spans="45:182" x14ac:dyDescent="0.55000000000000004">
      <c r="BF481" s="7"/>
      <c r="BM481" s="7"/>
      <c r="BT481" s="7"/>
    </row>
    <row r="482" spans="45:182" x14ac:dyDescent="0.55000000000000004">
      <c r="BF482" s="7"/>
      <c r="BM482" s="7"/>
      <c r="BT482" s="7"/>
    </row>
    <row r="483" spans="45:182" x14ac:dyDescent="0.55000000000000004">
      <c r="BF483" s="7"/>
      <c r="BM483" s="7"/>
      <c r="BT483" s="7"/>
    </row>
    <row r="484" spans="45:182" x14ac:dyDescent="0.55000000000000004">
      <c r="BF484" s="7"/>
      <c r="BM484" s="7"/>
      <c r="BT484" s="7"/>
    </row>
    <row r="485" spans="45:182" x14ac:dyDescent="0.55000000000000004">
      <c r="BF485" s="7"/>
      <c r="BM485" s="7"/>
      <c r="BT485" s="7"/>
    </row>
    <row r="486" spans="45:182" x14ac:dyDescent="0.55000000000000004">
      <c r="BF486" s="7"/>
      <c r="BM486" s="7"/>
      <c r="BT486" s="7"/>
    </row>
    <row r="487" spans="45:182" x14ac:dyDescent="0.55000000000000004">
      <c r="BF487" s="7"/>
      <c r="BM487" s="7"/>
      <c r="BT487" s="7"/>
    </row>
    <row r="488" spans="45:182" x14ac:dyDescent="0.55000000000000004">
      <c r="BF488" s="7"/>
      <c r="BM488" s="7"/>
      <c r="BT488" s="7"/>
    </row>
    <row r="489" spans="45:182" x14ac:dyDescent="0.55000000000000004">
      <c r="BF489" s="7"/>
      <c r="BM489" s="7"/>
      <c r="BT489" s="7"/>
    </row>
    <row r="490" spans="45:182" x14ac:dyDescent="0.55000000000000004">
      <c r="BF490" s="7"/>
      <c r="BM490" s="7"/>
      <c r="BT490" s="7"/>
    </row>
    <row r="491" spans="45:182" x14ac:dyDescent="0.55000000000000004">
      <c r="BF491" s="7"/>
      <c r="BM491" s="7"/>
      <c r="BT491" s="7"/>
    </row>
    <row r="492" spans="45:182" x14ac:dyDescent="0.55000000000000004">
      <c r="BF492" s="7"/>
      <c r="BM492" s="7"/>
      <c r="BT492" s="7"/>
    </row>
    <row r="493" spans="45:182" x14ac:dyDescent="0.55000000000000004">
      <c r="BF493" s="7"/>
      <c r="BM493" s="7"/>
      <c r="BT493" s="7"/>
    </row>
    <row r="494" spans="45:182" x14ac:dyDescent="0.55000000000000004">
      <c r="BF494" s="7"/>
      <c r="BM494" s="7"/>
      <c r="BT494" s="7"/>
    </row>
    <row r="495" spans="45:182" x14ac:dyDescent="0.55000000000000004">
      <c r="BF495" s="7"/>
      <c r="BM495" s="7"/>
      <c r="BT495" s="7"/>
    </row>
    <row r="496" spans="45:182" x14ac:dyDescent="0.55000000000000004">
      <c r="BF496" s="7"/>
      <c r="BM496" s="7"/>
      <c r="BT496" s="7"/>
    </row>
    <row r="497" spans="58:72" x14ac:dyDescent="0.55000000000000004">
      <c r="BF497" s="7"/>
      <c r="BM497" s="7"/>
      <c r="BT497" s="7"/>
    </row>
    <row r="498" spans="58:72" x14ac:dyDescent="0.55000000000000004">
      <c r="BF498" s="7"/>
      <c r="BM498" s="7"/>
      <c r="BT498" s="7"/>
    </row>
    <row r="499" spans="58:72" x14ac:dyDescent="0.55000000000000004">
      <c r="BF499" s="7"/>
      <c r="BM499" s="7"/>
      <c r="BT499" s="7"/>
    </row>
    <row r="500" spans="58:72" x14ac:dyDescent="0.55000000000000004">
      <c r="BF500" s="7"/>
      <c r="BM500" s="7"/>
      <c r="BT500" s="7"/>
    </row>
    <row r="501" spans="58:72" x14ac:dyDescent="0.55000000000000004">
      <c r="BF501" s="7"/>
      <c r="BM501" s="7"/>
      <c r="BT501" s="7"/>
    </row>
    <row r="502" spans="58:72" x14ac:dyDescent="0.55000000000000004">
      <c r="BF502" s="7"/>
      <c r="BM502" s="7"/>
      <c r="BT502" s="7"/>
    </row>
    <row r="503" spans="58:72" x14ac:dyDescent="0.55000000000000004">
      <c r="BF503" s="7"/>
      <c r="BM503" s="7"/>
      <c r="BT503" s="7"/>
    </row>
    <row r="504" spans="58:72" x14ac:dyDescent="0.55000000000000004">
      <c r="BF504" s="7"/>
      <c r="BM504" s="7"/>
      <c r="BT504" s="7"/>
    </row>
    <row r="505" spans="58:72" x14ac:dyDescent="0.55000000000000004">
      <c r="BF505" s="7"/>
      <c r="BM505" s="7"/>
      <c r="BT505" s="7"/>
    </row>
    <row r="506" spans="58:72" x14ac:dyDescent="0.55000000000000004">
      <c r="BF506" s="7"/>
      <c r="BM506" s="7"/>
      <c r="BT506" s="7"/>
    </row>
    <row r="507" spans="58:72" x14ac:dyDescent="0.55000000000000004">
      <c r="BF507" s="7"/>
      <c r="BM507" s="7"/>
      <c r="BT507" s="7"/>
    </row>
    <row r="508" spans="58:72" x14ac:dyDescent="0.55000000000000004">
      <c r="BF508" s="7"/>
      <c r="BM508" s="7"/>
      <c r="BT508" s="7"/>
    </row>
    <row r="509" spans="58:72" x14ac:dyDescent="0.55000000000000004">
      <c r="BF509" s="7"/>
      <c r="BM509" s="7"/>
      <c r="BT509" s="7"/>
    </row>
    <row r="510" spans="58:72" x14ac:dyDescent="0.55000000000000004">
      <c r="BF510" s="7"/>
      <c r="BM510" s="7"/>
      <c r="BT510" s="7"/>
    </row>
    <row r="511" spans="58:72" x14ac:dyDescent="0.55000000000000004">
      <c r="BF511" s="7"/>
      <c r="BM511" s="7"/>
      <c r="BT511" s="7"/>
    </row>
    <row r="512" spans="58:72" x14ac:dyDescent="0.55000000000000004">
      <c r="BF512" s="7"/>
      <c r="BM512" s="7"/>
      <c r="BT512" s="7"/>
    </row>
    <row r="513" spans="58:72" x14ac:dyDescent="0.55000000000000004">
      <c r="BF513" s="7"/>
      <c r="BM513" s="7"/>
      <c r="BT513" s="7"/>
    </row>
    <row r="514" spans="58:72" x14ac:dyDescent="0.55000000000000004">
      <c r="BF514" s="7"/>
      <c r="BM514" s="7"/>
      <c r="BT514" s="7"/>
    </row>
    <row r="515" spans="58:72" x14ac:dyDescent="0.55000000000000004">
      <c r="BF515" s="7"/>
      <c r="BM515" s="7"/>
      <c r="BT515" s="7"/>
    </row>
    <row r="516" spans="58:72" x14ac:dyDescent="0.55000000000000004">
      <c r="BF516" s="7"/>
      <c r="BM516" s="7"/>
      <c r="BT516" s="7"/>
    </row>
    <row r="517" spans="58:72" x14ac:dyDescent="0.55000000000000004">
      <c r="BF517" s="7"/>
      <c r="BM517" s="7"/>
      <c r="BT517" s="7"/>
    </row>
    <row r="518" spans="58:72" x14ac:dyDescent="0.55000000000000004">
      <c r="BF518" s="7"/>
      <c r="BM518" s="7"/>
      <c r="BT518" s="7"/>
    </row>
    <row r="519" spans="58:72" x14ac:dyDescent="0.55000000000000004">
      <c r="BF519" s="7"/>
      <c r="BM519" s="7"/>
      <c r="BT519" s="7"/>
    </row>
    <row r="520" spans="58:72" x14ac:dyDescent="0.55000000000000004">
      <c r="BF520" s="7"/>
      <c r="BM520" s="7"/>
      <c r="BT520" s="7"/>
    </row>
    <row r="521" spans="58:72" x14ac:dyDescent="0.55000000000000004">
      <c r="BF521" s="7"/>
      <c r="BM521" s="7"/>
      <c r="BT521" s="7"/>
    </row>
    <row r="522" spans="58:72" x14ac:dyDescent="0.55000000000000004">
      <c r="BF522" s="7"/>
      <c r="BM522" s="7"/>
      <c r="BT522" s="7"/>
    </row>
    <row r="523" spans="58:72" x14ac:dyDescent="0.55000000000000004">
      <c r="BF523" s="7"/>
      <c r="BM523" s="7"/>
      <c r="BT523" s="7"/>
    </row>
    <row r="524" spans="58:72" x14ac:dyDescent="0.55000000000000004">
      <c r="BF524" s="7"/>
      <c r="BM524" s="7"/>
      <c r="BT524" s="7"/>
    </row>
    <row r="525" spans="58:72" x14ac:dyDescent="0.55000000000000004">
      <c r="BF525" s="7"/>
      <c r="BM525" s="7"/>
      <c r="BT525" s="7"/>
    </row>
    <row r="526" spans="58:72" x14ac:dyDescent="0.55000000000000004">
      <c r="BF526" s="7"/>
      <c r="BM526" s="7"/>
      <c r="BT526" s="7"/>
    </row>
    <row r="527" spans="58:72" x14ac:dyDescent="0.55000000000000004">
      <c r="BF527" s="7"/>
      <c r="BM527" s="7"/>
      <c r="BT527" s="7"/>
    </row>
    <row r="528" spans="58:72" x14ac:dyDescent="0.55000000000000004">
      <c r="BF528" s="7"/>
      <c r="BM528" s="7"/>
      <c r="BT528" s="7"/>
    </row>
    <row r="529" spans="58:72" x14ac:dyDescent="0.55000000000000004">
      <c r="BF529" s="7"/>
      <c r="BM529" s="7"/>
      <c r="BT529" s="7"/>
    </row>
    <row r="530" spans="58:72" x14ac:dyDescent="0.55000000000000004">
      <c r="BF530" s="7"/>
      <c r="BM530" s="7"/>
      <c r="BT530" s="7"/>
    </row>
    <row r="531" spans="58:72" x14ac:dyDescent="0.55000000000000004">
      <c r="BF531" s="7"/>
      <c r="BM531" s="7"/>
      <c r="BT531" s="7"/>
    </row>
    <row r="532" spans="58:72" x14ac:dyDescent="0.55000000000000004">
      <c r="BF532" s="7"/>
      <c r="BM532" s="7"/>
      <c r="BT532" s="7"/>
    </row>
    <row r="533" spans="58:72" x14ac:dyDescent="0.55000000000000004">
      <c r="BF533" s="7"/>
      <c r="BM533" s="7"/>
      <c r="BT533" s="7"/>
    </row>
    <row r="534" spans="58:72" x14ac:dyDescent="0.55000000000000004">
      <c r="BF534" s="7"/>
      <c r="BM534" s="7"/>
      <c r="BT534" s="7"/>
    </row>
    <row r="535" spans="58:72" x14ac:dyDescent="0.55000000000000004">
      <c r="BF535" s="7"/>
      <c r="BM535" s="7"/>
      <c r="BT535" s="7"/>
    </row>
    <row r="536" spans="58:72" x14ac:dyDescent="0.55000000000000004">
      <c r="BF536" s="7"/>
      <c r="BM536" s="7"/>
      <c r="BT536" s="7"/>
    </row>
    <row r="537" spans="58:72" x14ac:dyDescent="0.55000000000000004">
      <c r="BF537" s="7"/>
      <c r="BM537" s="7"/>
      <c r="BT537" s="7"/>
    </row>
    <row r="538" spans="58:72" x14ac:dyDescent="0.55000000000000004">
      <c r="BF538" s="7"/>
      <c r="BM538" s="7"/>
      <c r="BT538" s="7"/>
    </row>
    <row r="539" spans="58:72" x14ac:dyDescent="0.55000000000000004">
      <c r="BF539" s="7"/>
      <c r="BM539" s="7"/>
      <c r="BT539" s="7"/>
    </row>
    <row r="540" spans="58:72" x14ac:dyDescent="0.55000000000000004">
      <c r="BF540" s="7"/>
      <c r="BM540" s="7"/>
      <c r="BT540" s="7"/>
    </row>
    <row r="541" spans="58:72" x14ac:dyDescent="0.55000000000000004">
      <c r="BF541" s="7"/>
      <c r="BM541" s="7"/>
      <c r="BT541" s="7"/>
    </row>
    <row r="542" spans="58:72" x14ac:dyDescent="0.55000000000000004">
      <c r="BF542" s="7"/>
      <c r="BM542" s="7"/>
      <c r="BT542" s="7"/>
    </row>
    <row r="543" spans="58:72" x14ac:dyDescent="0.55000000000000004">
      <c r="BF543" s="7"/>
      <c r="BM543" s="7"/>
      <c r="BT543" s="7"/>
    </row>
    <row r="544" spans="58:72" x14ac:dyDescent="0.55000000000000004">
      <c r="BF544" s="7"/>
      <c r="BM544" s="7"/>
      <c r="BT544" s="7"/>
    </row>
    <row r="545" spans="58:72" x14ac:dyDescent="0.55000000000000004">
      <c r="BF545" s="7"/>
      <c r="BM545" s="7"/>
      <c r="BT545" s="7"/>
    </row>
    <row r="546" spans="58:72" x14ac:dyDescent="0.55000000000000004">
      <c r="BF546" s="7"/>
      <c r="BM546" s="7"/>
      <c r="BT546" s="7"/>
    </row>
    <row r="547" spans="58:72" x14ac:dyDescent="0.55000000000000004">
      <c r="BF547" s="7"/>
      <c r="BM547" s="7"/>
      <c r="BT547" s="7"/>
    </row>
    <row r="548" spans="58:72" x14ac:dyDescent="0.55000000000000004">
      <c r="BF548" s="7"/>
      <c r="BM548" s="7"/>
      <c r="BT548" s="7"/>
    </row>
    <row r="549" spans="58:72" x14ac:dyDescent="0.55000000000000004">
      <c r="BF549" s="7"/>
      <c r="BM549" s="7"/>
      <c r="BT549" s="7"/>
    </row>
    <row r="550" spans="58:72" x14ac:dyDescent="0.55000000000000004">
      <c r="BF550" s="7"/>
      <c r="BM550" s="7"/>
      <c r="BT550" s="7"/>
    </row>
    <row r="551" spans="58:72" x14ac:dyDescent="0.55000000000000004">
      <c r="BF551" s="7"/>
      <c r="BM551" s="7"/>
      <c r="BT551" s="7"/>
    </row>
    <row r="552" spans="58:72" x14ac:dyDescent="0.55000000000000004">
      <c r="BF552" s="7"/>
      <c r="BM552" s="7"/>
      <c r="BT552" s="7"/>
    </row>
    <row r="553" spans="58:72" x14ac:dyDescent="0.55000000000000004">
      <c r="BF553" s="7"/>
      <c r="BM553" s="7"/>
      <c r="BT553" s="7"/>
    </row>
    <row r="554" spans="58:72" x14ac:dyDescent="0.55000000000000004">
      <c r="BF554" s="7"/>
      <c r="BM554" s="7"/>
      <c r="BT554" s="7"/>
    </row>
    <row r="555" spans="58:72" x14ac:dyDescent="0.55000000000000004">
      <c r="BF555" s="7"/>
      <c r="BM555" s="7"/>
      <c r="BT555" s="7"/>
    </row>
    <row r="556" spans="58:72" x14ac:dyDescent="0.55000000000000004">
      <c r="BF556" s="7"/>
      <c r="BM556" s="7"/>
      <c r="BT556" s="7"/>
    </row>
    <row r="557" spans="58:72" x14ac:dyDescent="0.55000000000000004">
      <c r="BF557" s="7"/>
      <c r="BM557" s="7"/>
      <c r="BT557" s="7"/>
    </row>
    <row r="558" spans="58:72" x14ac:dyDescent="0.55000000000000004">
      <c r="BF558" s="7"/>
      <c r="BM558" s="7"/>
      <c r="BT558" s="7"/>
    </row>
    <row r="559" spans="58:72" x14ac:dyDescent="0.55000000000000004">
      <c r="BF559" s="7"/>
      <c r="BM559" s="7"/>
      <c r="BT559" s="7"/>
    </row>
    <row r="560" spans="58:72" x14ac:dyDescent="0.55000000000000004">
      <c r="BF560" s="7"/>
      <c r="BM560" s="7"/>
      <c r="BT560" s="7"/>
    </row>
    <row r="561" spans="58:72" x14ac:dyDescent="0.55000000000000004">
      <c r="BF561" s="7"/>
      <c r="BM561" s="7"/>
      <c r="BT561" s="7"/>
    </row>
    <row r="562" spans="58:72" x14ac:dyDescent="0.55000000000000004">
      <c r="BF562" s="7"/>
      <c r="BM562" s="7"/>
      <c r="BT562" s="7"/>
    </row>
    <row r="563" spans="58:72" x14ac:dyDescent="0.55000000000000004">
      <c r="BF563" s="7"/>
      <c r="BM563" s="7"/>
      <c r="BT563" s="7"/>
    </row>
    <row r="564" spans="58:72" x14ac:dyDescent="0.55000000000000004">
      <c r="BF564" s="7"/>
      <c r="BM564" s="7"/>
      <c r="BT564" s="7"/>
    </row>
    <row r="565" spans="58:72" x14ac:dyDescent="0.55000000000000004">
      <c r="BF565" s="7"/>
      <c r="BM565" s="7"/>
      <c r="BT565" s="7"/>
    </row>
    <row r="566" spans="58:72" x14ac:dyDescent="0.55000000000000004">
      <c r="BF566" s="7"/>
      <c r="BM566" s="7"/>
      <c r="BT566" s="7"/>
    </row>
    <row r="567" spans="58:72" x14ac:dyDescent="0.55000000000000004">
      <c r="BF567" s="7"/>
      <c r="BM567" s="7"/>
      <c r="BT567" s="7"/>
    </row>
    <row r="568" spans="58:72" x14ac:dyDescent="0.55000000000000004">
      <c r="BF568" s="7"/>
      <c r="BM568" s="7"/>
      <c r="BT568" s="7"/>
    </row>
    <row r="569" spans="58:72" x14ac:dyDescent="0.55000000000000004">
      <c r="BF569" s="7"/>
      <c r="BM569" s="7"/>
      <c r="BT569" s="7"/>
    </row>
    <row r="570" spans="58:72" x14ac:dyDescent="0.55000000000000004">
      <c r="BF570" s="7"/>
      <c r="BM570" s="7"/>
      <c r="BT570" s="7"/>
    </row>
    <row r="571" spans="58:72" x14ac:dyDescent="0.55000000000000004">
      <c r="BF571" s="7"/>
      <c r="BM571" s="7"/>
      <c r="BT571" s="7"/>
    </row>
    <row r="572" spans="58:72" x14ac:dyDescent="0.55000000000000004">
      <c r="BF572" s="7"/>
      <c r="BM572" s="7"/>
      <c r="BT572" s="7"/>
    </row>
    <row r="573" spans="58:72" x14ac:dyDescent="0.55000000000000004">
      <c r="BF573" s="7"/>
      <c r="BM573" s="7"/>
      <c r="BT573" s="7"/>
    </row>
    <row r="574" spans="58:72" x14ac:dyDescent="0.55000000000000004">
      <c r="BF574" s="7"/>
      <c r="BM574" s="7"/>
      <c r="BT574" s="7"/>
    </row>
    <row r="575" spans="58:72" x14ac:dyDescent="0.55000000000000004">
      <c r="BF575" s="7"/>
      <c r="BM575" s="7"/>
      <c r="BT575" s="7"/>
    </row>
    <row r="576" spans="58:72" x14ac:dyDescent="0.55000000000000004">
      <c r="BF576" s="7"/>
      <c r="BM576" s="7"/>
      <c r="BT576" s="7"/>
    </row>
    <row r="577" spans="58:72" x14ac:dyDescent="0.55000000000000004">
      <c r="BF577" s="7"/>
      <c r="BM577" s="7"/>
      <c r="BT577" s="7"/>
    </row>
    <row r="578" spans="58:72" x14ac:dyDescent="0.55000000000000004">
      <c r="BF578" s="7"/>
      <c r="BM578" s="7"/>
      <c r="BT578" s="7"/>
    </row>
    <row r="579" spans="58:72" x14ac:dyDescent="0.55000000000000004">
      <c r="BF579" s="7"/>
      <c r="BM579" s="7"/>
      <c r="BT579" s="7"/>
    </row>
    <row r="580" spans="58:72" x14ac:dyDescent="0.55000000000000004">
      <c r="BF580" s="7"/>
      <c r="BM580" s="7"/>
      <c r="BT580" s="7"/>
    </row>
    <row r="581" spans="58:72" x14ac:dyDescent="0.55000000000000004">
      <c r="BF581" s="7"/>
      <c r="BM581" s="7"/>
      <c r="BT581" s="7"/>
    </row>
    <row r="582" spans="58:72" x14ac:dyDescent="0.55000000000000004">
      <c r="BF582" s="7"/>
      <c r="BM582" s="7"/>
      <c r="BT582" s="7"/>
    </row>
    <row r="583" spans="58:72" x14ac:dyDescent="0.55000000000000004">
      <c r="BF583" s="7"/>
      <c r="BM583" s="7"/>
      <c r="BT583" s="7"/>
    </row>
    <row r="584" spans="58:72" x14ac:dyDescent="0.55000000000000004">
      <c r="BF584" s="7"/>
      <c r="BM584" s="7"/>
      <c r="BT584" s="7"/>
    </row>
    <row r="585" spans="58:72" x14ac:dyDescent="0.55000000000000004">
      <c r="BF585" s="7"/>
      <c r="BM585" s="7"/>
      <c r="BT585" s="7"/>
    </row>
    <row r="586" spans="58:72" x14ac:dyDescent="0.55000000000000004">
      <c r="BF586" s="7"/>
      <c r="BM586" s="7"/>
      <c r="BT586" s="7"/>
    </row>
    <row r="587" spans="58:72" x14ac:dyDescent="0.55000000000000004">
      <c r="BF587" s="7"/>
      <c r="BM587" s="7"/>
      <c r="BT587" s="7"/>
    </row>
    <row r="588" spans="58:72" x14ac:dyDescent="0.55000000000000004">
      <c r="BF588" s="7"/>
      <c r="BM588" s="7"/>
      <c r="BT588" s="7"/>
    </row>
    <row r="589" spans="58:72" x14ac:dyDescent="0.55000000000000004">
      <c r="BF589" s="7"/>
      <c r="BM589" s="7"/>
      <c r="BT589" s="7"/>
    </row>
    <row r="590" spans="58:72" x14ac:dyDescent="0.55000000000000004">
      <c r="BF590" s="7"/>
      <c r="BM590" s="7"/>
      <c r="BT590" s="7"/>
    </row>
    <row r="591" spans="58:72" x14ac:dyDescent="0.55000000000000004">
      <c r="BF591" s="7"/>
      <c r="BM591" s="7"/>
      <c r="BT591" s="7"/>
    </row>
    <row r="592" spans="58:72" x14ac:dyDescent="0.55000000000000004">
      <c r="BF592" s="7"/>
      <c r="BM592" s="7"/>
      <c r="BT592" s="7"/>
    </row>
    <row r="593" spans="58:72" x14ac:dyDescent="0.55000000000000004">
      <c r="BF593" s="7"/>
      <c r="BM593" s="7"/>
      <c r="BT593" s="7"/>
    </row>
    <row r="594" spans="58:72" x14ac:dyDescent="0.55000000000000004">
      <c r="BF594" s="7"/>
      <c r="BM594" s="7"/>
      <c r="BT594" s="7"/>
    </row>
    <row r="595" spans="58:72" x14ac:dyDescent="0.55000000000000004">
      <c r="BF595" s="7"/>
      <c r="BM595" s="7"/>
      <c r="BT595" s="7"/>
    </row>
    <row r="596" spans="58:72" x14ac:dyDescent="0.55000000000000004">
      <c r="BF596" s="7"/>
      <c r="BM596" s="7"/>
      <c r="BT596" s="7"/>
    </row>
    <row r="597" spans="58:72" x14ac:dyDescent="0.55000000000000004">
      <c r="BF597" s="7"/>
      <c r="BM597" s="7"/>
      <c r="BT597" s="7"/>
    </row>
    <row r="598" spans="58:72" x14ac:dyDescent="0.55000000000000004">
      <c r="BF598" s="7"/>
      <c r="BM598" s="7"/>
      <c r="BT598" s="7"/>
    </row>
    <row r="599" spans="58:72" x14ac:dyDescent="0.55000000000000004">
      <c r="BF599" s="7"/>
      <c r="BM599" s="7"/>
      <c r="BT599" s="7"/>
    </row>
    <row r="600" spans="58:72" x14ac:dyDescent="0.55000000000000004">
      <c r="BF600" s="7"/>
      <c r="BM600" s="7"/>
      <c r="BT600" s="7"/>
    </row>
    <row r="601" spans="58:72" x14ac:dyDescent="0.55000000000000004">
      <c r="BF601" s="7"/>
      <c r="BM601" s="7"/>
      <c r="BT601" s="7"/>
    </row>
    <row r="602" spans="58:72" x14ac:dyDescent="0.55000000000000004">
      <c r="BF602" s="7"/>
      <c r="BM602" s="7"/>
      <c r="BT602" s="7"/>
    </row>
    <row r="603" spans="58:72" x14ac:dyDescent="0.55000000000000004">
      <c r="BF603" s="7"/>
      <c r="BM603" s="7"/>
      <c r="BT603" s="7"/>
    </row>
    <row r="604" spans="58:72" x14ac:dyDescent="0.55000000000000004">
      <c r="BF604" s="7"/>
      <c r="BM604" s="7"/>
      <c r="BT604" s="7"/>
    </row>
    <row r="605" spans="58:72" x14ac:dyDescent="0.55000000000000004">
      <c r="BF605" s="7"/>
      <c r="BM605" s="7"/>
      <c r="BT605" s="7"/>
    </row>
    <row r="606" spans="58:72" x14ac:dyDescent="0.55000000000000004">
      <c r="BF606" s="7"/>
      <c r="BM606" s="7"/>
      <c r="BT606" s="7"/>
    </row>
    <row r="607" spans="58:72" x14ac:dyDescent="0.55000000000000004">
      <c r="BF607" s="7"/>
      <c r="BM607" s="7"/>
      <c r="BT607" s="7"/>
    </row>
    <row r="608" spans="58:72" x14ac:dyDescent="0.55000000000000004">
      <c r="BF608" s="7"/>
      <c r="BM608" s="7"/>
      <c r="BT608" s="7"/>
    </row>
    <row r="609" spans="58:72" x14ac:dyDescent="0.55000000000000004">
      <c r="BF609" s="7"/>
      <c r="BM609" s="7"/>
      <c r="BT609" s="7"/>
    </row>
    <row r="610" spans="58:72" x14ac:dyDescent="0.55000000000000004">
      <c r="BF610" s="7"/>
      <c r="BM610" s="7"/>
      <c r="BT610" s="7"/>
    </row>
    <row r="611" spans="58:72" x14ac:dyDescent="0.55000000000000004">
      <c r="BF611" s="7"/>
      <c r="BM611" s="7"/>
      <c r="BT611" s="7"/>
    </row>
    <row r="612" spans="58:72" x14ac:dyDescent="0.55000000000000004">
      <c r="BF612" s="7"/>
      <c r="BM612" s="7"/>
      <c r="BT612" s="7"/>
    </row>
    <row r="613" spans="58:72" x14ac:dyDescent="0.55000000000000004">
      <c r="BF613" s="7"/>
      <c r="BM613" s="7"/>
      <c r="BT613" s="7"/>
    </row>
    <row r="614" spans="58:72" x14ac:dyDescent="0.55000000000000004">
      <c r="BF614" s="7"/>
      <c r="BM614" s="7"/>
      <c r="BT614" s="7"/>
    </row>
    <row r="615" spans="58:72" x14ac:dyDescent="0.55000000000000004">
      <c r="BF615" s="7"/>
      <c r="BM615" s="7"/>
      <c r="BT615" s="7"/>
    </row>
    <row r="616" spans="58:72" x14ac:dyDescent="0.55000000000000004">
      <c r="BF616" s="7"/>
      <c r="BM616" s="7"/>
      <c r="BT616" s="7"/>
    </row>
    <row r="617" spans="58:72" x14ac:dyDescent="0.55000000000000004">
      <c r="BF617" s="7"/>
      <c r="BM617" s="7"/>
      <c r="BT617" s="7"/>
    </row>
    <row r="618" spans="58:72" x14ac:dyDescent="0.55000000000000004">
      <c r="BF618" s="7"/>
      <c r="BM618" s="7"/>
      <c r="BT618" s="7"/>
    </row>
    <row r="619" spans="58:72" x14ac:dyDescent="0.55000000000000004">
      <c r="BF619" s="7"/>
      <c r="BM619" s="7"/>
      <c r="BT619" s="7"/>
    </row>
    <row r="620" spans="58:72" x14ac:dyDescent="0.55000000000000004">
      <c r="BF620" s="7"/>
      <c r="BM620" s="7"/>
      <c r="BT620" s="7"/>
    </row>
    <row r="621" spans="58:72" x14ac:dyDescent="0.55000000000000004">
      <c r="BF621" s="7"/>
      <c r="BM621" s="7"/>
      <c r="BT621" s="7"/>
    </row>
    <row r="622" spans="58:72" x14ac:dyDescent="0.55000000000000004">
      <c r="BF622" s="7"/>
      <c r="BM622" s="7"/>
      <c r="BT622" s="7"/>
    </row>
    <row r="623" spans="58:72" x14ac:dyDescent="0.55000000000000004">
      <c r="BF623" s="7"/>
      <c r="BM623" s="7"/>
      <c r="BT623" s="7"/>
    </row>
    <row r="624" spans="58:72" x14ac:dyDescent="0.55000000000000004">
      <c r="BF624" s="7"/>
      <c r="BM624" s="7"/>
      <c r="BT624" s="7"/>
    </row>
    <row r="625" spans="58:72" x14ac:dyDescent="0.55000000000000004">
      <c r="BF625" s="7"/>
      <c r="BM625" s="7"/>
      <c r="BT625" s="7"/>
    </row>
    <row r="626" spans="58:72" x14ac:dyDescent="0.55000000000000004">
      <c r="BF626" s="7"/>
      <c r="BM626" s="7"/>
      <c r="BT626" s="7"/>
    </row>
    <row r="627" spans="58:72" x14ac:dyDescent="0.55000000000000004">
      <c r="BF627" s="7"/>
      <c r="BM627" s="7"/>
      <c r="BT627" s="7"/>
    </row>
    <row r="628" spans="58:72" x14ac:dyDescent="0.55000000000000004">
      <c r="BF628" s="7"/>
      <c r="BM628" s="7"/>
      <c r="BT628" s="7"/>
    </row>
    <row r="629" spans="58:72" x14ac:dyDescent="0.55000000000000004">
      <c r="BF629" s="7"/>
      <c r="BM629" s="7"/>
      <c r="BT629" s="7"/>
    </row>
    <row r="630" spans="58:72" x14ac:dyDescent="0.55000000000000004">
      <c r="BF630" s="7"/>
      <c r="BM630" s="7"/>
      <c r="BT630" s="7"/>
    </row>
    <row r="631" spans="58:72" x14ac:dyDescent="0.55000000000000004">
      <c r="BF631" s="7"/>
      <c r="BM631" s="7"/>
      <c r="BT631" s="7"/>
    </row>
    <row r="632" spans="58:72" x14ac:dyDescent="0.55000000000000004">
      <c r="BF632" s="7"/>
      <c r="BM632" s="7"/>
      <c r="BT632" s="7"/>
    </row>
    <row r="633" spans="58:72" x14ac:dyDescent="0.55000000000000004">
      <c r="BF633" s="7"/>
      <c r="BM633" s="7"/>
      <c r="BT633" s="7"/>
    </row>
    <row r="634" spans="58:72" x14ac:dyDescent="0.55000000000000004">
      <c r="BF634" s="7"/>
      <c r="BM634" s="7"/>
      <c r="BT634" s="7"/>
    </row>
    <row r="635" spans="58:72" x14ac:dyDescent="0.55000000000000004">
      <c r="BF635" s="7"/>
      <c r="BM635" s="7"/>
      <c r="BT635" s="7"/>
    </row>
    <row r="636" spans="58:72" x14ac:dyDescent="0.55000000000000004">
      <c r="BF636" s="7"/>
      <c r="BM636" s="7"/>
      <c r="BT636" s="7"/>
    </row>
    <row r="637" spans="58:72" x14ac:dyDescent="0.55000000000000004">
      <c r="BF637" s="7"/>
      <c r="BM637" s="7"/>
      <c r="BT637" s="7"/>
    </row>
    <row r="638" spans="58:72" x14ac:dyDescent="0.55000000000000004">
      <c r="BF638" s="7"/>
      <c r="BM638" s="7"/>
      <c r="BT638" s="7"/>
    </row>
    <row r="639" spans="58:72" x14ac:dyDescent="0.55000000000000004">
      <c r="BF639" s="7"/>
      <c r="BM639" s="7"/>
      <c r="BT639" s="7"/>
    </row>
    <row r="640" spans="58:72" x14ac:dyDescent="0.55000000000000004">
      <c r="BF640" s="7"/>
      <c r="BM640" s="7"/>
      <c r="BT640" s="7"/>
    </row>
    <row r="641" spans="58:72" x14ac:dyDescent="0.55000000000000004">
      <c r="BF641" s="7"/>
      <c r="BM641" s="7"/>
      <c r="BT641" s="7"/>
    </row>
    <row r="642" spans="58:72" x14ac:dyDescent="0.55000000000000004">
      <c r="BF642" s="7"/>
      <c r="BM642" s="7"/>
      <c r="BT642" s="7"/>
    </row>
    <row r="643" spans="58:72" x14ac:dyDescent="0.55000000000000004">
      <c r="BF643" s="7"/>
      <c r="BM643" s="7"/>
      <c r="BT643" s="7"/>
    </row>
    <row r="644" spans="58:72" x14ac:dyDescent="0.55000000000000004">
      <c r="BF644" s="7"/>
      <c r="BM644" s="7"/>
      <c r="BT644" s="7"/>
    </row>
    <row r="645" spans="58:72" x14ac:dyDescent="0.55000000000000004">
      <c r="BF645" s="7"/>
      <c r="BM645" s="7"/>
      <c r="BT645" s="7"/>
    </row>
    <row r="646" spans="58:72" x14ac:dyDescent="0.55000000000000004">
      <c r="BF646" s="7"/>
      <c r="BM646" s="7"/>
      <c r="BT646" s="7"/>
    </row>
    <row r="647" spans="58:72" x14ac:dyDescent="0.55000000000000004">
      <c r="BF647" s="7"/>
      <c r="BM647" s="7"/>
      <c r="BT647" s="7"/>
    </row>
    <row r="648" spans="58:72" x14ac:dyDescent="0.55000000000000004">
      <c r="BF648" s="7"/>
      <c r="BM648" s="7"/>
      <c r="BT648" s="7"/>
    </row>
    <row r="649" spans="58:72" x14ac:dyDescent="0.55000000000000004">
      <c r="BF649" s="7"/>
      <c r="BM649" s="7"/>
      <c r="BT649" s="7"/>
    </row>
    <row r="650" spans="58:72" x14ac:dyDescent="0.55000000000000004">
      <c r="BF650" s="7"/>
      <c r="BM650" s="7"/>
      <c r="BT650" s="7"/>
    </row>
    <row r="651" spans="58:72" x14ac:dyDescent="0.55000000000000004">
      <c r="BF651" s="7"/>
      <c r="BM651" s="7"/>
      <c r="BT651" s="7"/>
    </row>
    <row r="652" spans="58:72" x14ac:dyDescent="0.55000000000000004">
      <c r="BF652" s="7"/>
      <c r="BM652" s="7"/>
      <c r="BT652" s="7"/>
    </row>
    <row r="653" spans="58:72" x14ac:dyDescent="0.55000000000000004">
      <c r="BF653" s="7"/>
      <c r="BM653" s="7"/>
      <c r="BT653" s="7"/>
    </row>
    <row r="654" spans="58:72" x14ac:dyDescent="0.55000000000000004">
      <c r="BF654" s="7"/>
      <c r="BM654" s="7"/>
      <c r="BT654" s="7"/>
    </row>
    <row r="655" spans="58:72" x14ac:dyDescent="0.55000000000000004">
      <c r="BF655" s="7"/>
      <c r="BM655" s="7"/>
      <c r="BT655" s="7"/>
    </row>
    <row r="656" spans="58:72" x14ac:dyDescent="0.55000000000000004">
      <c r="BF656" s="7"/>
      <c r="BM656" s="7"/>
      <c r="BT656" s="7"/>
    </row>
    <row r="657" spans="58:72" x14ac:dyDescent="0.55000000000000004">
      <c r="BF657" s="7"/>
      <c r="BM657" s="7"/>
      <c r="BT657" s="7"/>
    </row>
    <row r="658" spans="58:72" x14ac:dyDescent="0.55000000000000004">
      <c r="BF658" s="7"/>
      <c r="BM658" s="7"/>
      <c r="BT658" s="7"/>
    </row>
    <row r="659" spans="58:72" x14ac:dyDescent="0.55000000000000004">
      <c r="BF659" s="7"/>
      <c r="BM659" s="7"/>
      <c r="BT659" s="7"/>
    </row>
    <row r="660" spans="58:72" x14ac:dyDescent="0.55000000000000004">
      <c r="BF660" s="7"/>
      <c r="BM660" s="7"/>
      <c r="BT660" s="7"/>
    </row>
    <row r="661" spans="58:72" x14ac:dyDescent="0.55000000000000004">
      <c r="BF661" s="7"/>
      <c r="BM661" s="7"/>
      <c r="BT661" s="7"/>
    </row>
    <row r="662" spans="58:72" x14ac:dyDescent="0.55000000000000004">
      <c r="BF662" s="7"/>
      <c r="BM662" s="7"/>
      <c r="BT662" s="7"/>
    </row>
    <row r="663" spans="58:72" x14ac:dyDescent="0.55000000000000004">
      <c r="BF663" s="7"/>
      <c r="BM663" s="7"/>
      <c r="BT663" s="7"/>
    </row>
    <row r="664" spans="58:72" x14ac:dyDescent="0.55000000000000004">
      <c r="BF664" s="7"/>
      <c r="BM664" s="7"/>
      <c r="BT664" s="7"/>
    </row>
    <row r="665" spans="58:72" x14ac:dyDescent="0.55000000000000004">
      <c r="BF665" s="7"/>
      <c r="BM665" s="7"/>
      <c r="BT665" s="7"/>
    </row>
    <row r="666" spans="58:72" x14ac:dyDescent="0.55000000000000004">
      <c r="BF666" s="7"/>
      <c r="BM666" s="7"/>
      <c r="BT666" s="7"/>
    </row>
    <row r="667" spans="58:72" x14ac:dyDescent="0.55000000000000004">
      <c r="BF667" s="7"/>
      <c r="BM667" s="7"/>
      <c r="BT667" s="7"/>
    </row>
    <row r="668" spans="58:72" x14ac:dyDescent="0.55000000000000004">
      <c r="BF668" s="7"/>
      <c r="BM668" s="7"/>
      <c r="BT668" s="7"/>
    </row>
    <row r="669" spans="58:72" x14ac:dyDescent="0.55000000000000004">
      <c r="BF669" s="7"/>
      <c r="BM669" s="7"/>
      <c r="BT669" s="7"/>
    </row>
    <row r="670" spans="58:72" x14ac:dyDescent="0.55000000000000004">
      <c r="BF670" s="7"/>
      <c r="BM670" s="7"/>
      <c r="BT670" s="7"/>
    </row>
    <row r="671" spans="58:72" x14ac:dyDescent="0.55000000000000004">
      <c r="BF671" s="7"/>
      <c r="BM671" s="7"/>
      <c r="BT671" s="7"/>
    </row>
    <row r="672" spans="58:72" x14ac:dyDescent="0.55000000000000004">
      <c r="BF672" s="7"/>
      <c r="BM672" s="7"/>
      <c r="BT672" s="7"/>
    </row>
    <row r="673" spans="58:72" x14ac:dyDescent="0.55000000000000004">
      <c r="BF673" s="7"/>
      <c r="BM673" s="7"/>
      <c r="BT673" s="7"/>
    </row>
    <row r="674" spans="58:72" x14ac:dyDescent="0.55000000000000004">
      <c r="BF674" s="7"/>
      <c r="BM674" s="7"/>
      <c r="BT674" s="7"/>
    </row>
    <row r="675" spans="58:72" x14ac:dyDescent="0.55000000000000004">
      <c r="BF675" s="7"/>
      <c r="BM675" s="7"/>
      <c r="BT675" s="7"/>
    </row>
    <row r="676" spans="58:72" x14ac:dyDescent="0.55000000000000004">
      <c r="BF676" s="7"/>
      <c r="BM676" s="7"/>
      <c r="BT676" s="7"/>
    </row>
    <row r="677" spans="58:72" x14ac:dyDescent="0.55000000000000004">
      <c r="BF677" s="7"/>
      <c r="BM677" s="7"/>
      <c r="BT677" s="7"/>
    </row>
    <row r="678" spans="58:72" x14ac:dyDescent="0.55000000000000004">
      <c r="BF678" s="7"/>
      <c r="BM678" s="7"/>
      <c r="BT678" s="7"/>
    </row>
    <row r="679" spans="58:72" x14ac:dyDescent="0.55000000000000004">
      <c r="BF679" s="7"/>
      <c r="BM679" s="7"/>
      <c r="BT679" s="7"/>
    </row>
    <row r="680" spans="58:72" x14ac:dyDescent="0.55000000000000004">
      <c r="BF680" s="7"/>
      <c r="BM680" s="7"/>
      <c r="BT680" s="7"/>
    </row>
    <row r="681" spans="58:72" x14ac:dyDescent="0.55000000000000004">
      <c r="BF681" s="7"/>
      <c r="BM681" s="7"/>
      <c r="BT681" s="7"/>
    </row>
    <row r="682" spans="58:72" x14ac:dyDescent="0.55000000000000004">
      <c r="BF682" s="7"/>
      <c r="BM682" s="7"/>
      <c r="BT682" s="7"/>
    </row>
    <row r="683" spans="58:72" x14ac:dyDescent="0.55000000000000004">
      <c r="BF683" s="7"/>
      <c r="BM683" s="7"/>
      <c r="BT683" s="7"/>
    </row>
    <row r="684" spans="58:72" x14ac:dyDescent="0.55000000000000004">
      <c r="BF684" s="7"/>
      <c r="BM684" s="7"/>
      <c r="BT684" s="7"/>
    </row>
    <row r="685" spans="58:72" x14ac:dyDescent="0.55000000000000004">
      <c r="BF685" s="7"/>
      <c r="BM685" s="7"/>
      <c r="BT685" s="7"/>
    </row>
    <row r="686" spans="58:72" x14ac:dyDescent="0.55000000000000004">
      <c r="BF686" s="7"/>
      <c r="BM686" s="7"/>
      <c r="BT686" s="7"/>
    </row>
    <row r="687" spans="58:72" x14ac:dyDescent="0.55000000000000004">
      <c r="BF687" s="7"/>
      <c r="BM687" s="7"/>
      <c r="BT687" s="7"/>
    </row>
    <row r="688" spans="58:72" x14ac:dyDescent="0.55000000000000004">
      <c r="BF688" s="7"/>
      <c r="BM688" s="7"/>
      <c r="BT688" s="7"/>
    </row>
    <row r="689" spans="58:72" x14ac:dyDescent="0.55000000000000004">
      <c r="BF689" s="7"/>
      <c r="BM689" s="7"/>
      <c r="BT689" s="7"/>
    </row>
    <row r="690" spans="58:72" x14ac:dyDescent="0.55000000000000004">
      <c r="BF690" s="7"/>
      <c r="BM690" s="7"/>
      <c r="BT690" s="7"/>
    </row>
    <row r="691" spans="58:72" x14ac:dyDescent="0.55000000000000004">
      <c r="BF691" s="7"/>
      <c r="BM691" s="7"/>
      <c r="BT691" s="7"/>
    </row>
    <row r="692" spans="58:72" x14ac:dyDescent="0.55000000000000004">
      <c r="BF692" s="7"/>
      <c r="BM692" s="7"/>
      <c r="BT692" s="7"/>
    </row>
    <row r="693" spans="58:72" x14ac:dyDescent="0.55000000000000004">
      <c r="BF693" s="7"/>
      <c r="BM693" s="7"/>
      <c r="BT693" s="7"/>
    </row>
    <row r="694" spans="58:72" x14ac:dyDescent="0.55000000000000004">
      <c r="BF694" s="7"/>
      <c r="BM694" s="7"/>
      <c r="BT694" s="7"/>
    </row>
    <row r="695" spans="58:72" x14ac:dyDescent="0.55000000000000004">
      <c r="BF695" s="7"/>
      <c r="BM695" s="7"/>
      <c r="BT695" s="7"/>
    </row>
    <row r="696" spans="58:72" x14ac:dyDescent="0.55000000000000004">
      <c r="BF696" s="7"/>
      <c r="BM696" s="7"/>
      <c r="BT696" s="7"/>
    </row>
    <row r="697" spans="58:72" x14ac:dyDescent="0.55000000000000004">
      <c r="BF697" s="7"/>
      <c r="BM697" s="7"/>
      <c r="BT697" s="7"/>
    </row>
    <row r="698" spans="58:72" x14ac:dyDescent="0.55000000000000004">
      <c r="BF698" s="7"/>
      <c r="BM698" s="7"/>
      <c r="BT698" s="7"/>
    </row>
    <row r="699" spans="58:72" x14ac:dyDescent="0.55000000000000004">
      <c r="BF699" s="7"/>
      <c r="BM699" s="7"/>
      <c r="BT699" s="7"/>
    </row>
    <row r="700" spans="58:72" x14ac:dyDescent="0.55000000000000004">
      <c r="BF700" s="7"/>
      <c r="BM700" s="7"/>
      <c r="BT700" s="7"/>
    </row>
    <row r="701" spans="58:72" x14ac:dyDescent="0.55000000000000004">
      <c r="BF701" s="7"/>
      <c r="BM701" s="7"/>
      <c r="BT701" s="7"/>
    </row>
    <row r="702" spans="58:72" x14ac:dyDescent="0.55000000000000004">
      <c r="BF702" s="7"/>
      <c r="BM702" s="7"/>
      <c r="BT702" s="7"/>
    </row>
    <row r="703" spans="58:72" x14ac:dyDescent="0.55000000000000004">
      <c r="BF703" s="7"/>
      <c r="BM703" s="7"/>
      <c r="BT703" s="7"/>
    </row>
    <row r="704" spans="58:72" x14ac:dyDescent="0.55000000000000004">
      <c r="BF704" s="7"/>
      <c r="BM704" s="7"/>
      <c r="BT704" s="7"/>
    </row>
    <row r="705" spans="58:72" x14ac:dyDescent="0.55000000000000004">
      <c r="BF705" s="7"/>
      <c r="BM705" s="7"/>
      <c r="BT705" s="7"/>
    </row>
    <row r="706" spans="58:72" x14ac:dyDescent="0.55000000000000004">
      <c r="BF706" s="7"/>
      <c r="BM706" s="7"/>
      <c r="BT706" s="7"/>
    </row>
    <row r="707" spans="58:72" x14ac:dyDescent="0.55000000000000004">
      <c r="BF707" s="7"/>
      <c r="BM707" s="7"/>
      <c r="BT707" s="7"/>
    </row>
    <row r="708" spans="58:72" x14ac:dyDescent="0.55000000000000004">
      <c r="BF708" s="7"/>
      <c r="BM708" s="7"/>
      <c r="BT708" s="7"/>
    </row>
    <row r="709" spans="58:72" x14ac:dyDescent="0.55000000000000004">
      <c r="BF709" s="7"/>
      <c r="BM709" s="7"/>
      <c r="BT709" s="7"/>
    </row>
    <row r="710" spans="58:72" x14ac:dyDescent="0.55000000000000004">
      <c r="BF710" s="7"/>
      <c r="BM710" s="7"/>
      <c r="BT710" s="7"/>
    </row>
    <row r="711" spans="58:72" x14ac:dyDescent="0.55000000000000004">
      <c r="BF711" s="7"/>
      <c r="BM711" s="7"/>
      <c r="BT711" s="7"/>
    </row>
    <row r="712" spans="58:72" x14ac:dyDescent="0.55000000000000004">
      <c r="BF712" s="7"/>
      <c r="BM712" s="7"/>
      <c r="BT712" s="7"/>
    </row>
    <row r="713" spans="58:72" x14ac:dyDescent="0.55000000000000004">
      <c r="BF713" s="7"/>
      <c r="BM713" s="7"/>
      <c r="BT713" s="7"/>
    </row>
    <row r="714" spans="58:72" x14ac:dyDescent="0.55000000000000004">
      <c r="BF714" s="7"/>
      <c r="BM714" s="7"/>
      <c r="BT714" s="7"/>
    </row>
    <row r="715" spans="58:72" x14ac:dyDescent="0.55000000000000004">
      <c r="BF715" s="7"/>
      <c r="BM715" s="7"/>
      <c r="BT715" s="7"/>
    </row>
    <row r="716" spans="58:72" x14ac:dyDescent="0.55000000000000004">
      <c r="BF716" s="7"/>
      <c r="BM716" s="7"/>
      <c r="BT716" s="7"/>
    </row>
    <row r="717" spans="58:72" x14ac:dyDescent="0.55000000000000004">
      <c r="BF717" s="7"/>
      <c r="BM717" s="7"/>
      <c r="BT717" s="7"/>
    </row>
    <row r="718" spans="58:72" x14ac:dyDescent="0.55000000000000004">
      <c r="BF718" s="7"/>
      <c r="BM718" s="7"/>
      <c r="BT718" s="7"/>
    </row>
    <row r="719" spans="58:72" x14ac:dyDescent="0.55000000000000004">
      <c r="BF719" s="7"/>
      <c r="BM719" s="7"/>
      <c r="BT719" s="7"/>
    </row>
    <row r="720" spans="58:72" x14ac:dyDescent="0.55000000000000004">
      <c r="BF720" s="7"/>
      <c r="BM720" s="7"/>
      <c r="BT720" s="7"/>
    </row>
    <row r="721" spans="58:72" x14ac:dyDescent="0.55000000000000004">
      <c r="BF721" s="7"/>
      <c r="BM721" s="7"/>
      <c r="BT721" s="7"/>
    </row>
    <row r="722" spans="58:72" x14ac:dyDescent="0.55000000000000004">
      <c r="BF722" s="7"/>
      <c r="BM722" s="7"/>
      <c r="BT722" s="7"/>
    </row>
    <row r="723" spans="58:72" x14ac:dyDescent="0.55000000000000004">
      <c r="BF723" s="7"/>
      <c r="BM723" s="7"/>
      <c r="BT723" s="7"/>
    </row>
    <row r="724" spans="58:72" x14ac:dyDescent="0.55000000000000004">
      <c r="BF724" s="7"/>
      <c r="BM724" s="7"/>
      <c r="BT724" s="7"/>
    </row>
    <row r="725" spans="58:72" x14ac:dyDescent="0.55000000000000004">
      <c r="BF725" s="7"/>
      <c r="BM725" s="7"/>
      <c r="BT725" s="7"/>
    </row>
    <row r="726" spans="58:72" x14ac:dyDescent="0.55000000000000004">
      <c r="BF726" s="7"/>
      <c r="BM726" s="7"/>
      <c r="BT726" s="7"/>
    </row>
    <row r="727" spans="58:72" x14ac:dyDescent="0.55000000000000004">
      <c r="BF727" s="7"/>
      <c r="BM727" s="7"/>
      <c r="BT727" s="7"/>
    </row>
    <row r="728" spans="58:72" x14ac:dyDescent="0.55000000000000004">
      <c r="BF728" s="7"/>
      <c r="BM728" s="7"/>
      <c r="BT728" s="7"/>
    </row>
    <row r="729" spans="58:72" x14ac:dyDescent="0.55000000000000004">
      <c r="BF729" s="7"/>
      <c r="BM729" s="7"/>
      <c r="BT729" s="7"/>
    </row>
    <row r="730" spans="58:72" x14ac:dyDescent="0.55000000000000004">
      <c r="BF730" s="7"/>
      <c r="BM730" s="7"/>
      <c r="BT730" s="7"/>
    </row>
    <row r="731" spans="58:72" x14ac:dyDescent="0.55000000000000004">
      <c r="BF731" s="7"/>
      <c r="BM731" s="7"/>
      <c r="BT731" s="7"/>
    </row>
    <row r="732" spans="58:72" x14ac:dyDescent="0.55000000000000004">
      <c r="BF732" s="7"/>
      <c r="BM732" s="7"/>
      <c r="BT732" s="7"/>
    </row>
    <row r="733" spans="58:72" x14ac:dyDescent="0.55000000000000004">
      <c r="BF733" s="7"/>
      <c r="BM733" s="7"/>
      <c r="BT733" s="7"/>
    </row>
    <row r="734" spans="58:72" x14ac:dyDescent="0.55000000000000004">
      <c r="BF734" s="7"/>
      <c r="BM734" s="7"/>
      <c r="BT734" s="7"/>
    </row>
    <row r="735" spans="58:72" x14ac:dyDescent="0.55000000000000004">
      <c r="BF735" s="7"/>
      <c r="BM735" s="7"/>
      <c r="BT735" s="7"/>
    </row>
    <row r="736" spans="58:72" x14ac:dyDescent="0.55000000000000004">
      <c r="BF736" s="7"/>
      <c r="BM736" s="7"/>
      <c r="BT736" s="7"/>
    </row>
    <row r="737" spans="58:72" x14ac:dyDescent="0.55000000000000004">
      <c r="BF737" s="7"/>
      <c r="BM737" s="7"/>
      <c r="BT737" s="7"/>
    </row>
    <row r="738" spans="58:72" x14ac:dyDescent="0.55000000000000004">
      <c r="BF738" s="7"/>
      <c r="BM738" s="7"/>
      <c r="BT738" s="7"/>
    </row>
    <row r="739" spans="58:72" x14ac:dyDescent="0.55000000000000004">
      <c r="BF739" s="7"/>
      <c r="BM739" s="7"/>
      <c r="BT739" s="7"/>
    </row>
    <row r="740" spans="58:72" x14ac:dyDescent="0.55000000000000004">
      <c r="BF740" s="7"/>
      <c r="BM740" s="7"/>
      <c r="BT740" s="7"/>
    </row>
    <row r="741" spans="58:72" x14ac:dyDescent="0.55000000000000004">
      <c r="BF741" s="7"/>
      <c r="BM741" s="7"/>
      <c r="BT741" s="7"/>
    </row>
    <row r="742" spans="58:72" x14ac:dyDescent="0.55000000000000004">
      <c r="BF742" s="7"/>
      <c r="BM742" s="7"/>
      <c r="BT742" s="7"/>
    </row>
    <row r="743" spans="58:72" x14ac:dyDescent="0.55000000000000004">
      <c r="BF743" s="7"/>
      <c r="BM743" s="7"/>
      <c r="BT743" s="7"/>
    </row>
    <row r="744" spans="58:72" x14ac:dyDescent="0.55000000000000004">
      <c r="BF744" s="7"/>
      <c r="BM744" s="7"/>
      <c r="BT744" s="7"/>
    </row>
    <row r="745" spans="58:72" x14ac:dyDescent="0.55000000000000004">
      <c r="BF745" s="7"/>
      <c r="BM745" s="7"/>
      <c r="BT745" s="7"/>
    </row>
    <row r="746" spans="58:72" x14ac:dyDescent="0.55000000000000004">
      <c r="BF746" s="7"/>
      <c r="BM746" s="7"/>
      <c r="BT746" s="7"/>
    </row>
    <row r="747" spans="58:72" x14ac:dyDescent="0.55000000000000004">
      <c r="BF747" s="7"/>
      <c r="BM747" s="7"/>
      <c r="BT747" s="7"/>
    </row>
    <row r="748" spans="58:72" x14ac:dyDescent="0.55000000000000004">
      <c r="BF748" s="7"/>
      <c r="BM748" s="7"/>
      <c r="BT748" s="7"/>
    </row>
    <row r="749" spans="58:72" x14ac:dyDescent="0.55000000000000004">
      <c r="BF749" s="7"/>
      <c r="BM749" s="7"/>
      <c r="BT749" s="7"/>
    </row>
    <row r="750" spans="58:72" x14ac:dyDescent="0.55000000000000004">
      <c r="BF750" s="7"/>
      <c r="BM750" s="7"/>
      <c r="BT750" s="7"/>
    </row>
    <row r="751" spans="58:72" x14ac:dyDescent="0.55000000000000004">
      <c r="BF751" s="7"/>
      <c r="BM751" s="7"/>
      <c r="BT751" s="7"/>
    </row>
    <row r="752" spans="58:72" x14ac:dyDescent="0.55000000000000004">
      <c r="BF752" s="7"/>
      <c r="BM752" s="7"/>
      <c r="BT752" s="7"/>
    </row>
    <row r="753" spans="58:72" x14ac:dyDescent="0.55000000000000004">
      <c r="BF753" s="7"/>
      <c r="BM753" s="7"/>
      <c r="BT753" s="7"/>
    </row>
    <row r="754" spans="58:72" x14ac:dyDescent="0.55000000000000004">
      <c r="BF754" s="7"/>
      <c r="BM754" s="7"/>
      <c r="BT754" s="7"/>
    </row>
    <row r="755" spans="58:72" x14ac:dyDescent="0.55000000000000004">
      <c r="BF755" s="7"/>
      <c r="BM755" s="7"/>
      <c r="BT755" s="7"/>
    </row>
    <row r="756" spans="58:72" x14ac:dyDescent="0.55000000000000004">
      <c r="BF756" s="7"/>
      <c r="BM756" s="7"/>
      <c r="BT756" s="7"/>
    </row>
    <row r="757" spans="58:72" x14ac:dyDescent="0.55000000000000004">
      <c r="BF757" s="7"/>
      <c r="BM757" s="7"/>
      <c r="BT757" s="7"/>
    </row>
    <row r="758" spans="58:72" x14ac:dyDescent="0.55000000000000004">
      <c r="BF758" s="7"/>
      <c r="BM758" s="7"/>
      <c r="BT758" s="7"/>
    </row>
    <row r="759" spans="58:72" x14ac:dyDescent="0.55000000000000004">
      <c r="BF759" s="7"/>
      <c r="BM759" s="7"/>
      <c r="BT759" s="7"/>
    </row>
    <row r="760" spans="58:72" x14ac:dyDescent="0.55000000000000004">
      <c r="BF760" s="7"/>
      <c r="BM760" s="7"/>
      <c r="BT760" s="7"/>
    </row>
    <row r="761" spans="58:72" x14ac:dyDescent="0.55000000000000004">
      <c r="BF761" s="7"/>
      <c r="BM761" s="7"/>
      <c r="BT761" s="7"/>
    </row>
    <row r="762" spans="58:72" x14ac:dyDescent="0.55000000000000004">
      <c r="BF762" s="7"/>
      <c r="BM762" s="7"/>
      <c r="BT762" s="7"/>
    </row>
    <row r="763" spans="58:72" x14ac:dyDescent="0.55000000000000004">
      <c r="BF763" s="7"/>
      <c r="BM763" s="7"/>
      <c r="BT763" s="7"/>
    </row>
    <row r="764" spans="58:72" x14ac:dyDescent="0.55000000000000004">
      <c r="BF764" s="7"/>
      <c r="BM764" s="7"/>
      <c r="BT764" s="7"/>
    </row>
    <row r="765" spans="58:72" x14ac:dyDescent="0.55000000000000004">
      <c r="BF765" s="7"/>
      <c r="BM765" s="7"/>
      <c r="BT765" s="7"/>
    </row>
    <row r="766" spans="58:72" x14ac:dyDescent="0.55000000000000004">
      <c r="BF766" s="7"/>
      <c r="BM766" s="7"/>
      <c r="BT766" s="7"/>
    </row>
    <row r="767" spans="58:72" x14ac:dyDescent="0.55000000000000004">
      <c r="BF767" s="7"/>
      <c r="BM767" s="7"/>
      <c r="BT767" s="7"/>
    </row>
    <row r="768" spans="58:72" x14ac:dyDescent="0.55000000000000004">
      <c r="BF768" s="7"/>
      <c r="BM768" s="7"/>
      <c r="BT768" s="7"/>
    </row>
    <row r="769" spans="58:72" x14ac:dyDescent="0.55000000000000004">
      <c r="BF769" s="7"/>
      <c r="BM769" s="7"/>
      <c r="BT769" s="7"/>
    </row>
    <row r="770" spans="58:72" x14ac:dyDescent="0.55000000000000004">
      <c r="BF770" s="7"/>
      <c r="BM770" s="7"/>
      <c r="BT770" s="7"/>
    </row>
    <row r="771" spans="58:72" x14ac:dyDescent="0.55000000000000004">
      <c r="BF771" s="7"/>
      <c r="BM771" s="7"/>
      <c r="BT771" s="7"/>
    </row>
    <row r="772" spans="58:72" x14ac:dyDescent="0.55000000000000004">
      <c r="BF772" s="7"/>
      <c r="BM772" s="7"/>
      <c r="BT772" s="7"/>
    </row>
    <row r="773" spans="58:72" x14ac:dyDescent="0.55000000000000004">
      <c r="BF773" s="7"/>
      <c r="BM773" s="7"/>
      <c r="BT773" s="7"/>
    </row>
    <row r="774" spans="58:72" x14ac:dyDescent="0.55000000000000004">
      <c r="BF774" s="7"/>
      <c r="BM774" s="7"/>
      <c r="BT774" s="7"/>
    </row>
    <row r="775" spans="58:72" x14ac:dyDescent="0.55000000000000004">
      <c r="BF775" s="7"/>
      <c r="BM775" s="7"/>
      <c r="BT775" s="7"/>
    </row>
    <row r="776" spans="58:72" x14ac:dyDescent="0.55000000000000004">
      <c r="BF776" s="7"/>
      <c r="BM776" s="7"/>
      <c r="BT776" s="7"/>
    </row>
    <row r="777" spans="58:72" x14ac:dyDescent="0.55000000000000004">
      <c r="BF777" s="7"/>
      <c r="BM777" s="7"/>
      <c r="BT777" s="7"/>
    </row>
    <row r="778" spans="58:72" x14ac:dyDescent="0.55000000000000004">
      <c r="BF778" s="7"/>
      <c r="BM778" s="7"/>
      <c r="BT778" s="7"/>
    </row>
    <row r="779" spans="58:72" x14ac:dyDescent="0.55000000000000004">
      <c r="BF779" s="7"/>
      <c r="BM779" s="7"/>
      <c r="BT779" s="7"/>
    </row>
    <row r="780" spans="58:72" x14ac:dyDescent="0.55000000000000004">
      <c r="BF780" s="7"/>
      <c r="BM780" s="7"/>
      <c r="BT780" s="7"/>
    </row>
    <row r="781" spans="58:72" x14ac:dyDescent="0.55000000000000004">
      <c r="BF781" s="7"/>
      <c r="BM781" s="7"/>
      <c r="BT781" s="7"/>
    </row>
    <row r="782" spans="58:72" x14ac:dyDescent="0.55000000000000004">
      <c r="BF782" s="7"/>
      <c r="BM782" s="7"/>
      <c r="BT782" s="7"/>
    </row>
    <row r="783" spans="58:72" x14ac:dyDescent="0.55000000000000004">
      <c r="BF783" s="7"/>
      <c r="BM783" s="7"/>
      <c r="BT783" s="7"/>
    </row>
    <row r="784" spans="58:72" x14ac:dyDescent="0.55000000000000004">
      <c r="BF784" s="7"/>
      <c r="BM784" s="7"/>
      <c r="BT784" s="7"/>
    </row>
    <row r="785" spans="58:72" x14ac:dyDescent="0.55000000000000004">
      <c r="BF785" s="7"/>
      <c r="BM785" s="7"/>
      <c r="BT785" s="7"/>
    </row>
    <row r="786" spans="58:72" x14ac:dyDescent="0.55000000000000004">
      <c r="BF786" s="7"/>
      <c r="BM786" s="7"/>
      <c r="BT786" s="7"/>
    </row>
    <row r="787" spans="58:72" x14ac:dyDescent="0.55000000000000004">
      <c r="BF787" s="7"/>
      <c r="BM787" s="7"/>
      <c r="BT787" s="7"/>
    </row>
    <row r="788" spans="58:72" x14ac:dyDescent="0.55000000000000004">
      <c r="BF788" s="7"/>
      <c r="BM788" s="7"/>
      <c r="BT788" s="7"/>
    </row>
    <row r="789" spans="58:72" x14ac:dyDescent="0.55000000000000004">
      <c r="BF789" s="7"/>
      <c r="BM789" s="7"/>
      <c r="BT789" s="7"/>
    </row>
    <row r="790" spans="58:72" x14ac:dyDescent="0.55000000000000004">
      <c r="BF790" s="7"/>
      <c r="BM790" s="7"/>
      <c r="BT790" s="7"/>
    </row>
    <row r="791" spans="58:72" x14ac:dyDescent="0.55000000000000004">
      <c r="BF791" s="7"/>
      <c r="BM791" s="7"/>
      <c r="BT791" s="7"/>
    </row>
    <row r="792" spans="58:72" x14ac:dyDescent="0.55000000000000004">
      <c r="BF792" s="7"/>
      <c r="BM792" s="7"/>
      <c r="BT792" s="7"/>
    </row>
    <row r="793" spans="58:72" x14ac:dyDescent="0.55000000000000004">
      <c r="BF793" s="7"/>
      <c r="BM793" s="7"/>
      <c r="BT793" s="7"/>
    </row>
    <row r="794" spans="58:72" x14ac:dyDescent="0.55000000000000004">
      <c r="BF794" s="7"/>
      <c r="BM794" s="7"/>
      <c r="BT794" s="7"/>
    </row>
    <row r="795" spans="58:72" x14ac:dyDescent="0.55000000000000004">
      <c r="BF795" s="7"/>
      <c r="BM795" s="7"/>
      <c r="BT795" s="7"/>
    </row>
    <row r="796" spans="58:72" x14ac:dyDescent="0.55000000000000004">
      <c r="BF796" s="7"/>
      <c r="BM796" s="7"/>
      <c r="BT796" s="7"/>
    </row>
    <row r="797" spans="58:72" x14ac:dyDescent="0.55000000000000004">
      <c r="BF797" s="7"/>
      <c r="BM797" s="7"/>
      <c r="BT797" s="7"/>
    </row>
    <row r="798" spans="58:72" x14ac:dyDescent="0.55000000000000004">
      <c r="BF798" s="7"/>
      <c r="BM798" s="7"/>
      <c r="BT798" s="7"/>
    </row>
    <row r="799" spans="58:72" x14ac:dyDescent="0.55000000000000004">
      <c r="BF799" s="7"/>
      <c r="BM799" s="7"/>
      <c r="BT799" s="7"/>
    </row>
    <row r="800" spans="58:72" x14ac:dyDescent="0.55000000000000004">
      <c r="BF800" s="7"/>
      <c r="BM800" s="7"/>
      <c r="BT800" s="7"/>
    </row>
    <row r="801" spans="58:72" x14ac:dyDescent="0.55000000000000004">
      <c r="BF801" s="7"/>
      <c r="BM801" s="7"/>
      <c r="BT801" s="7"/>
    </row>
    <row r="802" spans="58:72" x14ac:dyDescent="0.55000000000000004">
      <c r="BF802" s="7"/>
      <c r="BM802" s="7"/>
      <c r="BT802" s="7"/>
    </row>
    <row r="803" spans="58:72" x14ac:dyDescent="0.55000000000000004">
      <c r="BF803" s="7"/>
      <c r="BM803" s="7"/>
      <c r="BT803" s="7"/>
    </row>
    <row r="804" spans="58:72" x14ac:dyDescent="0.55000000000000004">
      <c r="BF804" s="7"/>
      <c r="BM804" s="7"/>
      <c r="BT804" s="7"/>
    </row>
    <row r="805" spans="58:72" x14ac:dyDescent="0.55000000000000004">
      <c r="BF805" s="7"/>
      <c r="BM805" s="7"/>
      <c r="BT805" s="7"/>
    </row>
    <row r="806" spans="58:72" x14ac:dyDescent="0.55000000000000004">
      <c r="BF806" s="7"/>
      <c r="BM806" s="7"/>
      <c r="BT806" s="7"/>
    </row>
    <row r="807" spans="58:72" x14ac:dyDescent="0.55000000000000004">
      <c r="BF807" s="7"/>
      <c r="BM807" s="7"/>
      <c r="BT807" s="7"/>
    </row>
    <row r="808" spans="58:72" x14ac:dyDescent="0.55000000000000004">
      <c r="BF808" s="7"/>
      <c r="BM808" s="7"/>
      <c r="BT808" s="7"/>
    </row>
    <row r="809" spans="58:72" x14ac:dyDescent="0.55000000000000004">
      <c r="BF809" s="7"/>
      <c r="BM809" s="7"/>
      <c r="BT809" s="7"/>
    </row>
    <row r="810" spans="58:72" x14ac:dyDescent="0.55000000000000004">
      <c r="BF810" s="7"/>
      <c r="BM810" s="7"/>
      <c r="BT810" s="7"/>
    </row>
    <row r="811" spans="58:72" x14ac:dyDescent="0.55000000000000004">
      <c r="BF811" s="7"/>
      <c r="BM811" s="7"/>
      <c r="BT811" s="7"/>
    </row>
    <row r="812" spans="58:72" x14ac:dyDescent="0.55000000000000004">
      <c r="BF812" s="7"/>
      <c r="BM812" s="7"/>
      <c r="BT812" s="7"/>
    </row>
    <row r="813" spans="58:72" x14ac:dyDescent="0.55000000000000004">
      <c r="BF813" s="7"/>
      <c r="BM813" s="7"/>
      <c r="BT813" s="7"/>
    </row>
    <row r="814" spans="58:72" x14ac:dyDescent="0.55000000000000004">
      <c r="BF814" s="7"/>
      <c r="BM814" s="7"/>
      <c r="BT814" s="7"/>
    </row>
    <row r="815" spans="58:72" x14ac:dyDescent="0.55000000000000004">
      <c r="BF815" s="7"/>
      <c r="BM815" s="7"/>
      <c r="BT815" s="7"/>
    </row>
    <row r="816" spans="58:72" x14ac:dyDescent="0.55000000000000004">
      <c r="BF816" s="7"/>
      <c r="BM816" s="7"/>
      <c r="BT816" s="7"/>
    </row>
    <row r="817" spans="58:72" x14ac:dyDescent="0.55000000000000004">
      <c r="BF817" s="7"/>
      <c r="BM817" s="7"/>
      <c r="BT817" s="7"/>
    </row>
    <row r="818" spans="58:72" x14ac:dyDescent="0.55000000000000004">
      <c r="BF818" s="7"/>
      <c r="BM818" s="7"/>
      <c r="BT818" s="7"/>
    </row>
    <row r="819" spans="58:72" x14ac:dyDescent="0.55000000000000004">
      <c r="BF819" s="7"/>
      <c r="BM819" s="7"/>
      <c r="BT819" s="7"/>
    </row>
    <row r="820" spans="58:72" x14ac:dyDescent="0.55000000000000004">
      <c r="BF820" s="7"/>
      <c r="BM820" s="7"/>
      <c r="BT820" s="7"/>
    </row>
    <row r="821" spans="58:72" x14ac:dyDescent="0.55000000000000004">
      <c r="BF821" s="7"/>
      <c r="BM821" s="7"/>
      <c r="BT821" s="7"/>
    </row>
    <row r="822" spans="58:72" x14ac:dyDescent="0.55000000000000004">
      <c r="BF822" s="7"/>
      <c r="BM822" s="7"/>
      <c r="BT822" s="7"/>
    </row>
    <row r="823" spans="58:72" x14ac:dyDescent="0.55000000000000004">
      <c r="BF823" s="7"/>
      <c r="BM823" s="7"/>
      <c r="BT823" s="7"/>
    </row>
    <row r="824" spans="58:72" x14ac:dyDescent="0.55000000000000004">
      <c r="BF824" s="7"/>
      <c r="BM824" s="7"/>
      <c r="BT824" s="7"/>
    </row>
    <row r="825" spans="58:72" x14ac:dyDescent="0.55000000000000004">
      <c r="BF825" s="7"/>
      <c r="BM825" s="7"/>
      <c r="BT825" s="7"/>
    </row>
    <row r="826" spans="58:72" x14ac:dyDescent="0.55000000000000004">
      <c r="BF826" s="7"/>
      <c r="BM826" s="7"/>
      <c r="BT826" s="7"/>
    </row>
    <row r="827" spans="58:72" x14ac:dyDescent="0.55000000000000004">
      <c r="BF827" s="7"/>
      <c r="BM827" s="7"/>
      <c r="BT827" s="7"/>
    </row>
    <row r="828" spans="58:72" x14ac:dyDescent="0.55000000000000004">
      <c r="BF828" s="7"/>
      <c r="BM828" s="7"/>
      <c r="BT828" s="7"/>
    </row>
    <row r="829" spans="58:72" x14ac:dyDescent="0.55000000000000004">
      <c r="BF829" s="7"/>
      <c r="BM829" s="7"/>
      <c r="BT829" s="7"/>
    </row>
    <row r="830" spans="58:72" x14ac:dyDescent="0.55000000000000004">
      <c r="BF830" s="7"/>
      <c r="BM830" s="7"/>
      <c r="BT830" s="7"/>
    </row>
    <row r="831" spans="58:72" x14ac:dyDescent="0.55000000000000004">
      <c r="BF831" s="7"/>
      <c r="BM831" s="7"/>
      <c r="BT831" s="7"/>
    </row>
    <row r="832" spans="58:72" x14ac:dyDescent="0.55000000000000004">
      <c r="BF832" s="7"/>
      <c r="BM832" s="7"/>
      <c r="BT832" s="7"/>
    </row>
    <row r="833" spans="58:72" x14ac:dyDescent="0.55000000000000004">
      <c r="BF833" s="7"/>
      <c r="BM833" s="7"/>
      <c r="BT833" s="7"/>
    </row>
    <row r="834" spans="58:72" x14ac:dyDescent="0.55000000000000004">
      <c r="BF834" s="7"/>
      <c r="BM834" s="7"/>
      <c r="BT834" s="7"/>
    </row>
    <row r="835" spans="58:72" x14ac:dyDescent="0.55000000000000004">
      <c r="BF835" s="7"/>
      <c r="BM835" s="7"/>
      <c r="BT835" s="7"/>
    </row>
    <row r="836" spans="58:72" x14ac:dyDescent="0.55000000000000004">
      <c r="BF836" s="7"/>
      <c r="BM836" s="7"/>
      <c r="BT836" s="7"/>
    </row>
    <row r="837" spans="58:72" x14ac:dyDescent="0.55000000000000004">
      <c r="BF837" s="7"/>
      <c r="BM837" s="7"/>
      <c r="BT837" s="7"/>
    </row>
    <row r="838" spans="58:72" x14ac:dyDescent="0.55000000000000004">
      <c r="BF838" s="7"/>
      <c r="BM838" s="7"/>
      <c r="BT838" s="7"/>
    </row>
    <row r="839" spans="58:72" x14ac:dyDescent="0.55000000000000004">
      <c r="BF839" s="7"/>
      <c r="BM839" s="7"/>
      <c r="BT839" s="7"/>
    </row>
    <row r="840" spans="58:72" x14ac:dyDescent="0.55000000000000004">
      <c r="BF840" s="7"/>
      <c r="BM840" s="7"/>
      <c r="BT840" s="7"/>
    </row>
    <row r="841" spans="58:72" x14ac:dyDescent="0.55000000000000004">
      <c r="BF841" s="7"/>
      <c r="BM841" s="7"/>
      <c r="BT841" s="7"/>
    </row>
    <row r="842" spans="58:72" x14ac:dyDescent="0.55000000000000004">
      <c r="BF842" s="7"/>
      <c r="BM842" s="7"/>
      <c r="BT842" s="7"/>
    </row>
    <row r="843" spans="58:72" x14ac:dyDescent="0.55000000000000004">
      <c r="BF843" s="7"/>
      <c r="BM843" s="7"/>
      <c r="BT843" s="7"/>
    </row>
    <row r="844" spans="58:72" x14ac:dyDescent="0.55000000000000004">
      <c r="BF844" s="7"/>
      <c r="BM844" s="7"/>
      <c r="BT844" s="7"/>
    </row>
    <row r="845" spans="58:72" x14ac:dyDescent="0.55000000000000004">
      <c r="BF845" s="7"/>
      <c r="BM845" s="7"/>
      <c r="BT845" s="7"/>
    </row>
    <row r="846" spans="58:72" x14ac:dyDescent="0.55000000000000004">
      <c r="BF846" s="7"/>
      <c r="BM846" s="7"/>
      <c r="BT846" s="7"/>
    </row>
    <row r="847" spans="58:72" x14ac:dyDescent="0.55000000000000004">
      <c r="BF847" s="7"/>
      <c r="BM847" s="7"/>
      <c r="BT847" s="7"/>
    </row>
    <row r="848" spans="58:72" x14ac:dyDescent="0.55000000000000004">
      <c r="BF848" s="7"/>
      <c r="BM848" s="7"/>
      <c r="BT848" s="7"/>
    </row>
    <row r="849" spans="58:72" x14ac:dyDescent="0.55000000000000004">
      <c r="BF849" s="7"/>
      <c r="BM849" s="7"/>
      <c r="BT849" s="7"/>
    </row>
    <row r="850" spans="58:72" x14ac:dyDescent="0.55000000000000004">
      <c r="BF850" s="7"/>
      <c r="BM850" s="7"/>
      <c r="BT850" s="7"/>
    </row>
    <row r="851" spans="58:72" x14ac:dyDescent="0.55000000000000004">
      <c r="BF851" s="7"/>
      <c r="BM851" s="7"/>
      <c r="BT851" s="7"/>
    </row>
    <row r="852" spans="58:72" x14ac:dyDescent="0.55000000000000004">
      <c r="BF852" s="7"/>
      <c r="BM852" s="7"/>
      <c r="BT852" s="7"/>
    </row>
    <row r="853" spans="58:72" x14ac:dyDescent="0.55000000000000004">
      <c r="BF853" s="7"/>
      <c r="BM853" s="7"/>
      <c r="BT853" s="7"/>
    </row>
    <row r="854" spans="58:72" x14ac:dyDescent="0.55000000000000004">
      <c r="BF854" s="7"/>
      <c r="BM854" s="7"/>
      <c r="BT854" s="7"/>
    </row>
    <row r="855" spans="58:72" x14ac:dyDescent="0.55000000000000004">
      <c r="BF855" s="7"/>
      <c r="BM855" s="7"/>
      <c r="BT855" s="7"/>
    </row>
    <row r="856" spans="58:72" x14ac:dyDescent="0.55000000000000004">
      <c r="BF856" s="7"/>
      <c r="BM856" s="7"/>
      <c r="BT856" s="7"/>
    </row>
    <row r="857" spans="58:72" x14ac:dyDescent="0.55000000000000004">
      <c r="BF857" s="7"/>
      <c r="BM857" s="7"/>
      <c r="BT857" s="7"/>
    </row>
    <row r="858" spans="58:72" x14ac:dyDescent="0.55000000000000004">
      <c r="BF858" s="7"/>
      <c r="BM858" s="7"/>
      <c r="BT858" s="7"/>
    </row>
    <row r="859" spans="58:72" x14ac:dyDescent="0.55000000000000004">
      <c r="BF859" s="7"/>
      <c r="BM859" s="7"/>
      <c r="BT859" s="7"/>
    </row>
    <row r="860" spans="58:72" x14ac:dyDescent="0.55000000000000004">
      <c r="BF860" s="7"/>
      <c r="BM860" s="7"/>
      <c r="BT860" s="7"/>
    </row>
    <row r="861" spans="58:72" x14ac:dyDescent="0.55000000000000004">
      <c r="BF861" s="7"/>
      <c r="BM861" s="7"/>
      <c r="BT861" s="7"/>
    </row>
    <row r="862" spans="58:72" x14ac:dyDescent="0.55000000000000004">
      <c r="BF862" s="7"/>
      <c r="BM862" s="7"/>
      <c r="BT862" s="7"/>
    </row>
    <row r="863" spans="58:72" x14ac:dyDescent="0.55000000000000004">
      <c r="BF863" s="7"/>
      <c r="BM863" s="7"/>
      <c r="BT863" s="7"/>
    </row>
    <row r="864" spans="58:72" x14ac:dyDescent="0.55000000000000004">
      <c r="BF864" s="7"/>
      <c r="BM864" s="7"/>
      <c r="BT864" s="7"/>
    </row>
    <row r="865" spans="58:72" x14ac:dyDescent="0.55000000000000004">
      <c r="BF865" s="7"/>
      <c r="BM865" s="7"/>
      <c r="BT865" s="7"/>
    </row>
    <row r="866" spans="58:72" x14ac:dyDescent="0.55000000000000004">
      <c r="BF866" s="7"/>
      <c r="BM866" s="7"/>
      <c r="BT866" s="7"/>
    </row>
    <row r="867" spans="58:72" x14ac:dyDescent="0.55000000000000004">
      <c r="BF867" s="7"/>
      <c r="BM867" s="7"/>
      <c r="BT867" s="7"/>
    </row>
    <row r="868" spans="58:72" x14ac:dyDescent="0.55000000000000004">
      <c r="BF868" s="7"/>
      <c r="BM868" s="7"/>
      <c r="BT868" s="7"/>
    </row>
    <row r="869" spans="58:72" x14ac:dyDescent="0.55000000000000004">
      <c r="BF869" s="7"/>
      <c r="BM869" s="7"/>
      <c r="BT869" s="7"/>
    </row>
    <row r="870" spans="58:72" x14ac:dyDescent="0.55000000000000004">
      <c r="BF870" s="7"/>
      <c r="BM870" s="7"/>
      <c r="BT870" s="7"/>
    </row>
    <row r="871" spans="58:72" x14ac:dyDescent="0.55000000000000004">
      <c r="BF871" s="7"/>
      <c r="BM871" s="7"/>
      <c r="BT871" s="7"/>
    </row>
    <row r="872" spans="58:72" x14ac:dyDescent="0.55000000000000004">
      <c r="BF872" s="7"/>
      <c r="BM872" s="7"/>
      <c r="BT872" s="7"/>
    </row>
    <row r="873" spans="58:72" x14ac:dyDescent="0.55000000000000004">
      <c r="BF873" s="7"/>
      <c r="BM873" s="7"/>
      <c r="BT873" s="7"/>
    </row>
    <row r="874" spans="58:72" x14ac:dyDescent="0.55000000000000004">
      <c r="BF874" s="7"/>
      <c r="BM874" s="7"/>
      <c r="BT874" s="7"/>
    </row>
    <row r="875" spans="58:72" x14ac:dyDescent="0.55000000000000004">
      <c r="BF875" s="7"/>
      <c r="BM875" s="7"/>
      <c r="BT875" s="7"/>
    </row>
    <row r="876" spans="58:72" x14ac:dyDescent="0.55000000000000004">
      <c r="BF876" s="7"/>
      <c r="BM876" s="7"/>
      <c r="BT876" s="7"/>
    </row>
    <row r="877" spans="58:72" x14ac:dyDescent="0.55000000000000004">
      <c r="BF877" s="7"/>
      <c r="BM877" s="7"/>
      <c r="BT877" s="7"/>
    </row>
    <row r="878" spans="58:72" x14ac:dyDescent="0.55000000000000004">
      <c r="BF878" s="7"/>
      <c r="BM878" s="7"/>
      <c r="BT878" s="7"/>
    </row>
    <row r="879" spans="58:72" x14ac:dyDescent="0.55000000000000004">
      <c r="BF879" s="7"/>
      <c r="BM879" s="7"/>
      <c r="BT879" s="7"/>
    </row>
    <row r="880" spans="58:72" x14ac:dyDescent="0.55000000000000004">
      <c r="BF880" s="7"/>
      <c r="BM880" s="7"/>
      <c r="BT880" s="7"/>
    </row>
    <row r="881" spans="58:72" x14ac:dyDescent="0.55000000000000004">
      <c r="BF881" s="7"/>
      <c r="BM881" s="7"/>
      <c r="BT881" s="7"/>
    </row>
    <row r="882" spans="58:72" x14ac:dyDescent="0.55000000000000004">
      <c r="BF882" s="7"/>
      <c r="BM882" s="7"/>
      <c r="BT882" s="7"/>
    </row>
    <row r="883" spans="58:72" x14ac:dyDescent="0.55000000000000004">
      <c r="BF883" s="7"/>
      <c r="BM883" s="7"/>
      <c r="BT883" s="7"/>
    </row>
    <row r="884" spans="58:72" x14ac:dyDescent="0.55000000000000004">
      <c r="BF884" s="7"/>
      <c r="BM884" s="7"/>
      <c r="BT884" s="7"/>
    </row>
    <row r="885" spans="58:72" x14ac:dyDescent="0.55000000000000004">
      <c r="BF885" s="7"/>
      <c r="BM885" s="7"/>
      <c r="BT885" s="7"/>
    </row>
    <row r="886" spans="58:72" x14ac:dyDescent="0.55000000000000004">
      <c r="BF886" s="7"/>
      <c r="BM886" s="7"/>
      <c r="BT886" s="7"/>
    </row>
    <row r="887" spans="58:72" x14ac:dyDescent="0.55000000000000004">
      <c r="BF887" s="7"/>
      <c r="BM887" s="7"/>
      <c r="BT887" s="7"/>
    </row>
    <row r="888" spans="58:72" x14ac:dyDescent="0.55000000000000004">
      <c r="BF888" s="7"/>
      <c r="BM888" s="7"/>
      <c r="BT888" s="7"/>
    </row>
    <row r="889" spans="58:72" x14ac:dyDescent="0.55000000000000004">
      <c r="BF889" s="7"/>
      <c r="BM889" s="7"/>
      <c r="BT889" s="7"/>
    </row>
    <row r="890" spans="58:72" x14ac:dyDescent="0.55000000000000004">
      <c r="BF890" s="7"/>
      <c r="BM890" s="7"/>
      <c r="BT890" s="7"/>
    </row>
    <row r="891" spans="58:72" x14ac:dyDescent="0.55000000000000004">
      <c r="BF891" s="7"/>
      <c r="BM891" s="7"/>
      <c r="BT891" s="7"/>
    </row>
    <row r="892" spans="58:72" x14ac:dyDescent="0.55000000000000004">
      <c r="BF892" s="7"/>
      <c r="BM892" s="7"/>
      <c r="BT892" s="7"/>
    </row>
    <row r="893" spans="58:72" x14ac:dyDescent="0.55000000000000004">
      <c r="BF893" s="7"/>
      <c r="BM893" s="7"/>
      <c r="BT893" s="7"/>
    </row>
    <row r="894" spans="58:72" x14ac:dyDescent="0.55000000000000004">
      <c r="BF894" s="7"/>
      <c r="BM894" s="7"/>
      <c r="BT894" s="7"/>
    </row>
    <row r="895" spans="58:72" x14ac:dyDescent="0.55000000000000004">
      <c r="BF895" s="7"/>
      <c r="BM895" s="7"/>
      <c r="BT895" s="7"/>
    </row>
    <row r="896" spans="58:72" x14ac:dyDescent="0.55000000000000004">
      <c r="BF896" s="7"/>
      <c r="BM896" s="7"/>
      <c r="BT896" s="7"/>
    </row>
    <row r="897" spans="58:72" x14ac:dyDescent="0.55000000000000004">
      <c r="BF897" s="7"/>
      <c r="BM897" s="7"/>
      <c r="BT897" s="7"/>
    </row>
    <row r="898" spans="58:72" x14ac:dyDescent="0.55000000000000004">
      <c r="BF898" s="7"/>
      <c r="BM898" s="7"/>
      <c r="BT898" s="7"/>
    </row>
    <row r="899" spans="58:72" x14ac:dyDescent="0.55000000000000004">
      <c r="BF899" s="7"/>
      <c r="BM899" s="7"/>
      <c r="BT899" s="7"/>
    </row>
    <row r="900" spans="58:72" x14ac:dyDescent="0.55000000000000004">
      <c r="BF900" s="7"/>
      <c r="BM900" s="7"/>
      <c r="BT900" s="7"/>
    </row>
    <row r="901" spans="58:72" x14ac:dyDescent="0.55000000000000004">
      <c r="BF901" s="7"/>
      <c r="BM901" s="7"/>
      <c r="BT901" s="7"/>
    </row>
    <row r="902" spans="58:72" x14ac:dyDescent="0.55000000000000004">
      <c r="BF902" s="7"/>
      <c r="BM902" s="7"/>
      <c r="BT902" s="7"/>
    </row>
    <row r="903" spans="58:72" x14ac:dyDescent="0.55000000000000004">
      <c r="BF903" s="7"/>
      <c r="BM903" s="7"/>
      <c r="BT903" s="7"/>
    </row>
    <row r="904" spans="58:72" x14ac:dyDescent="0.55000000000000004">
      <c r="BF904" s="7"/>
      <c r="BM904" s="7"/>
      <c r="BT904" s="7"/>
    </row>
    <row r="905" spans="58:72" x14ac:dyDescent="0.55000000000000004">
      <c r="BF905" s="7"/>
      <c r="BM905" s="7"/>
      <c r="BT905" s="7"/>
    </row>
    <row r="906" spans="58:72" x14ac:dyDescent="0.55000000000000004">
      <c r="BF906" s="7"/>
      <c r="BM906" s="7"/>
      <c r="BT906" s="7"/>
    </row>
    <row r="907" spans="58:72" x14ac:dyDescent="0.55000000000000004">
      <c r="BF907" s="7"/>
      <c r="BM907" s="7"/>
      <c r="BT907" s="7"/>
    </row>
    <row r="908" spans="58:72" x14ac:dyDescent="0.55000000000000004">
      <c r="BF908" s="7"/>
      <c r="BM908" s="7"/>
      <c r="BT908" s="7"/>
    </row>
    <row r="909" spans="58:72" x14ac:dyDescent="0.55000000000000004">
      <c r="BF909" s="7"/>
      <c r="BM909" s="7"/>
      <c r="BT909" s="7"/>
    </row>
    <row r="910" spans="58:72" x14ac:dyDescent="0.55000000000000004">
      <c r="BF910" s="7"/>
      <c r="BM910" s="7"/>
      <c r="BT910" s="7"/>
    </row>
    <row r="911" spans="58:72" x14ac:dyDescent="0.55000000000000004">
      <c r="BF911" s="7"/>
      <c r="BM911" s="7"/>
      <c r="BT911" s="7"/>
    </row>
    <row r="912" spans="58:72" x14ac:dyDescent="0.55000000000000004">
      <c r="BF912" s="7"/>
      <c r="BM912" s="7"/>
      <c r="BT912" s="7"/>
    </row>
    <row r="913" spans="58:72" x14ac:dyDescent="0.55000000000000004">
      <c r="BF913" s="7"/>
      <c r="BM913" s="7"/>
      <c r="BT913" s="7"/>
    </row>
    <row r="914" spans="58:72" x14ac:dyDescent="0.55000000000000004">
      <c r="BF914" s="7"/>
      <c r="BM914" s="7"/>
      <c r="BT914" s="7"/>
    </row>
    <row r="915" spans="58:72" x14ac:dyDescent="0.55000000000000004">
      <c r="BF915" s="7"/>
      <c r="BM915" s="7"/>
      <c r="BT915" s="7"/>
    </row>
    <row r="916" spans="58:72" x14ac:dyDescent="0.55000000000000004">
      <c r="BF916" s="7"/>
      <c r="BM916" s="7"/>
      <c r="BT916" s="7"/>
    </row>
    <row r="917" spans="58:72" x14ac:dyDescent="0.55000000000000004">
      <c r="BF917" s="7"/>
      <c r="BM917" s="7"/>
      <c r="BT917" s="7"/>
    </row>
    <row r="918" spans="58:72" x14ac:dyDescent="0.55000000000000004">
      <c r="BF918" s="7"/>
      <c r="BM918" s="7"/>
      <c r="BT918" s="7"/>
    </row>
    <row r="919" spans="58:72" x14ac:dyDescent="0.55000000000000004">
      <c r="BF919" s="7"/>
      <c r="BM919" s="7"/>
      <c r="BT919" s="7"/>
    </row>
    <row r="920" spans="58:72" x14ac:dyDescent="0.55000000000000004">
      <c r="BF920" s="7"/>
      <c r="BM920" s="7"/>
      <c r="BT920" s="7"/>
    </row>
    <row r="921" spans="58:72" x14ac:dyDescent="0.55000000000000004">
      <c r="BF921" s="7"/>
      <c r="BM921" s="7"/>
      <c r="BT921" s="7"/>
    </row>
    <row r="922" spans="58:72" x14ac:dyDescent="0.55000000000000004">
      <c r="BF922" s="7"/>
      <c r="BM922" s="7"/>
      <c r="BT922" s="7"/>
    </row>
    <row r="923" spans="58:72" x14ac:dyDescent="0.55000000000000004">
      <c r="BF923" s="7"/>
      <c r="BM923" s="7"/>
      <c r="BT923" s="7"/>
    </row>
    <row r="924" spans="58:72" x14ac:dyDescent="0.55000000000000004">
      <c r="BF924" s="7"/>
      <c r="BM924" s="7"/>
      <c r="BT924" s="7"/>
    </row>
    <row r="925" spans="58:72" x14ac:dyDescent="0.55000000000000004">
      <c r="BF925" s="7"/>
      <c r="BM925" s="7"/>
      <c r="BT925" s="7"/>
    </row>
    <row r="926" spans="58:72" x14ac:dyDescent="0.55000000000000004">
      <c r="BF926" s="7"/>
      <c r="BM926" s="7"/>
      <c r="BT926" s="7"/>
    </row>
    <row r="927" spans="58:72" x14ac:dyDescent="0.55000000000000004">
      <c r="BF927" s="7"/>
      <c r="BM927" s="7"/>
      <c r="BT927" s="7"/>
    </row>
    <row r="928" spans="58:72" x14ac:dyDescent="0.55000000000000004">
      <c r="BF928" s="7"/>
      <c r="BM928" s="7"/>
      <c r="BT928" s="7"/>
    </row>
    <row r="929" spans="58:72" x14ac:dyDescent="0.55000000000000004">
      <c r="BF929" s="7"/>
      <c r="BM929" s="7"/>
      <c r="BT929" s="7"/>
    </row>
    <row r="930" spans="58:72" x14ac:dyDescent="0.55000000000000004">
      <c r="BF930" s="7"/>
      <c r="BM930" s="7"/>
      <c r="BT930" s="7"/>
    </row>
    <row r="931" spans="58:72" x14ac:dyDescent="0.55000000000000004">
      <c r="BF931" s="7"/>
      <c r="BM931" s="7"/>
      <c r="BT931" s="7"/>
    </row>
    <row r="932" spans="58:72" x14ac:dyDescent="0.55000000000000004">
      <c r="BF932" s="7"/>
      <c r="BM932" s="7"/>
      <c r="BT932" s="7"/>
    </row>
    <row r="933" spans="58:72" x14ac:dyDescent="0.55000000000000004">
      <c r="BF933" s="7"/>
      <c r="BM933" s="7"/>
      <c r="BT933" s="7"/>
    </row>
    <row r="934" spans="58:72" x14ac:dyDescent="0.55000000000000004">
      <c r="BF934" s="7"/>
      <c r="BM934" s="7"/>
      <c r="BT934" s="7"/>
    </row>
    <row r="935" spans="58:72" x14ac:dyDescent="0.55000000000000004">
      <c r="BF935" s="7"/>
      <c r="BM935" s="7"/>
      <c r="BT935" s="7"/>
    </row>
    <row r="936" spans="58:72" x14ac:dyDescent="0.55000000000000004">
      <c r="BF936" s="7"/>
      <c r="BM936" s="7"/>
      <c r="BT936" s="7"/>
    </row>
    <row r="937" spans="58:72" x14ac:dyDescent="0.55000000000000004">
      <c r="BF937" s="7"/>
      <c r="BM937" s="7"/>
      <c r="BT937" s="7"/>
    </row>
    <row r="938" spans="58:72" x14ac:dyDescent="0.55000000000000004">
      <c r="BF938" s="7"/>
      <c r="BM938" s="7"/>
      <c r="BT938" s="7"/>
    </row>
    <row r="939" spans="58:72" x14ac:dyDescent="0.55000000000000004">
      <c r="BF939" s="7"/>
      <c r="BM939" s="7"/>
      <c r="BT939" s="7"/>
    </row>
    <row r="940" spans="58:72" x14ac:dyDescent="0.55000000000000004">
      <c r="BF940" s="7"/>
      <c r="BM940" s="7"/>
      <c r="BT940" s="7"/>
    </row>
    <row r="941" spans="58:72" x14ac:dyDescent="0.55000000000000004">
      <c r="BF941" s="7"/>
      <c r="BM941" s="7"/>
      <c r="BT941" s="7"/>
    </row>
    <row r="942" spans="58:72" x14ac:dyDescent="0.55000000000000004">
      <c r="BF942" s="7"/>
      <c r="BM942" s="7"/>
      <c r="BT942" s="7"/>
    </row>
    <row r="943" spans="58:72" x14ac:dyDescent="0.55000000000000004">
      <c r="BF943" s="7"/>
      <c r="BM943" s="7"/>
      <c r="BT943" s="7"/>
    </row>
    <row r="944" spans="58:72" x14ac:dyDescent="0.55000000000000004">
      <c r="BF944" s="7"/>
      <c r="BM944" s="7"/>
      <c r="BT944" s="7"/>
    </row>
    <row r="945" spans="58:72" x14ac:dyDescent="0.55000000000000004">
      <c r="BF945" s="7"/>
      <c r="BM945" s="7"/>
      <c r="BT945" s="7"/>
    </row>
    <row r="946" spans="58:72" x14ac:dyDescent="0.55000000000000004">
      <c r="BF946" s="7"/>
      <c r="BM946" s="7"/>
      <c r="BT946" s="7"/>
    </row>
    <row r="947" spans="58:72" x14ac:dyDescent="0.55000000000000004">
      <c r="BF947" s="7"/>
      <c r="BM947" s="7"/>
      <c r="BT947" s="7"/>
    </row>
    <row r="948" spans="58:72" x14ac:dyDescent="0.55000000000000004">
      <c r="BF948" s="7"/>
      <c r="BM948" s="7"/>
      <c r="BT948" s="7"/>
    </row>
    <row r="949" spans="58:72" x14ac:dyDescent="0.55000000000000004">
      <c r="BF949" s="7"/>
      <c r="BM949" s="7"/>
      <c r="BT949" s="7"/>
    </row>
    <row r="950" spans="58:72" x14ac:dyDescent="0.55000000000000004">
      <c r="BF950" s="7"/>
      <c r="BM950" s="7"/>
      <c r="BT950" s="7"/>
    </row>
    <row r="951" spans="58:72" x14ac:dyDescent="0.55000000000000004">
      <c r="BF951" s="7"/>
      <c r="BM951" s="7"/>
      <c r="BT951" s="7"/>
    </row>
    <row r="952" spans="58:72" x14ac:dyDescent="0.55000000000000004">
      <c r="BF952" s="7"/>
      <c r="BM952" s="7"/>
      <c r="BT952" s="7"/>
    </row>
    <row r="953" spans="58:72" x14ac:dyDescent="0.55000000000000004">
      <c r="BF953" s="7"/>
      <c r="BM953" s="7"/>
      <c r="BT953" s="7"/>
    </row>
    <row r="954" spans="58:72" x14ac:dyDescent="0.55000000000000004">
      <c r="BF954" s="7"/>
      <c r="BM954" s="7"/>
      <c r="BT954" s="7"/>
    </row>
    <row r="955" spans="58:72" x14ac:dyDescent="0.55000000000000004">
      <c r="BF955" s="7"/>
      <c r="BM955" s="7"/>
      <c r="BT955" s="7"/>
    </row>
    <row r="956" spans="58:72" x14ac:dyDescent="0.55000000000000004">
      <c r="BF956" s="7"/>
      <c r="BM956" s="7"/>
      <c r="BT956" s="7"/>
    </row>
    <row r="957" spans="58:72" x14ac:dyDescent="0.55000000000000004">
      <c r="BF957" s="7"/>
      <c r="BM957" s="7"/>
      <c r="BT957" s="7"/>
    </row>
    <row r="958" spans="58:72" x14ac:dyDescent="0.55000000000000004">
      <c r="BF958" s="7"/>
      <c r="BM958" s="7"/>
      <c r="BT958" s="7"/>
    </row>
    <row r="959" spans="58:72" x14ac:dyDescent="0.55000000000000004">
      <c r="BF959" s="7"/>
      <c r="BM959" s="7"/>
      <c r="BT959" s="7"/>
    </row>
    <row r="960" spans="58:72" x14ac:dyDescent="0.55000000000000004">
      <c r="BF960" s="7"/>
      <c r="BM960" s="7"/>
      <c r="BT960" s="7"/>
    </row>
    <row r="961" spans="58:72" x14ac:dyDescent="0.55000000000000004">
      <c r="BF961" s="7"/>
      <c r="BM961" s="7"/>
      <c r="BT961" s="7"/>
    </row>
    <row r="962" spans="58:72" x14ac:dyDescent="0.55000000000000004">
      <c r="BF962" s="7"/>
      <c r="BM962" s="7"/>
      <c r="BT962" s="7"/>
    </row>
    <row r="963" spans="58:72" x14ac:dyDescent="0.55000000000000004">
      <c r="BF963" s="7"/>
      <c r="BM963" s="7"/>
      <c r="BT963" s="7"/>
    </row>
    <row r="964" spans="58:72" x14ac:dyDescent="0.55000000000000004">
      <c r="BF964" s="7"/>
      <c r="BM964" s="7"/>
      <c r="BT964" s="7"/>
    </row>
    <row r="965" spans="58:72" x14ac:dyDescent="0.55000000000000004">
      <c r="BF965" s="7"/>
      <c r="BM965" s="7"/>
      <c r="BT965" s="7"/>
    </row>
    <row r="966" spans="58:72" x14ac:dyDescent="0.55000000000000004">
      <c r="BF966" s="7"/>
      <c r="BM966" s="7"/>
      <c r="BT966" s="7"/>
    </row>
    <row r="967" spans="58:72" x14ac:dyDescent="0.55000000000000004">
      <c r="BF967" s="7"/>
      <c r="BM967" s="7"/>
      <c r="BT967" s="7"/>
    </row>
    <row r="968" spans="58:72" x14ac:dyDescent="0.55000000000000004">
      <c r="BF968" s="7"/>
      <c r="BM968" s="7"/>
      <c r="BT968" s="7"/>
    </row>
    <row r="969" spans="58:72" x14ac:dyDescent="0.55000000000000004">
      <c r="BF969" s="7"/>
      <c r="BM969" s="7"/>
      <c r="BT969" s="7"/>
    </row>
    <row r="970" spans="58:72" x14ac:dyDescent="0.55000000000000004">
      <c r="BF970" s="7"/>
      <c r="BM970" s="7"/>
      <c r="BT970" s="7"/>
    </row>
    <row r="971" spans="58:72" x14ac:dyDescent="0.55000000000000004">
      <c r="BF971" s="7"/>
      <c r="BM971" s="7"/>
      <c r="BT971" s="7"/>
    </row>
    <row r="972" spans="58:72" x14ac:dyDescent="0.55000000000000004">
      <c r="BF972" s="7"/>
      <c r="BM972" s="7"/>
      <c r="BT972" s="7"/>
    </row>
    <row r="973" spans="58:72" x14ac:dyDescent="0.55000000000000004">
      <c r="BF973" s="7"/>
      <c r="BM973" s="7"/>
      <c r="BT973" s="7"/>
    </row>
    <row r="974" spans="58:72" x14ac:dyDescent="0.55000000000000004">
      <c r="BF974" s="7"/>
      <c r="BM974" s="7"/>
      <c r="BT974" s="7"/>
    </row>
    <row r="975" spans="58:72" x14ac:dyDescent="0.55000000000000004">
      <c r="BF975" s="7"/>
      <c r="BM975" s="7"/>
      <c r="BT975" s="7"/>
    </row>
    <row r="976" spans="58:72" x14ac:dyDescent="0.55000000000000004">
      <c r="BF976" s="7"/>
      <c r="BM976" s="7"/>
      <c r="BT976" s="7"/>
    </row>
    <row r="977" spans="58:72" x14ac:dyDescent="0.55000000000000004">
      <c r="BF977" s="7"/>
      <c r="BM977" s="7"/>
      <c r="BT977" s="7"/>
    </row>
    <row r="978" spans="58:72" x14ac:dyDescent="0.55000000000000004">
      <c r="BF978" s="7"/>
      <c r="BM978" s="7"/>
      <c r="BT978" s="7"/>
    </row>
    <row r="979" spans="58:72" x14ac:dyDescent="0.55000000000000004">
      <c r="BF979" s="7"/>
      <c r="BM979" s="7"/>
      <c r="BT979" s="7"/>
    </row>
    <row r="980" spans="58:72" x14ac:dyDescent="0.55000000000000004">
      <c r="BF980" s="7"/>
      <c r="BM980" s="7"/>
      <c r="BT980" s="7"/>
    </row>
    <row r="981" spans="58:72" x14ac:dyDescent="0.55000000000000004">
      <c r="BF981" s="7"/>
      <c r="BM981" s="7"/>
      <c r="BT981" s="7"/>
    </row>
    <row r="982" spans="58:72" x14ac:dyDescent="0.55000000000000004">
      <c r="BF982" s="7"/>
      <c r="BM982" s="7"/>
      <c r="BT982" s="7"/>
    </row>
    <row r="983" spans="58:72" x14ac:dyDescent="0.55000000000000004">
      <c r="BF983" s="7"/>
      <c r="BM983" s="7"/>
      <c r="BT983" s="7"/>
    </row>
    <row r="984" spans="58:72" x14ac:dyDescent="0.55000000000000004">
      <c r="BF984" s="7"/>
      <c r="BM984" s="7"/>
      <c r="BT984" s="7"/>
    </row>
    <row r="985" spans="58:72" x14ac:dyDescent="0.55000000000000004">
      <c r="BF985" s="7"/>
      <c r="BM985" s="7"/>
      <c r="BT985" s="7"/>
    </row>
    <row r="986" spans="58:72" x14ac:dyDescent="0.55000000000000004">
      <c r="BF986" s="7"/>
      <c r="BM986" s="7"/>
      <c r="BT986" s="7"/>
    </row>
    <row r="987" spans="58:72" x14ac:dyDescent="0.55000000000000004">
      <c r="BF987" s="7"/>
      <c r="BM987" s="7"/>
      <c r="BT987" s="7"/>
    </row>
    <row r="988" spans="58:72" x14ac:dyDescent="0.55000000000000004">
      <c r="BF988" s="7"/>
      <c r="BM988" s="7"/>
      <c r="BT988" s="7"/>
    </row>
    <row r="989" spans="58:72" x14ac:dyDescent="0.55000000000000004">
      <c r="BF989" s="7"/>
      <c r="BM989" s="7"/>
      <c r="BT989" s="7"/>
    </row>
    <row r="990" spans="58:72" x14ac:dyDescent="0.55000000000000004">
      <c r="BF990" s="7"/>
      <c r="BM990" s="7"/>
      <c r="BT990" s="7"/>
    </row>
    <row r="991" spans="58:72" x14ac:dyDescent="0.55000000000000004">
      <c r="BF991" s="7"/>
      <c r="BM991" s="7"/>
      <c r="BT991" s="7"/>
    </row>
    <row r="992" spans="58:72" x14ac:dyDescent="0.55000000000000004">
      <c r="BF992" s="7"/>
      <c r="BM992" s="7"/>
      <c r="BT992" s="7"/>
    </row>
    <row r="993" spans="58:72" x14ac:dyDescent="0.55000000000000004">
      <c r="BF993" s="7"/>
      <c r="BM993" s="7"/>
      <c r="BT993" s="7"/>
    </row>
    <row r="994" spans="58:72" x14ac:dyDescent="0.55000000000000004">
      <c r="BF994" s="7"/>
      <c r="BM994" s="7"/>
      <c r="BT994" s="7"/>
    </row>
    <row r="995" spans="58:72" x14ac:dyDescent="0.55000000000000004">
      <c r="BF995" s="7"/>
      <c r="BM995" s="7"/>
      <c r="BT995" s="7"/>
    </row>
    <row r="996" spans="58:72" x14ac:dyDescent="0.55000000000000004">
      <c r="BF996" s="7"/>
      <c r="BM996" s="7"/>
      <c r="BT996" s="7"/>
    </row>
    <row r="997" spans="58:72" x14ac:dyDescent="0.55000000000000004">
      <c r="BF997" s="7"/>
      <c r="BM997" s="7"/>
      <c r="BT997" s="7"/>
    </row>
    <row r="998" spans="58:72" x14ac:dyDescent="0.55000000000000004">
      <c r="BF998" s="7"/>
      <c r="BM998" s="7"/>
      <c r="BT998" s="7"/>
    </row>
    <row r="999" spans="58:72" x14ac:dyDescent="0.55000000000000004">
      <c r="BF999" s="7"/>
      <c r="BM999" s="7"/>
      <c r="BT999" s="7"/>
    </row>
    <row r="1000" spans="58:72" x14ac:dyDescent="0.55000000000000004">
      <c r="BF1000" s="7"/>
      <c r="BM1000" s="7"/>
      <c r="BT1000" s="7"/>
    </row>
    <row r="1001" spans="58:72" x14ac:dyDescent="0.55000000000000004">
      <c r="BF1001" s="7"/>
      <c r="BM1001" s="7"/>
      <c r="BT1001" s="7"/>
    </row>
    <row r="1002" spans="58:72" x14ac:dyDescent="0.55000000000000004">
      <c r="BF1002" s="7"/>
      <c r="BM1002" s="7"/>
      <c r="BT1002" s="7"/>
    </row>
    <row r="1003" spans="58:72" x14ac:dyDescent="0.55000000000000004">
      <c r="BF1003" s="7"/>
      <c r="BM1003" s="7"/>
      <c r="BT1003" s="7"/>
    </row>
    <row r="1004" spans="58:72" x14ac:dyDescent="0.55000000000000004">
      <c r="BF1004" s="7"/>
      <c r="BM1004" s="7"/>
      <c r="BT1004" s="7"/>
    </row>
    <row r="1005" spans="58:72" x14ac:dyDescent="0.55000000000000004">
      <c r="BF1005" s="7"/>
      <c r="BM1005" s="7"/>
      <c r="BT1005" s="7"/>
    </row>
    <row r="1006" spans="58:72" x14ac:dyDescent="0.55000000000000004">
      <c r="BF1006" s="7"/>
      <c r="BM1006" s="7"/>
      <c r="BT1006" s="7"/>
    </row>
    <row r="1007" spans="58:72" x14ac:dyDescent="0.55000000000000004">
      <c r="BF1007" s="7"/>
      <c r="BM1007" s="7"/>
      <c r="BT1007" s="7"/>
    </row>
    <row r="1008" spans="58:72" x14ac:dyDescent="0.55000000000000004">
      <c r="BF1008" s="7"/>
      <c r="BM1008" s="7"/>
      <c r="BT1008" s="7"/>
    </row>
    <row r="1009" spans="58:72" x14ac:dyDescent="0.55000000000000004">
      <c r="BF1009" s="7"/>
      <c r="BM1009" s="7"/>
      <c r="BT1009" s="7"/>
    </row>
    <row r="1010" spans="58:72" x14ac:dyDescent="0.55000000000000004">
      <c r="BF1010" s="7"/>
      <c r="BM1010" s="7"/>
      <c r="BT1010" s="7"/>
    </row>
    <row r="1011" spans="58:72" x14ac:dyDescent="0.55000000000000004">
      <c r="BF1011" s="7"/>
      <c r="BM1011" s="7"/>
      <c r="BT1011" s="7"/>
    </row>
    <row r="1012" spans="58:72" x14ac:dyDescent="0.55000000000000004">
      <c r="BF1012" s="7"/>
      <c r="BM1012" s="7"/>
      <c r="BT1012" s="7"/>
    </row>
    <row r="1013" spans="58:72" x14ac:dyDescent="0.55000000000000004">
      <c r="BF1013" s="7"/>
      <c r="BM1013" s="7"/>
      <c r="BT1013" s="7"/>
    </row>
    <row r="1014" spans="58:72" x14ac:dyDescent="0.55000000000000004">
      <c r="BF1014" s="7"/>
      <c r="BM1014" s="7"/>
      <c r="BT1014" s="7"/>
    </row>
    <row r="1015" spans="58:72" x14ac:dyDescent="0.55000000000000004">
      <c r="BF1015" s="7"/>
      <c r="BM1015" s="7"/>
      <c r="BT1015" s="7"/>
    </row>
    <row r="1016" spans="58:72" x14ac:dyDescent="0.55000000000000004">
      <c r="BF1016" s="7"/>
      <c r="BM1016" s="7"/>
      <c r="BT1016" s="7"/>
    </row>
    <row r="1017" spans="58:72" x14ac:dyDescent="0.55000000000000004">
      <c r="BF1017" s="7"/>
      <c r="BM1017" s="7"/>
      <c r="BT1017" s="7"/>
    </row>
    <row r="1018" spans="58:72" x14ac:dyDescent="0.55000000000000004">
      <c r="BF1018" s="7"/>
      <c r="BM1018" s="7"/>
      <c r="BT1018" s="7"/>
    </row>
    <row r="1019" spans="58:72" x14ac:dyDescent="0.55000000000000004">
      <c r="BF1019" s="7"/>
      <c r="BM1019" s="7"/>
      <c r="BT1019" s="7"/>
    </row>
    <row r="1020" spans="58:72" x14ac:dyDescent="0.55000000000000004">
      <c r="BF1020" s="7"/>
      <c r="BM1020" s="7"/>
      <c r="BT1020" s="7"/>
    </row>
    <row r="1021" spans="58:72" x14ac:dyDescent="0.55000000000000004">
      <c r="BF1021" s="7"/>
      <c r="BM1021" s="7"/>
      <c r="BT1021" s="7"/>
    </row>
    <row r="1022" spans="58:72" x14ac:dyDescent="0.55000000000000004">
      <c r="BF1022" s="7"/>
      <c r="BM1022" s="7"/>
      <c r="BT1022" s="7"/>
    </row>
    <row r="1023" spans="58:72" x14ac:dyDescent="0.55000000000000004">
      <c r="BF1023" s="7"/>
      <c r="BM1023" s="7"/>
      <c r="BT1023" s="7"/>
    </row>
    <row r="1024" spans="58:72" x14ac:dyDescent="0.55000000000000004">
      <c r="BF1024" s="7"/>
      <c r="BM1024" s="7"/>
      <c r="BT1024" s="7"/>
    </row>
    <row r="1025" spans="58:72" x14ac:dyDescent="0.55000000000000004">
      <c r="BF1025" s="7"/>
      <c r="BM1025" s="7"/>
      <c r="BT1025" s="7"/>
    </row>
    <row r="1026" spans="58:72" x14ac:dyDescent="0.55000000000000004">
      <c r="BF1026" s="7"/>
      <c r="BM1026" s="7"/>
      <c r="BT1026" s="7"/>
    </row>
    <row r="1027" spans="58:72" x14ac:dyDescent="0.55000000000000004">
      <c r="BF1027" s="7"/>
      <c r="BM1027" s="7"/>
      <c r="BT1027" s="7"/>
    </row>
    <row r="1028" spans="58:72" x14ac:dyDescent="0.55000000000000004">
      <c r="BF1028" s="7"/>
      <c r="BM1028" s="7"/>
      <c r="BT1028" s="7"/>
    </row>
    <row r="1029" spans="58:72" x14ac:dyDescent="0.55000000000000004">
      <c r="BF1029" s="7"/>
      <c r="BM1029" s="7"/>
      <c r="BT1029" s="7"/>
    </row>
    <row r="1030" spans="58:72" x14ac:dyDescent="0.55000000000000004">
      <c r="BF1030" s="7"/>
      <c r="BM1030" s="7"/>
      <c r="BT1030" s="7"/>
    </row>
    <row r="1031" spans="58:72" x14ac:dyDescent="0.55000000000000004">
      <c r="BF1031" s="7"/>
      <c r="BM1031" s="7"/>
      <c r="BT1031" s="7"/>
    </row>
    <row r="1032" spans="58:72" x14ac:dyDescent="0.55000000000000004">
      <c r="BF1032" s="7"/>
      <c r="BM1032" s="7"/>
      <c r="BT1032" s="7"/>
    </row>
    <row r="1033" spans="58:72" x14ac:dyDescent="0.55000000000000004">
      <c r="BF1033" s="7"/>
      <c r="BM1033" s="7"/>
      <c r="BT1033" s="7"/>
    </row>
    <row r="1034" spans="58:72" x14ac:dyDescent="0.55000000000000004">
      <c r="BF1034" s="7"/>
      <c r="BM1034" s="7"/>
      <c r="BT1034" s="7"/>
    </row>
    <row r="1035" spans="58:72" x14ac:dyDescent="0.55000000000000004">
      <c r="BF1035" s="7"/>
      <c r="BM1035" s="7"/>
      <c r="BT1035" s="7"/>
    </row>
    <row r="1036" spans="58:72" x14ac:dyDescent="0.55000000000000004">
      <c r="BF1036" s="7"/>
      <c r="BM1036" s="7"/>
      <c r="BT1036" s="7"/>
    </row>
    <row r="1037" spans="58:72" x14ac:dyDescent="0.55000000000000004">
      <c r="BF1037" s="7"/>
      <c r="BM1037" s="7"/>
      <c r="BT1037" s="7"/>
    </row>
    <row r="1038" spans="58:72" x14ac:dyDescent="0.55000000000000004">
      <c r="BF1038" s="7"/>
      <c r="BM1038" s="7"/>
      <c r="BT1038" s="7"/>
    </row>
    <row r="1039" spans="58:72" x14ac:dyDescent="0.55000000000000004">
      <c r="BF1039" s="7"/>
      <c r="BM1039" s="7"/>
      <c r="BT1039" s="7"/>
    </row>
    <row r="1040" spans="58:72" x14ac:dyDescent="0.55000000000000004">
      <c r="BF1040" s="7"/>
      <c r="BM1040" s="7"/>
      <c r="BT1040" s="7"/>
    </row>
    <row r="1041" spans="58:72" x14ac:dyDescent="0.55000000000000004">
      <c r="BF1041" s="7"/>
      <c r="BM1041" s="7"/>
      <c r="BT1041" s="7"/>
    </row>
    <row r="1042" spans="58:72" x14ac:dyDescent="0.55000000000000004">
      <c r="BF1042" s="7"/>
      <c r="BM1042" s="7"/>
      <c r="BT1042" s="7"/>
    </row>
    <row r="1043" spans="58:72" x14ac:dyDescent="0.55000000000000004">
      <c r="BF1043" s="7"/>
      <c r="BM1043" s="7"/>
      <c r="BT1043" s="7"/>
    </row>
    <row r="1044" spans="58:72" x14ac:dyDescent="0.55000000000000004">
      <c r="BF1044" s="7"/>
      <c r="BM1044" s="7"/>
      <c r="BT1044" s="7"/>
    </row>
    <row r="1045" spans="58:72" x14ac:dyDescent="0.55000000000000004">
      <c r="BF1045" s="7"/>
      <c r="BM1045" s="7"/>
      <c r="BT1045" s="7"/>
    </row>
    <row r="1046" spans="58:72" x14ac:dyDescent="0.55000000000000004">
      <c r="BF1046" s="7"/>
      <c r="BM1046" s="7"/>
      <c r="BT1046" s="7"/>
    </row>
    <row r="1047" spans="58:72" x14ac:dyDescent="0.55000000000000004">
      <c r="BF1047" s="7"/>
      <c r="BM1047" s="7"/>
      <c r="BT1047" s="7"/>
    </row>
    <row r="1048" spans="58:72" x14ac:dyDescent="0.55000000000000004">
      <c r="BF1048" s="7"/>
      <c r="BM1048" s="7"/>
      <c r="BT1048" s="7"/>
    </row>
    <row r="1049" spans="58:72" x14ac:dyDescent="0.55000000000000004">
      <c r="BF1049" s="7"/>
      <c r="BM1049" s="7"/>
      <c r="BT1049" s="7"/>
    </row>
    <row r="1050" spans="58:72" x14ac:dyDescent="0.55000000000000004">
      <c r="BF1050" s="7"/>
      <c r="BM1050" s="7"/>
      <c r="BT1050" s="7"/>
    </row>
    <row r="1051" spans="58:72" x14ac:dyDescent="0.55000000000000004">
      <c r="BF1051" s="7"/>
      <c r="BM1051" s="7"/>
      <c r="BT1051" s="7"/>
    </row>
    <row r="1052" spans="58:72" x14ac:dyDescent="0.55000000000000004">
      <c r="BF1052" s="7"/>
      <c r="BM1052" s="7"/>
      <c r="BT1052" s="7"/>
    </row>
    <row r="1053" spans="58:72" x14ac:dyDescent="0.55000000000000004">
      <c r="BF1053" s="7"/>
      <c r="BM1053" s="7"/>
      <c r="BT1053" s="7"/>
    </row>
    <row r="1054" spans="58:72" x14ac:dyDescent="0.55000000000000004">
      <c r="BF1054" s="7"/>
      <c r="BM1054" s="7"/>
      <c r="BT1054" s="7"/>
    </row>
    <row r="1055" spans="58:72" x14ac:dyDescent="0.55000000000000004">
      <c r="BF1055" s="7"/>
      <c r="BM1055" s="7"/>
      <c r="BT1055" s="7"/>
    </row>
    <row r="1056" spans="58:72" x14ac:dyDescent="0.55000000000000004">
      <c r="BF1056" s="7"/>
      <c r="BM1056" s="7"/>
      <c r="BT1056" s="7"/>
    </row>
    <row r="1057" spans="58:72" x14ac:dyDescent="0.55000000000000004">
      <c r="BF1057" s="7"/>
      <c r="BM1057" s="7"/>
      <c r="BT1057" s="7"/>
    </row>
    <row r="1058" spans="58:72" x14ac:dyDescent="0.55000000000000004">
      <c r="BF1058" s="7"/>
      <c r="BM1058" s="7"/>
      <c r="BT1058" s="7"/>
    </row>
    <row r="1059" spans="58:72" x14ac:dyDescent="0.55000000000000004">
      <c r="BF1059" s="7"/>
      <c r="BM1059" s="7"/>
      <c r="BT1059" s="7"/>
    </row>
    <row r="1060" spans="58:72" x14ac:dyDescent="0.55000000000000004">
      <c r="BF1060" s="7"/>
      <c r="BM1060" s="7"/>
      <c r="BT1060" s="7"/>
    </row>
    <row r="1061" spans="58:72" x14ac:dyDescent="0.55000000000000004">
      <c r="BF1061" s="7"/>
      <c r="BM1061" s="7"/>
      <c r="BT1061" s="7"/>
    </row>
    <row r="1062" spans="58:72" x14ac:dyDescent="0.55000000000000004">
      <c r="BF1062" s="7"/>
      <c r="BM1062" s="7"/>
      <c r="BT1062" s="7"/>
    </row>
    <row r="1063" spans="58:72" x14ac:dyDescent="0.55000000000000004">
      <c r="BF1063" s="7"/>
      <c r="BM1063" s="7"/>
      <c r="BT1063" s="7"/>
    </row>
    <row r="1064" spans="58:72" x14ac:dyDescent="0.55000000000000004">
      <c r="BF1064" s="7"/>
      <c r="BM1064" s="7"/>
      <c r="BT1064" s="7"/>
    </row>
    <row r="1065" spans="58:72" x14ac:dyDescent="0.55000000000000004">
      <c r="BF1065" s="7"/>
      <c r="BM1065" s="7"/>
      <c r="BT1065" s="7"/>
    </row>
    <row r="1066" spans="58:72" x14ac:dyDescent="0.55000000000000004">
      <c r="BF1066" s="7"/>
      <c r="BM1066" s="7"/>
      <c r="BT1066" s="7"/>
    </row>
    <row r="1067" spans="58:72" x14ac:dyDescent="0.55000000000000004">
      <c r="BF1067" s="7"/>
      <c r="BM1067" s="7"/>
      <c r="BT1067" s="7"/>
    </row>
    <row r="1068" spans="58:72" x14ac:dyDescent="0.55000000000000004">
      <c r="BF1068" s="7"/>
      <c r="BM1068" s="7"/>
      <c r="BT1068" s="7"/>
    </row>
    <row r="1069" spans="58:72" x14ac:dyDescent="0.55000000000000004">
      <c r="BF1069" s="7"/>
      <c r="BM1069" s="7"/>
      <c r="BT1069" s="7"/>
    </row>
    <row r="1070" spans="58:72" x14ac:dyDescent="0.55000000000000004">
      <c r="BF1070" s="7"/>
      <c r="BM1070" s="7"/>
      <c r="BT1070" s="7"/>
    </row>
    <row r="1071" spans="58:72" x14ac:dyDescent="0.55000000000000004">
      <c r="BF1071" s="7"/>
      <c r="BM1071" s="7"/>
      <c r="BT1071" s="7"/>
    </row>
    <row r="1072" spans="58:72" x14ac:dyDescent="0.55000000000000004">
      <c r="BF1072" s="7"/>
      <c r="BM1072" s="7"/>
      <c r="BT1072" s="7"/>
    </row>
    <row r="1073" spans="58:72" x14ac:dyDescent="0.55000000000000004">
      <c r="BF1073" s="7"/>
      <c r="BM1073" s="7"/>
      <c r="BT1073" s="7"/>
    </row>
    <row r="1074" spans="58:72" x14ac:dyDescent="0.55000000000000004">
      <c r="BF1074" s="7"/>
      <c r="BM1074" s="7"/>
      <c r="BT1074" s="7"/>
    </row>
    <row r="1075" spans="58:72" x14ac:dyDescent="0.55000000000000004">
      <c r="BF1075" s="7"/>
      <c r="BM1075" s="7"/>
      <c r="BT1075" s="7"/>
    </row>
    <row r="1076" spans="58:72" x14ac:dyDescent="0.55000000000000004">
      <c r="BF1076" s="7"/>
      <c r="BM1076" s="7"/>
      <c r="BT1076" s="7"/>
    </row>
    <row r="1077" spans="58:72" x14ac:dyDescent="0.55000000000000004">
      <c r="BF1077" s="7"/>
      <c r="BM1077" s="7"/>
      <c r="BT1077" s="7"/>
    </row>
    <row r="1078" spans="58:72" x14ac:dyDescent="0.55000000000000004">
      <c r="BF1078" s="7"/>
      <c r="BM1078" s="7"/>
      <c r="BT1078" s="7"/>
    </row>
    <row r="1079" spans="58:72" x14ac:dyDescent="0.55000000000000004">
      <c r="BF1079" s="7"/>
      <c r="BM1079" s="7"/>
      <c r="BT1079" s="7"/>
    </row>
    <row r="1080" spans="58:72" x14ac:dyDescent="0.55000000000000004">
      <c r="BF1080" s="7"/>
      <c r="BM1080" s="7"/>
      <c r="BT1080" s="7"/>
    </row>
    <row r="1081" spans="58:72" x14ac:dyDescent="0.55000000000000004">
      <c r="BF1081" s="7"/>
      <c r="BM1081" s="7"/>
      <c r="BT1081" s="7"/>
    </row>
    <row r="1082" spans="58:72" x14ac:dyDescent="0.55000000000000004">
      <c r="BF1082" s="7"/>
      <c r="BM1082" s="7"/>
      <c r="BT1082" s="7"/>
    </row>
    <row r="1083" spans="58:72" x14ac:dyDescent="0.55000000000000004">
      <c r="BF1083" s="7"/>
      <c r="BM1083" s="7"/>
      <c r="BT1083" s="7"/>
    </row>
    <row r="1084" spans="58:72" x14ac:dyDescent="0.55000000000000004">
      <c r="BF1084" s="7"/>
      <c r="BM1084" s="7"/>
      <c r="BT1084" s="7"/>
    </row>
    <row r="1085" spans="58:72" x14ac:dyDescent="0.55000000000000004">
      <c r="BF1085" s="7"/>
      <c r="BM1085" s="7"/>
      <c r="BT1085" s="7"/>
    </row>
    <row r="1086" spans="58:72" x14ac:dyDescent="0.55000000000000004">
      <c r="BF1086" s="7"/>
      <c r="BM1086" s="7"/>
      <c r="BT1086" s="7"/>
    </row>
    <row r="1087" spans="58:72" x14ac:dyDescent="0.55000000000000004">
      <c r="BF1087" s="7"/>
      <c r="BM1087" s="7"/>
      <c r="BT1087" s="7"/>
    </row>
    <row r="1088" spans="58:72" x14ac:dyDescent="0.55000000000000004">
      <c r="BF1088" s="7"/>
      <c r="BM1088" s="7"/>
      <c r="BT1088" s="7"/>
    </row>
    <row r="1089" spans="58:72" x14ac:dyDescent="0.55000000000000004">
      <c r="BF1089" s="7"/>
      <c r="BM1089" s="7"/>
      <c r="BT1089" s="7"/>
    </row>
    <row r="1090" spans="58:72" x14ac:dyDescent="0.55000000000000004">
      <c r="BF1090" s="7"/>
      <c r="BM1090" s="7"/>
      <c r="BT1090" s="7"/>
    </row>
    <row r="1091" spans="58:72" x14ac:dyDescent="0.55000000000000004">
      <c r="BF1091" s="7"/>
      <c r="BM1091" s="7"/>
      <c r="BT1091" s="7"/>
    </row>
    <row r="1092" spans="58:72" x14ac:dyDescent="0.55000000000000004">
      <c r="BF1092" s="7"/>
      <c r="BM1092" s="7"/>
      <c r="BT1092" s="7"/>
    </row>
    <row r="1093" spans="58:72" x14ac:dyDescent="0.55000000000000004">
      <c r="BF1093" s="7"/>
      <c r="BM1093" s="7"/>
      <c r="BT1093" s="7"/>
    </row>
    <row r="1094" spans="58:72" x14ac:dyDescent="0.55000000000000004">
      <c r="BF1094" s="7"/>
      <c r="BM1094" s="7"/>
      <c r="BT1094" s="7"/>
    </row>
    <row r="1095" spans="58:72" x14ac:dyDescent="0.55000000000000004">
      <c r="BF1095" s="7"/>
      <c r="BM1095" s="7"/>
      <c r="BT1095" s="7"/>
    </row>
    <row r="1096" spans="58:72" x14ac:dyDescent="0.55000000000000004">
      <c r="BF1096" s="7"/>
      <c r="BM1096" s="7"/>
      <c r="BT1096" s="7"/>
    </row>
    <row r="1097" spans="58:72" x14ac:dyDescent="0.55000000000000004">
      <c r="BF1097" s="7"/>
      <c r="BM1097" s="7"/>
      <c r="BT1097" s="7"/>
    </row>
    <row r="1098" spans="58:72" x14ac:dyDescent="0.55000000000000004">
      <c r="BF1098" s="7"/>
      <c r="BM1098" s="7"/>
      <c r="BT1098" s="7"/>
    </row>
    <row r="1099" spans="58:72" x14ac:dyDescent="0.55000000000000004">
      <c r="BF1099" s="7"/>
      <c r="BM1099" s="7"/>
      <c r="BT1099" s="7"/>
    </row>
    <row r="1100" spans="58:72" x14ac:dyDescent="0.55000000000000004">
      <c r="BF1100" s="7"/>
      <c r="BM1100" s="7"/>
      <c r="BT1100" s="7"/>
    </row>
    <row r="1101" spans="58:72" x14ac:dyDescent="0.55000000000000004">
      <c r="BF1101" s="7"/>
      <c r="BM1101" s="7"/>
      <c r="BT1101" s="7"/>
    </row>
    <row r="1102" spans="58:72" x14ac:dyDescent="0.55000000000000004">
      <c r="BF1102" s="7"/>
      <c r="BM1102" s="7"/>
      <c r="BT1102" s="7"/>
    </row>
    <row r="1103" spans="58:72" x14ac:dyDescent="0.55000000000000004">
      <c r="BF1103" s="7"/>
      <c r="BM1103" s="7"/>
      <c r="BT1103" s="7"/>
    </row>
    <row r="1104" spans="58:72" x14ac:dyDescent="0.55000000000000004">
      <c r="BF1104" s="7"/>
      <c r="BM1104" s="7"/>
      <c r="BT1104" s="7"/>
    </row>
    <row r="1105" spans="58:72" x14ac:dyDescent="0.55000000000000004">
      <c r="BF1105" s="7"/>
      <c r="BM1105" s="7"/>
      <c r="BT1105" s="7"/>
    </row>
    <row r="1106" spans="58:72" x14ac:dyDescent="0.55000000000000004">
      <c r="BF1106" s="7"/>
      <c r="BM1106" s="7"/>
      <c r="BT1106" s="7"/>
    </row>
    <row r="1107" spans="58:72" x14ac:dyDescent="0.55000000000000004">
      <c r="BF1107" s="7"/>
      <c r="BM1107" s="7"/>
      <c r="BT1107" s="7"/>
    </row>
    <row r="1108" spans="58:72" x14ac:dyDescent="0.55000000000000004">
      <c r="BF1108" s="7"/>
      <c r="BM1108" s="7"/>
      <c r="BT1108" s="7"/>
    </row>
    <row r="1109" spans="58:72" x14ac:dyDescent="0.55000000000000004">
      <c r="BF1109" s="7"/>
      <c r="BM1109" s="7"/>
      <c r="BT1109" s="7"/>
    </row>
    <row r="1110" spans="58:72" x14ac:dyDescent="0.55000000000000004">
      <c r="BF1110" s="7"/>
      <c r="BM1110" s="7"/>
      <c r="BT1110" s="7"/>
    </row>
    <row r="1111" spans="58:72" x14ac:dyDescent="0.55000000000000004">
      <c r="BF1111" s="7"/>
      <c r="BM1111" s="7"/>
      <c r="BT1111" s="7"/>
    </row>
    <row r="1112" spans="58:72" x14ac:dyDescent="0.55000000000000004">
      <c r="BF1112" s="7"/>
      <c r="BM1112" s="7"/>
      <c r="BT1112" s="7"/>
    </row>
    <row r="1113" spans="58:72" x14ac:dyDescent="0.55000000000000004">
      <c r="BF1113" s="7"/>
      <c r="BM1113" s="7"/>
      <c r="BT1113" s="7"/>
    </row>
    <row r="1114" spans="58:72" x14ac:dyDescent="0.55000000000000004">
      <c r="BF1114" s="7"/>
      <c r="BM1114" s="7"/>
      <c r="BT1114" s="7"/>
    </row>
    <row r="1115" spans="58:72" x14ac:dyDescent="0.55000000000000004">
      <c r="BF1115" s="7"/>
      <c r="BM1115" s="7"/>
      <c r="BT1115" s="7"/>
    </row>
    <row r="1116" spans="58:72" x14ac:dyDescent="0.55000000000000004">
      <c r="BF1116" s="7"/>
      <c r="BM1116" s="7"/>
      <c r="BT1116" s="7"/>
    </row>
    <row r="1117" spans="58:72" x14ac:dyDescent="0.55000000000000004">
      <c r="BF1117" s="7"/>
      <c r="BM1117" s="7"/>
      <c r="BT1117" s="7"/>
    </row>
    <row r="1118" spans="58:72" x14ac:dyDescent="0.55000000000000004">
      <c r="BF1118" s="7"/>
      <c r="BM1118" s="7"/>
      <c r="BT1118" s="7"/>
    </row>
    <row r="1119" spans="58:72" x14ac:dyDescent="0.55000000000000004">
      <c r="BF1119" s="7"/>
      <c r="BM1119" s="7"/>
      <c r="BT1119" s="7"/>
    </row>
    <row r="1120" spans="58:72" x14ac:dyDescent="0.55000000000000004">
      <c r="BF1120" s="7"/>
      <c r="BM1120" s="7"/>
      <c r="BT1120" s="7"/>
    </row>
    <row r="1121" spans="58:72" x14ac:dyDescent="0.55000000000000004">
      <c r="BF1121" s="7"/>
      <c r="BM1121" s="7"/>
      <c r="BT1121" s="7"/>
    </row>
    <row r="1122" spans="58:72" x14ac:dyDescent="0.55000000000000004">
      <c r="BF1122" s="7"/>
      <c r="BM1122" s="7"/>
      <c r="BT1122" s="7"/>
    </row>
    <row r="1123" spans="58:72" x14ac:dyDescent="0.55000000000000004">
      <c r="BF1123" s="7"/>
      <c r="BM1123" s="7"/>
      <c r="BT1123" s="7"/>
    </row>
    <row r="1124" spans="58:72" x14ac:dyDescent="0.55000000000000004">
      <c r="BF1124" s="7"/>
      <c r="BM1124" s="7"/>
      <c r="BT1124" s="7"/>
    </row>
    <row r="1125" spans="58:72" x14ac:dyDescent="0.55000000000000004">
      <c r="BF1125" s="7"/>
      <c r="BM1125" s="7"/>
      <c r="BT1125" s="7"/>
    </row>
    <row r="1126" spans="58:72" x14ac:dyDescent="0.55000000000000004">
      <c r="BF1126" s="7"/>
      <c r="BM1126" s="7"/>
      <c r="BT1126" s="7"/>
    </row>
    <row r="1127" spans="58:72" x14ac:dyDescent="0.55000000000000004">
      <c r="BF1127" s="7"/>
      <c r="BM1127" s="7"/>
      <c r="BT1127" s="7"/>
    </row>
    <row r="1128" spans="58:72" x14ac:dyDescent="0.55000000000000004">
      <c r="BF1128" s="7"/>
      <c r="BM1128" s="7"/>
      <c r="BT1128" s="7"/>
    </row>
    <row r="1129" spans="58:72" x14ac:dyDescent="0.55000000000000004">
      <c r="BF1129" s="7"/>
      <c r="BM1129" s="7"/>
      <c r="BT1129" s="7"/>
    </row>
    <row r="1130" spans="58:72" x14ac:dyDescent="0.55000000000000004">
      <c r="BF1130" s="7"/>
      <c r="BM1130" s="7"/>
      <c r="BT1130" s="7"/>
    </row>
    <row r="1131" spans="58:72" x14ac:dyDescent="0.55000000000000004">
      <c r="BF1131" s="7"/>
      <c r="BM1131" s="7"/>
      <c r="BT1131" s="7"/>
    </row>
    <row r="1132" spans="58:72" x14ac:dyDescent="0.55000000000000004">
      <c r="BF1132" s="7"/>
      <c r="BM1132" s="7"/>
      <c r="BT1132" s="7"/>
    </row>
    <row r="1133" spans="58:72" x14ac:dyDescent="0.55000000000000004">
      <c r="BF1133" s="7"/>
      <c r="BM1133" s="7"/>
      <c r="BT1133" s="7"/>
    </row>
    <row r="1134" spans="58:72" x14ac:dyDescent="0.55000000000000004">
      <c r="BF1134" s="7"/>
      <c r="BM1134" s="7"/>
      <c r="BT1134" s="7"/>
    </row>
    <row r="1135" spans="58:72" x14ac:dyDescent="0.55000000000000004">
      <c r="BF1135" s="7"/>
      <c r="BM1135" s="7"/>
      <c r="BT1135" s="7"/>
    </row>
    <row r="1136" spans="58:72" x14ac:dyDescent="0.55000000000000004">
      <c r="BF1136" s="7"/>
      <c r="BM1136" s="7"/>
      <c r="BT1136" s="7"/>
    </row>
    <row r="1137" spans="58:72" x14ac:dyDescent="0.55000000000000004">
      <c r="BF1137" s="7"/>
      <c r="BM1137" s="7"/>
      <c r="BT1137" s="7"/>
    </row>
    <row r="1138" spans="58:72" x14ac:dyDescent="0.55000000000000004">
      <c r="BF1138" s="7"/>
      <c r="BM1138" s="7"/>
      <c r="BT1138" s="7"/>
    </row>
    <row r="1139" spans="58:72" x14ac:dyDescent="0.55000000000000004">
      <c r="BF1139" s="7"/>
      <c r="BM1139" s="7"/>
      <c r="BT1139" s="7"/>
    </row>
    <row r="1140" spans="58:72" x14ac:dyDescent="0.55000000000000004">
      <c r="BF1140" s="7"/>
      <c r="BM1140" s="7"/>
      <c r="BT1140" s="7"/>
    </row>
    <row r="1141" spans="58:72" x14ac:dyDescent="0.55000000000000004">
      <c r="BF1141" s="7"/>
      <c r="BM1141" s="7"/>
      <c r="BT1141" s="7"/>
    </row>
    <row r="1142" spans="58:72" x14ac:dyDescent="0.55000000000000004">
      <c r="BF1142" s="7"/>
      <c r="BM1142" s="7"/>
      <c r="BT1142" s="7"/>
    </row>
    <row r="1143" spans="58:72" x14ac:dyDescent="0.55000000000000004">
      <c r="BF1143" s="7"/>
      <c r="BM1143" s="7"/>
      <c r="BT1143" s="7"/>
    </row>
    <row r="1144" spans="58:72" x14ac:dyDescent="0.55000000000000004">
      <c r="BF1144" s="7"/>
      <c r="BM1144" s="7"/>
      <c r="BT1144" s="7"/>
    </row>
    <row r="1145" spans="58:72" x14ac:dyDescent="0.55000000000000004">
      <c r="BF1145" s="7"/>
      <c r="BM1145" s="7"/>
      <c r="BT1145" s="7"/>
    </row>
    <row r="1146" spans="58:72" x14ac:dyDescent="0.55000000000000004">
      <c r="BF1146" s="7"/>
      <c r="BM1146" s="7"/>
      <c r="BT1146" s="7"/>
    </row>
    <row r="1147" spans="58:72" x14ac:dyDescent="0.55000000000000004">
      <c r="BF1147" s="7"/>
      <c r="BM1147" s="7"/>
      <c r="BT1147" s="7"/>
    </row>
    <row r="1148" spans="58:72" x14ac:dyDescent="0.55000000000000004">
      <c r="BF1148" s="7"/>
      <c r="BM1148" s="7"/>
      <c r="BT1148" s="7"/>
    </row>
    <row r="1149" spans="58:72" x14ac:dyDescent="0.55000000000000004">
      <c r="BF1149" s="7"/>
      <c r="BM1149" s="7"/>
      <c r="BT1149" s="7"/>
    </row>
    <row r="1150" spans="58:72" x14ac:dyDescent="0.55000000000000004">
      <c r="BF1150" s="7"/>
      <c r="BM1150" s="7"/>
      <c r="BT1150" s="7"/>
    </row>
    <row r="1151" spans="58:72" x14ac:dyDescent="0.55000000000000004">
      <c r="BF1151" s="7"/>
      <c r="BM1151" s="7"/>
      <c r="BT1151" s="7"/>
    </row>
    <row r="1152" spans="58:72" x14ac:dyDescent="0.55000000000000004">
      <c r="BF1152" s="7"/>
      <c r="BM1152" s="7"/>
      <c r="BT1152" s="7"/>
    </row>
    <row r="1153" spans="58:72" x14ac:dyDescent="0.55000000000000004">
      <c r="BF1153" s="7"/>
      <c r="BM1153" s="7"/>
      <c r="BT1153" s="7"/>
    </row>
    <row r="1154" spans="58:72" x14ac:dyDescent="0.55000000000000004">
      <c r="BF1154" s="7"/>
      <c r="BM1154" s="7"/>
      <c r="BT1154" s="7"/>
    </row>
    <row r="1155" spans="58:72" x14ac:dyDescent="0.55000000000000004">
      <c r="BF1155" s="7"/>
      <c r="BM1155" s="7"/>
      <c r="BT1155" s="7"/>
    </row>
    <row r="1156" spans="58:72" x14ac:dyDescent="0.55000000000000004">
      <c r="BF1156" s="7"/>
      <c r="BM1156" s="7"/>
      <c r="BT1156" s="7"/>
    </row>
    <row r="1157" spans="58:72" x14ac:dyDescent="0.55000000000000004">
      <c r="BF1157" s="7"/>
      <c r="BM1157" s="7"/>
      <c r="BT1157" s="7"/>
    </row>
    <row r="1158" spans="58:72" x14ac:dyDescent="0.55000000000000004">
      <c r="BF1158" s="7"/>
      <c r="BM1158" s="7"/>
      <c r="BT1158" s="7"/>
    </row>
    <row r="1159" spans="58:72" x14ac:dyDescent="0.55000000000000004">
      <c r="BF1159" s="7"/>
      <c r="BM1159" s="7"/>
      <c r="BT1159" s="7"/>
    </row>
    <row r="1160" spans="58:72" x14ac:dyDescent="0.55000000000000004">
      <c r="BF1160" s="7"/>
      <c r="BM1160" s="7"/>
      <c r="BT1160" s="7"/>
    </row>
    <row r="1161" spans="58:72" x14ac:dyDescent="0.55000000000000004">
      <c r="BF1161" s="7"/>
      <c r="BM1161" s="7"/>
      <c r="BT1161" s="7"/>
    </row>
    <row r="1162" spans="58:72" x14ac:dyDescent="0.55000000000000004">
      <c r="BF1162" s="7"/>
      <c r="BM1162" s="7"/>
      <c r="BT1162" s="7"/>
    </row>
    <row r="1163" spans="58:72" x14ac:dyDescent="0.55000000000000004">
      <c r="BF1163" s="7"/>
      <c r="BM1163" s="7"/>
      <c r="BT1163" s="7"/>
    </row>
    <row r="1164" spans="58:72" x14ac:dyDescent="0.55000000000000004">
      <c r="BF1164" s="7"/>
      <c r="BM1164" s="7"/>
      <c r="BT1164" s="7"/>
    </row>
    <row r="1165" spans="58:72" x14ac:dyDescent="0.55000000000000004">
      <c r="BF1165" s="7"/>
      <c r="BM1165" s="7"/>
      <c r="BT1165" s="7"/>
    </row>
    <row r="1166" spans="58:72" x14ac:dyDescent="0.55000000000000004">
      <c r="BF1166" s="7"/>
      <c r="BM1166" s="7"/>
      <c r="BT1166" s="7"/>
    </row>
    <row r="1167" spans="58:72" x14ac:dyDescent="0.55000000000000004">
      <c r="BF1167" s="7"/>
      <c r="BM1167" s="7"/>
      <c r="BT1167" s="7"/>
    </row>
    <row r="1168" spans="58:72" x14ac:dyDescent="0.55000000000000004">
      <c r="BF1168" s="7"/>
      <c r="BM1168" s="7"/>
      <c r="BT1168" s="7"/>
    </row>
    <row r="1169" spans="58:72" x14ac:dyDescent="0.55000000000000004">
      <c r="BF1169" s="7"/>
      <c r="BM1169" s="7"/>
      <c r="BT1169" s="7"/>
    </row>
    <row r="1170" spans="58:72" x14ac:dyDescent="0.55000000000000004">
      <c r="BF1170" s="7"/>
      <c r="BM1170" s="7"/>
      <c r="BT1170" s="7"/>
    </row>
    <row r="1171" spans="58:72" x14ac:dyDescent="0.55000000000000004">
      <c r="BF1171" s="7"/>
      <c r="BM1171" s="7"/>
      <c r="BT1171" s="7"/>
    </row>
    <row r="1172" spans="58:72" x14ac:dyDescent="0.55000000000000004">
      <c r="BF1172" s="7"/>
      <c r="BM1172" s="7"/>
      <c r="BT1172" s="7"/>
    </row>
    <row r="1173" spans="58:72" x14ac:dyDescent="0.55000000000000004">
      <c r="BF1173" s="7"/>
      <c r="BM1173" s="7"/>
      <c r="BT1173" s="7"/>
    </row>
    <row r="1174" spans="58:72" x14ac:dyDescent="0.55000000000000004">
      <c r="BF1174" s="7"/>
      <c r="BM1174" s="7"/>
      <c r="BT1174" s="7"/>
    </row>
    <row r="1175" spans="58:72" x14ac:dyDescent="0.55000000000000004">
      <c r="BF1175" s="7"/>
      <c r="BM1175" s="7"/>
      <c r="BT1175" s="7"/>
    </row>
    <row r="1176" spans="58:72" x14ac:dyDescent="0.55000000000000004">
      <c r="BF1176" s="7"/>
      <c r="BM1176" s="7"/>
      <c r="BT1176" s="7"/>
    </row>
    <row r="1177" spans="58:72" x14ac:dyDescent="0.55000000000000004">
      <c r="BF1177" s="7"/>
      <c r="BM1177" s="7"/>
      <c r="BT1177" s="7"/>
    </row>
    <row r="1178" spans="58:72" x14ac:dyDescent="0.55000000000000004">
      <c r="BF1178" s="7"/>
      <c r="BM1178" s="7"/>
      <c r="BT1178" s="7"/>
    </row>
    <row r="1179" spans="58:72" x14ac:dyDescent="0.55000000000000004">
      <c r="BF1179" s="7"/>
      <c r="BM1179" s="7"/>
      <c r="BT1179" s="7"/>
    </row>
    <row r="1180" spans="58:72" x14ac:dyDescent="0.55000000000000004">
      <c r="BF1180" s="7"/>
      <c r="BM1180" s="7"/>
      <c r="BT1180" s="7"/>
    </row>
    <row r="1181" spans="58:72" x14ac:dyDescent="0.55000000000000004">
      <c r="BF1181" s="7"/>
      <c r="BM1181" s="7"/>
      <c r="BT1181" s="7"/>
    </row>
    <row r="1182" spans="58:72" x14ac:dyDescent="0.55000000000000004">
      <c r="BF1182" s="7"/>
      <c r="BM1182" s="7"/>
      <c r="BT1182" s="7"/>
    </row>
    <row r="1183" spans="58:72" x14ac:dyDescent="0.55000000000000004">
      <c r="BF1183" s="7"/>
      <c r="BM1183" s="7"/>
      <c r="BT1183" s="7"/>
    </row>
    <row r="1184" spans="58:72" x14ac:dyDescent="0.55000000000000004">
      <c r="BF1184" s="7"/>
      <c r="BM1184" s="7"/>
      <c r="BT1184" s="7"/>
    </row>
    <row r="1185" spans="58:72" x14ac:dyDescent="0.55000000000000004">
      <c r="BF1185" s="7"/>
      <c r="BM1185" s="7"/>
      <c r="BT1185" s="7"/>
    </row>
    <row r="1186" spans="58:72" x14ac:dyDescent="0.55000000000000004">
      <c r="BF1186" s="7"/>
      <c r="BM1186" s="7"/>
      <c r="BT1186" s="7"/>
    </row>
    <row r="1187" spans="58:72" x14ac:dyDescent="0.55000000000000004">
      <c r="BF1187" s="7"/>
      <c r="BM1187" s="7"/>
      <c r="BT1187" s="7"/>
    </row>
    <row r="1188" spans="58:72" x14ac:dyDescent="0.55000000000000004">
      <c r="BF1188" s="7"/>
      <c r="BM1188" s="7"/>
      <c r="BT1188" s="7"/>
    </row>
    <row r="1189" spans="58:72" x14ac:dyDescent="0.55000000000000004">
      <c r="BF1189" s="7"/>
      <c r="BM1189" s="7"/>
      <c r="BT1189" s="7"/>
    </row>
    <row r="1190" spans="58:72" x14ac:dyDescent="0.55000000000000004">
      <c r="BF1190" s="7"/>
      <c r="BM1190" s="7"/>
      <c r="BT1190" s="7"/>
    </row>
    <row r="1191" spans="58:72" x14ac:dyDescent="0.55000000000000004">
      <c r="BF1191" s="7"/>
      <c r="BM1191" s="7"/>
      <c r="BT1191" s="7"/>
    </row>
    <row r="1192" spans="58:72" x14ac:dyDescent="0.55000000000000004">
      <c r="BF1192" s="7"/>
      <c r="BM1192" s="7"/>
      <c r="BT1192" s="7"/>
    </row>
    <row r="1193" spans="58:72" x14ac:dyDescent="0.55000000000000004">
      <c r="BF1193" s="7"/>
      <c r="BM1193" s="7"/>
      <c r="BT1193" s="7"/>
    </row>
    <row r="1194" spans="58:72" x14ac:dyDescent="0.55000000000000004">
      <c r="BF1194" s="7"/>
      <c r="BM1194" s="7"/>
      <c r="BT1194" s="7"/>
    </row>
    <row r="1195" spans="58:72" x14ac:dyDescent="0.55000000000000004">
      <c r="BF1195" s="7"/>
      <c r="BM1195" s="7"/>
      <c r="BT1195" s="7"/>
    </row>
    <row r="1196" spans="58:72" x14ac:dyDescent="0.55000000000000004">
      <c r="BF1196" s="7"/>
      <c r="BM1196" s="7"/>
      <c r="BT1196" s="7"/>
    </row>
    <row r="1197" spans="58:72" x14ac:dyDescent="0.55000000000000004">
      <c r="BF1197" s="7"/>
      <c r="BM1197" s="7"/>
      <c r="BT1197" s="7"/>
    </row>
    <row r="1198" spans="58:72" x14ac:dyDescent="0.55000000000000004">
      <c r="BF1198" s="7"/>
      <c r="BM1198" s="7"/>
      <c r="BT1198" s="7"/>
    </row>
    <row r="1199" spans="58:72" x14ac:dyDescent="0.55000000000000004">
      <c r="BF1199" s="7"/>
      <c r="BM1199" s="7"/>
      <c r="BT1199" s="7"/>
    </row>
    <row r="1200" spans="58:72" x14ac:dyDescent="0.55000000000000004">
      <c r="BF1200" s="7"/>
      <c r="BM1200" s="7"/>
      <c r="BT1200" s="7"/>
    </row>
    <row r="1201" spans="58:72" x14ac:dyDescent="0.55000000000000004">
      <c r="BF1201" s="7"/>
      <c r="BM1201" s="7"/>
      <c r="BT1201" s="7"/>
    </row>
    <row r="1202" spans="58:72" x14ac:dyDescent="0.55000000000000004">
      <c r="BF1202" s="7"/>
      <c r="BM1202" s="7"/>
      <c r="BT1202" s="7"/>
    </row>
    <row r="1203" spans="58:72" x14ac:dyDescent="0.55000000000000004">
      <c r="BF1203" s="7"/>
      <c r="BM1203" s="7"/>
      <c r="BT1203" s="7"/>
    </row>
    <row r="1204" spans="58:72" x14ac:dyDescent="0.55000000000000004">
      <c r="BF1204" s="7"/>
      <c r="BM1204" s="7"/>
      <c r="BT1204" s="7"/>
    </row>
    <row r="1205" spans="58:72" x14ac:dyDescent="0.55000000000000004">
      <c r="BF1205" s="7"/>
      <c r="BM1205" s="7"/>
      <c r="BT1205" s="7"/>
    </row>
    <row r="1206" spans="58:72" x14ac:dyDescent="0.55000000000000004">
      <c r="BF1206" s="7"/>
      <c r="BM1206" s="7"/>
      <c r="BT1206" s="7"/>
    </row>
    <row r="1207" spans="58:72" x14ac:dyDescent="0.55000000000000004">
      <c r="BF1207" s="7"/>
      <c r="BM1207" s="7"/>
      <c r="BT1207" s="7"/>
    </row>
    <row r="1208" spans="58:72" x14ac:dyDescent="0.55000000000000004">
      <c r="BF1208" s="7"/>
      <c r="BM1208" s="7"/>
      <c r="BT1208" s="7"/>
    </row>
    <row r="1209" spans="58:72" x14ac:dyDescent="0.55000000000000004">
      <c r="BF1209" s="7"/>
      <c r="BM1209" s="7"/>
      <c r="BT1209" s="7"/>
    </row>
    <row r="1210" spans="58:72" x14ac:dyDescent="0.55000000000000004">
      <c r="BF1210" s="7"/>
      <c r="BM1210" s="7"/>
      <c r="BT1210" s="7"/>
    </row>
    <row r="1211" spans="58:72" x14ac:dyDescent="0.55000000000000004">
      <c r="BF1211" s="7"/>
      <c r="BM1211" s="7"/>
      <c r="BT1211" s="7"/>
    </row>
    <row r="1212" spans="58:72" x14ac:dyDescent="0.55000000000000004">
      <c r="BF1212" s="7"/>
      <c r="BM1212" s="7"/>
      <c r="BT1212" s="7"/>
    </row>
    <row r="1213" spans="58:72" x14ac:dyDescent="0.55000000000000004">
      <c r="BF1213" s="7"/>
      <c r="BM1213" s="7"/>
      <c r="BT1213" s="7"/>
    </row>
    <row r="1214" spans="58:72" x14ac:dyDescent="0.55000000000000004">
      <c r="BF1214" s="7"/>
      <c r="BM1214" s="7"/>
      <c r="BT1214" s="7"/>
    </row>
    <row r="1215" spans="58:72" x14ac:dyDescent="0.55000000000000004">
      <c r="BF1215" s="7"/>
      <c r="BM1215" s="7"/>
      <c r="BT1215" s="7"/>
    </row>
    <row r="1216" spans="58:72" x14ac:dyDescent="0.55000000000000004">
      <c r="BF1216" s="7"/>
      <c r="BM1216" s="7"/>
      <c r="BT1216" s="7"/>
    </row>
    <row r="1217" spans="58:72" x14ac:dyDescent="0.55000000000000004">
      <c r="BF1217" s="7"/>
      <c r="BM1217" s="7"/>
      <c r="BT1217" s="7"/>
    </row>
    <row r="1218" spans="58:72" x14ac:dyDescent="0.55000000000000004">
      <c r="BF1218" s="7"/>
      <c r="BM1218" s="7"/>
      <c r="BT1218" s="7"/>
    </row>
    <row r="1219" spans="58:72" x14ac:dyDescent="0.55000000000000004">
      <c r="BF1219" s="7"/>
      <c r="BM1219" s="7"/>
      <c r="BT1219" s="7"/>
    </row>
    <row r="1220" spans="58:72" x14ac:dyDescent="0.55000000000000004">
      <c r="BF1220" s="7"/>
      <c r="BM1220" s="7"/>
      <c r="BT1220" s="7"/>
    </row>
    <row r="1221" spans="58:72" x14ac:dyDescent="0.55000000000000004">
      <c r="BF1221" s="7"/>
      <c r="BM1221" s="7"/>
      <c r="BT1221" s="7"/>
    </row>
    <row r="1222" spans="58:72" x14ac:dyDescent="0.55000000000000004">
      <c r="BF1222" s="7"/>
      <c r="BM1222" s="7"/>
      <c r="BT1222" s="7"/>
    </row>
    <row r="1223" spans="58:72" x14ac:dyDescent="0.55000000000000004">
      <c r="BF1223" s="7"/>
      <c r="BM1223" s="7"/>
      <c r="BT1223" s="7"/>
    </row>
    <row r="1224" spans="58:72" x14ac:dyDescent="0.55000000000000004">
      <c r="BF1224" s="7"/>
      <c r="BM1224" s="7"/>
      <c r="BT1224" s="7"/>
    </row>
    <row r="1225" spans="58:72" x14ac:dyDescent="0.55000000000000004">
      <c r="BF1225" s="7"/>
      <c r="BM1225" s="7"/>
      <c r="BT1225" s="7"/>
    </row>
    <row r="1226" spans="58:72" x14ac:dyDescent="0.55000000000000004">
      <c r="BF1226" s="7"/>
      <c r="BM1226" s="7"/>
      <c r="BT1226" s="7"/>
    </row>
    <row r="1227" spans="58:72" x14ac:dyDescent="0.55000000000000004">
      <c r="BF1227" s="7"/>
      <c r="BM1227" s="7"/>
      <c r="BT1227" s="7"/>
    </row>
    <row r="1228" spans="58:72" x14ac:dyDescent="0.55000000000000004">
      <c r="BF1228" s="7"/>
      <c r="BM1228" s="7"/>
      <c r="BT1228" s="7"/>
    </row>
    <row r="1229" spans="58:72" x14ac:dyDescent="0.55000000000000004">
      <c r="BF1229" s="7"/>
      <c r="BM1229" s="7"/>
      <c r="BT1229" s="7"/>
    </row>
    <row r="1230" spans="58:72" x14ac:dyDescent="0.55000000000000004">
      <c r="BF1230" s="7"/>
      <c r="BM1230" s="7"/>
      <c r="BT1230" s="7"/>
    </row>
    <row r="1231" spans="58:72" x14ac:dyDescent="0.55000000000000004">
      <c r="BF1231" s="7"/>
      <c r="BM1231" s="7"/>
      <c r="BT1231" s="7"/>
    </row>
    <row r="1232" spans="58:72" x14ac:dyDescent="0.55000000000000004">
      <c r="BF1232" s="7"/>
      <c r="BM1232" s="7"/>
      <c r="BT1232" s="7"/>
    </row>
    <row r="1233" spans="58:72" x14ac:dyDescent="0.55000000000000004">
      <c r="BF1233" s="7"/>
      <c r="BM1233" s="7"/>
      <c r="BT1233" s="7"/>
    </row>
    <row r="1234" spans="58:72" x14ac:dyDescent="0.55000000000000004">
      <c r="BF1234" s="7"/>
      <c r="BM1234" s="7"/>
      <c r="BT1234" s="7"/>
    </row>
    <row r="1235" spans="58:72" x14ac:dyDescent="0.55000000000000004">
      <c r="BF1235" s="7"/>
      <c r="BM1235" s="7"/>
      <c r="BT1235" s="7"/>
    </row>
    <row r="1236" spans="58:72" x14ac:dyDescent="0.55000000000000004">
      <c r="BF1236" s="7"/>
      <c r="BM1236" s="7"/>
      <c r="BT1236" s="7"/>
    </row>
    <row r="1237" spans="58:72" x14ac:dyDescent="0.55000000000000004">
      <c r="BF1237" s="7"/>
      <c r="BM1237" s="7"/>
      <c r="BT1237" s="7"/>
    </row>
    <row r="1238" spans="58:72" x14ac:dyDescent="0.55000000000000004">
      <c r="BF1238" s="7"/>
      <c r="BM1238" s="7"/>
      <c r="BT1238" s="7"/>
    </row>
    <row r="1239" spans="58:72" x14ac:dyDescent="0.55000000000000004">
      <c r="BF1239" s="7"/>
      <c r="BM1239" s="7"/>
      <c r="BT1239" s="7"/>
    </row>
    <row r="1240" spans="58:72" x14ac:dyDescent="0.55000000000000004">
      <c r="BF1240" s="7"/>
      <c r="BM1240" s="7"/>
      <c r="BT1240" s="7"/>
    </row>
    <row r="1241" spans="58:72" x14ac:dyDescent="0.55000000000000004">
      <c r="BF1241" s="7"/>
      <c r="BM1241" s="7"/>
      <c r="BT1241" s="7"/>
    </row>
    <row r="1242" spans="58:72" x14ac:dyDescent="0.55000000000000004">
      <c r="BF1242" s="7"/>
      <c r="BM1242" s="7"/>
      <c r="BT1242" s="7"/>
    </row>
    <row r="1243" spans="58:72" x14ac:dyDescent="0.55000000000000004">
      <c r="BF1243" s="7"/>
      <c r="BM1243" s="7"/>
      <c r="BT1243" s="7"/>
    </row>
    <row r="1244" spans="58:72" x14ac:dyDescent="0.55000000000000004">
      <c r="BF1244" s="7"/>
      <c r="BM1244" s="7"/>
      <c r="BT1244" s="7"/>
    </row>
    <row r="1245" spans="58:72" x14ac:dyDescent="0.55000000000000004">
      <c r="BF1245" s="7"/>
      <c r="BM1245" s="7"/>
      <c r="BT1245" s="7"/>
    </row>
    <row r="1246" spans="58:72" x14ac:dyDescent="0.55000000000000004">
      <c r="BF1246" s="7"/>
      <c r="BM1246" s="7"/>
      <c r="BT1246" s="7"/>
    </row>
    <row r="1247" spans="58:72" x14ac:dyDescent="0.55000000000000004">
      <c r="BF1247" s="7"/>
      <c r="BM1247" s="7"/>
      <c r="BT1247" s="7"/>
    </row>
    <row r="1248" spans="58:72" x14ac:dyDescent="0.55000000000000004">
      <c r="BF1248" s="7"/>
      <c r="BM1248" s="7"/>
      <c r="BT1248" s="7"/>
    </row>
    <row r="1249" spans="58:72" x14ac:dyDescent="0.55000000000000004">
      <c r="BF1249" s="7"/>
      <c r="BM1249" s="7"/>
      <c r="BT1249" s="7"/>
    </row>
    <row r="1250" spans="58:72" x14ac:dyDescent="0.55000000000000004">
      <c r="BF1250" s="7"/>
      <c r="BM1250" s="7"/>
      <c r="BT1250" s="7"/>
    </row>
    <row r="1251" spans="58:72" x14ac:dyDescent="0.55000000000000004">
      <c r="BF1251" s="7"/>
      <c r="BM1251" s="7"/>
      <c r="BT1251" s="7"/>
    </row>
    <row r="1252" spans="58:72" x14ac:dyDescent="0.55000000000000004">
      <c r="BF1252" s="7"/>
      <c r="BM1252" s="7"/>
      <c r="BT1252" s="7"/>
    </row>
    <row r="1253" spans="58:72" x14ac:dyDescent="0.55000000000000004">
      <c r="BF1253" s="7"/>
      <c r="BM1253" s="7"/>
      <c r="BT1253" s="7"/>
    </row>
    <row r="1254" spans="58:72" x14ac:dyDescent="0.55000000000000004">
      <c r="BF1254" s="7"/>
      <c r="BM1254" s="7"/>
      <c r="BT1254" s="7"/>
    </row>
    <row r="1255" spans="58:72" x14ac:dyDescent="0.55000000000000004">
      <c r="BF1255" s="7"/>
      <c r="BM1255" s="7"/>
      <c r="BT1255" s="7"/>
    </row>
    <row r="1256" spans="58:72" x14ac:dyDescent="0.55000000000000004">
      <c r="BF1256" s="7"/>
      <c r="BM1256" s="7"/>
      <c r="BT1256" s="7"/>
    </row>
    <row r="1257" spans="58:72" x14ac:dyDescent="0.55000000000000004">
      <c r="BF1257" s="7"/>
      <c r="BM1257" s="7"/>
      <c r="BT1257" s="7"/>
    </row>
    <row r="1258" spans="58:72" x14ac:dyDescent="0.55000000000000004">
      <c r="BF1258" s="7"/>
      <c r="BM1258" s="7"/>
      <c r="BT1258" s="7"/>
    </row>
    <row r="1259" spans="58:72" x14ac:dyDescent="0.55000000000000004">
      <c r="BF1259" s="7"/>
      <c r="BM1259" s="7"/>
      <c r="BT1259" s="7"/>
    </row>
    <row r="1260" spans="58:72" x14ac:dyDescent="0.55000000000000004">
      <c r="BF1260" s="7"/>
      <c r="BM1260" s="7"/>
      <c r="BT1260" s="7"/>
    </row>
    <row r="1261" spans="58:72" x14ac:dyDescent="0.55000000000000004">
      <c r="BF1261" s="7"/>
      <c r="BM1261" s="7"/>
      <c r="BT1261" s="7"/>
    </row>
    <row r="1262" spans="58:72" x14ac:dyDescent="0.55000000000000004">
      <c r="BF1262" s="7"/>
      <c r="BM1262" s="7"/>
      <c r="BT1262" s="7"/>
    </row>
    <row r="1263" spans="58:72" x14ac:dyDescent="0.55000000000000004">
      <c r="BF1263" s="7"/>
      <c r="BM1263" s="7"/>
      <c r="BT1263" s="7"/>
    </row>
    <row r="1264" spans="58:72" x14ac:dyDescent="0.55000000000000004">
      <c r="BF1264" s="7"/>
      <c r="BM1264" s="7"/>
      <c r="BT1264" s="7"/>
    </row>
    <row r="1265" spans="58:72" x14ac:dyDescent="0.55000000000000004">
      <c r="BF1265" s="7"/>
      <c r="BM1265" s="7"/>
      <c r="BT1265" s="7"/>
    </row>
    <row r="1266" spans="58:72" x14ac:dyDescent="0.55000000000000004">
      <c r="BF1266" s="7"/>
      <c r="BM1266" s="7"/>
      <c r="BT1266" s="7"/>
    </row>
    <row r="1267" spans="58:72" x14ac:dyDescent="0.55000000000000004">
      <c r="BF1267" s="7"/>
      <c r="BM1267" s="7"/>
      <c r="BT1267" s="7"/>
    </row>
    <row r="1268" spans="58:72" x14ac:dyDescent="0.55000000000000004">
      <c r="BF1268" s="7"/>
      <c r="BM1268" s="7"/>
      <c r="BT1268" s="7"/>
    </row>
    <row r="1269" spans="58:72" x14ac:dyDescent="0.55000000000000004">
      <c r="BF1269" s="7"/>
      <c r="BM1269" s="7"/>
      <c r="BT1269" s="7"/>
    </row>
    <row r="1270" spans="58:72" x14ac:dyDescent="0.55000000000000004">
      <c r="BF1270" s="7"/>
      <c r="BM1270" s="7"/>
      <c r="BT1270" s="7"/>
    </row>
    <row r="1271" spans="58:72" x14ac:dyDescent="0.55000000000000004">
      <c r="BF1271" s="7"/>
      <c r="BM1271" s="7"/>
      <c r="BT1271" s="7"/>
    </row>
    <row r="1272" spans="58:72" x14ac:dyDescent="0.55000000000000004">
      <c r="BF1272" s="7"/>
      <c r="BM1272" s="7"/>
      <c r="BT1272" s="7"/>
    </row>
    <row r="1273" spans="58:72" x14ac:dyDescent="0.55000000000000004">
      <c r="BF1273" s="7"/>
      <c r="BM1273" s="7"/>
      <c r="BT1273" s="7"/>
    </row>
    <row r="1274" spans="58:72" x14ac:dyDescent="0.55000000000000004">
      <c r="BF1274" s="7"/>
      <c r="BM1274" s="7"/>
      <c r="BT1274" s="7"/>
    </row>
    <row r="1275" spans="58:72" x14ac:dyDescent="0.55000000000000004">
      <c r="BF1275" s="7"/>
      <c r="BM1275" s="7"/>
      <c r="BT1275" s="7"/>
    </row>
    <row r="1276" spans="58:72" x14ac:dyDescent="0.55000000000000004">
      <c r="BF1276" s="7"/>
      <c r="BM1276" s="7"/>
      <c r="BT1276" s="7"/>
    </row>
    <row r="1277" spans="58:72" x14ac:dyDescent="0.55000000000000004">
      <c r="BF1277" s="7"/>
      <c r="BM1277" s="7"/>
      <c r="BT1277" s="7"/>
    </row>
    <row r="1278" spans="58:72" x14ac:dyDescent="0.55000000000000004">
      <c r="BF1278" s="7"/>
      <c r="BM1278" s="7"/>
      <c r="BT1278" s="7"/>
    </row>
    <row r="1279" spans="58:72" x14ac:dyDescent="0.55000000000000004">
      <c r="BF1279" s="7"/>
      <c r="BM1279" s="7"/>
      <c r="BT1279" s="7"/>
    </row>
    <row r="1280" spans="58:72" x14ac:dyDescent="0.55000000000000004">
      <c r="BF1280" s="7"/>
      <c r="BM1280" s="7"/>
      <c r="BT1280" s="7"/>
    </row>
    <row r="1281" spans="58:72" x14ac:dyDescent="0.55000000000000004">
      <c r="BF1281" s="7"/>
      <c r="BM1281" s="7"/>
      <c r="BT1281" s="7"/>
    </row>
    <row r="1282" spans="58:72" x14ac:dyDescent="0.55000000000000004">
      <c r="BF1282" s="7"/>
      <c r="BM1282" s="7"/>
      <c r="BT1282" s="7"/>
    </row>
    <row r="1283" spans="58:72" x14ac:dyDescent="0.55000000000000004">
      <c r="BF1283" s="7"/>
      <c r="BM1283" s="7"/>
      <c r="BT1283" s="7"/>
    </row>
    <row r="1284" spans="58:72" x14ac:dyDescent="0.55000000000000004">
      <c r="BF1284" s="7"/>
      <c r="BM1284" s="7"/>
      <c r="BT1284" s="7"/>
    </row>
    <row r="1285" spans="58:72" x14ac:dyDescent="0.55000000000000004">
      <c r="BF1285" s="7"/>
      <c r="BM1285" s="7"/>
      <c r="BT1285" s="7"/>
    </row>
    <row r="1286" spans="58:72" x14ac:dyDescent="0.55000000000000004">
      <c r="BF1286" s="7"/>
      <c r="BM1286" s="7"/>
      <c r="BT1286" s="7"/>
    </row>
    <row r="1287" spans="58:72" x14ac:dyDescent="0.55000000000000004">
      <c r="BF1287" s="7"/>
      <c r="BM1287" s="7"/>
      <c r="BT1287" s="7"/>
    </row>
    <row r="1288" spans="58:72" x14ac:dyDescent="0.55000000000000004">
      <c r="BF1288" s="7"/>
      <c r="BM1288" s="7"/>
      <c r="BT1288" s="7"/>
    </row>
    <row r="1289" spans="58:72" x14ac:dyDescent="0.55000000000000004">
      <c r="BF1289" s="7"/>
      <c r="BM1289" s="7"/>
      <c r="BT1289" s="7"/>
    </row>
    <row r="1290" spans="58:72" x14ac:dyDescent="0.55000000000000004">
      <c r="BF1290" s="7"/>
      <c r="BM1290" s="7"/>
      <c r="BT1290" s="7"/>
    </row>
    <row r="1291" spans="58:72" x14ac:dyDescent="0.55000000000000004">
      <c r="BF1291" s="7"/>
      <c r="BM1291" s="7"/>
      <c r="BT1291" s="7"/>
    </row>
    <row r="1292" spans="58:72" x14ac:dyDescent="0.55000000000000004">
      <c r="BF1292" s="7"/>
      <c r="BM1292" s="7"/>
      <c r="BT1292" s="7"/>
    </row>
    <row r="1293" spans="58:72" x14ac:dyDescent="0.55000000000000004">
      <c r="BF1293" s="7"/>
      <c r="BM1293" s="7"/>
      <c r="BT1293" s="7"/>
    </row>
    <row r="1294" spans="58:72" x14ac:dyDescent="0.55000000000000004">
      <c r="BF1294" s="7"/>
      <c r="BM1294" s="7"/>
      <c r="BT1294" s="7"/>
    </row>
    <row r="1295" spans="58:72" x14ac:dyDescent="0.55000000000000004">
      <c r="BF1295" s="7"/>
      <c r="BM1295" s="7"/>
      <c r="BT1295" s="7"/>
    </row>
    <row r="1296" spans="58:72" x14ac:dyDescent="0.55000000000000004">
      <c r="BF1296" s="7"/>
      <c r="BM1296" s="7"/>
      <c r="BT1296" s="7"/>
    </row>
    <row r="1297" spans="58:72" x14ac:dyDescent="0.55000000000000004">
      <c r="BF1297" s="7"/>
      <c r="BM1297" s="7"/>
      <c r="BT1297" s="7"/>
    </row>
    <row r="1298" spans="58:72" x14ac:dyDescent="0.55000000000000004">
      <c r="BF1298" s="7"/>
      <c r="BM1298" s="7"/>
      <c r="BT1298" s="7"/>
    </row>
    <row r="1299" spans="58:72" x14ac:dyDescent="0.55000000000000004">
      <c r="BF1299" s="7"/>
      <c r="BM1299" s="7"/>
      <c r="BT1299" s="7"/>
    </row>
    <row r="1300" spans="58:72" x14ac:dyDescent="0.55000000000000004">
      <c r="BF1300" s="7"/>
      <c r="BM1300" s="7"/>
      <c r="BT1300" s="7"/>
    </row>
    <row r="1301" spans="58:72" x14ac:dyDescent="0.55000000000000004">
      <c r="BF1301" s="7"/>
      <c r="BM1301" s="7"/>
      <c r="BT1301" s="7"/>
    </row>
    <row r="1302" spans="58:72" x14ac:dyDescent="0.55000000000000004">
      <c r="BF1302" s="7"/>
      <c r="BM1302" s="7"/>
      <c r="BT1302" s="7"/>
    </row>
    <row r="1303" spans="58:72" x14ac:dyDescent="0.55000000000000004">
      <c r="BF1303" s="7"/>
      <c r="BM1303" s="7"/>
      <c r="BT1303" s="7"/>
    </row>
    <row r="1304" spans="58:72" x14ac:dyDescent="0.55000000000000004">
      <c r="BF1304" s="7"/>
      <c r="BM1304" s="7"/>
      <c r="BT1304" s="7"/>
    </row>
    <row r="1305" spans="58:72" x14ac:dyDescent="0.55000000000000004">
      <c r="BF1305" s="7"/>
      <c r="BM1305" s="7"/>
      <c r="BT1305" s="7"/>
    </row>
    <row r="1306" spans="58:72" x14ac:dyDescent="0.55000000000000004">
      <c r="BF1306" s="7"/>
      <c r="BM1306" s="7"/>
      <c r="BT1306" s="7"/>
    </row>
    <row r="1307" spans="58:72" x14ac:dyDescent="0.55000000000000004">
      <c r="BF1307" s="7"/>
      <c r="BM1307" s="7"/>
      <c r="BT1307" s="7"/>
    </row>
    <row r="1308" spans="58:72" x14ac:dyDescent="0.55000000000000004">
      <c r="BF1308" s="7"/>
      <c r="BM1308" s="7"/>
      <c r="BT1308" s="7"/>
    </row>
    <row r="1309" spans="58:72" x14ac:dyDescent="0.55000000000000004">
      <c r="BF1309" s="7"/>
      <c r="BM1309" s="7"/>
      <c r="BT1309" s="7"/>
    </row>
    <row r="1310" spans="58:72" x14ac:dyDescent="0.55000000000000004">
      <c r="BF1310" s="7"/>
      <c r="BM1310" s="7"/>
      <c r="BT1310" s="7"/>
    </row>
    <row r="1311" spans="58:72" x14ac:dyDescent="0.55000000000000004">
      <c r="BF1311" s="7"/>
      <c r="BM1311" s="7"/>
      <c r="BT1311" s="7"/>
    </row>
    <row r="1312" spans="58:72" x14ac:dyDescent="0.55000000000000004">
      <c r="BF1312" s="7"/>
      <c r="BM1312" s="7"/>
      <c r="BT1312" s="7"/>
    </row>
    <row r="1313" spans="58:72" x14ac:dyDescent="0.55000000000000004">
      <c r="BF1313" s="7"/>
      <c r="BM1313" s="7"/>
      <c r="BT1313" s="7"/>
    </row>
    <row r="1314" spans="58:72" x14ac:dyDescent="0.55000000000000004">
      <c r="BF1314" s="7"/>
      <c r="BM1314" s="7"/>
      <c r="BT1314" s="7"/>
    </row>
    <row r="1315" spans="58:72" x14ac:dyDescent="0.55000000000000004">
      <c r="BF1315" s="7"/>
      <c r="BM1315" s="7"/>
      <c r="BT1315" s="7"/>
    </row>
    <row r="1316" spans="58:72" x14ac:dyDescent="0.55000000000000004">
      <c r="BF1316" s="7"/>
      <c r="BM1316" s="7"/>
      <c r="BT1316" s="7"/>
    </row>
    <row r="1317" spans="58:72" x14ac:dyDescent="0.55000000000000004">
      <c r="BF1317" s="7"/>
      <c r="BM1317" s="7"/>
      <c r="BT1317" s="7"/>
    </row>
    <row r="1318" spans="58:72" x14ac:dyDescent="0.55000000000000004">
      <c r="BF1318" s="7"/>
      <c r="BM1318" s="7"/>
      <c r="BT1318" s="7"/>
    </row>
    <row r="1319" spans="58:72" x14ac:dyDescent="0.55000000000000004">
      <c r="BF1319" s="7"/>
      <c r="BM1319" s="7"/>
      <c r="BT1319" s="7"/>
    </row>
    <row r="1320" spans="58:72" x14ac:dyDescent="0.55000000000000004">
      <c r="BF1320" s="7"/>
      <c r="BM1320" s="7"/>
      <c r="BT1320" s="7"/>
    </row>
    <row r="1321" spans="58:72" x14ac:dyDescent="0.55000000000000004">
      <c r="BF1321" s="7"/>
      <c r="BM1321" s="7"/>
      <c r="BT1321" s="7"/>
    </row>
    <row r="1322" spans="58:72" x14ac:dyDescent="0.55000000000000004">
      <c r="BF1322" s="7"/>
      <c r="BM1322" s="7"/>
      <c r="BT1322" s="7"/>
    </row>
    <row r="1323" spans="58:72" x14ac:dyDescent="0.55000000000000004">
      <c r="BF1323" s="7"/>
      <c r="BM1323" s="7"/>
      <c r="BT1323" s="7"/>
    </row>
    <row r="1324" spans="58:72" x14ac:dyDescent="0.55000000000000004">
      <c r="BF1324" s="7"/>
      <c r="BM1324" s="7"/>
      <c r="BT1324" s="7"/>
    </row>
    <row r="1325" spans="58:72" x14ac:dyDescent="0.55000000000000004">
      <c r="BF1325" s="7"/>
      <c r="BM1325" s="7"/>
      <c r="BT1325" s="7"/>
    </row>
    <row r="1326" spans="58:72" x14ac:dyDescent="0.55000000000000004">
      <c r="BF1326" s="7"/>
      <c r="BM1326" s="7"/>
      <c r="BT1326" s="7"/>
    </row>
    <row r="1327" spans="58:72" x14ac:dyDescent="0.55000000000000004">
      <c r="BF1327" s="7"/>
      <c r="BM1327" s="7"/>
      <c r="BT1327" s="7"/>
    </row>
    <row r="1328" spans="58:72" x14ac:dyDescent="0.55000000000000004">
      <c r="BF1328" s="7"/>
      <c r="BM1328" s="7"/>
      <c r="BT1328" s="7"/>
    </row>
    <row r="1329" spans="58:72" x14ac:dyDescent="0.55000000000000004">
      <c r="BF1329" s="7"/>
      <c r="BM1329" s="7"/>
      <c r="BT1329" s="7"/>
    </row>
    <row r="1330" spans="58:72" x14ac:dyDescent="0.55000000000000004">
      <c r="BF1330" s="7"/>
      <c r="BM1330" s="7"/>
      <c r="BT1330" s="7"/>
    </row>
    <row r="1331" spans="58:72" x14ac:dyDescent="0.55000000000000004">
      <c r="BF1331" s="7"/>
      <c r="BM1331" s="7"/>
      <c r="BT1331" s="7"/>
    </row>
    <row r="1332" spans="58:72" x14ac:dyDescent="0.55000000000000004">
      <c r="BF1332" s="7"/>
      <c r="BM1332" s="7"/>
      <c r="BT1332" s="7"/>
    </row>
    <row r="1333" spans="58:72" x14ac:dyDescent="0.55000000000000004">
      <c r="BF1333" s="7"/>
      <c r="BM1333" s="7"/>
      <c r="BT1333" s="7"/>
    </row>
    <row r="1334" spans="58:72" x14ac:dyDescent="0.55000000000000004">
      <c r="BF1334" s="7"/>
      <c r="BM1334" s="7"/>
      <c r="BT1334" s="7"/>
    </row>
    <row r="1335" spans="58:72" x14ac:dyDescent="0.55000000000000004">
      <c r="BF1335" s="7"/>
      <c r="BM1335" s="7"/>
      <c r="BT1335" s="7"/>
    </row>
    <row r="1336" spans="58:72" x14ac:dyDescent="0.55000000000000004">
      <c r="BF1336" s="7"/>
      <c r="BM1336" s="7"/>
      <c r="BT1336" s="7"/>
    </row>
    <row r="1337" spans="58:72" x14ac:dyDescent="0.55000000000000004">
      <c r="BF1337" s="7"/>
      <c r="BM1337" s="7"/>
      <c r="BT1337" s="7"/>
    </row>
    <row r="1338" spans="58:72" x14ac:dyDescent="0.55000000000000004">
      <c r="BF1338" s="7"/>
      <c r="BM1338" s="7"/>
      <c r="BT1338" s="7"/>
    </row>
    <row r="1339" spans="58:72" x14ac:dyDescent="0.55000000000000004">
      <c r="BF1339" s="7"/>
      <c r="BM1339" s="7"/>
      <c r="BT1339" s="7"/>
    </row>
    <row r="1340" spans="58:72" x14ac:dyDescent="0.55000000000000004">
      <c r="BF1340" s="7"/>
      <c r="BM1340" s="7"/>
      <c r="BT1340" s="7"/>
    </row>
    <row r="1341" spans="58:72" x14ac:dyDescent="0.55000000000000004">
      <c r="BF1341" s="7"/>
      <c r="BM1341" s="7"/>
      <c r="BT1341" s="7"/>
    </row>
    <row r="1342" spans="58:72" x14ac:dyDescent="0.55000000000000004">
      <c r="BF1342" s="7"/>
      <c r="BM1342" s="7"/>
      <c r="BT1342" s="7"/>
    </row>
    <row r="1343" spans="58:72" x14ac:dyDescent="0.55000000000000004">
      <c r="BF1343" s="7"/>
      <c r="BM1343" s="7"/>
      <c r="BT1343" s="7"/>
    </row>
    <row r="1344" spans="58:72" x14ac:dyDescent="0.55000000000000004">
      <c r="BF1344" s="7"/>
      <c r="BM1344" s="7"/>
      <c r="BT1344" s="7"/>
    </row>
    <row r="1345" spans="58:72" x14ac:dyDescent="0.55000000000000004">
      <c r="BF1345" s="7"/>
      <c r="BM1345" s="7"/>
      <c r="BT1345" s="7"/>
    </row>
    <row r="1346" spans="58:72" x14ac:dyDescent="0.55000000000000004">
      <c r="BF1346" s="7"/>
      <c r="BM1346" s="7"/>
      <c r="BT1346" s="7"/>
    </row>
    <row r="1347" spans="58:72" x14ac:dyDescent="0.55000000000000004">
      <c r="BF1347" s="7"/>
      <c r="BM1347" s="7"/>
      <c r="BT1347" s="7"/>
    </row>
    <row r="1348" spans="58:72" x14ac:dyDescent="0.55000000000000004">
      <c r="BF1348" s="7"/>
      <c r="BM1348" s="7"/>
      <c r="BT1348" s="7"/>
    </row>
    <row r="1349" spans="58:72" x14ac:dyDescent="0.55000000000000004">
      <c r="BF1349" s="7"/>
      <c r="BM1349" s="7"/>
      <c r="BT1349" s="7"/>
    </row>
    <row r="1350" spans="58:72" x14ac:dyDescent="0.55000000000000004">
      <c r="BF1350" s="7"/>
      <c r="BM1350" s="7"/>
      <c r="BT1350" s="7"/>
    </row>
    <row r="1351" spans="58:72" x14ac:dyDescent="0.55000000000000004">
      <c r="BF1351" s="7"/>
      <c r="BM1351" s="7"/>
      <c r="BT1351" s="7"/>
    </row>
    <row r="1352" spans="58:72" x14ac:dyDescent="0.55000000000000004">
      <c r="BF1352" s="7"/>
      <c r="BM1352" s="7"/>
      <c r="BT1352" s="7"/>
    </row>
    <row r="1353" spans="58:72" x14ac:dyDescent="0.55000000000000004">
      <c r="BF1353" s="7"/>
      <c r="BM1353" s="7"/>
      <c r="BT1353" s="7"/>
    </row>
    <row r="1354" spans="58:72" x14ac:dyDescent="0.55000000000000004">
      <c r="BF1354" s="7"/>
      <c r="BM1354" s="7"/>
      <c r="BT1354" s="7"/>
    </row>
    <row r="1355" spans="58:72" x14ac:dyDescent="0.55000000000000004">
      <c r="BF1355" s="7"/>
      <c r="BM1355" s="7"/>
      <c r="BT1355" s="7"/>
    </row>
    <row r="1356" spans="58:72" x14ac:dyDescent="0.55000000000000004">
      <c r="BF1356" s="7"/>
      <c r="BM1356" s="7"/>
      <c r="BT1356" s="7"/>
    </row>
    <row r="1357" spans="58:72" x14ac:dyDescent="0.55000000000000004">
      <c r="BF1357" s="7"/>
      <c r="BM1357" s="7"/>
      <c r="BT1357" s="7"/>
    </row>
    <row r="1358" spans="58:72" x14ac:dyDescent="0.55000000000000004">
      <c r="BF1358" s="7"/>
      <c r="BM1358" s="7"/>
      <c r="BT1358" s="7"/>
    </row>
    <row r="1359" spans="58:72" x14ac:dyDescent="0.55000000000000004">
      <c r="BF1359" s="7"/>
      <c r="BM1359" s="7"/>
      <c r="BT1359" s="7"/>
    </row>
    <row r="1360" spans="58:72" x14ac:dyDescent="0.55000000000000004">
      <c r="BF1360" s="7"/>
      <c r="BM1360" s="7"/>
      <c r="BT1360" s="7"/>
    </row>
    <row r="1361" spans="58:72" x14ac:dyDescent="0.55000000000000004">
      <c r="BF1361" s="7"/>
      <c r="BM1361" s="7"/>
      <c r="BT1361" s="7"/>
    </row>
    <row r="1362" spans="58:72" x14ac:dyDescent="0.55000000000000004">
      <c r="BF1362" s="7"/>
      <c r="BM1362" s="7"/>
      <c r="BT1362" s="7"/>
    </row>
    <row r="1363" spans="58:72" x14ac:dyDescent="0.55000000000000004">
      <c r="BF1363" s="7"/>
      <c r="BM1363" s="7"/>
      <c r="BT1363" s="7"/>
    </row>
    <row r="1364" spans="58:72" x14ac:dyDescent="0.55000000000000004">
      <c r="BF1364" s="7"/>
      <c r="BM1364" s="7"/>
      <c r="BT1364" s="7"/>
    </row>
    <row r="1365" spans="58:72" x14ac:dyDescent="0.55000000000000004">
      <c r="BF1365" s="7"/>
      <c r="BM1365" s="7"/>
      <c r="BT1365" s="7"/>
    </row>
    <row r="1366" spans="58:72" x14ac:dyDescent="0.55000000000000004">
      <c r="BF1366" s="7"/>
      <c r="BM1366" s="7"/>
      <c r="BT1366" s="7"/>
    </row>
    <row r="1367" spans="58:72" x14ac:dyDescent="0.55000000000000004">
      <c r="BF1367" s="7"/>
      <c r="BM1367" s="7"/>
      <c r="BT1367" s="7"/>
    </row>
    <row r="1368" spans="58:72" x14ac:dyDescent="0.55000000000000004">
      <c r="BF1368" s="7"/>
      <c r="BM1368" s="7"/>
      <c r="BT1368" s="7"/>
    </row>
    <row r="1369" spans="58:72" x14ac:dyDescent="0.55000000000000004">
      <c r="BF1369" s="7"/>
      <c r="BM1369" s="7"/>
      <c r="BT1369" s="7"/>
    </row>
    <row r="1370" spans="58:72" x14ac:dyDescent="0.55000000000000004">
      <c r="BF1370" s="7"/>
      <c r="BM1370" s="7"/>
      <c r="BT1370" s="7"/>
    </row>
    <row r="1371" spans="58:72" x14ac:dyDescent="0.55000000000000004">
      <c r="BF1371" s="7"/>
      <c r="BM1371" s="7"/>
      <c r="BT1371" s="7"/>
    </row>
    <row r="1372" spans="58:72" x14ac:dyDescent="0.55000000000000004">
      <c r="BF1372" s="7"/>
      <c r="BM1372" s="7"/>
      <c r="BT1372" s="7"/>
    </row>
    <row r="1373" spans="58:72" x14ac:dyDescent="0.55000000000000004">
      <c r="BF1373" s="7"/>
      <c r="BM1373" s="7"/>
      <c r="BT1373" s="7"/>
    </row>
    <row r="1374" spans="58:72" x14ac:dyDescent="0.55000000000000004">
      <c r="BF1374" s="7"/>
      <c r="BM1374" s="7"/>
      <c r="BT1374" s="7"/>
    </row>
    <row r="1375" spans="58:72" x14ac:dyDescent="0.55000000000000004">
      <c r="BF1375" s="7"/>
      <c r="BM1375" s="7"/>
      <c r="BT1375" s="7"/>
    </row>
    <row r="1376" spans="58:72" x14ac:dyDescent="0.55000000000000004">
      <c r="BF1376" s="7"/>
      <c r="BM1376" s="7"/>
      <c r="BT1376" s="7"/>
    </row>
    <row r="1377" spans="58:72" x14ac:dyDescent="0.55000000000000004">
      <c r="BF1377" s="7"/>
      <c r="BM1377" s="7"/>
      <c r="BT1377" s="7"/>
    </row>
    <row r="1378" spans="58:72" x14ac:dyDescent="0.55000000000000004">
      <c r="BF1378" s="7"/>
      <c r="BM1378" s="7"/>
      <c r="BT1378" s="7"/>
    </row>
    <row r="1379" spans="58:72" x14ac:dyDescent="0.55000000000000004">
      <c r="BF1379" s="7"/>
      <c r="BM1379" s="7"/>
      <c r="BT1379" s="7"/>
    </row>
    <row r="1380" spans="58:72" x14ac:dyDescent="0.55000000000000004">
      <c r="BF1380" s="7"/>
      <c r="BM1380" s="7"/>
      <c r="BT1380" s="7"/>
    </row>
    <row r="1381" spans="58:72" x14ac:dyDescent="0.55000000000000004">
      <c r="BF1381" s="7"/>
      <c r="BM1381" s="7"/>
      <c r="BT1381" s="7"/>
    </row>
    <row r="1382" spans="58:72" x14ac:dyDescent="0.55000000000000004">
      <c r="BF1382" s="7"/>
      <c r="BM1382" s="7"/>
      <c r="BT1382" s="7"/>
    </row>
    <row r="1383" spans="58:72" x14ac:dyDescent="0.55000000000000004">
      <c r="BF1383" s="7"/>
      <c r="BM1383" s="7"/>
      <c r="BT1383" s="7"/>
    </row>
    <row r="1384" spans="58:72" x14ac:dyDescent="0.55000000000000004">
      <c r="BF1384" s="7"/>
      <c r="BM1384" s="7"/>
      <c r="BT1384" s="7"/>
    </row>
    <row r="1385" spans="58:72" x14ac:dyDescent="0.55000000000000004">
      <c r="BF1385" s="7"/>
      <c r="BM1385" s="7"/>
      <c r="BT1385" s="7"/>
    </row>
    <row r="1386" spans="58:72" x14ac:dyDescent="0.55000000000000004">
      <c r="BF1386" s="7"/>
      <c r="BM1386" s="7"/>
      <c r="BT1386" s="7"/>
    </row>
    <row r="1387" spans="58:72" x14ac:dyDescent="0.55000000000000004">
      <c r="BF1387" s="7"/>
      <c r="BM1387" s="7"/>
      <c r="BT1387" s="7"/>
    </row>
    <row r="1388" spans="58:72" x14ac:dyDescent="0.55000000000000004">
      <c r="BF1388" s="7"/>
      <c r="BM1388" s="7"/>
      <c r="BT1388" s="7"/>
    </row>
    <row r="1389" spans="58:72" x14ac:dyDescent="0.55000000000000004">
      <c r="BF1389" s="7"/>
      <c r="BM1389" s="7"/>
      <c r="BT1389" s="7"/>
    </row>
    <row r="1390" spans="58:72" x14ac:dyDescent="0.55000000000000004">
      <c r="BF1390" s="7"/>
      <c r="BM1390" s="7"/>
      <c r="BT1390" s="7"/>
    </row>
    <row r="1391" spans="58:72" x14ac:dyDescent="0.55000000000000004">
      <c r="BF1391" s="7"/>
      <c r="BM1391" s="7"/>
      <c r="BT1391" s="7"/>
    </row>
    <row r="1392" spans="58:72" x14ac:dyDescent="0.55000000000000004">
      <c r="BF1392" s="7"/>
      <c r="BM1392" s="7"/>
      <c r="BT1392" s="7"/>
    </row>
    <row r="1393" spans="58:72" x14ac:dyDescent="0.55000000000000004">
      <c r="BF1393" s="7"/>
      <c r="BM1393" s="7"/>
      <c r="BT1393" s="7"/>
    </row>
    <row r="1394" spans="58:72" x14ac:dyDescent="0.55000000000000004">
      <c r="BF1394" s="7"/>
      <c r="BM1394" s="7"/>
      <c r="BT1394" s="7"/>
    </row>
    <row r="1395" spans="58:72" x14ac:dyDescent="0.55000000000000004">
      <c r="BF1395" s="7"/>
      <c r="BM1395" s="7"/>
      <c r="BT1395" s="7"/>
    </row>
    <row r="1396" spans="58:72" x14ac:dyDescent="0.55000000000000004">
      <c r="BF1396" s="7"/>
      <c r="BM1396" s="7"/>
      <c r="BT1396" s="7"/>
    </row>
    <row r="1397" spans="58:72" x14ac:dyDescent="0.55000000000000004">
      <c r="BF1397" s="7"/>
      <c r="BM1397" s="7"/>
      <c r="BT1397" s="7"/>
    </row>
    <row r="1398" spans="58:72" x14ac:dyDescent="0.55000000000000004">
      <c r="BF1398" s="7"/>
      <c r="BM1398" s="7"/>
      <c r="BT1398" s="7"/>
    </row>
    <row r="1399" spans="58:72" x14ac:dyDescent="0.55000000000000004">
      <c r="BF1399" s="7"/>
      <c r="BM1399" s="7"/>
      <c r="BT1399" s="7"/>
    </row>
    <row r="1400" spans="58:72" x14ac:dyDescent="0.55000000000000004">
      <c r="BF1400" s="7"/>
      <c r="BM1400" s="7"/>
      <c r="BT1400" s="7"/>
    </row>
    <row r="1401" spans="58:72" x14ac:dyDescent="0.55000000000000004">
      <c r="BF1401" s="7"/>
      <c r="BM1401" s="7"/>
      <c r="BT1401" s="7"/>
    </row>
    <row r="1402" spans="58:72" x14ac:dyDescent="0.55000000000000004">
      <c r="BF1402" s="7"/>
      <c r="BM1402" s="7"/>
      <c r="BT1402" s="7"/>
    </row>
    <row r="1403" spans="58:72" x14ac:dyDescent="0.55000000000000004">
      <c r="BF1403" s="7"/>
      <c r="BM1403" s="7"/>
      <c r="BT1403" s="7"/>
    </row>
    <row r="1404" spans="58:72" x14ac:dyDescent="0.55000000000000004">
      <c r="BF1404" s="7"/>
      <c r="BM1404" s="7"/>
      <c r="BT1404" s="7"/>
    </row>
    <row r="1405" spans="58:72" x14ac:dyDescent="0.55000000000000004">
      <c r="BF1405" s="7"/>
      <c r="BM1405" s="7"/>
      <c r="BT1405" s="7"/>
    </row>
    <row r="1406" spans="58:72" x14ac:dyDescent="0.55000000000000004">
      <c r="BF1406" s="7"/>
      <c r="BM1406" s="7"/>
      <c r="BT1406" s="7"/>
    </row>
    <row r="1407" spans="58:72" x14ac:dyDescent="0.55000000000000004">
      <c r="BF1407" s="7"/>
      <c r="BM1407" s="7"/>
      <c r="BT1407" s="7"/>
    </row>
    <row r="1408" spans="58:72" x14ac:dyDescent="0.55000000000000004">
      <c r="BF1408" s="7"/>
      <c r="BM1408" s="7"/>
      <c r="BT1408" s="7"/>
    </row>
    <row r="1409" spans="58:72" x14ac:dyDescent="0.55000000000000004">
      <c r="BF1409" s="7"/>
      <c r="BM1409" s="7"/>
      <c r="BT1409" s="7"/>
    </row>
    <row r="1410" spans="58:72" x14ac:dyDescent="0.55000000000000004">
      <c r="BF1410" s="7"/>
      <c r="BM1410" s="7"/>
      <c r="BT1410" s="7"/>
    </row>
    <row r="1411" spans="58:72" x14ac:dyDescent="0.55000000000000004">
      <c r="BF1411" s="7"/>
      <c r="BM1411" s="7"/>
      <c r="BT1411" s="7"/>
    </row>
    <row r="1412" spans="58:72" x14ac:dyDescent="0.55000000000000004">
      <c r="BF1412" s="7"/>
      <c r="BM1412" s="7"/>
      <c r="BT1412" s="7"/>
    </row>
    <row r="1413" spans="58:72" x14ac:dyDescent="0.55000000000000004">
      <c r="BF1413" s="7"/>
      <c r="BM1413" s="7"/>
      <c r="BT1413" s="7"/>
    </row>
    <row r="1414" spans="58:72" x14ac:dyDescent="0.55000000000000004">
      <c r="BF1414" s="7"/>
      <c r="BM1414" s="7"/>
      <c r="BT1414" s="7"/>
    </row>
    <row r="1415" spans="58:72" x14ac:dyDescent="0.55000000000000004">
      <c r="BF1415" s="7"/>
      <c r="BM1415" s="7"/>
      <c r="BT1415" s="7"/>
    </row>
    <row r="1416" spans="58:72" x14ac:dyDescent="0.55000000000000004">
      <c r="BF1416" s="7"/>
      <c r="BM1416" s="7"/>
      <c r="BT1416" s="7"/>
    </row>
    <row r="1417" spans="58:72" x14ac:dyDescent="0.55000000000000004">
      <c r="BF1417" s="7"/>
      <c r="BM1417" s="7"/>
      <c r="BT1417" s="7"/>
    </row>
    <row r="1418" spans="58:72" x14ac:dyDescent="0.55000000000000004">
      <c r="BF1418" s="7"/>
      <c r="BM1418" s="7"/>
      <c r="BT1418" s="7"/>
    </row>
    <row r="1419" spans="58:72" x14ac:dyDescent="0.55000000000000004">
      <c r="BF1419" s="7"/>
      <c r="BM1419" s="7"/>
      <c r="BT1419" s="7"/>
    </row>
    <row r="1420" spans="58:72" x14ac:dyDescent="0.55000000000000004">
      <c r="BF1420" s="7"/>
      <c r="BM1420" s="7"/>
      <c r="BT1420" s="7"/>
    </row>
    <row r="1421" spans="58:72" x14ac:dyDescent="0.55000000000000004">
      <c r="BF1421" s="7"/>
      <c r="BM1421" s="7"/>
      <c r="BT1421" s="7"/>
    </row>
    <row r="1422" spans="58:72" x14ac:dyDescent="0.55000000000000004">
      <c r="BF1422" s="7"/>
      <c r="BM1422" s="7"/>
      <c r="BT1422" s="7"/>
    </row>
    <row r="1423" spans="58:72" x14ac:dyDescent="0.55000000000000004">
      <c r="BF1423" s="7"/>
      <c r="BM1423" s="7"/>
      <c r="BT1423" s="7"/>
    </row>
    <row r="1424" spans="58:72" x14ac:dyDescent="0.55000000000000004">
      <c r="BF1424" s="7"/>
      <c r="BM1424" s="7"/>
      <c r="BT1424" s="7"/>
    </row>
    <row r="1425" spans="58:72" x14ac:dyDescent="0.55000000000000004">
      <c r="BF1425" s="7"/>
      <c r="BM1425" s="7"/>
      <c r="BT1425" s="7"/>
    </row>
    <row r="1426" spans="58:72" x14ac:dyDescent="0.55000000000000004">
      <c r="BF1426" s="7"/>
      <c r="BM1426" s="7"/>
      <c r="BT1426" s="7"/>
    </row>
    <row r="1427" spans="58:72" x14ac:dyDescent="0.55000000000000004">
      <c r="BF1427" s="7"/>
      <c r="BM1427" s="7"/>
      <c r="BT1427" s="7"/>
    </row>
    <row r="1428" spans="58:72" x14ac:dyDescent="0.55000000000000004">
      <c r="BF1428" s="7"/>
      <c r="BM1428" s="7"/>
      <c r="BT1428" s="7"/>
    </row>
    <row r="1429" spans="58:72" x14ac:dyDescent="0.55000000000000004">
      <c r="BF1429" s="7"/>
      <c r="BM1429" s="7"/>
      <c r="BT1429" s="7"/>
    </row>
    <row r="1430" spans="58:72" x14ac:dyDescent="0.55000000000000004">
      <c r="BF1430" s="7"/>
      <c r="BM1430" s="7"/>
      <c r="BT1430" s="7"/>
    </row>
    <row r="1431" spans="58:72" x14ac:dyDescent="0.55000000000000004">
      <c r="BF1431" s="7"/>
      <c r="BM1431" s="7"/>
      <c r="BT1431" s="7"/>
    </row>
    <row r="1432" spans="58:72" x14ac:dyDescent="0.55000000000000004">
      <c r="BF1432" s="7"/>
      <c r="BM1432" s="7"/>
      <c r="BT1432" s="7"/>
    </row>
    <row r="1433" spans="58:72" x14ac:dyDescent="0.55000000000000004">
      <c r="BF1433" s="7"/>
      <c r="BM1433" s="7"/>
      <c r="BT1433" s="7"/>
    </row>
    <row r="1434" spans="58:72" x14ac:dyDescent="0.55000000000000004">
      <c r="BF1434" s="7"/>
      <c r="BM1434" s="7"/>
      <c r="BT1434" s="7"/>
    </row>
    <row r="1435" spans="58:72" x14ac:dyDescent="0.55000000000000004">
      <c r="BF1435" s="7"/>
      <c r="BM1435" s="7"/>
      <c r="BT1435" s="7"/>
    </row>
    <row r="1436" spans="58:72" x14ac:dyDescent="0.55000000000000004">
      <c r="BF1436" s="7"/>
      <c r="BM1436" s="7"/>
      <c r="BT1436" s="7"/>
    </row>
    <row r="1437" spans="58:72" x14ac:dyDescent="0.55000000000000004">
      <c r="BF1437" s="7"/>
      <c r="BM1437" s="7"/>
      <c r="BT1437" s="7"/>
    </row>
    <row r="1438" spans="58:72" x14ac:dyDescent="0.55000000000000004">
      <c r="BF1438" s="7"/>
      <c r="BM1438" s="7"/>
      <c r="BT1438" s="7"/>
    </row>
    <row r="1439" spans="58:72" x14ac:dyDescent="0.55000000000000004">
      <c r="BF1439" s="7"/>
      <c r="BM1439" s="7"/>
      <c r="BT1439" s="7"/>
    </row>
    <row r="1440" spans="58:72" x14ac:dyDescent="0.55000000000000004">
      <c r="BF1440" s="7"/>
      <c r="BM1440" s="7"/>
      <c r="BT1440" s="7"/>
    </row>
    <row r="1441" spans="58:72" x14ac:dyDescent="0.55000000000000004">
      <c r="BF1441" s="7"/>
      <c r="BM1441" s="7"/>
      <c r="BT1441" s="7"/>
    </row>
    <row r="1442" spans="58:72" x14ac:dyDescent="0.55000000000000004">
      <c r="BF1442" s="7"/>
      <c r="BM1442" s="7"/>
      <c r="BT1442" s="7"/>
    </row>
    <row r="1443" spans="58:72" x14ac:dyDescent="0.55000000000000004">
      <c r="BF1443" s="7"/>
      <c r="BM1443" s="7"/>
      <c r="BT1443" s="7"/>
    </row>
    <row r="1444" spans="58:72" x14ac:dyDescent="0.55000000000000004">
      <c r="BF1444" s="7"/>
      <c r="BM1444" s="7"/>
      <c r="BT1444" s="7"/>
    </row>
    <row r="1445" spans="58:72" x14ac:dyDescent="0.55000000000000004">
      <c r="BF1445" s="7"/>
      <c r="BM1445" s="7"/>
      <c r="BT1445" s="7"/>
    </row>
    <row r="1446" spans="58:72" x14ac:dyDescent="0.55000000000000004">
      <c r="BF1446" s="7"/>
      <c r="BM1446" s="7"/>
      <c r="BT1446" s="7"/>
    </row>
    <row r="1447" spans="58:72" x14ac:dyDescent="0.55000000000000004">
      <c r="BF1447" s="7"/>
      <c r="BM1447" s="7"/>
      <c r="BT1447" s="7"/>
    </row>
    <row r="1448" spans="58:72" x14ac:dyDescent="0.55000000000000004">
      <c r="BF1448" s="7"/>
      <c r="BM1448" s="7"/>
      <c r="BT1448" s="7"/>
    </row>
    <row r="1449" spans="58:72" x14ac:dyDescent="0.55000000000000004">
      <c r="BF1449" s="7"/>
      <c r="BM1449" s="7"/>
      <c r="BT1449" s="7"/>
    </row>
    <row r="1450" spans="58:72" x14ac:dyDescent="0.55000000000000004">
      <c r="BF1450" s="7"/>
      <c r="BM1450" s="7"/>
      <c r="BT1450" s="7"/>
    </row>
    <row r="1451" spans="58:72" x14ac:dyDescent="0.55000000000000004">
      <c r="BF1451" s="7"/>
      <c r="BM1451" s="7"/>
      <c r="BT1451" s="7"/>
    </row>
    <row r="1452" spans="58:72" x14ac:dyDescent="0.55000000000000004">
      <c r="BF1452" s="7"/>
      <c r="BM1452" s="7"/>
      <c r="BT1452" s="7"/>
    </row>
    <row r="1453" spans="58:72" x14ac:dyDescent="0.55000000000000004">
      <c r="BF1453" s="7"/>
      <c r="BM1453" s="7"/>
      <c r="BT1453" s="7"/>
    </row>
    <row r="1454" spans="58:72" x14ac:dyDescent="0.55000000000000004">
      <c r="BF1454" s="7"/>
      <c r="BM1454" s="7"/>
      <c r="BT1454" s="7"/>
    </row>
    <row r="1455" spans="58:72" x14ac:dyDescent="0.55000000000000004">
      <c r="BF1455" s="7"/>
      <c r="BM1455" s="7"/>
      <c r="BT1455" s="7"/>
    </row>
    <row r="1456" spans="58:72" x14ac:dyDescent="0.55000000000000004">
      <c r="BF1456" s="7"/>
      <c r="BM1456" s="7"/>
      <c r="BT1456" s="7"/>
    </row>
    <row r="1457" spans="58:72" x14ac:dyDescent="0.55000000000000004">
      <c r="BF1457" s="7"/>
      <c r="BM1457" s="7"/>
      <c r="BT1457" s="7"/>
    </row>
    <row r="1458" spans="58:72" x14ac:dyDescent="0.55000000000000004">
      <c r="BF1458" s="7"/>
      <c r="BM1458" s="7"/>
      <c r="BT1458" s="7"/>
    </row>
    <row r="1459" spans="58:72" x14ac:dyDescent="0.55000000000000004">
      <c r="BF1459" s="7"/>
      <c r="BM1459" s="7"/>
      <c r="BT1459" s="7"/>
    </row>
    <row r="1460" spans="58:72" x14ac:dyDescent="0.55000000000000004">
      <c r="BF1460" s="7"/>
      <c r="BM1460" s="7"/>
      <c r="BT1460" s="7"/>
    </row>
    <row r="1461" spans="58:72" x14ac:dyDescent="0.55000000000000004">
      <c r="BF1461" s="7"/>
      <c r="BM1461" s="7"/>
      <c r="BT1461" s="7"/>
    </row>
    <row r="1462" spans="58:72" x14ac:dyDescent="0.55000000000000004">
      <c r="BF1462" s="7"/>
      <c r="BM1462" s="7"/>
      <c r="BT1462" s="7"/>
    </row>
    <row r="1463" spans="58:72" x14ac:dyDescent="0.55000000000000004">
      <c r="BF1463" s="7"/>
      <c r="BM1463" s="7"/>
      <c r="BT1463" s="7"/>
    </row>
    <row r="1464" spans="58:72" x14ac:dyDescent="0.55000000000000004">
      <c r="BF1464" s="7"/>
      <c r="BM1464" s="7"/>
      <c r="BT1464" s="7"/>
    </row>
    <row r="1465" spans="58:72" x14ac:dyDescent="0.55000000000000004">
      <c r="BF1465" s="7"/>
      <c r="BM1465" s="7"/>
      <c r="BT1465" s="7"/>
    </row>
    <row r="1466" spans="58:72" x14ac:dyDescent="0.55000000000000004">
      <c r="BF1466" s="7"/>
      <c r="BM1466" s="7"/>
      <c r="BT1466" s="7"/>
    </row>
    <row r="1467" spans="58:72" x14ac:dyDescent="0.55000000000000004">
      <c r="BF1467" s="7"/>
      <c r="BM1467" s="7"/>
      <c r="BT1467" s="7"/>
    </row>
    <row r="1468" spans="58:72" x14ac:dyDescent="0.55000000000000004">
      <c r="BF1468" s="7"/>
      <c r="BM1468" s="7"/>
      <c r="BT1468" s="7"/>
    </row>
    <row r="1469" spans="58:72" x14ac:dyDescent="0.55000000000000004">
      <c r="BF1469" s="7"/>
      <c r="BM1469" s="7"/>
      <c r="BT1469" s="7"/>
    </row>
    <row r="1470" spans="58:72" x14ac:dyDescent="0.55000000000000004">
      <c r="BF1470" s="7"/>
      <c r="BM1470" s="7"/>
      <c r="BT1470" s="7"/>
    </row>
    <row r="1471" spans="58:72" x14ac:dyDescent="0.55000000000000004">
      <c r="BF1471" s="7"/>
      <c r="BM1471" s="7"/>
      <c r="BT1471" s="7"/>
    </row>
    <row r="1472" spans="58:72" x14ac:dyDescent="0.55000000000000004">
      <c r="BF1472" s="7"/>
      <c r="BM1472" s="7"/>
      <c r="BT1472" s="7"/>
    </row>
    <row r="1473" spans="58:72" x14ac:dyDescent="0.55000000000000004">
      <c r="BF1473" s="7"/>
      <c r="BM1473" s="7"/>
      <c r="BT1473" s="7"/>
    </row>
    <row r="1474" spans="58:72" x14ac:dyDescent="0.55000000000000004">
      <c r="BF1474" s="7"/>
      <c r="BM1474" s="7"/>
      <c r="BT1474" s="7"/>
    </row>
    <row r="1475" spans="58:72" x14ac:dyDescent="0.55000000000000004">
      <c r="BF1475" s="7"/>
      <c r="BM1475" s="7"/>
      <c r="BT1475" s="7"/>
    </row>
    <row r="1476" spans="58:72" x14ac:dyDescent="0.55000000000000004">
      <c r="BF1476" s="7"/>
      <c r="BM1476" s="7"/>
      <c r="BT1476" s="7"/>
    </row>
    <row r="1477" spans="58:72" x14ac:dyDescent="0.55000000000000004">
      <c r="BF1477" s="7"/>
      <c r="BM1477" s="7"/>
      <c r="BT1477" s="7"/>
    </row>
    <row r="1478" spans="58:72" x14ac:dyDescent="0.55000000000000004">
      <c r="BF1478" s="7"/>
      <c r="BM1478" s="7"/>
      <c r="BT1478" s="7"/>
    </row>
    <row r="1479" spans="58:72" x14ac:dyDescent="0.55000000000000004">
      <c r="BF1479" s="7"/>
      <c r="BM1479" s="7"/>
      <c r="BT1479" s="7"/>
    </row>
    <row r="1480" spans="58:72" x14ac:dyDescent="0.55000000000000004">
      <c r="BF1480" s="7"/>
      <c r="BM1480" s="7"/>
      <c r="BT1480" s="7"/>
    </row>
    <row r="1481" spans="58:72" x14ac:dyDescent="0.55000000000000004">
      <c r="BF1481" s="7"/>
      <c r="BM1481" s="7"/>
      <c r="BT1481" s="7"/>
    </row>
    <row r="1482" spans="58:72" x14ac:dyDescent="0.55000000000000004">
      <c r="BF1482" s="7"/>
      <c r="BM1482" s="7"/>
      <c r="BT1482" s="7"/>
    </row>
    <row r="1483" spans="58:72" x14ac:dyDescent="0.55000000000000004">
      <c r="BF1483" s="7"/>
      <c r="BM1483" s="7"/>
      <c r="BT1483" s="7"/>
    </row>
    <row r="1484" spans="58:72" x14ac:dyDescent="0.55000000000000004">
      <c r="BF1484" s="7"/>
      <c r="BM1484" s="7"/>
      <c r="BT1484" s="7"/>
    </row>
    <row r="1485" spans="58:72" x14ac:dyDescent="0.55000000000000004">
      <c r="BF1485" s="7"/>
      <c r="BM1485" s="7"/>
      <c r="BT1485" s="7"/>
    </row>
    <row r="1486" spans="58:72" x14ac:dyDescent="0.55000000000000004">
      <c r="BF1486" s="7"/>
      <c r="BM1486" s="7"/>
      <c r="BT1486" s="7"/>
    </row>
    <row r="1487" spans="58:72" x14ac:dyDescent="0.55000000000000004">
      <c r="BF1487" s="7"/>
      <c r="BM1487" s="7"/>
      <c r="BT1487" s="7"/>
    </row>
    <row r="1488" spans="58:72" x14ac:dyDescent="0.55000000000000004">
      <c r="BF1488" s="7"/>
      <c r="BM1488" s="7"/>
      <c r="BT1488" s="7"/>
    </row>
    <row r="1489" spans="58:72" x14ac:dyDescent="0.55000000000000004">
      <c r="BF1489" s="7"/>
      <c r="BM1489" s="7"/>
      <c r="BT1489" s="7"/>
    </row>
    <row r="1490" spans="58:72" x14ac:dyDescent="0.55000000000000004">
      <c r="BF1490" s="7"/>
      <c r="BM1490" s="7"/>
      <c r="BT1490" s="7"/>
    </row>
    <row r="1491" spans="58:72" x14ac:dyDescent="0.55000000000000004">
      <c r="BF1491" s="7"/>
      <c r="BM1491" s="7"/>
      <c r="BT1491" s="7"/>
    </row>
    <row r="1492" spans="58:72" x14ac:dyDescent="0.55000000000000004">
      <c r="BF1492" s="7"/>
      <c r="BM1492" s="7"/>
      <c r="BT1492" s="7"/>
    </row>
    <row r="1493" spans="58:72" x14ac:dyDescent="0.55000000000000004">
      <c r="BF1493" s="7"/>
      <c r="BM1493" s="7"/>
      <c r="BT1493" s="7"/>
    </row>
    <row r="1494" spans="58:72" x14ac:dyDescent="0.55000000000000004">
      <c r="BF1494" s="7"/>
      <c r="BM1494" s="7"/>
      <c r="BT1494" s="7"/>
    </row>
    <row r="1495" spans="58:72" x14ac:dyDescent="0.55000000000000004">
      <c r="BF1495" s="7"/>
      <c r="BM1495" s="7"/>
      <c r="BT1495" s="7"/>
    </row>
    <row r="1496" spans="58:72" x14ac:dyDescent="0.55000000000000004">
      <c r="BF1496" s="7"/>
      <c r="BM1496" s="7"/>
      <c r="BT1496" s="7"/>
    </row>
    <row r="1497" spans="58:72" x14ac:dyDescent="0.55000000000000004">
      <c r="BF1497" s="7"/>
      <c r="BM1497" s="7"/>
      <c r="BT1497" s="7"/>
    </row>
    <row r="1498" spans="58:72" x14ac:dyDescent="0.55000000000000004">
      <c r="BF1498" s="7"/>
      <c r="BM1498" s="7"/>
      <c r="BT1498" s="7"/>
    </row>
    <row r="1499" spans="58:72" x14ac:dyDescent="0.55000000000000004">
      <c r="BF1499" s="7"/>
      <c r="BM1499" s="7"/>
      <c r="BT1499" s="7"/>
    </row>
    <row r="1500" spans="58:72" x14ac:dyDescent="0.55000000000000004">
      <c r="BF1500" s="7"/>
      <c r="BM1500" s="7"/>
      <c r="BT1500" s="7"/>
    </row>
    <row r="1501" spans="58:72" x14ac:dyDescent="0.55000000000000004">
      <c r="BF1501" s="7"/>
      <c r="BM1501" s="7"/>
      <c r="BT1501" s="7"/>
    </row>
    <row r="1502" spans="58:72" x14ac:dyDescent="0.55000000000000004">
      <c r="BF1502" s="7"/>
      <c r="BM1502" s="7"/>
      <c r="BT1502" s="7"/>
    </row>
    <row r="1503" spans="58:72" x14ac:dyDescent="0.55000000000000004">
      <c r="BF1503" s="7"/>
      <c r="BM1503" s="7"/>
      <c r="BT1503" s="7"/>
    </row>
    <row r="1504" spans="58:72" x14ac:dyDescent="0.55000000000000004">
      <c r="BF1504" s="7"/>
      <c r="BM1504" s="7"/>
      <c r="BT1504" s="7"/>
    </row>
    <row r="1505" spans="58:72" x14ac:dyDescent="0.55000000000000004">
      <c r="BF1505" s="7"/>
      <c r="BM1505" s="7"/>
      <c r="BT1505" s="7"/>
    </row>
    <row r="1506" spans="58:72" x14ac:dyDescent="0.55000000000000004">
      <c r="BF1506" s="7"/>
      <c r="BM1506" s="7"/>
      <c r="BT1506" s="7"/>
    </row>
    <row r="1507" spans="58:72" x14ac:dyDescent="0.55000000000000004">
      <c r="BF1507" s="7"/>
      <c r="BM1507" s="7"/>
      <c r="BT1507" s="7"/>
    </row>
    <row r="1508" spans="58:72" x14ac:dyDescent="0.55000000000000004">
      <c r="BF1508" s="7"/>
      <c r="BM1508" s="7"/>
      <c r="BT1508" s="7"/>
    </row>
    <row r="1509" spans="58:72" x14ac:dyDescent="0.55000000000000004">
      <c r="BF1509" s="7"/>
      <c r="BM1509" s="7"/>
      <c r="BT1509" s="7"/>
    </row>
    <row r="1510" spans="58:72" x14ac:dyDescent="0.55000000000000004">
      <c r="BF1510" s="7"/>
      <c r="BM1510" s="7"/>
      <c r="BT1510" s="7"/>
    </row>
    <row r="1511" spans="58:72" x14ac:dyDescent="0.55000000000000004">
      <c r="BF1511" s="7"/>
      <c r="BM1511" s="7"/>
      <c r="BT1511" s="7"/>
    </row>
    <row r="1512" spans="58:72" x14ac:dyDescent="0.55000000000000004">
      <c r="BF1512" s="7"/>
      <c r="BM1512" s="7"/>
      <c r="BT1512" s="7"/>
    </row>
    <row r="1513" spans="58:72" x14ac:dyDescent="0.55000000000000004">
      <c r="BF1513" s="7"/>
      <c r="BM1513" s="7"/>
      <c r="BT1513" s="7"/>
    </row>
    <row r="1514" spans="58:72" x14ac:dyDescent="0.55000000000000004">
      <c r="BF1514" s="7"/>
      <c r="BM1514" s="7"/>
      <c r="BT1514" s="7"/>
    </row>
    <row r="1515" spans="58:72" x14ac:dyDescent="0.55000000000000004">
      <c r="BF1515" s="7"/>
      <c r="BM1515" s="7"/>
      <c r="BT1515" s="7"/>
    </row>
    <row r="1516" spans="58:72" x14ac:dyDescent="0.55000000000000004">
      <c r="BF1516" s="7"/>
      <c r="BM1516" s="7"/>
      <c r="BT1516" s="7"/>
    </row>
    <row r="1517" spans="58:72" x14ac:dyDescent="0.55000000000000004">
      <c r="BF1517" s="7"/>
      <c r="BM1517" s="7"/>
      <c r="BT1517" s="7"/>
    </row>
    <row r="1518" spans="58:72" x14ac:dyDescent="0.55000000000000004">
      <c r="BF1518" s="7"/>
      <c r="BM1518" s="7"/>
      <c r="BT1518" s="7"/>
    </row>
    <row r="1519" spans="58:72" x14ac:dyDescent="0.55000000000000004">
      <c r="BF1519" s="7"/>
      <c r="BM1519" s="7"/>
      <c r="BT1519" s="7"/>
    </row>
    <row r="1520" spans="58:72" x14ac:dyDescent="0.55000000000000004">
      <c r="BF1520" s="7"/>
      <c r="BM1520" s="7"/>
      <c r="BT1520" s="7"/>
    </row>
    <row r="1521" spans="58:72" x14ac:dyDescent="0.55000000000000004">
      <c r="BF1521" s="7"/>
      <c r="BM1521" s="7"/>
      <c r="BT1521" s="7"/>
    </row>
    <row r="1522" spans="58:72" x14ac:dyDescent="0.55000000000000004">
      <c r="BF1522" s="7"/>
      <c r="BM1522" s="7"/>
      <c r="BT1522" s="7"/>
    </row>
    <row r="1523" spans="58:72" x14ac:dyDescent="0.55000000000000004">
      <c r="BF1523" s="7"/>
      <c r="BM1523" s="7"/>
      <c r="BT1523" s="7"/>
    </row>
    <row r="1524" spans="58:72" x14ac:dyDescent="0.55000000000000004">
      <c r="BF1524" s="7"/>
      <c r="BM1524" s="7"/>
      <c r="BT1524" s="7"/>
    </row>
    <row r="1525" spans="58:72" x14ac:dyDescent="0.55000000000000004">
      <c r="BF1525" s="7"/>
      <c r="BM1525" s="7"/>
      <c r="BT1525" s="7"/>
    </row>
    <row r="1526" spans="58:72" x14ac:dyDescent="0.55000000000000004">
      <c r="BF1526" s="7"/>
      <c r="BM1526" s="7"/>
      <c r="BT1526" s="7"/>
    </row>
    <row r="1527" spans="58:72" x14ac:dyDescent="0.55000000000000004">
      <c r="BF1527" s="7"/>
      <c r="BM1527" s="7"/>
      <c r="BT1527" s="7"/>
    </row>
    <row r="1528" spans="58:72" x14ac:dyDescent="0.55000000000000004">
      <c r="BF1528" s="7"/>
      <c r="BM1528" s="7"/>
      <c r="BT1528" s="7"/>
    </row>
    <row r="1529" spans="58:72" x14ac:dyDescent="0.55000000000000004">
      <c r="BF1529" s="7"/>
      <c r="BM1529" s="7"/>
      <c r="BT1529" s="7"/>
    </row>
    <row r="1530" spans="58:72" x14ac:dyDescent="0.55000000000000004">
      <c r="BF1530" s="7"/>
      <c r="BM1530" s="7"/>
      <c r="BT1530" s="7"/>
    </row>
    <row r="1531" spans="58:72" x14ac:dyDescent="0.55000000000000004">
      <c r="BF1531" s="7"/>
      <c r="BM1531" s="7"/>
      <c r="BT1531" s="7"/>
    </row>
    <row r="1532" spans="58:72" x14ac:dyDescent="0.55000000000000004">
      <c r="BF1532" s="7"/>
      <c r="BM1532" s="7"/>
      <c r="BT1532" s="7"/>
    </row>
    <row r="1533" spans="58:72" x14ac:dyDescent="0.55000000000000004">
      <c r="BF1533" s="7"/>
      <c r="BM1533" s="7"/>
      <c r="BT1533" s="7"/>
    </row>
    <row r="1534" spans="58:72" x14ac:dyDescent="0.55000000000000004">
      <c r="BF1534" s="7"/>
      <c r="BM1534" s="7"/>
      <c r="BT1534" s="7"/>
    </row>
    <row r="1535" spans="58:72" x14ac:dyDescent="0.55000000000000004">
      <c r="BF1535" s="7"/>
      <c r="BM1535" s="7"/>
      <c r="BT1535" s="7"/>
    </row>
    <row r="1536" spans="58:72" x14ac:dyDescent="0.55000000000000004">
      <c r="BF1536" s="7"/>
      <c r="BM1536" s="7"/>
      <c r="BT1536" s="7"/>
    </row>
    <row r="1537" spans="58:72" x14ac:dyDescent="0.55000000000000004">
      <c r="BF1537" s="7"/>
      <c r="BM1537" s="7"/>
      <c r="BT1537" s="7"/>
    </row>
    <row r="1538" spans="58:72" x14ac:dyDescent="0.55000000000000004">
      <c r="BF1538" s="7"/>
      <c r="BM1538" s="7"/>
      <c r="BT1538" s="7"/>
    </row>
    <row r="1539" spans="58:72" x14ac:dyDescent="0.55000000000000004">
      <c r="BF1539" s="7"/>
      <c r="BM1539" s="7"/>
      <c r="BT1539" s="7"/>
    </row>
    <row r="1540" spans="58:72" x14ac:dyDescent="0.55000000000000004">
      <c r="BF1540" s="7"/>
      <c r="BM1540" s="7"/>
      <c r="BT1540" s="7"/>
    </row>
    <row r="1541" spans="58:72" x14ac:dyDescent="0.55000000000000004">
      <c r="BF1541" s="7"/>
      <c r="BM1541" s="7"/>
      <c r="BT1541" s="7"/>
    </row>
    <row r="1542" spans="58:72" x14ac:dyDescent="0.55000000000000004">
      <c r="BF1542" s="7"/>
      <c r="BM1542" s="7"/>
      <c r="BT1542" s="7"/>
    </row>
    <row r="1543" spans="58:72" x14ac:dyDescent="0.55000000000000004">
      <c r="BF1543" s="7"/>
      <c r="BM1543" s="7"/>
      <c r="BT1543" s="7"/>
    </row>
    <row r="1544" spans="58:72" x14ac:dyDescent="0.55000000000000004">
      <c r="BF1544" s="7"/>
      <c r="BM1544" s="7"/>
      <c r="BT1544" s="7"/>
    </row>
    <row r="1545" spans="58:72" x14ac:dyDescent="0.55000000000000004">
      <c r="BF1545" s="7"/>
      <c r="BM1545" s="7"/>
      <c r="BT1545" s="7"/>
    </row>
    <row r="1546" spans="58:72" x14ac:dyDescent="0.55000000000000004">
      <c r="BF1546" s="7"/>
      <c r="BM1546" s="7"/>
      <c r="BT1546" s="7"/>
    </row>
    <row r="1547" spans="58:72" x14ac:dyDescent="0.55000000000000004">
      <c r="BF1547" s="7"/>
      <c r="BM1547" s="7"/>
      <c r="BT1547" s="7"/>
    </row>
    <row r="1548" spans="58:72" x14ac:dyDescent="0.55000000000000004">
      <c r="BF1548" s="7"/>
      <c r="BM1548" s="7"/>
      <c r="BT1548" s="7"/>
    </row>
    <row r="1549" spans="58:72" x14ac:dyDescent="0.55000000000000004">
      <c r="BF1549" s="7"/>
      <c r="BM1549" s="7"/>
      <c r="BT1549" s="7"/>
    </row>
    <row r="1550" spans="58:72" x14ac:dyDescent="0.55000000000000004">
      <c r="BF1550" s="7"/>
      <c r="BM1550" s="7"/>
      <c r="BT1550" s="7"/>
    </row>
    <row r="1551" spans="58:72" x14ac:dyDescent="0.55000000000000004">
      <c r="BF1551" s="7"/>
      <c r="BM1551" s="7"/>
      <c r="BT1551" s="7"/>
    </row>
    <row r="1552" spans="58:72" x14ac:dyDescent="0.55000000000000004">
      <c r="BF1552" s="7"/>
      <c r="BM1552" s="7"/>
      <c r="BT1552" s="7"/>
    </row>
    <row r="1553" spans="58:72" x14ac:dyDescent="0.55000000000000004">
      <c r="BF1553" s="7"/>
      <c r="BM1553" s="7"/>
      <c r="BT1553" s="7"/>
    </row>
    <row r="1554" spans="58:72" x14ac:dyDescent="0.55000000000000004">
      <c r="BF1554" s="7"/>
      <c r="BM1554" s="7"/>
      <c r="BT1554" s="7"/>
    </row>
    <row r="1555" spans="58:72" x14ac:dyDescent="0.55000000000000004">
      <c r="BF1555" s="7"/>
      <c r="BM1555" s="7"/>
      <c r="BT1555" s="7"/>
    </row>
    <row r="1556" spans="58:72" x14ac:dyDescent="0.55000000000000004">
      <c r="BF1556" s="7"/>
      <c r="BM1556" s="7"/>
      <c r="BT1556" s="7"/>
    </row>
    <row r="1557" spans="58:72" x14ac:dyDescent="0.55000000000000004">
      <c r="BF1557" s="7"/>
      <c r="BM1557" s="7"/>
      <c r="BT1557" s="7"/>
    </row>
    <row r="1558" spans="58:72" x14ac:dyDescent="0.55000000000000004">
      <c r="BF1558" s="7"/>
      <c r="BM1558" s="7"/>
      <c r="BT1558" s="7"/>
    </row>
    <row r="1559" spans="58:72" x14ac:dyDescent="0.55000000000000004">
      <c r="BF1559" s="7"/>
      <c r="BM1559" s="7"/>
      <c r="BT1559" s="7"/>
    </row>
    <row r="1560" spans="58:72" x14ac:dyDescent="0.55000000000000004">
      <c r="BF1560" s="7"/>
      <c r="BM1560" s="7"/>
      <c r="BT1560" s="7"/>
    </row>
    <row r="1561" spans="58:72" x14ac:dyDescent="0.55000000000000004">
      <c r="BF1561" s="7"/>
      <c r="BM1561" s="7"/>
      <c r="BT1561" s="7"/>
    </row>
    <row r="1562" spans="58:72" x14ac:dyDescent="0.55000000000000004">
      <c r="BF1562" s="7"/>
      <c r="BM1562" s="7"/>
      <c r="BT1562" s="7"/>
    </row>
    <row r="1563" spans="58:72" x14ac:dyDescent="0.55000000000000004">
      <c r="BF1563" s="7"/>
      <c r="BM1563" s="7"/>
      <c r="BT1563" s="7"/>
    </row>
    <row r="1564" spans="58:72" x14ac:dyDescent="0.55000000000000004">
      <c r="BF1564" s="7"/>
      <c r="BM1564" s="7"/>
      <c r="BT1564" s="7"/>
    </row>
    <row r="1565" spans="58:72" x14ac:dyDescent="0.55000000000000004">
      <c r="BF1565" s="7"/>
      <c r="BM1565" s="7"/>
      <c r="BT1565" s="7"/>
    </row>
    <row r="1566" spans="58:72" x14ac:dyDescent="0.55000000000000004">
      <c r="BF1566" s="7"/>
      <c r="BM1566" s="7"/>
      <c r="BT1566" s="7"/>
    </row>
    <row r="1567" spans="58:72" x14ac:dyDescent="0.55000000000000004">
      <c r="BF1567" s="7"/>
      <c r="BM1567" s="7"/>
      <c r="BT1567" s="7"/>
    </row>
    <row r="1568" spans="58:72" x14ac:dyDescent="0.55000000000000004">
      <c r="BF1568" s="7"/>
      <c r="BM1568" s="7"/>
      <c r="BT1568" s="7"/>
    </row>
    <row r="1569" spans="58:72" x14ac:dyDescent="0.55000000000000004">
      <c r="BF1569" s="7"/>
      <c r="BM1569" s="7"/>
      <c r="BT1569" s="7"/>
    </row>
    <row r="1570" spans="58:72" x14ac:dyDescent="0.55000000000000004">
      <c r="BF1570" s="7"/>
      <c r="BM1570" s="7"/>
      <c r="BT1570" s="7"/>
    </row>
    <row r="1571" spans="58:72" x14ac:dyDescent="0.55000000000000004">
      <c r="BF1571" s="7"/>
      <c r="BM1571" s="7"/>
      <c r="BT1571" s="7"/>
    </row>
    <row r="1572" spans="58:72" x14ac:dyDescent="0.55000000000000004">
      <c r="BF1572" s="7"/>
      <c r="BM1572" s="7"/>
      <c r="BT1572" s="7"/>
    </row>
    <row r="1573" spans="58:72" x14ac:dyDescent="0.55000000000000004">
      <c r="BF1573" s="7"/>
      <c r="BM1573" s="7"/>
      <c r="BT1573" s="7"/>
    </row>
    <row r="1574" spans="58:72" x14ac:dyDescent="0.55000000000000004">
      <c r="BF1574" s="7"/>
      <c r="BM1574" s="7"/>
      <c r="BT1574" s="7"/>
    </row>
    <row r="1575" spans="58:72" x14ac:dyDescent="0.55000000000000004">
      <c r="BF1575" s="7"/>
      <c r="BM1575" s="7"/>
      <c r="BT1575" s="7"/>
    </row>
    <row r="1576" spans="58:72" x14ac:dyDescent="0.55000000000000004">
      <c r="BF1576" s="7"/>
      <c r="BM1576" s="7"/>
      <c r="BT1576" s="7"/>
    </row>
    <row r="1577" spans="58:72" x14ac:dyDescent="0.55000000000000004">
      <c r="BF1577" s="7"/>
      <c r="BM1577" s="7"/>
      <c r="BT1577" s="7"/>
    </row>
    <row r="1578" spans="58:72" x14ac:dyDescent="0.55000000000000004">
      <c r="BF1578" s="7"/>
      <c r="BM1578" s="7"/>
      <c r="BT1578" s="7"/>
    </row>
    <row r="1579" spans="58:72" x14ac:dyDescent="0.55000000000000004">
      <c r="BF1579" s="7"/>
      <c r="BM1579" s="7"/>
      <c r="BT1579" s="7"/>
    </row>
    <row r="1580" spans="58:72" x14ac:dyDescent="0.55000000000000004">
      <c r="BF1580" s="7"/>
      <c r="BM1580" s="7"/>
      <c r="BT1580" s="7"/>
    </row>
    <row r="1581" spans="58:72" x14ac:dyDescent="0.55000000000000004">
      <c r="BF1581" s="7"/>
      <c r="BM1581" s="7"/>
      <c r="BT1581" s="7"/>
    </row>
    <row r="1582" spans="58:72" x14ac:dyDescent="0.55000000000000004">
      <c r="BF1582" s="7"/>
      <c r="BM1582" s="7"/>
      <c r="BT1582" s="7"/>
    </row>
    <row r="1583" spans="58:72" x14ac:dyDescent="0.55000000000000004">
      <c r="BF1583" s="7"/>
      <c r="BM1583" s="7"/>
      <c r="BT1583" s="7"/>
    </row>
    <row r="1584" spans="58:72" x14ac:dyDescent="0.55000000000000004">
      <c r="BF1584" s="7"/>
      <c r="BM1584" s="7"/>
      <c r="BT1584" s="7"/>
    </row>
    <row r="1585" spans="58:72" x14ac:dyDescent="0.55000000000000004">
      <c r="BF1585" s="7"/>
      <c r="BM1585" s="7"/>
      <c r="BT1585" s="7"/>
    </row>
    <row r="1586" spans="58:72" x14ac:dyDescent="0.55000000000000004">
      <c r="BF1586" s="7"/>
      <c r="BM1586" s="7"/>
      <c r="BT1586" s="7"/>
    </row>
    <row r="1587" spans="58:72" x14ac:dyDescent="0.55000000000000004">
      <c r="BF1587" s="7"/>
      <c r="BM1587" s="7"/>
      <c r="BT1587" s="7"/>
    </row>
    <row r="1588" spans="58:72" x14ac:dyDescent="0.55000000000000004">
      <c r="BF1588" s="7"/>
      <c r="BM1588" s="7"/>
      <c r="BT1588" s="7"/>
    </row>
    <row r="1589" spans="58:72" x14ac:dyDescent="0.55000000000000004">
      <c r="BF1589" s="7"/>
      <c r="BM1589" s="7"/>
      <c r="BT1589" s="7"/>
    </row>
    <row r="1590" spans="58:72" x14ac:dyDescent="0.55000000000000004">
      <c r="BF1590" s="7"/>
      <c r="BM1590" s="7"/>
      <c r="BT1590" s="7"/>
    </row>
    <row r="1591" spans="58:72" x14ac:dyDescent="0.55000000000000004">
      <c r="BF1591" s="7"/>
      <c r="BM1591" s="7"/>
      <c r="BT1591" s="7"/>
    </row>
    <row r="1592" spans="58:72" x14ac:dyDescent="0.55000000000000004">
      <c r="BF1592" s="7"/>
      <c r="BM1592" s="7"/>
      <c r="BT1592" s="7"/>
    </row>
    <row r="1593" spans="58:72" x14ac:dyDescent="0.55000000000000004">
      <c r="BF1593" s="7"/>
      <c r="BM1593" s="7"/>
      <c r="BT1593" s="7"/>
    </row>
    <row r="1594" spans="58:72" x14ac:dyDescent="0.55000000000000004">
      <c r="BF1594" s="7"/>
      <c r="BM1594" s="7"/>
      <c r="BT1594" s="7"/>
    </row>
    <row r="1595" spans="58:72" x14ac:dyDescent="0.55000000000000004">
      <c r="BF1595" s="7"/>
      <c r="BM1595" s="7"/>
      <c r="BT1595" s="7"/>
    </row>
    <row r="1596" spans="58:72" x14ac:dyDescent="0.55000000000000004">
      <c r="BF1596" s="7"/>
      <c r="BM1596" s="7"/>
      <c r="BT1596" s="7"/>
    </row>
    <row r="1597" spans="58:72" x14ac:dyDescent="0.55000000000000004">
      <c r="BF1597" s="7"/>
      <c r="BM1597" s="7"/>
      <c r="BT1597" s="7"/>
    </row>
    <row r="1598" spans="58:72" x14ac:dyDescent="0.55000000000000004">
      <c r="BF1598" s="7"/>
      <c r="BM1598" s="7"/>
      <c r="BT1598" s="7"/>
    </row>
    <row r="1599" spans="58:72" x14ac:dyDescent="0.55000000000000004">
      <c r="BF1599" s="7"/>
      <c r="BM1599" s="7"/>
      <c r="BT1599" s="7"/>
    </row>
    <row r="1600" spans="58:72" x14ac:dyDescent="0.55000000000000004">
      <c r="BF1600" s="7"/>
      <c r="BM1600" s="7"/>
      <c r="BT1600" s="7"/>
    </row>
    <row r="1601" spans="58:72" x14ac:dyDescent="0.55000000000000004">
      <c r="BF1601" s="7"/>
      <c r="BM1601" s="7"/>
      <c r="BT1601" s="7"/>
    </row>
    <row r="1602" spans="58:72" x14ac:dyDescent="0.55000000000000004">
      <c r="BF1602" s="7"/>
      <c r="BM1602" s="7"/>
      <c r="BT1602" s="7"/>
    </row>
    <row r="1603" spans="58:72" x14ac:dyDescent="0.55000000000000004">
      <c r="BF1603" s="7"/>
      <c r="BM1603" s="7"/>
      <c r="BT1603" s="7"/>
    </row>
    <row r="1604" spans="58:72" x14ac:dyDescent="0.55000000000000004">
      <c r="BF1604" s="7"/>
      <c r="BM1604" s="7"/>
      <c r="BT1604" s="7"/>
    </row>
    <row r="1605" spans="58:72" x14ac:dyDescent="0.55000000000000004">
      <c r="BF1605" s="7"/>
      <c r="BM1605" s="7"/>
      <c r="BT1605" s="7"/>
    </row>
    <row r="1606" spans="58:72" x14ac:dyDescent="0.55000000000000004">
      <c r="BF1606" s="7"/>
      <c r="BM1606" s="7"/>
      <c r="BT1606" s="7"/>
    </row>
    <row r="1607" spans="58:72" x14ac:dyDescent="0.55000000000000004">
      <c r="BF1607" s="7"/>
      <c r="BM1607" s="7"/>
      <c r="BT1607" s="7"/>
    </row>
    <row r="1608" spans="58:72" x14ac:dyDescent="0.55000000000000004">
      <c r="BF1608" s="7"/>
      <c r="BM1608" s="7"/>
      <c r="BT1608" s="7"/>
    </row>
    <row r="1609" spans="58:72" x14ac:dyDescent="0.55000000000000004">
      <c r="BF1609" s="7"/>
      <c r="BM1609" s="7"/>
      <c r="BT1609" s="7"/>
    </row>
    <row r="1610" spans="58:72" x14ac:dyDescent="0.55000000000000004">
      <c r="BF1610" s="7"/>
      <c r="BM1610" s="7"/>
      <c r="BT1610" s="7"/>
    </row>
    <row r="1611" spans="58:72" x14ac:dyDescent="0.55000000000000004">
      <c r="BF1611" s="7"/>
      <c r="BM1611" s="7"/>
      <c r="BT1611" s="7"/>
    </row>
    <row r="1612" spans="58:72" x14ac:dyDescent="0.55000000000000004">
      <c r="BF1612" s="7"/>
      <c r="BM1612" s="7"/>
      <c r="BT1612" s="7"/>
    </row>
    <row r="1613" spans="58:72" x14ac:dyDescent="0.55000000000000004">
      <c r="BF1613" s="7"/>
      <c r="BM1613" s="7"/>
      <c r="BT1613" s="7"/>
    </row>
    <row r="1614" spans="58:72" x14ac:dyDescent="0.55000000000000004">
      <c r="BF1614" s="7"/>
      <c r="BM1614" s="7"/>
      <c r="BT1614" s="7"/>
    </row>
    <row r="1615" spans="58:72" x14ac:dyDescent="0.55000000000000004">
      <c r="BF1615" s="7"/>
      <c r="BM1615" s="7"/>
      <c r="BT1615" s="7"/>
    </row>
    <row r="1616" spans="58:72" x14ac:dyDescent="0.55000000000000004">
      <c r="BF1616" s="7"/>
      <c r="BM1616" s="7"/>
      <c r="BT1616" s="7"/>
    </row>
    <row r="1617" spans="58:72" x14ac:dyDescent="0.55000000000000004">
      <c r="BF1617" s="7"/>
      <c r="BM1617" s="7"/>
      <c r="BT1617" s="7"/>
    </row>
    <row r="1618" spans="58:72" x14ac:dyDescent="0.55000000000000004">
      <c r="BF1618" s="7"/>
      <c r="BM1618" s="7"/>
      <c r="BT1618" s="7"/>
    </row>
    <row r="1619" spans="58:72" x14ac:dyDescent="0.55000000000000004">
      <c r="BF1619" s="7"/>
      <c r="BM1619" s="7"/>
      <c r="BT1619" s="7"/>
    </row>
    <row r="1620" spans="58:72" x14ac:dyDescent="0.55000000000000004">
      <c r="BF1620" s="7"/>
      <c r="BM1620" s="7"/>
      <c r="BT1620" s="7"/>
    </row>
    <row r="1621" spans="58:72" x14ac:dyDescent="0.55000000000000004">
      <c r="BF1621" s="7"/>
      <c r="BM1621" s="7"/>
      <c r="BT1621" s="7"/>
    </row>
    <row r="1622" spans="58:72" x14ac:dyDescent="0.55000000000000004">
      <c r="BF1622" s="7"/>
      <c r="BM1622" s="7"/>
      <c r="BT1622" s="7"/>
    </row>
    <row r="1623" spans="58:72" x14ac:dyDescent="0.55000000000000004">
      <c r="BF1623" s="7"/>
      <c r="BM1623" s="7"/>
      <c r="BT1623" s="7"/>
    </row>
    <row r="1624" spans="58:72" x14ac:dyDescent="0.55000000000000004">
      <c r="BF1624" s="7"/>
      <c r="BM1624" s="7"/>
      <c r="BT1624" s="7"/>
    </row>
    <row r="1625" spans="58:72" x14ac:dyDescent="0.55000000000000004">
      <c r="BF1625" s="7"/>
      <c r="BM1625" s="7"/>
      <c r="BT1625" s="7"/>
    </row>
    <row r="1626" spans="58:72" x14ac:dyDescent="0.55000000000000004">
      <c r="BF1626" s="7"/>
      <c r="BM1626" s="7"/>
      <c r="BT1626" s="7"/>
    </row>
    <row r="1627" spans="58:72" x14ac:dyDescent="0.55000000000000004">
      <c r="BF1627" s="7"/>
      <c r="BM1627" s="7"/>
      <c r="BT1627" s="7"/>
    </row>
    <row r="1628" spans="58:72" x14ac:dyDescent="0.55000000000000004">
      <c r="BF1628" s="7"/>
      <c r="BM1628" s="7"/>
      <c r="BT1628" s="7"/>
    </row>
    <row r="1629" spans="58:72" x14ac:dyDescent="0.55000000000000004">
      <c r="BF1629" s="7"/>
      <c r="BM1629" s="7"/>
      <c r="BT1629" s="7"/>
    </row>
    <row r="1630" spans="58:72" x14ac:dyDescent="0.55000000000000004">
      <c r="BF1630" s="7"/>
      <c r="BM1630" s="7"/>
      <c r="BT1630" s="7"/>
    </row>
    <row r="1631" spans="58:72" x14ac:dyDescent="0.55000000000000004">
      <c r="BF1631" s="7"/>
      <c r="BM1631" s="7"/>
      <c r="BT1631" s="7"/>
    </row>
    <row r="1632" spans="58:72" x14ac:dyDescent="0.55000000000000004">
      <c r="BF1632" s="7"/>
      <c r="BM1632" s="7"/>
      <c r="BT1632" s="7"/>
    </row>
    <row r="1633" spans="58:72" x14ac:dyDescent="0.55000000000000004">
      <c r="BF1633" s="7"/>
      <c r="BM1633" s="7"/>
      <c r="BT1633" s="7"/>
    </row>
    <row r="1634" spans="58:72" x14ac:dyDescent="0.55000000000000004">
      <c r="BF1634" s="7"/>
      <c r="BM1634" s="7"/>
      <c r="BT1634" s="7"/>
    </row>
    <row r="1635" spans="58:72" x14ac:dyDescent="0.55000000000000004">
      <c r="BF1635" s="7"/>
      <c r="BM1635" s="7"/>
      <c r="BT1635" s="7"/>
    </row>
    <row r="1636" spans="58:72" x14ac:dyDescent="0.55000000000000004">
      <c r="BF1636" s="7"/>
      <c r="BM1636" s="7"/>
      <c r="BT1636" s="7"/>
    </row>
    <row r="1637" spans="58:72" x14ac:dyDescent="0.55000000000000004">
      <c r="BF1637" s="7"/>
      <c r="BM1637" s="7"/>
      <c r="BT1637" s="7"/>
    </row>
    <row r="1638" spans="58:72" x14ac:dyDescent="0.55000000000000004">
      <c r="BF1638" s="7"/>
      <c r="BM1638" s="7"/>
      <c r="BT1638" s="7"/>
    </row>
    <row r="1639" spans="58:72" x14ac:dyDescent="0.55000000000000004">
      <c r="BF1639" s="7"/>
      <c r="BM1639" s="7"/>
      <c r="BT1639" s="7"/>
    </row>
    <row r="1640" spans="58:72" x14ac:dyDescent="0.55000000000000004">
      <c r="BF1640" s="7"/>
      <c r="BM1640" s="7"/>
      <c r="BT1640" s="7"/>
    </row>
    <row r="1641" spans="58:72" x14ac:dyDescent="0.55000000000000004">
      <c r="BF1641" s="7"/>
      <c r="BM1641" s="7"/>
      <c r="BT1641" s="7"/>
    </row>
    <row r="1642" spans="58:72" x14ac:dyDescent="0.55000000000000004">
      <c r="BF1642" s="7"/>
      <c r="BM1642" s="7"/>
      <c r="BT1642" s="7"/>
    </row>
    <row r="1643" spans="58:72" x14ac:dyDescent="0.55000000000000004">
      <c r="BF1643" s="7"/>
      <c r="BM1643" s="7"/>
      <c r="BT1643" s="7"/>
    </row>
    <row r="1644" spans="58:72" x14ac:dyDescent="0.55000000000000004">
      <c r="BF1644" s="7"/>
      <c r="BM1644" s="7"/>
      <c r="BT1644" s="7"/>
    </row>
    <row r="1645" spans="58:72" x14ac:dyDescent="0.55000000000000004">
      <c r="BF1645" s="7"/>
      <c r="BM1645" s="7"/>
      <c r="BT1645" s="7"/>
    </row>
    <row r="1646" spans="58:72" x14ac:dyDescent="0.55000000000000004">
      <c r="BF1646" s="7"/>
      <c r="BM1646" s="7"/>
      <c r="BT1646" s="7"/>
    </row>
    <row r="1647" spans="58:72" x14ac:dyDescent="0.55000000000000004">
      <c r="BF1647" s="7"/>
      <c r="BM1647" s="7"/>
      <c r="BT1647" s="7"/>
    </row>
    <row r="1648" spans="58:72" x14ac:dyDescent="0.55000000000000004">
      <c r="BF1648" s="7"/>
      <c r="BM1648" s="7"/>
      <c r="BT1648" s="7"/>
    </row>
    <row r="1649" spans="58:72" x14ac:dyDescent="0.55000000000000004">
      <c r="BF1649" s="7"/>
      <c r="BM1649" s="7"/>
      <c r="BT1649" s="7"/>
    </row>
    <row r="1650" spans="58:72" x14ac:dyDescent="0.55000000000000004">
      <c r="BF1650" s="7"/>
      <c r="BM1650" s="7"/>
      <c r="BT1650" s="7"/>
    </row>
    <row r="1651" spans="58:72" x14ac:dyDescent="0.55000000000000004">
      <c r="BF1651" s="7"/>
      <c r="BM1651" s="7"/>
      <c r="BT1651" s="7"/>
    </row>
    <row r="1652" spans="58:72" x14ac:dyDescent="0.55000000000000004">
      <c r="BF1652" s="7"/>
      <c r="BM1652" s="7"/>
      <c r="BT1652" s="7"/>
    </row>
    <row r="1653" spans="58:72" x14ac:dyDescent="0.55000000000000004">
      <c r="BF1653" s="7"/>
      <c r="BM1653" s="7"/>
      <c r="BT1653" s="7"/>
    </row>
    <row r="1654" spans="58:72" x14ac:dyDescent="0.55000000000000004">
      <c r="BF1654" s="7"/>
      <c r="BM1654" s="7"/>
      <c r="BT1654" s="7"/>
    </row>
    <row r="1655" spans="58:72" x14ac:dyDescent="0.55000000000000004">
      <c r="BF1655" s="7"/>
      <c r="BM1655" s="7"/>
      <c r="BT1655" s="7"/>
    </row>
    <row r="1656" spans="58:72" x14ac:dyDescent="0.55000000000000004">
      <c r="BF1656" s="7"/>
      <c r="BM1656" s="7"/>
      <c r="BT1656" s="7"/>
    </row>
    <row r="1657" spans="58:72" x14ac:dyDescent="0.55000000000000004">
      <c r="BF1657" s="7"/>
      <c r="BM1657" s="7"/>
      <c r="BT1657" s="7"/>
    </row>
    <row r="1658" spans="58:72" x14ac:dyDescent="0.55000000000000004">
      <c r="BF1658" s="7"/>
      <c r="BM1658" s="7"/>
      <c r="BT1658" s="7"/>
    </row>
    <row r="1659" spans="58:72" x14ac:dyDescent="0.55000000000000004">
      <c r="BF1659" s="7"/>
      <c r="BM1659" s="7"/>
      <c r="BT1659" s="7"/>
    </row>
    <row r="1660" spans="58:72" x14ac:dyDescent="0.55000000000000004">
      <c r="BF1660" s="7"/>
      <c r="BM1660" s="7"/>
      <c r="BT1660" s="7"/>
    </row>
    <row r="1661" spans="58:72" x14ac:dyDescent="0.55000000000000004">
      <c r="BF1661" s="7"/>
      <c r="BM1661" s="7"/>
      <c r="BT1661" s="7"/>
    </row>
    <row r="1662" spans="58:72" x14ac:dyDescent="0.55000000000000004">
      <c r="BF1662" s="7"/>
      <c r="BM1662" s="7"/>
      <c r="BT1662" s="7"/>
    </row>
    <row r="1663" spans="58:72" x14ac:dyDescent="0.55000000000000004">
      <c r="BF1663" s="7"/>
      <c r="BM1663" s="7"/>
      <c r="BT1663" s="7"/>
    </row>
    <row r="1664" spans="58:72" x14ac:dyDescent="0.55000000000000004">
      <c r="BF1664" s="7"/>
      <c r="BM1664" s="7"/>
      <c r="BT1664" s="7"/>
    </row>
    <row r="1665" spans="58:72" x14ac:dyDescent="0.55000000000000004">
      <c r="BF1665" s="7"/>
      <c r="BM1665" s="7"/>
      <c r="BT1665" s="7"/>
    </row>
    <row r="1666" spans="58:72" x14ac:dyDescent="0.55000000000000004">
      <c r="BF1666" s="7"/>
      <c r="BM1666" s="7"/>
      <c r="BT1666" s="7"/>
    </row>
    <row r="1667" spans="58:72" x14ac:dyDescent="0.55000000000000004">
      <c r="BF1667" s="7"/>
      <c r="BM1667" s="7"/>
      <c r="BT1667" s="7"/>
    </row>
    <row r="1668" spans="58:72" x14ac:dyDescent="0.55000000000000004">
      <c r="BF1668" s="7"/>
      <c r="BM1668" s="7"/>
      <c r="BT1668" s="7"/>
    </row>
    <row r="1669" spans="58:72" x14ac:dyDescent="0.55000000000000004">
      <c r="BF1669" s="7"/>
      <c r="BM1669" s="7"/>
      <c r="BT1669" s="7"/>
    </row>
    <row r="1670" spans="58:72" x14ac:dyDescent="0.55000000000000004">
      <c r="BF1670" s="7"/>
      <c r="BM1670" s="7"/>
      <c r="BT1670" s="7"/>
    </row>
    <row r="1671" spans="58:72" x14ac:dyDescent="0.55000000000000004">
      <c r="BF1671" s="7"/>
      <c r="BM1671" s="7"/>
      <c r="BT1671" s="7"/>
    </row>
    <row r="1672" spans="58:72" x14ac:dyDescent="0.55000000000000004">
      <c r="BF1672" s="7"/>
      <c r="BM1672" s="7"/>
      <c r="BT1672" s="7"/>
    </row>
    <row r="1673" spans="58:72" x14ac:dyDescent="0.55000000000000004">
      <c r="BF1673" s="7"/>
      <c r="BM1673" s="7"/>
      <c r="BT1673" s="7"/>
    </row>
    <row r="1674" spans="58:72" x14ac:dyDescent="0.55000000000000004">
      <c r="BF1674" s="7"/>
      <c r="BM1674" s="7"/>
      <c r="BT1674" s="7"/>
    </row>
    <row r="1675" spans="58:72" x14ac:dyDescent="0.55000000000000004">
      <c r="BF1675" s="7"/>
      <c r="BM1675" s="7"/>
      <c r="BT1675" s="7"/>
    </row>
    <row r="1676" spans="58:72" x14ac:dyDescent="0.55000000000000004">
      <c r="BF1676" s="7"/>
      <c r="BM1676" s="7"/>
      <c r="BT1676" s="7"/>
    </row>
    <row r="1677" spans="58:72" x14ac:dyDescent="0.55000000000000004">
      <c r="BF1677" s="7"/>
      <c r="BM1677" s="7"/>
      <c r="BT1677" s="7"/>
    </row>
    <row r="1678" spans="58:72" x14ac:dyDescent="0.55000000000000004">
      <c r="BF1678" s="7"/>
      <c r="BM1678" s="7"/>
      <c r="BT1678" s="7"/>
    </row>
    <row r="1679" spans="58:72" x14ac:dyDescent="0.55000000000000004">
      <c r="BF1679" s="7"/>
      <c r="BM1679" s="7"/>
      <c r="BT1679" s="7"/>
    </row>
    <row r="1680" spans="58:72" x14ac:dyDescent="0.55000000000000004">
      <c r="BF1680" s="7"/>
      <c r="BM1680" s="7"/>
      <c r="BT1680" s="7"/>
    </row>
    <row r="1681" spans="58:72" x14ac:dyDescent="0.55000000000000004">
      <c r="BF1681" s="7"/>
      <c r="BM1681" s="7"/>
      <c r="BT1681" s="7"/>
    </row>
    <row r="1682" spans="58:72" x14ac:dyDescent="0.55000000000000004">
      <c r="BF1682" s="7"/>
      <c r="BM1682" s="7"/>
      <c r="BT1682" s="7"/>
    </row>
    <row r="1683" spans="58:72" x14ac:dyDescent="0.55000000000000004">
      <c r="BF1683" s="7"/>
      <c r="BM1683" s="7"/>
      <c r="BT1683" s="7"/>
    </row>
    <row r="1684" spans="58:72" x14ac:dyDescent="0.55000000000000004">
      <c r="BF1684" s="7"/>
      <c r="BM1684" s="7"/>
      <c r="BT1684" s="7"/>
    </row>
    <row r="1685" spans="58:72" x14ac:dyDescent="0.55000000000000004">
      <c r="BF1685" s="7"/>
      <c r="BM1685" s="7"/>
      <c r="BT1685" s="7"/>
    </row>
    <row r="1686" spans="58:72" x14ac:dyDescent="0.55000000000000004">
      <c r="BF1686" s="7"/>
      <c r="BM1686" s="7"/>
      <c r="BT1686" s="7"/>
    </row>
    <row r="1687" spans="58:72" x14ac:dyDescent="0.55000000000000004">
      <c r="BF1687" s="7"/>
      <c r="BM1687" s="7"/>
      <c r="BT1687" s="7"/>
    </row>
    <row r="1688" spans="58:72" x14ac:dyDescent="0.55000000000000004">
      <c r="BF1688" s="7"/>
      <c r="BM1688" s="7"/>
      <c r="BT1688" s="7"/>
    </row>
    <row r="1689" spans="58:72" x14ac:dyDescent="0.55000000000000004">
      <c r="BF1689" s="7"/>
      <c r="BM1689" s="7"/>
      <c r="BT1689" s="7"/>
    </row>
    <row r="1690" spans="58:72" x14ac:dyDescent="0.55000000000000004">
      <c r="BF1690" s="7"/>
      <c r="BM1690" s="7"/>
      <c r="BT1690" s="7"/>
    </row>
    <row r="1691" spans="58:72" x14ac:dyDescent="0.55000000000000004">
      <c r="BF1691" s="7"/>
      <c r="BM1691" s="7"/>
      <c r="BT1691" s="7"/>
    </row>
    <row r="1692" spans="58:72" x14ac:dyDescent="0.55000000000000004">
      <c r="BF1692" s="7"/>
      <c r="BM1692" s="7"/>
      <c r="BT1692" s="7"/>
    </row>
    <row r="1693" spans="58:72" x14ac:dyDescent="0.55000000000000004">
      <c r="BF1693" s="7"/>
      <c r="BM1693" s="7"/>
      <c r="BT1693" s="7"/>
    </row>
    <row r="1694" spans="58:72" x14ac:dyDescent="0.55000000000000004">
      <c r="BF1694" s="7"/>
      <c r="BM1694" s="7"/>
      <c r="BT1694" s="7"/>
    </row>
    <row r="1695" spans="58:72" x14ac:dyDescent="0.55000000000000004">
      <c r="BF1695" s="7"/>
      <c r="BM1695" s="7"/>
      <c r="BT1695" s="7"/>
    </row>
    <row r="1696" spans="58:72" x14ac:dyDescent="0.55000000000000004">
      <c r="BF1696" s="7"/>
      <c r="BM1696" s="7"/>
      <c r="BT1696" s="7"/>
    </row>
    <row r="1697" spans="58:72" x14ac:dyDescent="0.55000000000000004">
      <c r="BF1697" s="7"/>
      <c r="BM1697" s="7"/>
      <c r="BT1697" s="7"/>
    </row>
    <row r="1698" spans="58:72" x14ac:dyDescent="0.55000000000000004">
      <c r="BF1698" s="7"/>
      <c r="BM1698" s="7"/>
      <c r="BT1698" s="7"/>
    </row>
    <row r="1699" spans="58:72" x14ac:dyDescent="0.55000000000000004">
      <c r="BF1699" s="7"/>
      <c r="BM1699" s="7"/>
      <c r="BT1699" s="7"/>
    </row>
    <row r="1700" spans="58:72" x14ac:dyDescent="0.55000000000000004">
      <c r="BF1700" s="7"/>
      <c r="BM1700" s="7"/>
      <c r="BT1700" s="7"/>
    </row>
    <row r="1701" spans="58:72" x14ac:dyDescent="0.55000000000000004">
      <c r="BF1701" s="7"/>
      <c r="BM1701" s="7"/>
      <c r="BT1701" s="7"/>
    </row>
    <row r="1702" spans="58:72" x14ac:dyDescent="0.55000000000000004">
      <c r="BF1702" s="7"/>
      <c r="BM1702" s="7"/>
      <c r="BT1702" s="7"/>
    </row>
    <row r="1703" spans="58:72" x14ac:dyDescent="0.55000000000000004">
      <c r="BF1703" s="7"/>
      <c r="BM1703" s="7"/>
      <c r="BT1703" s="7"/>
    </row>
    <row r="1704" spans="58:72" x14ac:dyDescent="0.55000000000000004">
      <c r="BF1704" s="7"/>
      <c r="BM1704" s="7"/>
      <c r="BT1704" s="7"/>
    </row>
    <row r="1705" spans="58:72" x14ac:dyDescent="0.55000000000000004">
      <c r="BF1705" s="7"/>
      <c r="BM1705" s="7"/>
      <c r="BT1705" s="7"/>
    </row>
    <row r="1706" spans="58:72" x14ac:dyDescent="0.55000000000000004">
      <c r="BF1706" s="7"/>
      <c r="BM1706" s="7"/>
      <c r="BT1706" s="7"/>
    </row>
    <row r="1707" spans="58:72" x14ac:dyDescent="0.55000000000000004">
      <c r="BF1707" s="7"/>
      <c r="BM1707" s="7"/>
      <c r="BT1707" s="7"/>
    </row>
    <row r="1708" spans="58:72" x14ac:dyDescent="0.55000000000000004">
      <c r="BF1708" s="7"/>
      <c r="BM1708" s="7"/>
      <c r="BT1708" s="7"/>
    </row>
    <row r="1709" spans="58:72" x14ac:dyDescent="0.55000000000000004">
      <c r="BF1709" s="7"/>
      <c r="BM1709" s="7"/>
      <c r="BT1709" s="7"/>
    </row>
    <row r="1710" spans="58:72" x14ac:dyDescent="0.55000000000000004">
      <c r="BF1710" s="7"/>
      <c r="BM1710" s="7"/>
      <c r="BT1710" s="7"/>
    </row>
    <row r="1711" spans="58:72" x14ac:dyDescent="0.55000000000000004">
      <c r="BF1711" s="7"/>
      <c r="BM1711" s="7"/>
      <c r="BT1711" s="7"/>
    </row>
    <row r="1712" spans="58:72" x14ac:dyDescent="0.55000000000000004">
      <c r="BF1712" s="7"/>
      <c r="BM1712" s="7"/>
      <c r="BT1712" s="7"/>
    </row>
    <row r="1713" spans="58:72" x14ac:dyDescent="0.55000000000000004">
      <c r="BF1713" s="7"/>
      <c r="BM1713" s="7"/>
      <c r="BT1713" s="7"/>
    </row>
    <row r="1714" spans="58:72" x14ac:dyDescent="0.55000000000000004">
      <c r="BF1714" s="7"/>
      <c r="BM1714" s="7"/>
      <c r="BT1714" s="7"/>
    </row>
    <row r="1715" spans="58:72" x14ac:dyDescent="0.55000000000000004">
      <c r="BF1715" s="7"/>
      <c r="BM1715" s="7"/>
      <c r="BT1715" s="7"/>
    </row>
    <row r="1716" spans="58:72" x14ac:dyDescent="0.55000000000000004">
      <c r="BF1716" s="7"/>
      <c r="BM1716" s="7"/>
      <c r="BT1716" s="7"/>
    </row>
    <row r="1717" spans="58:72" x14ac:dyDescent="0.55000000000000004">
      <c r="BF1717" s="7"/>
      <c r="BM1717" s="7"/>
      <c r="BT1717" s="7"/>
    </row>
    <row r="1718" spans="58:72" x14ac:dyDescent="0.55000000000000004">
      <c r="BF1718" s="7"/>
      <c r="BM1718" s="7"/>
      <c r="BT1718" s="7"/>
    </row>
    <row r="1719" spans="58:72" x14ac:dyDescent="0.55000000000000004">
      <c r="BF1719" s="7"/>
      <c r="BM1719" s="7"/>
      <c r="BT1719" s="7"/>
    </row>
    <row r="1720" spans="58:72" x14ac:dyDescent="0.55000000000000004">
      <c r="BF1720" s="7"/>
      <c r="BM1720" s="7"/>
      <c r="BT1720" s="7"/>
    </row>
    <row r="1721" spans="58:72" x14ac:dyDescent="0.55000000000000004">
      <c r="BF1721" s="7"/>
      <c r="BM1721" s="7"/>
      <c r="BT1721" s="7"/>
    </row>
    <row r="1722" spans="58:72" x14ac:dyDescent="0.55000000000000004">
      <c r="BF1722" s="7"/>
      <c r="BM1722" s="7"/>
      <c r="BT1722" s="7"/>
    </row>
    <row r="1723" spans="58:72" x14ac:dyDescent="0.55000000000000004">
      <c r="BF1723" s="7"/>
      <c r="BM1723" s="7"/>
      <c r="BT1723" s="7"/>
    </row>
    <row r="1724" spans="58:72" x14ac:dyDescent="0.55000000000000004">
      <c r="BF1724" s="7"/>
      <c r="BM1724" s="7"/>
      <c r="BT1724" s="7"/>
    </row>
    <row r="1725" spans="58:72" x14ac:dyDescent="0.55000000000000004">
      <c r="BF1725" s="7"/>
      <c r="BM1725" s="7"/>
      <c r="BT1725" s="7"/>
    </row>
    <row r="1726" spans="58:72" x14ac:dyDescent="0.55000000000000004">
      <c r="BF1726" s="7"/>
      <c r="BM1726" s="7"/>
      <c r="BT1726" s="7"/>
    </row>
    <row r="1727" spans="58:72" x14ac:dyDescent="0.55000000000000004">
      <c r="BF1727" s="7"/>
      <c r="BM1727" s="7"/>
      <c r="BT1727" s="7"/>
    </row>
    <row r="1728" spans="58:72" x14ac:dyDescent="0.55000000000000004">
      <c r="BF1728" s="7"/>
      <c r="BM1728" s="7"/>
      <c r="BT1728" s="7"/>
    </row>
    <row r="1729" spans="58:72" x14ac:dyDescent="0.55000000000000004">
      <c r="BF1729" s="7"/>
      <c r="BM1729" s="7"/>
      <c r="BT1729" s="7"/>
    </row>
    <row r="1730" spans="58:72" x14ac:dyDescent="0.55000000000000004">
      <c r="BF1730" s="7"/>
      <c r="BM1730" s="7"/>
      <c r="BT1730" s="7"/>
    </row>
    <row r="1731" spans="58:72" x14ac:dyDescent="0.55000000000000004">
      <c r="BF1731" s="7"/>
      <c r="BM1731" s="7"/>
      <c r="BT1731" s="7"/>
    </row>
    <row r="1732" spans="58:72" x14ac:dyDescent="0.55000000000000004">
      <c r="BF1732" s="7"/>
      <c r="BM1732" s="7"/>
      <c r="BT1732" s="7"/>
    </row>
    <row r="1733" spans="58:72" x14ac:dyDescent="0.55000000000000004">
      <c r="BF1733" s="7"/>
      <c r="BM1733" s="7"/>
      <c r="BT1733" s="7"/>
    </row>
    <row r="1734" spans="58:72" x14ac:dyDescent="0.55000000000000004">
      <c r="BF1734" s="7"/>
      <c r="BM1734" s="7"/>
      <c r="BT1734" s="7"/>
    </row>
    <row r="1735" spans="58:72" x14ac:dyDescent="0.55000000000000004">
      <c r="BF1735" s="7"/>
      <c r="BM1735" s="7"/>
      <c r="BT1735" s="7"/>
    </row>
    <row r="1736" spans="58:72" x14ac:dyDescent="0.55000000000000004">
      <c r="BF1736" s="7"/>
      <c r="BM1736" s="7"/>
      <c r="BT1736" s="7"/>
    </row>
    <row r="1737" spans="58:72" x14ac:dyDescent="0.55000000000000004">
      <c r="BF1737" s="7"/>
      <c r="BM1737" s="7"/>
      <c r="BT1737" s="7"/>
    </row>
    <row r="1738" spans="58:72" x14ac:dyDescent="0.55000000000000004">
      <c r="BF1738" s="7"/>
      <c r="BM1738" s="7"/>
      <c r="BT1738" s="7"/>
    </row>
    <row r="1739" spans="58:72" x14ac:dyDescent="0.55000000000000004">
      <c r="BF1739" s="7"/>
      <c r="BM1739" s="7"/>
      <c r="BT1739" s="7"/>
    </row>
    <row r="1740" spans="58:72" x14ac:dyDescent="0.55000000000000004">
      <c r="BF1740" s="7"/>
      <c r="BM1740" s="7"/>
      <c r="BT1740" s="7"/>
    </row>
    <row r="1741" spans="58:72" x14ac:dyDescent="0.55000000000000004">
      <c r="BF1741" s="7"/>
      <c r="BM1741" s="7"/>
      <c r="BT1741" s="7"/>
    </row>
    <row r="1742" spans="58:72" x14ac:dyDescent="0.55000000000000004">
      <c r="BF1742" s="7"/>
      <c r="BM1742" s="7"/>
      <c r="BT1742" s="7"/>
    </row>
    <row r="1743" spans="58:72" x14ac:dyDescent="0.55000000000000004">
      <c r="BF1743" s="7"/>
      <c r="BM1743" s="7"/>
      <c r="BT1743" s="7"/>
    </row>
    <row r="1744" spans="58:72" x14ac:dyDescent="0.55000000000000004">
      <c r="BF1744" s="7"/>
      <c r="BM1744" s="7"/>
      <c r="BT1744" s="7"/>
    </row>
    <row r="1745" spans="58:72" x14ac:dyDescent="0.55000000000000004">
      <c r="BF1745" s="7"/>
      <c r="BM1745" s="7"/>
      <c r="BT1745" s="7"/>
    </row>
    <row r="1746" spans="58:72" x14ac:dyDescent="0.55000000000000004">
      <c r="BF1746" s="7"/>
      <c r="BM1746" s="7"/>
      <c r="BT1746" s="7"/>
    </row>
    <row r="1747" spans="58:72" x14ac:dyDescent="0.55000000000000004">
      <c r="BF1747" s="7"/>
      <c r="BM1747" s="7"/>
      <c r="BT1747" s="7"/>
    </row>
    <row r="1748" spans="58:72" x14ac:dyDescent="0.55000000000000004">
      <c r="BF1748" s="7"/>
      <c r="BM1748" s="7"/>
      <c r="BT1748" s="7"/>
    </row>
    <row r="1749" spans="58:72" x14ac:dyDescent="0.55000000000000004">
      <c r="BF1749" s="7"/>
      <c r="BM1749" s="7"/>
      <c r="BT1749" s="7"/>
    </row>
    <row r="1750" spans="58:72" x14ac:dyDescent="0.55000000000000004">
      <c r="BF1750" s="7"/>
      <c r="BM1750" s="7"/>
      <c r="BT1750" s="7"/>
    </row>
    <row r="1751" spans="58:72" x14ac:dyDescent="0.55000000000000004">
      <c r="BF1751" s="7"/>
      <c r="BM1751" s="7"/>
      <c r="BT1751" s="7"/>
    </row>
    <row r="1752" spans="58:72" x14ac:dyDescent="0.55000000000000004">
      <c r="BF1752" s="7"/>
      <c r="BM1752" s="7"/>
      <c r="BT1752" s="7"/>
    </row>
    <row r="1753" spans="58:72" x14ac:dyDescent="0.55000000000000004">
      <c r="BF1753" s="7"/>
      <c r="BM1753" s="7"/>
      <c r="BT1753" s="7"/>
    </row>
    <row r="1754" spans="58:72" x14ac:dyDescent="0.55000000000000004">
      <c r="BF1754" s="7"/>
      <c r="BM1754" s="7"/>
      <c r="BT1754" s="7"/>
    </row>
    <row r="1755" spans="58:72" x14ac:dyDescent="0.55000000000000004">
      <c r="BF1755" s="7"/>
      <c r="BM1755" s="7"/>
      <c r="BT1755" s="7"/>
    </row>
    <row r="1756" spans="58:72" x14ac:dyDescent="0.55000000000000004">
      <c r="BF1756" s="7"/>
      <c r="BM1756" s="7"/>
      <c r="BT1756" s="7"/>
    </row>
    <row r="1757" spans="58:72" x14ac:dyDescent="0.55000000000000004">
      <c r="BF1757" s="7"/>
      <c r="BM1757" s="7"/>
      <c r="BT1757" s="7"/>
    </row>
    <row r="1758" spans="58:72" x14ac:dyDescent="0.55000000000000004">
      <c r="BF1758" s="7"/>
      <c r="BM1758" s="7"/>
      <c r="BT1758" s="7"/>
    </row>
    <row r="1759" spans="58:72" x14ac:dyDescent="0.55000000000000004">
      <c r="BF1759" s="7"/>
      <c r="BM1759" s="7"/>
      <c r="BT1759" s="7"/>
    </row>
    <row r="1760" spans="58:72" x14ac:dyDescent="0.55000000000000004">
      <c r="BF1760" s="7"/>
      <c r="BM1760" s="7"/>
      <c r="BT1760" s="7"/>
    </row>
    <row r="1761" spans="58:72" x14ac:dyDescent="0.55000000000000004">
      <c r="BF1761" s="7"/>
      <c r="BM1761" s="7"/>
      <c r="BT1761" s="7"/>
    </row>
    <row r="1762" spans="58:72" x14ac:dyDescent="0.55000000000000004">
      <c r="BF1762" s="7"/>
      <c r="BM1762" s="7"/>
      <c r="BT1762" s="7"/>
    </row>
    <row r="1763" spans="58:72" x14ac:dyDescent="0.55000000000000004">
      <c r="BF1763" s="7"/>
      <c r="BM1763" s="7"/>
      <c r="BT1763" s="7"/>
    </row>
    <row r="1764" spans="58:72" x14ac:dyDescent="0.55000000000000004">
      <c r="BF1764" s="7"/>
      <c r="BM1764" s="7"/>
      <c r="BT1764" s="7"/>
    </row>
    <row r="1765" spans="58:72" x14ac:dyDescent="0.55000000000000004">
      <c r="BF1765" s="7"/>
      <c r="BM1765" s="7"/>
      <c r="BT1765" s="7"/>
    </row>
    <row r="1766" spans="58:72" x14ac:dyDescent="0.55000000000000004">
      <c r="BF1766" s="7"/>
      <c r="BM1766" s="7"/>
      <c r="BT1766" s="7"/>
    </row>
    <row r="1767" spans="58:72" x14ac:dyDescent="0.55000000000000004">
      <c r="BF1767" s="7"/>
      <c r="BM1767" s="7"/>
      <c r="BT1767" s="7"/>
    </row>
    <row r="1768" spans="58:72" x14ac:dyDescent="0.55000000000000004">
      <c r="BF1768" s="7"/>
      <c r="BM1768" s="7"/>
      <c r="BT1768" s="7"/>
    </row>
    <row r="1769" spans="58:72" x14ac:dyDescent="0.55000000000000004">
      <c r="BF1769" s="7"/>
      <c r="BM1769" s="7"/>
      <c r="BT1769" s="7"/>
    </row>
    <row r="1770" spans="58:72" x14ac:dyDescent="0.55000000000000004">
      <c r="BF1770" s="7"/>
      <c r="BM1770" s="7"/>
      <c r="BT1770" s="7"/>
    </row>
    <row r="1771" spans="58:72" x14ac:dyDescent="0.55000000000000004">
      <c r="BF1771" s="7"/>
      <c r="BM1771" s="7"/>
      <c r="BT1771" s="7"/>
    </row>
    <row r="1772" spans="58:72" x14ac:dyDescent="0.55000000000000004">
      <c r="BF1772" s="7"/>
      <c r="BM1772" s="7"/>
      <c r="BT1772" s="7"/>
    </row>
    <row r="1773" spans="58:72" x14ac:dyDescent="0.55000000000000004">
      <c r="BF1773" s="7"/>
      <c r="BM1773" s="7"/>
      <c r="BT1773" s="7"/>
    </row>
    <row r="1774" spans="58:72" x14ac:dyDescent="0.55000000000000004">
      <c r="BF1774" s="7"/>
      <c r="BM1774" s="7"/>
      <c r="BT1774" s="7"/>
    </row>
    <row r="1775" spans="58:72" x14ac:dyDescent="0.55000000000000004">
      <c r="BF1775" s="7"/>
      <c r="BM1775" s="7"/>
      <c r="BT1775" s="7"/>
    </row>
    <row r="1776" spans="58:72" x14ac:dyDescent="0.55000000000000004">
      <c r="BF1776" s="7"/>
      <c r="BM1776" s="7"/>
      <c r="BT1776" s="7"/>
    </row>
    <row r="1777" spans="58:72" x14ac:dyDescent="0.55000000000000004">
      <c r="BF1777" s="7"/>
      <c r="BM1777" s="7"/>
      <c r="BT1777" s="7"/>
    </row>
    <row r="1778" spans="58:72" x14ac:dyDescent="0.55000000000000004">
      <c r="BF1778" s="7"/>
      <c r="BM1778" s="7"/>
      <c r="BT1778" s="7"/>
    </row>
    <row r="1779" spans="58:72" x14ac:dyDescent="0.55000000000000004">
      <c r="BF1779" s="7"/>
      <c r="BM1779" s="7"/>
      <c r="BT1779" s="7"/>
    </row>
    <row r="1780" spans="58:72" x14ac:dyDescent="0.55000000000000004">
      <c r="BF1780" s="7"/>
      <c r="BM1780" s="7"/>
      <c r="BT1780" s="7"/>
    </row>
    <row r="1781" spans="58:72" x14ac:dyDescent="0.55000000000000004">
      <c r="BF1781" s="7"/>
      <c r="BM1781" s="7"/>
      <c r="BT1781" s="7"/>
    </row>
    <row r="1782" spans="58:72" x14ac:dyDescent="0.55000000000000004">
      <c r="BF1782" s="7"/>
      <c r="BM1782" s="7"/>
      <c r="BT1782" s="7"/>
    </row>
    <row r="1783" spans="58:72" x14ac:dyDescent="0.55000000000000004">
      <c r="BF1783" s="7"/>
      <c r="BM1783" s="7"/>
      <c r="BT1783" s="7"/>
    </row>
    <row r="1784" spans="58:72" x14ac:dyDescent="0.55000000000000004">
      <c r="BF1784" s="7"/>
      <c r="BM1784" s="7"/>
      <c r="BT1784" s="7"/>
    </row>
    <row r="1785" spans="58:72" x14ac:dyDescent="0.55000000000000004">
      <c r="BF1785" s="7"/>
      <c r="BM1785" s="7"/>
      <c r="BT1785" s="7"/>
    </row>
    <row r="1786" spans="58:72" x14ac:dyDescent="0.55000000000000004">
      <c r="BF1786" s="7"/>
      <c r="BM1786" s="7"/>
      <c r="BT1786" s="7"/>
    </row>
    <row r="1787" spans="58:72" x14ac:dyDescent="0.55000000000000004">
      <c r="BF1787" s="7"/>
      <c r="BM1787" s="7"/>
      <c r="BT1787" s="7"/>
    </row>
    <row r="1788" spans="58:72" x14ac:dyDescent="0.55000000000000004">
      <c r="BF1788" s="7"/>
      <c r="BM1788" s="7"/>
      <c r="BT1788" s="7"/>
    </row>
    <row r="1789" spans="58:72" x14ac:dyDescent="0.55000000000000004">
      <c r="BF1789" s="7"/>
      <c r="BM1789" s="7"/>
      <c r="BT1789" s="7"/>
    </row>
    <row r="1790" spans="58:72" x14ac:dyDescent="0.55000000000000004">
      <c r="BF1790" s="7"/>
      <c r="BM1790" s="7"/>
      <c r="BT1790" s="7"/>
    </row>
    <row r="1791" spans="58:72" x14ac:dyDescent="0.55000000000000004">
      <c r="BF1791" s="7"/>
      <c r="BM1791" s="7"/>
      <c r="BT1791" s="7"/>
    </row>
    <row r="1792" spans="58:72" x14ac:dyDescent="0.55000000000000004">
      <c r="BF1792" s="7"/>
      <c r="BM1792" s="7"/>
      <c r="BT1792" s="7"/>
    </row>
    <row r="1793" spans="58:72" x14ac:dyDescent="0.55000000000000004">
      <c r="BF1793" s="7"/>
      <c r="BM1793" s="7"/>
      <c r="BT1793" s="7"/>
    </row>
    <row r="1794" spans="58:72" x14ac:dyDescent="0.55000000000000004">
      <c r="BF1794" s="7"/>
      <c r="BM1794" s="7"/>
      <c r="BT1794" s="7"/>
    </row>
    <row r="1795" spans="58:72" x14ac:dyDescent="0.55000000000000004">
      <c r="BF1795" s="7"/>
      <c r="BM1795" s="7"/>
      <c r="BT1795" s="7"/>
    </row>
    <row r="1796" spans="58:72" x14ac:dyDescent="0.55000000000000004">
      <c r="BF1796" s="7"/>
      <c r="BM1796" s="7"/>
      <c r="BT1796" s="7"/>
    </row>
    <row r="1797" spans="58:72" x14ac:dyDescent="0.55000000000000004">
      <c r="BF1797" s="7"/>
      <c r="BM1797" s="7"/>
      <c r="BT1797" s="7"/>
    </row>
    <row r="1798" spans="58:72" x14ac:dyDescent="0.55000000000000004">
      <c r="BF1798" s="7"/>
      <c r="BM1798" s="7"/>
      <c r="BT1798" s="7"/>
    </row>
    <row r="1799" spans="58:72" x14ac:dyDescent="0.55000000000000004">
      <c r="BF1799" s="7"/>
      <c r="BM1799" s="7"/>
      <c r="BT1799" s="7"/>
    </row>
    <row r="1800" spans="58:72" x14ac:dyDescent="0.55000000000000004">
      <c r="BF1800" s="7"/>
      <c r="BM1800" s="7"/>
      <c r="BT1800" s="7"/>
    </row>
    <row r="1801" spans="58:72" x14ac:dyDescent="0.55000000000000004">
      <c r="BF1801" s="7"/>
      <c r="BM1801" s="7"/>
      <c r="BT1801" s="7"/>
    </row>
    <row r="1802" spans="58:72" x14ac:dyDescent="0.55000000000000004">
      <c r="BF1802" s="7"/>
      <c r="BM1802" s="7"/>
      <c r="BT1802" s="7"/>
    </row>
    <row r="1803" spans="58:72" x14ac:dyDescent="0.55000000000000004">
      <c r="BF1803" s="7"/>
      <c r="BM1803" s="7"/>
      <c r="BT1803" s="7"/>
    </row>
    <row r="1804" spans="58:72" x14ac:dyDescent="0.55000000000000004">
      <c r="BF1804" s="7"/>
      <c r="BM1804" s="7"/>
      <c r="BT1804" s="7"/>
    </row>
    <row r="1805" spans="58:72" x14ac:dyDescent="0.55000000000000004">
      <c r="BF1805" s="7"/>
      <c r="BM1805" s="7"/>
      <c r="BT1805" s="7"/>
    </row>
    <row r="1806" spans="58:72" x14ac:dyDescent="0.55000000000000004">
      <c r="BF1806" s="7"/>
      <c r="BM1806" s="7"/>
      <c r="BT1806" s="7"/>
    </row>
    <row r="1807" spans="58:72" x14ac:dyDescent="0.55000000000000004">
      <c r="BF1807" s="7"/>
      <c r="BM1807" s="7"/>
      <c r="BT1807" s="7"/>
    </row>
    <row r="1808" spans="58:72" x14ac:dyDescent="0.55000000000000004">
      <c r="BF1808" s="7"/>
      <c r="BM1808" s="7"/>
      <c r="BT1808" s="7"/>
    </row>
    <row r="1809" spans="58:72" x14ac:dyDescent="0.55000000000000004">
      <c r="BF1809" s="7"/>
      <c r="BM1809" s="7"/>
      <c r="BT1809" s="7"/>
    </row>
    <row r="1810" spans="58:72" x14ac:dyDescent="0.55000000000000004">
      <c r="BF1810" s="7"/>
      <c r="BM1810" s="7"/>
      <c r="BT1810" s="7"/>
    </row>
    <row r="1811" spans="58:72" x14ac:dyDescent="0.55000000000000004">
      <c r="BF1811" s="7"/>
      <c r="BM1811" s="7"/>
      <c r="BT1811" s="7"/>
    </row>
    <row r="1812" spans="58:72" x14ac:dyDescent="0.55000000000000004">
      <c r="BF1812" s="7"/>
      <c r="BM1812" s="7"/>
      <c r="BT1812" s="7"/>
    </row>
    <row r="1813" spans="58:72" x14ac:dyDescent="0.55000000000000004">
      <c r="BF1813" s="7"/>
      <c r="BM1813" s="7"/>
      <c r="BT1813" s="7"/>
    </row>
    <row r="1814" spans="58:72" x14ac:dyDescent="0.55000000000000004">
      <c r="BF1814" s="7"/>
      <c r="BM1814" s="7"/>
      <c r="BT1814" s="7"/>
    </row>
    <row r="1815" spans="58:72" x14ac:dyDescent="0.55000000000000004">
      <c r="BF1815" s="7"/>
      <c r="BM1815" s="7"/>
      <c r="BT1815" s="7"/>
    </row>
    <row r="1816" spans="58:72" x14ac:dyDescent="0.55000000000000004">
      <c r="BF1816" s="7"/>
      <c r="BM1816" s="7"/>
      <c r="BT1816" s="7"/>
    </row>
    <row r="1817" spans="58:72" x14ac:dyDescent="0.55000000000000004">
      <c r="BF1817" s="7"/>
      <c r="BM1817" s="7"/>
      <c r="BT1817" s="7"/>
    </row>
    <row r="1818" spans="58:72" x14ac:dyDescent="0.55000000000000004">
      <c r="BF1818" s="7"/>
      <c r="BM1818" s="7"/>
      <c r="BT1818" s="7"/>
    </row>
    <row r="1819" spans="58:72" x14ac:dyDescent="0.55000000000000004">
      <c r="BF1819" s="7"/>
      <c r="BM1819" s="7"/>
      <c r="BT1819" s="7"/>
    </row>
    <row r="1820" spans="58:72" x14ac:dyDescent="0.55000000000000004">
      <c r="BF1820" s="7"/>
      <c r="BM1820" s="7"/>
      <c r="BT1820" s="7"/>
    </row>
    <row r="1821" spans="58:72" x14ac:dyDescent="0.55000000000000004">
      <c r="BF1821" s="7"/>
      <c r="BM1821" s="7"/>
      <c r="BT1821" s="7"/>
    </row>
    <row r="1822" spans="58:72" x14ac:dyDescent="0.55000000000000004">
      <c r="BF1822" s="7"/>
      <c r="BM1822" s="7"/>
      <c r="BT1822" s="7"/>
    </row>
    <row r="1823" spans="58:72" x14ac:dyDescent="0.55000000000000004">
      <c r="BF1823" s="7"/>
      <c r="BM1823" s="7"/>
      <c r="BT1823" s="7"/>
    </row>
    <row r="1824" spans="58:72" x14ac:dyDescent="0.55000000000000004">
      <c r="BF1824" s="7"/>
      <c r="BM1824" s="7"/>
      <c r="BT1824" s="7"/>
    </row>
    <row r="1825" spans="58:72" x14ac:dyDescent="0.55000000000000004">
      <c r="BF1825" s="7"/>
      <c r="BM1825" s="7"/>
      <c r="BT1825" s="7"/>
    </row>
    <row r="1826" spans="58:72" x14ac:dyDescent="0.55000000000000004">
      <c r="BF1826" s="7"/>
      <c r="BM1826" s="7"/>
      <c r="BT1826" s="7"/>
    </row>
    <row r="1827" spans="58:72" x14ac:dyDescent="0.55000000000000004">
      <c r="BF1827" s="7"/>
      <c r="BM1827" s="7"/>
      <c r="BT1827" s="7"/>
    </row>
    <row r="1828" spans="58:72" x14ac:dyDescent="0.55000000000000004">
      <c r="BF1828" s="7"/>
      <c r="BM1828" s="7"/>
      <c r="BT1828" s="7"/>
    </row>
    <row r="1829" spans="58:72" x14ac:dyDescent="0.55000000000000004">
      <c r="BF1829" s="7"/>
      <c r="BM1829" s="7"/>
      <c r="BT1829" s="7"/>
    </row>
    <row r="1830" spans="58:72" x14ac:dyDescent="0.55000000000000004">
      <c r="BF1830" s="7"/>
      <c r="BM1830" s="7"/>
      <c r="BT1830" s="7"/>
    </row>
    <row r="1831" spans="58:72" x14ac:dyDescent="0.55000000000000004">
      <c r="BF1831" s="7"/>
      <c r="BM1831" s="7"/>
      <c r="BT1831" s="7"/>
    </row>
    <row r="1832" spans="58:72" x14ac:dyDescent="0.55000000000000004">
      <c r="BF1832" s="7"/>
      <c r="BM1832" s="7"/>
      <c r="BT1832" s="7"/>
    </row>
    <row r="1833" spans="58:72" x14ac:dyDescent="0.55000000000000004">
      <c r="BF1833" s="7"/>
      <c r="BM1833" s="7"/>
      <c r="BT1833" s="7"/>
    </row>
    <row r="1834" spans="58:72" x14ac:dyDescent="0.55000000000000004">
      <c r="BF1834" s="7"/>
      <c r="BM1834" s="7"/>
      <c r="BT1834" s="7"/>
    </row>
    <row r="1835" spans="58:72" x14ac:dyDescent="0.55000000000000004">
      <c r="BF1835" s="7"/>
      <c r="BM1835" s="7"/>
      <c r="BT1835" s="7"/>
    </row>
    <row r="1836" spans="58:72" x14ac:dyDescent="0.55000000000000004">
      <c r="BF1836" s="7"/>
      <c r="BM1836" s="7"/>
      <c r="BT1836" s="7"/>
    </row>
    <row r="1837" spans="58:72" x14ac:dyDescent="0.55000000000000004">
      <c r="BF1837" s="7"/>
      <c r="BM1837" s="7"/>
      <c r="BT1837" s="7"/>
    </row>
    <row r="1838" spans="58:72" x14ac:dyDescent="0.55000000000000004">
      <c r="BF1838" s="7"/>
      <c r="BM1838" s="7"/>
      <c r="BT1838" s="7"/>
    </row>
    <row r="1839" spans="58:72" x14ac:dyDescent="0.55000000000000004">
      <c r="BF1839" s="7"/>
      <c r="BM1839" s="7"/>
      <c r="BT1839" s="7"/>
    </row>
    <row r="1840" spans="58:72" x14ac:dyDescent="0.55000000000000004">
      <c r="BF1840" s="7"/>
      <c r="BM1840" s="7"/>
      <c r="BT1840" s="7"/>
    </row>
    <row r="1841" spans="58:72" x14ac:dyDescent="0.55000000000000004">
      <c r="BF1841" s="7"/>
      <c r="BM1841" s="7"/>
      <c r="BT1841" s="7"/>
    </row>
    <row r="1842" spans="58:72" x14ac:dyDescent="0.55000000000000004">
      <c r="BF1842" s="7"/>
      <c r="BM1842" s="7"/>
      <c r="BT1842" s="7"/>
    </row>
    <row r="1843" spans="58:72" x14ac:dyDescent="0.55000000000000004">
      <c r="BF1843" s="7"/>
      <c r="BM1843" s="7"/>
      <c r="BT1843" s="7"/>
    </row>
    <row r="1844" spans="58:72" x14ac:dyDescent="0.55000000000000004">
      <c r="BF1844" s="7"/>
      <c r="BM1844" s="7"/>
      <c r="BT1844" s="7"/>
    </row>
    <row r="1845" spans="58:72" x14ac:dyDescent="0.55000000000000004">
      <c r="BF1845" s="7"/>
      <c r="BM1845" s="7"/>
      <c r="BT1845" s="7"/>
    </row>
    <row r="1846" spans="58:72" x14ac:dyDescent="0.55000000000000004">
      <c r="BF1846" s="7"/>
      <c r="BM1846" s="7"/>
      <c r="BT1846" s="7"/>
    </row>
    <row r="1847" spans="58:72" x14ac:dyDescent="0.55000000000000004">
      <c r="BF1847" s="7"/>
      <c r="BM1847" s="7"/>
      <c r="BT1847" s="7"/>
    </row>
    <row r="1848" spans="58:72" x14ac:dyDescent="0.55000000000000004">
      <c r="BF1848" s="7"/>
      <c r="BM1848" s="7"/>
      <c r="BT1848" s="7"/>
    </row>
    <row r="1849" spans="58:72" x14ac:dyDescent="0.55000000000000004">
      <c r="BF1849" s="7"/>
      <c r="BM1849" s="7"/>
      <c r="BT1849" s="7"/>
    </row>
    <row r="1850" spans="58:72" x14ac:dyDescent="0.55000000000000004">
      <c r="BF1850" s="7"/>
      <c r="BM1850" s="7"/>
      <c r="BT1850" s="7"/>
    </row>
    <row r="1851" spans="58:72" x14ac:dyDescent="0.55000000000000004">
      <c r="BF1851" s="7"/>
      <c r="BM1851" s="7"/>
      <c r="BT1851" s="7"/>
    </row>
    <row r="1852" spans="58:72" x14ac:dyDescent="0.55000000000000004">
      <c r="BF1852" s="7"/>
      <c r="BM1852" s="7"/>
      <c r="BT1852" s="7"/>
    </row>
    <row r="1853" spans="58:72" x14ac:dyDescent="0.55000000000000004">
      <c r="BF1853" s="7"/>
      <c r="BM1853" s="7"/>
      <c r="BT1853" s="7"/>
    </row>
    <row r="1854" spans="58:72" x14ac:dyDescent="0.55000000000000004">
      <c r="BF1854" s="7"/>
      <c r="BM1854" s="7"/>
      <c r="BT1854" s="7"/>
    </row>
    <row r="1855" spans="58:72" x14ac:dyDescent="0.55000000000000004">
      <c r="BF1855" s="7"/>
      <c r="BM1855" s="7"/>
      <c r="BT1855" s="7"/>
    </row>
    <row r="1856" spans="58:72" x14ac:dyDescent="0.55000000000000004">
      <c r="BF1856" s="7"/>
      <c r="BM1856" s="7"/>
      <c r="BT1856" s="7"/>
    </row>
    <row r="1857" spans="58:72" x14ac:dyDescent="0.55000000000000004">
      <c r="BF1857" s="7"/>
      <c r="BM1857" s="7"/>
      <c r="BT1857" s="7"/>
    </row>
    <row r="1858" spans="58:72" x14ac:dyDescent="0.55000000000000004">
      <c r="BF1858" s="7"/>
      <c r="BM1858" s="7"/>
      <c r="BT1858" s="7"/>
    </row>
    <row r="1859" spans="58:72" x14ac:dyDescent="0.55000000000000004">
      <c r="BF1859" s="7"/>
      <c r="BM1859" s="7"/>
      <c r="BT1859" s="7"/>
    </row>
    <row r="1860" spans="58:72" x14ac:dyDescent="0.55000000000000004">
      <c r="BF1860" s="7"/>
      <c r="BM1860" s="7"/>
      <c r="BT1860" s="7"/>
    </row>
    <row r="1861" spans="58:72" x14ac:dyDescent="0.55000000000000004">
      <c r="BF1861" s="7"/>
      <c r="BM1861" s="7"/>
      <c r="BT1861" s="7"/>
    </row>
    <row r="1862" spans="58:72" x14ac:dyDescent="0.55000000000000004">
      <c r="BF1862" s="7"/>
      <c r="BM1862" s="7"/>
      <c r="BT1862" s="7"/>
    </row>
    <row r="1863" spans="58:72" x14ac:dyDescent="0.55000000000000004">
      <c r="BF1863" s="7"/>
      <c r="BM1863" s="7"/>
      <c r="BT1863" s="7"/>
    </row>
    <row r="1864" spans="58:72" x14ac:dyDescent="0.55000000000000004">
      <c r="BF1864" s="7"/>
      <c r="BM1864" s="7"/>
      <c r="BT1864" s="7"/>
    </row>
    <row r="1865" spans="58:72" x14ac:dyDescent="0.55000000000000004">
      <c r="BF1865" s="7"/>
      <c r="BM1865" s="7"/>
      <c r="BT1865" s="7"/>
    </row>
    <row r="1866" spans="58:72" x14ac:dyDescent="0.55000000000000004">
      <c r="BF1866" s="7"/>
      <c r="BM1866" s="7"/>
      <c r="BT1866" s="7"/>
    </row>
    <row r="1867" spans="58:72" x14ac:dyDescent="0.55000000000000004">
      <c r="BF1867" s="7"/>
      <c r="BM1867" s="7"/>
      <c r="BT1867" s="7"/>
    </row>
    <row r="1868" spans="58:72" x14ac:dyDescent="0.55000000000000004">
      <c r="BF1868" s="7"/>
      <c r="BM1868" s="7"/>
      <c r="BT1868" s="7"/>
    </row>
    <row r="1869" spans="58:72" x14ac:dyDescent="0.55000000000000004">
      <c r="BF1869" s="7"/>
      <c r="BM1869" s="7"/>
      <c r="BT1869" s="7"/>
    </row>
    <row r="1870" spans="58:72" x14ac:dyDescent="0.55000000000000004">
      <c r="BF1870" s="7"/>
      <c r="BM1870" s="7"/>
      <c r="BT1870" s="7"/>
    </row>
    <row r="1871" spans="58:72" x14ac:dyDescent="0.55000000000000004">
      <c r="BF1871" s="7"/>
      <c r="BM1871" s="7"/>
      <c r="BT1871" s="7"/>
    </row>
    <row r="1872" spans="58:72" x14ac:dyDescent="0.55000000000000004">
      <c r="BF1872" s="7"/>
      <c r="BM1872" s="7"/>
      <c r="BT1872" s="7"/>
    </row>
    <row r="1873" spans="58:72" x14ac:dyDescent="0.55000000000000004">
      <c r="BF1873" s="7"/>
      <c r="BM1873" s="7"/>
      <c r="BT1873" s="7"/>
    </row>
    <row r="1874" spans="58:72" x14ac:dyDescent="0.55000000000000004">
      <c r="BF1874" s="7"/>
      <c r="BM1874" s="7"/>
      <c r="BT1874" s="7"/>
    </row>
    <row r="1875" spans="58:72" x14ac:dyDescent="0.55000000000000004">
      <c r="BF1875" s="7"/>
      <c r="BM1875" s="7"/>
      <c r="BT1875" s="7"/>
    </row>
    <row r="1876" spans="58:72" x14ac:dyDescent="0.55000000000000004">
      <c r="BF1876" s="7"/>
      <c r="BM1876" s="7"/>
      <c r="BT1876" s="7"/>
    </row>
    <row r="1877" spans="58:72" x14ac:dyDescent="0.55000000000000004">
      <c r="BF1877" s="7"/>
      <c r="BM1877" s="7"/>
      <c r="BT1877" s="7"/>
    </row>
    <row r="1878" spans="58:72" x14ac:dyDescent="0.55000000000000004">
      <c r="BF1878" s="7"/>
      <c r="BM1878" s="7"/>
      <c r="BT1878" s="7"/>
    </row>
    <row r="1879" spans="58:72" x14ac:dyDescent="0.55000000000000004">
      <c r="BF1879" s="7"/>
      <c r="BM1879" s="7"/>
      <c r="BT1879" s="7"/>
    </row>
    <row r="1880" spans="58:72" x14ac:dyDescent="0.55000000000000004">
      <c r="BF1880" s="7"/>
      <c r="BM1880" s="7"/>
      <c r="BT1880" s="7"/>
    </row>
    <row r="1881" spans="58:72" x14ac:dyDescent="0.55000000000000004">
      <c r="BF1881" s="7"/>
      <c r="BM1881" s="7"/>
      <c r="BT1881" s="7"/>
    </row>
    <row r="1882" spans="58:72" x14ac:dyDescent="0.55000000000000004">
      <c r="BF1882" s="7"/>
      <c r="BM1882" s="7"/>
      <c r="BT1882" s="7"/>
    </row>
    <row r="1883" spans="58:72" x14ac:dyDescent="0.55000000000000004">
      <c r="BF1883" s="7"/>
      <c r="BM1883" s="7"/>
      <c r="BT1883" s="7"/>
    </row>
    <row r="1884" spans="58:72" x14ac:dyDescent="0.55000000000000004">
      <c r="BF1884" s="7"/>
      <c r="BM1884" s="7"/>
      <c r="BT1884" s="7"/>
    </row>
    <row r="1885" spans="58:72" x14ac:dyDescent="0.55000000000000004">
      <c r="BF1885" s="7"/>
      <c r="BM1885" s="7"/>
      <c r="BT1885" s="7"/>
    </row>
    <row r="1886" spans="58:72" x14ac:dyDescent="0.55000000000000004">
      <c r="BF1886" s="7"/>
      <c r="BM1886" s="7"/>
      <c r="BT1886" s="7"/>
    </row>
    <row r="1887" spans="58:72" x14ac:dyDescent="0.55000000000000004">
      <c r="BF1887" s="7"/>
      <c r="BM1887" s="7"/>
      <c r="BT1887" s="7"/>
    </row>
    <row r="1888" spans="58:72" x14ac:dyDescent="0.55000000000000004">
      <c r="BF1888" s="7"/>
      <c r="BM1888" s="7"/>
      <c r="BT1888" s="7"/>
    </row>
    <row r="1889" spans="58:72" x14ac:dyDescent="0.55000000000000004">
      <c r="BF1889" s="7"/>
      <c r="BM1889" s="7"/>
      <c r="BT1889" s="7"/>
    </row>
    <row r="1890" spans="58:72" x14ac:dyDescent="0.55000000000000004">
      <c r="BF1890" s="7"/>
      <c r="BM1890" s="7"/>
      <c r="BT1890" s="7"/>
    </row>
    <row r="1891" spans="58:72" x14ac:dyDescent="0.55000000000000004">
      <c r="BF1891" s="7"/>
      <c r="BM1891" s="7"/>
      <c r="BT1891" s="7"/>
    </row>
    <row r="1892" spans="58:72" x14ac:dyDescent="0.55000000000000004">
      <c r="BF1892" s="7"/>
      <c r="BM1892" s="7"/>
      <c r="BT1892" s="7"/>
    </row>
    <row r="1893" spans="58:72" x14ac:dyDescent="0.55000000000000004">
      <c r="BF1893" s="7"/>
      <c r="BM1893" s="7"/>
      <c r="BT1893" s="7"/>
    </row>
    <row r="1894" spans="58:72" x14ac:dyDescent="0.55000000000000004">
      <c r="BF1894" s="7"/>
      <c r="BM1894" s="7"/>
      <c r="BT1894" s="7"/>
    </row>
    <row r="1895" spans="58:72" x14ac:dyDescent="0.55000000000000004">
      <c r="BF1895" s="7"/>
      <c r="BM1895" s="7"/>
      <c r="BT1895" s="7"/>
    </row>
    <row r="1896" spans="58:72" x14ac:dyDescent="0.55000000000000004">
      <c r="BF1896" s="7"/>
      <c r="BM1896" s="7"/>
      <c r="BT1896" s="7"/>
    </row>
    <row r="1897" spans="58:72" x14ac:dyDescent="0.55000000000000004">
      <c r="BF1897" s="7"/>
      <c r="BM1897" s="7"/>
      <c r="BT1897" s="7"/>
    </row>
    <row r="1898" spans="58:72" x14ac:dyDescent="0.55000000000000004">
      <c r="BF1898" s="7"/>
      <c r="BM1898" s="7"/>
      <c r="BT1898" s="7"/>
    </row>
    <row r="1899" spans="58:72" x14ac:dyDescent="0.55000000000000004">
      <c r="BF1899" s="7"/>
      <c r="BM1899" s="7"/>
      <c r="BT1899" s="7"/>
    </row>
    <row r="1900" spans="58:72" x14ac:dyDescent="0.55000000000000004">
      <c r="BF1900" s="7"/>
      <c r="BM1900" s="7"/>
      <c r="BT1900" s="7"/>
    </row>
    <row r="1901" spans="58:72" x14ac:dyDescent="0.55000000000000004">
      <c r="BF1901" s="7"/>
      <c r="BM1901" s="7"/>
      <c r="BT1901" s="7"/>
    </row>
    <row r="1902" spans="58:72" x14ac:dyDescent="0.55000000000000004">
      <c r="BF1902" s="7"/>
      <c r="BM1902" s="7"/>
      <c r="BT1902" s="7"/>
    </row>
    <row r="1903" spans="58:72" x14ac:dyDescent="0.55000000000000004">
      <c r="BF1903" s="7"/>
      <c r="BM1903" s="7"/>
      <c r="BT1903" s="7"/>
    </row>
    <row r="1904" spans="58:72" x14ac:dyDescent="0.55000000000000004">
      <c r="BF1904" s="7"/>
      <c r="BM1904" s="7"/>
      <c r="BT1904" s="7"/>
    </row>
    <row r="1905" spans="58:72" x14ac:dyDescent="0.55000000000000004">
      <c r="BF1905" s="7"/>
      <c r="BM1905" s="7"/>
      <c r="BT1905" s="7"/>
    </row>
    <row r="1906" spans="58:72" x14ac:dyDescent="0.55000000000000004">
      <c r="BF1906" s="7"/>
      <c r="BM1906" s="7"/>
      <c r="BT1906" s="7"/>
    </row>
    <row r="1907" spans="58:72" x14ac:dyDescent="0.55000000000000004">
      <c r="BF1907" s="7"/>
      <c r="BM1907" s="7"/>
      <c r="BT1907" s="7"/>
    </row>
    <row r="1908" spans="58:72" x14ac:dyDescent="0.55000000000000004">
      <c r="BF1908" s="7"/>
      <c r="BM1908" s="7"/>
      <c r="BT1908" s="7"/>
    </row>
    <row r="1909" spans="58:72" x14ac:dyDescent="0.55000000000000004">
      <c r="BF1909" s="7"/>
      <c r="BM1909" s="7"/>
      <c r="BT1909" s="7"/>
    </row>
    <row r="1910" spans="58:72" x14ac:dyDescent="0.55000000000000004">
      <c r="BF1910" s="7"/>
      <c r="BM1910" s="7"/>
      <c r="BT1910" s="7"/>
    </row>
    <row r="1911" spans="58:72" x14ac:dyDescent="0.55000000000000004">
      <c r="BF1911" s="7"/>
      <c r="BM1911" s="7"/>
      <c r="BT1911" s="7"/>
    </row>
    <row r="1912" spans="58:72" x14ac:dyDescent="0.55000000000000004">
      <c r="BF1912" s="7"/>
      <c r="BM1912" s="7"/>
      <c r="BT1912" s="7"/>
    </row>
    <row r="1913" spans="58:72" x14ac:dyDescent="0.55000000000000004">
      <c r="BF1913" s="7"/>
      <c r="BM1913" s="7"/>
      <c r="BT1913" s="7"/>
    </row>
    <row r="1914" spans="58:72" x14ac:dyDescent="0.55000000000000004">
      <c r="BF1914" s="7"/>
      <c r="BM1914" s="7"/>
      <c r="BT1914" s="7"/>
    </row>
    <row r="1915" spans="58:72" x14ac:dyDescent="0.55000000000000004">
      <c r="BF1915" s="7"/>
      <c r="BM1915" s="7"/>
      <c r="BT1915" s="7"/>
    </row>
    <row r="1916" spans="58:72" x14ac:dyDescent="0.55000000000000004">
      <c r="BF1916" s="7"/>
      <c r="BM1916" s="7"/>
      <c r="BT1916" s="7"/>
    </row>
    <row r="1917" spans="58:72" x14ac:dyDescent="0.55000000000000004">
      <c r="BF1917" s="7"/>
      <c r="BM1917" s="7"/>
      <c r="BT1917" s="7"/>
    </row>
    <row r="1918" spans="58:72" x14ac:dyDescent="0.55000000000000004">
      <c r="BF1918" s="7"/>
      <c r="BM1918" s="7"/>
      <c r="BT1918" s="7"/>
    </row>
    <row r="1919" spans="58:72" x14ac:dyDescent="0.55000000000000004">
      <c r="BF1919" s="7"/>
      <c r="BM1919" s="7"/>
      <c r="BT1919" s="7"/>
    </row>
    <row r="1920" spans="58:72" x14ac:dyDescent="0.55000000000000004">
      <c r="BF1920" s="7"/>
      <c r="BM1920" s="7"/>
      <c r="BT1920" s="7"/>
    </row>
    <row r="1921" spans="58:72" x14ac:dyDescent="0.55000000000000004">
      <c r="BF1921" s="7"/>
      <c r="BM1921" s="7"/>
      <c r="BT1921" s="7"/>
    </row>
    <row r="1922" spans="58:72" x14ac:dyDescent="0.55000000000000004">
      <c r="BF1922" s="7"/>
      <c r="BM1922" s="7"/>
      <c r="BT1922" s="7"/>
    </row>
    <row r="1923" spans="58:72" x14ac:dyDescent="0.55000000000000004">
      <c r="BF1923" s="7"/>
      <c r="BM1923" s="7"/>
      <c r="BT1923" s="7"/>
    </row>
    <row r="1924" spans="58:72" x14ac:dyDescent="0.55000000000000004">
      <c r="BF1924" s="7"/>
      <c r="BM1924" s="7"/>
      <c r="BT1924" s="7"/>
    </row>
    <row r="1925" spans="58:72" x14ac:dyDescent="0.55000000000000004">
      <c r="BF1925" s="7"/>
      <c r="BM1925" s="7"/>
      <c r="BT1925" s="7"/>
    </row>
    <row r="1926" spans="58:72" x14ac:dyDescent="0.55000000000000004">
      <c r="BF1926" s="7"/>
      <c r="BM1926" s="7"/>
      <c r="BT1926" s="7"/>
    </row>
    <row r="1927" spans="58:72" x14ac:dyDescent="0.55000000000000004">
      <c r="BF1927" s="7"/>
      <c r="BM1927" s="7"/>
      <c r="BT1927" s="7"/>
    </row>
    <row r="1928" spans="58:72" x14ac:dyDescent="0.55000000000000004">
      <c r="BF1928" s="7"/>
      <c r="BM1928" s="7"/>
      <c r="BT1928" s="7"/>
    </row>
    <row r="1929" spans="58:72" x14ac:dyDescent="0.55000000000000004">
      <c r="BF1929" s="7"/>
      <c r="BM1929" s="7"/>
      <c r="BT1929" s="7"/>
    </row>
    <row r="1930" spans="58:72" x14ac:dyDescent="0.55000000000000004">
      <c r="BF1930" s="7"/>
      <c r="BM1930" s="7"/>
      <c r="BT1930" s="7"/>
    </row>
    <row r="1931" spans="58:72" x14ac:dyDescent="0.55000000000000004">
      <c r="BF1931" s="7"/>
      <c r="BM1931" s="7"/>
      <c r="BT1931" s="7"/>
    </row>
    <row r="1932" spans="58:72" x14ac:dyDescent="0.55000000000000004">
      <c r="BF1932" s="7"/>
      <c r="BM1932" s="7"/>
      <c r="BT1932" s="7"/>
    </row>
    <row r="1933" spans="58:72" x14ac:dyDescent="0.55000000000000004">
      <c r="BF1933" s="7"/>
      <c r="BM1933" s="7"/>
      <c r="BT1933" s="7"/>
    </row>
    <row r="1934" spans="58:72" x14ac:dyDescent="0.55000000000000004">
      <c r="BF1934" s="7"/>
      <c r="BM1934" s="7"/>
      <c r="BT1934" s="7"/>
    </row>
    <row r="1935" spans="58:72" x14ac:dyDescent="0.55000000000000004">
      <c r="BF1935" s="7"/>
      <c r="BM1935" s="7"/>
      <c r="BT1935" s="7"/>
    </row>
    <row r="1936" spans="58:72" x14ac:dyDescent="0.55000000000000004">
      <c r="BF1936" s="7"/>
      <c r="BM1936" s="7"/>
      <c r="BT1936" s="7"/>
    </row>
    <row r="1937" spans="58:72" x14ac:dyDescent="0.55000000000000004">
      <c r="BF1937" s="7"/>
      <c r="BM1937" s="7"/>
      <c r="BT1937" s="7"/>
    </row>
    <row r="1938" spans="58:72" x14ac:dyDescent="0.55000000000000004">
      <c r="BF1938" s="7"/>
      <c r="BM1938" s="7"/>
      <c r="BT1938" s="7"/>
    </row>
    <row r="1939" spans="58:72" x14ac:dyDescent="0.55000000000000004">
      <c r="BF1939" s="7"/>
      <c r="BM1939" s="7"/>
      <c r="BT1939" s="7"/>
    </row>
    <row r="1940" spans="58:72" x14ac:dyDescent="0.55000000000000004">
      <c r="BF1940" s="7"/>
      <c r="BM1940" s="7"/>
      <c r="BT1940" s="7"/>
    </row>
    <row r="1941" spans="58:72" x14ac:dyDescent="0.55000000000000004">
      <c r="BF1941" s="7"/>
      <c r="BM1941" s="7"/>
      <c r="BT1941" s="7"/>
    </row>
    <row r="1942" spans="58:72" x14ac:dyDescent="0.55000000000000004">
      <c r="BF1942" s="7"/>
      <c r="BM1942" s="7"/>
      <c r="BT1942" s="7"/>
    </row>
    <row r="1943" spans="58:72" x14ac:dyDescent="0.55000000000000004">
      <c r="BF1943" s="7"/>
      <c r="BM1943" s="7"/>
      <c r="BT1943" s="7"/>
    </row>
    <row r="1944" spans="58:72" x14ac:dyDescent="0.55000000000000004">
      <c r="BF1944" s="7"/>
      <c r="BM1944" s="7"/>
      <c r="BT1944" s="7"/>
    </row>
    <row r="1945" spans="58:72" x14ac:dyDescent="0.55000000000000004">
      <c r="BF1945" s="7"/>
      <c r="BM1945" s="7"/>
      <c r="BT1945" s="7"/>
    </row>
    <row r="1946" spans="58:72" x14ac:dyDescent="0.55000000000000004">
      <c r="BF1946" s="7"/>
      <c r="BM1946" s="7"/>
      <c r="BT1946" s="7"/>
    </row>
    <row r="1947" spans="58:72" x14ac:dyDescent="0.55000000000000004">
      <c r="BF1947" s="7"/>
      <c r="BM1947" s="7"/>
      <c r="BT1947" s="7"/>
    </row>
    <row r="1948" spans="58:72" x14ac:dyDescent="0.55000000000000004">
      <c r="BF1948" s="7"/>
      <c r="BM1948" s="7"/>
      <c r="BT1948" s="7"/>
    </row>
    <row r="1949" spans="58:72" x14ac:dyDescent="0.55000000000000004">
      <c r="BF1949" s="7"/>
      <c r="BM1949" s="7"/>
      <c r="BT1949" s="7"/>
    </row>
    <row r="1950" spans="58:72" x14ac:dyDescent="0.55000000000000004">
      <c r="BF1950" s="7"/>
      <c r="BM1950" s="7"/>
      <c r="BT1950" s="7"/>
    </row>
    <row r="1951" spans="58:72" x14ac:dyDescent="0.55000000000000004">
      <c r="BF1951" s="7"/>
      <c r="BM1951" s="7"/>
      <c r="BT1951" s="7"/>
    </row>
    <row r="1952" spans="58:72" x14ac:dyDescent="0.55000000000000004">
      <c r="BF1952" s="7"/>
      <c r="BM1952" s="7"/>
      <c r="BT1952" s="7"/>
    </row>
    <row r="1953" spans="58:72" x14ac:dyDescent="0.55000000000000004">
      <c r="BF1953" s="7"/>
      <c r="BM1953" s="7"/>
      <c r="BT1953" s="7"/>
    </row>
    <row r="1954" spans="58:72" x14ac:dyDescent="0.55000000000000004">
      <c r="BF1954" s="7"/>
      <c r="BM1954" s="7"/>
      <c r="BT1954" s="7"/>
    </row>
    <row r="1955" spans="58:72" x14ac:dyDescent="0.55000000000000004">
      <c r="BF1955" s="7"/>
      <c r="BM1955" s="7"/>
      <c r="BT1955" s="7"/>
    </row>
    <row r="1956" spans="58:72" x14ac:dyDescent="0.55000000000000004">
      <c r="BF1956" s="7"/>
      <c r="BM1956" s="7"/>
      <c r="BT1956" s="7"/>
    </row>
    <row r="1957" spans="58:72" x14ac:dyDescent="0.55000000000000004">
      <c r="BF1957" s="7"/>
      <c r="BM1957" s="7"/>
      <c r="BT1957" s="7"/>
    </row>
    <row r="1958" spans="58:72" x14ac:dyDescent="0.55000000000000004">
      <c r="BF1958" s="7"/>
      <c r="BM1958" s="7"/>
      <c r="BT1958" s="7"/>
    </row>
    <row r="1959" spans="58:72" x14ac:dyDescent="0.55000000000000004">
      <c r="BF1959" s="7"/>
      <c r="BM1959" s="7"/>
      <c r="BT1959" s="7"/>
    </row>
    <row r="1960" spans="58:72" x14ac:dyDescent="0.55000000000000004">
      <c r="BF1960" s="7"/>
      <c r="BM1960" s="7"/>
      <c r="BT1960" s="7"/>
    </row>
    <row r="1961" spans="58:72" x14ac:dyDescent="0.55000000000000004">
      <c r="BF1961" s="7"/>
      <c r="BM1961" s="7"/>
      <c r="BT1961" s="7"/>
    </row>
    <row r="1962" spans="58:72" x14ac:dyDescent="0.55000000000000004">
      <c r="BF1962" s="7"/>
      <c r="BM1962" s="7"/>
      <c r="BT1962" s="7"/>
    </row>
    <row r="1963" spans="58:72" x14ac:dyDescent="0.55000000000000004">
      <c r="BF1963" s="7"/>
      <c r="BM1963" s="7"/>
      <c r="BT1963" s="7"/>
    </row>
    <row r="1964" spans="58:72" x14ac:dyDescent="0.55000000000000004">
      <c r="BF1964" s="7"/>
      <c r="BM1964" s="7"/>
      <c r="BT1964" s="7"/>
    </row>
    <row r="1965" spans="58:72" x14ac:dyDescent="0.55000000000000004">
      <c r="BF1965" s="7"/>
      <c r="BM1965" s="7"/>
      <c r="BT1965" s="7"/>
    </row>
    <row r="1966" spans="58:72" x14ac:dyDescent="0.55000000000000004">
      <c r="BF1966" s="7"/>
      <c r="BM1966" s="7"/>
      <c r="BT1966" s="7"/>
    </row>
    <row r="1967" spans="58:72" x14ac:dyDescent="0.55000000000000004">
      <c r="BF1967" s="7"/>
      <c r="BM1967" s="7"/>
      <c r="BT1967" s="7"/>
    </row>
    <row r="1968" spans="58:72" x14ac:dyDescent="0.55000000000000004">
      <c r="BF1968" s="7"/>
      <c r="BM1968" s="7"/>
      <c r="BT1968" s="7"/>
    </row>
    <row r="1969" spans="58:72" x14ac:dyDescent="0.55000000000000004">
      <c r="BF1969" s="7"/>
      <c r="BM1969" s="7"/>
      <c r="BT1969" s="7"/>
    </row>
    <row r="1970" spans="58:72" x14ac:dyDescent="0.55000000000000004">
      <c r="BF1970" s="7"/>
      <c r="BM1970" s="7"/>
      <c r="BT1970" s="7"/>
    </row>
    <row r="1971" spans="58:72" x14ac:dyDescent="0.55000000000000004">
      <c r="BF1971" s="7"/>
      <c r="BM1971" s="7"/>
      <c r="BT1971" s="7"/>
    </row>
    <row r="1972" spans="58:72" x14ac:dyDescent="0.55000000000000004">
      <c r="BF1972" s="7"/>
      <c r="BM1972" s="7"/>
      <c r="BT1972" s="7"/>
    </row>
    <row r="1973" spans="58:72" x14ac:dyDescent="0.55000000000000004">
      <c r="BF1973" s="7"/>
      <c r="BM1973" s="7"/>
      <c r="BT1973" s="7"/>
    </row>
    <row r="1974" spans="58:72" x14ac:dyDescent="0.55000000000000004">
      <c r="BF1974" s="7"/>
      <c r="BM1974" s="7"/>
      <c r="BT1974" s="7"/>
    </row>
    <row r="1975" spans="58:72" x14ac:dyDescent="0.55000000000000004">
      <c r="BF1975" s="7"/>
      <c r="BM1975" s="7"/>
      <c r="BT1975" s="7"/>
    </row>
    <row r="1976" spans="58:72" x14ac:dyDescent="0.55000000000000004">
      <c r="BF1976" s="7"/>
      <c r="BM1976" s="7"/>
      <c r="BT1976" s="7"/>
    </row>
    <row r="1977" spans="58:72" x14ac:dyDescent="0.55000000000000004">
      <c r="BF1977" s="7"/>
      <c r="BM1977" s="7"/>
      <c r="BT1977" s="7"/>
    </row>
    <row r="1978" spans="58:72" x14ac:dyDescent="0.55000000000000004">
      <c r="BF1978" s="7"/>
      <c r="BM1978" s="7"/>
      <c r="BT1978" s="7"/>
    </row>
    <row r="1979" spans="58:72" x14ac:dyDescent="0.55000000000000004">
      <c r="BF1979" s="7"/>
      <c r="BM1979" s="7"/>
      <c r="BT1979" s="7"/>
    </row>
    <row r="1980" spans="58:72" x14ac:dyDescent="0.55000000000000004">
      <c r="BF1980" s="7"/>
      <c r="BM1980" s="7"/>
      <c r="BT1980" s="7"/>
    </row>
    <row r="1981" spans="58:72" x14ac:dyDescent="0.55000000000000004">
      <c r="BF1981" s="7"/>
      <c r="BM1981" s="7"/>
      <c r="BT1981" s="7"/>
    </row>
    <row r="1982" spans="58:72" x14ac:dyDescent="0.55000000000000004">
      <c r="BF1982" s="7"/>
      <c r="BM1982" s="7"/>
      <c r="BT1982" s="7"/>
    </row>
    <row r="1983" spans="58:72" x14ac:dyDescent="0.55000000000000004">
      <c r="BF1983" s="7"/>
      <c r="BM1983" s="7"/>
      <c r="BT1983" s="7"/>
    </row>
    <row r="1984" spans="58:72" x14ac:dyDescent="0.55000000000000004">
      <c r="BF1984" s="7"/>
      <c r="BM1984" s="7"/>
      <c r="BT1984" s="7"/>
    </row>
    <row r="1985" spans="58:72" x14ac:dyDescent="0.55000000000000004">
      <c r="BF1985" s="7"/>
      <c r="BM1985" s="7"/>
      <c r="BT1985" s="7"/>
    </row>
    <row r="1986" spans="58:72" x14ac:dyDescent="0.55000000000000004">
      <c r="BF1986" s="7"/>
      <c r="BM1986" s="7"/>
      <c r="BT1986" s="7"/>
    </row>
    <row r="1987" spans="58:72" x14ac:dyDescent="0.55000000000000004">
      <c r="BF1987" s="7"/>
      <c r="BM1987" s="7"/>
      <c r="BT1987" s="7"/>
    </row>
    <row r="1988" spans="58:72" x14ac:dyDescent="0.55000000000000004">
      <c r="BF1988" s="7"/>
      <c r="BM1988" s="7"/>
      <c r="BT1988" s="7"/>
    </row>
    <row r="1989" spans="58:72" x14ac:dyDescent="0.55000000000000004">
      <c r="BF1989" s="7"/>
      <c r="BM1989" s="7"/>
      <c r="BT1989" s="7"/>
    </row>
    <row r="1990" spans="58:72" x14ac:dyDescent="0.55000000000000004">
      <c r="BF1990" s="7"/>
      <c r="BM1990" s="7"/>
      <c r="BT1990" s="7"/>
    </row>
    <row r="1991" spans="58:72" x14ac:dyDescent="0.55000000000000004">
      <c r="BF1991" s="7"/>
      <c r="BM1991" s="7"/>
      <c r="BT1991" s="7"/>
    </row>
    <row r="1992" spans="58:72" x14ac:dyDescent="0.55000000000000004">
      <c r="BF1992" s="7"/>
      <c r="BM1992" s="7"/>
      <c r="BT1992" s="7"/>
    </row>
    <row r="1993" spans="58:72" x14ac:dyDescent="0.55000000000000004">
      <c r="BF1993" s="7"/>
      <c r="BM1993" s="7"/>
      <c r="BT1993" s="7"/>
    </row>
    <row r="1994" spans="58:72" x14ac:dyDescent="0.55000000000000004">
      <c r="BF1994" s="7"/>
      <c r="BM1994" s="7"/>
      <c r="BT1994" s="7"/>
    </row>
    <row r="1995" spans="58:72" x14ac:dyDescent="0.55000000000000004">
      <c r="BF1995" s="7"/>
      <c r="BM1995" s="7"/>
      <c r="BT1995" s="7"/>
    </row>
    <row r="1996" spans="58:72" x14ac:dyDescent="0.55000000000000004">
      <c r="BF1996" s="7"/>
      <c r="BM1996" s="7"/>
      <c r="BT1996" s="7"/>
    </row>
    <row r="1997" spans="58:72" x14ac:dyDescent="0.55000000000000004">
      <c r="BF1997" s="7"/>
      <c r="BM1997" s="7"/>
      <c r="BT1997" s="7"/>
    </row>
    <row r="1998" spans="58:72" x14ac:dyDescent="0.55000000000000004">
      <c r="BF1998" s="7"/>
      <c r="BM1998" s="7"/>
      <c r="BT1998" s="7"/>
    </row>
    <row r="1999" spans="58:72" x14ac:dyDescent="0.55000000000000004">
      <c r="BF1999" s="7"/>
      <c r="BM1999" s="7"/>
      <c r="BT1999" s="7"/>
    </row>
    <row r="2000" spans="58:72" x14ac:dyDescent="0.55000000000000004">
      <c r="BF2000" s="7"/>
      <c r="BM2000" s="7"/>
      <c r="BT2000" s="7"/>
    </row>
    <row r="2001" spans="58:72" x14ac:dyDescent="0.55000000000000004">
      <c r="BF2001" s="7"/>
      <c r="BM2001" s="7"/>
      <c r="BT2001" s="7"/>
    </row>
    <row r="2002" spans="58:72" x14ac:dyDescent="0.55000000000000004">
      <c r="BF2002" s="7"/>
      <c r="BM2002" s="7"/>
      <c r="BT2002" s="7"/>
    </row>
    <row r="2003" spans="58:72" x14ac:dyDescent="0.55000000000000004">
      <c r="BF2003" s="7"/>
      <c r="BM2003" s="7"/>
      <c r="BT2003" s="7"/>
    </row>
    <row r="2004" spans="58:72" x14ac:dyDescent="0.55000000000000004">
      <c r="BF2004" s="7"/>
      <c r="BM2004" s="7"/>
      <c r="BT2004" s="7"/>
    </row>
    <row r="2005" spans="58:72" x14ac:dyDescent="0.55000000000000004">
      <c r="BF2005" s="7"/>
      <c r="BM2005" s="7"/>
      <c r="BT2005" s="7"/>
    </row>
    <row r="2006" spans="58:72" x14ac:dyDescent="0.55000000000000004">
      <c r="BF2006" s="7"/>
      <c r="BM2006" s="7"/>
      <c r="BT2006" s="7"/>
    </row>
    <row r="2007" spans="58:72" x14ac:dyDescent="0.55000000000000004">
      <c r="BF2007" s="7"/>
      <c r="BM2007" s="7"/>
      <c r="BT2007" s="7"/>
    </row>
    <row r="2008" spans="58:72" x14ac:dyDescent="0.55000000000000004">
      <c r="BF2008" s="7"/>
      <c r="BM2008" s="7"/>
      <c r="BT2008" s="7"/>
    </row>
    <row r="2009" spans="58:72" x14ac:dyDescent="0.55000000000000004">
      <c r="BF2009" s="7"/>
      <c r="BM2009" s="7"/>
      <c r="BT2009" s="7"/>
    </row>
    <row r="2010" spans="58:72" x14ac:dyDescent="0.55000000000000004">
      <c r="BF2010" s="7"/>
      <c r="BM2010" s="7"/>
      <c r="BT2010" s="7"/>
    </row>
    <row r="2011" spans="58:72" x14ac:dyDescent="0.55000000000000004">
      <c r="BF2011" s="7"/>
      <c r="BM2011" s="7"/>
      <c r="BT2011" s="7"/>
    </row>
    <row r="2012" spans="58:72" x14ac:dyDescent="0.55000000000000004">
      <c r="BF2012" s="7"/>
      <c r="BM2012" s="7"/>
      <c r="BT2012" s="7"/>
    </row>
    <row r="2013" spans="58:72" x14ac:dyDescent="0.55000000000000004">
      <c r="BF2013" s="7"/>
      <c r="BM2013" s="7"/>
      <c r="BT2013" s="7"/>
    </row>
    <row r="2014" spans="58:72" x14ac:dyDescent="0.55000000000000004">
      <c r="BF2014" s="7"/>
      <c r="BM2014" s="7"/>
      <c r="BT2014" s="7"/>
    </row>
    <row r="2015" spans="58:72" x14ac:dyDescent="0.55000000000000004">
      <c r="BF2015" s="7"/>
      <c r="BM2015" s="7"/>
      <c r="BT2015" s="7"/>
    </row>
    <row r="2016" spans="58:72" x14ac:dyDescent="0.55000000000000004">
      <c r="BF2016" s="7"/>
      <c r="BM2016" s="7"/>
      <c r="BT2016" s="7"/>
    </row>
    <row r="2017" spans="58:72" x14ac:dyDescent="0.55000000000000004">
      <c r="BF2017" s="7"/>
      <c r="BM2017" s="7"/>
      <c r="BT2017" s="7"/>
    </row>
    <row r="2018" spans="58:72" x14ac:dyDescent="0.55000000000000004">
      <c r="BF2018" s="7"/>
      <c r="BM2018" s="7"/>
      <c r="BT2018" s="7"/>
    </row>
    <row r="2019" spans="58:72" x14ac:dyDescent="0.55000000000000004">
      <c r="BF2019" s="7"/>
      <c r="BM2019" s="7"/>
      <c r="BT2019" s="7"/>
    </row>
    <row r="2020" spans="58:72" x14ac:dyDescent="0.55000000000000004">
      <c r="BF2020" s="7"/>
      <c r="BM2020" s="7"/>
      <c r="BT2020" s="7"/>
    </row>
    <row r="2021" spans="58:72" x14ac:dyDescent="0.55000000000000004">
      <c r="BF2021" s="7"/>
      <c r="BM2021" s="7"/>
      <c r="BT2021" s="7"/>
    </row>
    <row r="2022" spans="58:72" x14ac:dyDescent="0.55000000000000004">
      <c r="BF2022" s="7"/>
      <c r="BM2022" s="7"/>
      <c r="BT2022" s="7"/>
    </row>
    <row r="2023" spans="58:72" x14ac:dyDescent="0.55000000000000004">
      <c r="BF2023" s="7"/>
      <c r="BM2023" s="7"/>
      <c r="BT2023" s="7"/>
    </row>
    <row r="2024" spans="58:72" x14ac:dyDescent="0.55000000000000004">
      <c r="BF2024" s="7"/>
      <c r="BM2024" s="7"/>
      <c r="BT2024" s="7"/>
    </row>
    <row r="2025" spans="58:72" x14ac:dyDescent="0.55000000000000004">
      <c r="BF2025" s="7"/>
      <c r="BM2025" s="7"/>
      <c r="BT2025" s="7"/>
    </row>
    <row r="2026" spans="58:72" x14ac:dyDescent="0.55000000000000004">
      <c r="BF2026" s="7"/>
      <c r="BM2026" s="7"/>
      <c r="BT2026" s="7"/>
    </row>
    <row r="2027" spans="58:72" x14ac:dyDescent="0.55000000000000004">
      <c r="BF2027" s="7"/>
      <c r="BM2027" s="7"/>
      <c r="BT2027" s="7"/>
    </row>
    <row r="2028" spans="58:72" x14ac:dyDescent="0.55000000000000004">
      <c r="BF2028" s="7"/>
      <c r="BM2028" s="7"/>
      <c r="BT2028" s="7"/>
    </row>
    <row r="2029" spans="58:72" x14ac:dyDescent="0.55000000000000004">
      <c r="BF2029" s="7"/>
      <c r="BM2029" s="7"/>
      <c r="BT2029" s="7"/>
    </row>
    <row r="2030" spans="58:72" x14ac:dyDescent="0.55000000000000004">
      <c r="BF2030" s="7"/>
      <c r="BM2030" s="7"/>
      <c r="BT2030" s="7"/>
    </row>
    <row r="2031" spans="58:72" x14ac:dyDescent="0.55000000000000004">
      <c r="BF2031" s="7"/>
      <c r="BM2031" s="7"/>
      <c r="BT2031" s="7"/>
    </row>
    <row r="2032" spans="58:72" x14ac:dyDescent="0.55000000000000004">
      <c r="BF2032" s="7"/>
      <c r="BM2032" s="7"/>
      <c r="BT2032" s="7"/>
    </row>
    <row r="2033" spans="58:72" x14ac:dyDescent="0.55000000000000004">
      <c r="BF2033" s="7"/>
      <c r="BM2033" s="7"/>
      <c r="BT2033" s="7"/>
    </row>
    <row r="2034" spans="58:72" x14ac:dyDescent="0.55000000000000004">
      <c r="BF2034" s="7"/>
      <c r="BM2034" s="7"/>
      <c r="BT2034" s="7"/>
    </row>
    <row r="2035" spans="58:72" x14ac:dyDescent="0.55000000000000004">
      <c r="BF2035" s="7"/>
      <c r="BM2035" s="7"/>
      <c r="BT2035" s="7"/>
    </row>
    <row r="2036" spans="58:72" x14ac:dyDescent="0.55000000000000004">
      <c r="BF2036" s="7"/>
      <c r="BM2036" s="7"/>
      <c r="BT2036" s="7"/>
    </row>
    <row r="2037" spans="58:72" x14ac:dyDescent="0.55000000000000004">
      <c r="BF2037" s="7"/>
      <c r="BM2037" s="7"/>
      <c r="BT2037" s="7"/>
    </row>
    <row r="2038" spans="58:72" x14ac:dyDescent="0.55000000000000004">
      <c r="BF2038" s="7"/>
      <c r="BM2038" s="7"/>
      <c r="BT2038" s="7"/>
    </row>
    <row r="2039" spans="58:72" x14ac:dyDescent="0.55000000000000004">
      <c r="BF2039" s="7"/>
      <c r="BM2039" s="7"/>
      <c r="BT2039" s="7"/>
    </row>
    <row r="2040" spans="58:72" x14ac:dyDescent="0.55000000000000004">
      <c r="BF2040" s="7"/>
      <c r="BM2040" s="7"/>
      <c r="BT2040" s="7"/>
    </row>
    <row r="2041" spans="58:72" x14ac:dyDescent="0.55000000000000004">
      <c r="BF2041" s="7"/>
      <c r="BM2041" s="7"/>
      <c r="BT2041" s="7"/>
    </row>
    <row r="2042" spans="58:72" x14ac:dyDescent="0.55000000000000004">
      <c r="BF2042" s="7"/>
      <c r="BM2042" s="7"/>
      <c r="BT2042" s="7"/>
    </row>
    <row r="2043" spans="58:72" x14ac:dyDescent="0.55000000000000004">
      <c r="BF2043" s="7"/>
      <c r="BM2043" s="7"/>
      <c r="BT2043" s="7"/>
    </row>
    <row r="2044" spans="58:72" x14ac:dyDescent="0.55000000000000004">
      <c r="BF2044" s="7"/>
      <c r="BM2044" s="7"/>
      <c r="BT2044" s="7"/>
    </row>
    <row r="2045" spans="58:72" x14ac:dyDescent="0.55000000000000004">
      <c r="BF2045" s="7"/>
      <c r="BM2045" s="7"/>
      <c r="BT2045" s="7"/>
    </row>
    <row r="2046" spans="58:72" x14ac:dyDescent="0.55000000000000004">
      <c r="BF2046" s="7"/>
      <c r="BM2046" s="7"/>
      <c r="BT2046" s="7"/>
    </row>
    <row r="2047" spans="58:72" x14ac:dyDescent="0.55000000000000004">
      <c r="BF2047" s="7"/>
      <c r="BM2047" s="7"/>
      <c r="BT2047" s="7"/>
    </row>
    <row r="2048" spans="58:72" x14ac:dyDescent="0.55000000000000004">
      <c r="BF2048" s="7"/>
      <c r="BM2048" s="7"/>
      <c r="BT2048" s="7"/>
    </row>
    <row r="2049" spans="58:72" x14ac:dyDescent="0.55000000000000004">
      <c r="BF2049" s="7"/>
      <c r="BM2049" s="7"/>
      <c r="BT2049" s="7"/>
    </row>
    <row r="2050" spans="58:72" x14ac:dyDescent="0.55000000000000004">
      <c r="BF2050" s="7"/>
      <c r="BM2050" s="7"/>
      <c r="BT2050" s="7"/>
    </row>
    <row r="2051" spans="58:72" x14ac:dyDescent="0.55000000000000004">
      <c r="BF2051" s="7"/>
      <c r="BM2051" s="7"/>
      <c r="BT2051" s="7"/>
    </row>
    <row r="2052" spans="58:72" x14ac:dyDescent="0.55000000000000004">
      <c r="BF2052" s="7"/>
      <c r="BM2052" s="7"/>
      <c r="BT2052" s="7"/>
    </row>
    <row r="2053" spans="58:72" x14ac:dyDescent="0.55000000000000004">
      <c r="BF2053" s="7"/>
      <c r="BM2053" s="7"/>
      <c r="BT2053" s="7"/>
    </row>
    <row r="2054" spans="58:72" x14ac:dyDescent="0.55000000000000004">
      <c r="BF2054" s="7"/>
      <c r="BM2054" s="7"/>
      <c r="BT2054" s="7"/>
    </row>
    <row r="2055" spans="58:72" x14ac:dyDescent="0.55000000000000004">
      <c r="BF2055" s="7"/>
      <c r="BM2055" s="7"/>
      <c r="BT2055" s="7"/>
    </row>
    <row r="2056" spans="58:72" x14ac:dyDescent="0.55000000000000004">
      <c r="BF2056" s="7"/>
      <c r="BM2056" s="7"/>
      <c r="BT2056" s="7"/>
    </row>
    <row r="2057" spans="58:72" x14ac:dyDescent="0.55000000000000004">
      <c r="BF2057" s="7"/>
      <c r="BM2057" s="7"/>
      <c r="BT2057" s="7"/>
    </row>
    <row r="2058" spans="58:72" x14ac:dyDescent="0.55000000000000004">
      <c r="BF2058" s="7"/>
      <c r="BM2058" s="7"/>
      <c r="BT2058" s="7"/>
    </row>
    <row r="2059" spans="58:72" x14ac:dyDescent="0.55000000000000004">
      <c r="BF2059" s="7"/>
      <c r="BM2059" s="7"/>
      <c r="BT2059" s="7"/>
    </row>
    <row r="2060" spans="58:72" x14ac:dyDescent="0.55000000000000004">
      <c r="BF2060" s="7"/>
      <c r="BM2060" s="7"/>
      <c r="BT2060" s="7"/>
    </row>
    <row r="2061" spans="58:72" x14ac:dyDescent="0.55000000000000004">
      <c r="BF2061" s="7"/>
      <c r="BM2061" s="7"/>
      <c r="BT2061" s="7"/>
    </row>
    <row r="2062" spans="58:72" x14ac:dyDescent="0.55000000000000004">
      <c r="BF2062" s="7"/>
      <c r="BM2062" s="7"/>
      <c r="BT2062" s="7"/>
    </row>
    <row r="2063" spans="58:72" x14ac:dyDescent="0.55000000000000004">
      <c r="BF2063" s="7"/>
      <c r="BM2063" s="7"/>
      <c r="BT2063" s="7"/>
    </row>
    <row r="2064" spans="58:72" x14ac:dyDescent="0.55000000000000004">
      <c r="BF2064" s="7"/>
      <c r="BM2064" s="7"/>
      <c r="BT2064" s="7"/>
    </row>
    <row r="2065" spans="58:72" x14ac:dyDescent="0.55000000000000004">
      <c r="BF2065" s="7"/>
      <c r="BM2065" s="7"/>
      <c r="BT2065" s="7"/>
    </row>
    <row r="2066" spans="58:72" x14ac:dyDescent="0.55000000000000004">
      <c r="BF2066" s="7"/>
      <c r="BM2066" s="7"/>
      <c r="BT2066" s="7"/>
    </row>
    <row r="2067" spans="58:72" x14ac:dyDescent="0.55000000000000004">
      <c r="BF2067" s="7"/>
      <c r="BM2067" s="7"/>
      <c r="BT2067" s="7"/>
    </row>
    <row r="2068" spans="58:72" x14ac:dyDescent="0.55000000000000004">
      <c r="BF2068" s="7"/>
      <c r="BM2068" s="7"/>
      <c r="BT2068" s="7"/>
    </row>
    <row r="2069" spans="58:72" x14ac:dyDescent="0.55000000000000004">
      <c r="BF2069" s="7"/>
      <c r="BM2069" s="7"/>
      <c r="BT2069" s="7"/>
    </row>
    <row r="2070" spans="58:72" x14ac:dyDescent="0.55000000000000004">
      <c r="BF2070" s="7"/>
      <c r="BM2070" s="7"/>
      <c r="BT2070" s="7"/>
    </row>
    <row r="2071" spans="58:72" x14ac:dyDescent="0.55000000000000004">
      <c r="BF2071" s="7"/>
      <c r="BM2071" s="7"/>
      <c r="BT2071" s="7"/>
    </row>
    <row r="2072" spans="58:72" x14ac:dyDescent="0.55000000000000004">
      <c r="BF2072" s="7"/>
      <c r="BM2072" s="7"/>
      <c r="BT2072" s="7"/>
    </row>
    <row r="2073" spans="58:72" x14ac:dyDescent="0.55000000000000004">
      <c r="BF2073" s="7"/>
      <c r="BM2073" s="7"/>
      <c r="BT2073" s="7"/>
    </row>
    <row r="2074" spans="58:72" x14ac:dyDescent="0.55000000000000004">
      <c r="BF2074" s="7"/>
      <c r="BM2074" s="7"/>
      <c r="BT2074" s="7"/>
    </row>
    <row r="2075" spans="58:72" x14ac:dyDescent="0.55000000000000004">
      <c r="BF2075" s="7"/>
      <c r="BM2075" s="7"/>
      <c r="BT2075" s="7"/>
    </row>
    <row r="2076" spans="58:72" x14ac:dyDescent="0.55000000000000004">
      <c r="BF2076" s="7"/>
      <c r="BM2076" s="7"/>
      <c r="BT2076" s="7"/>
    </row>
    <row r="2077" spans="58:72" x14ac:dyDescent="0.55000000000000004">
      <c r="BF2077" s="7"/>
      <c r="BM2077" s="7"/>
      <c r="BT2077" s="7"/>
    </row>
    <row r="2078" spans="58:72" x14ac:dyDescent="0.55000000000000004">
      <c r="BF2078" s="7"/>
      <c r="BM2078" s="7"/>
      <c r="BT2078" s="7"/>
    </row>
    <row r="2079" spans="58:72" x14ac:dyDescent="0.55000000000000004">
      <c r="BF2079" s="7"/>
      <c r="BM2079" s="7"/>
      <c r="BT2079" s="7"/>
    </row>
    <row r="2080" spans="58:72" x14ac:dyDescent="0.55000000000000004">
      <c r="BF2080" s="7"/>
      <c r="BM2080" s="7"/>
      <c r="BT2080" s="7"/>
    </row>
    <row r="2081" spans="58:72" x14ac:dyDescent="0.55000000000000004">
      <c r="BF2081" s="7"/>
      <c r="BM2081" s="7"/>
      <c r="BT2081" s="7"/>
    </row>
    <row r="2082" spans="58:72" x14ac:dyDescent="0.55000000000000004">
      <c r="BF2082" s="7"/>
      <c r="BM2082" s="7"/>
      <c r="BT2082" s="7"/>
    </row>
    <row r="2083" spans="58:72" x14ac:dyDescent="0.55000000000000004">
      <c r="BF2083" s="7"/>
      <c r="BM2083" s="7"/>
      <c r="BT2083" s="7"/>
    </row>
    <row r="2084" spans="58:72" x14ac:dyDescent="0.55000000000000004">
      <c r="BF2084" s="7"/>
      <c r="BM2084" s="7"/>
      <c r="BT2084" s="7"/>
    </row>
    <row r="2085" spans="58:72" x14ac:dyDescent="0.55000000000000004">
      <c r="BF2085" s="7"/>
      <c r="BM2085" s="7"/>
      <c r="BT2085" s="7"/>
    </row>
    <row r="2086" spans="58:72" x14ac:dyDescent="0.55000000000000004">
      <c r="BF2086" s="7"/>
      <c r="BM2086" s="7"/>
      <c r="BT2086" s="7"/>
    </row>
    <row r="2087" spans="58:72" x14ac:dyDescent="0.55000000000000004">
      <c r="BF2087" s="7"/>
      <c r="BM2087" s="7"/>
      <c r="BT2087" s="7"/>
    </row>
    <row r="2088" spans="58:72" x14ac:dyDescent="0.55000000000000004">
      <c r="BF2088" s="7"/>
      <c r="BM2088" s="7"/>
      <c r="BT2088" s="7"/>
    </row>
    <row r="2089" spans="58:72" x14ac:dyDescent="0.55000000000000004">
      <c r="BF2089" s="7"/>
      <c r="BM2089" s="7"/>
      <c r="BT2089" s="7"/>
    </row>
    <row r="2090" spans="58:72" x14ac:dyDescent="0.55000000000000004">
      <c r="BF2090" s="7"/>
      <c r="BM2090" s="7"/>
      <c r="BT2090" s="7"/>
    </row>
    <row r="2091" spans="58:72" x14ac:dyDescent="0.55000000000000004">
      <c r="BF2091" s="7"/>
      <c r="BM2091" s="7"/>
      <c r="BT2091" s="7"/>
    </row>
    <row r="2092" spans="58:72" x14ac:dyDescent="0.55000000000000004">
      <c r="BF2092" s="7"/>
      <c r="BM2092" s="7"/>
      <c r="BT2092" s="7"/>
    </row>
    <row r="2093" spans="58:72" x14ac:dyDescent="0.55000000000000004">
      <c r="BF2093" s="7"/>
      <c r="BM2093" s="7"/>
      <c r="BT2093" s="7"/>
    </row>
    <row r="2094" spans="58:72" x14ac:dyDescent="0.55000000000000004">
      <c r="BF2094" s="7"/>
      <c r="BM2094" s="7"/>
      <c r="BT2094" s="7"/>
    </row>
    <row r="2095" spans="58:72" x14ac:dyDescent="0.55000000000000004">
      <c r="BF2095" s="7"/>
      <c r="BM2095" s="7"/>
      <c r="BT2095" s="7"/>
    </row>
    <row r="2096" spans="58:72" x14ac:dyDescent="0.55000000000000004">
      <c r="BF2096" s="7"/>
      <c r="BM2096" s="7"/>
      <c r="BT2096" s="7"/>
    </row>
    <row r="2097" spans="58:72" x14ac:dyDescent="0.55000000000000004">
      <c r="BF2097" s="7"/>
      <c r="BM2097" s="7"/>
      <c r="BT2097" s="7"/>
    </row>
    <row r="2098" spans="58:72" x14ac:dyDescent="0.55000000000000004">
      <c r="BF2098" s="7"/>
      <c r="BM2098" s="7"/>
      <c r="BT2098" s="7"/>
    </row>
    <row r="2099" spans="58:72" x14ac:dyDescent="0.55000000000000004">
      <c r="BF2099" s="7"/>
      <c r="BM2099" s="7"/>
      <c r="BT2099" s="7"/>
    </row>
    <row r="2100" spans="58:72" x14ac:dyDescent="0.55000000000000004">
      <c r="BF2100" s="7"/>
      <c r="BM2100" s="7"/>
      <c r="BT2100" s="7"/>
    </row>
    <row r="2101" spans="58:72" x14ac:dyDescent="0.55000000000000004">
      <c r="BF2101" s="7"/>
      <c r="BM2101" s="7"/>
      <c r="BT2101" s="7"/>
    </row>
    <row r="2102" spans="58:72" x14ac:dyDescent="0.55000000000000004">
      <c r="BF2102" s="7"/>
      <c r="BM2102" s="7"/>
      <c r="BT2102" s="7"/>
    </row>
    <row r="2103" spans="58:72" x14ac:dyDescent="0.55000000000000004">
      <c r="BF2103" s="7"/>
      <c r="BM2103" s="7"/>
      <c r="BT2103" s="7"/>
    </row>
    <row r="2104" spans="58:72" x14ac:dyDescent="0.55000000000000004">
      <c r="BF2104" s="7"/>
      <c r="BM2104" s="7"/>
      <c r="BT2104" s="7"/>
    </row>
    <row r="2105" spans="58:72" x14ac:dyDescent="0.55000000000000004">
      <c r="BF2105" s="7"/>
      <c r="BM2105" s="7"/>
      <c r="BT2105" s="7"/>
    </row>
    <row r="2106" spans="58:72" x14ac:dyDescent="0.55000000000000004">
      <c r="BF2106" s="7"/>
      <c r="BM2106" s="7"/>
      <c r="BT2106" s="7"/>
    </row>
    <row r="2107" spans="58:72" x14ac:dyDescent="0.55000000000000004">
      <c r="BF2107" s="7"/>
      <c r="BM2107" s="7"/>
      <c r="BT2107" s="7"/>
    </row>
    <row r="2108" spans="58:72" x14ac:dyDescent="0.55000000000000004">
      <c r="BF2108" s="7"/>
      <c r="BM2108" s="7"/>
      <c r="BT2108" s="7"/>
    </row>
    <row r="2109" spans="58:72" x14ac:dyDescent="0.55000000000000004">
      <c r="BF2109" s="7"/>
      <c r="BM2109" s="7"/>
      <c r="BT2109" s="7"/>
    </row>
    <row r="2110" spans="58:72" x14ac:dyDescent="0.55000000000000004">
      <c r="BF2110" s="7"/>
      <c r="BM2110" s="7"/>
      <c r="BT2110" s="7"/>
    </row>
    <row r="2111" spans="58:72" x14ac:dyDescent="0.55000000000000004">
      <c r="BF2111" s="7"/>
      <c r="BM2111" s="7"/>
      <c r="BT2111" s="7"/>
    </row>
    <row r="2112" spans="58:72" x14ac:dyDescent="0.55000000000000004">
      <c r="BF2112" s="7"/>
      <c r="BM2112" s="7"/>
      <c r="BT2112" s="7"/>
    </row>
    <row r="2113" spans="58:72" x14ac:dyDescent="0.55000000000000004">
      <c r="BF2113" s="7"/>
      <c r="BM2113" s="7"/>
      <c r="BT2113" s="7"/>
    </row>
    <row r="2114" spans="58:72" x14ac:dyDescent="0.55000000000000004">
      <c r="BF2114" s="7"/>
      <c r="BM2114" s="7"/>
      <c r="BT2114" s="7"/>
    </row>
    <row r="2115" spans="58:72" x14ac:dyDescent="0.55000000000000004">
      <c r="BF2115" s="7"/>
      <c r="BM2115" s="7"/>
      <c r="BT2115" s="7"/>
    </row>
    <row r="2116" spans="58:72" x14ac:dyDescent="0.55000000000000004">
      <c r="BF2116" s="7"/>
      <c r="BM2116" s="7"/>
      <c r="BT2116" s="7"/>
    </row>
    <row r="2117" spans="58:72" x14ac:dyDescent="0.55000000000000004">
      <c r="BF2117" s="7"/>
      <c r="BM2117" s="7"/>
      <c r="BT2117" s="7"/>
    </row>
    <row r="2118" spans="58:72" x14ac:dyDescent="0.55000000000000004">
      <c r="BF2118" s="7"/>
      <c r="BM2118" s="7"/>
      <c r="BT2118" s="7"/>
    </row>
    <row r="2119" spans="58:72" x14ac:dyDescent="0.55000000000000004">
      <c r="BF2119" s="7"/>
      <c r="BM2119" s="7"/>
      <c r="BT2119" s="7"/>
    </row>
    <row r="2120" spans="58:72" x14ac:dyDescent="0.55000000000000004">
      <c r="BF2120" s="7"/>
      <c r="BM2120" s="7"/>
      <c r="BT2120" s="7"/>
    </row>
    <row r="2121" spans="58:72" x14ac:dyDescent="0.55000000000000004">
      <c r="BF2121" s="7"/>
      <c r="BM2121" s="7"/>
      <c r="BT2121" s="7"/>
    </row>
    <row r="2122" spans="58:72" x14ac:dyDescent="0.55000000000000004">
      <c r="BF2122" s="7"/>
      <c r="BM2122" s="7"/>
      <c r="BT2122" s="7"/>
    </row>
    <row r="2123" spans="58:72" x14ac:dyDescent="0.55000000000000004">
      <c r="BF2123" s="7"/>
      <c r="BM2123" s="7"/>
      <c r="BT2123" s="7"/>
    </row>
    <row r="2124" spans="58:72" x14ac:dyDescent="0.55000000000000004">
      <c r="BF2124" s="7"/>
      <c r="BM2124" s="7"/>
      <c r="BT2124" s="7"/>
    </row>
    <row r="2125" spans="58:72" x14ac:dyDescent="0.55000000000000004">
      <c r="BF2125" s="7"/>
      <c r="BM2125" s="7"/>
      <c r="BT2125" s="7"/>
    </row>
    <row r="2126" spans="58:72" x14ac:dyDescent="0.55000000000000004">
      <c r="BF2126" s="7"/>
      <c r="BM2126" s="7"/>
      <c r="BT2126" s="7"/>
    </row>
    <row r="2127" spans="58:72" x14ac:dyDescent="0.55000000000000004">
      <c r="BF2127" s="7"/>
      <c r="BM2127" s="7"/>
      <c r="BT2127" s="7"/>
    </row>
    <row r="2128" spans="58:72" x14ac:dyDescent="0.55000000000000004">
      <c r="BF2128" s="7"/>
      <c r="BM2128" s="7"/>
      <c r="BT2128" s="7"/>
    </row>
    <row r="2129" spans="58:72" x14ac:dyDescent="0.55000000000000004">
      <c r="BF2129" s="7"/>
      <c r="BM2129" s="7"/>
      <c r="BT2129" s="7"/>
    </row>
    <row r="2130" spans="58:72" x14ac:dyDescent="0.55000000000000004">
      <c r="BF2130" s="7"/>
      <c r="BM2130" s="7"/>
      <c r="BT2130" s="7"/>
    </row>
    <row r="2131" spans="58:72" x14ac:dyDescent="0.55000000000000004">
      <c r="BF2131" s="7"/>
      <c r="BM2131" s="7"/>
      <c r="BT2131" s="7"/>
    </row>
    <row r="2132" spans="58:72" x14ac:dyDescent="0.55000000000000004">
      <c r="BF2132" s="7"/>
      <c r="BM2132" s="7"/>
      <c r="BT2132" s="7"/>
    </row>
    <row r="2133" spans="58:72" x14ac:dyDescent="0.55000000000000004">
      <c r="BF2133" s="7"/>
      <c r="BM2133" s="7"/>
      <c r="BT2133" s="7"/>
    </row>
    <row r="2134" spans="58:72" x14ac:dyDescent="0.55000000000000004">
      <c r="BF2134" s="7"/>
      <c r="BM2134" s="7"/>
      <c r="BT2134" s="7"/>
    </row>
    <row r="2135" spans="58:72" x14ac:dyDescent="0.55000000000000004">
      <c r="BF2135" s="7"/>
      <c r="BM2135" s="7"/>
      <c r="BT2135" s="7"/>
    </row>
    <row r="2136" spans="58:72" x14ac:dyDescent="0.55000000000000004">
      <c r="BF2136" s="7"/>
      <c r="BM2136" s="7"/>
      <c r="BT2136" s="7"/>
    </row>
    <row r="2137" spans="58:72" x14ac:dyDescent="0.55000000000000004">
      <c r="BF2137" s="7"/>
      <c r="BM2137" s="7"/>
      <c r="BT2137" s="7"/>
    </row>
    <row r="2138" spans="58:72" x14ac:dyDescent="0.55000000000000004">
      <c r="BF2138" s="7"/>
      <c r="BM2138" s="7"/>
      <c r="BT2138" s="7"/>
    </row>
    <row r="2139" spans="58:72" x14ac:dyDescent="0.55000000000000004">
      <c r="BF2139" s="7"/>
      <c r="BM2139" s="7"/>
      <c r="BT2139" s="7"/>
    </row>
    <row r="2140" spans="58:72" x14ac:dyDescent="0.55000000000000004">
      <c r="BF2140" s="7"/>
      <c r="BM2140" s="7"/>
      <c r="BT2140" s="7"/>
    </row>
    <row r="2141" spans="58:72" x14ac:dyDescent="0.55000000000000004">
      <c r="BF2141" s="7"/>
      <c r="BM2141" s="7"/>
      <c r="BT2141" s="7"/>
    </row>
    <row r="2142" spans="58:72" x14ac:dyDescent="0.55000000000000004">
      <c r="BF2142" s="7"/>
      <c r="BM2142" s="7"/>
      <c r="BT2142" s="7"/>
    </row>
    <row r="2143" spans="58:72" x14ac:dyDescent="0.55000000000000004">
      <c r="BF2143" s="7"/>
      <c r="BM2143" s="7"/>
      <c r="BT2143" s="7"/>
    </row>
    <row r="2144" spans="58:72" x14ac:dyDescent="0.55000000000000004">
      <c r="BF2144" s="7"/>
      <c r="BM2144" s="7"/>
      <c r="BT2144" s="7"/>
    </row>
    <row r="2145" spans="58:72" x14ac:dyDescent="0.55000000000000004">
      <c r="BF2145" s="7"/>
      <c r="BM2145" s="7"/>
      <c r="BT2145" s="7"/>
    </row>
    <row r="2146" spans="58:72" x14ac:dyDescent="0.55000000000000004">
      <c r="BF2146" s="7"/>
      <c r="BM2146" s="7"/>
      <c r="BT2146" s="7"/>
    </row>
    <row r="2147" spans="58:72" x14ac:dyDescent="0.55000000000000004">
      <c r="BF2147" s="7"/>
      <c r="BM2147" s="7"/>
      <c r="BT2147" s="7"/>
    </row>
    <row r="2148" spans="58:72" x14ac:dyDescent="0.55000000000000004">
      <c r="BF2148" s="7"/>
      <c r="BM2148" s="7"/>
      <c r="BT2148" s="7"/>
    </row>
    <row r="2149" spans="58:72" x14ac:dyDescent="0.55000000000000004">
      <c r="BF2149" s="7"/>
      <c r="BM2149" s="7"/>
      <c r="BT2149" s="7"/>
    </row>
    <row r="2150" spans="58:72" x14ac:dyDescent="0.55000000000000004">
      <c r="BF2150" s="7"/>
      <c r="BM2150" s="7"/>
      <c r="BT2150" s="7"/>
    </row>
    <row r="2151" spans="58:72" x14ac:dyDescent="0.55000000000000004">
      <c r="BF2151" s="7"/>
      <c r="BM2151" s="7"/>
      <c r="BT2151" s="7"/>
    </row>
    <row r="2152" spans="58:72" x14ac:dyDescent="0.55000000000000004">
      <c r="BF2152" s="7"/>
      <c r="BM2152" s="7"/>
      <c r="BT2152" s="7"/>
    </row>
    <row r="2153" spans="58:72" x14ac:dyDescent="0.55000000000000004">
      <c r="BF2153" s="7"/>
      <c r="BM2153" s="7"/>
      <c r="BT2153" s="7"/>
    </row>
    <row r="2154" spans="58:72" x14ac:dyDescent="0.55000000000000004">
      <c r="BF2154" s="7"/>
      <c r="BM2154" s="7"/>
      <c r="BT2154" s="7"/>
    </row>
    <row r="2155" spans="58:72" x14ac:dyDescent="0.55000000000000004">
      <c r="BF2155" s="7"/>
      <c r="BM2155" s="7"/>
      <c r="BT2155" s="7"/>
    </row>
    <row r="2156" spans="58:72" x14ac:dyDescent="0.55000000000000004">
      <c r="BF2156" s="7"/>
      <c r="BM2156" s="7"/>
      <c r="BT2156" s="7"/>
    </row>
    <row r="2157" spans="58:72" x14ac:dyDescent="0.55000000000000004">
      <c r="BF2157" s="7"/>
      <c r="BM2157" s="7"/>
      <c r="BT2157" s="7"/>
    </row>
    <row r="2158" spans="58:72" x14ac:dyDescent="0.55000000000000004">
      <c r="BF2158" s="7"/>
      <c r="BM2158" s="7"/>
      <c r="BT2158" s="7"/>
    </row>
    <row r="2159" spans="58:72" x14ac:dyDescent="0.55000000000000004">
      <c r="BF2159" s="7"/>
      <c r="BM2159" s="7"/>
      <c r="BT2159" s="7"/>
    </row>
    <row r="2160" spans="58:72" x14ac:dyDescent="0.55000000000000004">
      <c r="BF2160" s="7"/>
      <c r="BM2160" s="7"/>
      <c r="BT2160" s="7"/>
    </row>
    <row r="2161" spans="58:72" x14ac:dyDescent="0.55000000000000004">
      <c r="BF2161" s="7"/>
      <c r="BM2161" s="7"/>
      <c r="BT2161" s="7"/>
    </row>
    <row r="2162" spans="58:72" x14ac:dyDescent="0.55000000000000004">
      <c r="BF2162" s="7"/>
      <c r="BM2162" s="7"/>
      <c r="BT2162" s="7"/>
    </row>
    <row r="2163" spans="58:72" x14ac:dyDescent="0.55000000000000004">
      <c r="BF2163" s="7"/>
      <c r="BM2163" s="7"/>
      <c r="BT2163" s="7"/>
    </row>
    <row r="2164" spans="58:72" x14ac:dyDescent="0.55000000000000004">
      <c r="BF2164" s="7"/>
      <c r="BM2164" s="7"/>
      <c r="BT2164" s="7"/>
    </row>
    <row r="2165" spans="58:72" x14ac:dyDescent="0.55000000000000004">
      <c r="BF2165" s="7"/>
      <c r="BM2165" s="7"/>
      <c r="BT2165" s="7"/>
    </row>
    <row r="2166" spans="58:72" x14ac:dyDescent="0.55000000000000004">
      <c r="BF2166" s="7"/>
      <c r="BM2166" s="7"/>
      <c r="BT2166" s="7"/>
    </row>
    <row r="2167" spans="58:72" x14ac:dyDescent="0.55000000000000004">
      <c r="BF2167" s="7"/>
      <c r="BM2167" s="7"/>
      <c r="BT2167" s="7"/>
    </row>
    <row r="2168" spans="58:72" x14ac:dyDescent="0.55000000000000004">
      <c r="BF2168" s="7"/>
      <c r="BM2168" s="7"/>
      <c r="BT2168" s="7"/>
    </row>
    <row r="2169" spans="58:72" x14ac:dyDescent="0.55000000000000004">
      <c r="BF2169" s="7"/>
      <c r="BM2169" s="7"/>
      <c r="BT2169" s="7"/>
    </row>
    <row r="2170" spans="58:72" x14ac:dyDescent="0.55000000000000004">
      <c r="BF2170" s="7"/>
      <c r="BM2170" s="7"/>
      <c r="BT2170" s="7"/>
    </row>
    <row r="2171" spans="58:72" x14ac:dyDescent="0.55000000000000004">
      <c r="BF2171" s="7"/>
      <c r="BM2171" s="7"/>
      <c r="BT2171" s="7"/>
    </row>
    <row r="2172" spans="58:72" x14ac:dyDescent="0.55000000000000004">
      <c r="BF2172" s="7"/>
      <c r="BM2172" s="7"/>
      <c r="BT2172" s="7"/>
    </row>
    <row r="2173" spans="58:72" x14ac:dyDescent="0.55000000000000004">
      <c r="BF2173" s="7"/>
      <c r="BM2173" s="7"/>
      <c r="BT2173" s="7"/>
    </row>
    <row r="2174" spans="58:72" x14ac:dyDescent="0.55000000000000004">
      <c r="BF2174" s="7"/>
      <c r="BM2174" s="7"/>
      <c r="BT2174" s="7"/>
    </row>
    <row r="2175" spans="58:72" x14ac:dyDescent="0.55000000000000004">
      <c r="BF2175" s="7"/>
      <c r="BM2175" s="7"/>
      <c r="BT2175" s="7"/>
    </row>
    <row r="2176" spans="58:72" x14ac:dyDescent="0.55000000000000004">
      <c r="BF2176" s="7"/>
      <c r="BM2176" s="7"/>
      <c r="BT2176" s="7"/>
    </row>
    <row r="2177" spans="58:72" x14ac:dyDescent="0.55000000000000004">
      <c r="BF2177" s="7"/>
      <c r="BM2177" s="7"/>
      <c r="BT2177" s="7"/>
    </row>
    <row r="2178" spans="58:72" x14ac:dyDescent="0.55000000000000004">
      <c r="BF2178" s="7"/>
      <c r="BM2178" s="7"/>
      <c r="BT2178" s="7"/>
    </row>
    <row r="2179" spans="58:72" x14ac:dyDescent="0.55000000000000004">
      <c r="BF2179" s="7"/>
      <c r="BM2179" s="7"/>
      <c r="BT2179" s="7"/>
    </row>
    <row r="2180" spans="58:72" x14ac:dyDescent="0.55000000000000004">
      <c r="BF2180" s="7"/>
      <c r="BM2180" s="7"/>
      <c r="BT2180" s="7"/>
    </row>
    <row r="2181" spans="58:72" x14ac:dyDescent="0.55000000000000004">
      <c r="BF2181" s="7"/>
      <c r="BM2181" s="7"/>
      <c r="BT2181" s="7"/>
    </row>
    <row r="2182" spans="58:72" x14ac:dyDescent="0.55000000000000004">
      <c r="BF2182" s="7"/>
      <c r="BM2182" s="7"/>
      <c r="BT2182" s="7"/>
    </row>
    <row r="2183" spans="58:72" x14ac:dyDescent="0.55000000000000004">
      <c r="BF2183" s="7"/>
      <c r="BM2183" s="7"/>
      <c r="BT2183" s="7"/>
    </row>
    <row r="2184" spans="58:72" x14ac:dyDescent="0.55000000000000004">
      <c r="BF2184" s="7"/>
      <c r="BM2184" s="7"/>
      <c r="BT2184" s="7"/>
    </row>
    <row r="2185" spans="58:72" x14ac:dyDescent="0.55000000000000004">
      <c r="BF2185" s="7"/>
      <c r="BM2185" s="7"/>
      <c r="BT2185" s="7"/>
    </row>
    <row r="2186" spans="58:72" x14ac:dyDescent="0.55000000000000004">
      <c r="BF2186" s="7"/>
      <c r="BM2186" s="7"/>
      <c r="BT2186" s="7"/>
    </row>
    <row r="2187" spans="58:72" x14ac:dyDescent="0.55000000000000004">
      <c r="BF2187" s="7"/>
      <c r="BM2187" s="7"/>
      <c r="BT2187" s="7"/>
    </row>
    <row r="2188" spans="58:72" x14ac:dyDescent="0.55000000000000004">
      <c r="BF2188" s="7"/>
      <c r="BM2188" s="7"/>
      <c r="BT2188" s="7"/>
    </row>
    <row r="2189" spans="58:72" x14ac:dyDescent="0.55000000000000004">
      <c r="BF2189" s="7"/>
      <c r="BM2189" s="7"/>
      <c r="BT2189" s="7"/>
    </row>
    <row r="2190" spans="58:72" x14ac:dyDescent="0.55000000000000004">
      <c r="BF2190" s="7"/>
      <c r="BM2190" s="7"/>
      <c r="BT2190" s="7"/>
    </row>
    <row r="2191" spans="58:72" x14ac:dyDescent="0.55000000000000004">
      <c r="BF2191" s="7"/>
      <c r="BM2191" s="7"/>
      <c r="BT2191" s="7"/>
    </row>
    <row r="2192" spans="58:72" x14ac:dyDescent="0.55000000000000004">
      <c r="BF2192" s="7"/>
      <c r="BM2192" s="7"/>
      <c r="BT2192" s="7"/>
    </row>
    <row r="2193" spans="58:72" x14ac:dyDescent="0.55000000000000004">
      <c r="BF2193" s="7"/>
      <c r="BM2193" s="7"/>
      <c r="BT2193" s="7"/>
    </row>
    <row r="2194" spans="58:72" x14ac:dyDescent="0.55000000000000004">
      <c r="BF2194" s="7"/>
      <c r="BM2194" s="7"/>
      <c r="BT2194" s="7"/>
    </row>
    <row r="2195" spans="58:72" x14ac:dyDescent="0.55000000000000004">
      <c r="BF2195" s="7"/>
      <c r="BM2195" s="7"/>
      <c r="BT2195" s="7"/>
    </row>
    <row r="2196" spans="58:72" x14ac:dyDescent="0.55000000000000004">
      <c r="BF2196" s="7"/>
      <c r="BM2196" s="7"/>
      <c r="BT2196" s="7"/>
    </row>
    <row r="2197" spans="58:72" x14ac:dyDescent="0.55000000000000004">
      <c r="BF2197" s="7"/>
      <c r="BM2197" s="7"/>
      <c r="BT2197" s="7"/>
    </row>
    <row r="2198" spans="58:72" x14ac:dyDescent="0.55000000000000004">
      <c r="BF2198" s="7"/>
      <c r="BM2198" s="7"/>
      <c r="BT2198" s="7"/>
    </row>
    <row r="2199" spans="58:72" x14ac:dyDescent="0.55000000000000004">
      <c r="BF2199" s="7"/>
      <c r="BM2199" s="7"/>
      <c r="BT2199" s="7"/>
    </row>
    <row r="2200" spans="58:72" x14ac:dyDescent="0.55000000000000004">
      <c r="BF2200" s="7"/>
      <c r="BM2200" s="7"/>
      <c r="BT2200" s="7"/>
    </row>
    <row r="2201" spans="58:72" x14ac:dyDescent="0.55000000000000004">
      <c r="BF2201" s="7"/>
      <c r="BM2201" s="7"/>
      <c r="BT2201" s="7"/>
    </row>
    <row r="2202" spans="58:72" x14ac:dyDescent="0.55000000000000004">
      <c r="BF2202" s="7"/>
      <c r="BM2202" s="7"/>
      <c r="BT2202" s="7"/>
    </row>
    <row r="2203" spans="58:72" x14ac:dyDescent="0.55000000000000004">
      <c r="BF2203" s="7"/>
      <c r="BM2203" s="7"/>
      <c r="BT2203" s="7"/>
    </row>
    <row r="2204" spans="58:72" x14ac:dyDescent="0.55000000000000004">
      <c r="BF2204" s="7"/>
      <c r="BM2204" s="7"/>
      <c r="BT2204" s="7"/>
    </row>
    <row r="2205" spans="58:72" x14ac:dyDescent="0.55000000000000004">
      <c r="BF2205" s="7"/>
      <c r="BM2205" s="7"/>
      <c r="BT2205" s="7"/>
    </row>
    <row r="2206" spans="58:72" x14ac:dyDescent="0.55000000000000004">
      <c r="BF2206" s="7"/>
      <c r="BM2206" s="7"/>
      <c r="BT2206" s="7"/>
    </row>
    <row r="2207" spans="58:72" x14ac:dyDescent="0.55000000000000004">
      <c r="BF2207" s="7"/>
      <c r="BM2207" s="7"/>
      <c r="BT2207" s="7"/>
    </row>
    <row r="2208" spans="58:72" x14ac:dyDescent="0.55000000000000004">
      <c r="BF2208" s="7"/>
      <c r="BM2208" s="7"/>
      <c r="BT2208" s="7"/>
    </row>
    <row r="2209" spans="58:72" x14ac:dyDescent="0.55000000000000004">
      <c r="BF2209" s="7"/>
      <c r="BM2209" s="7"/>
      <c r="BT2209" s="7"/>
    </row>
    <row r="2210" spans="58:72" x14ac:dyDescent="0.55000000000000004">
      <c r="BF2210" s="7"/>
      <c r="BM2210" s="7"/>
      <c r="BT2210" s="7"/>
    </row>
    <row r="2211" spans="58:72" x14ac:dyDescent="0.55000000000000004">
      <c r="BF2211" s="7"/>
      <c r="BM2211" s="7"/>
      <c r="BT2211" s="7"/>
    </row>
    <row r="2212" spans="58:72" x14ac:dyDescent="0.55000000000000004">
      <c r="BF2212" s="7"/>
      <c r="BM2212" s="7"/>
      <c r="BT2212" s="7"/>
    </row>
    <row r="2213" spans="58:72" x14ac:dyDescent="0.55000000000000004">
      <c r="BF2213" s="7"/>
      <c r="BM2213" s="7"/>
      <c r="BT2213" s="7"/>
    </row>
    <row r="2214" spans="58:72" x14ac:dyDescent="0.55000000000000004">
      <c r="BF2214" s="7"/>
      <c r="BM2214" s="7"/>
      <c r="BT2214" s="7"/>
    </row>
    <row r="2215" spans="58:72" x14ac:dyDescent="0.55000000000000004">
      <c r="BF2215" s="7"/>
      <c r="BM2215" s="7"/>
      <c r="BT2215" s="7"/>
    </row>
    <row r="2216" spans="58:72" x14ac:dyDescent="0.55000000000000004">
      <c r="BF2216" s="7"/>
      <c r="BM2216" s="7"/>
      <c r="BT2216" s="7"/>
    </row>
    <row r="2217" spans="58:72" x14ac:dyDescent="0.55000000000000004">
      <c r="BF2217" s="7"/>
      <c r="BM2217" s="7"/>
      <c r="BT2217" s="7"/>
    </row>
    <row r="2218" spans="58:72" x14ac:dyDescent="0.55000000000000004">
      <c r="BF2218" s="7"/>
      <c r="BM2218" s="7"/>
      <c r="BT2218" s="7"/>
    </row>
    <row r="2219" spans="58:72" x14ac:dyDescent="0.55000000000000004">
      <c r="BF2219" s="7"/>
      <c r="BM2219" s="7"/>
      <c r="BT2219" s="7"/>
    </row>
    <row r="2220" spans="58:72" x14ac:dyDescent="0.55000000000000004">
      <c r="BF2220" s="7"/>
      <c r="BM2220" s="7"/>
      <c r="BT2220" s="7"/>
    </row>
    <row r="2221" spans="58:72" x14ac:dyDescent="0.55000000000000004">
      <c r="BF2221" s="7"/>
      <c r="BM2221" s="7"/>
      <c r="BT2221" s="7"/>
    </row>
    <row r="2222" spans="58:72" x14ac:dyDescent="0.55000000000000004">
      <c r="BF2222" s="7"/>
      <c r="BM2222" s="7"/>
      <c r="BT2222" s="7"/>
    </row>
    <row r="2223" spans="58:72" x14ac:dyDescent="0.55000000000000004">
      <c r="BF2223" s="7"/>
      <c r="BM2223" s="7"/>
      <c r="BT2223" s="7"/>
    </row>
    <row r="2224" spans="58:72" x14ac:dyDescent="0.55000000000000004">
      <c r="BF2224" s="7"/>
      <c r="BM2224" s="7"/>
      <c r="BT2224" s="7"/>
    </row>
    <row r="2225" spans="58:72" x14ac:dyDescent="0.55000000000000004">
      <c r="BF2225" s="7"/>
      <c r="BM2225" s="7"/>
      <c r="BT2225" s="7"/>
    </row>
    <row r="2226" spans="58:72" x14ac:dyDescent="0.55000000000000004">
      <c r="BF2226" s="7"/>
      <c r="BM2226" s="7"/>
      <c r="BT2226" s="7"/>
    </row>
    <row r="2227" spans="58:72" x14ac:dyDescent="0.55000000000000004">
      <c r="BF2227" s="7"/>
      <c r="BM2227" s="7"/>
      <c r="BT2227" s="7"/>
    </row>
    <row r="2228" spans="58:72" x14ac:dyDescent="0.55000000000000004">
      <c r="BF2228" s="7"/>
      <c r="BM2228" s="7"/>
      <c r="BT2228" s="7"/>
    </row>
    <row r="2229" spans="58:72" x14ac:dyDescent="0.55000000000000004">
      <c r="BF2229" s="7"/>
      <c r="BM2229" s="7"/>
      <c r="BT2229" s="7"/>
    </row>
    <row r="2230" spans="58:72" x14ac:dyDescent="0.55000000000000004">
      <c r="BF2230" s="7"/>
      <c r="BM2230" s="7"/>
      <c r="BT2230" s="7"/>
    </row>
    <row r="2231" spans="58:72" x14ac:dyDescent="0.55000000000000004">
      <c r="BF2231" s="7"/>
      <c r="BM2231" s="7"/>
      <c r="BT2231" s="7"/>
    </row>
    <row r="2232" spans="58:72" x14ac:dyDescent="0.55000000000000004">
      <c r="BF2232" s="7"/>
      <c r="BM2232" s="7"/>
      <c r="BT2232" s="7"/>
    </row>
    <row r="2233" spans="58:72" x14ac:dyDescent="0.55000000000000004">
      <c r="BF2233" s="7"/>
      <c r="BM2233" s="7"/>
      <c r="BT2233" s="7"/>
    </row>
    <row r="2234" spans="58:72" x14ac:dyDescent="0.55000000000000004">
      <c r="BF2234" s="7"/>
      <c r="BM2234" s="7"/>
      <c r="BT2234" s="7"/>
    </row>
    <row r="2235" spans="58:72" x14ac:dyDescent="0.55000000000000004">
      <c r="BF2235" s="7"/>
      <c r="BM2235" s="7"/>
      <c r="BT2235" s="7"/>
    </row>
    <row r="2236" spans="58:72" x14ac:dyDescent="0.55000000000000004">
      <c r="BF2236" s="7"/>
      <c r="BM2236" s="7"/>
      <c r="BT2236" s="7"/>
    </row>
    <row r="2237" spans="58:72" x14ac:dyDescent="0.55000000000000004">
      <c r="BF2237" s="7"/>
      <c r="BM2237" s="7"/>
      <c r="BT2237" s="7"/>
    </row>
    <row r="2238" spans="58:72" x14ac:dyDescent="0.55000000000000004">
      <c r="BF2238" s="7"/>
      <c r="BM2238" s="7"/>
      <c r="BT2238" s="7"/>
    </row>
    <row r="2239" spans="58:72" x14ac:dyDescent="0.55000000000000004">
      <c r="BF2239" s="7"/>
      <c r="BM2239" s="7"/>
      <c r="BT2239" s="7"/>
    </row>
    <row r="2240" spans="58:72" x14ac:dyDescent="0.55000000000000004">
      <c r="BF2240" s="7"/>
      <c r="BM2240" s="7"/>
      <c r="BT2240" s="7"/>
    </row>
    <row r="2241" spans="58:72" x14ac:dyDescent="0.55000000000000004">
      <c r="BF2241" s="7"/>
      <c r="BM2241" s="7"/>
      <c r="BT2241" s="7"/>
    </row>
    <row r="2242" spans="58:72" x14ac:dyDescent="0.55000000000000004">
      <c r="BF2242" s="7"/>
      <c r="BM2242" s="7"/>
      <c r="BT2242" s="7"/>
    </row>
    <row r="2243" spans="58:72" x14ac:dyDescent="0.55000000000000004">
      <c r="BF2243" s="7"/>
      <c r="BM2243" s="7"/>
      <c r="BT2243" s="7"/>
    </row>
    <row r="2244" spans="58:72" x14ac:dyDescent="0.55000000000000004">
      <c r="BF2244" s="7"/>
      <c r="BM2244" s="7"/>
      <c r="BT2244" s="7"/>
    </row>
    <row r="2245" spans="58:72" x14ac:dyDescent="0.55000000000000004">
      <c r="BF2245" s="7"/>
      <c r="BM2245" s="7"/>
      <c r="BT2245" s="7"/>
    </row>
    <row r="2246" spans="58:72" x14ac:dyDescent="0.55000000000000004">
      <c r="BF2246" s="7"/>
      <c r="BM2246" s="7"/>
      <c r="BT2246" s="7"/>
    </row>
    <row r="2247" spans="58:72" x14ac:dyDescent="0.55000000000000004">
      <c r="BF2247" s="7"/>
      <c r="BM2247" s="7"/>
      <c r="BT2247" s="7"/>
    </row>
    <row r="2248" spans="58:72" x14ac:dyDescent="0.55000000000000004">
      <c r="BF2248" s="7"/>
      <c r="BM2248" s="7"/>
      <c r="BT2248" s="7"/>
    </row>
    <row r="2249" spans="58:72" x14ac:dyDescent="0.55000000000000004">
      <c r="BF2249" s="7"/>
      <c r="BM2249" s="7"/>
      <c r="BT2249" s="7"/>
    </row>
    <row r="2250" spans="58:72" x14ac:dyDescent="0.55000000000000004">
      <c r="BF2250" s="7"/>
      <c r="BM2250" s="7"/>
      <c r="BT2250" s="7"/>
    </row>
    <row r="2251" spans="58:72" x14ac:dyDescent="0.55000000000000004">
      <c r="BF2251" s="7"/>
      <c r="BM2251" s="7"/>
      <c r="BT2251" s="7"/>
    </row>
    <row r="2252" spans="58:72" x14ac:dyDescent="0.55000000000000004">
      <c r="BF2252" s="7"/>
      <c r="BM2252" s="7"/>
      <c r="BT2252" s="7"/>
    </row>
    <row r="2253" spans="58:72" x14ac:dyDescent="0.55000000000000004">
      <c r="BF2253" s="7"/>
      <c r="BM2253" s="7"/>
      <c r="BT2253" s="7"/>
    </row>
    <row r="2254" spans="58:72" x14ac:dyDescent="0.55000000000000004">
      <c r="BF2254" s="7"/>
      <c r="BM2254" s="7"/>
      <c r="BT2254" s="7"/>
    </row>
    <row r="2255" spans="58:72" x14ac:dyDescent="0.55000000000000004">
      <c r="BF2255" s="7"/>
      <c r="BM2255" s="7"/>
      <c r="BT2255" s="7"/>
    </row>
    <row r="2256" spans="58:72" x14ac:dyDescent="0.55000000000000004">
      <c r="BF2256" s="7"/>
      <c r="BM2256" s="7"/>
      <c r="BT2256" s="7"/>
    </row>
    <row r="2257" spans="58:72" x14ac:dyDescent="0.55000000000000004">
      <c r="BF2257" s="7"/>
      <c r="BM2257" s="7"/>
      <c r="BT2257" s="7"/>
    </row>
    <row r="2258" spans="58:72" x14ac:dyDescent="0.55000000000000004">
      <c r="BF2258" s="7"/>
      <c r="BM2258" s="7"/>
      <c r="BT2258" s="7"/>
    </row>
    <row r="2259" spans="58:72" x14ac:dyDescent="0.55000000000000004">
      <c r="BF2259" s="7"/>
      <c r="BM2259" s="7"/>
      <c r="BT2259" s="7"/>
    </row>
    <row r="2260" spans="58:72" x14ac:dyDescent="0.55000000000000004">
      <c r="BF2260" s="7"/>
      <c r="BM2260" s="7"/>
      <c r="BT2260" s="7"/>
    </row>
    <row r="2261" spans="58:72" x14ac:dyDescent="0.55000000000000004">
      <c r="BF2261" s="7"/>
      <c r="BM2261" s="7"/>
      <c r="BT2261" s="7"/>
    </row>
    <row r="2262" spans="58:72" x14ac:dyDescent="0.55000000000000004">
      <c r="BF2262" s="7"/>
      <c r="BM2262" s="7"/>
      <c r="BT2262" s="7"/>
    </row>
    <row r="2263" spans="58:72" x14ac:dyDescent="0.55000000000000004">
      <c r="BF2263" s="7"/>
      <c r="BM2263" s="7"/>
      <c r="BT2263" s="7"/>
    </row>
    <row r="2264" spans="58:72" x14ac:dyDescent="0.55000000000000004">
      <c r="BF2264" s="7"/>
      <c r="BM2264" s="7"/>
      <c r="BT2264" s="7"/>
    </row>
    <row r="2265" spans="58:72" x14ac:dyDescent="0.55000000000000004">
      <c r="BF2265" s="7"/>
      <c r="BM2265" s="7"/>
      <c r="BT2265" s="7"/>
    </row>
    <row r="2266" spans="58:72" x14ac:dyDescent="0.55000000000000004">
      <c r="BF2266" s="7"/>
      <c r="BM2266" s="7"/>
      <c r="BT2266" s="7"/>
    </row>
    <row r="2267" spans="58:72" x14ac:dyDescent="0.55000000000000004">
      <c r="BF2267" s="7"/>
      <c r="BM2267" s="7"/>
      <c r="BT2267" s="7"/>
    </row>
    <row r="2268" spans="58:72" x14ac:dyDescent="0.55000000000000004">
      <c r="BF2268" s="7"/>
      <c r="BM2268" s="7"/>
      <c r="BT2268" s="7"/>
    </row>
    <row r="2269" spans="58:72" x14ac:dyDescent="0.55000000000000004">
      <c r="BF2269" s="7"/>
      <c r="BM2269" s="7"/>
      <c r="BT2269" s="7"/>
    </row>
    <row r="2270" spans="58:72" x14ac:dyDescent="0.55000000000000004">
      <c r="BF2270" s="7"/>
      <c r="BM2270" s="7"/>
      <c r="BT2270" s="7"/>
    </row>
    <row r="2271" spans="58:72" x14ac:dyDescent="0.55000000000000004">
      <c r="BF2271" s="7"/>
      <c r="BM2271" s="7"/>
      <c r="BT2271" s="7"/>
    </row>
    <row r="2272" spans="58:72" x14ac:dyDescent="0.55000000000000004">
      <c r="BF2272" s="7"/>
      <c r="BM2272" s="7"/>
      <c r="BT2272" s="7"/>
    </row>
    <row r="2273" spans="58:72" x14ac:dyDescent="0.55000000000000004">
      <c r="BF2273" s="7"/>
      <c r="BM2273" s="7"/>
      <c r="BT2273" s="7"/>
    </row>
    <row r="2274" spans="58:72" x14ac:dyDescent="0.55000000000000004">
      <c r="BF2274" s="7"/>
      <c r="BM2274" s="7"/>
      <c r="BT2274" s="7"/>
    </row>
    <row r="2275" spans="58:72" x14ac:dyDescent="0.55000000000000004">
      <c r="BF2275" s="7"/>
      <c r="BM2275" s="7"/>
      <c r="BT2275" s="7"/>
    </row>
    <row r="2276" spans="58:72" x14ac:dyDescent="0.55000000000000004">
      <c r="BF2276" s="7"/>
      <c r="BM2276" s="7"/>
      <c r="BT2276" s="7"/>
    </row>
    <row r="2277" spans="58:72" x14ac:dyDescent="0.55000000000000004">
      <c r="BF2277" s="7"/>
      <c r="BM2277" s="7"/>
      <c r="BT2277" s="7"/>
    </row>
    <row r="2278" spans="58:72" x14ac:dyDescent="0.55000000000000004">
      <c r="BF2278" s="7"/>
      <c r="BM2278" s="7"/>
      <c r="BT2278" s="7"/>
    </row>
    <row r="2279" spans="58:72" x14ac:dyDescent="0.55000000000000004">
      <c r="BF2279" s="7"/>
      <c r="BM2279" s="7"/>
      <c r="BT2279" s="7"/>
    </row>
    <row r="2280" spans="58:72" x14ac:dyDescent="0.55000000000000004">
      <c r="BF2280" s="7"/>
      <c r="BM2280" s="7"/>
      <c r="BT2280" s="7"/>
    </row>
    <row r="2281" spans="58:72" x14ac:dyDescent="0.55000000000000004">
      <c r="BF2281" s="7"/>
      <c r="BM2281" s="7"/>
      <c r="BT2281" s="7"/>
    </row>
    <row r="2282" spans="58:72" x14ac:dyDescent="0.55000000000000004">
      <c r="BF2282" s="7"/>
      <c r="BM2282" s="7"/>
      <c r="BT2282" s="7"/>
    </row>
    <row r="2283" spans="58:72" x14ac:dyDescent="0.55000000000000004">
      <c r="BF2283" s="7"/>
      <c r="BM2283" s="7"/>
      <c r="BT2283" s="7"/>
    </row>
    <row r="2284" spans="58:72" x14ac:dyDescent="0.55000000000000004">
      <c r="BF2284" s="7"/>
      <c r="BM2284" s="7"/>
      <c r="BT2284" s="7"/>
    </row>
    <row r="2285" spans="58:72" x14ac:dyDescent="0.55000000000000004">
      <c r="BF2285" s="7"/>
      <c r="BM2285" s="7"/>
      <c r="BT2285" s="7"/>
    </row>
    <row r="2286" spans="58:72" x14ac:dyDescent="0.55000000000000004">
      <c r="BF2286" s="7"/>
      <c r="BM2286" s="7"/>
      <c r="BT2286" s="7"/>
    </row>
    <row r="2287" spans="58:72" x14ac:dyDescent="0.55000000000000004">
      <c r="BF2287" s="7"/>
      <c r="BM2287" s="7"/>
      <c r="BT2287" s="7"/>
    </row>
    <row r="2288" spans="58:72" x14ac:dyDescent="0.55000000000000004">
      <c r="BF2288" s="7"/>
      <c r="BM2288" s="7"/>
      <c r="BT2288" s="7"/>
    </row>
    <row r="2289" spans="58:72" x14ac:dyDescent="0.55000000000000004">
      <c r="BF2289" s="7"/>
      <c r="BM2289" s="7"/>
      <c r="BT2289" s="7"/>
    </row>
    <row r="2290" spans="58:72" x14ac:dyDescent="0.55000000000000004">
      <c r="BF2290" s="7"/>
      <c r="BM2290" s="7"/>
      <c r="BT2290" s="7"/>
    </row>
    <row r="2291" spans="58:72" x14ac:dyDescent="0.55000000000000004">
      <c r="BF2291" s="7"/>
      <c r="BM2291" s="7"/>
      <c r="BT2291" s="7"/>
    </row>
    <row r="2292" spans="58:72" x14ac:dyDescent="0.55000000000000004">
      <c r="BF2292" s="7"/>
      <c r="BM2292" s="7"/>
      <c r="BT2292" s="7"/>
    </row>
    <row r="2293" spans="58:72" x14ac:dyDescent="0.55000000000000004">
      <c r="BF2293" s="7"/>
      <c r="BM2293" s="7"/>
      <c r="BT2293" s="7"/>
    </row>
    <row r="2294" spans="58:72" x14ac:dyDescent="0.55000000000000004">
      <c r="BF2294" s="7"/>
      <c r="BM2294" s="7"/>
      <c r="BT2294" s="7"/>
    </row>
    <row r="2295" spans="58:72" x14ac:dyDescent="0.55000000000000004">
      <c r="BF2295" s="7"/>
      <c r="BM2295" s="7"/>
      <c r="BT2295" s="7"/>
    </row>
    <row r="2296" spans="58:72" x14ac:dyDescent="0.55000000000000004">
      <c r="BF2296" s="7"/>
      <c r="BM2296" s="7"/>
      <c r="BT2296" s="7"/>
    </row>
    <row r="2297" spans="58:72" x14ac:dyDescent="0.55000000000000004">
      <c r="BF2297" s="7"/>
      <c r="BM2297" s="7"/>
      <c r="BT2297" s="7"/>
    </row>
    <row r="2298" spans="58:72" x14ac:dyDescent="0.55000000000000004">
      <c r="BF2298" s="7"/>
      <c r="BM2298" s="7"/>
      <c r="BT2298" s="7"/>
    </row>
    <row r="2299" spans="58:72" x14ac:dyDescent="0.55000000000000004">
      <c r="BF2299" s="7"/>
      <c r="BM2299" s="7"/>
      <c r="BT2299" s="7"/>
    </row>
    <row r="2300" spans="58:72" x14ac:dyDescent="0.55000000000000004">
      <c r="BF2300" s="7"/>
      <c r="BM2300" s="7"/>
      <c r="BT2300" s="7"/>
    </row>
    <row r="2301" spans="58:72" x14ac:dyDescent="0.55000000000000004">
      <c r="BF2301" s="7"/>
      <c r="BM2301" s="7"/>
      <c r="BT2301" s="7"/>
    </row>
    <row r="2302" spans="58:72" x14ac:dyDescent="0.55000000000000004">
      <c r="BF2302" s="7"/>
      <c r="BM2302" s="7"/>
      <c r="BT2302" s="7"/>
    </row>
    <row r="2303" spans="58:72" x14ac:dyDescent="0.55000000000000004">
      <c r="BF2303" s="7"/>
      <c r="BM2303" s="7"/>
      <c r="BT2303" s="7"/>
    </row>
    <row r="2304" spans="58:72" x14ac:dyDescent="0.55000000000000004">
      <c r="BF2304" s="7"/>
      <c r="BM2304" s="7"/>
      <c r="BT2304" s="7"/>
    </row>
    <row r="2305" spans="58:72" x14ac:dyDescent="0.55000000000000004">
      <c r="BF2305" s="7"/>
      <c r="BM2305" s="7"/>
      <c r="BT2305" s="7"/>
    </row>
    <row r="2306" spans="58:72" x14ac:dyDescent="0.55000000000000004">
      <c r="BF2306" s="7"/>
      <c r="BM2306" s="7"/>
      <c r="BT2306" s="7"/>
    </row>
    <row r="2307" spans="58:72" x14ac:dyDescent="0.55000000000000004">
      <c r="BF2307" s="7"/>
      <c r="BM2307" s="7"/>
      <c r="BT2307" s="7"/>
    </row>
    <row r="2308" spans="58:72" x14ac:dyDescent="0.55000000000000004">
      <c r="BF2308" s="7"/>
      <c r="BM2308" s="7"/>
      <c r="BT2308" s="7"/>
    </row>
    <row r="2309" spans="58:72" x14ac:dyDescent="0.55000000000000004">
      <c r="BF2309" s="7"/>
      <c r="BM2309" s="7"/>
      <c r="BT2309" s="7"/>
    </row>
    <row r="2310" spans="58:72" x14ac:dyDescent="0.55000000000000004">
      <c r="BF2310" s="7"/>
      <c r="BM2310" s="7"/>
      <c r="BT2310" s="7"/>
    </row>
    <row r="2311" spans="58:72" x14ac:dyDescent="0.55000000000000004">
      <c r="BF2311" s="7"/>
      <c r="BM2311" s="7"/>
      <c r="BT2311" s="7"/>
    </row>
    <row r="2312" spans="58:72" x14ac:dyDescent="0.55000000000000004">
      <c r="BF2312" s="7"/>
      <c r="BM2312" s="7"/>
      <c r="BT2312" s="7"/>
    </row>
    <row r="2313" spans="58:72" x14ac:dyDescent="0.55000000000000004">
      <c r="BF2313" s="7"/>
      <c r="BM2313" s="7"/>
      <c r="BT2313" s="7"/>
    </row>
    <row r="2314" spans="58:72" x14ac:dyDescent="0.55000000000000004">
      <c r="BF2314" s="7"/>
      <c r="BM2314" s="7"/>
      <c r="BT2314" s="7"/>
    </row>
    <row r="2315" spans="58:72" x14ac:dyDescent="0.55000000000000004">
      <c r="BF2315" s="7"/>
      <c r="BM2315" s="7"/>
      <c r="BT2315" s="7"/>
    </row>
    <row r="2316" spans="58:72" x14ac:dyDescent="0.55000000000000004">
      <c r="BF2316" s="7"/>
      <c r="BM2316" s="7"/>
      <c r="BT2316" s="7"/>
    </row>
    <row r="2317" spans="58:72" x14ac:dyDescent="0.55000000000000004">
      <c r="BF2317" s="7"/>
      <c r="BM2317" s="7"/>
      <c r="BT2317" s="7"/>
    </row>
    <row r="2318" spans="58:72" x14ac:dyDescent="0.55000000000000004">
      <c r="BF2318" s="7"/>
      <c r="BM2318" s="7"/>
      <c r="BT2318" s="7"/>
    </row>
    <row r="2319" spans="58:72" x14ac:dyDescent="0.55000000000000004">
      <c r="BF2319" s="7"/>
      <c r="BM2319" s="7"/>
      <c r="BT2319" s="7"/>
    </row>
    <row r="2320" spans="58:72" x14ac:dyDescent="0.55000000000000004">
      <c r="BF2320" s="7"/>
      <c r="BM2320" s="7"/>
      <c r="BT2320" s="7"/>
    </row>
    <row r="2321" spans="58:72" x14ac:dyDescent="0.55000000000000004">
      <c r="BF2321" s="7"/>
      <c r="BM2321" s="7"/>
      <c r="BT2321" s="7"/>
    </row>
    <row r="2322" spans="58:72" x14ac:dyDescent="0.55000000000000004">
      <c r="BF2322" s="7"/>
      <c r="BM2322" s="7"/>
      <c r="BT2322" s="7"/>
    </row>
    <row r="2323" spans="58:72" x14ac:dyDescent="0.55000000000000004">
      <c r="BF2323" s="7"/>
      <c r="BM2323" s="7"/>
      <c r="BT2323" s="7"/>
    </row>
    <row r="2324" spans="58:72" x14ac:dyDescent="0.55000000000000004">
      <c r="BF2324" s="7"/>
      <c r="BM2324" s="7"/>
      <c r="BT2324" s="7"/>
    </row>
    <row r="2325" spans="58:72" x14ac:dyDescent="0.55000000000000004">
      <c r="BF2325" s="7"/>
      <c r="BM2325" s="7"/>
      <c r="BT2325" s="7"/>
    </row>
    <row r="2326" spans="58:72" x14ac:dyDescent="0.55000000000000004">
      <c r="BF2326" s="7"/>
      <c r="BM2326" s="7"/>
      <c r="BT2326" s="7"/>
    </row>
    <row r="2327" spans="58:72" x14ac:dyDescent="0.55000000000000004">
      <c r="BF2327" s="7"/>
      <c r="BM2327" s="7"/>
      <c r="BT2327" s="7"/>
    </row>
    <row r="2328" spans="58:72" x14ac:dyDescent="0.55000000000000004">
      <c r="BF2328" s="7"/>
      <c r="BM2328" s="7"/>
      <c r="BT2328" s="7"/>
    </row>
    <row r="2329" spans="58:72" x14ac:dyDescent="0.55000000000000004">
      <c r="BF2329" s="7"/>
      <c r="BM2329" s="7"/>
      <c r="BT2329" s="7"/>
    </row>
    <row r="2330" spans="58:72" x14ac:dyDescent="0.55000000000000004">
      <c r="BF2330" s="7"/>
      <c r="BM2330" s="7"/>
      <c r="BT2330" s="7"/>
    </row>
    <row r="2331" spans="58:72" x14ac:dyDescent="0.55000000000000004">
      <c r="BF2331" s="7"/>
      <c r="BM2331" s="7"/>
      <c r="BT2331" s="7"/>
    </row>
    <row r="2332" spans="58:72" x14ac:dyDescent="0.55000000000000004">
      <c r="BF2332" s="7"/>
      <c r="BM2332" s="7"/>
      <c r="BT2332" s="7"/>
    </row>
    <row r="2333" spans="58:72" x14ac:dyDescent="0.55000000000000004">
      <c r="BF2333" s="7"/>
      <c r="BM2333" s="7"/>
      <c r="BT2333" s="7"/>
    </row>
    <row r="2334" spans="58:72" x14ac:dyDescent="0.55000000000000004">
      <c r="BF2334" s="7"/>
      <c r="BM2334" s="7"/>
      <c r="BT2334" s="7"/>
    </row>
    <row r="2335" spans="58:72" x14ac:dyDescent="0.55000000000000004">
      <c r="BF2335" s="7"/>
      <c r="BM2335" s="7"/>
      <c r="BT2335" s="7"/>
    </row>
    <row r="2336" spans="58:72" x14ac:dyDescent="0.55000000000000004">
      <c r="BF2336" s="7"/>
      <c r="BM2336" s="7"/>
      <c r="BT2336" s="7"/>
    </row>
    <row r="2337" spans="58:72" x14ac:dyDescent="0.55000000000000004">
      <c r="BF2337" s="7"/>
      <c r="BM2337" s="7"/>
      <c r="BT2337" s="7"/>
    </row>
    <row r="2338" spans="58:72" x14ac:dyDescent="0.55000000000000004">
      <c r="BF2338" s="7"/>
      <c r="BM2338" s="7"/>
      <c r="BT2338" s="7"/>
    </row>
    <row r="2339" spans="58:72" x14ac:dyDescent="0.55000000000000004">
      <c r="BF2339" s="7"/>
      <c r="BM2339" s="7"/>
      <c r="BT2339" s="7"/>
    </row>
    <row r="2340" spans="58:72" x14ac:dyDescent="0.55000000000000004">
      <c r="BF2340" s="7"/>
      <c r="BM2340" s="7"/>
      <c r="BT2340" s="7"/>
    </row>
    <row r="2341" spans="58:72" x14ac:dyDescent="0.55000000000000004">
      <c r="BF2341" s="7"/>
      <c r="BM2341" s="7"/>
      <c r="BT2341" s="7"/>
    </row>
    <row r="2342" spans="58:72" x14ac:dyDescent="0.55000000000000004">
      <c r="BF2342" s="7"/>
      <c r="BM2342" s="7"/>
      <c r="BT2342" s="7"/>
    </row>
    <row r="2343" spans="58:72" x14ac:dyDescent="0.55000000000000004">
      <c r="BF2343" s="7"/>
      <c r="BM2343" s="7"/>
      <c r="BT2343" s="7"/>
    </row>
    <row r="2344" spans="58:72" x14ac:dyDescent="0.55000000000000004">
      <c r="BF2344" s="7"/>
      <c r="BM2344" s="7"/>
      <c r="BT2344" s="7"/>
    </row>
    <row r="2345" spans="58:72" x14ac:dyDescent="0.55000000000000004">
      <c r="BF2345" s="7"/>
      <c r="BM2345" s="7"/>
      <c r="BT2345" s="7"/>
    </row>
    <row r="2346" spans="58:72" x14ac:dyDescent="0.55000000000000004">
      <c r="BF2346" s="7"/>
      <c r="BM2346" s="7"/>
      <c r="BT2346" s="7"/>
    </row>
    <row r="2347" spans="58:72" x14ac:dyDescent="0.55000000000000004">
      <c r="BF2347" s="7"/>
      <c r="BM2347" s="7"/>
      <c r="BT2347" s="7"/>
    </row>
    <row r="2348" spans="58:72" x14ac:dyDescent="0.55000000000000004">
      <c r="BF2348" s="7"/>
      <c r="BM2348" s="7"/>
      <c r="BT2348" s="7"/>
    </row>
    <row r="2349" spans="58:72" x14ac:dyDescent="0.55000000000000004">
      <c r="BF2349" s="7"/>
      <c r="BM2349" s="7"/>
      <c r="BT2349" s="7"/>
    </row>
    <row r="2350" spans="58:72" x14ac:dyDescent="0.55000000000000004">
      <c r="BF2350" s="7"/>
      <c r="BM2350" s="7"/>
      <c r="BT2350" s="7"/>
    </row>
    <row r="2351" spans="58:72" x14ac:dyDescent="0.55000000000000004">
      <c r="BF2351" s="7"/>
      <c r="BM2351" s="7"/>
      <c r="BT2351" s="7"/>
    </row>
    <row r="2352" spans="58:72" x14ac:dyDescent="0.55000000000000004">
      <c r="BF2352" s="7"/>
      <c r="BM2352" s="7"/>
      <c r="BT2352" s="7"/>
    </row>
    <row r="2353" spans="58:72" x14ac:dyDescent="0.55000000000000004">
      <c r="BF2353" s="7"/>
      <c r="BM2353" s="7"/>
      <c r="BT2353" s="7"/>
    </row>
    <row r="2354" spans="58:72" x14ac:dyDescent="0.55000000000000004">
      <c r="BF2354" s="7"/>
      <c r="BM2354" s="7"/>
      <c r="BT2354" s="7"/>
    </row>
    <row r="2355" spans="58:72" x14ac:dyDescent="0.55000000000000004">
      <c r="BF2355" s="7"/>
      <c r="BM2355" s="7"/>
      <c r="BT2355" s="7"/>
    </row>
    <row r="2356" spans="58:72" x14ac:dyDescent="0.55000000000000004">
      <c r="BF2356" s="7"/>
      <c r="BM2356" s="7"/>
      <c r="BT2356" s="7"/>
    </row>
    <row r="2357" spans="58:72" x14ac:dyDescent="0.55000000000000004">
      <c r="BF2357" s="7"/>
      <c r="BM2357" s="7"/>
      <c r="BT2357" s="7"/>
    </row>
    <row r="2358" spans="58:72" x14ac:dyDescent="0.55000000000000004">
      <c r="BF2358" s="7"/>
      <c r="BM2358" s="7"/>
      <c r="BT2358" s="7"/>
    </row>
    <row r="2359" spans="58:72" x14ac:dyDescent="0.55000000000000004">
      <c r="BF2359" s="7"/>
      <c r="BM2359" s="7"/>
      <c r="BT2359" s="7"/>
    </row>
    <row r="2360" spans="58:72" x14ac:dyDescent="0.55000000000000004">
      <c r="BF2360" s="7"/>
      <c r="BM2360" s="7"/>
      <c r="BT2360" s="7"/>
    </row>
    <row r="2361" spans="58:72" x14ac:dyDescent="0.55000000000000004">
      <c r="BF2361" s="7"/>
      <c r="BM2361" s="7"/>
      <c r="BT2361" s="7"/>
    </row>
    <row r="2362" spans="58:72" x14ac:dyDescent="0.55000000000000004">
      <c r="BF2362" s="7"/>
      <c r="BM2362" s="7"/>
      <c r="BT2362" s="7"/>
    </row>
    <row r="2363" spans="58:72" x14ac:dyDescent="0.55000000000000004">
      <c r="BF2363" s="7"/>
      <c r="BM2363" s="7"/>
      <c r="BT2363" s="7"/>
    </row>
    <row r="2364" spans="58:72" x14ac:dyDescent="0.55000000000000004">
      <c r="BF2364" s="7"/>
      <c r="BM2364" s="7"/>
      <c r="BT2364" s="7"/>
    </row>
    <row r="2365" spans="58:72" x14ac:dyDescent="0.55000000000000004">
      <c r="BF2365" s="7"/>
      <c r="BM2365" s="7"/>
      <c r="BT2365" s="7"/>
    </row>
    <row r="2366" spans="58:72" x14ac:dyDescent="0.55000000000000004">
      <c r="BF2366" s="7"/>
      <c r="BM2366" s="7"/>
      <c r="BT2366" s="7"/>
    </row>
    <row r="2367" spans="58:72" x14ac:dyDescent="0.55000000000000004">
      <c r="BF2367" s="7"/>
      <c r="BM2367" s="7"/>
      <c r="BT2367" s="7"/>
    </row>
    <row r="2368" spans="58:72" x14ac:dyDescent="0.55000000000000004">
      <c r="BF2368" s="7"/>
      <c r="BM2368" s="7"/>
      <c r="BT2368" s="7"/>
    </row>
    <row r="2369" spans="58:72" x14ac:dyDescent="0.55000000000000004">
      <c r="BF2369" s="7"/>
      <c r="BM2369" s="7"/>
      <c r="BT2369" s="7"/>
    </row>
    <row r="2370" spans="58:72" x14ac:dyDescent="0.55000000000000004">
      <c r="BF2370" s="7"/>
      <c r="BM2370" s="7"/>
      <c r="BT2370" s="7"/>
    </row>
    <row r="2371" spans="58:72" x14ac:dyDescent="0.55000000000000004">
      <c r="BF2371" s="7"/>
      <c r="BM2371" s="7"/>
      <c r="BT2371" s="7"/>
    </row>
    <row r="2372" spans="58:72" x14ac:dyDescent="0.55000000000000004">
      <c r="BF2372" s="7"/>
      <c r="BM2372" s="7"/>
      <c r="BT2372" s="7"/>
    </row>
    <row r="2373" spans="58:72" x14ac:dyDescent="0.55000000000000004">
      <c r="BF2373" s="7"/>
      <c r="BM2373" s="7"/>
      <c r="BT2373" s="7"/>
    </row>
    <row r="2374" spans="58:72" x14ac:dyDescent="0.55000000000000004">
      <c r="BF2374" s="7"/>
      <c r="BM2374" s="7"/>
      <c r="BT2374" s="7"/>
    </row>
    <row r="2375" spans="58:72" x14ac:dyDescent="0.55000000000000004">
      <c r="BF2375" s="7"/>
      <c r="BM2375" s="7"/>
      <c r="BT2375" s="7"/>
    </row>
    <row r="2376" spans="58:72" x14ac:dyDescent="0.55000000000000004">
      <c r="BF2376" s="7"/>
      <c r="BM2376" s="7"/>
      <c r="BT2376" s="7"/>
    </row>
    <row r="2377" spans="58:72" x14ac:dyDescent="0.55000000000000004">
      <c r="BF2377" s="7"/>
      <c r="BM2377" s="7"/>
      <c r="BT2377" s="7"/>
    </row>
    <row r="2378" spans="58:72" x14ac:dyDescent="0.55000000000000004">
      <c r="BF2378" s="7"/>
      <c r="BM2378" s="7"/>
      <c r="BT2378" s="7"/>
    </row>
    <row r="2379" spans="58:72" x14ac:dyDescent="0.55000000000000004">
      <c r="BF2379" s="7"/>
      <c r="BM2379" s="7"/>
      <c r="BT2379" s="7"/>
    </row>
    <row r="2380" spans="58:72" x14ac:dyDescent="0.55000000000000004">
      <c r="BF2380" s="7"/>
      <c r="BM2380" s="7"/>
      <c r="BT2380" s="7"/>
    </row>
    <row r="2381" spans="58:72" x14ac:dyDescent="0.55000000000000004">
      <c r="BF2381" s="7"/>
      <c r="BM2381" s="7"/>
      <c r="BT2381" s="7"/>
    </row>
    <row r="2382" spans="58:72" x14ac:dyDescent="0.55000000000000004">
      <c r="BF2382" s="7"/>
      <c r="BM2382" s="7"/>
      <c r="BT2382" s="7"/>
    </row>
    <row r="2383" spans="58:72" x14ac:dyDescent="0.55000000000000004">
      <c r="BF2383" s="7"/>
      <c r="BM2383" s="7"/>
      <c r="BT2383" s="7"/>
    </row>
    <row r="2384" spans="58:72" x14ac:dyDescent="0.55000000000000004">
      <c r="BF2384" s="7"/>
      <c r="BM2384" s="7"/>
      <c r="BT2384" s="7"/>
    </row>
    <row r="2385" spans="58:72" x14ac:dyDescent="0.55000000000000004">
      <c r="BF2385" s="7"/>
      <c r="BM2385" s="7"/>
      <c r="BT2385" s="7"/>
    </row>
    <row r="2386" spans="58:72" x14ac:dyDescent="0.55000000000000004">
      <c r="BF2386" s="7"/>
      <c r="BM2386" s="7"/>
      <c r="BT2386" s="7"/>
    </row>
    <row r="2387" spans="58:72" x14ac:dyDescent="0.55000000000000004">
      <c r="BF2387" s="7"/>
      <c r="BM2387" s="7"/>
      <c r="BT2387" s="7"/>
    </row>
    <row r="2388" spans="58:72" x14ac:dyDescent="0.55000000000000004">
      <c r="BF2388" s="7"/>
      <c r="BM2388" s="7"/>
      <c r="BT2388" s="7"/>
    </row>
    <row r="2389" spans="58:72" x14ac:dyDescent="0.55000000000000004">
      <c r="BF2389" s="7"/>
      <c r="BM2389" s="7"/>
      <c r="BT2389" s="7"/>
    </row>
    <row r="2390" spans="58:72" x14ac:dyDescent="0.55000000000000004">
      <c r="BF2390" s="7"/>
      <c r="BM2390" s="7"/>
      <c r="BT2390" s="7"/>
    </row>
    <row r="2391" spans="58:72" x14ac:dyDescent="0.55000000000000004">
      <c r="BF2391" s="7"/>
      <c r="BM2391" s="7"/>
      <c r="BT2391" s="7"/>
    </row>
    <row r="2392" spans="58:72" x14ac:dyDescent="0.55000000000000004">
      <c r="BF2392" s="7"/>
      <c r="BM2392" s="7"/>
      <c r="BT2392" s="7"/>
    </row>
    <row r="2393" spans="58:72" x14ac:dyDescent="0.55000000000000004">
      <c r="BF2393" s="7"/>
      <c r="BM2393" s="7"/>
      <c r="BT2393" s="7"/>
    </row>
    <row r="2394" spans="58:72" x14ac:dyDescent="0.55000000000000004">
      <c r="BF2394" s="7"/>
      <c r="BM2394" s="7"/>
      <c r="BT2394" s="7"/>
    </row>
    <row r="2395" spans="58:72" x14ac:dyDescent="0.55000000000000004">
      <c r="BF2395" s="7"/>
      <c r="BM2395" s="7"/>
      <c r="BT2395" s="7"/>
    </row>
    <row r="2396" spans="58:72" x14ac:dyDescent="0.55000000000000004">
      <c r="BF2396" s="7"/>
      <c r="BM2396" s="7"/>
      <c r="BT2396" s="7"/>
    </row>
    <row r="2397" spans="58:72" x14ac:dyDescent="0.55000000000000004">
      <c r="BF2397" s="7"/>
      <c r="BM2397" s="7"/>
      <c r="BT2397" s="7"/>
    </row>
    <row r="2398" spans="58:72" x14ac:dyDescent="0.55000000000000004">
      <c r="BF2398" s="7"/>
      <c r="BM2398" s="7"/>
      <c r="BT2398" s="7"/>
    </row>
    <row r="2399" spans="58:72" x14ac:dyDescent="0.55000000000000004">
      <c r="BF2399" s="7"/>
      <c r="BM2399" s="7"/>
      <c r="BT2399" s="7"/>
    </row>
    <row r="2400" spans="58:72" x14ac:dyDescent="0.55000000000000004">
      <c r="BF2400" s="7"/>
      <c r="BM2400" s="7"/>
      <c r="BT2400" s="7"/>
    </row>
    <row r="2401" spans="58:72" x14ac:dyDescent="0.55000000000000004">
      <c r="BF2401" s="7"/>
      <c r="BM2401" s="7"/>
      <c r="BT2401" s="7"/>
    </row>
    <row r="2402" spans="58:72" x14ac:dyDescent="0.55000000000000004">
      <c r="BF2402" s="7"/>
      <c r="BM2402" s="7"/>
      <c r="BT2402" s="7"/>
    </row>
    <row r="2403" spans="58:72" x14ac:dyDescent="0.55000000000000004">
      <c r="BF2403" s="7"/>
      <c r="BM2403" s="7"/>
      <c r="BT2403" s="7"/>
    </row>
    <row r="2404" spans="58:72" x14ac:dyDescent="0.55000000000000004">
      <c r="BF2404" s="7"/>
      <c r="BM2404" s="7"/>
      <c r="BT2404" s="7"/>
    </row>
    <row r="2405" spans="58:72" x14ac:dyDescent="0.55000000000000004">
      <c r="BF2405" s="7"/>
      <c r="BM2405" s="7"/>
      <c r="BT2405" s="7"/>
    </row>
    <row r="2406" spans="58:72" x14ac:dyDescent="0.55000000000000004">
      <c r="BF2406" s="7"/>
      <c r="BM2406" s="7"/>
      <c r="BT2406" s="7"/>
    </row>
    <row r="2407" spans="58:72" x14ac:dyDescent="0.55000000000000004">
      <c r="BF2407" s="7"/>
      <c r="BM2407" s="7"/>
      <c r="BT2407" s="7"/>
    </row>
    <row r="2408" spans="58:72" x14ac:dyDescent="0.55000000000000004">
      <c r="BF2408" s="7"/>
      <c r="BM2408" s="7"/>
      <c r="BT2408" s="7"/>
    </row>
    <row r="2409" spans="58:72" x14ac:dyDescent="0.55000000000000004">
      <c r="BF2409" s="7"/>
      <c r="BM2409" s="7"/>
      <c r="BT2409" s="7"/>
    </row>
    <row r="2410" spans="58:72" x14ac:dyDescent="0.55000000000000004">
      <c r="BF2410" s="7"/>
      <c r="BM2410" s="7"/>
      <c r="BT2410" s="7"/>
    </row>
    <row r="2411" spans="58:72" x14ac:dyDescent="0.55000000000000004">
      <c r="BF2411" s="7"/>
      <c r="BM2411" s="7"/>
      <c r="BT2411" s="7"/>
    </row>
    <row r="2412" spans="58:72" x14ac:dyDescent="0.55000000000000004">
      <c r="BF2412" s="7"/>
      <c r="BM2412" s="7"/>
      <c r="BT2412" s="7"/>
    </row>
    <row r="2413" spans="58:72" x14ac:dyDescent="0.55000000000000004">
      <c r="BF2413" s="7"/>
      <c r="BM2413" s="7"/>
      <c r="BT2413" s="7"/>
    </row>
    <row r="2414" spans="58:72" x14ac:dyDescent="0.55000000000000004">
      <c r="BF2414" s="7"/>
      <c r="BM2414" s="7"/>
      <c r="BT2414" s="7"/>
    </row>
    <row r="2415" spans="58:72" x14ac:dyDescent="0.55000000000000004">
      <c r="BF2415" s="7"/>
      <c r="BM2415" s="7"/>
      <c r="BT2415" s="7"/>
    </row>
    <row r="2416" spans="58:72" x14ac:dyDescent="0.55000000000000004">
      <c r="BF2416" s="7"/>
      <c r="BM2416" s="7"/>
      <c r="BT2416" s="7"/>
    </row>
    <row r="2417" spans="58:72" x14ac:dyDescent="0.55000000000000004">
      <c r="BF2417" s="7"/>
      <c r="BM2417" s="7"/>
      <c r="BT2417" s="7"/>
    </row>
    <row r="2418" spans="58:72" x14ac:dyDescent="0.55000000000000004">
      <c r="BF2418" s="7"/>
      <c r="BM2418" s="7"/>
      <c r="BT2418" s="7"/>
    </row>
    <row r="2419" spans="58:72" x14ac:dyDescent="0.55000000000000004">
      <c r="BF2419" s="7"/>
      <c r="BM2419" s="7"/>
      <c r="BT2419" s="7"/>
    </row>
    <row r="2420" spans="58:72" x14ac:dyDescent="0.55000000000000004">
      <c r="BF2420" s="7"/>
      <c r="BM2420" s="7"/>
      <c r="BT2420" s="7"/>
    </row>
    <row r="2421" spans="58:72" x14ac:dyDescent="0.55000000000000004">
      <c r="BF2421" s="7"/>
      <c r="BM2421" s="7"/>
      <c r="BT2421" s="7"/>
    </row>
    <row r="2422" spans="58:72" x14ac:dyDescent="0.55000000000000004">
      <c r="BF2422" s="7"/>
      <c r="BM2422" s="7"/>
      <c r="BT2422" s="7"/>
    </row>
    <row r="2423" spans="58:72" x14ac:dyDescent="0.55000000000000004">
      <c r="BF2423" s="7"/>
      <c r="BM2423" s="7"/>
      <c r="BT2423" s="7"/>
    </row>
    <row r="2424" spans="58:72" x14ac:dyDescent="0.55000000000000004">
      <c r="BF2424" s="7"/>
      <c r="BM2424" s="7"/>
      <c r="BT2424" s="7"/>
    </row>
    <row r="2425" spans="58:72" x14ac:dyDescent="0.55000000000000004">
      <c r="BF2425" s="7"/>
      <c r="BM2425" s="7"/>
      <c r="BT2425" s="7"/>
    </row>
    <row r="2426" spans="58:72" x14ac:dyDescent="0.55000000000000004">
      <c r="BF2426" s="7"/>
      <c r="BM2426" s="7"/>
      <c r="BT2426" s="7"/>
    </row>
    <row r="2427" spans="58:72" x14ac:dyDescent="0.55000000000000004">
      <c r="BF2427" s="7"/>
      <c r="BM2427" s="7"/>
      <c r="BT2427" s="7"/>
    </row>
    <row r="2428" spans="58:72" x14ac:dyDescent="0.55000000000000004">
      <c r="BF2428" s="7"/>
      <c r="BM2428" s="7"/>
      <c r="BT2428" s="7"/>
    </row>
    <row r="2429" spans="58:72" x14ac:dyDescent="0.55000000000000004">
      <c r="BF2429" s="7"/>
      <c r="BM2429" s="7"/>
      <c r="BT2429" s="7"/>
    </row>
    <row r="2430" spans="58:72" x14ac:dyDescent="0.55000000000000004">
      <c r="BF2430" s="7"/>
      <c r="BM2430" s="7"/>
      <c r="BT2430" s="7"/>
    </row>
    <row r="2431" spans="58:72" x14ac:dyDescent="0.55000000000000004">
      <c r="BF2431" s="7"/>
      <c r="BM2431" s="7"/>
      <c r="BT2431" s="7"/>
    </row>
    <row r="2432" spans="58:72" x14ac:dyDescent="0.55000000000000004">
      <c r="BF2432" s="7"/>
      <c r="BM2432" s="7"/>
      <c r="BT2432" s="7"/>
    </row>
    <row r="2433" spans="58:72" x14ac:dyDescent="0.55000000000000004">
      <c r="BF2433" s="7"/>
      <c r="BM2433" s="7"/>
      <c r="BT2433" s="7"/>
    </row>
    <row r="2434" spans="58:72" x14ac:dyDescent="0.55000000000000004">
      <c r="BF2434" s="7"/>
      <c r="BM2434" s="7"/>
      <c r="BT2434" s="7"/>
    </row>
    <row r="2435" spans="58:72" x14ac:dyDescent="0.55000000000000004">
      <c r="BF2435" s="7"/>
      <c r="BM2435" s="7"/>
      <c r="BT2435" s="7"/>
    </row>
    <row r="2436" spans="58:72" x14ac:dyDescent="0.55000000000000004">
      <c r="BF2436" s="7"/>
      <c r="BM2436" s="7"/>
      <c r="BT2436" s="7"/>
    </row>
    <row r="2437" spans="58:72" x14ac:dyDescent="0.55000000000000004">
      <c r="BF2437" s="7"/>
      <c r="BM2437" s="7"/>
      <c r="BT2437" s="7"/>
    </row>
    <row r="2438" spans="58:72" x14ac:dyDescent="0.55000000000000004">
      <c r="BF2438" s="7"/>
      <c r="BM2438" s="7"/>
      <c r="BT2438" s="7"/>
    </row>
    <row r="2439" spans="58:72" x14ac:dyDescent="0.55000000000000004">
      <c r="BF2439" s="7"/>
      <c r="BM2439" s="7"/>
      <c r="BT2439" s="7"/>
    </row>
    <row r="2440" spans="58:72" x14ac:dyDescent="0.55000000000000004">
      <c r="BF2440" s="7"/>
      <c r="BM2440" s="7"/>
      <c r="BT2440" s="7"/>
    </row>
    <row r="2441" spans="58:72" x14ac:dyDescent="0.55000000000000004">
      <c r="BF2441" s="7"/>
      <c r="BM2441" s="7"/>
      <c r="BT2441" s="7"/>
    </row>
    <row r="2442" spans="58:72" x14ac:dyDescent="0.55000000000000004">
      <c r="BF2442" s="7"/>
      <c r="BM2442" s="7"/>
      <c r="BT2442" s="7"/>
    </row>
    <row r="2443" spans="58:72" x14ac:dyDescent="0.55000000000000004">
      <c r="BF2443" s="7"/>
      <c r="BM2443" s="7"/>
      <c r="BT2443" s="7"/>
    </row>
    <row r="2444" spans="58:72" x14ac:dyDescent="0.55000000000000004">
      <c r="BF2444" s="7"/>
      <c r="BM2444" s="7"/>
      <c r="BT2444" s="7"/>
    </row>
    <row r="2445" spans="58:72" x14ac:dyDescent="0.55000000000000004">
      <c r="BF2445" s="7"/>
      <c r="BM2445" s="7"/>
      <c r="BT2445" s="7"/>
    </row>
    <row r="2446" spans="58:72" x14ac:dyDescent="0.55000000000000004">
      <c r="BF2446" s="7"/>
      <c r="BM2446" s="7"/>
      <c r="BT2446" s="7"/>
    </row>
    <row r="2447" spans="58:72" x14ac:dyDescent="0.55000000000000004">
      <c r="BF2447" s="7"/>
      <c r="BM2447" s="7"/>
      <c r="BT2447" s="7"/>
    </row>
    <row r="2448" spans="58:72" x14ac:dyDescent="0.55000000000000004">
      <c r="BF2448" s="7"/>
      <c r="BM2448" s="7"/>
      <c r="BT2448" s="7"/>
    </row>
    <row r="2449" spans="58:72" x14ac:dyDescent="0.55000000000000004">
      <c r="BF2449" s="7"/>
      <c r="BM2449" s="7"/>
      <c r="BT2449" s="7"/>
    </row>
    <row r="2450" spans="58:72" x14ac:dyDescent="0.55000000000000004">
      <c r="BF2450" s="7"/>
      <c r="BM2450" s="7"/>
      <c r="BT2450" s="7"/>
    </row>
    <row r="2451" spans="58:72" x14ac:dyDescent="0.55000000000000004">
      <c r="BF2451" s="7"/>
      <c r="BM2451" s="7"/>
      <c r="BT2451" s="7"/>
    </row>
    <row r="2452" spans="58:72" x14ac:dyDescent="0.55000000000000004">
      <c r="BF2452" s="7"/>
      <c r="BM2452" s="7"/>
      <c r="BT2452" s="7"/>
    </row>
    <row r="2453" spans="58:72" x14ac:dyDescent="0.55000000000000004">
      <c r="BF2453" s="7"/>
      <c r="BM2453" s="7"/>
      <c r="BT2453" s="7"/>
    </row>
    <row r="2454" spans="58:72" x14ac:dyDescent="0.55000000000000004">
      <c r="BF2454" s="7"/>
      <c r="BM2454" s="7"/>
      <c r="BT2454" s="7"/>
    </row>
    <row r="2455" spans="58:72" x14ac:dyDescent="0.55000000000000004">
      <c r="BF2455" s="7"/>
      <c r="BM2455" s="7"/>
      <c r="BT2455" s="7"/>
    </row>
    <row r="2456" spans="58:72" x14ac:dyDescent="0.55000000000000004">
      <c r="BF2456" s="7"/>
      <c r="BM2456" s="7"/>
      <c r="BT2456" s="7"/>
    </row>
    <row r="2457" spans="58:72" x14ac:dyDescent="0.55000000000000004">
      <c r="BF2457" s="7"/>
      <c r="BM2457" s="7"/>
      <c r="BT2457" s="7"/>
    </row>
    <row r="2458" spans="58:72" x14ac:dyDescent="0.55000000000000004">
      <c r="BF2458" s="7"/>
      <c r="BM2458" s="7"/>
      <c r="BT2458" s="7"/>
    </row>
    <row r="2459" spans="58:72" x14ac:dyDescent="0.55000000000000004">
      <c r="BF2459" s="7"/>
      <c r="BM2459" s="7"/>
      <c r="BT2459" s="7"/>
    </row>
    <row r="2460" spans="58:72" x14ac:dyDescent="0.55000000000000004">
      <c r="BF2460" s="7"/>
      <c r="BM2460" s="7"/>
      <c r="BT2460" s="7"/>
    </row>
    <row r="2461" spans="58:72" x14ac:dyDescent="0.55000000000000004">
      <c r="BF2461" s="7"/>
      <c r="BM2461" s="7"/>
      <c r="BT2461" s="7"/>
    </row>
    <row r="2462" spans="58:72" x14ac:dyDescent="0.55000000000000004">
      <c r="BF2462" s="7"/>
      <c r="BM2462" s="7"/>
      <c r="BT2462" s="7"/>
    </row>
    <row r="2463" spans="58:72" x14ac:dyDescent="0.55000000000000004">
      <c r="BF2463" s="7"/>
      <c r="BM2463" s="7"/>
      <c r="BT2463" s="7"/>
    </row>
    <row r="2464" spans="58:72" x14ac:dyDescent="0.55000000000000004">
      <c r="BF2464" s="7"/>
      <c r="BM2464" s="7"/>
      <c r="BT2464" s="7"/>
    </row>
    <row r="2465" spans="58:72" x14ac:dyDescent="0.55000000000000004">
      <c r="BF2465" s="7"/>
      <c r="BM2465" s="7"/>
      <c r="BT2465" s="7"/>
    </row>
    <row r="2466" spans="58:72" x14ac:dyDescent="0.55000000000000004">
      <c r="BF2466" s="7"/>
      <c r="BM2466" s="7"/>
      <c r="BT2466" s="7"/>
    </row>
    <row r="2467" spans="58:72" x14ac:dyDescent="0.55000000000000004">
      <c r="BF2467" s="7"/>
      <c r="BM2467" s="7"/>
      <c r="BT2467" s="7"/>
    </row>
    <row r="2468" spans="58:72" x14ac:dyDescent="0.55000000000000004">
      <c r="BF2468" s="7"/>
      <c r="BM2468" s="7"/>
      <c r="BT2468" s="7"/>
    </row>
    <row r="2469" spans="58:72" x14ac:dyDescent="0.55000000000000004">
      <c r="BF2469" s="7"/>
      <c r="BM2469" s="7"/>
      <c r="BT2469" s="7"/>
    </row>
    <row r="2470" spans="58:72" x14ac:dyDescent="0.55000000000000004">
      <c r="BF2470" s="7"/>
      <c r="BM2470" s="7"/>
      <c r="BT2470" s="7"/>
    </row>
    <row r="2471" spans="58:72" x14ac:dyDescent="0.55000000000000004">
      <c r="BF2471" s="7"/>
      <c r="BM2471" s="7"/>
      <c r="BT2471" s="7"/>
    </row>
    <row r="2472" spans="58:72" x14ac:dyDescent="0.55000000000000004">
      <c r="BF2472" s="7"/>
      <c r="BM2472" s="7"/>
      <c r="BT2472" s="7"/>
    </row>
    <row r="2473" spans="58:72" x14ac:dyDescent="0.55000000000000004">
      <c r="BF2473" s="7"/>
      <c r="BM2473" s="7"/>
      <c r="BT2473" s="7"/>
    </row>
    <row r="2474" spans="58:72" x14ac:dyDescent="0.55000000000000004">
      <c r="BF2474" s="7"/>
      <c r="BM2474" s="7"/>
      <c r="BT2474" s="7"/>
    </row>
    <row r="2475" spans="58:72" x14ac:dyDescent="0.55000000000000004">
      <c r="BF2475" s="7"/>
      <c r="BM2475" s="7"/>
      <c r="BT2475" s="7"/>
    </row>
    <row r="2476" spans="58:72" x14ac:dyDescent="0.55000000000000004">
      <c r="BF2476" s="7"/>
      <c r="BM2476" s="7"/>
      <c r="BT2476" s="7"/>
    </row>
    <row r="2477" spans="58:72" x14ac:dyDescent="0.55000000000000004">
      <c r="BF2477" s="7"/>
      <c r="BM2477" s="7"/>
      <c r="BT2477" s="7"/>
    </row>
    <row r="2478" spans="58:72" x14ac:dyDescent="0.55000000000000004">
      <c r="BF2478" s="7"/>
      <c r="BM2478" s="7"/>
      <c r="BT2478" s="7"/>
    </row>
    <row r="2479" spans="58:72" x14ac:dyDescent="0.55000000000000004">
      <c r="BF2479" s="7"/>
      <c r="BM2479" s="7"/>
      <c r="BT2479" s="7"/>
    </row>
    <row r="2480" spans="58:72" x14ac:dyDescent="0.55000000000000004">
      <c r="BF2480" s="7"/>
      <c r="BM2480" s="7"/>
      <c r="BT2480" s="7"/>
    </row>
    <row r="2481" spans="58:72" x14ac:dyDescent="0.55000000000000004">
      <c r="BF2481" s="7"/>
      <c r="BM2481" s="7"/>
      <c r="BT2481" s="7"/>
    </row>
    <row r="2482" spans="58:72" x14ac:dyDescent="0.55000000000000004">
      <c r="BF2482" s="7"/>
      <c r="BM2482" s="7"/>
      <c r="BT2482" s="7"/>
    </row>
    <row r="2483" spans="58:72" x14ac:dyDescent="0.55000000000000004">
      <c r="BF2483" s="7"/>
      <c r="BM2483" s="7"/>
      <c r="BT2483" s="7"/>
    </row>
    <row r="2484" spans="58:72" x14ac:dyDescent="0.55000000000000004">
      <c r="BF2484" s="7"/>
      <c r="BM2484" s="7"/>
      <c r="BT2484" s="7"/>
    </row>
    <row r="2485" spans="58:72" x14ac:dyDescent="0.55000000000000004">
      <c r="BF2485" s="7"/>
      <c r="BM2485" s="7"/>
      <c r="BT2485" s="7"/>
    </row>
    <row r="2486" spans="58:72" x14ac:dyDescent="0.55000000000000004">
      <c r="BF2486" s="7"/>
      <c r="BM2486" s="7"/>
      <c r="BT2486" s="7"/>
    </row>
    <row r="2487" spans="58:72" x14ac:dyDescent="0.55000000000000004">
      <c r="BF2487" s="7"/>
      <c r="BM2487" s="7"/>
      <c r="BT2487" s="7"/>
    </row>
    <row r="2488" spans="58:72" x14ac:dyDescent="0.55000000000000004">
      <c r="BF2488" s="7"/>
      <c r="BM2488" s="7"/>
      <c r="BT2488" s="7"/>
    </row>
    <row r="2489" spans="58:72" x14ac:dyDescent="0.55000000000000004">
      <c r="BF2489" s="7"/>
      <c r="BM2489" s="7"/>
      <c r="BT2489" s="7"/>
    </row>
    <row r="2490" spans="58:72" x14ac:dyDescent="0.55000000000000004">
      <c r="BF2490" s="7"/>
      <c r="BM2490" s="7"/>
      <c r="BT2490" s="7"/>
    </row>
    <row r="2491" spans="58:72" x14ac:dyDescent="0.55000000000000004">
      <c r="BF2491" s="7"/>
      <c r="BM2491" s="7"/>
      <c r="BT2491" s="7"/>
    </row>
    <row r="2492" spans="58:72" x14ac:dyDescent="0.55000000000000004">
      <c r="BF2492" s="7"/>
      <c r="BM2492" s="7"/>
      <c r="BT2492" s="7"/>
    </row>
    <row r="2493" spans="58:72" x14ac:dyDescent="0.55000000000000004">
      <c r="BF2493" s="7"/>
      <c r="BM2493" s="7"/>
      <c r="BT2493" s="7"/>
    </row>
    <row r="2494" spans="58:72" x14ac:dyDescent="0.55000000000000004">
      <c r="BF2494" s="7"/>
      <c r="BM2494" s="7"/>
      <c r="BT2494" s="7"/>
    </row>
    <row r="2495" spans="58:72" x14ac:dyDescent="0.55000000000000004">
      <c r="BF2495" s="7"/>
      <c r="BM2495" s="7"/>
      <c r="BT2495" s="7"/>
    </row>
    <row r="2496" spans="58:72" x14ac:dyDescent="0.55000000000000004">
      <c r="BF2496" s="7"/>
      <c r="BM2496" s="7"/>
      <c r="BT2496" s="7"/>
    </row>
    <row r="2497" spans="58:72" x14ac:dyDescent="0.55000000000000004">
      <c r="BF2497" s="7"/>
      <c r="BM2497" s="7"/>
      <c r="BT2497" s="7"/>
    </row>
    <row r="2498" spans="58:72" x14ac:dyDescent="0.55000000000000004">
      <c r="BF2498" s="7"/>
      <c r="BM2498" s="7"/>
      <c r="BT2498" s="7"/>
    </row>
    <row r="2499" spans="58:72" x14ac:dyDescent="0.55000000000000004">
      <c r="BF2499" s="7"/>
      <c r="BM2499" s="7"/>
      <c r="BT2499" s="7"/>
    </row>
    <row r="2500" spans="58:72" x14ac:dyDescent="0.55000000000000004">
      <c r="BF2500" s="7"/>
      <c r="BM2500" s="7"/>
      <c r="BT2500" s="7"/>
    </row>
    <row r="2501" spans="58:72" x14ac:dyDescent="0.55000000000000004">
      <c r="BF2501" s="7"/>
      <c r="BM2501" s="7"/>
      <c r="BT2501" s="7"/>
    </row>
    <row r="2502" spans="58:72" x14ac:dyDescent="0.55000000000000004">
      <c r="BF2502" s="7"/>
      <c r="BM2502" s="7"/>
      <c r="BT2502" s="7"/>
    </row>
    <row r="2503" spans="58:72" x14ac:dyDescent="0.55000000000000004">
      <c r="BF2503" s="7"/>
      <c r="BM2503" s="7"/>
      <c r="BT2503" s="7"/>
    </row>
    <row r="2504" spans="58:72" x14ac:dyDescent="0.55000000000000004">
      <c r="BF2504" s="7"/>
      <c r="BM2504" s="7"/>
      <c r="BT2504" s="7"/>
    </row>
    <row r="2505" spans="58:72" x14ac:dyDescent="0.55000000000000004">
      <c r="BF2505" s="7"/>
      <c r="BM2505" s="7"/>
      <c r="BT2505" s="7"/>
    </row>
    <row r="2506" spans="58:72" x14ac:dyDescent="0.55000000000000004">
      <c r="BF2506" s="7"/>
      <c r="BM2506" s="7"/>
      <c r="BT2506" s="7"/>
    </row>
    <row r="2507" spans="58:72" x14ac:dyDescent="0.55000000000000004">
      <c r="BF2507" s="7"/>
      <c r="BM2507" s="7"/>
      <c r="BT2507" s="7"/>
    </row>
    <row r="2508" spans="58:72" x14ac:dyDescent="0.55000000000000004">
      <c r="BF2508" s="7"/>
      <c r="BM2508" s="7"/>
      <c r="BT2508" s="7"/>
    </row>
    <row r="2509" spans="58:72" x14ac:dyDescent="0.55000000000000004">
      <c r="BF2509" s="7"/>
      <c r="BM2509" s="7"/>
      <c r="BT2509" s="7"/>
    </row>
    <row r="2510" spans="58:72" x14ac:dyDescent="0.55000000000000004">
      <c r="BF2510" s="7"/>
      <c r="BM2510" s="7"/>
      <c r="BT2510" s="7"/>
    </row>
    <row r="2511" spans="58:72" x14ac:dyDescent="0.55000000000000004">
      <c r="BF2511" s="7"/>
      <c r="BM2511" s="7"/>
      <c r="BT2511" s="7"/>
    </row>
    <row r="2512" spans="58:72" x14ac:dyDescent="0.55000000000000004">
      <c r="BF2512" s="7"/>
      <c r="BM2512" s="7"/>
      <c r="BT2512" s="7"/>
    </row>
    <row r="2513" spans="58:72" x14ac:dyDescent="0.55000000000000004">
      <c r="BF2513" s="7"/>
      <c r="BM2513" s="7"/>
      <c r="BT2513" s="7"/>
    </row>
    <row r="2514" spans="58:72" x14ac:dyDescent="0.55000000000000004">
      <c r="BF2514" s="7"/>
      <c r="BM2514" s="7"/>
      <c r="BT2514" s="7"/>
    </row>
    <row r="2515" spans="58:72" x14ac:dyDescent="0.55000000000000004">
      <c r="BF2515" s="7"/>
      <c r="BM2515" s="7"/>
      <c r="BT2515" s="7"/>
    </row>
    <row r="2516" spans="58:72" x14ac:dyDescent="0.55000000000000004">
      <c r="BF2516" s="7"/>
      <c r="BM2516" s="7"/>
      <c r="BT2516" s="7"/>
    </row>
    <row r="2517" spans="58:72" x14ac:dyDescent="0.55000000000000004">
      <c r="BF2517" s="7"/>
      <c r="BM2517" s="7"/>
      <c r="BT2517" s="7"/>
    </row>
    <row r="2518" spans="58:72" x14ac:dyDescent="0.55000000000000004">
      <c r="BF2518" s="7"/>
      <c r="BM2518" s="7"/>
      <c r="BT2518" s="7"/>
    </row>
    <row r="2519" spans="58:72" x14ac:dyDescent="0.55000000000000004">
      <c r="BF2519" s="7"/>
      <c r="BM2519" s="7"/>
      <c r="BT2519" s="7"/>
    </row>
    <row r="2520" spans="58:72" x14ac:dyDescent="0.55000000000000004">
      <c r="BF2520" s="7"/>
      <c r="BM2520" s="7"/>
      <c r="BT2520" s="7"/>
    </row>
    <row r="2521" spans="58:72" x14ac:dyDescent="0.55000000000000004">
      <c r="BF2521" s="7"/>
      <c r="BM2521" s="7"/>
      <c r="BT2521" s="7"/>
    </row>
    <row r="2522" spans="58:72" x14ac:dyDescent="0.55000000000000004">
      <c r="BF2522" s="7"/>
      <c r="BM2522" s="7"/>
      <c r="BT2522" s="7"/>
    </row>
    <row r="2523" spans="58:72" x14ac:dyDescent="0.55000000000000004">
      <c r="BF2523" s="7"/>
      <c r="BM2523" s="7"/>
      <c r="BT2523" s="7"/>
    </row>
    <row r="2524" spans="58:72" x14ac:dyDescent="0.55000000000000004">
      <c r="BF2524" s="7"/>
      <c r="BM2524" s="7"/>
      <c r="BT2524" s="7"/>
    </row>
    <row r="2525" spans="58:72" x14ac:dyDescent="0.55000000000000004">
      <c r="BF2525" s="7"/>
      <c r="BM2525" s="7"/>
      <c r="BT2525" s="7"/>
    </row>
    <row r="2526" spans="58:72" x14ac:dyDescent="0.55000000000000004">
      <c r="BF2526" s="7"/>
      <c r="BM2526" s="7"/>
      <c r="BT2526" s="7"/>
    </row>
    <row r="2527" spans="58:72" x14ac:dyDescent="0.55000000000000004">
      <c r="BF2527" s="7"/>
      <c r="BM2527" s="7"/>
      <c r="BT2527" s="7"/>
    </row>
    <row r="2528" spans="58:72" x14ac:dyDescent="0.55000000000000004">
      <c r="BF2528" s="7"/>
      <c r="BM2528" s="7"/>
      <c r="BT2528" s="7"/>
    </row>
    <row r="2529" spans="58:72" x14ac:dyDescent="0.55000000000000004">
      <c r="BF2529" s="7"/>
      <c r="BM2529" s="7"/>
      <c r="BT2529" s="7"/>
    </row>
    <row r="2530" spans="58:72" x14ac:dyDescent="0.55000000000000004">
      <c r="BF2530" s="7"/>
      <c r="BM2530" s="7"/>
      <c r="BT2530" s="7"/>
    </row>
    <row r="2531" spans="58:72" x14ac:dyDescent="0.55000000000000004">
      <c r="BF2531" s="7"/>
      <c r="BM2531" s="7"/>
      <c r="BT2531" s="7"/>
    </row>
    <row r="2532" spans="58:72" x14ac:dyDescent="0.55000000000000004">
      <c r="BF2532" s="7"/>
      <c r="BM2532" s="7"/>
      <c r="BT2532" s="7"/>
    </row>
    <row r="2533" spans="58:72" x14ac:dyDescent="0.55000000000000004">
      <c r="BF2533" s="7"/>
      <c r="BM2533" s="7"/>
      <c r="BT2533" s="7"/>
    </row>
    <row r="2534" spans="58:72" x14ac:dyDescent="0.55000000000000004">
      <c r="BF2534" s="7"/>
      <c r="BM2534" s="7"/>
      <c r="BT2534" s="7"/>
    </row>
    <row r="2535" spans="58:72" x14ac:dyDescent="0.55000000000000004">
      <c r="BF2535" s="7"/>
      <c r="BM2535" s="7"/>
      <c r="BT2535" s="7"/>
    </row>
    <row r="2536" spans="58:72" x14ac:dyDescent="0.55000000000000004">
      <c r="BF2536" s="7"/>
      <c r="BM2536" s="7"/>
      <c r="BT2536" s="7"/>
    </row>
    <row r="2537" spans="58:72" x14ac:dyDescent="0.55000000000000004">
      <c r="BF2537" s="7"/>
      <c r="BM2537" s="7"/>
      <c r="BT2537" s="7"/>
    </row>
    <row r="2538" spans="58:72" x14ac:dyDescent="0.55000000000000004">
      <c r="BF2538" s="7"/>
      <c r="BM2538" s="7"/>
      <c r="BT2538" s="7"/>
    </row>
    <row r="2539" spans="58:72" x14ac:dyDescent="0.55000000000000004">
      <c r="BF2539" s="7"/>
      <c r="BM2539" s="7"/>
      <c r="BT2539" s="7"/>
    </row>
    <row r="2540" spans="58:72" x14ac:dyDescent="0.55000000000000004">
      <c r="BF2540" s="7"/>
      <c r="BM2540" s="7"/>
      <c r="BT2540" s="7"/>
    </row>
    <row r="2541" spans="58:72" x14ac:dyDescent="0.55000000000000004">
      <c r="BF2541" s="7"/>
      <c r="BM2541" s="7"/>
      <c r="BT2541" s="7"/>
    </row>
    <row r="2542" spans="58:72" x14ac:dyDescent="0.55000000000000004">
      <c r="BF2542" s="7"/>
      <c r="BM2542" s="7"/>
      <c r="BT2542" s="7"/>
    </row>
    <row r="2543" spans="58:72" x14ac:dyDescent="0.55000000000000004">
      <c r="BF2543" s="7"/>
      <c r="BM2543" s="7"/>
      <c r="BT2543" s="7"/>
    </row>
    <row r="2544" spans="58:72" x14ac:dyDescent="0.55000000000000004">
      <c r="BF2544" s="7"/>
      <c r="BM2544" s="7"/>
      <c r="BT2544" s="7"/>
    </row>
    <row r="2545" spans="58:72" x14ac:dyDescent="0.55000000000000004">
      <c r="BF2545" s="7"/>
      <c r="BM2545" s="7"/>
      <c r="BT2545" s="7"/>
    </row>
    <row r="2546" spans="58:72" x14ac:dyDescent="0.55000000000000004">
      <c r="BF2546" s="7"/>
      <c r="BM2546" s="7"/>
      <c r="BT2546" s="7"/>
    </row>
    <row r="2547" spans="58:72" x14ac:dyDescent="0.55000000000000004">
      <c r="BF2547" s="7"/>
      <c r="BM2547" s="7"/>
      <c r="BT2547" s="7"/>
    </row>
    <row r="2548" spans="58:72" x14ac:dyDescent="0.55000000000000004">
      <c r="BF2548" s="7"/>
      <c r="BM2548" s="7"/>
      <c r="BT2548" s="7"/>
    </row>
    <row r="2549" spans="58:72" x14ac:dyDescent="0.55000000000000004">
      <c r="BF2549" s="7"/>
      <c r="BM2549" s="7"/>
      <c r="BT2549" s="7"/>
    </row>
    <row r="2550" spans="58:72" x14ac:dyDescent="0.55000000000000004">
      <c r="BF2550" s="7"/>
      <c r="BM2550" s="7"/>
      <c r="BT2550" s="7"/>
    </row>
    <row r="2551" spans="58:72" x14ac:dyDescent="0.55000000000000004">
      <c r="BF2551" s="7"/>
      <c r="BM2551" s="7"/>
      <c r="BT2551" s="7"/>
    </row>
    <row r="2552" spans="58:72" x14ac:dyDescent="0.55000000000000004">
      <c r="BF2552" s="7"/>
      <c r="BM2552" s="7"/>
      <c r="BT2552" s="7"/>
    </row>
    <row r="2553" spans="58:72" x14ac:dyDescent="0.55000000000000004">
      <c r="BF2553" s="7"/>
      <c r="BM2553" s="7"/>
      <c r="BT2553" s="7"/>
    </row>
    <row r="2554" spans="58:72" x14ac:dyDescent="0.55000000000000004">
      <c r="BF2554" s="7"/>
      <c r="BM2554" s="7"/>
      <c r="BT2554" s="7"/>
    </row>
    <row r="2555" spans="58:72" x14ac:dyDescent="0.55000000000000004">
      <c r="BF2555" s="7"/>
      <c r="BM2555" s="7"/>
      <c r="BT2555" s="7"/>
    </row>
    <row r="2556" spans="58:72" x14ac:dyDescent="0.55000000000000004">
      <c r="BF2556" s="7"/>
      <c r="BM2556" s="7"/>
      <c r="BT2556" s="7"/>
    </row>
    <row r="2557" spans="58:72" x14ac:dyDescent="0.55000000000000004">
      <c r="BF2557" s="7"/>
      <c r="BM2557" s="7"/>
      <c r="BT2557" s="7"/>
    </row>
    <row r="2558" spans="58:72" x14ac:dyDescent="0.55000000000000004">
      <c r="BF2558" s="7"/>
      <c r="BM2558" s="7"/>
      <c r="BT2558" s="7"/>
    </row>
    <row r="2559" spans="58:72" x14ac:dyDescent="0.55000000000000004">
      <c r="BF2559" s="7"/>
      <c r="BM2559" s="7"/>
      <c r="BT2559" s="7"/>
    </row>
    <row r="2560" spans="58:72" x14ac:dyDescent="0.55000000000000004">
      <c r="BF2560" s="7"/>
      <c r="BM2560" s="7"/>
      <c r="BT2560" s="7"/>
    </row>
    <row r="2561" spans="58:72" x14ac:dyDescent="0.55000000000000004">
      <c r="BF2561" s="7"/>
      <c r="BM2561" s="7"/>
      <c r="BT2561" s="7"/>
    </row>
    <row r="2562" spans="58:72" x14ac:dyDescent="0.55000000000000004">
      <c r="BF2562" s="7"/>
      <c r="BM2562" s="7"/>
      <c r="BT2562" s="7"/>
    </row>
    <row r="2563" spans="58:72" x14ac:dyDescent="0.55000000000000004">
      <c r="BF2563" s="7"/>
      <c r="BM2563" s="7"/>
      <c r="BT2563" s="7"/>
    </row>
    <row r="2564" spans="58:72" x14ac:dyDescent="0.55000000000000004">
      <c r="BF2564" s="7"/>
      <c r="BM2564" s="7"/>
      <c r="BT2564" s="7"/>
    </row>
    <row r="2565" spans="58:72" x14ac:dyDescent="0.55000000000000004">
      <c r="BF2565" s="7"/>
      <c r="BM2565" s="7"/>
      <c r="BT2565" s="7"/>
    </row>
    <row r="2566" spans="58:72" x14ac:dyDescent="0.55000000000000004">
      <c r="BF2566" s="7"/>
      <c r="BM2566" s="7"/>
      <c r="BT2566" s="7"/>
    </row>
    <row r="2567" spans="58:72" x14ac:dyDescent="0.55000000000000004">
      <c r="BF2567" s="7"/>
      <c r="BM2567" s="7"/>
      <c r="BT2567" s="7"/>
    </row>
    <row r="2568" spans="58:72" x14ac:dyDescent="0.55000000000000004">
      <c r="BF2568" s="7"/>
      <c r="BM2568" s="7"/>
      <c r="BT2568" s="7"/>
    </row>
    <row r="2569" spans="58:72" x14ac:dyDescent="0.55000000000000004">
      <c r="BF2569" s="7"/>
      <c r="BM2569" s="7"/>
      <c r="BT2569" s="7"/>
    </row>
    <row r="2570" spans="58:72" x14ac:dyDescent="0.55000000000000004">
      <c r="BF2570" s="7"/>
      <c r="BM2570" s="7"/>
      <c r="BT2570" s="7"/>
    </row>
    <row r="2571" spans="58:72" x14ac:dyDescent="0.55000000000000004">
      <c r="BF2571" s="7"/>
      <c r="BM2571" s="7"/>
      <c r="BT2571" s="7"/>
    </row>
    <row r="2572" spans="58:72" x14ac:dyDescent="0.55000000000000004">
      <c r="BF2572" s="7"/>
      <c r="BM2572" s="7"/>
      <c r="BT2572" s="7"/>
    </row>
    <row r="2573" spans="58:72" x14ac:dyDescent="0.55000000000000004">
      <c r="BF2573" s="7"/>
      <c r="BM2573" s="7"/>
      <c r="BT2573" s="7"/>
    </row>
    <row r="2574" spans="58:72" x14ac:dyDescent="0.55000000000000004">
      <c r="BF2574" s="7"/>
      <c r="BM2574" s="7"/>
      <c r="BT2574" s="7"/>
    </row>
    <row r="2575" spans="58:72" x14ac:dyDescent="0.55000000000000004">
      <c r="BF2575" s="7"/>
      <c r="BM2575" s="7"/>
      <c r="BT2575" s="7"/>
    </row>
    <row r="2576" spans="58:72" x14ac:dyDescent="0.55000000000000004">
      <c r="BF2576" s="7"/>
      <c r="BM2576" s="7"/>
      <c r="BT2576" s="7"/>
    </row>
    <row r="2577" spans="58:72" x14ac:dyDescent="0.55000000000000004">
      <c r="BF2577" s="7"/>
      <c r="BM2577" s="7"/>
      <c r="BT2577" s="7"/>
    </row>
    <row r="2578" spans="58:72" x14ac:dyDescent="0.55000000000000004">
      <c r="BF2578" s="7"/>
      <c r="BM2578" s="7"/>
      <c r="BT2578" s="7"/>
    </row>
    <row r="2579" spans="58:72" x14ac:dyDescent="0.55000000000000004">
      <c r="BF2579" s="7"/>
      <c r="BM2579" s="7"/>
      <c r="BT2579" s="7"/>
    </row>
    <row r="2580" spans="58:72" x14ac:dyDescent="0.55000000000000004">
      <c r="BF2580" s="7"/>
      <c r="BM2580" s="7"/>
      <c r="BT2580" s="7"/>
    </row>
    <row r="2581" spans="58:72" x14ac:dyDescent="0.55000000000000004">
      <c r="BF2581" s="7"/>
      <c r="BM2581" s="7"/>
      <c r="BT2581" s="7"/>
    </row>
    <row r="2582" spans="58:72" x14ac:dyDescent="0.55000000000000004">
      <c r="BF2582" s="7"/>
      <c r="BM2582" s="7"/>
      <c r="BT2582" s="7"/>
    </row>
    <row r="2583" spans="58:72" x14ac:dyDescent="0.55000000000000004">
      <c r="BF2583" s="7"/>
      <c r="BM2583" s="7"/>
      <c r="BT2583" s="7"/>
    </row>
    <row r="2584" spans="58:72" x14ac:dyDescent="0.55000000000000004">
      <c r="BF2584" s="7"/>
      <c r="BM2584" s="7"/>
      <c r="BT2584" s="7"/>
    </row>
    <row r="2585" spans="58:72" x14ac:dyDescent="0.55000000000000004">
      <c r="BF2585" s="7"/>
      <c r="BM2585" s="7"/>
      <c r="BT2585" s="7"/>
    </row>
    <row r="2586" spans="58:72" x14ac:dyDescent="0.55000000000000004">
      <c r="BF2586" s="7"/>
      <c r="BM2586" s="7"/>
      <c r="BT2586" s="7"/>
    </row>
    <row r="2587" spans="58:72" x14ac:dyDescent="0.55000000000000004">
      <c r="BF2587" s="7"/>
      <c r="BM2587" s="7"/>
      <c r="BT2587" s="7"/>
    </row>
    <row r="2588" spans="58:72" x14ac:dyDescent="0.55000000000000004">
      <c r="BF2588" s="7"/>
      <c r="BM2588" s="7"/>
      <c r="BT2588" s="7"/>
    </row>
    <row r="2589" spans="58:72" x14ac:dyDescent="0.55000000000000004">
      <c r="BF2589" s="7"/>
      <c r="BM2589" s="7"/>
      <c r="BT2589" s="7"/>
    </row>
    <row r="2590" spans="58:72" x14ac:dyDescent="0.55000000000000004">
      <c r="BF2590" s="7"/>
      <c r="BM2590" s="7"/>
      <c r="BT2590" s="7"/>
    </row>
    <row r="2591" spans="58:72" x14ac:dyDescent="0.55000000000000004">
      <c r="BF2591" s="7"/>
      <c r="BM2591" s="7"/>
      <c r="BT2591" s="7"/>
    </row>
    <row r="2592" spans="58:72" x14ac:dyDescent="0.55000000000000004">
      <c r="BF2592" s="7"/>
      <c r="BM2592" s="7"/>
      <c r="BT2592" s="7"/>
    </row>
    <row r="2593" spans="58:72" x14ac:dyDescent="0.55000000000000004">
      <c r="BF2593" s="7"/>
      <c r="BM2593" s="7"/>
      <c r="BT2593" s="7"/>
    </row>
    <row r="2594" spans="58:72" x14ac:dyDescent="0.55000000000000004">
      <c r="BF2594" s="7"/>
      <c r="BM2594" s="7"/>
      <c r="BT2594" s="7"/>
    </row>
    <row r="2595" spans="58:72" x14ac:dyDescent="0.55000000000000004">
      <c r="BF2595" s="7"/>
      <c r="BM2595" s="7"/>
      <c r="BT2595" s="7"/>
    </row>
    <row r="2596" spans="58:72" x14ac:dyDescent="0.55000000000000004">
      <c r="BF2596" s="7"/>
      <c r="BM2596" s="7"/>
      <c r="BT2596" s="7"/>
    </row>
    <row r="2597" spans="58:72" x14ac:dyDescent="0.55000000000000004">
      <c r="BF2597" s="7"/>
      <c r="BM2597" s="7"/>
      <c r="BT2597" s="7"/>
    </row>
    <row r="2598" spans="58:72" x14ac:dyDescent="0.55000000000000004">
      <c r="BF2598" s="7"/>
      <c r="BM2598" s="7"/>
      <c r="BT2598" s="7"/>
    </row>
    <row r="2599" spans="58:72" x14ac:dyDescent="0.55000000000000004">
      <c r="BF2599" s="7"/>
      <c r="BM2599" s="7"/>
      <c r="BT2599" s="7"/>
    </row>
    <row r="2600" spans="58:72" x14ac:dyDescent="0.55000000000000004">
      <c r="BF2600" s="7"/>
      <c r="BM2600" s="7"/>
      <c r="BT2600" s="7"/>
    </row>
    <row r="2601" spans="58:72" x14ac:dyDescent="0.55000000000000004">
      <c r="BF2601" s="7"/>
      <c r="BM2601" s="7"/>
      <c r="BT2601" s="7"/>
    </row>
    <row r="2602" spans="58:72" x14ac:dyDescent="0.55000000000000004">
      <c r="BF2602" s="7"/>
      <c r="BM2602" s="7"/>
      <c r="BT2602" s="7"/>
    </row>
    <row r="2603" spans="58:72" x14ac:dyDescent="0.55000000000000004">
      <c r="BF2603" s="7"/>
      <c r="BM2603" s="7"/>
      <c r="BT2603" s="7"/>
    </row>
    <row r="2604" spans="58:72" x14ac:dyDescent="0.55000000000000004">
      <c r="BF2604" s="7"/>
      <c r="BM2604" s="7"/>
      <c r="BT2604" s="7"/>
    </row>
    <row r="2605" spans="58:72" x14ac:dyDescent="0.55000000000000004">
      <c r="BF2605" s="7"/>
      <c r="BM2605" s="7"/>
      <c r="BT2605" s="7"/>
    </row>
    <row r="2606" spans="58:72" x14ac:dyDescent="0.55000000000000004">
      <c r="BF2606" s="7"/>
      <c r="BM2606" s="7"/>
      <c r="BT2606" s="7"/>
    </row>
    <row r="2607" spans="58:72" x14ac:dyDescent="0.55000000000000004">
      <c r="BF2607" s="7"/>
      <c r="BM2607" s="7"/>
      <c r="BT2607" s="7"/>
    </row>
    <row r="2608" spans="58:72" x14ac:dyDescent="0.55000000000000004">
      <c r="BF2608" s="7"/>
      <c r="BM2608" s="7"/>
      <c r="BT2608" s="7"/>
    </row>
    <row r="2609" spans="58:72" x14ac:dyDescent="0.55000000000000004">
      <c r="BF2609" s="7"/>
      <c r="BM2609" s="7"/>
      <c r="BT2609" s="7"/>
    </row>
    <row r="2610" spans="58:72" x14ac:dyDescent="0.55000000000000004">
      <c r="BF2610" s="7"/>
      <c r="BM2610" s="7"/>
      <c r="BT2610" s="7"/>
    </row>
    <row r="2611" spans="58:72" x14ac:dyDescent="0.55000000000000004">
      <c r="BF2611" s="7"/>
      <c r="BM2611" s="7"/>
      <c r="BT2611" s="7"/>
    </row>
    <row r="2612" spans="58:72" x14ac:dyDescent="0.55000000000000004">
      <c r="BF2612" s="7"/>
      <c r="BM2612" s="7"/>
      <c r="BT2612" s="7"/>
    </row>
    <row r="2613" spans="58:72" x14ac:dyDescent="0.55000000000000004">
      <c r="BF2613" s="7"/>
      <c r="BM2613" s="7"/>
      <c r="BT2613" s="7"/>
    </row>
    <row r="2614" spans="58:72" x14ac:dyDescent="0.55000000000000004">
      <c r="BF2614" s="7"/>
      <c r="BM2614" s="7"/>
      <c r="BT2614" s="7"/>
    </row>
    <row r="2615" spans="58:72" x14ac:dyDescent="0.55000000000000004">
      <c r="BF2615" s="7"/>
      <c r="BM2615" s="7"/>
      <c r="BT2615" s="7"/>
    </row>
    <row r="2616" spans="58:72" x14ac:dyDescent="0.55000000000000004">
      <c r="BF2616" s="7"/>
      <c r="BM2616" s="7"/>
      <c r="BT2616" s="7"/>
    </row>
    <row r="2617" spans="58:72" x14ac:dyDescent="0.55000000000000004">
      <c r="BF2617" s="7"/>
      <c r="BM2617" s="7"/>
      <c r="BT2617" s="7"/>
    </row>
    <row r="2618" spans="58:72" x14ac:dyDescent="0.55000000000000004">
      <c r="BF2618" s="7"/>
      <c r="BM2618" s="7"/>
      <c r="BT2618" s="7"/>
    </row>
    <row r="2619" spans="58:72" x14ac:dyDescent="0.55000000000000004">
      <c r="BF2619" s="7"/>
      <c r="BM2619" s="7"/>
      <c r="BT2619" s="7"/>
    </row>
    <row r="2620" spans="58:72" x14ac:dyDescent="0.55000000000000004">
      <c r="BF2620" s="7"/>
      <c r="BM2620" s="7"/>
      <c r="BT2620" s="7"/>
    </row>
    <row r="2621" spans="58:72" x14ac:dyDescent="0.55000000000000004">
      <c r="BF2621" s="7"/>
      <c r="BM2621" s="7"/>
      <c r="BT2621" s="7"/>
    </row>
    <row r="2622" spans="58:72" x14ac:dyDescent="0.55000000000000004">
      <c r="BF2622" s="7"/>
      <c r="BM2622" s="7"/>
      <c r="BT2622" s="7"/>
    </row>
    <row r="2623" spans="58:72" x14ac:dyDescent="0.55000000000000004">
      <c r="BF2623" s="7"/>
      <c r="BM2623" s="7"/>
      <c r="BT2623" s="7"/>
    </row>
    <row r="2624" spans="58:72" x14ac:dyDescent="0.55000000000000004">
      <c r="BF2624" s="7"/>
      <c r="BM2624" s="7"/>
      <c r="BT2624" s="7"/>
    </row>
    <row r="2625" spans="58:72" x14ac:dyDescent="0.55000000000000004">
      <c r="BF2625" s="7"/>
      <c r="BM2625" s="7"/>
      <c r="BT2625" s="7"/>
    </row>
    <row r="2626" spans="58:72" x14ac:dyDescent="0.55000000000000004">
      <c r="BF2626" s="7"/>
      <c r="BM2626" s="7"/>
      <c r="BT2626" s="7"/>
    </row>
    <row r="2627" spans="58:72" x14ac:dyDescent="0.55000000000000004">
      <c r="BF2627" s="7"/>
      <c r="BM2627" s="7"/>
      <c r="BT2627" s="7"/>
    </row>
    <row r="2628" spans="58:72" x14ac:dyDescent="0.55000000000000004">
      <c r="BF2628" s="7"/>
      <c r="BM2628" s="7"/>
      <c r="BT2628" s="7"/>
    </row>
    <row r="2629" spans="58:72" x14ac:dyDescent="0.55000000000000004">
      <c r="BF2629" s="7"/>
      <c r="BM2629" s="7"/>
      <c r="BT2629" s="7"/>
    </row>
    <row r="2630" spans="58:72" x14ac:dyDescent="0.55000000000000004">
      <c r="BF2630" s="7"/>
      <c r="BM2630" s="7"/>
      <c r="BT2630" s="7"/>
    </row>
    <row r="2631" spans="58:72" x14ac:dyDescent="0.55000000000000004">
      <c r="BF2631" s="7"/>
      <c r="BM2631" s="7"/>
      <c r="BT2631" s="7"/>
    </row>
    <row r="2632" spans="58:72" x14ac:dyDescent="0.55000000000000004">
      <c r="BF2632" s="7"/>
      <c r="BM2632" s="7"/>
      <c r="BT2632" s="7"/>
    </row>
    <row r="2633" spans="58:72" x14ac:dyDescent="0.55000000000000004">
      <c r="BF2633" s="7"/>
      <c r="BM2633" s="7"/>
      <c r="BT2633" s="7"/>
    </row>
    <row r="2634" spans="58:72" x14ac:dyDescent="0.55000000000000004">
      <c r="BF2634" s="7"/>
      <c r="BM2634" s="7"/>
      <c r="BT2634" s="7"/>
    </row>
    <row r="2635" spans="58:72" x14ac:dyDescent="0.55000000000000004">
      <c r="BF2635" s="7"/>
      <c r="BM2635" s="7"/>
      <c r="BT2635" s="7"/>
    </row>
    <row r="2636" spans="58:72" x14ac:dyDescent="0.55000000000000004">
      <c r="BF2636" s="7"/>
      <c r="BM2636" s="7"/>
      <c r="BT2636" s="7"/>
    </row>
    <row r="2637" spans="58:72" x14ac:dyDescent="0.55000000000000004">
      <c r="BF2637" s="7"/>
      <c r="BM2637" s="7"/>
      <c r="BT2637" s="7"/>
    </row>
    <row r="2638" spans="58:72" x14ac:dyDescent="0.55000000000000004">
      <c r="BF2638" s="7"/>
      <c r="BM2638" s="7"/>
      <c r="BT2638" s="7"/>
    </row>
    <row r="2639" spans="58:72" x14ac:dyDescent="0.55000000000000004">
      <c r="BF2639" s="7"/>
      <c r="BM2639" s="7"/>
      <c r="BT2639" s="7"/>
    </row>
    <row r="2640" spans="58:72" x14ac:dyDescent="0.55000000000000004">
      <c r="BF2640" s="7"/>
      <c r="BM2640" s="7"/>
      <c r="BT2640" s="7"/>
    </row>
    <row r="2641" spans="58:72" x14ac:dyDescent="0.55000000000000004">
      <c r="BF2641" s="7"/>
      <c r="BM2641" s="7"/>
      <c r="BT2641" s="7"/>
    </row>
    <row r="2642" spans="58:72" x14ac:dyDescent="0.55000000000000004">
      <c r="BF2642" s="7"/>
      <c r="BM2642" s="7"/>
      <c r="BT2642" s="7"/>
    </row>
    <row r="2643" spans="58:72" x14ac:dyDescent="0.55000000000000004">
      <c r="BF2643" s="7"/>
      <c r="BM2643" s="7"/>
      <c r="BT2643" s="7"/>
    </row>
    <row r="2644" spans="58:72" x14ac:dyDescent="0.55000000000000004">
      <c r="BF2644" s="7"/>
      <c r="BM2644" s="7"/>
      <c r="BT2644" s="7"/>
    </row>
    <row r="2645" spans="58:72" x14ac:dyDescent="0.55000000000000004">
      <c r="BF2645" s="7"/>
      <c r="BM2645" s="7"/>
      <c r="BT2645" s="7"/>
    </row>
    <row r="2646" spans="58:72" x14ac:dyDescent="0.55000000000000004">
      <c r="BF2646" s="7"/>
      <c r="BM2646" s="7"/>
      <c r="BT2646" s="7"/>
    </row>
    <row r="2647" spans="58:72" x14ac:dyDescent="0.55000000000000004">
      <c r="BF2647" s="7"/>
      <c r="BM2647" s="7"/>
      <c r="BT2647" s="7"/>
    </row>
    <row r="2648" spans="58:72" x14ac:dyDescent="0.55000000000000004">
      <c r="BF2648" s="7"/>
      <c r="BM2648" s="7"/>
      <c r="BT2648" s="7"/>
    </row>
    <row r="2649" spans="58:72" x14ac:dyDescent="0.55000000000000004">
      <c r="BF2649" s="7"/>
      <c r="BM2649" s="7"/>
      <c r="BT2649" s="7"/>
    </row>
    <row r="2650" spans="58:72" x14ac:dyDescent="0.55000000000000004">
      <c r="BF2650" s="7"/>
      <c r="BM2650" s="7"/>
      <c r="BT2650" s="7"/>
    </row>
    <row r="2651" spans="58:72" x14ac:dyDescent="0.55000000000000004">
      <c r="BF2651" s="7"/>
      <c r="BM2651" s="7"/>
      <c r="BT2651" s="7"/>
    </row>
    <row r="2652" spans="58:72" x14ac:dyDescent="0.55000000000000004">
      <c r="BF2652" s="7"/>
      <c r="BM2652" s="7"/>
      <c r="BT2652" s="7"/>
    </row>
    <row r="2653" spans="58:72" x14ac:dyDescent="0.55000000000000004">
      <c r="BF2653" s="7"/>
      <c r="BM2653" s="7"/>
      <c r="BT2653" s="7"/>
    </row>
    <row r="2654" spans="58:72" x14ac:dyDescent="0.55000000000000004">
      <c r="BF2654" s="7"/>
      <c r="BM2654" s="7"/>
      <c r="BT2654" s="7"/>
    </row>
    <row r="2655" spans="58:72" x14ac:dyDescent="0.55000000000000004">
      <c r="BF2655" s="7"/>
      <c r="BM2655" s="7"/>
      <c r="BT2655" s="7"/>
    </row>
    <row r="2656" spans="58:72" x14ac:dyDescent="0.55000000000000004">
      <c r="BF2656" s="7"/>
      <c r="BM2656" s="7"/>
      <c r="BT2656" s="7"/>
    </row>
    <row r="2657" spans="58:72" x14ac:dyDescent="0.55000000000000004">
      <c r="BF2657" s="7"/>
      <c r="BM2657" s="7"/>
      <c r="BT2657" s="7"/>
    </row>
    <row r="2658" spans="58:72" x14ac:dyDescent="0.55000000000000004">
      <c r="BF2658" s="7"/>
      <c r="BM2658" s="7"/>
      <c r="BT2658" s="7"/>
    </row>
    <row r="2659" spans="58:72" x14ac:dyDescent="0.55000000000000004">
      <c r="BF2659" s="7"/>
      <c r="BM2659" s="7"/>
      <c r="BT2659" s="7"/>
    </row>
    <row r="2660" spans="58:72" x14ac:dyDescent="0.55000000000000004">
      <c r="BF2660" s="7"/>
      <c r="BM2660" s="7"/>
      <c r="BT2660" s="7"/>
    </row>
    <row r="2661" spans="58:72" x14ac:dyDescent="0.55000000000000004">
      <c r="BF2661" s="7"/>
      <c r="BM2661" s="7"/>
      <c r="BT2661" s="7"/>
    </row>
    <row r="2662" spans="58:72" x14ac:dyDescent="0.55000000000000004">
      <c r="BF2662" s="7"/>
      <c r="BM2662" s="7"/>
      <c r="BT2662" s="7"/>
    </row>
    <row r="2663" spans="58:72" x14ac:dyDescent="0.55000000000000004">
      <c r="BF2663" s="7"/>
      <c r="BM2663" s="7"/>
      <c r="BT2663" s="7"/>
    </row>
    <row r="2664" spans="58:72" x14ac:dyDescent="0.55000000000000004">
      <c r="BF2664" s="7"/>
      <c r="BM2664" s="7"/>
      <c r="BT2664" s="7"/>
    </row>
    <row r="2665" spans="58:72" x14ac:dyDescent="0.55000000000000004">
      <c r="BF2665" s="7"/>
      <c r="BM2665" s="7"/>
      <c r="BT2665" s="7"/>
    </row>
    <row r="2666" spans="58:72" x14ac:dyDescent="0.55000000000000004">
      <c r="BF2666" s="7"/>
      <c r="BM2666" s="7"/>
      <c r="BT2666" s="7"/>
    </row>
    <row r="2667" spans="58:72" x14ac:dyDescent="0.55000000000000004">
      <c r="BF2667" s="7"/>
      <c r="BM2667" s="7"/>
      <c r="BT2667" s="7"/>
    </row>
    <row r="2668" spans="58:72" x14ac:dyDescent="0.55000000000000004">
      <c r="BF2668" s="7"/>
      <c r="BM2668" s="7"/>
      <c r="BT2668" s="7"/>
    </row>
    <row r="2669" spans="58:72" x14ac:dyDescent="0.55000000000000004">
      <c r="BF2669" s="7"/>
      <c r="BM2669" s="7"/>
      <c r="BT2669" s="7"/>
    </row>
    <row r="2670" spans="58:72" x14ac:dyDescent="0.55000000000000004">
      <c r="BF2670" s="7"/>
      <c r="BM2670" s="7"/>
      <c r="BT2670" s="7"/>
    </row>
    <row r="2671" spans="58:72" x14ac:dyDescent="0.55000000000000004">
      <c r="BF2671" s="7"/>
      <c r="BM2671" s="7"/>
      <c r="BT2671" s="7"/>
    </row>
    <row r="2672" spans="58:72" x14ac:dyDescent="0.55000000000000004">
      <c r="BF2672" s="7"/>
      <c r="BM2672" s="7"/>
      <c r="BT2672" s="7"/>
    </row>
    <row r="2673" spans="58:72" x14ac:dyDescent="0.55000000000000004">
      <c r="BF2673" s="7"/>
      <c r="BM2673" s="7"/>
      <c r="BT2673" s="7"/>
    </row>
    <row r="2674" spans="58:72" x14ac:dyDescent="0.55000000000000004">
      <c r="BF2674" s="7"/>
      <c r="BM2674" s="7"/>
      <c r="BT2674" s="7"/>
    </row>
    <row r="2675" spans="58:72" x14ac:dyDescent="0.55000000000000004">
      <c r="BF2675" s="7"/>
      <c r="BM2675" s="7"/>
      <c r="BT2675" s="7"/>
    </row>
    <row r="2676" spans="58:72" x14ac:dyDescent="0.55000000000000004">
      <c r="BF2676" s="7"/>
      <c r="BM2676" s="7"/>
      <c r="BT2676" s="7"/>
    </row>
    <row r="2677" spans="58:72" x14ac:dyDescent="0.55000000000000004">
      <c r="BF2677" s="7"/>
      <c r="BM2677" s="7"/>
      <c r="BT2677" s="7"/>
    </row>
    <row r="2678" spans="58:72" x14ac:dyDescent="0.55000000000000004">
      <c r="BF2678" s="7"/>
      <c r="BM2678" s="7"/>
      <c r="BT2678" s="7"/>
    </row>
    <row r="2679" spans="58:72" x14ac:dyDescent="0.55000000000000004">
      <c r="BF2679" s="7"/>
      <c r="BM2679" s="7"/>
      <c r="BT2679" s="7"/>
    </row>
    <row r="2680" spans="58:72" x14ac:dyDescent="0.55000000000000004">
      <c r="BF2680" s="7"/>
      <c r="BM2680" s="7"/>
      <c r="BT2680" s="7"/>
    </row>
    <row r="2681" spans="58:72" x14ac:dyDescent="0.55000000000000004">
      <c r="BF2681" s="7"/>
      <c r="BM2681" s="7"/>
      <c r="BT2681" s="7"/>
    </row>
    <row r="2682" spans="58:72" x14ac:dyDescent="0.55000000000000004">
      <c r="BF2682" s="7"/>
      <c r="BM2682" s="7"/>
      <c r="BT2682" s="7"/>
    </row>
    <row r="2683" spans="58:72" x14ac:dyDescent="0.55000000000000004">
      <c r="BF2683" s="7"/>
      <c r="BM2683" s="7"/>
      <c r="BT2683" s="7"/>
    </row>
    <row r="2684" spans="58:72" x14ac:dyDescent="0.55000000000000004">
      <c r="BF2684" s="7"/>
      <c r="BM2684" s="7"/>
      <c r="BT2684" s="7"/>
    </row>
    <row r="2685" spans="58:72" x14ac:dyDescent="0.55000000000000004">
      <c r="BF2685" s="7"/>
      <c r="BM2685" s="7"/>
      <c r="BT2685" s="7"/>
    </row>
    <row r="2686" spans="58:72" x14ac:dyDescent="0.55000000000000004">
      <c r="BF2686" s="7"/>
      <c r="BM2686" s="7"/>
      <c r="BT2686" s="7"/>
    </row>
    <row r="2687" spans="58:72" x14ac:dyDescent="0.55000000000000004">
      <c r="BF2687" s="7"/>
      <c r="BM2687" s="7"/>
      <c r="BT2687" s="7"/>
    </row>
    <row r="2688" spans="58:72" x14ac:dyDescent="0.55000000000000004">
      <c r="BF2688" s="7"/>
      <c r="BM2688" s="7"/>
      <c r="BT2688" s="7"/>
    </row>
    <row r="2689" spans="58:72" x14ac:dyDescent="0.55000000000000004">
      <c r="BF2689" s="7"/>
      <c r="BM2689" s="7"/>
      <c r="BT2689" s="7"/>
    </row>
    <row r="2690" spans="58:72" x14ac:dyDescent="0.55000000000000004">
      <c r="BF2690" s="7"/>
      <c r="BM2690" s="7"/>
      <c r="BT2690" s="7"/>
    </row>
    <row r="2691" spans="58:72" x14ac:dyDescent="0.55000000000000004">
      <c r="BF2691" s="7"/>
      <c r="BM2691" s="7"/>
      <c r="BT2691" s="7"/>
    </row>
    <row r="2692" spans="58:72" x14ac:dyDescent="0.55000000000000004">
      <c r="BF2692" s="7"/>
      <c r="BM2692" s="7"/>
      <c r="BT2692" s="7"/>
    </row>
    <row r="2693" spans="58:72" x14ac:dyDescent="0.55000000000000004">
      <c r="BF2693" s="7"/>
      <c r="BM2693" s="7"/>
      <c r="BT2693" s="7"/>
    </row>
    <row r="2694" spans="58:72" x14ac:dyDescent="0.55000000000000004">
      <c r="BF2694" s="7"/>
      <c r="BM2694" s="7"/>
      <c r="BT2694" s="7"/>
    </row>
    <row r="2695" spans="58:72" x14ac:dyDescent="0.55000000000000004">
      <c r="BF2695" s="7"/>
      <c r="BM2695" s="7"/>
      <c r="BT2695" s="7"/>
    </row>
    <row r="2696" spans="58:72" x14ac:dyDescent="0.55000000000000004">
      <c r="BF2696" s="7"/>
      <c r="BM2696" s="7"/>
      <c r="BT2696" s="7"/>
    </row>
    <row r="2697" spans="58:72" x14ac:dyDescent="0.55000000000000004">
      <c r="BF2697" s="7"/>
      <c r="BM2697" s="7"/>
      <c r="BT2697" s="7"/>
    </row>
    <row r="2698" spans="58:72" x14ac:dyDescent="0.55000000000000004">
      <c r="BF2698" s="7"/>
      <c r="BM2698" s="7"/>
      <c r="BT2698" s="7"/>
    </row>
    <row r="2699" spans="58:72" x14ac:dyDescent="0.55000000000000004">
      <c r="BF2699" s="7"/>
      <c r="BM2699" s="7"/>
      <c r="BT2699" s="7"/>
    </row>
    <row r="2700" spans="58:72" x14ac:dyDescent="0.55000000000000004">
      <c r="BF2700" s="7"/>
      <c r="BM2700" s="7"/>
      <c r="BT2700" s="7"/>
    </row>
    <row r="2701" spans="58:72" x14ac:dyDescent="0.55000000000000004">
      <c r="BF2701" s="7"/>
      <c r="BM2701" s="7"/>
      <c r="BT2701" s="7"/>
    </row>
    <row r="2702" spans="58:72" x14ac:dyDescent="0.55000000000000004">
      <c r="BF2702" s="7"/>
      <c r="BM2702" s="7"/>
      <c r="BT2702" s="7"/>
    </row>
    <row r="2703" spans="58:72" x14ac:dyDescent="0.55000000000000004">
      <c r="BF2703" s="7"/>
      <c r="BM2703" s="7"/>
      <c r="BT2703" s="7"/>
    </row>
    <row r="2704" spans="58:72" x14ac:dyDescent="0.55000000000000004">
      <c r="BF2704" s="7"/>
      <c r="BM2704" s="7"/>
      <c r="BT2704" s="7"/>
    </row>
    <row r="2705" spans="58:72" x14ac:dyDescent="0.55000000000000004">
      <c r="BF2705" s="7"/>
      <c r="BM2705" s="7"/>
      <c r="BT2705" s="7"/>
    </row>
    <row r="2706" spans="58:72" x14ac:dyDescent="0.55000000000000004">
      <c r="BF2706" s="7"/>
      <c r="BM2706" s="7"/>
      <c r="BT2706" s="7"/>
    </row>
    <row r="2707" spans="58:72" x14ac:dyDescent="0.55000000000000004">
      <c r="BF2707" s="7"/>
      <c r="BM2707" s="7"/>
      <c r="BT2707" s="7"/>
    </row>
    <row r="2708" spans="58:72" x14ac:dyDescent="0.55000000000000004">
      <c r="BF2708" s="7"/>
      <c r="BM2708" s="7"/>
      <c r="BT2708" s="7"/>
    </row>
    <row r="2709" spans="58:72" x14ac:dyDescent="0.55000000000000004">
      <c r="BF2709" s="7"/>
      <c r="BM2709" s="7"/>
      <c r="BT2709" s="7"/>
    </row>
    <row r="2710" spans="58:72" x14ac:dyDescent="0.55000000000000004">
      <c r="BF2710" s="7"/>
      <c r="BM2710" s="7"/>
      <c r="BT2710" s="7"/>
    </row>
    <row r="2711" spans="58:72" x14ac:dyDescent="0.55000000000000004">
      <c r="BF2711" s="7"/>
      <c r="BM2711" s="7"/>
      <c r="BT2711" s="7"/>
    </row>
    <row r="2712" spans="58:72" x14ac:dyDescent="0.55000000000000004">
      <c r="BF2712" s="7"/>
      <c r="BM2712" s="7"/>
      <c r="BT2712" s="7"/>
    </row>
    <row r="2713" spans="58:72" x14ac:dyDescent="0.55000000000000004">
      <c r="BF2713" s="7"/>
      <c r="BM2713" s="7"/>
      <c r="BT2713" s="7"/>
    </row>
    <row r="2714" spans="58:72" x14ac:dyDescent="0.55000000000000004">
      <c r="BF2714" s="7"/>
      <c r="BM2714" s="7"/>
      <c r="BT2714" s="7"/>
    </row>
    <row r="2715" spans="58:72" x14ac:dyDescent="0.55000000000000004">
      <c r="BF2715" s="7"/>
      <c r="BM2715" s="7"/>
      <c r="BT2715" s="7"/>
    </row>
    <row r="2716" spans="58:72" x14ac:dyDescent="0.55000000000000004">
      <c r="BF2716" s="7"/>
      <c r="BM2716" s="7"/>
      <c r="BT2716" s="7"/>
    </row>
    <row r="2717" spans="58:72" x14ac:dyDescent="0.55000000000000004">
      <c r="BF2717" s="7"/>
      <c r="BM2717" s="7"/>
      <c r="BT2717" s="7"/>
    </row>
    <row r="2718" spans="58:72" x14ac:dyDescent="0.55000000000000004">
      <c r="BF2718" s="7"/>
      <c r="BM2718" s="7"/>
      <c r="BT2718" s="7"/>
    </row>
    <row r="2719" spans="58:72" x14ac:dyDescent="0.55000000000000004">
      <c r="BF2719" s="7"/>
      <c r="BM2719" s="7"/>
      <c r="BT2719" s="7"/>
    </row>
    <row r="2720" spans="58:72" x14ac:dyDescent="0.55000000000000004">
      <c r="BF2720" s="7"/>
      <c r="BM2720" s="7"/>
      <c r="BT2720" s="7"/>
    </row>
    <row r="2721" spans="58:72" x14ac:dyDescent="0.55000000000000004">
      <c r="BF2721" s="7"/>
      <c r="BM2721" s="7"/>
      <c r="BT2721" s="7"/>
    </row>
    <row r="2722" spans="58:72" x14ac:dyDescent="0.55000000000000004">
      <c r="BF2722" s="7"/>
      <c r="BM2722" s="7"/>
      <c r="BT2722" s="7"/>
    </row>
    <row r="2723" spans="58:72" x14ac:dyDescent="0.55000000000000004">
      <c r="BF2723" s="7"/>
      <c r="BM2723" s="7"/>
      <c r="BT2723" s="7"/>
    </row>
    <row r="2724" spans="58:72" x14ac:dyDescent="0.55000000000000004">
      <c r="BF2724" s="7"/>
      <c r="BM2724" s="7"/>
      <c r="BT2724" s="7"/>
    </row>
    <row r="2725" spans="58:72" x14ac:dyDescent="0.55000000000000004">
      <c r="BF2725" s="7"/>
      <c r="BM2725" s="7"/>
      <c r="BT2725" s="7"/>
    </row>
    <row r="2726" spans="58:72" x14ac:dyDescent="0.55000000000000004">
      <c r="BF2726" s="7"/>
      <c r="BM2726" s="7"/>
      <c r="BT2726" s="7"/>
    </row>
    <row r="2727" spans="58:72" x14ac:dyDescent="0.55000000000000004">
      <c r="BF2727" s="7"/>
      <c r="BM2727" s="7"/>
      <c r="BT2727" s="7"/>
    </row>
    <row r="2728" spans="58:72" x14ac:dyDescent="0.55000000000000004">
      <c r="BF2728" s="7"/>
      <c r="BM2728" s="7"/>
      <c r="BT2728" s="7"/>
    </row>
    <row r="2729" spans="58:72" x14ac:dyDescent="0.55000000000000004">
      <c r="BF2729" s="7"/>
      <c r="BM2729" s="7"/>
      <c r="BT2729" s="7"/>
    </row>
    <row r="2730" spans="58:72" x14ac:dyDescent="0.55000000000000004">
      <c r="BF2730" s="7"/>
      <c r="BM2730" s="7"/>
      <c r="BT2730" s="7"/>
    </row>
    <row r="2731" spans="58:72" x14ac:dyDescent="0.55000000000000004">
      <c r="BF2731" s="7"/>
      <c r="BM2731" s="7"/>
      <c r="BT2731" s="7"/>
    </row>
    <row r="2732" spans="58:72" x14ac:dyDescent="0.55000000000000004">
      <c r="BF2732" s="7"/>
      <c r="BM2732" s="7"/>
      <c r="BT2732" s="7"/>
    </row>
    <row r="2733" spans="58:72" x14ac:dyDescent="0.55000000000000004">
      <c r="BF2733" s="7"/>
      <c r="BM2733" s="7"/>
      <c r="BT2733" s="7"/>
    </row>
    <row r="2734" spans="58:72" x14ac:dyDescent="0.55000000000000004">
      <c r="BF2734" s="7"/>
      <c r="BM2734" s="7"/>
      <c r="BT2734" s="7"/>
    </row>
    <row r="2735" spans="58:72" x14ac:dyDescent="0.55000000000000004">
      <c r="BF2735" s="7"/>
      <c r="BM2735" s="7"/>
      <c r="BT2735" s="7"/>
    </row>
    <row r="2736" spans="58:72" x14ac:dyDescent="0.55000000000000004">
      <c r="BF2736" s="7"/>
      <c r="BM2736" s="7"/>
      <c r="BT2736" s="7"/>
    </row>
    <row r="2737" spans="58:72" x14ac:dyDescent="0.55000000000000004">
      <c r="BF2737" s="7"/>
      <c r="BM2737" s="7"/>
      <c r="BT2737" s="7"/>
    </row>
    <row r="2738" spans="58:72" x14ac:dyDescent="0.55000000000000004">
      <c r="BF2738" s="7"/>
      <c r="BM2738" s="7"/>
      <c r="BT2738" s="7"/>
    </row>
    <row r="2739" spans="58:72" x14ac:dyDescent="0.55000000000000004">
      <c r="BF2739" s="7"/>
      <c r="BM2739" s="7"/>
      <c r="BT2739" s="7"/>
    </row>
    <row r="2740" spans="58:72" x14ac:dyDescent="0.55000000000000004">
      <c r="BF2740" s="7"/>
      <c r="BM2740" s="7"/>
      <c r="BT2740" s="7"/>
    </row>
    <row r="2741" spans="58:72" x14ac:dyDescent="0.55000000000000004">
      <c r="BF2741" s="7"/>
      <c r="BM2741" s="7"/>
      <c r="BT2741" s="7"/>
    </row>
    <row r="2742" spans="58:72" x14ac:dyDescent="0.55000000000000004">
      <c r="BF2742" s="7"/>
      <c r="BM2742" s="7"/>
      <c r="BT2742" s="7"/>
    </row>
    <row r="2743" spans="58:72" x14ac:dyDescent="0.55000000000000004">
      <c r="BF2743" s="7"/>
      <c r="BM2743" s="7"/>
      <c r="BT2743" s="7"/>
    </row>
    <row r="2744" spans="58:72" x14ac:dyDescent="0.55000000000000004">
      <c r="BF2744" s="7"/>
      <c r="BM2744" s="7"/>
      <c r="BT2744" s="7"/>
    </row>
    <row r="2745" spans="58:72" x14ac:dyDescent="0.55000000000000004">
      <c r="BF2745" s="7"/>
      <c r="BM2745" s="7"/>
      <c r="BT2745" s="7"/>
    </row>
    <row r="2746" spans="58:72" x14ac:dyDescent="0.55000000000000004">
      <c r="BF2746" s="7"/>
      <c r="BM2746" s="7"/>
      <c r="BT2746" s="7"/>
    </row>
    <row r="2747" spans="58:72" x14ac:dyDescent="0.55000000000000004">
      <c r="BF2747" s="7"/>
      <c r="BM2747" s="7"/>
      <c r="BT2747" s="7"/>
    </row>
    <row r="2748" spans="58:72" x14ac:dyDescent="0.55000000000000004">
      <c r="BF2748" s="7"/>
      <c r="BM2748" s="7"/>
      <c r="BT2748" s="7"/>
    </row>
    <row r="2749" spans="58:72" x14ac:dyDescent="0.55000000000000004">
      <c r="BF2749" s="7"/>
      <c r="BM2749" s="7"/>
      <c r="BT2749" s="7"/>
    </row>
    <row r="2750" spans="58:72" x14ac:dyDescent="0.55000000000000004">
      <c r="BF2750" s="7"/>
      <c r="BM2750" s="7"/>
      <c r="BT2750" s="7"/>
    </row>
    <row r="2751" spans="58:72" x14ac:dyDescent="0.55000000000000004">
      <c r="BF2751" s="7"/>
      <c r="BM2751" s="7"/>
      <c r="BT2751" s="7"/>
    </row>
    <row r="2752" spans="58:72" x14ac:dyDescent="0.55000000000000004">
      <c r="BF2752" s="7"/>
      <c r="BM2752" s="7"/>
      <c r="BT2752" s="7"/>
    </row>
    <row r="2753" spans="58:72" x14ac:dyDescent="0.55000000000000004">
      <c r="BF2753" s="7"/>
      <c r="BM2753" s="7"/>
      <c r="BT2753" s="7"/>
    </row>
    <row r="2754" spans="58:72" x14ac:dyDescent="0.55000000000000004">
      <c r="BF2754" s="7"/>
      <c r="BM2754" s="7"/>
      <c r="BT2754" s="7"/>
    </row>
    <row r="2755" spans="58:72" x14ac:dyDescent="0.55000000000000004">
      <c r="BF2755" s="7"/>
      <c r="BM2755" s="7"/>
      <c r="BT2755" s="7"/>
    </row>
    <row r="2756" spans="58:72" x14ac:dyDescent="0.55000000000000004">
      <c r="BF2756" s="7"/>
      <c r="BM2756" s="7"/>
      <c r="BT2756" s="7"/>
    </row>
    <row r="2757" spans="58:72" x14ac:dyDescent="0.55000000000000004">
      <c r="BF2757" s="7"/>
      <c r="BM2757" s="7"/>
      <c r="BT2757" s="7"/>
    </row>
    <row r="2758" spans="58:72" x14ac:dyDescent="0.55000000000000004">
      <c r="BF2758" s="7"/>
      <c r="BM2758" s="7"/>
      <c r="BT2758" s="7"/>
    </row>
    <row r="2759" spans="58:72" x14ac:dyDescent="0.55000000000000004">
      <c r="BF2759" s="7"/>
      <c r="BM2759" s="7"/>
      <c r="BT2759" s="7"/>
    </row>
    <row r="2760" spans="58:72" x14ac:dyDescent="0.55000000000000004">
      <c r="BF2760" s="7"/>
      <c r="BM2760" s="7"/>
      <c r="BT2760" s="7"/>
    </row>
    <row r="2761" spans="58:72" x14ac:dyDescent="0.55000000000000004">
      <c r="BF2761" s="7"/>
      <c r="BM2761" s="7"/>
      <c r="BT2761" s="7"/>
    </row>
    <row r="2762" spans="58:72" x14ac:dyDescent="0.55000000000000004">
      <c r="BF2762" s="7"/>
      <c r="BM2762" s="7"/>
      <c r="BT2762" s="7"/>
    </row>
    <row r="2763" spans="58:72" x14ac:dyDescent="0.55000000000000004">
      <c r="BF2763" s="7"/>
      <c r="BM2763" s="7"/>
      <c r="BT2763" s="7"/>
    </row>
    <row r="2764" spans="58:72" x14ac:dyDescent="0.55000000000000004">
      <c r="BF2764" s="7"/>
      <c r="BM2764" s="7"/>
      <c r="BT2764" s="7"/>
    </row>
    <row r="2765" spans="58:72" x14ac:dyDescent="0.55000000000000004">
      <c r="BF2765" s="7"/>
      <c r="BM2765" s="7"/>
      <c r="BT2765" s="7"/>
    </row>
    <row r="2766" spans="58:72" x14ac:dyDescent="0.55000000000000004">
      <c r="BF2766" s="7"/>
      <c r="BM2766" s="7"/>
      <c r="BT2766" s="7"/>
    </row>
    <row r="2767" spans="58:72" x14ac:dyDescent="0.55000000000000004">
      <c r="BF2767" s="7"/>
      <c r="BM2767" s="7"/>
      <c r="BT2767" s="7"/>
    </row>
    <row r="2768" spans="58:72" x14ac:dyDescent="0.55000000000000004">
      <c r="BF2768" s="7"/>
      <c r="BM2768" s="7"/>
      <c r="BT2768" s="7"/>
    </row>
    <row r="2769" spans="58:72" x14ac:dyDescent="0.55000000000000004">
      <c r="BF2769" s="7"/>
      <c r="BM2769" s="7"/>
      <c r="BT2769" s="7"/>
    </row>
    <row r="2770" spans="58:72" x14ac:dyDescent="0.55000000000000004">
      <c r="BF2770" s="7"/>
      <c r="BM2770" s="7"/>
      <c r="BT2770" s="7"/>
    </row>
    <row r="2771" spans="58:72" x14ac:dyDescent="0.55000000000000004">
      <c r="BF2771" s="7"/>
      <c r="BM2771" s="7"/>
      <c r="BT2771" s="7"/>
    </row>
    <row r="2772" spans="58:72" x14ac:dyDescent="0.55000000000000004">
      <c r="BF2772" s="7"/>
      <c r="BM2772" s="7"/>
      <c r="BT2772" s="7"/>
    </row>
    <row r="2773" spans="58:72" x14ac:dyDescent="0.55000000000000004">
      <c r="BF2773" s="7"/>
      <c r="BM2773" s="7"/>
      <c r="BT2773" s="7"/>
    </row>
    <row r="2774" spans="58:72" x14ac:dyDescent="0.55000000000000004">
      <c r="BF2774" s="7"/>
      <c r="BM2774" s="7"/>
      <c r="BT2774" s="7"/>
    </row>
    <row r="2775" spans="58:72" x14ac:dyDescent="0.55000000000000004">
      <c r="BF2775" s="7"/>
      <c r="BM2775" s="7"/>
      <c r="BT2775" s="7"/>
    </row>
    <row r="2776" spans="58:72" x14ac:dyDescent="0.55000000000000004">
      <c r="BF2776" s="7"/>
      <c r="BM2776" s="7"/>
      <c r="BT2776" s="7"/>
    </row>
    <row r="2777" spans="58:72" x14ac:dyDescent="0.55000000000000004">
      <c r="BF2777" s="7"/>
      <c r="BM2777" s="7"/>
      <c r="BT2777" s="7"/>
    </row>
    <row r="2778" spans="58:72" x14ac:dyDescent="0.55000000000000004">
      <c r="BF2778" s="7"/>
      <c r="BM2778" s="7"/>
      <c r="BT2778" s="7"/>
    </row>
    <row r="2779" spans="58:72" x14ac:dyDescent="0.55000000000000004">
      <c r="BF2779" s="7"/>
      <c r="BM2779" s="7"/>
      <c r="BT2779" s="7"/>
    </row>
    <row r="2780" spans="58:72" x14ac:dyDescent="0.55000000000000004">
      <c r="BF2780" s="7"/>
      <c r="BM2780" s="7"/>
      <c r="BT2780" s="7"/>
    </row>
    <row r="2781" spans="58:72" x14ac:dyDescent="0.55000000000000004">
      <c r="BF2781" s="7"/>
      <c r="BM2781" s="7"/>
      <c r="BT2781" s="7"/>
    </row>
    <row r="2782" spans="58:72" x14ac:dyDescent="0.55000000000000004">
      <c r="BF2782" s="7"/>
      <c r="BM2782" s="7"/>
      <c r="BT2782" s="7"/>
    </row>
    <row r="2783" spans="58:72" x14ac:dyDescent="0.55000000000000004">
      <c r="BF2783" s="7"/>
      <c r="BM2783" s="7"/>
      <c r="BT2783" s="7"/>
    </row>
    <row r="2784" spans="58:72" x14ac:dyDescent="0.55000000000000004">
      <c r="BF2784" s="7"/>
      <c r="BM2784" s="7"/>
      <c r="BT2784" s="7"/>
    </row>
    <row r="2785" spans="58:72" x14ac:dyDescent="0.55000000000000004">
      <c r="BF2785" s="7"/>
      <c r="BM2785" s="7"/>
      <c r="BT2785" s="7"/>
    </row>
    <row r="2786" spans="58:72" x14ac:dyDescent="0.55000000000000004">
      <c r="BF2786" s="7"/>
      <c r="BM2786" s="7"/>
      <c r="BT2786" s="7"/>
    </row>
    <row r="2787" spans="58:72" x14ac:dyDescent="0.55000000000000004">
      <c r="BF2787" s="7"/>
      <c r="BM2787" s="7"/>
      <c r="BT2787" s="7"/>
    </row>
    <row r="2788" spans="58:72" x14ac:dyDescent="0.55000000000000004">
      <c r="BF2788" s="7"/>
      <c r="BM2788" s="7"/>
      <c r="BT2788" s="7"/>
    </row>
    <row r="2789" spans="58:72" x14ac:dyDescent="0.55000000000000004">
      <c r="BF2789" s="7"/>
      <c r="BM2789" s="7"/>
      <c r="BT2789" s="7"/>
    </row>
    <row r="2790" spans="58:72" x14ac:dyDescent="0.55000000000000004">
      <c r="BF2790" s="7"/>
      <c r="BM2790" s="7"/>
      <c r="BT2790" s="7"/>
    </row>
    <row r="2791" spans="58:72" x14ac:dyDescent="0.55000000000000004">
      <c r="BF2791" s="7"/>
      <c r="BM2791" s="7"/>
      <c r="BT2791" s="7"/>
    </row>
    <row r="2792" spans="58:72" x14ac:dyDescent="0.55000000000000004">
      <c r="BF2792" s="7"/>
      <c r="BM2792" s="7"/>
      <c r="BT2792" s="7"/>
    </row>
    <row r="2793" spans="58:72" x14ac:dyDescent="0.55000000000000004">
      <c r="BF2793" s="7"/>
      <c r="BM2793" s="7"/>
      <c r="BT2793" s="7"/>
    </row>
    <row r="2794" spans="58:72" x14ac:dyDescent="0.55000000000000004">
      <c r="BF2794" s="7"/>
      <c r="BM2794" s="7"/>
      <c r="BT2794" s="7"/>
    </row>
    <row r="2795" spans="58:72" x14ac:dyDescent="0.55000000000000004">
      <c r="BF2795" s="7"/>
      <c r="BM2795" s="7"/>
      <c r="BT2795" s="7"/>
    </row>
    <row r="2796" spans="58:72" x14ac:dyDescent="0.55000000000000004">
      <c r="BF2796" s="7"/>
      <c r="BM2796" s="7"/>
      <c r="BT2796" s="7"/>
    </row>
    <row r="2797" spans="58:72" x14ac:dyDescent="0.55000000000000004">
      <c r="BF2797" s="7"/>
      <c r="BM2797" s="7"/>
      <c r="BT2797" s="7"/>
    </row>
    <row r="2798" spans="58:72" x14ac:dyDescent="0.55000000000000004">
      <c r="BF2798" s="7"/>
      <c r="BM2798" s="7"/>
      <c r="BT2798" s="7"/>
    </row>
    <row r="2799" spans="58:72" x14ac:dyDescent="0.55000000000000004">
      <c r="BF2799" s="7"/>
      <c r="BM2799" s="7"/>
      <c r="BT2799" s="7"/>
    </row>
    <row r="2800" spans="58:72" x14ac:dyDescent="0.55000000000000004">
      <c r="BF2800" s="7"/>
      <c r="BM2800" s="7"/>
      <c r="BT2800" s="7"/>
    </row>
    <row r="2801" spans="58:72" x14ac:dyDescent="0.55000000000000004">
      <c r="BF2801" s="7"/>
      <c r="BM2801" s="7"/>
      <c r="BT2801" s="7"/>
    </row>
    <row r="2802" spans="58:72" x14ac:dyDescent="0.55000000000000004">
      <c r="BF2802" s="7"/>
      <c r="BM2802" s="7"/>
      <c r="BT2802" s="7"/>
    </row>
    <row r="2803" spans="58:72" x14ac:dyDescent="0.55000000000000004">
      <c r="BF2803" s="7"/>
      <c r="BM2803" s="7"/>
      <c r="BT2803" s="7"/>
    </row>
    <row r="2804" spans="58:72" x14ac:dyDescent="0.55000000000000004">
      <c r="BF2804" s="7"/>
      <c r="BM2804" s="7"/>
      <c r="BT2804" s="7"/>
    </row>
    <row r="2805" spans="58:72" x14ac:dyDescent="0.55000000000000004">
      <c r="BF2805" s="7"/>
      <c r="BM2805" s="7"/>
      <c r="BT2805" s="7"/>
    </row>
    <row r="2806" spans="58:72" x14ac:dyDescent="0.55000000000000004">
      <c r="BF2806" s="7"/>
      <c r="BM2806" s="7"/>
      <c r="BT2806" s="7"/>
    </row>
    <row r="2807" spans="58:72" x14ac:dyDescent="0.55000000000000004">
      <c r="BF2807" s="7"/>
      <c r="BM2807" s="7"/>
      <c r="BT2807" s="7"/>
    </row>
    <row r="2808" spans="58:72" x14ac:dyDescent="0.55000000000000004">
      <c r="BF2808" s="7"/>
      <c r="BM2808" s="7"/>
      <c r="BT2808" s="7"/>
    </row>
    <row r="2809" spans="58:72" x14ac:dyDescent="0.55000000000000004">
      <c r="BF2809" s="7"/>
      <c r="BM2809" s="7"/>
      <c r="BT2809" s="7"/>
    </row>
    <row r="2810" spans="58:72" x14ac:dyDescent="0.55000000000000004">
      <c r="BF2810" s="7"/>
      <c r="BM2810" s="7"/>
      <c r="BT2810" s="7"/>
    </row>
    <row r="2811" spans="58:72" x14ac:dyDescent="0.55000000000000004">
      <c r="BF2811" s="7"/>
      <c r="BM2811" s="7"/>
      <c r="BT2811" s="7"/>
    </row>
    <row r="2812" spans="58:72" x14ac:dyDescent="0.55000000000000004">
      <c r="BF2812" s="7"/>
      <c r="BM2812" s="7"/>
      <c r="BT2812" s="7"/>
    </row>
    <row r="2813" spans="58:72" x14ac:dyDescent="0.55000000000000004">
      <c r="BF2813" s="7"/>
      <c r="BM2813" s="7"/>
      <c r="BT2813" s="7"/>
    </row>
    <row r="2814" spans="58:72" x14ac:dyDescent="0.55000000000000004">
      <c r="BF2814" s="7"/>
      <c r="BM2814" s="7"/>
      <c r="BT2814" s="7"/>
    </row>
    <row r="2815" spans="58:72" x14ac:dyDescent="0.55000000000000004">
      <c r="BF2815" s="7"/>
      <c r="BM2815" s="7"/>
      <c r="BT2815" s="7"/>
    </row>
    <row r="2816" spans="58:72" x14ac:dyDescent="0.55000000000000004">
      <c r="BF2816" s="7"/>
      <c r="BM2816" s="7"/>
      <c r="BT2816" s="7"/>
    </row>
    <row r="2817" spans="58:72" x14ac:dyDescent="0.55000000000000004">
      <c r="BF2817" s="7"/>
      <c r="BM2817" s="7"/>
      <c r="BT2817" s="7"/>
    </row>
    <row r="2818" spans="58:72" x14ac:dyDescent="0.55000000000000004">
      <c r="BF2818" s="7"/>
      <c r="BM2818" s="7"/>
      <c r="BT2818" s="7"/>
    </row>
    <row r="2819" spans="58:72" x14ac:dyDescent="0.55000000000000004">
      <c r="BF2819" s="7"/>
      <c r="BM2819" s="7"/>
      <c r="BT2819" s="7"/>
    </row>
    <row r="2820" spans="58:72" x14ac:dyDescent="0.55000000000000004">
      <c r="BF2820" s="7"/>
      <c r="BM2820" s="7"/>
      <c r="BT2820" s="7"/>
    </row>
    <row r="2821" spans="58:72" x14ac:dyDescent="0.55000000000000004">
      <c r="BF2821" s="7"/>
      <c r="BM2821" s="7"/>
      <c r="BT2821" s="7"/>
    </row>
    <row r="2822" spans="58:72" x14ac:dyDescent="0.55000000000000004">
      <c r="BF2822" s="7"/>
      <c r="BM2822" s="7"/>
      <c r="BT2822" s="7"/>
    </row>
    <row r="2823" spans="58:72" x14ac:dyDescent="0.55000000000000004">
      <c r="BF2823" s="7"/>
      <c r="BM2823" s="7"/>
      <c r="BT2823" s="7"/>
    </row>
    <row r="2824" spans="58:72" x14ac:dyDescent="0.55000000000000004">
      <c r="BF2824" s="7"/>
      <c r="BM2824" s="7"/>
      <c r="BT2824" s="7"/>
    </row>
    <row r="2825" spans="58:72" x14ac:dyDescent="0.55000000000000004">
      <c r="BF2825" s="7"/>
      <c r="BM2825" s="7"/>
      <c r="BT2825" s="7"/>
    </row>
    <row r="2826" spans="58:72" x14ac:dyDescent="0.55000000000000004">
      <c r="BF2826" s="7"/>
      <c r="BM2826" s="7"/>
      <c r="BT2826" s="7"/>
    </row>
    <row r="2827" spans="58:72" x14ac:dyDescent="0.55000000000000004">
      <c r="BF2827" s="7"/>
      <c r="BM2827" s="7"/>
      <c r="BT2827" s="7"/>
    </row>
    <row r="2828" spans="58:72" x14ac:dyDescent="0.55000000000000004">
      <c r="BF2828" s="7"/>
      <c r="BM2828" s="7"/>
      <c r="BT2828" s="7"/>
    </row>
    <row r="2829" spans="58:72" x14ac:dyDescent="0.55000000000000004">
      <c r="BF2829" s="7"/>
      <c r="BM2829" s="7"/>
      <c r="BT2829" s="7"/>
    </row>
    <row r="2830" spans="58:72" x14ac:dyDescent="0.55000000000000004">
      <c r="BF2830" s="7"/>
      <c r="BM2830" s="7"/>
      <c r="BT2830" s="7"/>
    </row>
    <row r="2831" spans="58:72" x14ac:dyDescent="0.55000000000000004">
      <c r="BF2831" s="7"/>
      <c r="BM2831" s="7"/>
      <c r="BT2831" s="7"/>
    </row>
    <row r="2832" spans="58:72" x14ac:dyDescent="0.55000000000000004">
      <c r="BF2832" s="7"/>
      <c r="BM2832" s="7"/>
      <c r="BT2832" s="7"/>
    </row>
    <row r="2833" spans="58:72" x14ac:dyDescent="0.55000000000000004">
      <c r="BF2833" s="7"/>
      <c r="BM2833" s="7"/>
      <c r="BT2833" s="7"/>
    </row>
    <row r="2834" spans="58:72" x14ac:dyDescent="0.55000000000000004">
      <c r="BF2834" s="7"/>
      <c r="BM2834" s="7"/>
      <c r="BT2834" s="7"/>
    </row>
    <row r="2835" spans="58:72" x14ac:dyDescent="0.55000000000000004">
      <c r="BF2835" s="7"/>
      <c r="BM2835" s="7"/>
      <c r="BT2835" s="7"/>
    </row>
    <row r="2836" spans="58:72" x14ac:dyDescent="0.55000000000000004">
      <c r="BF2836" s="7"/>
      <c r="BM2836" s="7"/>
      <c r="BT2836" s="7"/>
    </row>
    <row r="2837" spans="58:72" x14ac:dyDescent="0.55000000000000004">
      <c r="BF2837" s="7"/>
      <c r="BM2837" s="7"/>
      <c r="BT2837" s="7"/>
    </row>
    <row r="2838" spans="58:72" x14ac:dyDescent="0.55000000000000004">
      <c r="BF2838" s="7"/>
      <c r="BM2838" s="7"/>
      <c r="BT2838" s="7"/>
    </row>
    <row r="2839" spans="58:72" x14ac:dyDescent="0.55000000000000004">
      <c r="BF2839" s="7"/>
      <c r="BM2839" s="7"/>
      <c r="BT2839" s="7"/>
    </row>
    <row r="2840" spans="58:72" x14ac:dyDescent="0.55000000000000004">
      <c r="BF2840" s="7"/>
      <c r="BM2840" s="7"/>
      <c r="BT2840" s="7"/>
    </row>
    <row r="2841" spans="58:72" x14ac:dyDescent="0.55000000000000004">
      <c r="BF2841" s="7"/>
      <c r="BM2841" s="7"/>
      <c r="BT2841" s="7"/>
    </row>
    <row r="2842" spans="58:72" x14ac:dyDescent="0.55000000000000004">
      <c r="BF2842" s="7"/>
      <c r="BM2842" s="7"/>
      <c r="BT2842" s="7"/>
    </row>
    <row r="2843" spans="58:72" x14ac:dyDescent="0.55000000000000004">
      <c r="BF2843" s="7"/>
      <c r="BM2843" s="7"/>
      <c r="BT2843" s="7"/>
    </row>
    <row r="2844" spans="58:72" x14ac:dyDescent="0.55000000000000004">
      <c r="BF2844" s="7"/>
      <c r="BM2844" s="7"/>
      <c r="BT2844" s="7"/>
    </row>
    <row r="2845" spans="58:72" x14ac:dyDescent="0.55000000000000004">
      <c r="BF2845" s="7"/>
      <c r="BM2845" s="7"/>
      <c r="BT2845" s="7"/>
    </row>
    <row r="2846" spans="58:72" x14ac:dyDescent="0.55000000000000004">
      <c r="BF2846" s="7"/>
      <c r="BM2846" s="7"/>
      <c r="BT2846" s="7"/>
    </row>
    <row r="2847" spans="58:72" x14ac:dyDescent="0.55000000000000004">
      <c r="BF2847" s="7"/>
      <c r="BM2847" s="7"/>
      <c r="BT2847" s="7"/>
    </row>
    <row r="2848" spans="58:72" x14ac:dyDescent="0.55000000000000004">
      <c r="BF2848" s="7"/>
      <c r="BM2848" s="7"/>
      <c r="BT2848" s="7"/>
    </row>
    <row r="2849" spans="58:72" x14ac:dyDescent="0.55000000000000004">
      <c r="BF2849" s="7"/>
      <c r="BM2849" s="7"/>
      <c r="BT2849" s="7"/>
    </row>
    <row r="2850" spans="58:72" x14ac:dyDescent="0.55000000000000004">
      <c r="BF2850" s="7"/>
      <c r="BM2850" s="7"/>
      <c r="BT2850" s="7"/>
    </row>
    <row r="2851" spans="58:72" x14ac:dyDescent="0.55000000000000004">
      <c r="BF2851" s="7"/>
      <c r="BM2851" s="7"/>
      <c r="BT2851" s="7"/>
    </row>
    <row r="2852" spans="58:72" x14ac:dyDescent="0.55000000000000004">
      <c r="BF2852" s="7"/>
      <c r="BM2852" s="7"/>
      <c r="BT2852" s="7"/>
    </row>
    <row r="2853" spans="58:72" x14ac:dyDescent="0.55000000000000004">
      <c r="BF2853" s="7"/>
      <c r="BM2853" s="7"/>
      <c r="BT2853" s="7"/>
    </row>
    <row r="2854" spans="58:72" x14ac:dyDescent="0.55000000000000004">
      <c r="BF2854" s="7"/>
      <c r="BM2854" s="7"/>
      <c r="BT2854" s="7"/>
    </row>
    <row r="2855" spans="58:72" x14ac:dyDescent="0.55000000000000004">
      <c r="BF2855" s="7"/>
      <c r="BM2855" s="7"/>
      <c r="BT2855" s="7"/>
    </row>
    <row r="2856" spans="58:72" x14ac:dyDescent="0.55000000000000004">
      <c r="BF2856" s="7"/>
      <c r="BM2856" s="7"/>
      <c r="BT2856" s="7"/>
    </row>
    <row r="2857" spans="58:72" x14ac:dyDescent="0.55000000000000004">
      <c r="BF2857" s="7"/>
      <c r="BM2857" s="7"/>
      <c r="BT2857" s="7"/>
    </row>
    <row r="2858" spans="58:72" x14ac:dyDescent="0.55000000000000004">
      <c r="BF2858" s="7"/>
      <c r="BM2858" s="7"/>
      <c r="BT2858" s="7"/>
    </row>
    <row r="2859" spans="58:72" x14ac:dyDescent="0.55000000000000004">
      <c r="BF2859" s="7"/>
      <c r="BM2859" s="7"/>
      <c r="BT2859" s="7"/>
    </row>
    <row r="2860" spans="58:72" x14ac:dyDescent="0.55000000000000004">
      <c r="BF2860" s="7"/>
      <c r="BM2860" s="7"/>
      <c r="BT2860" s="7"/>
    </row>
    <row r="2861" spans="58:72" x14ac:dyDescent="0.55000000000000004">
      <c r="BF2861" s="7"/>
      <c r="BM2861" s="7"/>
      <c r="BT2861" s="7"/>
    </row>
    <row r="2862" spans="58:72" x14ac:dyDescent="0.55000000000000004">
      <c r="BF2862" s="7"/>
      <c r="BM2862" s="7"/>
      <c r="BT2862" s="7"/>
    </row>
    <row r="2863" spans="58:72" x14ac:dyDescent="0.55000000000000004">
      <c r="BF2863" s="7"/>
      <c r="BM2863" s="7"/>
      <c r="BT2863" s="7"/>
    </row>
    <row r="2864" spans="58:72" x14ac:dyDescent="0.55000000000000004">
      <c r="BF2864" s="7"/>
      <c r="BM2864" s="7"/>
      <c r="BT2864" s="7"/>
    </row>
    <row r="2865" spans="58:72" x14ac:dyDescent="0.55000000000000004">
      <c r="BF2865" s="7"/>
      <c r="BM2865" s="7"/>
      <c r="BT2865" s="7"/>
    </row>
    <row r="2866" spans="58:72" x14ac:dyDescent="0.55000000000000004">
      <c r="BF2866" s="7"/>
      <c r="BM2866" s="7"/>
      <c r="BT2866" s="7"/>
    </row>
    <row r="2867" spans="58:72" x14ac:dyDescent="0.55000000000000004">
      <c r="BF2867" s="7"/>
      <c r="BM2867" s="7"/>
      <c r="BT2867" s="7"/>
    </row>
    <row r="2868" spans="58:72" x14ac:dyDescent="0.55000000000000004">
      <c r="BF2868" s="7"/>
      <c r="BM2868" s="7"/>
      <c r="BT2868" s="7"/>
    </row>
    <row r="2869" spans="58:72" x14ac:dyDescent="0.55000000000000004">
      <c r="BF2869" s="7"/>
      <c r="BM2869" s="7"/>
      <c r="BT2869" s="7"/>
    </row>
    <row r="2870" spans="58:72" x14ac:dyDescent="0.55000000000000004">
      <c r="BF2870" s="7"/>
      <c r="BM2870" s="7"/>
      <c r="BT2870" s="7"/>
    </row>
    <row r="2871" spans="58:72" x14ac:dyDescent="0.55000000000000004">
      <c r="BF2871" s="7"/>
      <c r="BM2871" s="7"/>
      <c r="BT2871" s="7"/>
    </row>
    <row r="2872" spans="58:72" x14ac:dyDescent="0.55000000000000004">
      <c r="BF2872" s="7"/>
      <c r="BM2872" s="7"/>
      <c r="BT2872" s="7"/>
    </row>
    <row r="2873" spans="58:72" x14ac:dyDescent="0.55000000000000004">
      <c r="BF2873" s="7"/>
      <c r="BM2873" s="7"/>
      <c r="BT2873" s="7"/>
    </row>
    <row r="2874" spans="58:72" x14ac:dyDescent="0.55000000000000004">
      <c r="BF2874" s="7"/>
      <c r="BM2874" s="7"/>
      <c r="BT2874" s="7"/>
    </row>
    <row r="2875" spans="58:72" x14ac:dyDescent="0.55000000000000004">
      <c r="BF2875" s="7"/>
      <c r="BM2875" s="7"/>
      <c r="BT2875" s="7"/>
    </row>
    <row r="2876" spans="58:72" x14ac:dyDescent="0.55000000000000004">
      <c r="BF2876" s="7"/>
      <c r="BM2876" s="7"/>
      <c r="BT2876" s="7"/>
    </row>
    <row r="2877" spans="58:72" x14ac:dyDescent="0.55000000000000004">
      <c r="BF2877" s="7"/>
      <c r="BM2877" s="7"/>
      <c r="BT2877" s="7"/>
    </row>
    <row r="2878" spans="58:72" x14ac:dyDescent="0.55000000000000004">
      <c r="BF2878" s="7"/>
      <c r="BM2878" s="7"/>
      <c r="BT2878" s="7"/>
    </row>
    <row r="2879" spans="58:72" x14ac:dyDescent="0.55000000000000004">
      <c r="BF2879" s="7"/>
      <c r="BM2879" s="7"/>
      <c r="BT2879" s="7"/>
    </row>
    <row r="2880" spans="58:72" x14ac:dyDescent="0.55000000000000004">
      <c r="BF2880" s="7"/>
      <c r="BM2880" s="7"/>
      <c r="BT2880" s="7"/>
    </row>
    <row r="2881" spans="58:72" x14ac:dyDescent="0.55000000000000004">
      <c r="BF2881" s="7"/>
      <c r="BM2881" s="7"/>
      <c r="BT2881" s="7"/>
    </row>
    <row r="2882" spans="58:72" x14ac:dyDescent="0.55000000000000004">
      <c r="BF2882" s="7"/>
      <c r="BM2882" s="7"/>
      <c r="BT2882" s="7"/>
    </row>
    <row r="2883" spans="58:72" x14ac:dyDescent="0.55000000000000004">
      <c r="BF2883" s="7"/>
      <c r="BM2883" s="7"/>
      <c r="BT2883" s="7"/>
    </row>
    <row r="2884" spans="58:72" x14ac:dyDescent="0.55000000000000004">
      <c r="BF2884" s="7"/>
      <c r="BM2884" s="7"/>
      <c r="BT2884" s="7"/>
    </row>
    <row r="2885" spans="58:72" x14ac:dyDescent="0.55000000000000004">
      <c r="BF2885" s="7"/>
      <c r="BM2885" s="7"/>
      <c r="BT2885" s="7"/>
    </row>
    <row r="2886" spans="58:72" x14ac:dyDescent="0.55000000000000004">
      <c r="BF2886" s="7"/>
      <c r="BM2886" s="7"/>
      <c r="BT2886" s="7"/>
    </row>
    <row r="2887" spans="58:72" x14ac:dyDescent="0.55000000000000004">
      <c r="BF2887" s="7"/>
      <c r="BM2887" s="7"/>
      <c r="BT2887" s="7"/>
    </row>
    <row r="2888" spans="58:72" x14ac:dyDescent="0.55000000000000004">
      <c r="BF2888" s="7"/>
      <c r="BM2888" s="7"/>
      <c r="BT2888" s="7"/>
    </row>
    <row r="2889" spans="58:72" x14ac:dyDescent="0.55000000000000004">
      <c r="BF2889" s="7"/>
      <c r="BM2889" s="7"/>
      <c r="BT2889" s="7"/>
    </row>
    <row r="2890" spans="58:72" x14ac:dyDescent="0.55000000000000004">
      <c r="BF2890" s="7"/>
      <c r="BM2890" s="7"/>
      <c r="BT2890" s="7"/>
    </row>
    <row r="2891" spans="58:72" x14ac:dyDescent="0.55000000000000004">
      <c r="BF2891" s="7"/>
      <c r="BM2891" s="7"/>
      <c r="BT2891" s="7"/>
    </row>
    <row r="2892" spans="58:72" x14ac:dyDescent="0.55000000000000004">
      <c r="BF2892" s="7"/>
      <c r="BM2892" s="7"/>
      <c r="BT2892" s="7"/>
    </row>
    <row r="2893" spans="58:72" x14ac:dyDescent="0.55000000000000004">
      <c r="BF2893" s="7"/>
      <c r="BM2893" s="7"/>
      <c r="BT2893" s="7"/>
    </row>
    <row r="2894" spans="58:72" x14ac:dyDescent="0.55000000000000004">
      <c r="BF2894" s="7"/>
      <c r="BM2894" s="7"/>
      <c r="BT2894" s="7"/>
    </row>
    <row r="2895" spans="58:72" x14ac:dyDescent="0.55000000000000004">
      <c r="BF2895" s="7"/>
      <c r="BM2895" s="7"/>
      <c r="BT2895" s="7"/>
    </row>
    <row r="2896" spans="58:72" x14ac:dyDescent="0.55000000000000004">
      <c r="BF2896" s="7"/>
      <c r="BM2896" s="7"/>
      <c r="BT2896" s="7"/>
    </row>
    <row r="2897" spans="58:72" x14ac:dyDescent="0.55000000000000004">
      <c r="BF2897" s="7"/>
      <c r="BM2897" s="7"/>
      <c r="BT2897" s="7"/>
    </row>
    <row r="2898" spans="58:72" x14ac:dyDescent="0.55000000000000004">
      <c r="BF2898" s="7"/>
      <c r="BM2898" s="7"/>
      <c r="BT2898" s="7"/>
    </row>
    <row r="2899" spans="58:72" x14ac:dyDescent="0.55000000000000004">
      <c r="BF2899" s="7"/>
      <c r="BM2899" s="7"/>
      <c r="BT2899" s="7"/>
    </row>
    <row r="2900" spans="58:72" x14ac:dyDescent="0.55000000000000004">
      <c r="BF2900" s="7"/>
      <c r="BM2900" s="7"/>
      <c r="BT2900" s="7"/>
    </row>
    <row r="2901" spans="58:72" x14ac:dyDescent="0.55000000000000004">
      <c r="BF2901" s="7"/>
      <c r="BM2901" s="7"/>
      <c r="BT2901" s="7"/>
    </row>
    <row r="2902" spans="58:72" x14ac:dyDescent="0.55000000000000004">
      <c r="BF2902" s="7"/>
      <c r="BM2902" s="7"/>
      <c r="BT2902" s="7"/>
    </row>
    <row r="2903" spans="58:72" x14ac:dyDescent="0.55000000000000004">
      <c r="BF2903" s="7"/>
      <c r="BM2903" s="7"/>
      <c r="BT2903" s="7"/>
    </row>
    <row r="2904" spans="58:72" x14ac:dyDescent="0.55000000000000004">
      <c r="BF2904" s="7"/>
      <c r="BM2904" s="7"/>
      <c r="BT2904" s="7"/>
    </row>
    <row r="2905" spans="58:72" x14ac:dyDescent="0.55000000000000004">
      <c r="BF2905" s="7"/>
      <c r="BM2905" s="7"/>
      <c r="BT2905" s="7"/>
    </row>
    <row r="2906" spans="58:72" x14ac:dyDescent="0.55000000000000004">
      <c r="BF2906" s="7"/>
      <c r="BM2906" s="7"/>
      <c r="BT2906" s="7"/>
    </row>
    <row r="2907" spans="58:72" x14ac:dyDescent="0.55000000000000004">
      <c r="BF2907" s="7"/>
      <c r="BM2907" s="7"/>
      <c r="BT2907" s="7"/>
    </row>
    <row r="2908" spans="58:72" x14ac:dyDescent="0.55000000000000004">
      <c r="BF2908" s="7"/>
      <c r="BM2908" s="7"/>
      <c r="BT2908" s="7"/>
    </row>
    <row r="2909" spans="58:72" x14ac:dyDescent="0.55000000000000004">
      <c r="BF2909" s="7"/>
      <c r="BM2909" s="7"/>
      <c r="BT2909" s="7"/>
    </row>
    <row r="2910" spans="58:72" x14ac:dyDescent="0.55000000000000004">
      <c r="BF2910" s="7"/>
      <c r="BM2910" s="7"/>
      <c r="BT2910" s="7"/>
    </row>
    <row r="2911" spans="58:72" x14ac:dyDescent="0.55000000000000004">
      <c r="BF2911" s="7"/>
      <c r="BM2911" s="7"/>
      <c r="BT2911" s="7"/>
    </row>
    <row r="2912" spans="58:72" x14ac:dyDescent="0.55000000000000004">
      <c r="BF2912" s="7"/>
      <c r="BM2912" s="7"/>
      <c r="BT2912" s="7"/>
    </row>
    <row r="2913" spans="58:72" x14ac:dyDescent="0.55000000000000004">
      <c r="BF2913" s="7"/>
      <c r="BM2913" s="7"/>
      <c r="BT2913" s="7"/>
    </row>
    <row r="2914" spans="58:72" x14ac:dyDescent="0.55000000000000004">
      <c r="BF2914" s="7"/>
      <c r="BM2914" s="7"/>
      <c r="BT2914" s="7"/>
    </row>
    <row r="2915" spans="58:72" x14ac:dyDescent="0.55000000000000004">
      <c r="BF2915" s="7"/>
      <c r="BM2915" s="7"/>
      <c r="BT2915" s="7"/>
    </row>
    <row r="2916" spans="58:72" x14ac:dyDescent="0.55000000000000004">
      <c r="BF2916" s="7"/>
      <c r="BM2916" s="7"/>
      <c r="BT2916" s="7"/>
    </row>
    <row r="2917" spans="58:72" x14ac:dyDescent="0.55000000000000004">
      <c r="BF2917" s="7"/>
      <c r="BM2917" s="7"/>
      <c r="BT2917" s="7"/>
    </row>
    <row r="2918" spans="58:72" x14ac:dyDescent="0.55000000000000004">
      <c r="BF2918" s="7"/>
      <c r="BM2918" s="7"/>
      <c r="BT2918" s="7"/>
    </row>
    <row r="2919" spans="58:72" x14ac:dyDescent="0.55000000000000004">
      <c r="BF2919" s="7"/>
      <c r="BM2919" s="7"/>
      <c r="BT2919" s="7"/>
    </row>
    <row r="2920" spans="58:72" x14ac:dyDescent="0.55000000000000004">
      <c r="BF2920" s="7"/>
      <c r="BM2920" s="7"/>
      <c r="BT2920" s="7"/>
    </row>
    <row r="2921" spans="58:72" x14ac:dyDescent="0.55000000000000004">
      <c r="BF2921" s="7"/>
      <c r="BM2921" s="7"/>
      <c r="BT2921" s="7"/>
    </row>
    <row r="2922" spans="58:72" x14ac:dyDescent="0.55000000000000004">
      <c r="BF2922" s="7"/>
      <c r="BM2922" s="7"/>
      <c r="BT2922" s="7"/>
    </row>
    <row r="2923" spans="58:72" x14ac:dyDescent="0.55000000000000004">
      <c r="BF2923" s="7"/>
      <c r="BM2923" s="7"/>
      <c r="BT2923" s="7"/>
    </row>
    <row r="2924" spans="58:72" x14ac:dyDescent="0.55000000000000004">
      <c r="BF2924" s="7"/>
      <c r="BM2924" s="7"/>
      <c r="BT2924" s="7"/>
    </row>
    <row r="2925" spans="58:72" x14ac:dyDescent="0.55000000000000004">
      <c r="BF2925" s="7"/>
      <c r="BM2925" s="7"/>
      <c r="BT2925" s="7"/>
    </row>
    <row r="2926" spans="58:72" x14ac:dyDescent="0.55000000000000004">
      <c r="BF2926" s="7"/>
      <c r="BM2926" s="7"/>
      <c r="BT2926" s="7"/>
    </row>
    <row r="2927" spans="58:72" x14ac:dyDescent="0.55000000000000004">
      <c r="BF2927" s="7"/>
      <c r="BM2927" s="7"/>
      <c r="BT2927" s="7"/>
    </row>
    <row r="2928" spans="58:72" x14ac:dyDescent="0.55000000000000004">
      <c r="BF2928" s="7"/>
      <c r="BM2928" s="7"/>
      <c r="BT2928" s="7"/>
    </row>
    <row r="2929" spans="58:72" x14ac:dyDescent="0.55000000000000004">
      <c r="BF2929" s="7"/>
      <c r="BM2929" s="7"/>
      <c r="BT2929" s="7"/>
    </row>
    <row r="2930" spans="58:72" x14ac:dyDescent="0.55000000000000004">
      <c r="BF2930" s="7"/>
      <c r="BM2930" s="7"/>
      <c r="BT2930" s="7"/>
    </row>
    <row r="2931" spans="58:72" x14ac:dyDescent="0.55000000000000004">
      <c r="BF2931" s="7"/>
      <c r="BM2931" s="7"/>
      <c r="BT2931" s="7"/>
    </row>
    <row r="2932" spans="58:72" x14ac:dyDescent="0.55000000000000004">
      <c r="BF2932" s="7"/>
      <c r="BM2932" s="7"/>
      <c r="BT2932" s="7"/>
    </row>
    <row r="2933" spans="58:72" x14ac:dyDescent="0.55000000000000004">
      <c r="BF2933" s="7"/>
      <c r="BM2933" s="7"/>
      <c r="BT2933" s="7"/>
    </row>
    <row r="2934" spans="58:72" x14ac:dyDescent="0.55000000000000004">
      <c r="BF2934" s="7"/>
      <c r="BM2934" s="7"/>
      <c r="BT2934" s="7"/>
    </row>
    <row r="2935" spans="58:72" x14ac:dyDescent="0.55000000000000004">
      <c r="BF2935" s="7"/>
      <c r="BM2935" s="7"/>
      <c r="BT2935" s="7"/>
    </row>
    <row r="2936" spans="58:72" x14ac:dyDescent="0.55000000000000004">
      <c r="BF2936" s="7"/>
      <c r="BM2936" s="7"/>
      <c r="BT2936" s="7"/>
    </row>
    <row r="2937" spans="58:72" x14ac:dyDescent="0.55000000000000004">
      <c r="BF2937" s="7"/>
      <c r="BM2937" s="7"/>
      <c r="BT2937" s="7"/>
    </row>
    <row r="2938" spans="58:72" x14ac:dyDescent="0.55000000000000004">
      <c r="BF2938" s="7"/>
      <c r="BM2938" s="7"/>
      <c r="BT2938" s="7"/>
    </row>
    <row r="2939" spans="58:72" x14ac:dyDescent="0.55000000000000004">
      <c r="BF2939" s="7"/>
      <c r="BM2939" s="7"/>
      <c r="BT2939" s="7"/>
    </row>
    <row r="2940" spans="58:72" x14ac:dyDescent="0.55000000000000004">
      <c r="BF2940" s="7"/>
      <c r="BM2940" s="7"/>
      <c r="BT2940" s="7"/>
    </row>
    <row r="2941" spans="58:72" x14ac:dyDescent="0.55000000000000004">
      <c r="BF2941" s="7"/>
      <c r="BM2941" s="7"/>
      <c r="BT2941" s="7"/>
    </row>
    <row r="2942" spans="58:72" x14ac:dyDescent="0.55000000000000004">
      <c r="BF2942" s="7"/>
      <c r="BM2942" s="7"/>
      <c r="BT2942" s="7"/>
    </row>
    <row r="2943" spans="58:72" x14ac:dyDescent="0.55000000000000004">
      <c r="BF2943" s="7"/>
      <c r="BM2943" s="7"/>
      <c r="BT2943" s="7"/>
    </row>
    <row r="2944" spans="58:72" x14ac:dyDescent="0.55000000000000004">
      <c r="BF2944" s="7"/>
      <c r="BM2944" s="7"/>
      <c r="BT2944" s="7"/>
    </row>
    <row r="2945" spans="58:72" x14ac:dyDescent="0.55000000000000004">
      <c r="BF2945" s="7"/>
      <c r="BM2945" s="7"/>
      <c r="BT2945" s="7"/>
    </row>
    <row r="2946" spans="58:72" x14ac:dyDescent="0.55000000000000004">
      <c r="BF2946" s="7"/>
      <c r="BM2946" s="7"/>
      <c r="BT2946" s="7"/>
    </row>
    <row r="2947" spans="58:72" x14ac:dyDescent="0.55000000000000004">
      <c r="BF2947" s="7"/>
      <c r="BM2947" s="7"/>
      <c r="BT2947" s="7"/>
    </row>
    <row r="2948" spans="58:72" x14ac:dyDescent="0.55000000000000004">
      <c r="BF2948" s="7"/>
      <c r="BM2948" s="7"/>
      <c r="BT2948" s="7"/>
    </row>
    <row r="2949" spans="58:72" x14ac:dyDescent="0.55000000000000004">
      <c r="BF2949" s="7"/>
      <c r="BM2949" s="7"/>
      <c r="BT2949" s="7"/>
    </row>
    <row r="2950" spans="58:72" x14ac:dyDescent="0.55000000000000004">
      <c r="BF2950" s="7"/>
      <c r="BM2950" s="7"/>
      <c r="BT2950" s="7"/>
    </row>
    <row r="2951" spans="58:72" x14ac:dyDescent="0.55000000000000004">
      <c r="BF2951" s="7"/>
      <c r="BM2951" s="7"/>
      <c r="BT2951" s="7"/>
    </row>
    <row r="2952" spans="58:72" x14ac:dyDescent="0.55000000000000004">
      <c r="BF2952" s="7"/>
      <c r="BM2952" s="7"/>
      <c r="BT2952" s="7"/>
    </row>
    <row r="2953" spans="58:72" x14ac:dyDescent="0.55000000000000004">
      <c r="BF2953" s="7"/>
      <c r="BM2953" s="7"/>
      <c r="BT2953" s="7"/>
    </row>
    <row r="2954" spans="58:72" x14ac:dyDescent="0.55000000000000004">
      <c r="BF2954" s="7"/>
      <c r="BM2954" s="7"/>
      <c r="BT2954" s="7"/>
    </row>
    <row r="2955" spans="58:72" x14ac:dyDescent="0.55000000000000004">
      <c r="BF2955" s="7"/>
      <c r="BM2955" s="7"/>
      <c r="BT2955" s="7"/>
    </row>
    <row r="2956" spans="58:72" x14ac:dyDescent="0.55000000000000004">
      <c r="BF2956" s="7"/>
      <c r="BM2956" s="7"/>
      <c r="BT2956" s="7"/>
    </row>
    <row r="2957" spans="58:72" x14ac:dyDescent="0.55000000000000004">
      <c r="BF2957" s="7"/>
      <c r="BM2957" s="7"/>
      <c r="BT2957" s="7"/>
    </row>
    <row r="2958" spans="58:72" x14ac:dyDescent="0.55000000000000004">
      <c r="BF2958" s="7"/>
      <c r="BM2958" s="7"/>
      <c r="BT2958" s="7"/>
    </row>
    <row r="2959" spans="58:72" x14ac:dyDescent="0.55000000000000004">
      <c r="BF2959" s="7"/>
      <c r="BM2959" s="7"/>
      <c r="BT2959" s="7"/>
    </row>
    <row r="2960" spans="58:72" x14ac:dyDescent="0.55000000000000004">
      <c r="BF2960" s="7"/>
      <c r="BM2960" s="7"/>
      <c r="BT2960" s="7"/>
    </row>
    <row r="2961" spans="58:72" x14ac:dyDescent="0.55000000000000004">
      <c r="BF2961" s="7"/>
      <c r="BM2961" s="7"/>
      <c r="BT2961" s="7"/>
    </row>
    <row r="2962" spans="58:72" x14ac:dyDescent="0.55000000000000004">
      <c r="BF2962" s="7"/>
      <c r="BM2962" s="7"/>
      <c r="BT2962" s="7"/>
    </row>
    <row r="2963" spans="58:72" x14ac:dyDescent="0.55000000000000004">
      <c r="BF2963" s="7"/>
      <c r="BM2963" s="7"/>
      <c r="BT2963" s="7"/>
    </row>
    <row r="2964" spans="58:72" x14ac:dyDescent="0.55000000000000004">
      <c r="BF2964" s="7"/>
      <c r="BM2964" s="7"/>
      <c r="BT2964" s="7"/>
    </row>
    <row r="2965" spans="58:72" x14ac:dyDescent="0.55000000000000004">
      <c r="BF2965" s="7"/>
      <c r="BM2965" s="7"/>
      <c r="BT2965" s="7"/>
    </row>
    <row r="2966" spans="58:72" x14ac:dyDescent="0.55000000000000004">
      <c r="BF2966" s="7"/>
      <c r="BM2966" s="7"/>
      <c r="BT2966" s="7"/>
    </row>
    <row r="2967" spans="58:72" x14ac:dyDescent="0.55000000000000004">
      <c r="BF2967" s="7"/>
      <c r="BM2967" s="7"/>
      <c r="BT2967" s="7"/>
    </row>
    <row r="2968" spans="58:72" x14ac:dyDescent="0.55000000000000004">
      <c r="BF2968" s="7"/>
      <c r="BM2968" s="7"/>
      <c r="BT2968" s="7"/>
    </row>
    <row r="2969" spans="58:72" x14ac:dyDescent="0.55000000000000004">
      <c r="BF2969" s="7"/>
      <c r="BM2969" s="7"/>
      <c r="BT2969" s="7"/>
    </row>
    <row r="2970" spans="58:72" x14ac:dyDescent="0.55000000000000004">
      <c r="BF2970" s="7"/>
      <c r="BM2970" s="7"/>
      <c r="BT2970" s="7"/>
    </row>
    <row r="2971" spans="58:72" x14ac:dyDescent="0.55000000000000004">
      <c r="BF2971" s="7"/>
      <c r="BM2971" s="7"/>
      <c r="BT2971" s="7"/>
    </row>
    <row r="2972" spans="58:72" x14ac:dyDescent="0.55000000000000004">
      <c r="BF2972" s="7"/>
      <c r="BM2972" s="7"/>
      <c r="BT2972" s="7"/>
    </row>
    <row r="2973" spans="58:72" x14ac:dyDescent="0.55000000000000004">
      <c r="BF2973" s="7"/>
      <c r="BM2973" s="7"/>
      <c r="BT2973" s="7"/>
    </row>
    <row r="2974" spans="58:72" x14ac:dyDescent="0.55000000000000004">
      <c r="BF2974" s="7"/>
      <c r="BM2974" s="7"/>
      <c r="BT2974" s="7"/>
    </row>
    <row r="2975" spans="58:72" x14ac:dyDescent="0.55000000000000004">
      <c r="BF2975" s="7"/>
      <c r="BM2975" s="7"/>
      <c r="BT2975" s="7"/>
    </row>
    <row r="2976" spans="58:72" x14ac:dyDescent="0.55000000000000004">
      <c r="BF2976" s="7"/>
      <c r="BM2976" s="7"/>
      <c r="BT2976" s="7"/>
    </row>
    <row r="2977" spans="58:72" x14ac:dyDescent="0.55000000000000004">
      <c r="BF2977" s="7"/>
      <c r="BM2977" s="7"/>
      <c r="BT2977" s="7"/>
    </row>
    <row r="2978" spans="58:72" x14ac:dyDescent="0.55000000000000004">
      <c r="BF2978" s="7"/>
      <c r="BM2978" s="7"/>
      <c r="BT2978" s="7"/>
    </row>
    <row r="2979" spans="58:72" x14ac:dyDescent="0.55000000000000004">
      <c r="BF2979" s="7"/>
      <c r="BM2979" s="7"/>
      <c r="BT2979" s="7"/>
    </row>
    <row r="2980" spans="58:72" x14ac:dyDescent="0.55000000000000004">
      <c r="BF2980" s="7"/>
      <c r="BM2980" s="7"/>
      <c r="BT2980" s="7"/>
    </row>
    <row r="2981" spans="58:72" x14ac:dyDescent="0.55000000000000004">
      <c r="BF2981" s="7"/>
      <c r="BM2981" s="7"/>
      <c r="BT2981" s="7"/>
    </row>
    <row r="2982" spans="58:72" x14ac:dyDescent="0.55000000000000004">
      <c r="BF2982" s="7"/>
      <c r="BM2982" s="7"/>
      <c r="BT2982" s="7"/>
    </row>
    <row r="2983" spans="58:72" x14ac:dyDescent="0.55000000000000004">
      <c r="BF2983" s="7"/>
      <c r="BM2983" s="7"/>
      <c r="BT2983" s="7"/>
    </row>
    <row r="2984" spans="58:72" x14ac:dyDescent="0.55000000000000004">
      <c r="BF2984" s="7"/>
      <c r="BM2984" s="7"/>
      <c r="BT2984" s="7"/>
    </row>
    <row r="2985" spans="58:72" x14ac:dyDescent="0.55000000000000004">
      <c r="BF2985" s="7"/>
      <c r="BM2985" s="7"/>
      <c r="BT2985" s="7"/>
    </row>
    <row r="2986" spans="58:72" x14ac:dyDescent="0.55000000000000004">
      <c r="BF2986" s="7"/>
      <c r="BM2986" s="7"/>
      <c r="BT2986" s="7"/>
    </row>
    <row r="2987" spans="58:72" x14ac:dyDescent="0.55000000000000004">
      <c r="BF2987" s="7"/>
      <c r="BM2987" s="7"/>
      <c r="BT2987" s="7"/>
    </row>
    <row r="2988" spans="58:72" x14ac:dyDescent="0.55000000000000004">
      <c r="BF2988" s="7"/>
      <c r="BM2988" s="7"/>
      <c r="BT2988" s="7"/>
    </row>
    <row r="2989" spans="58:72" x14ac:dyDescent="0.55000000000000004">
      <c r="BF2989" s="7"/>
      <c r="BM2989" s="7"/>
      <c r="BT2989" s="7"/>
    </row>
    <row r="2990" spans="58:72" x14ac:dyDescent="0.55000000000000004">
      <c r="BF2990" s="7"/>
      <c r="BM2990" s="7"/>
      <c r="BT2990" s="7"/>
    </row>
    <row r="2991" spans="58:72" x14ac:dyDescent="0.55000000000000004">
      <c r="BF2991" s="7"/>
      <c r="BM2991" s="7"/>
      <c r="BT2991" s="7"/>
    </row>
    <row r="2992" spans="58:72" x14ac:dyDescent="0.55000000000000004">
      <c r="BF2992" s="7"/>
      <c r="BM2992" s="7"/>
      <c r="BT2992" s="7"/>
    </row>
    <row r="2993" spans="58:72" x14ac:dyDescent="0.55000000000000004">
      <c r="BF2993" s="7"/>
      <c r="BM2993" s="7"/>
      <c r="BT2993" s="7"/>
    </row>
    <row r="2994" spans="58:72" x14ac:dyDescent="0.55000000000000004">
      <c r="BF2994" s="7"/>
      <c r="BM2994" s="7"/>
      <c r="BT2994" s="7"/>
    </row>
    <row r="2995" spans="58:72" x14ac:dyDescent="0.55000000000000004">
      <c r="BF2995" s="7"/>
      <c r="BM2995" s="7"/>
      <c r="BT2995" s="7"/>
    </row>
    <row r="2996" spans="58:72" x14ac:dyDescent="0.55000000000000004">
      <c r="BF2996" s="7"/>
      <c r="BM2996" s="7"/>
      <c r="BT2996" s="7"/>
    </row>
    <row r="2997" spans="58:72" x14ac:dyDescent="0.55000000000000004">
      <c r="BF2997" s="7"/>
      <c r="BM2997" s="7"/>
      <c r="BT2997" s="7"/>
    </row>
    <row r="2998" spans="58:72" x14ac:dyDescent="0.55000000000000004">
      <c r="BF2998" s="7"/>
      <c r="BM2998" s="7"/>
      <c r="BT2998" s="7"/>
    </row>
    <row r="2999" spans="58:72" x14ac:dyDescent="0.55000000000000004">
      <c r="BF2999" s="7"/>
      <c r="BM2999" s="7"/>
      <c r="BT2999" s="7"/>
    </row>
    <row r="3000" spans="58:72" x14ac:dyDescent="0.55000000000000004">
      <c r="BF3000" s="7"/>
      <c r="BM3000" s="7"/>
      <c r="BT3000" s="7"/>
    </row>
  </sheetData>
  <phoneticPr fontId="12"/>
  <conditionalFormatting sqref="B36:I43">
    <cfRule type="colorScale" priority="1">
      <colorScale>
        <cfvo type="formula" val="IF($B$32=&quot;Pctl&quot;,0,IF($B$32=&quot;Residual&quot;,-5,-2))"/>
        <cfvo type="formula" val="IF($B$32=&quot;Pctl&quot;,0.5,0)"/>
        <cfvo type="formula" val="IF($B$32=&quot;Pctl&quot;,1,IF($B$32=&quot;Residual&quot;,5,2))"/>
        <color rgb="FF5B9BD5"/>
        <color rgb="FFFFFFFF"/>
        <color rgb="FFF8696B"/>
      </colorScale>
    </cfRule>
  </conditionalFormatting>
  <dataValidations count="3">
    <dataValidation type="list" allowBlank="1" showInputMessage="1" showErrorMessage="1" sqref="B1" xr:uid="{5C5E23C5-322A-45EB-A8E2-2A2F375D2CBB}">
      <formula1>"Live,Fixed"</formula1>
    </dataValidation>
    <dataValidation type="list" allowBlank="1" showInputMessage="1" showErrorMessage="1" sqref="B32" xr:uid="{02CB043B-F5E5-4BC4-8587-124FCAEAA583}">
      <formula1>"Z,Residual,Pctl"</formula1>
    </dataValidation>
    <dataValidation type="list" allowBlank="1" showInputMessage="1" showErrorMessage="1" sqref="B33" xr:uid="{FFCED555-7012-4398-A4A8-1D10E2898788}">
      <formula1>"Live,DB"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zoomScale="66" workbookViewId="0">
      <selection activeCell="J5" sqref="J5"/>
    </sheetView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5F55-1C47-4FBD-A466-5C07F736E95B}">
  <sheetPr codeName="Sheet5"/>
  <dimension ref="A1:GU800"/>
  <sheetViews>
    <sheetView zoomScale="56" workbookViewId="0">
      <selection activeCell="K8" sqref="K8"/>
    </sheetView>
  </sheetViews>
  <sheetFormatPr defaultRowHeight="18.5" outlineLevelCol="1" x14ac:dyDescent="0.55000000000000004"/>
  <cols>
    <col min="1" max="1" width="18.58203125" customWidth="1"/>
    <col min="2" max="10" width="11.58203125" customWidth="1"/>
    <col min="11" max="11" width="13.58203125" customWidth="1"/>
    <col min="12" max="15" width="11.58203125" customWidth="1"/>
    <col min="27" max="199" width="8.6640625" hidden="1" customWidth="1" outlineLevel="1"/>
    <col min="200" max="202" width="0" hidden="1" customWidth="1" outlineLevel="1"/>
    <col min="203" max="203" width="8.6640625" collapsed="1"/>
  </cols>
  <sheetData>
    <row r="1" spans="1:202" x14ac:dyDescent="0.55000000000000004">
      <c r="A1" s="4" t="s">
        <v>58</v>
      </c>
      <c r="B1" s="2" t="s">
        <v>53</v>
      </c>
      <c r="C1" t="s">
        <v>59</v>
      </c>
      <c r="D1" cm="1">
        <f t="array" aca="1" ref="D1" ca="1">LiveInfo("swap",_xlfn.ANCHORARRAY($AA$3))</f>
      </c>
      <c r="E1" t="s">
        <v>255</v>
      </c>
    </row>
    <row r="2" spans="1:202" ht="20" x14ac:dyDescent="0.55000000000000004">
      <c r="A2" s="20" t="s">
        <v>256</v>
      </c>
      <c r="AA2" s="4" t="s">
        <v>116</v>
      </c>
      <c r="AB2" s="4"/>
      <c r="AC2" s="4"/>
      <c r="AD2" s="4"/>
      <c r="AE2" s="4"/>
      <c r="AF2" s="4" t="s">
        <v>117</v>
      </c>
      <c r="AG2" s="4"/>
      <c r="AH2" s="4"/>
      <c r="AI2" s="4"/>
      <c r="AJ2" s="4"/>
      <c r="AK2" s="4"/>
      <c r="AL2" s="4" t="s">
        <v>118</v>
      </c>
      <c r="AM2" s="4"/>
      <c r="AN2" s="4"/>
      <c r="AO2" s="4" t="s">
        <v>268</v>
      </c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 t="s">
        <v>269</v>
      </c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 t="s">
        <v>270</v>
      </c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 t="s">
        <v>319</v>
      </c>
      <c r="GD2" s="4"/>
      <c r="GE2" s="4"/>
      <c r="GF2" s="4"/>
      <c r="GG2" s="4"/>
      <c r="GH2" s="4" t="s">
        <v>322</v>
      </c>
      <c r="GI2" s="4"/>
      <c r="GJ2" s="4"/>
      <c r="GK2" s="4"/>
      <c r="GL2" s="4"/>
      <c r="GM2" s="4" t="s">
        <v>323</v>
      </c>
      <c r="GN2" s="4"/>
      <c r="GO2" s="4"/>
      <c r="GP2" s="4"/>
      <c r="GQ2" s="4"/>
      <c r="GS2" s="4" t="s">
        <v>325</v>
      </c>
      <c r="GT2" s="4"/>
    </row>
    <row r="3" spans="1:202" x14ac:dyDescent="0.55000000000000004">
      <c r="A3" s="4" t="s">
        <v>257</v>
      </c>
      <c r="AA3" s="4" cm="1">
        <f t="array" aca="1" ref="AA3:AD46" ca="1">IF($B$1="Fixed",LiveSnapshot("swap"),LiveQuotes("swap"))</f>
      </c>
      <c r="AB3" s="4">
        <f ca="1"/>
      </c>
      <c r="AC3" s="4">
        <f ca="1"/>
      </c>
      <c r="AD3" s="4">
        <f ca="1"/>
      </c>
      <c r="AE3" s="4"/>
      <c r="AF3" s="4" cm="1">
        <f t="array" aca="1" ref="AF3:AJ46" ca="1">_xlfn.LET(_xlpm.q,_xlfn.ANCHORARRAY($AA$3),_xlpm.t,$AL$4:$AL$47,_xlfn.HSTACK($AM$4:$AM$47,_xlpm.t,INDEX(_xlpm.q,_xlfn.XMATCH(_xlpm.t,INDEX(_xlpm.q,,1)),{2,3,4})))</f>
      </c>
      <c r="AG3" s="4">
        <f ca="1"/>
      </c>
      <c r="AH3" s="4">
        <f ca="1"/>
      </c>
      <c r="AI3" s="4">
        <f ca="1"/>
      </c>
      <c r="AJ3" s="4">
        <f ca="1"/>
      </c>
      <c r="AK3" s="4"/>
      <c r="AL3" s="4" t="s">
        <v>119</v>
      </c>
      <c r="AM3" s="4" t="s">
        <v>120</v>
      </c>
      <c r="AN3" s="4"/>
      <c r="AO3" s="4" cm="1">
        <f t="array" aca="1" ref="AO3:CI486" ca="1">FwdHistory($A$12:$A$35,"CMT",FWM_Base)</f>
      </c>
      <c r="AP3" s="4">
        <f ca="1"/>
      </c>
      <c r="AQ3" s="4">
        <f ca="1"/>
      </c>
      <c r="AR3" s="4">
        <f ca="1"/>
      </c>
      <c r="AS3" s="4">
        <f ca="1"/>
      </c>
      <c r="AT3" s="4">
        <f ca="1"/>
      </c>
      <c r="AU3" s="4">
        <f ca="1"/>
      </c>
      <c r="AV3" s="4">
        <f ca="1"/>
      </c>
      <c r="AW3" s="4">
        <f ca="1"/>
      </c>
      <c r="AX3" s="4">
        <f ca="1"/>
      </c>
      <c r="AY3" s="4">
        <f ca="1"/>
      </c>
      <c r="AZ3" s="4">
        <f ca="1"/>
      </c>
      <c r="BA3" s="4">
        <f ca="1"/>
      </c>
      <c r="BB3" s="4">
        <f ca="1"/>
      </c>
      <c r="BC3" s="4">
        <f ca="1"/>
      </c>
      <c r="BD3" s="4">
        <f ca="1"/>
      </c>
      <c r="BE3" s="4">
        <f ca="1"/>
      </c>
      <c r="BF3" s="4">
        <f ca="1"/>
      </c>
      <c r="BG3" s="4">
        <f ca="1"/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>
        <f ca="1"/>
      </c>
      <c r="BO3" s="4">
        <f ca="1"/>
      </c>
      <c r="BP3" s="4">
        <f ca="1"/>
      </c>
      <c r="BQ3" s="4">
        <f ca="1"/>
      </c>
      <c r="BR3" s="4">
        <f ca="1"/>
      </c>
      <c r="BS3" s="4">
        <f ca="1"/>
      </c>
      <c r="BT3" s="4">
        <f ca="1"/>
      </c>
      <c r="BU3" s="4">
        <f ca="1"/>
      </c>
      <c r="BV3" s="4">
        <f ca="1"/>
      </c>
      <c r="BW3" s="4">
        <f ca="1"/>
      </c>
      <c r="BX3" s="4">
        <f ca="1"/>
      </c>
      <c r="BY3" s="4">
        <f ca="1"/>
      </c>
      <c r="BZ3" s="4">
        <f ca="1"/>
      </c>
      <c r="CA3" s="4">
        <f ca="1"/>
      </c>
      <c r="CB3" s="4">
        <f ca="1"/>
      </c>
      <c r="CC3" s="4">
        <f ca="1"/>
      </c>
      <c r="CD3" s="4">
        <f ca="1"/>
      </c>
      <c r="CE3" s="4">
        <f ca="1"/>
      </c>
      <c r="CF3" s="4">
        <f ca="1"/>
      </c>
      <c r="CG3" s="4">
        <f ca="1"/>
      </c>
      <c r="CH3" s="4">
        <f ca="1"/>
      </c>
      <c r="CI3" s="4">
        <f ca="1"/>
      </c>
      <c r="CJ3" s="4"/>
      <c r="CK3" s="4" cm="1">
        <f t="array" aca="1" ref="CK3:EE486" ca="1">FwdHistory($A$12:$A$35,"FIXED",FWM_Base)</f>
      </c>
      <c r="CL3" s="4">
        <f ca="1"/>
      </c>
      <c r="CM3" s="4">
        <f ca="1"/>
      </c>
      <c r="CN3" s="4">
        <f ca="1"/>
      </c>
      <c r="CO3" s="4">
        <f ca="1"/>
      </c>
      <c r="CP3" s="4">
        <f ca="1"/>
      </c>
      <c r="CQ3" s="4">
        <f ca="1"/>
      </c>
      <c r="CR3" s="4">
        <f ca="1"/>
      </c>
      <c r="CS3" s="4">
        <f ca="1"/>
      </c>
      <c r="CT3" s="4">
        <f ca="1"/>
      </c>
      <c r="CU3" s="4">
        <f ca="1"/>
      </c>
      <c r="CV3" s="4">
        <f ca="1"/>
      </c>
      <c r="CW3" s="4">
        <f ca="1"/>
      </c>
      <c r="CX3" s="4">
        <f ca="1"/>
      </c>
      <c r="CY3" s="4">
        <f ca="1"/>
      </c>
      <c r="CZ3" s="4">
        <f ca="1"/>
      </c>
      <c r="DA3" s="4">
        <f ca="1"/>
      </c>
      <c r="DB3" s="4">
        <f ca="1"/>
      </c>
      <c r="DC3" s="4">
        <f ca="1"/>
      </c>
      <c r="DD3" s="4">
        <f ca="1"/>
      </c>
      <c r="DE3" s="4">
        <f ca="1"/>
      </c>
      <c r="DF3" s="4">
        <f ca="1"/>
      </c>
      <c r="DG3" s="4">
        <f ca="1"/>
      </c>
      <c r="DH3" s="4">
        <f ca="1"/>
      </c>
      <c r="DI3" s="4">
        <f ca="1"/>
      </c>
      <c r="DJ3" s="4">
        <f ca="1"/>
      </c>
      <c r="DK3" s="4">
        <f ca="1"/>
      </c>
      <c r="DL3" s="4">
        <f ca="1"/>
      </c>
      <c r="DM3" s="4">
        <f ca="1"/>
      </c>
      <c r="DN3" s="4">
        <f ca="1"/>
      </c>
      <c r="DO3" s="4">
        <f ca="1"/>
      </c>
      <c r="DP3" s="4">
        <f ca="1"/>
      </c>
      <c r="DQ3" s="4">
        <f ca="1"/>
      </c>
      <c r="DR3" s="4">
        <f ca="1"/>
      </c>
      <c r="DS3" s="4">
        <f ca="1"/>
      </c>
      <c r="DT3" s="4">
        <f ca="1"/>
      </c>
      <c r="DU3" s="4">
        <f ca="1"/>
      </c>
      <c r="DV3" s="4">
        <f ca="1"/>
      </c>
      <c r="DW3" s="4">
        <f ca="1"/>
      </c>
      <c r="DX3" s="4">
        <f ca="1"/>
      </c>
      <c r="DY3" s="4">
        <f ca="1"/>
      </c>
      <c r="DZ3" s="4">
        <f ca="1"/>
      </c>
      <c r="EA3" s="4">
        <f ca="1"/>
      </c>
      <c r="EB3" s="4">
        <f ca="1"/>
      </c>
      <c r="EC3" s="4">
        <f ca="1"/>
      </c>
      <c r="ED3" s="4">
        <f ca="1"/>
      </c>
      <c r="EE3" s="4">
        <f ca="1"/>
      </c>
      <c r="EF3" s="4"/>
      <c r="EG3" s="4" cm="1">
        <f t="array" aca="1" ref="EG3:GA486" ca="1">FwdHistory($A$12:$A$35,"ROLLING",FWM_Base)</f>
      </c>
      <c r="EH3" s="4">
        <f ca="1"/>
      </c>
      <c r="EI3" s="4">
        <f ca="1"/>
      </c>
      <c r="EJ3" s="4">
        <f ca="1"/>
      </c>
      <c r="EK3" s="4">
        <f ca="1"/>
      </c>
      <c r="EL3" s="4">
        <f ca="1"/>
      </c>
      <c r="EM3" s="4">
        <f ca="1"/>
      </c>
      <c r="EN3" s="4">
        <f ca="1"/>
      </c>
      <c r="EO3" s="4">
        <f ca="1"/>
      </c>
      <c r="EP3" s="4">
        <f ca="1"/>
      </c>
      <c r="EQ3" s="4">
        <f ca="1"/>
      </c>
      <c r="ER3" s="4">
        <f ca="1"/>
      </c>
      <c r="ES3" s="4">
        <f ca="1"/>
      </c>
      <c r="ET3" s="4">
        <f ca="1"/>
      </c>
      <c r="EU3" s="4">
        <f ca="1"/>
      </c>
      <c r="EV3" s="4">
        <f ca="1"/>
      </c>
      <c r="EW3" s="4">
        <f ca="1"/>
      </c>
      <c r="EX3" s="4">
        <f ca="1"/>
      </c>
      <c r="EY3" s="4">
        <f ca="1"/>
      </c>
      <c r="EZ3" s="4">
        <f ca="1"/>
      </c>
      <c r="FA3" s="4">
        <f ca="1"/>
      </c>
      <c r="FB3" s="4">
        <f ca="1"/>
      </c>
      <c r="FC3" s="4">
        <f ca="1"/>
      </c>
      <c r="FD3" s="4">
        <f ca="1"/>
      </c>
      <c r="FE3" s="4">
        <f ca="1"/>
      </c>
      <c r="FF3" s="4">
        <f ca="1"/>
      </c>
      <c r="FG3" s="4">
        <f ca="1"/>
      </c>
      <c r="FH3" s="4">
        <f ca="1"/>
      </c>
      <c r="FI3" s="4">
        <f ca="1"/>
      </c>
      <c r="FJ3" s="4">
        <f ca="1"/>
      </c>
      <c r="FK3" s="4">
        <f ca="1"/>
      </c>
      <c r="FL3" s="4">
        <f ca="1"/>
      </c>
      <c r="FM3" s="4">
        <f ca="1"/>
      </c>
      <c r="FN3" s="4">
        <f ca="1"/>
      </c>
      <c r="FO3" s="4">
        <f ca="1"/>
      </c>
      <c r="FP3" s="4">
        <f ca="1"/>
      </c>
      <c r="FQ3" s="4">
        <f ca="1"/>
      </c>
      <c r="FR3" s="4">
        <f ca="1"/>
      </c>
      <c r="FS3" s="4">
        <f ca="1"/>
      </c>
      <c r="FT3" s="4">
        <f ca="1"/>
      </c>
      <c r="FU3" s="4">
        <f ca="1"/>
      </c>
      <c r="FV3" s="4">
        <f ca="1"/>
      </c>
      <c r="FW3" s="4">
        <f ca="1"/>
      </c>
      <c r="FX3" s="4">
        <f ca="1"/>
      </c>
      <c r="FY3" s="4">
        <f ca="1"/>
      </c>
      <c r="FZ3" s="4">
        <f ca="1"/>
      </c>
      <c r="GA3" s="4">
        <f ca="1"/>
      </c>
      <c r="GB3" s="4"/>
      <c r="GC3" s="4" t="s">
        <v>320</v>
      </c>
      <c r="GD3" s="4" t="s">
        <v>53</v>
      </c>
      <c r="GE3" s="4">
        <f>"Compare "&amp;TEXT(FWM_Cmp,"yyyy-mm-dd")</f>
      </c>
      <c r="GF3" s="4" t="s">
        <v>321</v>
      </c>
      <c r="GG3" s="4"/>
      <c r="GH3" s="4" t="s">
        <v>320</v>
      </c>
      <c r="GI3" s="4" t="s">
        <v>53</v>
      </c>
      <c r="GJ3" s="4">
        <f>GE3</f>
      </c>
      <c r="GK3" s="4" t="s">
        <v>321</v>
      </c>
      <c r="GL3" s="4"/>
      <c r="GM3" s="4" t="s">
        <v>75</v>
      </c>
      <c r="GN3" s="4" cm="1">
        <f t="array" aca="1" ref="GN3" ca="1">_xlfn.LET(_xlpm.r,IFERROR(SMALL(IF((FWM_TShow="Yes")*(FWM_TL1&lt;&gt;""),_xlfn.SEQUENCE(10)),1),0),IF(_xlpm.r=0,"",INDEX(FWM_TName,_xlpm.r)&amp;" ("&amp;INDEX(FWM_TMode,_xlpm.r)&amp;")"))</f>
      </c>
      <c r="GO3" s="4" cm="1">
        <f t="array" aca="1" ref="GO3" ca="1">_xlfn.LET(_xlpm.r,IFERROR(SMALL(IF((FWM_TShow="Yes")*(FWM_TL1&lt;&gt;""),_xlfn.SEQUENCE(10)),2),0),IF(_xlpm.r=0,"",INDEX(FWM_TName,_xlpm.r)&amp;" ("&amp;INDEX(FWM_TMode,_xlpm.r)&amp;")"))</f>
      </c>
      <c r="GP3" s="4" cm="1">
        <f t="array" aca="1" ref="GP3" ca="1">_xlfn.LET(_xlpm.r,IFERROR(SMALL(IF((FWM_TShow="Yes")*(FWM_TL1&lt;&gt;""),_xlfn.SEQUENCE(10)),3),0),IF(_xlpm.r=0,"",INDEX(FWM_TName,_xlpm.r)&amp;" ("&amp;INDEX(FWM_TMode,_xlpm.r)&amp;")"))</f>
      </c>
      <c r="GQ3" s="4" cm="1">
        <f t="array" aca="1" ref="GQ3" ca="1">_xlfn.LET(_xlpm.r,IFERROR(SMALL(IF((FWM_TShow="Yes")*(FWM_TL1&lt;&gt;""),_xlfn.SEQUENCE(10)),4),0),IF(_xlpm.r=0,"",INDEX(FWM_TName,_xlpm.r)&amp;" ("&amp;INDEX(FWM_TMode,_xlpm.r)&amp;")"))</f>
      </c>
      <c r="GS3" s="4" t="s">
        <v>272</v>
      </c>
      <c r="GT3" s="4" t="s">
        <v>273</v>
      </c>
    </row>
    <row r="4" spans="1:202" x14ac:dyDescent="0.55000000000000004">
      <c r="A4" s="4" t="s">
        <v>258</v>
      </c>
      <c r="B4" s="3"/>
      <c r="C4" t="s">
        <v>259</v>
      </c>
      <c r="AA4">
        <f ca="1"/>
      </c>
      <c r="AB4">
        <f ca="1"/>
      </c>
      <c r="AC4">
        <f ca="1"/>
      </c>
      <c r="AD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L4" t="s">
        <v>0</v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AZ4">
        <f ca="1"/>
      </c>
      <c r="BA4">
        <f ca="1"/>
      </c>
      <c r="BB4">
        <f ca="1"/>
      </c>
      <c r="BC4">
        <f ca="1"/>
      </c>
      <c r="BD4">
        <f ca="1"/>
      </c>
      <c r="BE4">
        <f ca="1"/>
      </c>
      <c r="BF4">
        <f ca="1"/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N4">
        <f ca="1"/>
      </c>
      <c r="BO4">
        <f ca="1"/>
      </c>
      <c r="BP4">
        <f ca="1"/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C4">
        <f>VALUE(_xlfn.TEXTBEFORE($A$12,"y"))</f>
      </c>
      <c r="GD4">
        <f ca="1">$B$12</f>
      </c>
      <c r="GE4">
        <f ca="1">IFERROR($B$12-$G$12/100,NA())</f>
      </c>
      <c r="GF4">
        <f ca="1">$G$12</f>
      </c>
      <c r="GH4">
        <f>VALUE(_xlfn.TEXTBEFORE($A$29,"y"))</f>
      </c>
      <c r="GI4">
        <f ca="1">$B$29</f>
      </c>
      <c r="GJ4">
        <f ca="1">IFERROR($B$29-$G$29/100,NA())</f>
      </c>
      <c r="GK4">
        <f ca="1">$G$29</f>
      </c>
      <c r="GM4" s="7" cm="1">
        <f t="array" aca="1" ref="GM4:GM244" ca="1">_xlfn._xlws.FILTER(FWM_Dates,FWM_Dates&gt;=N(FWM_From))</f>
      </c>
      <c r="GN4" cm="1">
        <f t="array" aca="1" ref="GN4:GN244" ca="1">_xlfn.LET(_xlpm.r,IFERROR(SMALL(IF((FWM_TShow="Yes")*(FWM_TL1&lt;&gt;""),_xlfn.SEQUENCE(10)),1)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O4" cm="1">
        <f t="array" aca="1" ref="GO4:GO244" ca="1">_xlfn.LET(_xlpm.r,IFERROR(SMALL(IF((FWM_TShow="Yes")*(FWM_TL1&lt;&gt;""),_xlfn.SEQUENCE(10)),2)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P4" cm="1">
        <f t="array" aca="1" ref="GP4:GP244" ca="1">_xlfn.LET(_xlpm.r,IFERROR(SMALL(IF((FWM_TShow="Yes")*(FWM_TL1&lt;&gt;""),_xlfn.SEQUENCE(10)),3)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Q4" cm="1">
        <f t="array" aca="1" ref="GQ4:GQ244" ca="1">_xlfn.LET(_xlpm.r,IFERROR(SMALL(IF((FWM_TShow="Yes")*(FWM_TL1&lt;&gt;""),_xlfn.SEQUENCE(10)),4)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S4" cm="1">
        <f t="array" ref="GS4:GS26">_xlfn._xlws.FILTER($A$12:$A$35,$A$12:$A$35&lt;&gt;"")</f>
      </c>
      <c r="GT4" cm="1">
        <f t="array" aca="1" ref="GT4:GT26" ca="1">FwdLive(_xlfn.ANCHORARRAY($GS$4),_xlfn.TAKE(_xlfn.ANCHORARRAY($AF$3),,3))</f>
      </c>
    </row>
    <row r="5" spans="1:202" x14ac:dyDescent="0.55000000000000004">
      <c r="A5" s="4" t="s">
        <v>260</v>
      </c>
      <c r="B5" s="3">
        <v>46290</v>
      </c>
      <c r="C5" t="s">
        <v>261</v>
      </c>
      <c r="AA5">
        <f ca="1"/>
      </c>
      <c r="AB5">
        <f ca="1"/>
      </c>
      <c r="AC5">
        <f ca="1"/>
      </c>
      <c r="AD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L5" t="s">
        <v>1</v>
      </c>
      <c r="AM5">
        <v>1</v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AZ5">
        <f ca="1"/>
      </c>
      <c r="BA5">
        <f ca="1"/>
      </c>
      <c r="BB5">
        <f ca="1"/>
      </c>
      <c r="BC5">
        <f ca="1"/>
      </c>
      <c r="BD5">
        <f ca="1"/>
      </c>
      <c r="BE5">
        <f ca="1"/>
      </c>
      <c r="BF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N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C5">
        <f>VALUE(_xlfn.TEXTBEFORE($A$13,"y"))</f>
      </c>
      <c r="GD5">
        <f ca="1">$B$13</f>
      </c>
      <c r="GE5">
        <f ca="1">IFERROR($B$13-$G$13/100,NA())</f>
      </c>
      <c r="GF5">
        <f ca="1">$G$13</f>
      </c>
      <c r="GH5">
        <f>VALUE(_xlfn.TEXTBEFORE($A$30,"y"))</f>
      </c>
      <c r="GI5">
        <f ca="1">$B$30</f>
      </c>
      <c r="GJ5">
        <f ca="1">IFERROR($B$30-$G$30/100,NA())</f>
      </c>
      <c r="GK5">
        <f ca="1">$G$30</f>
      </c>
      <c r="GM5" s="7">
        <f ca="1"/>
      </c>
      <c r="GN5">
        <f ca="1"/>
      </c>
      <c r="GO5">
        <f ca="1"/>
      </c>
      <c r="GP5">
        <f ca="1"/>
      </c>
      <c r="GQ5">
        <f ca="1"/>
      </c>
      <c r="GT5">
        <f ca="1"/>
      </c>
    </row>
    <row r="6" spans="1:202" x14ac:dyDescent="0.55000000000000004">
      <c r="A6" s="4" t="s">
        <v>262</v>
      </c>
      <c r="B6" s="2">
        <v>63</v>
      </c>
      <c r="C6" t="s">
        <v>263</v>
      </c>
      <c r="AA6">
        <f ca="1"/>
      </c>
      <c r="AB6">
        <f ca="1"/>
      </c>
      <c r="AC6">
        <f ca="1"/>
      </c>
      <c r="AD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L6" t="s">
        <v>2</v>
      </c>
      <c r="AM6">
        <v>1</v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AZ6">
        <f ca="1"/>
      </c>
      <c r="BA6">
        <f ca="1"/>
      </c>
      <c r="BB6">
        <f ca="1"/>
      </c>
      <c r="BC6">
        <f ca="1"/>
      </c>
      <c r="BD6">
        <f ca="1"/>
      </c>
      <c r="BE6">
        <f ca="1"/>
      </c>
      <c r="BF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N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C6">
        <f>VALUE(_xlfn.TEXTBEFORE($A$14,"y"))</f>
      </c>
      <c r="GD6">
        <f ca="1">$B$14</f>
      </c>
      <c r="GE6">
        <f ca="1">IFERROR($B$14-$G$14/100,NA())</f>
      </c>
      <c r="GF6">
        <f ca="1">$G$14</f>
      </c>
      <c r="GH6">
        <f>VALUE(_xlfn.TEXTBEFORE($A$31,"y"))</f>
      </c>
      <c r="GI6">
        <f ca="1">$B$31</f>
      </c>
      <c r="GJ6">
        <f ca="1">IFERROR($B$31-$G$31/100,NA())</f>
      </c>
      <c r="GK6">
        <f ca="1">$G$31</f>
      </c>
      <c r="GM6" s="7">
        <f ca="1"/>
      </c>
      <c r="GN6">
        <f ca="1"/>
      </c>
      <c r="GO6">
        <f ca="1"/>
      </c>
      <c r="GP6">
        <f ca="1"/>
      </c>
      <c r="GQ6">
        <f ca="1"/>
      </c>
      <c r="GT6">
        <f ca="1"/>
      </c>
    </row>
    <row r="7" spans="1:202" x14ac:dyDescent="0.55000000000000004">
      <c r="A7" s="4" t="s">
        <v>264</v>
      </c>
      <c r="B7" s="3">
        <v>45955</v>
      </c>
      <c r="C7" t="s">
        <v>265</v>
      </c>
      <c r="AA7">
        <f ca="1"/>
      </c>
      <c r="AB7">
        <f ca="1"/>
      </c>
      <c r="AC7">
        <f ca="1"/>
      </c>
      <c r="AD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L7" t="s">
        <v>3</v>
      </c>
      <c r="AM7">
        <v>1</v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AZ7">
        <f ca="1"/>
      </c>
      <c r="BA7">
        <f ca="1"/>
      </c>
      <c r="BB7">
        <f ca="1"/>
      </c>
      <c r="BC7">
        <f ca="1"/>
      </c>
      <c r="BD7">
        <f ca="1"/>
      </c>
      <c r="BE7">
        <f ca="1"/>
      </c>
      <c r="BF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N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C7">
        <f>VALUE(_xlfn.TEXTBEFORE($A$15,"y"))</f>
      </c>
      <c r="GD7">
        <f ca="1">$B$15</f>
      </c>
      <c r="GE7">
        <f ca="1">IFERROR($B$15-$G$15/100,NA())</f>
      </c>
      <c r="GF7">
        <f ca="1">$G$15</f>
      </c>
      <c r="GH7">
        <f>VALUE(_xlfn.TEXTBEFORE($A$32,"y"))</f>
      </c>
      <c r="GI7">
        <f ca="1">$B$32</f>
      </c>
      <c r="GJ7">
        <f ca="1">IFERROR($B$32-$G$32/100,NA())</f>
      </c>
      <c r="GK7">
        <f ca="1">$G$32</f>
      </c>
      <c r="GM7" s="7">
        <f ca="1"/>
      </c>
      <c r="GN7">
        <f ca="1"/>
      </c>
      <c r="GO7">
        <f ca="1"/>
      </c>
      <c r="GP7">
        <f ca="1"/>
      </c>
      <c r="GQ7">
        <f ca="1"/>
      </c>
      <c r="GT7">
        <f ca="1"/>
      </c>
    </row>
    <row r="8" spans="1:202" x14ac:dyDescent="0.55000000000000004">
      <c r="A8" s="4" t="s">
        <v>266</v>
      </c>
      <c r="B8" s="2" t="s">
        <v>151</v>
      </c>
      <c r="C8" t="s">
        <v>267</v>
      </c>
      <c r="AA8">
        <f ca="1"/>
      </c>
      <c r="AB8">
        <f ca="1"/>
      </c>
      <c r="AC8">
        <f ca="1"/>
      </c>
      <c r="AD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L8" t="s">
        <v>4</v>
      </c>
      <c r="AM8">
        <v>1</v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AZ8">
        <f ca="1"/>
      </c>
      <c r="BA8">
        <f ca="1"/>
      </c>
      <c r="BB8">
        <f ca="1"/>
      </c>
      <c r="BC8">
        <f ca="1"/>
      </c>
      <c r="BD8">
        <f ca="1"/>
      </c>
      <c r="BE8">
        <f ca="1"/>
      </c>
      <c r="BF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N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C8">
        <f>VALUE(_xlfn.TEXTBEFORE($A$16,"y"))</f>
      </c>
      <c r="GD8">
        <f ca="1">$B$16</f>
      </c>
      <c r="GE8">
        <f ca="1">IFERROR($B$16-$G$16/100,NA())</f>
      </c>
      <c r="GF8">
        <f ca="1">$G$16</f>
      </c>
      <c r="GH8">
        <f>VALUE(_xlfn.TEXTBEFORE($A$33,"y"))</f>
      </c>
      <c r="GI8">
        <f ca="1">$B$33</f>
      </c>
      <c r="GJ8">
        <f ca="1">IFERROR($B$33-$G$33/100,NA())</f>
      </c>
      <c r="GK8">
        <f ca="1">$G$33</f>
      </c>
      <c r="GM8" s="7">
        <f ca="1"/>
      </c>
      <c r="GN8">
        <f ca="1"/>
      </c>
      <c r="GO8">
        <f ca="1"/>
      </c>
      <c r="GP8">
        <f ca="1"/>
      </c>
      <c r="GQ8">
        <f ca="1"/>
      </c>
      <c r="GT8">
        <f ca="1"/>
      </c>
    </row>
    <row r="9" spans="1:202" x14ac:dyDescent="0.55000000000000004">
      <c r="AA9">
        <f ca="1"/>
      </c>
      <c r="AB9">
        <f ca="1"/>
      </c>
      <c r="AC9">
        <f ca="1"/>
      </c>
      <c r="AD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L9" t="s">
        <v>5</v>
      </c>
      <c r="AM9">
        <v>1</v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AZ9">
        <f ca="1"/>
      </c>
      <c r="BA9">
        <f ca="1"/>
      </c>
      <c r="BB9">
        <f ca="1"/>
      </c>
      <c r="BC9">
        <f ca="1"/>
      </c>
      <c r="BD9">
        <f ca="1"/>
      </c>
      <c r="BE9">
        <f ca="1"/>
      </c>
      <c r="BF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N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C9">
        <f>VALUE(_xlfn.TEXTBEFORE($A$17,"y"))</f>
      </c>
      <c r="GD9">
        <f ca="1">$B$17</f>
      </c>
      <c r="GE9">
        <f ca="1">IFERROR($B$17-$G$17/100,NA())</f>
      </c>
      <c r="GF9">
        <f ca="1">$G$17</f>
      </c>
      <c r="GH9">
        <f>VALUE(_xlfn.TEXTBEFORE($A$34,"y"))</f>
      </c>
      <c r="GI9">
        <f ca="1">$B$34</f>
      </c>
      <c r="GJ9">
        <f ca="1">IFERROR($B$34-$G$34/100,NA())</f>
      </c>
      <c r="GK9">
        <f ca="1">$G$34</f>
      </c>
      <c r="GM9" s="7">
        <f ca="1"/>
      </c>
      <c r="GN9">
        <f ca="1"/>
      </c>
      <c r="GO9">
        <f ca="1"/>
      </c>
      <c r="GP9">
        <f ca="1"/>
      </c>
      <c r="GQ9">
        <f ca="1"/>
      </c>
      <c r="GT9">
        <f ca="1"/>
      </c>
    </row>
    <row r="10" spans="1:202" x14ac:dyDescent="0.55000000000000004">
      <c r="A10" s="4" t="s">
        <v>271</v>
      </c>
      <c r="AA10">
        <f ca="1"/>
      </c>
      <c r="AB10">
        <f ca="1"/>
      </c>
      <c r="AC10">
        <f ca="1"/>
      </c>
      <c r="AD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L10" t="s">
        <v>6</v>
      </c>
      <c r="AM10">
        <v>1</v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AZ10">
        <f ca="1"/>
      </c>
      <c r="BA10">
        <f ca="1"/>
      </c>
      <c r="BB10">
        <f ca="1"/>
      </c>
      <c r="BC10">
        <f ca="1"/>
      </c>
      <c r="BD10">
        <f ca="1"/>
      </c>
      <c r="BE10">
        <f ca="1"/>
      </c>
      <c r="BF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N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C10">
        <f>VALUE(_xlfn.TEXTBEFORE($A$18,"y"))</f>
      </c>
      <c r="GD10">
        <f ca="1">$B$18</f>
      </c>
      <c r="GE10">
        <f ca="1">IFERROR($B$18-$G$18/100,NA())</f>
      </c>
      <c r="GF10">
        <f ca="1">$G$18</f>
      </c>
      <c r="GH10">
        <f>VALUE(_xlfn.TEXTBEFORE($A$35,"y"))</f>
      </c>
      <c r="GI10">
        <f ca="1">$B$35</f>
      </c>
      <c r="GJ10">
        <f ca="1">IFERROR($B$35-$G$35/100,NA())</f>
      </c>
      <c r="GK10">
        <f ca="1">$G$35</f>
      </c>
      <c r="GM10" s="7">
        <f ca="1"/>
      </c>
      <c r="GN10">
        <f ca="1"/>
      </c>
      <c r="GO10">
        <f ca="1"/>
      </c>
      <c r="GP10">
        <f ca="1"/>
      </c>
      <c r="GQ10">
        <f ca="1"/>
      </c>
      <c r="GT10">
        <f ca="1"/>
      </c>
    </row>
    <row r="11" spans="1:202" x14ac:dyDescent="0.55000000000000004">
      <c r="A11" s="4" t="s">
        <v>272</v>
      </c>
      <c r="B11" s="4" t="s">
        <v>273</v>
      </c>
      <c r="C11" s="4" t="s">
        <v>274</v>
      </c>
      <c r="D11" s="4" t="s">
        <v>275</v>
      </c>
      <c r="E11" s="4" t="s">
        <v>276</v>
      </c>
      <c r="F11" s="4" t="s">
        <v>277</v>
      </c>
      <c r="G11" s="4" t="s">
        <v>278</v>
      </c>
      <c r="H11" s="4" t="s">
        <v>279</v>
      </c>
      <c r="I11" s="4" t="s">
        <v>280</v>
      </c>
      <c r="J11" s="4" t="s">
        <v>281</v>
      </c>
      <c r="K11" s="4" t="s">
        <v>324</v>
      </c>
      <c r="AA11">
        <f ca="1"/>
      </c>
      <c r="AB11">
        <f ca="1"/>
      </c>
      <c r="AC11">
        <f ca="1"/>
      </c>
      <c r="AD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L11" t="s">
        <v>7</v>
      </c>
      <c r="AM11">
        <v>1</v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AZ11">
        <f ca="1"/>
      </c>
      <c r="BA11">
        <f ca="1"/>
      </c>
      <c r="BB11">
        <f ca="1"/>
      </c>
      <c r="BC11">
        <f ca="1"/>
      </c>
      <c r="BD11">
        <f ca="1"/>
      </c>
      <c r="BE11">
        <f ca="1"/>
      </c>
      <c r="BF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N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C11">
        <f>VALUE(_xlfn.TEXTBEFORE($A$19,"y"))</f>
      </c>
      <c r="GD11">
        <f ca="1">$B$19</f>
      </c>
      <c r="GE11">
        <f ca="1">IFERROR($B$19-$G$19/100,NA())</f>
      </c>
      <c r="GF11">
        <f ca="1">$G$19</f>
      </c>
      <c r="GM11" s="7">
        <f ca="1"/>
      </c>
      <c r="GN11">
        <f ca="1"/>
      </c>
      <c r="GO11">
        <f ca="1"/>
      </c>
      <c r="GP11">
        <f ca="1"/>
      </c>
      <c r="GQ11">
        <f ca="1"/>
      </c>
      <c r="GT11">
        <f ca="1"/>
      </c>
    </row>
    <row r="12" spans="1:202" x14ac:dyDescent="0.55000000000000004">
      <c r="A12" t="s">
        <v>282</v>
      </c>
      <c r="B12" s="13" cm="1">
        <f t="array" aca="1" ref="B12" ca="1">_xlfn.XLOOKUP($A12,_xlfn.ANCHORARRAY($GS$4),_xlfn.ANCHORARRAY($GT$4),"")</f>
      </c>
      <c r="C12" s="13" cm="1">
        <f t="array" aca="1" ref="C12" ca="1">_xlfn.LET(_xlpm.h,FWM_HC,_xlpm.c,_xlfn.XMATCH($A12,_xlfn.TAKE(_xlpm.h,1)),INDEX(_xlpm.h,ROWS(_xlpm.h),_xlpm.c))</f>
      </c>
      <c r="D12" s="44">
        <f t="shared" ref="D12:D35" ca="1" si="0">(B12-C12)*100</f>
      </c>
      <c r="E12" s="44" cm="1">
        <f t="array" aca="1" ref="E12" ca="1">_xlfn.LET(_xlpm.h,FWM_HC,_xlpm.c,_xlfn.XMATCH($A12,_xlfn.TAKE(_xlpm.h,1)),(B12-INDEX(_xlpm.h,ROWS(_xlpm.h)-4,_xlpm.c))*100)</f>
      </c>
      <c r="F12" s="44" cm="1">
        <f t="array" aca="1" ref="F12" ca="1">_xlfn.LET(_xlpm.h,FWM_HC,_xlpm.c,_xlfn.XMATCH($A12,_xlfn.TAKE(_xlpm.h,1)),(B12-INDEX(_xlpm.h,ROWS(_xlpm.h)-20,_xlpm.c))*100)</f>
      </c>
      <c r="G12" s="44" cm="1">
        <f t="array" aca="1" ref="G12" ca="1">_xlfn.LET(_xlpm.h,FWM_HC,_xlpm.c,_xlfn.XMATCH($A12,_xlfn.TAKE(_xlpm.h,1)),(B12-_xlfn.XLOOKUP(FWM_Cmp,_xlfn.DROP(INDEX(_xlpm.h,,1),1),_xlfn.DROP(INDEX(_xlpm.h,,_xlpm.c),1),"",-1))*100)</f>
      </c>
      <c r="H12" s="11" cm="1">
        <f t="array" aca="1" ref="H12" ca="1">_xlfn.LET(_xlpm.h,FWM_HC,FWM_Sigma(_xlfn.DROP(INDEX(_xlpm.h,,_xlfn.XMATCH($A12&amp;" dF",_xlfn.TAKE(_xlpm.h,1))),1)))</f>
      </c>
      <c r="I12" s="45">
        <f t="shared" ref="I12:I35" ca="1" si="1">D12/H12</f>
      </c>
      <c r="J12" s="45">
        <f t="shared" ref="J12:J35" ca="1" si="2">E12/(H12*SQRT(5))</f>
      </c>
      <c r="K12" s="44">
        <f t="shared" ref="K12:K27" si="3">IF(ISNUMBER(B11),(B12-B11)*100,"")</f>
      </c>
      <c r="AA12">
        <f ca="1"/>
      </c>
      <c r="AB12">
        <f ca="1"/>
      </c>
      <c r="AC12">
        <f ca="1"/>
      </c>
      <c r="AD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L12" t="s">
        <v>8</v>
      </c>
      <c r="AM12">
        <v>1</v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AZ12">
        <f ca="1"/>
      </c>
      <c r="BA12">
        <f ca="1"/>
      </c>
      <c r="BB12">
        <f ca="1"/>
      </c>
      <c r="BC12">
        <f ca="1"/>
      </c>
      <c r="BD12">
        <f ca="1"/>
      </c>
      <c r="BE12">
        <f ca="1"/>
      </c>
      <c r="BF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N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C12">
        <f>VALUE(_xlfn.TEXTBEFORE($A$20,"y"))</f>
      </c>
      <c r="GD12">
        <f ca="1">$B$20</f>
      </c>
      <c r="GE12">
        <f ca="1">IFERROR($B$20-$G$20/100,NA())</f>
      </c>
      <c r="GF12">
        <f ca="1">$G$20</f>
      </c>
      <c r="GM12" s="7">
        <f ca="1"/>
      </c>
      <c r="GN12">
        <f ca="1"/>
      </c>
      <c r="GO12">
        <f ca="1"/>
      </c>
      <c r="GP12">
        <f ca="1"/>
      </c>
      <c r="GQ12">
        <f ca="1"/>
      </c>
      <c r="GT12">
        <f ca="1"/>
      </c>
    </row>
    <row r="13" spans="1:202" x14ac:dyDescent="0.55000000000000004">
      <c r="A13" t="s">
        <v>283</v>
      </c>
      <c r="B13" s="13" cm="1">
        <f t="array" aca="1" ref="B13" ca="1">_xlfn.XLOOKUP($A13,_xlfn.ANCHORARRAY($GS$4),_xlfn.ANCHORARRAY($GT$4),"")</f>
      </c>
      <c r="C13" s="13" cm="1">
        <f t="array" aca="1" ref="C13" ca="1">_xlfn.LET(_xlpm.h,FWM_HC,_xlpm.c,_xlfn.XMATCH($A13,_xlfn.TAKE(_xlpm.h,1)),INDEX(_xlpm.h,ROWS(_xlpm.h),_xlpm.c))</f>
      </c>
      <c r="D13" s="44">
        <f t="shared" ca="1" si="0"/>
      </c>
      <c r="E13" s="44" cm="1">
        <f t="array" aca="1" ref="E13" ca="1">_xlfn.LET(_xlpm.h,FWM_HC,_xlpm.c,_xlfn.XMATCH($A13,_xlfn.TAKE(_xlpm.h,1)),(B13-INDEX(_xlpm.h,ROWS(_xlpm.h)-4,_xlpm.c))*100)</f>
      </c>
      <c r="F13" s="44" cm="1">
        <f t="array" aca="1" ref="F13" ca="1">_xlfn.LET(_xlpm.h,FWM_HC,_xlpm.c,_xlfn.XMATCH($A13,_xlfn.TAKE(_xlpm.h,1)),(B13-INDEX(_xlpm.h,ROWS(_xlpm.h)-20,_xlpm.c))*100)</f>
      </c>
      <c r="G13" s="44" cm="1">
        <f t="array" aca="1" ref="G13" ca="1">_xlfn.LET(_xlpm.h,FWM_HC,_xlpm.c,_xlfn.XMATCH($A13,_xlfn.TAKE(_xlpm.h,1)),(B13-_xlfn.XLOOKUP(FWM_Cmp,_xlfn.DROP(INDEX(_xlpm.h,,1),1),_xlfn.DROP(INDEX(_xlpm.h,,_xlpm.c),1),"",-1))*100)</f>
      </c>
      <c r="H13" s="11" cm="1">
        <f t="array" aca="1" ref="H13" ca="1">_xlfn.LET(_xlpm.h,FWM_HC,FWM_Sigma(_xlfn.DROP(INDEX(_xlpm.h,,_xlfn.XMATCH($A13&amp;" dF",_xlfn.TAKE(_xlpm.h,1))),1)))</f>
      </c>
      <c r="I13" s="45">
        <f t="shared" ca="1" si="1"/>
      </c>
      <c r="J13" s="45">
        <f t="shared" ca="1" si="2"/>
      </c>
      <c r="K13" s="44">
        <f t="shared" ca="1" si="3"/>
      </c>
      <c r="AA13">
        <f ca="1"/>
      </c>
      <c r="AB13">
        <f ca="1"/>
      </c>
      <c r="AC13">
        <f ca="1"/>
      </c>
      <c r="AD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L13" t="s">
        <v>9</v>
      </c>
      <c r="AM13">
        <v>1</v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AZ13">
        <f ca="1"/>
      </c>
      <c r="BA13">
        <f ca="1"/>
      </c>
      <c r="BB13">
        <f ca="1"/>
      </c>
      <c r="BC13">
        <f ca="1"/>
      </c>
      <c r="BD13">
        <f ca="1"/>
      </c>
      <c r="BE13">
        <f ca="1"/>
      </c>
      <c r="BF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N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C13">
        <f>VALUE(_xlfn.TEXTBEFORE($A$21,"y"))</f>
      </c>
      <c r="GD13">
        <f ca="1">$B$21</f>
      </c>
      <c r="GE13">
        <f ca="1">IFERROR($B$21-$G$21/100,NA())</f>
      </c>
      <c r="GF13">
        <f ca="1">$G$21</f>
      </c>
      <c r="GM13" s="7">
        <f ca="1"/>
      </c>
      <c r="GN13">
        <f ca="1"/>
      </c>
      <c r="GO13">
        <f ca="1"/>
      </c>
      <c r="GP13">
        <f ca="1"/>
      </c>
      <c r="GQ13">
        <f ca="1"/>
      </c>
      <c r="GT13">
        <f ca="1"/>
      </c>
    </row>
    <row r="14" spans="1:202" x14ac:dyDescent="0.55000000000000004">
      <c r="A14" t="s">
        <v>284</v>
      </c>
      <c r="B14" s="13" cm="1">
        <f t="array" aca="1" ref="B14" ca="1">_xlfn.XLOOKUP($A14,_xlfn.ANCHORARRAY($GS$4),_xlfn.ANCHORARRAY($GT$4),"")</f>
      </c>
      <c r="C14" s="13" cm="1">
        <f t="array" aca="1" ref="C14" ca="1">_xlfn.LET(_xlpm.h,FWM_HC,_xlpm.c,_xlfn.XMATCH($A14,_xlfn.TAKE(_xlpm.h,1)),INDEX(_xlpm.h,ROWS(_xlpm.h),_xlpm.c))</f>
      </c>
      <c r="D14" s="44">
        <f t="shared" ca="1" si="0"/>
      </c>
      <c r="E14" s="44" cm="1">
        <f t="array" aca="1" ref="E14" ca="1">_xlfn.LET(_xlpm.h,FWM_HC,_xlpm.c,_xlfn.XMATCH($A14,_xlfn.TAKE(_xlpm.h,1)),(B14-INDEX(_xlpm.h,ROWS(_xlpm.h)-4,_xlpm.c))*100)</f>
      </c>
      <c r="F14" s="44" cm="1">
        <f t="array" aca="1" ref="F14" ca="1">_xlfn.LET(_xlpm.h,FWM_HC,_xlpm.c,_xlfn.XMATCH($A14,_xlfn.TAKE(_xlpm.h,1)),(B14-INDEX(_xlpm.h,ROWS(_xlpm.h)-20,_xlpm.c))*100)</f>
      </c>
      <c r="G14" s="44" cm="1">
        <f t="array" aca="1" ref="G14" ca="1">_xlfn.LET(_xlpm.h,FWM_HC,_xlpm.c,_xlfn.XMATCH($A14,_xlfn.TAKE(_xlpm.h,1)),(B14-_xlfn.XLOOKUP(FWM_Cmp,_xlfn.DROP(INDEX(_xlpm.h,,1),1),_xlfn.DROP(INDEX(_xlpm.h,,_xlpm.c),1),"",-1))*100)</f>
      </c>
      <c r="H14" s="11" cm="1">
        <f t="array" aca="1" ref="H14" ca="1">_xlfn.LET(_xlpm.h,FWM_HC,FWM_Sigma(_xlfn.DROP(INDEX(_xlpm.h,,_xlfn.XMATCH($A14&amp;" dF",_xlfn.TAKE(_xlpm.h,1))),1)))</f>
      </c>
      <c r="I14" s="45">
        <f t="shared" ca="1" si="1"/>
      </c>
      <c r="J14" s="45">
        <f t="shared" ca="1" si="2"/>
      </c>
      <c r="K14" s="44">
        <f t="shared" ca="1" si="3"/>
      </c>
      <c r="AA14">
        <f ca="1"/>
      </c>
      <c r="AB14">
        <f ca="1"/>
      </c>
      <c r="AC14">
        <f ca="1"/>
      </c>
      <c r="AD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L14" t="s">
        <v>10</v>
      </c>
      <c r="AM14">
        <v>1</v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AZ14">
        <f ca="1"/>
      </c>
      <c r="BA14">
        <f ca="1"/>
      </c>
      <c r="BB14">
        <f ca="1"/>
      </c>
      <c r="BC14">
        <f ca="1"/>
      </c>
      <c r="BD14">
        <f ca="1"/>
      </c>
      <c r="BE14">
        <f ca="1"/>
      </c>
      <c r="BF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N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C14">
        <f>VALUE(_xlfn.TEXTBEFORE($A$22,"y"))</f>
      </c>
      <c r="GD14">
        <f ca="1">$B$22</f>
      </c>
      <c r="GE14">
        <f ca="1">IFERROR($B$22-$G$22/100,NA())</f>
      </c>
      <c r="GF14">
        <f ca="1">$G$22</f>
      </c>
      <c r="GM14" s="7">
        <f ca="1"/>
      </c>
      <c r="GN14">
        <f ca="1"/>
      </c>
      <c r="GO14">
        <f ca="1"/>
      </c>
      <c r="GP14">
        <f ca="1"/>
      </c>
      <c r="GQ14">
        <f ca="1"/>
      </c>
      <c r="GT14">
        <f ca="1"/>
      </c>
    </row>
    <row r="15" spans="1:202" x14ac:dyDescent="0.55000000000000004">
      <c r="A15" t="s">
        <v>285</v>
      </c>
      <c r="B15" s="13" cm="1">
        <f t="array" aca="1" ref="B15" ca="1">_xlfn.XLOOKUP($A15,_xlfn.ANCHORARRAY($GS$4),_xlfn.ANCHORARRAY($GT$4),"")</f>
      </c>
      <c r="C15" s="13" cm="1">
        <f t="array" aca="1" ref="C15" ca="1">_xlfn.LET(_xlpm.h,FWM_HC,_xlpm.c,_xlfn.XMATCH($A15,_xlfn.TAKE(_xlpm.h,1)),INDEX(_xlpm.h,ROWS(_xlpm.h),_xlpm.c))</f>
      </c>
      <c r="D15" s="44">
        <f t="shared" ca="1" si="0"/>
      </c>
      <c r="E15" s="44" cm="1">
        <f t="array" aca="1" ref="E15" ca="1">_xlfn.LET(_xlpm.h,FWM_HC,_xlpm.c,_xlfn.XMATCH($A15,_xlfn.TAKE(_xlpm.h,1)),(B15-INDEX(_xlpm.h,ROWS(_xlpm.h)-4,_xlpm.c))*100)</f>
      </c>
      <c r="F15" s="44" cm="1">
        <f t="array" aca="1" ref="F15" ca="1">_xlfn.LET(_xlpm.h,FWM_HC,_xlpm.c,_xlfn.XMATCH($A15,_xlfn.TAKE(_xlpm.h,1)),(B15-INDEX(_xlpm.h,ROWS(_xlpm.h)-20,_xlpm.c))*100)</f>
      </c>
      <c r="G15" s="44" cm="1">
        <f t="array" aca="1" ref="G15" ca="1">_xlfn.LET(_xlpm.h,FWM_HC,_xlpm.c,_xlfn.XMATCH($A15,_xlfn.TAKE(_xlpm.h,1)),(B15-_xlfn.XLOOKUP(FWM_Cmp,_xlfn.DROP(INDEX(_xlpm.h,,1),1),_xlfn.DROP(INDEX(_xlpm.h,,_xlpm.c),1),"",-1))*100)</f>
      </c>
      <c r="H15" s="11" cm="1">
        <f t="array" aca="1" ref="H15" ca="1">_xlfn.LET(_xlpm.h,FWM_HC,FWM_Sigma(_xlfn.DROP(INDEX(_xlpm.h,,_xlfn.XMATCH($A15&amp;" dF",_xlfn.TAKE(_xlpm.h,1))),1)))</f>
      </c>
      <c r="I15" s="45">
        <f t="shared" ca="1" si="1"/>
      </c>
      <c r="J15" s="45">
        <f t="shared" ca="1" si="2"/>
      </c>
      <c r="K15" s="44">
        <f t="shared" ca="1" si="3"/>
      </c>
      <c r="AA15">
        <f ca="1"/>
      </c>
      <c r="AB15">
        <f ca="1"/>
      </c>
      <c r="AC15">
        <f ca="1"/>
      </c>
      <c r="AD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L15" t="s">
        <v>11</v>
      </c>
      <c r="AM15">
        <v>1</v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AZ15">
        <f ca="1"/>
      </c>
      <c r="BA15">
        <f ca="1"/>
      </c>
      <c r="BB15">
        <f ca="1"/>
      </c>
      <c r="BC15">
        <f ca="1"/>
      </c>
      <c r="BD15">
        <f ca="1"/>
      </c>
      <c r="BE15">
        <f ca="1"/>
      </c>
      <c r="BF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N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C15">
        <f>VALUE(_xlfn.TEXTBEFORE($A$23,"y"))</f>
      </c>
      <c r="GD15">
        <f ca="1">$B$23</f>
      </c>
      <c r="GE15">
        <f ca="1">IFERROR($B$23-$G$23/100,NA())</f>
      </c>
      <c r="GF15">
        <f ca="1">$G$23</f>
      </c>
      <c r="GM15" s="7">
        <f ca="1"/>
      </c>
      <c r="GN15">
        <f ca="1"/>
      </c>
      <c r="GO15">
        <f ca="1"/>
      </c>
      <c r="GP15">
        <f ca="1"/>
      </c>
      <c r="GQ15">
        <f ca="1"/>
      </c>
      <c r="GT15">
        <f ca="1"/>
      </c>
    </row>
    <row r="16" spans="1:202" x14ac:dyDescent="0.55000000000000004">
      <c r="A16" t="s">
        <v>286</v>
      </c>
      <c r="B16" s="13" cm="1">
        <f t="array" aca="1" ref="B16" ca="1">_xlfn.XLOOKUP($A16,_xlfn.ANCHORARRAY($GS$4),_xlfn.ANCHORARRAY($GT$4),"")</f>
      </c>
      <c r="C16" s="13" cm="1">
        <f t="array" aca="1" ref="C16" ca="1">_xlfn.LET(_xlpm.h,FWM_HC,_xlpm.c,_xlfn.XMATCH($A16,_xlfn.TAKE(_xlpm.h,1)),INDEX(_xlpm.h,ROWS(_xlpm.h),_xlpm.c))</f>
      </c>
      <c r="D16" s="44">
        <f t="shared" ca="1" si="0"/>
      </c>
      <c r="E16" s="44" cm="1">
        <f t="array" aca="1" ref="E16" ca="1">_xlfn.LET(_xlpm.h,FWM_HC,_xlpm.c,_xlfn.XMATCH($A16,_xlfn.TAKE(_xlpm.h,1)),(B16-INDEX(_xlpm.h,ROWS(_xlpm.h)-4,_xlpm.c))*100)</f>
      </c>
      <c r="F16" s="44" cm="1">
        <f t="array" aca="1" ref="F16" ca="1">_xlfn.LET(_xlpm.h,FWM_HC,_xlpm.c,_xlfn.XMATCH($A16,_xlfn.TAKE(_xlpm.h,1)),(B16-INDEX(_xlpm.h,ROWS(_xlpm.h)-20,_xlpm.c))*100)</f>
      </c>
      <c r="G16" s="44" cm="1">
        <f t="array" aca="1" ref="G16" ca="1">_xlfn.LET(_xlpm.h,FWM_HC,_xlpm.c,_xlfn.XMATCH($A16,_xlfn.TAKE(_xlpm.h,1)),(B16-_xlfn.XLOOKUP(FWM_Cmp,_xlfn.DROP(INDEX(_xlpm.h,,1),1),_xlfn.DROP(INDEX(_xlpm.h,,_xlpm.c),1),"",-1))*100)</f>
      </c>
      <c r="H16" s="11" cm="1">
        <f t="array" aca="1" ref="H16" ca="1">_xlfn.LET(_xlpm.h,FWM_HC,FWM_Sigma(_xlfn.DROP(INDEX(_xlpm.h,,_xlfn.XMATCH($A16&amp;" dF",_xlfn.TAKE(_xlpm.h,1))),1)))</f>
      </c>
      <c r="I16" s="45">
        <f t="shared" ca="1" si="1"/>
      </c>
      <c r="J16" s="45">
        <f t="shared" ca="1" si="2"/>
      </c>
      <c r="K16" s="44">
        <f t="shared" ca="1" si="3"/>
      </c>
      <c r="AA16">
        <f ca="1"/>
      </c>
      <c r="AB16">
        <f ca="1"/>
      </c>
      <c r="AC16">
        <f ca="1"/>
      </c>
      <c r="AD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L16" t="s">
        <v>12</v>
      </c>
      <c r="AM16">
        <v>1</v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AZ16">
        <f ca="1"/>
      </c>
      <c r="BA16">
        <f ca="1"/>
      </c>
      <c r="BB16">
        <f ca="1"/>
      </c>
      <c r="BC16">
        <f ca="1"/>
      </c>
      <c r="BD16">
        <f ca="1"/>
      </c>
      <c r="BE16">
        <f ca="1"/>
      </c>
      <c r="BF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N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C16">
        <f>VALUE(_xlfn.TEXTBEFORE($A$24,"y"))</f>
      </c>
      <c r="GD16">
        <f ca="1">$B$24</f>
      </c>
      <c r="GE16">
        <f ca="1">IFERROR($B$24-$G$24/100,NA())</f>
      </c>
      <c r="GF16">
        <f ca="1">$G$24</f>
      </c>
      <c r="GM16" s="7">
        <f ca="1"/>
      </c>
      <c r="GN16">
        <f ca="1"/>
      </c>
      <c r="GO16">
        <f ca="1"/>
      </c>
      <c r="GP16">
        <f ca="1"/>
      </c>
      <c r="GQ16">
        <f ca="1"/>
      </c>
      <c r="GT16">
        <f ca="1"/>
      </c>
    </row>
    <row r="17" spans="1:202" x14ac:dyDescent="0.55000000000000004">
      <c r="A17" t="s">
        <v>287</v>
      </c>
      <c r="B17" s="13" cm="1">
        <f t="array" aca="1" ref="B17" ca="1">_xlfn.XLOOKUP($A17,_xlfn.ANCHORARRAY($GS$4),_xlfn.ANCHORARRAY($GT$4),"")</f>
      </c>
      <c r="C17" s="13" cm="1">
        <f t="array" aca="1" ref="C17" ca="1">_xlfn.LET(_xlpm.h,FWM_HC,_xlpm.c,_xlfn.XMATCH($A17,_xlfn.TAKE(_xlpm.h,1)),INDEX(_xlpm.h,ROWS(_xlpm.h),_xlpm.c))</f>
      </c>
      <c r="D17" s="44">
        <f t="shared" ca="1" si="0"/>
      </c>
      <c r="E17" s="44" cm="1">
        <f t="array" aca="1" ref="E17" ca="1">_xlfn.LET(_xlpm.h,FWM_HC,_xlpm.c,_xlfn.XMATCH($A17,_xlfn.TAKE(_xlpm.h,1)),(B17-INDEX(_xlpm.h,ROWS(_xlpm.h)-4,_xlpm.c))*100)</f>
      </c>
      <c r="F17" s="44" cm="1">
        <f t="array" aca="1" ref="F17" ca="1">_xlfn.LET(_xlpm.h,FWM_HC,_xlpm.c,_xlfn.XMATCH($A17,_xlfn.TAKE(_xlpm.h,1)),(B17-INDEX(_xlpm.h,ROWS(_xlpm.h)-20,_xlpm.c))*100)</f>
      </c>
      <c r="G17" s="44" cm="1">
        <f t="array" aca="1" ref="G17" ca="1">_xlfn.LET(_xlpm.h,FWM_HC,_xlpm.c,_xlfn.XMATCH($A17,_xlfn.TAKE(_xlpm.h,1)),(B17-_xlfn.XLOOKUP(FWM_Cmp,_xlfn.DROP(INDEX(_xlpm.h,,1),1),_xlfn.DROP(INDEX(_xlpm.h,,_xlpm.c),1),"",-1))*100)</f>
      </c>
      <c r="H17" s="11" cm="1">
        <f t="array" aca="1" ref="H17" ca="1">_xlfn.LET(_xlpm.h,FWM_HC,FWM_Sigma(_xlfn.DROP(INDEX(_xlpm.h,,_xlfn.XMATCH($A17&amp;" dF",_xlfn.TAKE(_xlpm.h,1))),1)))</f>
      </c>
      <c r="I17" s="45">
        <f t="shared" ca="1" si="1"/>
      </c>
      <c r="J17" s="45">
        <f t="shared" ca="1" si="2"/>
      </c>
      <c r="K17" s="44">
        <f t="shared" ca="1" si="3"/>
      </c>
      <c r="AA17">
        <f ca="1"/>
      </c>
      <c r="AB17">
        <f ca="1"/>
      </c>
      <c r="AC17">
        <f ca="1"/>
      </c>
      <c r="AD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L17" t="s">
        <v>41</v>
      </c>
      <c r="AM17">
        <v>1</v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AZ17">
        <f ca="1"/>
      </c>
      <c r="BA17">
        <f ca="1"/>
      </c>
      <c r="BB17">
        <f ca="1"/>
      </c>
      <c r="BC17">
        <f ca="1"/>
      </c>
      <c r="BD17">
        <f ca="1"/>
      </c>
      <c r="BE17">
        <f ca="1"/>
      </c>
      <c r="BF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N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C17">
        <f>VALUE(_xlfn.TEXTBEFORE($A$25,"y"))</f>
      </c>
      <c r="GD17">
        <f ca="1">$B$25</f>
      </c>
      <c r="GE17">
        <f ca="1">IFERROR($B$25-$G$25/100,NA())</f>
      </c>
      <c r="GF17">
        <f ca="1">$G$25</f>
      </c>
      <c r="GM17" s="7">
        <f ca="1"/>
      </c>
      <c r="GN17">
        <f ca="1"/>
      </c>
      <c r="GO17">
        <f ca="1"/>
      </c>
      <c r="GP17">
        <f ca="1"/>
      </c>
      <c r="GQ17">
        <f ca="1"/>
      </c>
      <c r="GT17">
        <f ca="1"/>
      </c>
    </row>
    <row r="18" spans="1:202" x14ac:dyDescent="0.55000000000000004">
      <c r="A18" t="s">
        <v>288</v>
      </c>
      <c r="B18" s="13" cm="1">
        <f t="array" aca="1" ref="B18" ca="1">_xlfn.XLOOKUP($A18,_xlfn.ANCHORARRAY($GS$4),_xlfn.ANCHORARRAY($GT$4),"")</f>
      </c>
      <c r="C18" s="13" cm="1">
        <f t="array" aca="1" ref="C18" ca="1">_xlfn.LET(_xlpm.h,FWM_HC,_xlpm.c,_xlfn.XMATCH($A18,_xlfn.TAKE(_xlpm.h,1)),INDEX(_xlpm.h,ROWS(_xlpm.h),_xlpm.c))</f>
      </c>
      <c r="D18" s="44">
        <f t="shared" ca="1" si="0"/>
      </c>
      <c r="E18" s="44" cm="1">
        <f t="array" aca="1" ref="E18" ca="1">_xlfn.LET(_xlpm.h,FWM_HC,_xlpm.c,_xlfn.XMATCH($A18,_xlfn.TAKE(_xlpm.h,1)),(B18-INDEX(_xlpm.h,ROWS(_xlpm.h)-4,_xlpm.c))*100)</f>
      </c>
      <c r="F18" s="44" cm="1">
        <f t="array" aca="1" ref="F18" ca="1">_xlfn.LET(_xlpm.h,FWM_HC,_xlpm.c,_xlfn.XMATCH($A18,_xlfn.TAKE(_xlpm.h,1)),(B18-INDEX(_xlpm.h,ROWS(_xlpm.h)-20,_xlpm.c))*100)</f>
      </c>
      <c r="G18" s="44" cm="1">
        <f t="array" aca="1" ref="G18" ca="1">_xlfn.LET(_xlpm.h,FWM_HC,_xlpm.c,_xlfn.XMATCH($A18,_xlfn.TAKE(_xlpm.h,1)),(B18-_xlfn.XLOOKUP(FWM_Cmp,_xlfn.DROP(INDEX(_xlpm.h,,1),1),_xlfn.DROP(INDEX(_xlpm.h,,_xlpm.c),1),"",-1))*100)</f>
      </c>
      <c r="H18" s="11" cm="1">
        <f t="array" aca="1" ref="H18" ca="1">_xlfn.LET(_xlpm.h,FWM_HC,FWM_Sigma(_xlfn.DROP(INDEX(_xlpm.h,,_xlfn.XMATCH($A18&amp;" dF",_xlfn.TAKE(_xlpm.h,1))),1)))</f>
      </c>
      <c r="I18" s="45">
        <f t="shared" ca="1" si="1"/>
      </c>
      <c r="J18" s="45">
        <f t="shared" ca="1" si="2"/>
      </c>
      <c r="K18" s="44">
        <f t="shared" ca="1" si="3"/>
      </c>
      <c r="AA18">
        <f ca="1"/>
      </c>
      <c r="AB18">
        <f ca="1"/>
      </c>
      <c r="AC18">
        <f ca="1"/>
      </c>
      <c r="AD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L18" t="s">
        <v>13</v>
      </c>
      <c r="AM18">
        <v>1</v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AZ18">
        <f ca="1"/>
      </c>
      <c r="BA18">
        <f ca="1"/>
      </c>
      <c r="BB18">
        <f ca="1"/>
      </c>
      <c r="BC18">
        <f ca="1"/>
      </c>
      <c r="BD18">
        <f ca="1"/>
      </c>
      <c r="BE18">
        <f ca="1"/>
      </c>
      <c r="BF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N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C18">
        <f>VALUE(_xlfn.TEXTBEFORE($A$26,"y"))</f>
      </c>
      <c r="GD18">
        <f ca="1">$B$26</f>
      </c>
      <c r="GE18">
        <f ca="1">IFERROR($B$26-$G$26/100,NA())</f>
      </c>
      <c r="GF18">
        <f ca="1">$G$26</f>
      </c>
      <c r="GM18" s="7">
        <f ca="1"/>
      </c>
      <c r="GN18">
        <f ca="1"/>
      </c>
      <c r="GO18">
        <f ca="1"/>
      </c>
      <c r="GP18">
        <f ca="1"/>
      </c>
      <c r="GQ18">
        <f ca="1"/>
      </c>
      <c r="GT18">
        <f ca="1"/>
      </c>
    </row>
    <row r="19" spans="1:202" x14ac:dyDescent="0.55000000000000004">
      <c r="A19" t="s">
        <v>289</v>
      </c>
      <c r="B19" s="13" cm="1">
        <f t="array" aca="1" ref="B19" ca="1">_xlfn.XLOOKUP($A19,_xlfn.ANCHORARRAY($GS$4),_xlfn.ANCHORARRAY($GT$4),"")</f>
      </c>
      <c r="C19" s="13" cm="1">
        <f t="array" aca="1" ref="C19" ca="1">_xlfn.LET(_xlpm.h,FWM_HC,_xlpm.c,_xlfn.XMATCH($A19,_xlfn.TAKE(_xlpm.h,1)),INDEX(_xlpm.h,ROWS(_xlpm.h),_xlpm.c))</f>
      </c>
      <c r="D19" s="44">
        <f t="shared" ca="1" si="0"/>
      </c>
      <c r="E19" s="44" cm="1">
        <f t="array" aca="1" ref="E19" ca="1">_xlfn.LET(_xlpm.h,FWM_HC,_xlpm.c,_xlfn.XMATCH($A19,_xlfn.TAKE(_xlpm.h,1)),(B19-INDEX(_xlpm.h,ROWS(_xlpm.h)-4,_xlpm.c))*100)</f>
      </c>
      <c r="F19" s="44" cm="1">
        <f t="array" aca="1" ref="F19" ca="1">_xlfn.LET(_xlpm.h,FWM_HC,_xlpm.c,_xlfn.XMATCH($A19,_xlfn.TAKE(_xlpm.h,1)),(B19-INDEX(_xlpm.h,ROWS(_xlpm.h)-20,_xlpm.c))*100)</f>
      </c>
      <c r="G19" s="44" cm="1">
        <f t="array" aca="1" ref="G19" ca="1">_xlfn.LET(_xlpm.h,FWM_HC,_xlpm.c,_xlfn.XMATCH($A19,_xlfn.TAKE(_xlpm.h,1)),(B19-_xlfn.XLOOKUP(FWM_Cmp,_xlfn.DROP(INDEX(_xlpm.h,,1),1),_xlfn.DROP(INDEX(_xlpm.h,,_xlpm.c),1),"",-1))*100)</f>
      </c>
      <c r="H19" s="11" cm="1">
        <f t="array" aca="1" ref="H19" ca="1">_xlfn.LET(_xlpm.h,FWM_HC,FWM_Sigma(_xlfn.DROP(INDEX(_xlpm.h,,_xlfn.XMATCH($A19&amp;" dF",_xlfn.TAKE(_xlpm.h,1))),1)))</f>
      </c>
      <c r="I19" s="45">
        <f t="shared" ca="1" si="1"/>
      </c>
      <c r="J19" s="45">
        <f t="shared" ca="1" si="2"/>
      </c>
      <c r="K19" s="44">
        <f t="shared" ca="1" si="3"/>
      </c>
      <c r="AA19">
        <f ca="1"/>
      </c>
      <c r="AB19">
        <f ca="1"/>
      </c>
      <c r="AC19">
        <f ca="1"/>
      </c>
      <c r="AD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L19" t="s">
        <v>14</v>
      </c>
      <c r="AM19">
        <v>1</v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AZ19">
        <f ca="1"/>
      </c>
      <c r="BA19">
        <f ca="1"/>
      </c>
      <c r="BB19">
        <f ca="1"/>
      </c>
      <c r="BC19">
        <f ca="1"/>
      </c>
      <c r="BD19">
        <f ca="1"/>
      </c>
      <c r="BE19">
        <f ca="1"/>
      </c>
      <c r="BF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N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C19">
        <f>VALUE(_xlfn.TEXTBEFORE($A$27,"y"))</f>
      </c>
      <c r="GD19">
        <f ca="1">$B$27</f>
      </c>
      <c r="GE19">
        <f ca="1">IFERROR($B$27-$G$27/100,NA())</f>
      </c>
      <c r="GF19">
        <f ca="1">$G$27</f>
      </c>
      <c r="GM19" s="7">
        <f ca="1"/>
      </c>
      <c r="GN19">
        <f ca="1"/>
      </c>
      <c r="GO19">
        <f ca="1"/>
      </c>
      <c r="GP19">
        <f ca="1"/>
      </c>
      <c r="GQ19">
        <f ca="1"/>
      </c>
      <c r="GT19">
        <f ca="1"/>
      </c>
    </row>
    <row r="20" spans="1:202" x14ac:dyDescent="0.55000000000000004">
      <c r="A20" t="s">
        <v>290</v>
      </c>
      <c r="B20" s="13" cm="1">
        <f t="array" aca="1" ref="B20" ca="1">_xlfn.XLOOKUP($A20,_xlfn.ANCHORARRAY($GS$4),_xlfn.ANCHORARRAY($GT$4),"")</f>
      </c>
      <c r="C20" s="13" cm="1">
        <f t="array" aca="1" ref="C20" ca="1">_xlfn.LET(_xlpm.h,FWM_HC,_xlpm.c,_xlfn.XMATCH($A20,_xlfn.TAKE(_xlpm.h,1)),INDEX(_xlpm.h,ROWS(_xlpm.h),_xlpm.c))</f>
      </c>
      <c r="D20" s="44">
        <f t="shared" ca="1" si="0"/>
      </c>
      <c r="E20" s="44" cm="1">
        <f t="array" aca="1" ref="E20" ca="1">_xlfn.LET(_xlpm.h,FWM_HC,_xlpm.c,_xlfn.XMATCH($A20,_xlfn.TAKE(_xlpm.h,1)),(B20-INDEX(_xlpm.h,ROWS(_xlpm.h)-4,_xlpm.c))*100)</f>
      </c>
      <c r="F20" s="44" cm="1">
        <f t="array" aca="1" ref="F20" ca="1">_xlfn.LET(_xlpm.h,FWM_HC,_xlpm.c,_xlfn.XMATCH($A20,_xlfn.TAKE(_xlpm.h,1)),(B20-INDEX(_xlpm.h,ROWS(_xlpm.h)-20,_xlpm.c))*100)</f>
      </c>
      <c r="G20" s="44" cm="1">
        <f t="array" aca="1" ref="G20" ca="1">_xlfn.LET(_xlpm.h,FWM_HC,_xlpm.c,_xlfn.XMATCH($A20,_xlfn.TAKE(_xlpm.h,1)),(B20-_xlfn.XLOOKUP(FWM_Cmp,_xlfn.DROP(INDEX(_xlpm.h,,1),1),_xlfn.DROP(INDEX(_xlpm.h,,_xlpm.c),1),"",-1))*100)</f>
      </c>
      <c r="H20" s="11" cm="1">
        <f t="array" aca="1" ref="H20" ca="1">_xlfn.LET(_xlpm.h,FWM_HC,FWM_Sigma(_xlfn.DROP(INDEX(_xlpm.h,,_xlfn.XMATCH($A20&amp;" dF",_xlfn.TAKE(_xlpm.h,1))),1)))</f>
      </c>
      <c r="I20" s="45">
        <f t="shared" ca="1" si="1"/>
      </c>
      <c r="J20" s="45">
        <f t="shared" ca="1" si="2"/>
      </c>
      <c r="K20" s="44">
        <f t="shared" ca="1" si="3"/>
      </c>
      <c r="AA20">
        <f ca="1"/>
      </c>
      <c r="AB20">
        <f ca="1"/>
      </c>
      <c r="AC20">
        <f ca="1"/>
      </c>
      <c r="AD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L20" t="s">
        <v>15</v>
      </c>
      <c r="AM20">
        <v>1</v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AZ20">
        <f ca="1"/>
      </c>
      <c r="BA20">
        <f ca="1"/>
      </c>
      <c r="BB20">
        <f ca="1"/>
      </c>
      <c r="BC20">
        <f ca="1"/>
      </c>
      <c r="BD20">
        <f ca="1"/>
      </c>
      <c r="BE20">
        <f ca="1"/>
      </c>
      <c r="BF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N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M20" s="7">
        <f ca="1"/>
      </c>
      <c r="GN20">
        <f ca="1"/>
      </c>
      <c r="GO20">
        <f ca="1"/>
      </c>
      <c r="GP20">
        <f ca="1"/>
      </c>
      <c r="GQ20">
        <f ca="1"/>
      </c>
      <c r="GT20">
        <f ca="1"/>
      </c>
    </row>
    <row r="21" spans="1:202" x14ac:dyDescent="0.55000000000000004">
      <c r="A21" t="s">
        <v>291</v>
      </c>
      <c r="B21" s="13" cm="1">
        <f t="array" aca="1" ref="B21" ca="1">_xlfn.XLOOKUP($A21,_xlfn.ANCHORARRAY($GS$4),_xlfn.ANCHORARRAY($GT$4),"")</f>
      </c>
      <c r="C21" s="13" cm="1">
        <f t="array" aca="1" ref="C21" ca="1">_xlfn.LET(_xlpm.h,FWM_HC,_xlpm.c,_xlfn.XMATCH($A21,_xlfn.TAKE(_xlpm.h,1)),INDEX(_xlpm.h,ROWS(_xlpm.h),_xlpm.c))</f>
      </c>
      <c r="D21" s="44">
        <f t="shared" ca="1" si="0"/>
      </c>
      <c r="E21" s="44" cm="1">
        <f t="array" aca="1" ref="E21" ca="1">_xlfn.LET(_xlpm.h,FWM_HC,_xlpm.c,_xlfn.XMATCH($A21,_xlfn.TAKE(_xlpm.h,1)),(B21-INDEX(_xlpm.h,ROWS(_xlpm.h)-4,_xlpm.c))*100)</f>
      </c>
      <c r="F21" s="44" cm="1">
        <f t="array" aca="1" ref="F21" ca="1">_xlfn.LET(_xlpm.h,FWM_HC,_xlpm.c,_xlfn.XMATCH($A21,_xlfn.TAKE(_xlpm.h,1)),(B21-INDEX(_xlpm.h,ROWS(_xlpm.h)-20,_xlpm.c))*100)</f>
      </c>
      <c r="G21" s="44" cm="1">
        <f t="array" aca="1" ref="G21" ca="1">_xlfn.LET(_xlpm.h,FWM_HC,_xlpm.c,_xlfn.XMATCH($A21,_xlfn.TAKE(_xlpm.h,1)),(B21-_xlfn.XLOOKUP(FWM_Cmp,_xlfn.DROP(INDEX(_xlpm.h,,1),1),_xlfn.DROP(INDEX(_xlpm.h,,_xlpm.c),1),"",-1))*100)</f>
      </c>
      <c r="H21" s="11" cm="1">
        <f t="array" aca="1" ref="H21" ca="1">_xlfn.LET(_xlpm.h,FWM_HC,FWM_Sigma(_xlfn.DROP(INDEX(_xlpm.h,,_xlfn.XMATCH($A21&amp;" dF",_xlfn.TAKE(_xlpm.h,1))),1)))</f>
      </c>
      <c r="I21" s="45">
        <f t="shared" ca="1" si="1"/>
      </c>
      <c r="J21" s="45">
        <f t="shared" ca="1" si="2"/>
      </c>
      <c r="K21" s="44">
        <f t="shared" ca="1" si="3"/>
      </c>
      <c r="AA21">
        <f ca="1"/>
      </c>
      <c r="AB21">
        <f ca="1"/>
      </c>
      <c r="AC21">
        <f ca="1"/>
      </c>
      <c r="AD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L21" t="s">
        <v>16</v>
      </c>
      <c r="AM21">
        <v>1</v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AZ21">
        <f ca="1"/>
      </c>
      <c r="BA21">
        <f ca="1"/>
      </c>
      <c r="BB21">
        <f ca="1"/>
      </c>
      <c r="BC21">
        <f ca="1"/>
      </c>
      <c r="BD21">
        <f ca="1"/>
      </c>
      <c r="BE21">
        <f ca="1"/>
      </c>
      <c r="BF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N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M21" s="7">
        <f ca="1"/>
      </c>
      <c r="GN21">
        <f ca="1"/>
      </c>
      <c r="GO21">
        <f ca="1"/>
      </c>
      <c r="GP21">
        <f ca="1"/>
      </c>
      <c r="GQ21">
        <f ca="1"/>
      </c>
      <c r="GT21">
        <f ca="1"/>
      </c>
    </row>
    <row r="22" spans="1:202" x14ac:dyDescent="0.55000000000000004">
      <c r="A22" t="s">
        <v>292</v>
      </c>
      <c r="B22" s="13" cm="1">
        <f t="array" aca="1" ref="B22" ca="1">_xlfn.XLOOKUP($A22,_xlfn.ANCHORARRAY($GS$4),_xlfn.ANCHORARRAY($GT$4),"")</f>
      </c>
      <c r="C22" s="13" cm="1">
        <f t="array" aca="1" ref="C22" ca="1">_xlfn.LET(_xlpm.h,FWM_HC,_xlpm.c,_xlfn.XMATCH($A22,_xlfn.TAKE(_xlpm.h,1)),INDEX(_xlpm.h,ROWS(_xlpm.h),_xlpm.c))</f>
      </c>
      <c r="D22" s="44">
        <f t="shared" ca="1" si="0"/>
      </c>
      <c r="E22" s="44" cm="1">
        <f t="array" aca="1" ref="E22" ca="1">_xlfn.LET(_xlpm.h,FWM_HC,_xlpm.c,_xlfn.XMATCH($A22,_xlfn.TAKE(_xlpm.h,1)),(B22-INDEX(_xlpm.h,ROWS(_xlpm.h)-4,_xlpm.c))*100)</f>
      </c>
      <c r="F22" s="44" cm="1">
        <f t="array" aca="1" ref="F22" ca="1">_xlfn.LET(_xlpm.h,FWM_HC,_xlpm.c,_xlfn.XMATCH($A22,_xlfn.TAKE(_xlpm.h,1)),(B22-INDEX(_xlpm.h,ROWS(_xlpm.h)-20,_xlpm.c))*100)</f>
      </c>
      <c r="G22" s="44" cm="1">
        <f t="array" aca="1" ref="G22" ca="1">_xlfn.LET(_xlpm.h,FWM_HC,_xlpm.c,_xlfn.XMATCH($A22,_xlfn.TAKE(_xlpm.h,1)),(B22-_xlfn.XLOOKUP(FWM_Cmp,_xlfn.DROP(INDEX(_xlpm.h,,1),1),_xlfn.DROP(INDEX(_xlpm.h,,_xlpm.c),1),"",-1))*100)</f>
      </c>
      <c r="H22" s="11" cm="1">
        <f t="array" aca="1" ref="H22" ca="1">_xlfn.LET(_xlpm.h,FWM_HC,FWM_Sigma(_xlfn.DROP(INDEX(_xlpm.h,,_xlfn.XMATCH($A22&amp;" dF",_xlfn.TAKE(_xlpm.h,1))),1)))</f>
      </c>
      <c r="I22" s="45">
        <f t="shared" ca="1" si="1"/>
      </c>
      <c r="J22" s="45">
        <f t="shared" ca="1" si="2"/>
      </c>
      <c r="K22" s="44">
        <f t="shared" ca="1" si="3"/>
      </c>
      <c r="AA22">
        <f ca="1"/>
      </c>
      <c r="AB22">
        <f ca="1"/>
      </c>
      <c r="AC22">
        <f ca="1"/>
      </c>
      <c r="AD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L22" t="s">
        <v>17</v>
      </c>
      <c r="AM22">
        <v>1</v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AZ22">
        <f ca="1"/>
      </c>
      <c r="BA22">
        <f ca="1"/>
      </c>
      <c r="BB22">
        <f ca="1"/>
      </c>
      <c r="BC22">
        <f ca="1"/>
      </c>
      <c r="BD22">
        <f ca="1"/>
      </c>
      <c r="BE22">
        <f ca="1"/>
      </c>
      <c r="BF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N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M22" s="7">
        <f ca="1"/>
      </c>
      <c r="GN22">
        <f ca="1"/>
      </c>
      <c r="GO22">
        <f ca="1"/>
      </c>
      <c r="GP22">
        <f ca="1"/>
      </c>
      <c r="GQ22">
        <f ca="1"/>
      </c>
      <c r="GT22">
        <f ca="1"/>
      </c>
    </row>
    <row r="23" spans="1:202" x14ac:dyDescent="0.55000000000000004">
      <c r="A23" t="s">
        <v>293</v>
      </c>
      <c r="B23" s="13" cm="1">
        <f t="array" aca="1" ref="B23" ca="1">_xlfn.XLOOKUP($A23,_xlfn.ANCHORARRAY($GS$4),_xlfn.ANCHORARRAY($GT$4),"")</f>
      </c>
      <c r="C23" s="13" cm="1">
        <f t="array" aca="1" ref="C23" ca="1">_xlfn.LET(_xlpm.h,FWM_HC,_xlpm.c,_xlfn.XMATCH($A23,_xlfn.TAKE(_xlpm.h,1)),INDEX(_xlpm.h,ROWS(_xlpm.h),_xlpm.c))</f>
      </c>
      <c r="D23" s="44">
        <f t="shared" ca="1" si="0"/>
      </c>
      <c r="E23" s="44" cm="1">
        <f t="array" aca="1" ref="E23" ca="1">_xlfn.LET(_xlpm.h,FWM_HC,_xlpm.c,_xlfn.XMATCH($A23,_xlfn.TAKE(_xlpm.h,1)),(B23-INDEX(_xlpm.h,ROWS(_xlpm.h)-4,_xlpm.c))*100)</f>
      </c>
      <c r="F23" s="44" cm="1">
        <f t="array" aca="1" ref="F23" ca="1">_xlfn.LET(_xlpm.h,FWM_HC,_xlpm.c,_xlfn.XMATCH($A23,_xlfn.TAKE(_xlpm.h,1)),(B23-INDEX(_xlpm.h,ROWS(_xlpm.h)-20,_xlpm.c))*100)</f>
      </c>
      <c r="G23" s="44" cm="1">
        <f t="array" aca="1" ref="G23" ca="1">_xlfn.LET(_xlpm.h,FWM_HC,_xlpm.c,_xlfn.XMATCH($A23,_xlfn.TAKE(_xlpm.h,1)),(B23-_xlfn.XLOOKUP(FWM_Cmp,_xlfn.DROP(INDEX(_xlpm.h,,1),1),_xlfn.DROP(INDEX(_xlpm.h,,_xlpm.c),1),"",-1))*100)</f>
      </c>
      <c r="H23" s="11" cm="1">
        <f t="array" aca="1" ref="H23" ca="1">_xlfn.LET(_xlpm.h,FWM_HC,FWM_Sigma(_xlfn.DROP(INDEX(_xlpm.h,,_xlfn.XMATCH($A23&amp;" dF",_xlfn.TAKE(_xlpm.h,1))),1)))</f>
      </c>
      <c r="I23" s="45">
        <f t="shared" ca="1" si="1"/>
      </c>
      <c r="J23" s="45">
        <f t="shared" ca="1" si="2"/>
      </c>
      <c r="K23" s="44">
        <f t="shared" ca="1" si="3"/>
      </c>
      <c r="AA23">
        <f ca="1"/>
      </c>
      <c r="AB23">
        <f ca="1"/>
      </c>
      <c r="AC23">
        <f ca="1"/>
      </c>
      <c r="AD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L23" t="s">
        <v>18</v>
      </c>
      <c r="AM23">
        <v>1</v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AZ23">
        <f ca="1"/>
      </c>
      <c r="BA23">
        <f ca="1"/>
      </c>
      <c r="BB23">
        <f ca="1"/>
      </c>
      <c r="BC23">
        <f ca="1"/>
      </c>
      <c r="BD23">
        <f ca="1"/>
      </c>
      <c r="BE23">
        <f ca="1"/>
      </c>
      <c r="BF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N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M23" s="7">
        <f ca="1"/>
      </c>
      <c r="GN23">
        <f ca="1"/>
      </c>
      <c r="GO23">
        <f ca="1"/>
      </c>
      <c r="GP23">
        <f ca="1"/>
      </c>
      <c r="GQ23">
        <f ca="1"/>
      </c>
      <c r="GT23">
        <f ca="1"/>
      </c>
    </row>
    <row r="24" spans="1:202" x14ac:dyDescent="0.55000000000000004">
      <c r="A24" t="s">
        <v>294</v>
      </c>
      <c r="B24" s="13" cm="1">
        <f t="array" aca="1" ref="B24" ca="1">_xlfn.XLOOKUP($A24,_xlfn.ANCHORARRAY($GS$4),_xlfn.ANCHORARRAY($GT$4),"")</f>
      </c>
      <c r="C24" s="13" cm="1">
        <f t="array" aca="1" ref="C24" ca="1">_xlfn.LET(_xlpm.h,FWM_HC,_xlpm.c,_xlfn.XMATCH($A24,_xlfn.TAKE(_xlpm.h,1)),INDEX(_xlpm.h,ROWS(_xlpm.h),_xlpm.c))</f>
      </c>
      <c r="D24" s="44">
        <f t="shared" ca="1" si="0"/>
      </c>
      <c r="E24" s="44" cm="1">
        <f t="array" aca="1" ref="E24" ca="1">_xlfn.LET(_xlpm.h,FWM_HC,_xlpm.c,_xlfn.XMATCH($A24,_xlfn.TAKE(_xlpm.h,1)),(B24-INDEX(_xlpm.h,ROWS(_xlpm.h)-4,_xlpm.c))*100)</f>
      </c>
      <c r="F24" s="44" cm="1">
        <f t="array" aca="1" ref="F24" ca="1">_xlfn.LET(_xlpm.h,FWM_HC,_xlpm.c,_xlfn.XMATCH($A24,_xlfn.TAKE(_xlpm.h,1)),(B24-INDEX(_xlpm.h,ROWS(_xlpm.h)-20,_xlpm.c))*100)</f>
      </c>
      <c r="G24" s="44" cm="1">
        <f t="array" aca="1" ref="G24" ca="1">_xlfn.LET(_xlpm.h,FWM_HC,_xlpm.c,_xlfn.XMATCH($A24,_xlfn.TAKE(_xlpm.h,1)),(B24-_xlfn.XLOOKUP(FWM_Cmp,_xlfn.DROP(INDEX(_xlpm.h,,1),1),_xlfn.DROP(INDEX(_xlpm.h,,_xlpm.c),1),"",-1))*100)</f>
      </c>
      <c r="H24" s="11" cm="1">
        <f t="array" aca="1" ref="H24" ca="1">_xlfn.LET(_xlpm.h,FWM_HC,FWM_Sigma(_xlfn.DROP(INDEX(_xlpm.h,,_xlfn.XMATCH($A24&amp;" dF",_xlfn.TAKE(_xlpm.h,1))),1)))</f>
      </c>
      <c r="I24" s="45">
        <f t="shared" ca="1" si="1"/>
      </c>
      <c r="J24" s="45">
        <f t="shared" ca="1" si="2"/>
      </c>
      <c r="K24" s="44">
        <f t="shared" ca="1" si="3"/>
      </c>
      <c r="AA24">
        <f ca="1"/>
      </c>
      <c r="AB24">
        <f ca="1"/>
      </c>
      <c r="AC24">
        <f ca="1"/>
      </c>
      <c r="AD24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L24" t="s">
        <v>19</v>
      </c>
      <c r="AM24">
        <v>1</v>
      </c>
      <c r="AO24">
        <f ca="1"/>
      </c>
      <c r="AP24">
        <f ca="1"/>
      </c>
      <c r="AQ24">
        <f ca="1"/>
      </c>
      <c r="AR24">
        <f ca="1"/>
      </c>
      <c r="AS24">
        <f ca="1"/>
      </c>
      <c r="AT24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AZ24">
        <f ca="1"/>
      </c>
      <c r="BA24">
        <f ca="1"/>
      </c>
      <c r="BB24">
        <f ca="1"/>
      </c>
      <c r="BC24">
        <f ca="1"/>
      </c>
      <c r="BD24">
        <f ca="1"/>
      </c>
      <c r="BE24">
        <f ca="1"/>
      </c>
      <c r="BF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N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M24" s="7">
        <f ca="1"/>
      </c>
      <c r="GN24">
        <f ca="1"/>
      </c>
      <c r="GO24">
        <f ca="1"/>
      </c>
      <c r="GP24">
        <f ca="1"/>
      </c>
      <c r="GQ24">
        <f ca="1"/>
      </c>
      <c r="GT24">
        <f ca="1"/>
      </c>
    </row>
    <row r="25" spans="1:202" x14ac:dyDescent="0.55000000000000004">
      <c r="A25" t="s">
        <v>295</v>
      </c>
      <c r="B25" s="13" cm="1">
        <f t="array" aca="1" ref="B25" ca="1">_xlfn.XLOOKUP($A25,_xlfn.ANCHORARRAY($GS$4),_xlfn.ANCHORARRAY($GT$4),"")</f>
      </c>
      <c r="C25" s="13" cm="1">
        <f t="array" aca="1" ref="C25" ca="1">_xlfn.LET(_xlpm.h,FWM_HC,_xlpm.c,_xlfn.XMATCH($A25,_xlfn.TAKE(_xlpm.h,1)),INDEX(_xlpm.h,ROWS(_xlpm.h),_xlpm.c))</f>
      </c>
      <c r="D25" s="44">
        <f t="shared" ca="1" si="0"/>
      </c>
      <c r="E25" s="44" cm="1">
        <f t="array" aca="1" ref="E25" ca="1">_xlfn.LET(_xlpm.h,FWM_HC,_xlpm.c,_xlfn.XMATCH($A25,_xlfn.TAKE(_xlpm.h,1)),(B25-INDEX(_xlpm.h,ROWS(_xlpm.h)-4,_xlpm.c))*100)</f>
      </c>
      <c r="F25" s="44" cm="1">
        <f t="array" aca="1" ref="F25" ca="1">_xlfn.LET(_xlpm.h,FWM_HC,_xlpm.c,_xlfn.XMATCH($A25,_xlfn.TAKE(_xlpm.h,1)),(B25-INDEX(_xlpm.h,ROWS(_xlpm.h)-20,_xlpm.c))*100)</f>
      </c>
      <c r="G25" s="44" cm="1">
        <f t="array" aca="1" ref="G25" ca="1">_xlfn.LET(_xlpm.h,FWM_HC,_xlpm.c,_xlfn.XMATCH($A25,_xlfn.TAKE(_xlpm.h,1)),(B25-_xlfn.XLOOKUP(FWM_Cmp,_xlfn.DROP(INDEX(_xlpm.h,,1),1),_xlfn.DROP(INDEX(_xlpm.h,,_xlpm.c),1),"",-1))*100)</f>
      </c>
      <c r="H25" s="11" cm="1">
        <f t="array" aca="1" ref="H25" ca="1">_xlfn.LET(_xlpm.h,FWM_HC,FWM_Sigma(_xlfn.DROP(INDEX(_xlpm.h,,_xlfn.XMATCH($A25&amp;" dF",_xlfn.TAKE(_xlpm.h,1))),1)))</f>
      </c>
      <c r="I25" s="45">
        <f t="shared" ca="1" si="1"/>
      </c>
      <c r="J25" s="45">
        <f t="shared" ca="1" si="2"/>
      </c>
      <c r="K25" s="44">
        <f t="shared" ca="1" si="3"/>
      </c>
      <c r="AA25">
        <f ca="1"/>
      </c>
      <c r="AB25">
        <f ca="1"/>
      </c>
      <c r="AC25">
        <f ca="1"/>
      </c>
      <c r="AD25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L25" t="s">
        <v>20</v>
      </c>
      <c r="AM25">
        <v>1</v>
      </c>
      <c r="AO25">
        <f ca="1"/>
      </c>
      <c r="AP25">
        <f ca="1"/>
      </c>
      <c r="AQ25">
        <f ca="1"/>
      </c>
      <c r="AR25">
        <f ca="1"/>
      </c>
      <c r="AS25">
        <f ca="1"/>
      </c>
      <c r="AT25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AZ25">
        <f ca="1"/>
      </c>
      <c r="BA25">
        <f ca="1"/>
      </c>
      <c r="BB25">
        <f ca="1"/>
      </c>
      <c r="BC25">
        <f ca="1"/>
      </c>
      <c r="BD25">
        <f ca="1"/>
      </c>
      <c r="BE25">
        <f ca="1"/>
      </c>
      <c r="BF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N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M25" s="7">
        <f ca="1"/>
      </c>
      <c r="GN25">
        <f ca="1"/>
      </c>
      <c r="GO25">
        <f ca="1"/>
      </c>
      <c r="GP25">
        <f ca="1"/>
      </c>
      <c r="GQ25">
        <f ca="1"/>
      </c>
      <c r="GT25">
        <f ca="1"/>
      </c>
    </row>
    <row r="26" spans="1:202" x14ac:dyDescent="0.55000000000000004">
      <c r="A26" t="s">
        <v>296</v>
      </c>
      <c r="B26" s="13" cm="1">
        <f t="array" aca="1" ref="B26" ca="1">_xlfn.XLOOKUP($A26,_xlfn.ANCHORARRAY($GS$4),_xlfn.ANCHORARRAY($GT$4),"")</f>
      </c>
      <c r="C26" s="13" cm="1">
        <f t="array" aca="1" ref="C26" ca="1">_xlfn.LET(_xlpm.h,FWM_HC,_xlpm.c,_xlfn.XMATCH($A26,_xlfn.TAKE(_xlpm.h,1)),INDEX(_xlpm.h,ROWS(_xlpm.h),_xlpm.c))</f>
      </c>
      <c r="D26" s="44">
        <f t="shared" ca="1" si="0"/>
      </c>
      <c r="E26" s="44" cm="1">
        <f t="array" aca="1" ref="E26" ca="1">_xlfn.LET(_xlpm.h,FWM_HC,_xlpm.c,_xlfn.XMATCH($A26,_xlfn.TAKE(_xlpm.h,1)),(B26-INDEX(_xlpm.h,ROWS(_xlpm.h)-4,_xlpm.c))*100)</f>
      </c>
      <c r="F26" s="44" cm="1">
        <f t="array" aca="1" ref="F26" ca="1">_xlfn.LET(_xlpm.h,FWM_HC,_xlpm.c,_xlfn.XMATCH($A26,_xlfn.TAKE(_xlpm.h,1)),(B26-INDEX(_xlpm.h,ROWS(_xlpm.h)-20,_xlpm.c))*100)</f>
      </c>
      <c r="G26" s="44" cm="1">
        <f t="array" aca="1" ref="G26" ca="1">_xlfn.LET(_xlpm.h,FWM_HC,_xlpm.c,_xlfn.XMATCH($A26,_xlfn.TAKE(_xlpm.h,1)),(B26-_xlfn.XLOOKUP(FWM_Cmp,_xlfn.DROP(INDEX(_xlpm.h,,1),1),_xlfn.DROP(INDEX(_xlpm.h,,_xlpm.c),1),"",-1))*100)</f>
      </c>
      <c r="H26" s="11" cm="1">
        <f t="array" aca="1" ref="H26" ca="1">_xlfn.LET(_xlpm.h,FWM_HC,FWM_Sigma(_xlfn.DROP(INDEX(_xlpm.h,,_xlfn.XMATCH($A26&amp;" dF",_xlfn.TAKE(_xlpm.h,1))),1)))</f>
      </c>
      <c r="I26" s="45">
        <f t="shared" ca="1" si="1"/>
      </c>
      <c r="J26" s="45">
        <f t="shared" ca="1" si="2"/>
      </c>
      <c r="K26" s="44">
        <f t="shared" ca="1" si="3"/>
      </c>
      <c r="AA26">
        <f ca="1"/>
      </c>
      <c r="AB26">
        <f ca="1"/>
      </c>
      <c r="AC26">
        <f ca="1"/>
      </c>
      <c r="AD26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L26" t="s">
        <v>21</v>
      </c>
      <c r="AM26">
        <v>1</v>
      </c>
      <c r="AO26">
        <f ca="1"/>
      </c>
      <c r="AP26">
        <f ca="1"/>
      </c>
      <c r="AQ26">
        <f ca="1"/>
      </c>
      <c r="AR26">
        <f ca="1"/>
      </c>
      <c r="AS26">
        <f ca="1"/>
      </c>
      <c r="AT26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AZ26">
        <f ca="1"/>
      </c>
      <c r="BA26">
        <f ca="1"/>
      </c>
      <c r="BB26">
        <f ca="1"/>
      </c>
      <c r="BC26">
        <f ca="1"/>
      </c>
      <c r="BD26">
        <f ca="1"/>
      </c>
      <c r="BE26">
        <f ca="1"/>
      </c>
      <c r="BF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N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M26" s="7">
        <f ca="1"/>
      </c>
      <c r="GN26">
        <f ca="1"/>
      </c>
      <c r="GO26">
        <f ca="1"/>
      </c>
      <c r="GP26">
        <f ca="1"/>
      </c>
      <c r="GQ26">
        <f ca="1"/>
      </c>
      <c r="GT26">
        <f ca="1"/>
      </c>
    </row>
    <row r="27" spans="1:202" x14ac:dyDescent="0.55000000000000004">
      <c r="A27" t="s">
        <v>297</v>
      </c>
      <c r="B27" s="13" cm="1">
        <f t="array" aca="1" ref="B27" ca="1">_xlfn.XLOOKUP($A27,_xlfn.ANCHORARRAY($GS$4),_xlfn.ANCHORARRAY($GT$4),"")</f>
      </c>
      <c r="C27" s="13" cm="1">
        <f t="array" aca="1" ref="C27" ca="1">_xlfn.LET(_xlpm.h,FWM_HC,_xlpm.c,_xlfn.XMATCH($A27,_xlfn.TAKE(_xlpm.h,1)),INDEX(_xlpm.h,ROWS(_xlpm.h),_xlpm.c))</f>
      </c>
      <c r="D27" s="44">
        <f t="shared" ca="1" si="0"/>
      </c>
      <c r="E27" s="44" cm="1">
        <f t="array" aca="1" ref="E27" ca="1">_xlfn.LET(_xlpm.h,FWM_HC,_xlpm.c,_xlfn.XMATCH($A27,_xlfn.TAKE(_xlpm.h,1)),(B27-INDEX(_xlpm.h,ROWS(_xlpm.h)-4,_xlpm.c))*100)</f>
      </c>
      <c r="F27" s="44" cm="1">
        <f t="array" aca="1" ref="F27" ca="1">_xlfn.LET(_xlpm.h,FWM_HC,_xlpm.c,_xlfn.XMATCH($A27,_xlfn.TAKE(_xlpm.h,1)),(B27-INDEX(_xlpm.h,ROWS(_xlpm.h)-20,_xlpm.c))*100)</f>
      </c>
      <c r="G27" s="44" cm="1">
        <f t="array" aca="1" ref="G27" ca="1">_xlfn.LET(_xlpm.h,FWM_HC,_xlpm.c,_xlfn.XMATCH($A27,_xlfn.TAKE(_xlpm.h,1)),(B27-_xlfn.XLOOKUP(FWM_Cmp,_xlfn.DROP(INDEX(_xlpm.h,,1),1),_xlfn.DROP(INDEX(_xlpm.h,,_xlpm.c),1),"",-1))*100)</f>
      </c>
      <c r="H27" s="11" cm="1">
        <f t="array" aca="1" ref="H27" ca="1">_xlfn.LET(_xlpm.h,FWM_HC,FWM_Sigma(_xlfn.DROP(INDEX(_xlpm.h,,_xlfn.XMATCH($A27&amp;" dF",_xlfn.TAKE(_xlpm.h,1))),1)))</f>
      </c>
      <c r="I27" s="45">
        <f t="shared" ca="1" si="1"/>
      </c>
      <c r="J27" s="45">
        <f t="shared" ca="1" si="2"/>
      </c>
      <c r="K27" s="44">
        <f t="shared" ca="1" si="3"/>
      </c>
      <c r="AA27">
        <f ca="1"/>
      </c>
      <c r="AB27">
        <f ca="1"/>
      </c>
      <c r="AC27">
        <f ca="1"/>
      </c>
      <c r="AD2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L27" t="s">
        <v>22</v>
      </c>
      <c r="AM27">
        <v>1</v>
      </c>
      <c r="AO27">
        <f ca="1"/>
      </c>
      <c r="AP27">
        <f ca="1"/>
      </c>
      <c r="AQ27">
        <f ca="1"/>
      </c>
      <c r="AR27">
        <f ca="1"/>
      </c>
      <c r="AS27">
        <f ca="1"/>
      </c>
      <c r="AT2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AZ27">
        <f ca="1"/>
      </c>
      <c r="BA27">
        <f ca="1"/>
      </c>
      <c r="BB27">
        <f ca="1"/>
      </c>
      <c r="BC27">
        <f ca="1"/>
      </c>
      <c r="BD27">
        <f ca="1"/>
      </c>
      <c r="BE27">
        <f ca="1"/>
      </c>
      <c r="BF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N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M27" s="7">
        <f ca="1"/>
      </c>
      <c r="GN27">
        <f ca="1"/>
      </c>
      <c r="GO27">
        <f ca="1"/>
      </c>
      <c r="GP27">
        <f ca="1"/>
      </c>
      <c r="GQ27">
        <f ca="1"/>
      </c>
    </row>
    <row r="28" spans="1:202" x14ac:dyDescent="0.55000000000000004">
      <c r="B28" s="13"/>
      <c r="C28" s="13"/>
      <c r="D28" s="44"/>
      <c r="E28" s="44"/>
      <c r="F28" s="44"/>
      <c r="G28" s="44"/>
      <c r="H28" s="11"/>
      <c r="I28" s="45"/>
      <c r="J28" s="45"/>
      <c r="K28" s="44"/>
      <c r="AA28">
        <f ca="1"/>
      </c>
      <c r="AB28">
        <f ca="1"/>
      </c>
      <c r="AC28">
        <f ca="1"/>
      </c>
      <c r="AD28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L28" t="s">
        <v>23</v>
      </c>
      <c r="AM28">
        <v>1</v>
      </c>
      <c r="AO28">
        <f ca="1"/>
      </c>
      <c r="AP28">
        <f ca="1"/>
      </c>
      <c r="AQ28">
        <f ca="1"/>
      </c>
      <c r="AR28">
        <f ca="1"/>
      </c>
      <c r="AS28">
        <f ca="1"/>
      </c>
      <c r="AT28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AZ28">
        <f ca="1"/>
      </c>
      <c r="BA28">
        <f ca="1"/>
      </c>
      <c r="BB28">
        <f ca="1"/>
      </c>
      <c r="BC28">
        <f ca="1"/>
      </c>
      <c r="BD28">
        <f ca="1"/>
      </c>
      <c r="BE28">
        <f ca="1"/>
      </c>
      <c r="BF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N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M28" s="7">
        <f ca="1"/>
      </c>
      <c r="GN28">
        <f ca="1"/>
      </c>
      <c r="GO28">
        <f ca="1"/>
      </c>
      <c r="GP28">
        <f ca="1"/>
      </c>
      <c r="GQ28">
        <f ca="1"/>
      </c>
    </row>
    <row r="29" spans="1:202" x14ac:dyDescent="0.55000000000000004">
      <c r="A29" t="s">
        <v>298</v>
      </c>
      <c r="B29" s="13" cm="1">
        <f t="array" aca="1" ref="B29" ca="1">_xlfn.XLOOKUP($A29,_xlfn.ANCHORARRAY($GS$4),_xlfn.ANCHORARRAY($GT$4),"")</f>
      </c>
      <c r="C29" s="13" cm="1">
        <f t="array" aca="1" ref="C29" ca="1">_xlfn.LET(_xlpm.h,FWM_HC,_xlpm.c,_xlfn.XMATCH($A29,_xlfn.TAKE(_xlpm.h,1)),INDEX(_xlpm.h,ROWS(_xlpm.h),_xlpm.c))</f>
      </c>
      <c r="D29" s="44">
        <f t="shared" ca="1" si="0"/>
      </c>
      <c r="E29" s="44" cm="1">
        <f t="array" aca="1" ref="E29" ca="1">_xlfn.LET(_xlpm.h,FWM_HC,_xlpm.c,_xlfn.XMATCH($A29,_xlfn.TAKE(_xlpm.h,1)),(B29-INDEX(_xlpm.h,ROWS(_xlpm.h)-4,_xlpm.c))*100)</f>
      </c>
      <c r="F29" s="44" cm="1">
        <f t="array" aca="1" ref="F29" ca="1">_xlfn.LET(_xlpm.h,FWM_HC,_xlpm.c,_xlfn.XMATCH($A29,_xlfn.TAKE(_xlpm.h,1)),(B29-INDEX(_xlpm.h,ROWS(_xlpm.h)-20,_xlpm.c))*100)</f>
      </c>
      <c r="G29" s="44" cm="1">
        <f t="array" aca="1" ref="G29" ca="1">_xlfn.LET(_xlpm.h,FWM_HC,_xlpm.c,_xlfn.XMATCH($A29,_xlfn.TAKE(_xlpm.h,1)),(B29-_xlfn.XLOOKUP(FWM_Cmp,_xlfn.DROP(INDEX(_xlpm.h,,1),1),_xlfn.DROP(INDEX(_xlpm.h,,_xlpm.c),1),"",-1))*100)</f>
      </c>
      <c r="H29" s="11" cm="1">
        <f t="array" aca="1" ref="H29" ca="1">_xlfn.LET(_xlpm.h,FWM_HC,FWM_Sigma(_xlfn.DROP(INDEX(_xlpm.h,,_xlfn.XMATCH($A29&amp;" dF",_xlfn.TAKE(_xlpm.h,1))),1)))</f>
      </c>
      <c r="I29" s="45">
        <f t="shared" ca="1" si="1"/>
      </c>
      <c r="J29" s="45">
        <f t="shared" ca="1" si="2"/>
      </c>
      <c r="K29" s="44">
        <f t="shared" ref="K29:K35" si="4">IF(ISNUMBER(B28),(B29-B28)*100,"")</f>
      </c>
      <c r="AA29">
        <f ca="1"/>
      </c>
      <c r="AB29">
        <f ca="1"/>
      </c>
      <c r="AC29">
        <f ca="1"/>
      </c>
      <c r="AD29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L29" t="s">
        <v>24</v>
      </c>
      <c r="AM29">
        <v>1</v>
      </c>
      <c r="AO29">
        <f ca="1"/>
      </c>
      <c r="AP29">
        <f ca="1"/>
      </c>
      <c r="AQ29">
        <f ca="1"/>
      </c>
      <c r="AR29">
        <f ca="1"/>
      </c>
      <c r="AS29">
        <f ca="1"/>
      </c>
      <c r="AT29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AZ29">
        <f ca="1"/>
      </c>
      <c r="BA29">
        <f ca="1"/>
      </c>
      <c r="BB29">
        <f ca="1"/>
      </c>
      <c r="BC29">
        <f ca="1"/>
      </c>
      <c r="BD29">
        <f ca="1"/>
      </c>
      <c r="BE29">
        <f ca="1"/>
      </c>
      <c r="BF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N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M29" s="7">
        <f ca="1"/>
      </c>
      <c r="GN29">
        <f ca="1"/>
      </c>
      <c r="GO29">
        <f ca="1"/>
      </c>
      <c r="GP29">
        <f ca="1"/>
      </c>
      <c r="GQ29">
        <f ca="1"/>
      </c>
    </row>
    <row r="30" spans="1:202" x14ac:dyDescent="0.55000000000000004">
      <c r="A30" t="s">
        <v>299</v>
      </c>
      <c r="B30" s="13" cm="1">
        <f t="array" aca="1" ref="B30" ca="1">_xlfn.XLOOKUP($A30,_xlfn.ANCHORARRAY($GS$4),_xlfn.ANCHORARRAY($GT$4),"")</f>
      </c>
      <c r="C30" s="13" cm="1">
        <f t="array" aca="1" ref="C30" ca="1">_xlfn.LET(_xlpm.h,FWM_HC,_xlpm.c,_xlfn.XMATCH($A30,_xlfn.TAKE(_xlpm.h,1)),INDEX(_xlpm.h,ROWS(_xlpm.h),_xlpm.c))</f>
      </c>
      <c r="D30" s="44">
        <f t="shared" ca="1" si="0"/>
      </c>
      <c r="E30" s="44" cm="1">
        <f t="array" aca="1" ref="E30" ca="1">_xlfn.LET(_xlpm.h,FWM_HC,_xlpm.c,_xlfn.XMATCH($A30,_xlfn.TAKE(_xlpm.h,1)),(B30-INDEX(_xlpm.h,ROWS(_xlpm.h)-4,_xlpm.c))*100)</f>
      </c>
      <c r="F30" s="44" cm="1">
        <f t="array" aca="1" ref="F30" ca="1">_xlfn.LET(_xlpm.h,FWM_HC,_xlpm.c,_xlfn.XMATCH($A30,_xlfn.TAKE(_xlpm.h,1)),(B30-INDEX(_xlpm.h,ROWS(_xlpm.h)-20,_xlpm.c))*100)</f>
      </c>
      <c r="G30" s="44" cm="1">
        <f t="array" aca="1" ref="G30" ca="1">_xlfn.LET(_xlpm.h,FWM_HC,_xlpm.c,_xlfn.XMATCH($A30,_xlfn.TAKE(_xlpm.h,1)),(B30-_xlfn.XLOOKUP(FWM_Cmp,_xlfn.DROP(INDEX(_xlpm.h,,1),1),_xlfn.DROP(INDEX(_xlpm.h,,_xlpm.c),1),"",-1))*100)</f>
      </c>
      <c r="H30" s="11" cm="1">
        <f t="array" aca="1" ref="H30" ca="1">_xlfn.LET(_xlpm.h,FWM_HC,FWM_Sigma(_xlfn.DROP(INDEX(_xlpm.h,,_xlfn.XMATCH($A30&amp;" dF",_xlfn.TAKE(_xlpm.h,1))),1)))</f>
      </c>
      <c r="I30" s="45">
        <f t="shared" ca="1" si="1"/>
      </c>
      <c r="J30" s="45">
        <f t="shared" ca="1" si="2"/>
      </c>
      <c r="K30" s="44">
        <f t="shared" ca="1" si="4"/>
      </c>
      <c r="AA30">
        <f ca="1"/>
      </c>
      <c r="AB30">
        <f ca="1"/>
      </c>
      <c r="AC30">
        <f ca="1"/>
      </c>
      <c r="AD30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L30" t="s">
        <v>25</v>
      </c>
      <c r="AM30">
        <v>1</v>
      </c>
      <c r="AO30">
        <f ca="1"/>
      </c>
      <c r="AP30">
        <f ca="1"/>
      </c>
      <c r="AQ30">
        <f ca="1"/>
      </c>
      <c r="AR30">
        <f ca="1"/>
      </c>
      <c r="AS30">
        <f ca="1"/>
      </c>
      <c r="AT30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AZ30">
        <f ca="1"/>
      </c>
      <c r="BA30">
        <f ca="1"/>
      </c>
      <c r="BB30">
        <f ca="1"/>
      </c>
      <c r="BC30">
        <f ca="1"/>
      </c>
      <c r="BD30">
        <f ca="1"/>
      </c>
      <c r="BE30">
        <f ca="1"/>
      </c>
      <c r="BF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N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M30" s="7">
        <f ca="1"/>
      </c>
      <c r="GN30">
        <f ca="1"/>
      </c>
      <c r="GO30">
        <f ca="1"/>
      </c>
      <c r="GP30">
        <f ca="1"/>
      </c>
      <c r="GQ30">
        <f ca="1"/>
      </c>
    </row>
    <row r="31" spans="1:202" x14ac:dyDescent="0.55000000000000004">
      <c r="A31" t="s">
        <v>300</v>
      </c>
      <c r="B31" s="13" cm="1">
        <f t="array" aca="1" ref="B31" ca="1">_xlfn.XLOOKUP($A31,_xlfn.ANCHORARRAY($GS$4),_xlfn.ANCHORARRAY($GT$4),"")</f>
      </c>
      <c r="C31" s="13" cm="1">
        <f t="array" aca="1" ref="C31" ca="1">_xlfn.LET(_xlpm.h,FWM_HC,_xlpm.c,_xlfn.XMATCH($A31,_xlfn.TAKE(_xlpm.h,1)),INDEX(_xlpm.h,ROWS(_xlpm.h),_xlpm.c))</f>
      </c>
      <c r="D31" s="44">
        <f t="shared" ca="1" si="0"/>
      </c>
      <c r="E31" s="44" cm="1">
        <f t="array" aca="1" ref="E31" ca="1">_xlfn.LET(_xlpm.h,FWM_HC,_xlpm.c,_xlfn.XMATCH($A31,_xlfn.TAKE(_xlpm.h,1)),(B31-INDEX(_xlpm.h,ROWS(_xlpm.h)-4,_xlpm.c))*100)</f>
      </c>
      <c r="F31" s="44" cm="1">
        <f t="array" aca="1" ref="F31" ca="1">_xlfn.LET(_xlpm.h,FWM_HC,_xlpm.c,_xlfn.XMATCH($A31,_xlfn.TAKE(_xlpm.h,1)),(B31-INDEX(_xlpm.h,ROWS(_xlpm.h)-20,_xlpm.c))*100)</f>
      </c>
      <c r="G31" s="44" cm="1">
        <f t="array" aca="1" ref="G31" ca="1">_xlfn.LET(_xlpm.h,FWM_HC,_xlpm.c,_xlfn.XMATCH($A31,_xlfn.TAKE(_xlpm.h,1)),(B31-_xlfn.XLOOKUP(FWM_Cmp,_xlfn.DROP(INDEX(_xlpm.h,,1),1),_xlfn.DROP(INDEX(_xlpm.h,,_xlpm.c),1),"",-1))*100)</f>
      </c>
      <c r="H31" s="11" cm="1">
        <f t="array" aca="1" ref="H31" ca="1">_xlfn.LET(_xlpm.h,FWM_HC,FWM_Sigma(_xlfn.DROP(INDEX(_xlpm.h,,_xlfn.XMATCH($A31&amp;" dF",_xlfn.TAKE(_xlpm.h,1))),1)))</f>
      </c>
      <c r="I31" s="45">
        <f t="shared" ca="1" si="1"/>
      </c>
      <c r="J31" s="45">
        <f t="shared" ca="1" si="2"/>
      </c>
      <c r="K31" s="44">
        <f t="shared" ca="1" si="4"/>
      </c>
      <c r="AA31">
        <f ca="1"/>
      </c>
      <c r="AB31">
        <f ca="1"/>
      </c>
      <c r="AC31">
        <f ca="1"/>
      </c>
      <c r="AD31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L31" t="s">
        <v>26</v>
      </c>
      <c r="AM31">
        <v>1</v>
      </c>
      <c r="AO31">
        <f ca="1"/>
      </c>
      <c r="AP31">
        <f ca="1"/>
      </c>
      <c r="AQ31">
        <f ca="1"/>
      </c>
      <c r="AR31">
        <f ca="1"/>
      </c>
      <c r="AS31">
        <f ca="1"/>
      </c>
      <c r="AT31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AZ31">
        <f ca="1"/>
      </c>
      <c r="BA31">
        <f ca="1"/>
      </c>
      <c r="BB31">
        <f ca="1"/>
      </c>
      <c r="BC31">
        <f ca="1"/>
      </c>
      <c r="BD31">
        <f ca="1"/>
      </c>
      <c r="BE31">
        <f ca="1"/>
      </c>
      <c r="BF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N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M31" s="7">
        <f ca="1"/>
      </c>
      <c r="GN31">
        <f ca="1"/>
      </c>
      <c r="GO31">
        <f ca="1"/>
      </c>
      <c r="GP31">
        <f ca="1"/>
      </c>
      <c r="GQ31">
        <f ca="1"/>
      </c>
    </row>
    <row r="32" spans="1:202" x14ac:dyDescent="0.55000000000000004">
      <c r="A32" t="s">
        <v>301</v>
      </c>
      <c r="B32" s="13" cm="1">
        <f t="array" aca="1" ref="B32" ca="1">_xlfn.XLOOKUP($A32,_xlfn.ANCHORARRAY($GS$4),_xlfn.ANCHORARRAY($GT$4),"")</f>
      </c>
      <c r="C32" s="13" cm="1">
        <f t="array" aca="1" ref="C32" ca="1">_xlfn.LET(_xlpm.h,FWM_HC,_xlpm.c,_xlfn.XMATCH($A32,_xlfn.TAKE(_xlpm.h,1)),INDEX(_xlpm.h,ROWS(_xlpm.h),_xlpm.c))</f>
      </c>
      <c r="D32" s="44">
        <f t="shared" ca="1" si="0"/>
      </c>
      <c r="E32" s="44" cm="1">
        <f t="array" aca="1" ref="E32" ca="1">_xlfn.LET(_xlpm.h,FWM_HC,_xlpm.c,_xlfn.XMATCH($A32,_xlfn.TAKE(_xlpm.h,1)),(B32-INDEX(_xlpm.h,ROWS(_xlpm.h)-4,_xlpm.c))*100)</f>
      </c>
      <c r="F32" s="44" cm="1">
        <f t="array" aca="1" ref="F32" ca="1">_xlfn.LET(_xlpm.h,FWM_HC,_xlpm.c,_xlfn.XMATCH($A32,_xlfn.TAKE(_xlpm.h,1)),(B32-INDEX(_xlpm.h,ROWS(_xlpm.h)-20,_xlpm.c))*100)</f>
      </c>
      <c r="G32" s="44" cm="1">
        <f t="array" aca="1" ref="G32" ca="1">_xlfn.LET(_xlpm.h,FWM_HC,_xlpm.c,_xlfn.XMATCH($A32,_xlfn.TAKE(_xlpm.h,1)),(B32-_xlfn.XLOOKUP(FWM_Cmp,_xlfn.DROP(INDEX(_xlpm.h,,1),1),_xlfn.DROP(INDEX(_xlpm.h,,_xlpm.c),1),"",-1))*100)</f>
      </c>
      <c r="H32" s="11" cm="1">
        <f t="array" aca="1" ref="H32" ca="1">_xlfn.LET(_xlpm.h,FWM_HC,FWM_Sigma(_xlfn.DROP(INDEX(_xlpm.h,,_xlfn.XMATCH($A32&amp;" dF",_xlfn.TAKE(_xlpm.h,1))),1)))</f>
      </c>
      <c r="I32" s="45">
        <f t="shared" ca="1" si="1"/>
      </c>
      <c r="J32" s="45">
        <f t="shared" ca="1" si="2"/>
      </c>
      <c r="K32" s="44">
        <f t="shared" ca="1" si="4"/>
      </c>
      <c r="AA32">
        <f ca="1"/>
      </c>
      <c r="AB32">
        <f ca="1"/>
      </c>
      <c r="AC32">
        <f ca="1"/>
      </c>
      <c r="AD32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L32" t="s">
        <v>27</v>
      </c>
      <c r="AM32">
        <v>1</v>
      </c>
      <c r="AO32">
        <f ca="1"/>
      </c>
      <c r="AP32">
        <f ca="1"/>
      </c>
      <c r="AQ32">
        <f ca="1"/>
      </c>
      <c r="AR32">
        <f ca="1"/>
      </c>
      <c r="AS32">
        <f ca="1"/>
      </c>
      <c r="AT32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AZ32">
        <f ca="1"/>
      </c>
      <c r="BA32">
        <f ca="1"/>
      </c>
      <c r="BB32">
        <f ca="1"/>
      </c>
      <c r="BC32">
        <f ca="1"/>
      </c>
      <c r="BD32">
        <f ca="1"/>
      </c>
      <c r="BE32">
        <f ca="1"/>
      </c>
      <c r="BF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N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M32" s="7">
        <f ca="1"/>
      </c>
      <c r="GN32">
        <f ca="1"/>
      </c>
      <c r="GO32">
        <f ca="1"/>
      </c>
      <c r="GP32">
        <f ca="1"/>
      </c>
      <c r="GQ32">
        <f ca="1"/>
      </c>
    </row>
    <row r="33" spans="1:199" x14ac:dyDescent="0.55000000000000004">
      <c r="A33" t="s">
        <v>302</v>
      </c>
      <c r="B33" s="13" cm="1">
        <f t="array" aca="1" ref="B33" ca="1">_xlfn.XLOOKUP($A33,_xlfn.ANCHORARRAY($GS$4),_xlfn.ANCHORARRAY($GT$4),"")</f>
      </c>
      <c r="C33" s="13" cm="1">
        <f t="array" aca="1" ref="C33" ca="1">_xlfn.LET(_xlpm.h,FWM_HC,_xlpm.c,_xlfn.XMATCH($A33,_xlfn.TAKE(_xlpm.h,1)),INDEX(_xlpm.h,ROWS(_xlpm.h),_xlpm.c))</f>
      </c>
      <c r="D33" s="44">
        <f t="shared" ca="1" si="0"/>
      </c>
      <c r="E33" s="44" cm="1">
        <f t="array" aca="1" ref="E33" ca="1">_xlfn.LET(_xlpm.h,FWM_HC,_xlpm.c,_xlfn.XMATCH($A33,_xlfn.TAKE(_xlpm.h,1)),(B33-INDEX(_xlpm.h,ROWS(_xlpm.h)-4,_xlpm.c))*100)</f>
      </c>
      <c r="F33" s="44" cm="1">
        <f t="array" aca="1" ref="F33" ca="1">_xlfn.LET(_xlpm.h,FWM_HC,_xlpm.c,_xlfn.XMATCH($A33,_xlfn.TAKE(_xlpm.h,1)),(B33-INDEX(_xlpm.h,ROWS(_xlpm.h)-20,_xlpm.c))*100)</f>
      </c>
      <c r="G33" s="44" cm="1">
        <f t="array" aca="1" ref="G33" ca="1">_xlfn.LET(_xlpm.h,FWM_HC,_xlpm.c,_xlfn.XMATCH($A33,_xlfn.TAKE(_xlpm.h,1)),(B33-_xlfn.XLOOKUP(FWM_Cmp,_xlfn.DROP(INDEX(_xlpm.h,,1),1),_xlfn.DROP(INDEX(_xlpm.h,,_xlpm.c),1),"",-1))*100)</f>
      </c>
      <c r="H33" s="11" cm="1">
        <f t="array" aca="1" ref="H33" ca="1">_xlfn.LET(_xlpm.h,FWM_HC,FWM_Sigma(_xlfn.DROP(INDEX(_xlpm.h,,_xlfn.XMATCH($A33&amp;" dF",_xlfn.TAKE(_xlpm.h,1))),1)))</f>
      </c>
      <c r="I33" s="45">
        <f t="shared" ca="1" si="1"/>
      </c>
      <c r="J33" s="45">
        <f t="shared" ca="1" si="2"/>
      </c>
      <c r="K33" s="44">
        <f t="shared" ca="1" si="4"/>
      </c>
      <c r="AA33">
        <f ca="1"/>
      </c>
      <c r="AB33">
        <f ca="1"/>
      </c>
      <c r="AC33">
        <f ca="1"/>
      </c>
      <c r="AD33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L33" t="s">
        <v>28</v>
      </c>
      <c r="AM33">
        <v>1</v>
      </c>
      <c r="AO33">
        <f ca="1"/>
      </c>
      <c r="AP33">
        <f ca="1"/>
      </c>
      <c r="AQ33">
        <f ca="1"/>
      </c>
      <c r="AR33">
        <f ca="1"/>
      </c>
      <c r="AS33">
        <f ca="1"/>
      </c>
      <c r="AT33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AZ33">
        <f ca="1"/>
      </c>
      <c r="BA33">
        <f ca="1"/>
      </c>
      <c r="BB33">
        <f ca="1"/>
      </c>
      <c r="BC33">
        <f ca="1"/>
      </c>
      <c r="BD33">
        <f ca="1"/>
      </c>
      <c r="BE33">
        <f ca="1"/>
      </c>
      <c r="BF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N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M33" s="7">
        <f ca="1"/>
      </c>
      <c r="GN33">
        <f ca="1"/>
      </c>
      <c r="GO33">
        <f ca="1"/>
      </c>
      <c r="GP33">
        <f ca="1"/>
      </c>
      <c r="GQ33">
        <f ca="1"/>
      </c>
    </row>
    <row r="34" spans="1:199" x14ac:dyDescent="0.55000000000000004">
      <c r="A34" t="s">
        <v>303</v>
      </c>
      <c r="B34" s="13" cm="1">
        <f t="array" aca="1" ref="B34" ca="1">_xlfn.XLOOKUP($A34,_xlfn.ANCHORARRAY($GS$4),_xlfn.ANCHORARRAY($GT$4),"")</f>
      </c>
      <c r="C34" s="13" cm="1">
        <f t="array" aca="1" ref="C34" ca="1">_xlfn.LET(_xlpm.h,FWM_HC,_xlpm.c,_xlfn.XMATCH($A34,_xlfn.TAKE(_xlpm.h,1)),INDEX(_xlpm.h,ROWS(_xlpm.h),_xlpm.c))</f>
      </c>
      <c r="D34" s="44">
        <f t="shared" ca="1" si="0"/>
      </c>
      <c r="E34" s="44" cm="1">
        <f t="array" aca="1" ref="E34" ca="1">_xlfn.LET(_xlpm.h,FWM_HC,_xlpm.c,_xlfn.XMATCH($A34,_xlfn.TAKE(_xlpm.h,1)),(B34-INDEX(_xlpm.h,ROWS(_xlpm.h)-4,_xlpm.c))*100)</f>
      </c>
      <c r="F34" s="44" cm="1">
        <f t="array" aca="1" ref="F34" ca="1">_xlfn.LET(_xlpm.h,FWM_HC,_xlpm.c,_xlfn.XMATCH($A34,_xlfn.TAKE(_xlpm.h,1)),(B34-INDEX(_xlpm.h,ROWS(_xlpm.h)-20,_xlpm.c))*100)</f>
      </c>
      <c r="G34" s="44" cm="1">
        <f t="array" aca="1" ref="G34" ca="1">_xlfn.LET(_xlpm.h,FWM_HC,_xlpm.c,_xlfn.XMATCH($A34,_xlfn.TAKE(_xlpm.h,1)),(B34-_xlfn.XLOOKUP(FWM_Cmp,_xlfn.DROP(INDEX(_xlpm.h,,1),1),_xlfn.DROP(INDEX(_xlpm.h,,_xlpm.c),1),"",-1))*100)</f>
      </c>
      <c r="H34" s="11" cm="1">
        <f t="array" aca="1" ref="H34" ca="1">_xlfn.LET(_xlpm.h,FWM_HC,FWM_Sigma(_xlfn.DROP(INDEX(_xlpm.h,,_xlfn.XMATCH($A34&amp;" dF",_xlfn.TAKE(_xlpm.h,1))),1)))</f>
      </c>
      <c r="I34" s="45">
        <f t="shared" ca="1" si="1"/>
      </c>
      <c r="J34" s="45">
        <f t="shared" ca="1" si="2"/>
      </c>
      <c r="K34" s="44">
        <f t="shared" ca="1" si="4"/>
      </c>
      <c r="AA34">
        <f ca="1"/>
      </c>
      <c r="AB34">
        <f ca="1"/>
      </c>
      <c r="AC34">
        <f ca="1"/>
      </c>
      <c r="AD34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L34" t="s">
        <v>29</v>
      </c>
      <c r="AM34">
        <v>1</v>
      </c>
      <c r="AO34">
        <f ca="1"/>
      </c>
      <c r="AP34">
        <f ca="1"/>
      </c>
      <c r="AQ34">
        <f ca="1"/>
      </c>
      <c r="AR34">
        <f ca="1"/>
      </c>
      <c r="AS34">
        <f ca="1"/>
      </c>
      <c r="AT34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AZ34">
        <f ca="1"/>
      </c>
      <c r="BA34">
        <f ca="1"/>
      </c>
      <c r="BB34">
        <f ca="1"/>
      </c>
      <c r="BC34">
        <f ca="1"/>
      </c>
      <c r="BD34">
        <f ca="1"/>
      </c>
      <c r="BE34">
        <f ca="1"/>
      </c>
      <c r="BF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N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M34" s="7">
        <f ca="1"/>
      </c>
      <c r="GN34">
        <f ca="1"/>
      </c>
      <c r="GO34">
        <f ca="1"/>
      </c>
      <c r="GP34">
        <f ca="1"/>
      </c>
      <c r="GQ34">
        <f ca="1"/>
      </c>
    </row>
    <row r="35" spans="1:199" x14ac:dyDescent="0.55000000000000004">
      <c r="A35" t="s">
        <v>304</v>
      </c>
      <c r="B35" s="13" cm="1">
        <f t="array" aca="1" ref="B35" ca="1">_xlfn.XLOOKUP($A35,_xlfn.ANCHORARRAY($GS$4),_xlfn.ANCHORARRAY($GT$4),"")</f>
      </c>
      <c r="C35" s="13" cm="1">
        <f t="array" aca="1" ref="C35" ca="1">_xlfn.LET(_xlpm.h,FWM_HC,_xlpm.c,_xlfn.XMATCH($A35,_xlfn.TAKE(_xlpm.h,1)),INDEX(_xlpm.h,ROWS(_xlpm.h),_xlpm.c))</f>
      </c>
      <c r="D35" s="44">
        <f t="shared" ca="1" si="0"/>
      </c>
      <c r="E35" s="44" cm="1">
        <f t="array" aca="1" ref="E35" ca="1">_xlfn.LET(_xlpm.h,FWM_HC,_xlpm.c,_xlfn.XMATCH($A35,_xlfn.TAKE(_xlpm.h,1)),(B35-INDEX(_xlpm.h,ROWS(_xlpm.h)-4,_xlpm.c))*100)</f>
      </c>
      <c r="F35" s="44" cm="1">
        <f t="array" aca="1" ref="F35" ca="1">_xlfn.LET(_xlpm.h,FWM_HC,_xlpm.c,_xlfn.XMATCH($A35,_xlfn.TAKE(_xlpm.h,1)),(B35-INDEX(_xlpm.h,ROWS(_xlpm.h)-20,_xlpm.c))*100)</f>
      </c>
      <c r="G35" s="44" cm="1">
        <f t="array" aca="1" ref="G35" ca="1">_xlfn.LET(_xlpm.h,FWM_HC,_xlpm.c,_xlfn.XMATCH($A35,_xlfn.TAKE(_xlpm.h,1)),(B35-_xlfn.XLOOKUP(FWM_Cmp,_xlfn.DROP(INDEX(_xlpm.h,,1),1),_xlfn.DROP(INDEX(_xlpm.h,,_xlpm.c),1),"",-1))*100)</f>
      </c>
      <c r="H35" s="11" cm="1">
        <f t="array" aca="1" ref="H35" ca="1">_xlfn.LET(_xlpm.h,FWM_HC,FWM_Sigma(_xlfn.DROP(INDEX(_xlpm.h,,_xlfn.XMATCH($A35&amp;" dF",_xlfn.TAKE(_xlpm.h,1))),1)))</f>
      </c>
      <c r="I35" s="45">
        <f t="shared" ca="1" si="1"/>
      </c>
      <c r="J35" s="45">
        <f t="shared" ca="1" si="2"/>
      </c>
      <c r="K35" s="44">
        <f t="shared" ca="1" si="4"/>
      </c>
      <c r="AA35">
        <f ca="1"/>
      </c>
      <c r="AB35">
        <f ca="1"/>
      </c>
      <c r="AC35">
        <f ca="1"/>
      </c>
      <c r="AD35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L35" t="s">
        <v>30</v>
      </c>
      <c r="AM35">
        <v>1</v>
      </c>
      <c r="AO35">
        <f ca="1"/>
      </c>
      <c r="AP35">
        <f ca="1"/>
      </c>
      <c r="AQ35">
        <f ca="1"/>
      </c>
      <c r="AR35">
        <f ca="1"/>
      </c>
      <c r="AS35">
        <f ca="1"/>
      </c>
      <c r="AT35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AZ35">
        <f ca="1"/>
      </c>
      <c r="BA35">
        <f ca="1"/>
      </c>
      <c r="BB35">
        <f ca="1"/>
      </c>
      <c r="BC35">
        <f ca="1"/>
      </c>
      <c r="BD35">
        <f ca="1"/>
      </c>
      <c r="BE35">
        <f ca="1"/>
      </c>
      <c r="BF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N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M35" s="7">
        <f ca="1"/>
      </c>
      <c r="GN35">
        <f ca="1"/>
      </c>
      <c r="GO35">
        <f ca="1"/>
      </c>
      <c r="GP35">
        <f ca="1"/>
      </c>
      <c r="GQ35">
        <f ca="1"/>
      </c>
    </row>
    <row r="36" spans="1:199" x14ac:dyDescent="0.55000000000000004">
      <c r="A36" t="s">
        <v>305</v>
      </c>
      <c r="AA36">
        <f ca="1"/>
      </c>
      <c r="AB36">
        <f ca="1"/>
      </c>
      <c r="AC36">
        <f ca="1"/>
      </c>
      <c r="AD36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L36" t="s">
        <v>31</v>
      </c>
      <c r="AM36">
        <v>1</v>
      </c>
      <c r="AO36">
        <f ca="1"/>
      </c>
      <c r="AP36">
        <f ca="1"/>
      </c>
      <c r="AQ36">
        <f ca="1"/>
      </c>
      <c r="AR36">
        <f ca="1"/>
      </c>
      <c r="AS36">
        <f ca="1"/>
      </c>
      <c r="AT36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AZ36">
        <f ca="1"/>
      </c>
      <c r="BA36">
        <f ca="1"/>
      </c>
      <c r="BB36">
        <f ca="1"/>
      </c>
      <c r="BC36">
        <f ca="1"/>
      </c>
      <c r="BD36">
        <f ca="1"/>
      </c>
      <c r="BE36">
        <f ca="1"/>
      </c>
      <c r="BF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N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M36" s="7">
        <f ca="1"/>
      </c>
      <c r="GN36">
        <f ca="1"/>
      </c>
      <c r="GO36">
        <f ca="1"/>
      </c>
      <c r="GP36">
        <f ca="1"/>
      </c>
      <c r="GQ36">
        <f ca="1"/>
      </c>
    </row>
    <row r="37" spans="1:199" x14ac:dyDescent="0.55000000000000004">
      <c r="A37" s="4" t="s">
        <v>306</v>
      </c>
      <c r="AA37">
        <f ca="1"/>
      </c>
      <c r="AB37">
        <f ca="1"/>
      </c>
      <c r="AC37">
        <f ca="1"/>
      </c>
      <c r="AD3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L37" t="s">
        <v>32</v>
      </c>
      <c r="AM37">
        <v>1</v>
      </c>
      <c r="AO37">
        <f ca="1"/>
      </c>
      <c r="AP37">
        <f ca="1"/>
      </c>
      <c r="AQ37">
        <f ca="1"/>
      </c>
      <c r="AR37">
        <f ca="1"/>
      </c>
      <c r="AS37">
        <f ca="1"/>
      </c>
      <c r="AT3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AZ37">
        <f ca="1"/>
      </c>
      <c r="BA37">
        <f ca="1"/>
      </c>
      <c r="BB37">
        <f ca="1"/>
      </c>
      <c r="BC37">
        <f ca="1"/>
      </c>
      <c r="BD37">
        <f ca="1"/>
      </c>
      <c r="BE37">
        <f ca="1"/>
      </c>
      <c r="BF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N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M37" s="7">
        <f ca="1"/>
      </c>
      <c r="GN37">
        <f ca="1"/>
      </c>
      <c r="GO37">
        <f ca="1"/>
      </c>
      <c r="GP37">
        <f ca="1"/>
      </c>
      <c r="GQ37">
        <f ca="1"/>
      </c>
    </row>
    <row r="38" spans="1:199" x14ac:dyDescent="0.55000000000000004">
      <c r="A38" s="4" t="s">
        <v>307</v>
      </c>
      <c r="B38" s="4" t="s">
        <v>308</v>
      </c>
      <c r="C38" s="4" t="s">
        <v>146</v>
      </c>
      <c r="D38" s="4" t="s">
        <v>309</v>
      </c>
      <c r="E38" s="4" t="s">
        <v>310</v>
      </c>
      <c r="F38" s="4" t="s">
        <v>311</v>
      </c>
      <c r="G38" s="4" t="s">
        <v>312</v>
      </c>
      <c r="H38" s="4" t="s">
        <v>313</v>
      </c>
      <c r="I38" s="4" t="s">
        <v>314</v>
      </c>
      <c r="J38" s="4" t="s">
        <v>315</v>
      </c>
      <c r="K38" s="4" t="s">
        <v>275</v>
      </c>
      <c r="L38" s="4" t="s">
        <v>277</v>
      </c>
      <c r="M38" s="4" t="s">
        <v>279</v>
      </c>
      <c r="N38" s="4" t="s">
        <v>280</v>
      </c>
      <c r="O38" s="4" t="s">
        <v>281</v>
      </c>
      <c r="AA38">
        <f ca="1"/>
      </c>
      <c r="AB38">
        <f ca="1"/>
      </c>
      <c r="AC38">
        <f ca="1"/>
      </c>
      <c r="AD38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L38" t="s">
        <v>109</v>
      </c>
      <c r="AM38">
        <v>0</v>
      </c>
      <c r="AO38">
        <f ca="1"/>
      </c>
      <c r="AP38">
        <f ca="1"/>
      </c>
      <c r="AQ38">
        <f ca="1"/>
      </c>
      <c r="AR38">
        <f ca="1"/>
      </c>
      <c r="AS38">
        <f ca="1"/>
      </c>
      <c r="AT38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AZ38">
        <f ca="1"/>
      </c>
      <c r="BA38">
        <f ca="1"/>
      </c>
      <c r="BB38">
        <f ca="1"/>
      </c>
      <c r="BC38">
        <f ca="1"/>
      </c>
      <c r="BD38">
        <f ca="1"/>
      </c>
      <c r="BE38">
        <f ca="1"/>
      </c>
      <c r="BF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N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M38" s="7">
        <f ca="1"/>
      </c>
      <c r="GN38">
        <f ca="1"/>
      </c>
      <c r="GO38">
        <f ca="1"/>
      </c>
      <c r="GP38">
        <f ca="1"/>
      </c>
      <c r="GQ38">
        <f ca="1"/>
      </c>
    </row>
    <row r="39" spans="1:199" x14ac:dyDescent="0.55000000000000004">
      <c r="A39" s="2" t="s">
        <v>143</v>
      </c>
      <c r="B39">
        <f t="shared" ref="B39:B48" si="5">IF(D39="","",D39&amp;IF(F39="","","/"&amp;F39)&amp;IF(H39="","","/"&amp;H39))</f>
      </c>
      <c r="C39" s="2" t="s">
        <v>316</v>
      </c>
      <c r="D39" s="2" t="s">
        <v>298</v>
      </c>
      <c r="E39" s="2">
        <v>1</v>
      </c>
      <c r="F39" s="2"/>
      <c r="G39" s="2"/>
      <c r="H39" s="2"/>
      <c r="I39" s="2"/>
      <c r="J39" s="14" cm="1">
        <f t="array" aca="1" ref="J39" ca="1">IF(D39="","",100*(N(E39)*FWM_LiveOf(D39)+N(G39)*FWM_LiveOf(F39)+N(I39)*FWM_LiveOf(H39)))</f>
      </c>
      <c r="K39" s="44" cm="1">
        <f t="array" aca="1" ref="K39" ca="1">IF(D39="","",_xlfn.LET(_xlpm.x,FWM_Row(1,""),J39-INDEX(_xlpm.x,ROWS(_xlpm.x))))</f>
      </c>
      <c r="L39" s="44" cm="1">
        <f t="array" aca="1" ref="L39" ca="1">IF(D39="","",_xlfn.LET(_xlpm.x,FWM_Row(1,""),J39-INDEX(_xlpm.x,ROWS(_xlpm.x)-20)))</f>
      </c>
      <c r="M39" s="11" cm="1">
        <f t="array" aca="1" ref="M39" ca="1">IF(D39="","",FWM_Sigma(FWM_Row(1," dF")))</f>
      </c>
      <c r="N39" s="45">
        <f t="shared" ref="N39:N48" ca="1" si="6">IF(D39="","",K39/M39)</f>
      </c>
      <c r="O39" s="45" cm="1">
        <f t="array" aca="1" ref="O39" ca="1">IF(D39="","",_xlfn.LET(_xlpm.x,FWM_Row(1,""),(J39-INDEX(_xlpm.x,ROWS(_xlpm.x)-4))/(M39*SQRT(5))))</f>
      </c>
      <c r="AA39">
        <f ca="1"/>
      </c>
      <c r="AB39">
        <f ca="1"/>
      </c>
      <c r="AC39">
        <f ca="1"/>
      </c>
      <c r="AD39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L39" t="s">
        <v>33</v>
      </c>
      <c r="AM39">
        <v>0</v>
      </c>
      <c r="AO39">
        <f ca="1"/>
      </c>
      <c r="AP39">
        <f ca="1"/>
      </c>
      <c r="AQ39">
        <f ca="1"/>
      </c>
      <c r="AR39">
        <f ca="1"/>
      </c>
      <c r="AS39">
        <f ca="1"/>
      </c>
      <c r="AT39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AZ39">
        <f ca="1"/>
      </c>
      <c r="BA39">
        <f ca="1"/>
      </c>
      <c r="BB39">
        <f ca="1"/>
      </c>
      <c r="BC39">
        <f ca="1"/>
      </c>
      <c r="BD39">
        <f ca="1"/>
      </c>
      <c r="BE39">
        <f ca="1"/>
      </c>
      <c r="BF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N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M39" s="7">
        <f ca="1"/>
      </c>
      <c r="GN39">
        <f ca="1"/>
      </c>
      <c r="GO39">
        <f ca="1"/>
      </c>
      <c r="GP39">
        <f ca="1"/>
      </c>
      <c r="GQ39">
        <f ca="1"/>
      </c>
    </row>
    <row r="40" spans="1:199" x14ac:dyDescent="0.55000000000000004">
      <c r="A40" s="2" t="s">
        <v>143</v>
      </c>
      <c r="B40">
        <f t="shared" si="5"/>
      </c>
      <c r="C40" s="2" t="s">
        <v>317</v>
      </c>
      <c r="D40" s="2" t="s">
        <v>298</v>
      </c>
      <c r="E40" s="2">
        <v>1</v>
      </c>
      <c r="F40" s="2"/>
      <c r="G40" s="2"/>
      <c r="H40" s="2"/>
      <c r="I40" s="2"/>
      <c r="J40" s="14" cm="1">
        <f t="array" aca="1" ref="J40" ca="1">IF(D40="","",100*(N(E40)*FWM_LiveOf(D40)+N(G40)*FWM_LiveOf(F40)+N(I40)*FWM_LiveOf(H40)))</f>
      </c>
      <c r="K40" s="44" cm="1">
        <f t="array" aca="1" ref="K40" ca="1">IF(D40="","",_xlfn.LET(_xlpm.x,FWM_Row(2,""),J40-INDEX(_xlpm.x,ROWS(_xlpm.x))))</f>
      </c>
      <c r="L40" s="44" cm="1">
        <f t="array" aca="1" ref="L40" ca="1">IF(D40="","",_xlfn.LET(_xlpm.x,FWM_Row(2,""),J40-INDEX(_xlpm.x,ROWS(_xlpm.x)-20)))</f>
      </c>
      <c r="M40" s="11" cm="1">
        <f t="array" aca="1" ref="M40" ca="1">IF(D40="","",FWM_Sigma(FWM_Row(2," dF")))</f>
      </c>
      <c r="N40" s="45">
        <f t="shared" ca="1" si="6"/>
      </c>
      <c r="O40" s="45" cm="1">
        <f t="array" aca="1" ref="O40" ca="1">IF(D40="","",_xlfn.LET(_xlpm.x,FWM_Row(2,""),(J40-INDEX(_xlpm.x,ROWS(_xlpm.x)-4))/(M40*SQRT(5))))</f>
      </c>
      <c r="AA40">
        <f ca="1"/>
      </c>
      <c r="AB40">
        <f ca="1"/>
      </c>
      <c r="AC40">
        <f ca="1"/>
      </c>
      <c r="AD40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L40" t="s">
        <v>34</v>
      </c>
      <c r="AM40">
        <v>0</v>
      </c>
      <c r="AO40">
        <f ca="1"/>
      </c>
      <c r="AP40">
        <f ca="1"/>
      </c>
      <c r="AQ40">
        <f ca="1"/>
      </c>
      <c r="AR40">
        <f ca="1"/>
      </c>
      <c r="AS40">
        <f ca="1"/>
      </c>
      <c r="AT40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AZ40">
        <f ca="1"/>
      </c>
      <c r="BA40">
        <f ca="1"/>
      </c>
      <c r="BB40">
        <f ca="1"/>
      </c>
      <c r="BC40">
        <f ca="1"/>
      </c>
      <c r="BD40">
        <f ca="1"/>
      </c>
      <c r="BE40">
        <f ca="1"/>
      </c>
      <c r="BF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N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M40" s="7">
        <f ca="1"/>
      </c>
      <c r="GN40">
        <f ca="1"/>
      </c>
      <c r="GO40">
        <f ca="1"/>
      </c>
      <c r="GP40">
        <f ca="1"/>
      </c>
      <c r="GQ40">
        <f ca="1"/>
      </c>
    </row>
    <row r="41" spans="1:199" x14ac:dyDescent="0.55000000000000004">
      <c r="A41" s="2" t="s">
        <v>143</v>
      </c>
      <c r="B41">
        <f t="shared" si="5"/>
      </c>
      <c r="C41" s="2" t="s">
        <v>316</v>
      </c>
      <c r="D41" s="2" t="s">
        <v>298</v>
      </c>
      <c r="E41" s="2">
        <v>-1</v>
      </c>
      <c r="F41" s="2" t="s">
        <v>299</v>
      </c>
      <c r="G41" s="2">
        <v>1</v>
      </c>
      <c r="H41" s="2"/>
      <c r="I41" s="2"/>
      <c r="J41" s="14" cm="1">
        <f t="array" aca="1" ref="J41" ca="1">IF(D41="","",100*(N(E41)*FWM_LiveOf(D41)+N(G41)*FWM_LiveOf(F41)+N(I41)*FWM_LiveOf(H41)))</f>
      </c>
      <c r="K41" s="44" cm="1">
        <f t="array" aca="1" ref="K41" ca="1">IF(D41="","",_xlfn.LET(_xlpm.x,FWM_Row(3,""),J41-INDEX(_xlpm.x,ROWS(_xlpm.x))))</f>
      </c>
      <c r="L41" s="44" cm="1">
        <f t="array" aca="1" ref="L41" ca="1">IF(D41="","",_xlfn.LET(_xlpm.x,FWM_Row(3,""),J41-INDEX(_xlpm.x,ROWS(_xlpm.x)-20)))</f>
      </c>
      <c r="M41" s="11" cm="1">
        <f t="array" aca="1" ref="M41" ca="1">IF(D41="","",FWM_Sigma(FWM_Row(3," dF")))</f>
      </c>
      <c r="N41" s="45">
        <f t="shared" ca="1" si="6"/>
      </c>
      <c r="O41" s="45" cm="1">
        <f t="array" aca="1" ref="O41" ca="1">IF(D41="","",_xlfn.LET(_xlpm.x,FWM_Row(3,""),(J41-INDEX(_xlpm.x,ROWS(_xlpm.x)-4))/(M41*SQRT(5))))</f>
      </c>
      <c r="AA41">
        <f ca="1"/>
      </c>
      <c r="AB41">
        <f ca="1"/>
      </c>
      <c r="AC41">
        <f ca="1"/>
      </c>
      <c r="AD41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L41" t="s">
        <v>35</v>
      </c>
      <c r="AM41">
        <v>0</v>
      </c>
      <c r="AO41">
        <f ca="1"/>
      </c>
      <c r="AP41">
        <f ca="1"/>
      </c>
      <c r="AQ41">
        <f ca="1"/>
      </c>
      <c r="AR41">
        <f ca="1"/>
      </c>
      <c r="AS41">
        <f ca="1"/>
      </c>
      <c r="AT41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AZ41">
        <f ca="1"/>
      </c>
      <c r="BA41">
        <f ca="1"/>
      </c>
      <c r="BB41">
        <f ca="1"/>
      </c>
      <c r="BC41">
        <f ca="1"/>
      </c>
      <c r="BD41">
        <f ca="1"/>
      </c>
      <c r="BE41">
        <f ca="1"/>
      </c>
      <c r="BF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N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M41" s="7">
        <f ca="1"/>
      </c>
      <c r="GN41">
        <f ca="1"/>
      </c>
      <c r="GO41">
        <f ca="1"/>
      </c>
      <c r="GP41">
        <f ca="1"/>
      </c>
      <c r="GQ41">
        <f ca="1"/>
      </c>
    </row>
    <row r="42" spans="1:199" x14ac:dyDescent="0.55000000000000004">
      <c r="A42" s="2"/>
      <c r="B42">
        <f t="shared" si="5"/>
      </c>
      <c r="C42" s="2" t="s">
        <v>316</v>
      </c>
      <c r="D42" s="2" t="s">
        <v>286</v>
      </c>
      <c r="E42" s="2">
        <v>-1</v>
      </c>
      <c r="F42" s="2" t="s">
        <v>291</v>
      </c>
      <c r="G42" s="2">
        <v>2</v>
      </c>
      <c r="H42" s="2" t="s">
        <v>294</v>
      </c>
      <c r="I42" s="2">
        <v>-1</v>
      </c>
      <c r="J42" s="14" cm="1">
        <f t="array" aca="1" ref="J42" ca="1">IF(D42="","",100*(N(E42)*FWM_LiveOf(D42)+N(G42)*FWM_LiveOf(F42)+N(I42)*FWM_LiveOf(H42)))</f>
      </c>
      <c r="K42" s="44" cm="1">
        <f t="array" aca="1" ref="K42" ca="1">IF(D42="","",_xlfn.LET(_xlpm.x,FWM_Row(4,""),J42-INDEX(_xlpm.x,ROWS(_xlpm.x))))</f>
      </c>
      <c r="L42" s="44" cm="1">
        <f t="array" aca="1" ref="L42" ca="1">IF(D42="","",_xlfn.LET(_xlpm.x,FWM_Row(4,""),J42-INDEX(_xlpm.x,ROWS(_xlpm.x)-20)))</f>
      </c>
      <c r="M42" s="11" cm="1">
        <f t="array" aca="1" ref="M42" ca="1">IF(D42="","",FWM_Sigma(FWM_Row(4," dF")))</f>
      </c>
      <c r="N42" s="45">
        <f t="shared" ca="1" si="6"/>
      </c>
      <c r="O42" s="45" cm="1">
        <f t="array" aca="1" ref="O42" ca="1">IF(D42="","",_xlfn.LET(_xlpm.x,FWM_Row(4,""),(J42-INDEX(_xlpm.x,ROWS(_xlpm.x)-4))/(M42*SQRT(5))))</f>
      </c>
      <c r="AA42">
        <f ca="1"/>
      </c>
      <c r="AB42">
        <f ca="1"/>
      </c>
      <c r="AC42">
        <f ca="1"/>
      </c>
      <c r="AD42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L42" t="s">
        <v>36</v>
      </c>
      <c r="AM42">
        <v>0</v>
      </c>
      <c r="AO42">
        <f ca="1"/>
      </c>
      <c r="AP42">
        <f ca="1"/>
      </c>
      <c r="AQ42">
        <f ca="1"/>
      </c>
      <c r="AR42">
        <f ca="1"/>
      </c>
      <c r="AS42">
        <f ca="1"/>
      </c>
      <c r="AT42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AZ42">
        <f ca="1"/>
      </c>
      <c r="BA42">
        <f ca="1"/>
      </c>
      <c r="BB42">
        <f ca="1"/>
      </c>
      <c r="BC42">
        <f ca="1"/>
      </c>
      <c r="BD42">
        <f ca="1"/>
      </c>
      <c r="BE42">
        <f ca="1"/>
      </c>
      <c r="BF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N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M42" s="7">
        <f ca="1"/>
      </c>
      <c r="GN42">
        <f ca="1"/>
      </c>
      <c r="GO42">
        <f ca="1"/>
      </c>
      <c r="GP42">
        <f ca="1"/>
      </c>
      <c r="GQ42">
        <f ca="1"/>
      </c>
    </row>
    <row r="43" spans="1:199" x14ac:dyDescent="0.55000000000000004">
      <c r="A43" s="2"/>
      <c r="B43">
        <f t="shared" si="5"/>
      </c>
      <c r="C43" s="2" t="s">
        <v>316</v>
      </c>
      <c r="D43" s="2" t="s">
        <v>282</v>
      </c>
      <c r="E43" s="2">
        <v>-1</v>
      </c>
      <c r="F43" s="2" t="s">
        <v>283</v>
      </c>
      <c r="G43" s="2">
        <v>1</v>
      </c>
      <c r="H43" s="2"/>
      <c r="I43" s="2"/>
      <c r="J43" s="14" cm="1">
        <f t="array" aca="1" ref="J43" ca="1">IF(D43="","",100*(N(E43)*FWM_LiveOf(D43)+N(G43)*FWM_LiveOf(F43)+N(I43)*FWM_LiveOf(H43)))</f>
      </c>
      <c r="K43" s="44" cm="1">
        <f t="array" aca="1" ref="K43" ca="1">IF(D43="","",_xlfn.LET(_xlpm.x,FWM_Row(5,""),J43-INDEX(_xlpm.x,ROWS(_xlpm.x))))</f>
      </c>
      <c r="L43" s="44" cm="1">
        <f t="array" aca="1" ref="L43" ca="1">IF(D43="","",_xlfn.LET(_xlpm.x,FWM_Row(5,""),J43-INDEX(_xlpm.x,ROWS(_xlpm.x)-20)))</f>
      </c>
      <c r="M43" s="11" cm="1">
        <f t="array" aca="1" ref="M43" ca="1">IF(D43="","",FWM_Sigma(FWM_Row(5," dF")))</f>
      </c>
      <c r="N43" s="45">
        <f t="shared" ca="1" si="6"/>
      </c>
      <c r="O43" s="45" cm="1">
        <f t="array" aca="1" ref="O43" ca="1">IF(D43="","",_xlfn.LET(_xlpm.x,FWM_Row(5,""),(J43-INDEX(_xlpm.x,ROWS(_xlpm.x)-4))/(M43*SQRT(5))))</f>
      </c>
      <c r="AA43">
        <f ca="1"/>
      </c>
      <c r="AB43">
        <f ca="1"/>
      </c>
      <c r="AC43">
        <f ca="1"/>
      </c>
      <c r="AD43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L43" t="s">
        <v>37</v>
      </c>
      <c r="AM43">
        <v>0</v>
      </c>
      <c r="AO43">
        <f ca="1"/>
      </c>
      <c r="AP43">
        <f ca="1"/>
      </c>
      <c r="AQ43">
        <f ca="1"/>
      </c>
      <c r="AR43">
        <f ca="1"/>
      </c>
      <c r="AS43">
        <f ca="1"/>
      </c>
      <c r="AT43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AZ43">
        <f ca="1"/>
      </c>
      <c r="BA43">
        <f ca="1"/>
      </c>
      <c r="BB43">
        <f ca="1"/>
      </c>
      <c r="BC43">
        <f ca="1"/>
      </c>
      <c r="BD43">
        <f ca="1"/>
      </c>
      <c r="BE43">
        <f ca="1"/>
      </c>
      <c r="BF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N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M43" s="7">
        <f ca="1"/>
      </c>
      <c r="GN43">
        <f ca="1"/>
      </c>
      <c r="GO43">
        <f ca="1"/>
      </c>
      <c r="GP43">
        <f ca="1"/>
      </c>
      <c r="GQ43">
        <f ca="1"/>
      </c>
    </row>
    <row r="44" spans="1:199" x14ac:dyDescent="0.55000000000000004">
      <c r="A44" s="2"/>
      <c r="B44">
        <f t="shared" si="5"/>
      </c>
      <c r="C44" s="2" t="s">
        <v>316</v>
      </c>
      <c r="D44" s="2" t="s">
        <v>291</v>
      </c>
      <c r="E44" s="2">
        <v>-1</v>
      </c>
      <c r="F44" s="2" t="s">
        <v>296</v>
      </c>
      <c r="G44" s="2">
        <v>1</v>
      </c>
      <c r="H44" s="2"/>
      <c r="I44" s="2"/>
      <c r="J44" s="14" cm="1">
        <f t="array" aca="1" ref="J44" ca="1">IF(D44="","",100*(N(E44)*FWM_LiveOf(D44)+N(G44)*FWM_LiveOf(F44)+N(I44)*FWM_LiveOf(H44)))</f>
      </c>
      <c r="K44" s="44" cm="1">
        <f t="array" aca="1" ref="K44" ca="1">IF(D44="","",_xlfn.LET(_xlpm.x,FWM_Row(6,""),J44-INDEX(_xlpm.x,ROWS(_xlpm.x))))</f>
      </c>
      <c r="L44" s="44" cm="1">
        <f t="array" aca="1" ref="L44" ca="1">IF(D44="","",_xlfn.LET(_xlpm.x,FWM_Row(6,""),J44-INDEX(_xlpm.x,ROWS(_xlpm.x)-20)))</f>
      </c>
      <c r="M44" s="11" cm="1">
        <f t="array" aca="1" ref="M44" ca="1">IF(D44="","",FWM_Sigma(FWM_Row(6," dF")))</f>
      </c>
      <c r="N44" s="45">
        <f t="shared" ca="1" si="6"/>
      </c>
      <c r="O44" s="45" cm="1">
        <f t="array" aca="1" ref="O44" ca="1">IF(D44="","",_xlfn.LET(_xlpm.x,FWM_Row(6,""),(J44-INDEX(_xlpm.x,ROWS(_xlpm.x)-4))/(M44*SQRT(5))))</f>
      </c>
      <c r="AA44">
        <f ca="1"/>
      </c>
      <c r="AB44">
        <f ca="1"/>
      </c>
      <c r="AC44">
        <f ca="1"/>
      </c>
      <c r="AD44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L44" t="s">
        <v>38</v>
      </c>
      <c r="AM44">
        <v>0</v>
      </c>
      <c r="AO44">
        <f ca="1"/>
      </c>
      <c r="AP44">
        <f ca="1"/>
      </c>
      <c r="AQ44">
        <f ca="1"/>
      </c>
      <c r="AR44">
        <f ca="1"/>
      </c>
      <c r="AS44">
        <f ca="1"/>
      </c>
      <c r="AT44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AZ44">
        <f ca="1"/>
      </c>
      <c r="BA44">
        <f ca="1"/>
      </c>
      <c r="BB44">
        <f ca="1"/>
      </c>
      <c r="BC44">
        <f ca="1"/>
      </c>
      <c r="BD44">
        <f ca="1"/>
      </c>
      <c r="BE44">
        <f ca="1"/>
      </c>
      <c r="BF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N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M44" s="7">
        <f ca="1"/>
      </c>
      <c r="GN44">
        <f ca="1"/>
      </c>
      <c r="GO44">
        <f ca="1"/>
      </c>
      <c r="GP44">
        <f ca="1"/>
      </c>
      <c r="GQ44">
        <f ca="1"/>
      </c>
    </row>
    <row r="45" spans="1:199" x14ac:dyDescent="0.55000000000000004">
      <c r="A45" s="2"/>
      <c r="B45">
        <f t="shared" si="5"/>
      </c>
      <c r="C45" s="2" t="s">
        <v>316</v>
      </c>
      <c r="D45" s="2"/>
      <c r="E45" s="2"/>
      <c r="F45" s="2"/>
      <c r="G45" s="2"/>
      <c r="H45" s="2"/>
      <c r="I45" s="2"/>
      <c r="J45" s="14" cm="1">
        <f t="array" ref="J45">IF(D45="","",100*(N(E45)*FWM_LiveOf(D45)+N(G45)*FWM_LiveOf(F45)+N(I45)*FWM_LiveOf(H45)))</f>
      </c>
      <c r="K45" s="44" cm="1">
        <f t="array" aca="1" ref="K45" ca="1">IF(D45="","",_xlfn.LET(_xlpm.x,FWM_Row(7,""),J45-INDEX(_xlpm.x,ROWS(_xlpm.x))))</f>
      </c>
      <c r="L45" s="44" cm="1">
        <f t="array" aca="1" ref="L45" ca="1">IF(D45="","",_xlfn.LET(_xlpm.x,FWM_Row(7,""),J45-INDEX(_xlpm.x,ROWS(_xlpm.x)-20)))</f>
      </c>
      <c r="M45" s="11" cm="1">
        <f t="array" aca="1" ref="M45" ca="1">IF(D45="","",FWM_Sigma(FWM_Row(7," dF")))</f>
      </c>
      <c r="N45" s="45">
        <f t="shared" ca="1" si="6"/>
      </c>
      <c r="O45" s="45" cm="1">
        <f t="array" aca="1" ref="O45" ca="1">IF(D45="","",_xlfn.LET(_xlpm.x,FWM_Row(7,""),(J45-INDEX(_xlpm.x,ROWS(_xlpm.x)-4))/(M45*SQRT(5))))</f>
      </c>
      <c r="AA45">
        <f ca="1"/>
      </c>
      <c r="AB45">
        <f ca="1"/>
      </c>
      <c r="AC45">
        <f ca="1"/>
      </c>
      <c r="AD45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L45" t="s">
        <v>39</v>
      </c>
      <c r="AM45">
        <v>0</v>
      </c>
      <c r="AO45">
        <f ca="1"/>
      </c>
      <c r="AP45">
        <f ca="1"/>
      </c>
      <c r="AQ45">
        <f ca="1"/>
      </c>
      <c r="AR45">
        <f ca="1"/>
      </c>
      <c r="AS45">
        <f ca="1"/>
      </c>
      <c r="AT45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AZ45">
        <f ca="1"/>
      </c>
      <c r="BA45">
        <f ca="1"/>
      </c>
      <c r="BB45">
        <f ca="1"/>
      </c>
      <c r="BC45">
        <f ca="1"/>
      </c>
      <c r="BD45">
        <f ca="1"/>
      </c>
      <c r="BE45">
        <f ca="1"/>
      </c>
      <c r="BF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N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M45" s="7">
        <f ca="1"/>
      </c>
      <c r="GN45">
        <f ca="1"/>
      </c>
      <c r="GO45">
        <f ca="1"/>
      </c>
      <c r="GP45">
        <f ca="1"/>
      </c>
      <c r="GQ45">
        <f ca="1"/>
      </c>
    </row>
    <row r="46" spans="1:199" x14ac:dyDescent="0.55000000000000004">
      <c r="A46" s="2"/>
      <c r="B46">
        <f t="shared" si="5"/>
      </c>
      <c r="C46" s="2" t="s">
        <v>316</v>
      </c>
      <c r="D46" s="2"/>
      <c r="E46" s="2"/>
      <c r="F46" s="2"/>
      <c r="G46" s="2"/>
      <c r="H46" s="2"/>
      <c r="I46" s="2"/>
      <c r="J46" s="14" cm="1">
        <f t="array" ref="J46">IF(D46="","",100*(N(E46)*FWM_LiveOf(D46)+N(G46)*FWM_LiveOf(F46)+N(I46)*FWM_LiveOf(H46)))</f>
      </c>
      <c r="K46" s="44" cm="1">
        <f t="array" aca="1" ref="K46" ca="1">IF(D46="","",_xlfn.LET(_xlpm.x,FWM_Row(8,""),J46-INDEX(_xlpm.x,ROWS(_xlpm.x))))</f>
      </c>
      <c r="L46" s="44" cm="1">
        <f t="array" aca="1" ref="L46" ca="1">IF(D46="","",_xlfn.LET(_xlpm.x,FWM_Row(8,""),J46-INDEX(_xlpm.x,ROWS(_xlpm.x)-20)))</f>
      </c>
      <c r="M46" s="11" cm="1">
        <f t="array" aca="1" ref="M46" ca="1">IF(D46="","",FWM_Sigma(FWM_Row(8," dF")))</f>
      </c>
      <c r="N46" s="45">
        <f t="shared" ca="1" si="6"/>
      </c>
      <c r="O46" s="45" cm="1">
        <f t="array" aca="1" ref="O46" ca="1">IF(D46="","",_xlfn.LET(_xlpm.x,FWM_Row(8,""),(J46-INDEX(_xlpm.x,ROWS(_xlpm.x)-4))/(M46*SQRT(5))))</f>
      </c>
      <c r="AA46">
        <f ca="1"/>
      </c>
      <c r="AB46">
        <f ca="1"/>
      </c>
      <c r="AC46">
        <f ca="1"/>
      </c>
      <c r="AD46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L46" t="s">
        <v>40</v>
      </c>
      <c r="AM46">
        <v>0</v>
      </c>
      <c r="AO46">
        <f ca="1"/>
      </c>
      <c r="AP46">
        <f ca="1"/>
      </c>
      <c r="AQ46">
        <f ca="1"/>
      </c>
      <c r="AR46">
        <f ca="1"/>
      </c>
      <c r="AS46">
        <f ca="1"/>
      </c>
      <c r="AT46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AZ46">
        <f ca="1"/>
      </c>
      <c r="BA46">
        <f ca="1"/>
      </c>
      <c r="BB46">
        <f ca="1"/>
      </c>
      <c r="BC46">
        <f ca="1"/>
      </c>
      <c r="BD46">
        <f ca="1"/>
      </c>
      <c r="BE46">
        <f ca="1"/>
      </c>
      <c r="BF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N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M46" s="7">
        <f ca="1"/>
      </c>
      <c r="GN46">
        <f ca="1"/>
      </c>
      <c r="GO46">
        <f ca="1"/>
      </c>
      <c r="GP46">
        <f ca="1"/>
      </c>
      <c r="GQ46">
        <f ca="1"/>
      </c>
    </row>
    <row r="47" spans="1:199" x14ac:dyDescent="0.55000000000000004">
      <c r="A47" s="2"/>
      <c r="B47">
        <f t="shared" si="5"/>
      </c>
      <c r="C47" s="2" t="s">
        <v>316</v>
      </c>
      <c r="D47" s="2"/>
      <c r="E47" s="2"/>
      <c r="F47" s="2"/>
      <c r="G47" s="2"/>
      <c r="H47" s="2"/>
      <c r="I47" s="2"/>
      <c r="J47" s="14" cm="1">
        <f t="array" ref="J47">IF(D47="","",100*(N(E47)*FWM_LiveOf(D47)+N(G47)*FWM_LiveOf(F47)+N(I47)*FWM_LiveOf(H47)))</f>
      </c>
      <c r="K47" s="44" cm="1">
        <f t="array" aca="1" ref="K47" ca="1">IF(D47="","",_xlfn.LET(_xlpm.x,FWM_Row(9,""),J47-INDEX(_xlpm.x,ROWS(_xlpm.x))))</f>
      </c>
      <c r="L47" s="44" cm="1">
        <f t="array" aca="1" ref="L47" ca="1">IF(D47="","",_xlfn.LET(_xlpm.x,FWM_Row(9,""),J47-INDEX(_xlpm.x,ROWS(_xlpm.x)-20)))</f>
      </c>
      <c r="M47" s="11" cm="1">
        <f t="array" aca="1" ref="M47" ca="1">IF(D47="","",FWM_Sigma(FWM_Row(9," dF")))</f>
      </c>
      <c r="N47" s="45">
        <f t="shared" ca="1" si="6"/>
      </c>
      <c r="O47" s="45" cm="1">
        <f t="array" aca="1" ref="O47" ca="1">IF(D47="","",_xlfn.LET(_xlpm.x,FWM_Row(9,""),(J47-INDEX(_xlpm.x,ROWS(_xlpm.x)-4))/(M47*SQRT(5))))</f>
      </c>
      <c r="AL47" t="s">
        <v>110</v>
      </c>
      <c r="AM47">
        <v>0</v>
      </c>
      <c r="AO47">
        <f ca="1"/>
      </c>
      <c r="AP47">
        <f ca="1"/>
      </c>
      <c r="AQ47">
        <f ca="1"/>
      </c>
      <c r="AR47">
        <f ca="1"/>
      </c>
      <c r="AS47">
        <f ca="1"/>
      </c>
      <c r="AT4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AZ47">
        <f ca="1"/>
      </c>
      <c r="BA47">
        <f ca="1"/>
      </c>
      <c r="BB47">
        <f ca="1"/>
      </c>
      <c r="BC47">
        <f ca="1"/>
      </c>
      <c r="BD47">
        <f ca="1"/>
      </c>
      <c r="BE47">
        <f ca="1"/>
      </c>
      <c r="BF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N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M47" s="7">
        <f ca="1"/>
      </c>
      <c r="GN47">
        <f ca="1"/>
      </c>
      <c r="GO47">
        <f ca="1"/>
      </c>
      <c r="GP47">
        <f ca="1"/>
      </c>
      <c r="GQ47">
        <f ca="1"/>
      </c>
    </row>
    <row r="48" spans="1:199" x14ac:dyDescent="0.55000000000000004">
      <c r="A48" s="2"/>
      <c r="B48">
        <f t="shared" si="5"/>
      </c>
      <c r="C48" s="2" t="s">
        <v>316</v>
      </c>
      <c r="D48" s="2"/>
      <c r="E48" s="2"/>
      <c r="F48" s="2"/>
      <c r="G48" s="2"/>
      <c r="H48" s="2"/>
      <c r="I48" s="2"/>
      <c r="J48" s="14" cm="1">
        <f t="array" ref="J48">IF(D48="","",100*(N(E48)*FWM_LiveOf(D48)+N(G48)*FWM_LiveOf(F48)+N(I48)*FWM_LiveOf(H48)))</f>
      </c>
      <c r="K48" s="44" cm="1">
        <f t="array" aca="1" ref="K48" ca="1">IF(D48="","",_xlfn.LET(_xlpm.x,FWM_Row(10,""),J48-INDEX(_xlpm.x,ROWS(_xlpm.x))))</f>
      </c>
      <c r="L48" s="44" cm="1">
        <f t="array" aca="1" ref="L48" ca="1">IF(D48="","",_xlfn.LET(_xlpm.x,FWM_Row(10,""),J48-INDEX(_xlpm.x,ROWS(_xlpm.x)-20)))</f>
      </c>
      <c r="M48" s="11" cm="1">
        <f t="array" aca="1" ref="M48" ca="1">IF(D48="","",FWM_Sigma(FWM_Row(10," dF")))</f>
      </c>
      <c r="N48" s="45">
        <f t="shared" ca="1" si="6"/>
      </c>
      <c r="O48" s="45" cm="1">
        <f t="array" aca="1" ref="O48" ca="1">IF(D48="","",_xlfn.LET(_xlpm.x,FWM_Row(10,""),(J48-INDEX(_xlpm.x,ROWS(_xlpm.x)-4))/(M48*SQRT(5))))</f>
      </c>
      <c r="AO48">
        <f ca="1"/>
      </c>
      <c r="AP48">
        <f ca="1"/>
      </c>
      <c r="AQ48">
        <f ca="1"/>
      </c>
      <c r="AR48">
        <f ca="1"/>
      </c>
      <c r="AS48">
        <f ca="1"/>
      </c>
      <c r="AT48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AZ48">
        <f ca="1"/>
      </c>
      <c r="BA48">
        <f ca="1"/>
      </c>
      <c r="BB48">
        <f ca="1"/>
      </c>
      <c r="BC48">
        <f ca="1"/>
      </c>
      <c r="BD48">
        <f ca="1"/>
      </c>
      <c r="BE48">
        <f ca="1"/>
      </c>
      <c r="BF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N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M48" s="7">
        <f ca="1"/>
      </c>
      <c r="GN48">
        <f ca="1"/>
      </c>
      <c r="GO48">
        <f ca="1"/>
      </c>
      <c r="GP48">
        <f ca="1"/>
      </c>
      <c r="GQ48">
        <f ca="1"/>
      </c>
    </row>
    <row r="49" spans="1:199" x14ac:dyDescent="0.55000000000000004">
      <c r="A49" t="s">
        <v>318</v>
      </c>
      <c r="AO49">
        <f ca="1"/>
      </c>
      <c r="AP49">
        <f ca="1"/>
      </c>
      <c r="AQ49">
        <f ca="1"/>
      </c>
      <c r="AR49">
        <f ca="1"/>
      </c>
      <c r="AS49">
        <f ca="1"/>
      </c>
      <c r="AT49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AZ49">
        <f ca="1"/>
      </c>
      <c r="BA49">
        <f ca="1"/>
      </c>
      <c r="BB49">
        <f ca="1"/>
      </c>
      <c r="BC49">
        <f ca="1"/>
      </c>
      <c r="BD49">
        <f ca="1"/>
      </c>
      <c r="BE49">
        <f ca="1"/>
      </c>
      <c r="BF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N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M49" s="7">
        <f ca="1"/>
      </c>
      <c r="GN49">
        <f ca="1"/>
      </c>
      <c r="GO49">
        <f ca="1"/>
      </c>
      <c r="GP49">
        <f ca="1"/>
      </c>
      <c r="GQ49">
        <f ca="1"/>
      </c>
    </row>
    <row r="50" spans="1:199" x14ac:dyDescent="0.55000000000000004">
      <c r="AO50">
        <f ca="1"/>
      </c>
      <c r="AP50">
        <f ca="1"/>
      </c>
      <c r="AQ50">
        <f ca="1"/>
      </c>
      <c r="AR50">
        <f ca="1"/>
      </c>
      <c r="AS50">
        <f ca="1"/>
      </c>
      <c r="AT50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AZ50">
        <f ca="1"/>
      </c>
      <c r="BA50">
        <f ca="1"/>
      </c>
      <c r="BB50">
        <f ca="1"/>
      </c>
      <c r="BC50">
        <f ca="1"/>
      </c>
      <c r="BD50">
        <f ca="1"/>
      </c>
      <c r="BE50">
        <f ca="1"/>
      </c>
      <c r="BF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N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M50" s="7">
        <f ca="1"/>
      </c>
      <c r="GN50">
        <f ca="1"/>
      </c>
      <c r="GO50">
        <f ca="1"/>
      </c>
      <c r="GP50">
        <f ca="1"/>
      </c>
      <c r="GQ50">
        <f ca="1"/>
      </c>
    </row>
    <row r="51" spans="1:199" x14ac:dyDescent="0.55000000000000004">
      <c r="AO51">
        <f ca="1"/>
      </c>
      <c r="AP51">
        <f ca="1"/>
      </c>
      <c r="AQ51">
        <f ca="1"/>
      </c>
      <c r="AR51">
        <f ca="1"/>
      </c>
      <c r="AS51">
        <f ca="1"/>
      </c>
      <c r="AT51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AZ51">
        <f ca="1"/>
      </c>
      <c r="BA51">
        <f ca="1"/>
      </c>
      <c r="BB51">
        <f ca="1"/>
      </c>
      <c r="BC51">
        <f ca="1"/>
      </c>
      <c r="BD51">
        <f ca="1"/>
      </c>
      <c r="BE51">
        <f ca="1"/>
      </c>
      <c r="BF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N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M51" s="7">
        <f ca="1"/>
      </c>
      <c r="GN51">
        <f ca="1"/>
      </c>
      <c r="GO51">
        <f ca="1"/>
      </c>
      <c r="GP51">
        <f ca="1"/>
      </c>
      <c r="GQ51">
        <f ca="1"/>
      </c>
    </row>
    <row r="52" spans="1:199" x14ac:dyDescent="0.55000000000000004">
      <c r="AO52">
        <f ca="1"/>
      </c>
      <c r="AP52">
        <f ca="1"/>
      </c>
      <c r="AQ52">
        <f ca="1"/>
      </c>
      <c r="AR52">
        <f ca="1"/>
      </c>
      <c r="AS52">
        <f ca="1"/>
      </c>
      <c r="AT52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AZ52">
        <f ca="1"/>
      </c>
      <c r="BA52">
        <f ca="1"/>
      </c>
      <c r="BB52">
        <f ca="1"/>
      </c>
      <c r="BC52">
        <f ca="1"/>
      </c>
      <c r="BD52">
        <f ca="1"/>
      </c>
      <c r="BE52">
        <f ca="1"/>
      </c>
      <c r="BF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N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M52" s="7">
        <f ca="1"/>
      </c>
      <c r="GN52">
        <f ca="1"/>
      </c>
      <c r="GO52">
        <f ca="1"/>
      </c>
      <c r="GP52">
        <f ca="1"/>
      </c>
      <c r="GQ52">
        <f ca="1"/>
      </c>
    </row>
    <row r="53" spans="1:199" x14ac:dyDescent="0.55000000000000004">
      <c r="AO53">
        <f ca="1"/>
      </c>
      <c r="AP53">
        <f ca="1"/>
      </c>
      <c r="AQ53">
        <f ca="1"/>
      </c>
      <c r="AR53">
        <f ca="1"/>
      </c>
      <c r="AS53">
        <f ca="1"/>
      </c>
      <c r="AT53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AZ53">
        <f ca="1"/>
      </c>
      <c r="BA53">
        <f ca="1"/>
      </c>
      <c r="BB53">
        <f ca="1"/>
      </c>
      <c r="BC53">
        <f ca="1"/>
      </c>
      <c r="BD53">
        <f ca="1"/>
      </c>
      <c r="BE53">
        <f ca="1"/>
      </c>
      <c r="BF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N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M53" s="7">
        <f ca="1"/>
      </c>
      <c r="GN53">
        <f ca="1"/>
      </c>
      <c r="GO53">
        <f ca="1"/>
      </c>
      <c r="GP53">
        <f ca="1"/>
      </c>
      <c r="GQ53">
        <f ca="1"/>
      </c>
    </row>
    <row r="54" spans="1:199" x14ac:dyDescent="0.55000000000000004">
      <c r="AO54">
        <f ca="1"/>
      </c>
      <c r="AP54">
        <f ca="1"/>
      </c>
      <c r="AQ54">
        <f ca="1"/>
      </c>
      <c r="AR54">
        <f ca="1"/>
      </c>
      <c r="AS54">
        <f ca="1"/>
      </c>
      <c r="AT54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AZ54">
        <f ca="1"/>
      </c>
      <c r="BA54">
        <f ca="1"/>
      </c>
      <c r="BB54">
        <f ca="1"/>
      </c>
      <c r="BC54">
        <f ca="1"/>
      </c>
      <c r="BD54">
        <f ca="1"/>
      </c>
      <c r="BE54">
        <f ca="1"/>
      </c>
      <c r="BF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N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M54" s="7">
        <f ca="1"/>
      </c>
      <c r="GN54">
        <f ca="1"/>
      </c>
      <c r="GO54">
        <f ca="1"/>
      </c>
      <c r="GP54">
        <f ca="1"/>
      </c>
      <c r="GQ54">
        <f ca="1"/>
      </c>
    </row>
    <row r="55" spans="1:199" x14ac:dyDescent="0.55000000000000004">
      <c r="AO55">
        <f ca="1"/>
      </c>
      <c r="AP55">
        <f ca="1"/>
      </c>
      <c r="AQ55">
        <f ca="1"/>
      </c>
      <c r="AR55">
        <f ca="1"/>
      </c>
      <c r="AS55">
        <f ca="1"/>
      </c>
      <c r="AT55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AZ55">
        <f ca="1"/>
      </c>
      <c r="BA55">
        <f ca="1"/>
      </c>
      <c r="BB55">
        <f ca="1"/>
      </c>
      <c r="BC55">
        <f ca="1"/>
      </c>
      <c r="BD55">
        <f ca="1"/>
      </c>
      <c r="BE55">
        <f ca="1"/>
      </c>
      <c r="BF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N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M55" s="7">
        <f ca="1"/>
      </c>
      <c r="GN55">
        <f ca="1"/>
      </c>
      <c r="GO55">
        <f ca="1"/>
      </c>
      <c r="GP55">
        <f ca="1"/>
      </c>
      <c r="GQ55">
        <f ca="1"/>
      </c>
    </row>
    <row r="56" spans="1:199" x14ac:dyDescent="0.55000000000000004">
      <c r="AO56">
        <f ca="1"/>
      </c>
      <c r="AP56">
        <f ca="1"/>
      </c>
      <c r="AQ56">
        <f ca="1"/>
      </c>
      <c r="AR56">
        <f ca="1"/>
      </c>
      <c r="AS56">
        <f ca="1"/>
      </c>
      <c r="AT56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AZ56">
        <f ca="1"/>
      </c>
      <c r="BA56">
        <f ca="1"/>
      </c>
      <c r="BB56">
        <f ca="1"/>
      </c>
      <c r="BC56">
        <f ca="1"/>
      </c>
      <c r="BD56">
        <f ca="1"/>
      </c>
      <c r="BE56">
        <f ca="1"/>
      </c>
      <c r="BF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N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M56" s="7">
        <f ca="1"/>
      </c>
      <c r="GN56">
        <f ca="1"/>
      </c>
      <c r="GO56">
        <f ca="1"/>
      </c>
      <c r="GP56">
        <f ca="1"/>
      </c>
      <c r="GQ56">
        <f ca="1"/>
      </c>
    </row>
    <row r="57" spans="1:199" x14ac:dyDescent="0.55000000000000004">
      <c r="AO57">
        <f ca="1"/>
      </c>
      <c r="AP57">
        <f ca="1"/>
      </c>
      <c r="AQ57">
        <f ca="1"/>
      </c>
      <c r="AR57">
        <f ca="1"/>
      </c>
      <c r="AS57">
        <f ca="1"/>
      </c>
      <c r="AT5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AZ57">
        <f ca="1"/>
      </c>
      <c r="BA57">
        <f ca="1"/>
      </c>
      <c r="BB57">
        <f ca="1"/>
      </c>
      <c r="BC57">
        <f ca="1"/>
      </c>
      <c r="BD57">
        <f ca="1"/>
      </c>
      <c r="BE57">
        <f ca="1"/>
      </c>
      <c r="BF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N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M57" s="7">
        <f ca="1"/>
      </c>
      <c r="GN57">
        <f ca="1"/>
      </c>
      <c r="GO57">
        <f ca="1"/>
      </c>
      <c r="GP57">
        <f ca="1"/>
      </c>
      <c r="GQ57">
        <f ca="1"/>
      </c>
    </row>
    <row r="58" spans="1:199" x14ac:dyDescent="0.55000000000000004">
      <c r="AO58">
        <f ca="1"/>
      </c>
      <c r="AP58">
        <f ca="1"/>
      </c>
      <c r="AQ58">
        <f ca="1"/>
      </c>
      <c r="AR58">
        <f ca="1"/>
      </c>
      <c r="AS58">
        <f ca="1"/>
      </c>
      <c r="AT58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AZ58">
        <f ca="1"/>
      </c>
      <c r="BA58">
        <f ca="1"/>
      </c>
      <c r="BB58">
        <f ca="1"/>
      </c>
      <c r="BC58">
        <f ca="1"/>
      </c>
      <c r="BD58">
        <f ca="1"/>
      </c>
      <c r="BE58">
        <f ca="1"/>
      </c>
      <c r="BF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N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M58" s="7">
        <f ca="1"/>
      </c>
      <c r="GN58">
        <f ca="1"/>
      </c>
      <c r="GO58">
        <f ca="1"/>
      </c>
      <c r="GP58">
        <f ca="1"/>
      </c>
      <c r="GQ58">
        <f ca="1"/>
      </c>
    </row>
    <row r="59" spans="1:199" x14ac:dyDescent="0.55000000000000004">
      <c r="AO59">
        <f ca="1"/>
      </c>
      <c r="AP59">
        <f ca="1"/>
      </c>
      <c r="AQ59">
        <f ca="1"/>
      </c>
      <c r="AR59">
        <f ca="1"/>
      </c>
      <c r="AS59">
        <f ca="1"/>
      </c>
      <c r="AT59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AZ59">
        <f ca="1"/>
      </c>
      <c r="BA59">
        <f ca="1"/>
      </c>
      <c r="BB59">
        <f ca="1"/>
      </c>
      <c r="BC59">
        <f ca="1"/>
      </c>
      <c r="BD59">
        <f ca="1"/>
      </c>
      <c r="BE59">
        <f ca="1"/>
      </c>
      <c r="BF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N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M59" s="7">
        <f ca="1"/>
      </c>
      <c r="GN59">
        <f ca="1"/>
      </c>
      <c r="GO59">
        <f ca="1"/>
      </c>
      <c r="GP59">
        <f ca="1"/>
      </c>
      <c r="GQ59">
        <f ca="1"/>
      </c>
    </row>
    <row r="60" spans="1:199" x14ac:dyDescent="0.55000000000000004">
      <c r="AO60">
        <f ca="1"/>
      </c>
      <c r="AP60">
        <f ca="1"/>
      </c>
      <c r="AQ60">
        <f ca="1"/>
      </c>
      <c r="AR60">
        <f ca="1"/>
      </c>
      <c r="AS60">
        <f ca="1"/>
      </c>
      <c r="AT60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AZ60">
        <f ca="1"/>
      </c>
      <c r="BA60">
        <f ca="1"/>
      </c>
      <c r="BB60">
        <f ca="1"/>
      </c>
      <c r="BC60">
        <f ca="1"/>
      </c>
      <c r="BD60">
        <f ca="1"/>
      </c>
      <c r="BE60">
        <f ca="1"/>
      </c>
      <c r="BF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N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M60" s="7">
        <f ca="1"/>
      </c>
      <c r="GN60">
        <f ca="1"/>
      </c>
      <c r="GO60">
        <f ca="1"/>
      </c>
      <c r="GP60">
        <f ca="1"/>
      </c>
      <c r="GQ60">
        <f ca="1"/>
      </c>
    </row>
    <row r="61" spans="1:199" x14ac:dyDescent="0.55000000000000004">
      <c r="AO61">
        <f ca="1"/>
      </c>
      <c r="AP61">
        <f ca="1"/>
      </c>
      <c r="AQ61">
        <f ca="1"/>
      </c>
      <c r="AR61">
        <f ca="1"/>
      </c>
      <c r="AS61">
        <f ca="1"/>
      </c>
      <c r="AT61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AZ61">
        <f ca="1"/>
      </c>
      <c r="BA61">
        <f ca="1"/>
      </c>
      <c r="BB61">
        <f ca="1"/>
      </c>
      <c r="BC61">
        <f ca="1"/>
      </c>
      <c r="BD61">
        <f ca="1"/>
      </c>
      <c r="BE61">
        <f ca="1"/>
      </c>
      <c r="BF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N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M61" s="7">
        <f ca="1"/>
      </c>
      <c r="GN61">
        <f ca="1"/>
      </c>
      <c r="GO61">
        <f ca="1"/>
      </c>
      <c r="GP61">
        <f ca="1"/>
      </c>
      <c r="GQ61">
        <f ca="1"/>
      </c>
    </row>
    <row r="62" spans="1:199" x14ac:dyDescent="0.55000000000000004">
      <c r="AO62">
        <f ca="1"/>
      </c>
      <c r="AP62">
        <f ca="1"/>
      </c>
      <c r="AQ62">
        <f ca="1"/>
      </c>
      <c r="AR62">
        <f ca="1"/>
      </c>
      <c r="AS62">
        <f ca="1"/>
      </c>
      <c r="AT62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AZ62">
        <f ca="1"/>
      </c>
      <c r="BA62">
        <f ca="1"/>
      </c>
      <c r="BB62">
        <f ca="1"/>
      </c>
      <c r="BC62">
        <f ca="1"/>
      </c>
      <c r="BD62">
        <f ca="1"/>
      </c>
      <c r="BE62">
        <f ca="1"/>
      </c>
      <c r="BF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N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M62" s="7">
        <f ca="1"/>
      </c>
      <c r="GN62">
        <f ca="1"/>
      </c>
      <c r="GO62">
        <f ca="1"/>
      </c>
      <c r="GP62">
        <f ca="1"/>
      </c>
      <c r="GQ62">
        <f ca="1"/>
      </c>
    </row>
    <row r="63" spans="1:199" x14ac:dyDescent="0.55000000000000004">
      <c r="AO63">
        <f ca="1"/>
      </c>
      <c r="AP63">
        <f ca="1"/>
      </c>
      <c r="AQ63">
        <f ca="1"/>
      </c>
      <c r="AR63">
        <f ca="1"/>
      </c>
      <c r="AS63">
        <f ca="1"/>
      </c>
      <c r="AT63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AZ63">
        <f ca="1"/>
      </c>
      <c r="BA63">
        <f ca="1"/>
      </c>
      <c r="BB63">
        <f ca="1"/>
      </c>
      <c r="BC63">
        <f ca="1"/>
      </c>
      <c r="BD63">
        <f ca="1"/>
      </c>
      <c r="BE63">
        <f ca="1"/>
      </c>
      <c r="BF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N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M63" s="7">
        <f ca="1"/>
      </c>
      <c r="GN63">
        <f ca="1"/>
      </c>
      <c r="GO63">
        <f ca="1"/>
      </c>
      <c r="GP63">
        <f ca="1"/>
      </c>
      <c r="GQ63">
        <f ca="1"/>
      </c>
    </row>
    <row r="64" spans="1:199" x14ac:dyDescent="0.55000000000000004">
      <c r="AO64">
        <f ca="1"/>
      </c>
      <c r="AP64">
        <f ca="1"/>
      </c>
      <c r="AQ64">
        <f ca="1"/>
      </c>
      <c r="AR64">
        <f ca="1"/>
      </c>
      <c r="AS64">
        <f ca="1"/>
      </c>
      <c r="AT64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AZ64">
        <f ca="1"/>
      </c>
      <c r="BA64">
        <f ca="1"/>
      </c>
      <c r="BB64">
        <f ca="1"/>
      </c>
      <c r="BC64">
        <f ca="1"/>
      </c>
      <c r="BD64">
        <f ca="1"/>
      </c>
      <c r="BE64">
        <f ca="1"/>
      </c>
      <c r="BF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N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M64" s="7">
        <f ca="1"/>
      </c>
      <c r="GN64">
        <f ca="1"/>
      </c>
      <c r="GO64">
        <f ca="1"/>
      </c>
      <c r="GP64">
        <f ca="1"/>
      </c>
      <c r="GQ64">
        <f ca="1"/>
      </c>
    </row>
    <row r="65" spans="41:199" x14ac:dyDescent="0.55000000000000004">
      <c r="AO65">
        <f ca="1"/>
      </c>
      <c r="AP65">
        <f ca="1"/>
      </c>
      <c r="AQ65">
        <f ca="1"/>
      </c>
      <c r="AR65">
        <f ca="1"/>
      </c>
      <c r="AS65">
        <f ca="1"/>
      </c>
      <c r="AT65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AZ65">
        <f ca="1"/>
      </c>
      <c r="BA65">
        <f ca="1"/>
      </c>
      <c r="BB65">
        <f ca="1"/>
      </c>
      <c r="BC65">
        <f ca="1"/>
      </c>
      <c r="BD65">
        <f ca="1"/>
      </c>
      <c r="BE65">
        <f ca="1"/>
      </c>
      <c r="BF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N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M65" s="7">
        <f ca="1"/>
      </c>
      <c r="GN65">
        <f ca="1"/>
      </c>
      <c r="GO65">
        <f ca="1"/>
      </c>
      <c r="GP65">
        <f ca="1"/>
      </c>
      <c r="GQ65">
        <f ca="1"/>
      </c>
    </row>
    <row r="66" spans="41:199" x14ac:dyDescent="0.55000000000000004">
      <c r="AO66">
        <f ca="1"/>
      </c>
      <c r="AP66">
        <f ca="1"/>
      </c>
      <c r="AQ66">
        <f ca="1"/>
      </c>
      <c r="AR66">
        <f ca="1"/>
      </c>
      <c r="AS66">
        <f ca="1"/>
      </c>
      <c r="AT66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AZ66">
        <f ca="1"/>
      </c>
      <c r="BA66">
        <f ca="1"/>
      </c>
      <c r="BB66">
        <f ca="1"/>
      </c>
      <c r="BC66">
        <f ca="1"/>
      </c>
      <c r="BD66">
        <f ca="1"/>
      </c>
      <c r="BE66">
        <f ca="1"/>
      </c>
      <c r="BF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N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M66" s="7">
        <f ca="1"/>
      </c>
      <c r="GN66">
        <f ca="1"/>
      </c>
      <c r="GO66">
        <f ca="1"/>
      </c>
      <c r="GP66">
        <f ca="1"/>
      </c>
      <c r="GQ66">
        <f ca="1"/>
      </c>
    </row>
    <row r="67" spans="41:199" x14ac:dyDescent="0.55000000000000004">
      <c r="AO67">
        <f ca="1"/>
      </c>
      <c r="AP67">
        <f ca="1"/>
      </c>
      <c r="AQ67">
        <f ca="1"/>
      </c>
      <c r="AR67">
        <f ca="1"/>
      </c>
      <c r="AS67">
        <f ca="1"/>
      </c>
      <c r="AT6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AZ67">
        <f ca="1"/>
      </c>
      <c r="BA67">
        <f ca="1"/>
      </c>
      <c r="BB67">
        <f ca="1"/>
      </c>
      <c r="BC67">
        <f ca="1"/>
      </c>
      <c r="BD67">
        <f ca="1"/>
      </c>
      <c r="BE67">
        <f ca="1"/>
      </c>
      <c r="BF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N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M67" s="7">
        <f ca="1"/>
      </c>
      <c r="GN67">
        <f ca="1"/>
      </c>
      <c r="GO67">
        <f ca="1"/>
      </c>
      <c r="GP67">
        <f ca="1"/>
      </c>
      <c r="GQ67">
        <f ca="1"/>
      </c>
    </row>
    <row r="68" spans="41:199" x14ac:dyDescent="0.55000000000000004">
      <c r="AO68">
        <f ca="1"/>
      </c>
      <c r="AP68">
        <f ca="1"/>
      </c>
      <c r="AQ68">
        <f ca="1"/>
      </c>
      <c r="AR68">
        <f ca="1"/>
      </c>
      <c r="AS68">
        <f ca="1"/>
      </c>
      <c r="AT68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AZ68">
        <f ca="1"/>
      </c>
      <c r="BA68">
        <f ca="1"/>
      </c>
      <c r="BB68">
        <f ca="1"/>
      </c>
      <c r="BC68">
        <f ca="1"/>
      </c>
      <c r="BD68">
        <f ca="1"/>
      </c>
      <c r="BE68">
        <f ca="1"/>
      </c>
      <c r="BF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N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M68" s="7">
        <f ca="1"/>
      </c>
      <c r="GN68">
        <f ca="1"/>
      </c>
      <c r="GO68">
        <f ca="1"/>
      </c>
      <c r="GP68">
        <f ca="1"/>
      </c>
      <c r="GQ68">
        <f ca="1"/>
      </c>
    </row>
    <row r="69" spans="41:199" x14ac:dyDescent="0.55000000000000004">
      <c r="AO69">
        <f ca="1"/>
      </c>
      <c r="AP69">
        <f ca="1"/>
      </c>
      <c r="AQ69">
        <f ca="1"/>
      </c>
      <c r="AR69">
        <f ca="1"/>
      </c>
      <c r="AS69">
        <f ca="1"/>
      </c>
      <c r="AT69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AZ69">
        <f ca="1"/>
      </c>
      <c r="BA69">
        <f ca="1"/>
      </c>
      <c r="BB69">
        <f ca="1"/>
      </c>
      <c r="BC69">
        <f ca="1"/>
      </c>
      <c r="BD69">
        <f ca="1"/>
      </c>
      <c r="BE69">
        <f ca="1"/>
      </c>
      <c r="BF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N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M69" s="7">
        <f ca="1"/>
      </c>
      <c r="GN69">
        <f ca="1"/>
      </c>
      <c r="GO69">
        <f ca="1"/>
      </c>
      <c r="GP69">
        <f ca="1"/>
      </c>
      <c r="GQ69">
        <f ca="1"/>
      </c>
    </row>
    <row r="70" spans="41:199" x14ac:dyDescent="0.55000000000000004">
      <c r="AO70">
        <f ca="1"/>
      </c>
      <c r="AP70">
        <f ca="1"/>
      </c>
      <c r="AQ70">
        <f ca="1"/>
      </c>
      <c r="AR70">
        <f ca="1"/>
      </c>
      <c r="AS70">
        <f ca="1"/>
      </c>
      <c r="AT70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AZ70">
        <f ca="1"/>
      </c>
      <c r="BA70">
        <f ca="1"/>
      </c>
      <c r="BB70">
        <f ca="1"/>
      </c>
      <c r="BC70">
        <f ca="1"/>
      </c>
      <c r="BD70">
        <f ca="1"/>
      </c>
      <c r="BE70">
        <f ca="1"/>
      </c>
      <c r="BF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N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M70" s="7">
        <f ca="1"/>
      </c>
      <c r="GN70">
        <f ca="1"/>
      </c>
      <c r="GO70">
        <f ca="1"/>
      </c>
      <c r="GP70">
        <f ca="1"/>
      </c>
      <c r="GQ70">
        <f ca="1"/>
      </c>
    </row>
    <row r="71" spans="41:199" x14ac:dyDescent="0.55000000000000004">
      <c r="AO71">
        <f ca="1"/>
      </c>
      <c r="AP71">
        <f ca="1"/>
      </c>
      <c r="AQ71">
        <f ca="1"/>
      </c>
      <c r="AR71">
        <f ca="1"/>
      </c>
      <c r="AS71">
        <f ca="1"/>
      </c>
      <c r="AT71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AZ71">
        <f ca="1"/>
      </c>
      <c r="BA71">
        <f ca="1"/>
      </c>
      <c r="BB71">
        <f ca="1"/>
      </c>
      <c r="BC71">
        <f ca="1"/>
      </c>
      <c r="BD71">
        <f ca="1"/>
      </c>
      <c r="BE71">
        <f ca="1"/>
      </c>
      <c r="BF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N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M71" s="7">
        <f ca="1"/>
      </c>
      <c r="GN71">
        <f ca="1"/>
      </c>
      <c r="GO71">
        <f ca="1"/>
      </c>
      <c r="GP71">
        <f ca="1"/>
      </c>
      <c r="GQ71">
        <f ca="1"/>
      </c>
    </row>
    <row r="72" spans="41:199" x14ac:dyDescent="0.55000000000000004">
      <c r="AO72">
        <f ca="1"/>
      </c>
      <c r="AP72">
        <f ca="1"/>
      </c>
      <c r="AQ72">
        <f ca="1"/>
      </c>
      <c r="AR72">
        <f ca="1"/>
      </c>
      <c r="AS72">
        <f ca="1"/>
      </c>
      <c r="AT72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AZ72">
        <f ca="1"/>
      </c>
      <c r="BA72">
        <f ca="1"/>
      </c>
      <c r="BB72">
        <f ca="1"/>
      </c>
      <c r="BC72">
        <f ca="1"/>
      </c>
      <c r="BD72">
        <f ca="1"/>
      </c>
      <c r="BE72">
        <f ca="1"/>
      </c>
      <c r="BF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N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M72" s="7">
        <f ca="1"/>
      </c>
      <c r="GN72">
        <f ca="1"/>
      </c>
      <c r="GO72">
        <f ca="1"/>
      </c>
      <c r="GP72">
        <f ca="1"/>
      </c>
      <c r="GQ72">
        <f ca="1"/>
      </c>
    </row>
    <row r="73" spans="41:199" x14ac:dyDescent="0.55000000000000004">
      <c r="AO73">
        <f ca="1"/>
      </c>
      <c r="AP73">
        <f ca="1"/>
      </c>
      <c r="AQ73">
        <f ca="1"/>
      </c>
      <c r="AR73">
        <f ca="1"/>
      </c>
      <c r="AS73">
        <f ca="1"/>
      </c>
      <c r="AT73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AZ73">
        <f ca="1"/>
      </c>
      <c r="BA73">
        <f ca="1"/>
      </c>
      <c r="BB73">
        <f ca="1"/>
      </c>
      <c r="BC73">
        <f ca="1"/>
      </c>
      <c r="BD73">
        <f ca="1"/>
      </c>
      <c r="BE73">
        <f ca="1"/>
      </c>
      <c r="BF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N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M73" s="7">
        <f ca="1"/>
      </c>
      <c r="GN73">
        <f ca="1"/>
      </c>
      <c r="GO73">
        <f ca="1"/>
      </c>
      <c r="GP73">
        <f ca="1"/>
      </c>
      <c r="GQ73">
        <f ca="1"/>
      </c>
    </row>
    <row r="74" spans="41:199" x14ac:dyDescent="0.55000000000000004">
      <c r="AO74">
        <f ca="1"/>
      </c>
      <c r="AP74">
        <f ca="1"/>
      </c>
      <c r="AQ74">
        <f ca="1"/>
      </c>
      <c r="AR74">
        <f ca="1"/>
      </c>
      <c r="AS74">
        <f ca="1"/>
      </c>
      <c r="AT74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AZ74">
        <f ca="1"/>
      </c>
      <c r="BA74">
        <f ca="1"/>
      </c>
      <c r="BB74">
        <f ca="1"/>
      </c>
      <c r="BC74">
        <f ca="1"/>
      </c>
      <c r="BD74">
        <f ca="1"/>
      </c>
      <c r="BE74">
        <f ca="1"/>
      </c>
      <c r="BF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N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M74" s="7">
        <f ca="1"/>
      </c>
      <c r="GN74">
        <f ca="1"/>
      </c>
      <c r="GO74">
        <f ca="1"/>
      </c>
      <c r="GP74">
        <f ca="1"/>
      </c>
      <c r="GQ74">
        <f ca="1"/>
      </c>
    </row>
    <row r="75" spans="41:199" x14ac:dyDescent="0.55000000000000004">
      <c r="AO75">
        <f ca="1"/>
      </c>
      <c r="AP75">
        <f ca="1"/>
      </c>
      <c r="AQ75">
        <f ca="1"/>
      </c>
      <c r="AR75">
        <f ca="1"/>
      </c>
      <c r="AS75">
        <f ca="1"/>
      </c>
      <c r="AT75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AZ75">
        <f ca="1"/>
      </c>
      <c r="BA75">
        <f ca="1"/>
      </c>
      <c r="BB75">
        <f ca="1"/>
      </c>
      <c r="BC75">
        <f ca="1"/>
      </c>
      <c r="BD75">
        <f ca="1"/>
      </c>
      <c r="BE75">
        <f ca="1"/>
      </c>
      <c r="BF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N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M75" s="7">
        <f ca="1"/>
      </c>
      <c r="GN75">
        <f ca="1"/>
      </c>
      <c r="GO75">
        <f ca="1"/>
      </c>
      <c r="GP75">
        <f ca="1"/>
      </c>
      <c r="GQ75">
        <f ca="1"/>
      </c>
    </row>
    <row r="76" spans="41:199" x14ac:dyDescent="0.55000000000000004">
      <c r="AO76">
        <f ca="1"/>
      </c>
      <c r="AP76">
        <f ca="1"/>
      </c>
      <c r="AQ76">
        <f ca="1"/>
      </c>
      <c r="AR76">
        <f ca="1"/>
      </c>
      <c r="AS76">
        <f ca="1"/>
      </c>
      <c r="AT76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AZ76">
        <f ca="1"/>
      </c>
      <c r="BA76">
        <f ca="1"/>
      </c>
      <c r="BB76">
        <f ca="1"/>
      </c>
      <c r="BC76">
        <f ca="1"/>
      </c>
      <c r="BD76">
        <f ca="1"/>
      </c>
      <c r="BE76">
        <f ca="1"/>
      </c>
      <c r="BF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N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M76" s="7">
        <f ca="1"/>
      </c>
      <c r="GN76">
        <f ca="1"/>
      </c>
      <c r="GO76">
        <f ca="1"/>
      </c>
      <c r="GP76">
        <f ca="1"/>
      </c>
      <c r="GQ76">
        <f ca="1"/>
      </c>
    </row>
    <row r="77" spans="41:199" x14ac:dyDescent="0.55000000000000004">
      <c r="AO77">
        <f ca="1"/>
      </c>
      <c r="AP77">
        <f ca="1"/>
      </c>
      <c r="AQ77">
        <f ca="1"/>
      </c>
      <c r="AR77">
        <f ca="1"/>
      </c>
      <c r="AS77">
        <f ca="1"/>
      </c>
      <c r="AT7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AZ77">
        <f ca="1"/>
      </c>
      <c r="BA77">
        <f ca="1"/>
      </c>
      <c r="BB77">
        <f ca="1"/>
      </c>
      <c r="BC77">
        <f ca="1"/>
      </c>
      <c r="BD77">
        <f ca="1"/>
      </c>
      <c r="BE77">
        <f ca="1"/>
      </c>
      <c r="BF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N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M77" s="7">
        <f ca="1"/>
      </c>
      <c r="GN77">
        <f ca="1"/>
      </c>
      <c r="GO77">
        <f ca="1"/>
      </c>
      <c r="GP77">
        <f ca="1"/>
      </c>
      <c r="GQ77">
        <f ca="1"/>
      </c>
    </row>
    <row r="78" spans="41:199" x14ac:dyDescent="0.55000000000000004">
      <c r="AO78">
        <f ca="1"/>
      </c>
      <c r="AP78">
        <f ca="1"/>
      </c>
      <c r="AQ78">
        <f ca="1"/>
      </c>
      <c r="AR78">
        <f ca="1"/>
      </c>
      <c r="AS78">
        <f ca="1"/>
      </c>
      <c r="AT78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AZ78">
        <f ca="1"/>
      </c>
      <c r="BA78">
        <f ca="1"/>
      </c>
      <c r="BB78">
        <f ca="1"/>
      </c>
      <c r="BC78">
        <f ca="1"/>
      </c>
      <c r="BD78">
        <f ca="1"/>
      </c>
      <c r="BE78">
        <f ca="1"/>
      </c>
      <c r="BF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N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M78" s="7">
        <f ca="1"/>
      </c>
      <c r="GN78">
        <f ca="1"/>
      </c>
      <c r="GO78">
        <f ca="1"/>
      </c>
      <c r="GP78">
        <f ca="1"/>
      </c>
      <c r="GQ78">
        <f ca="1"/>
      </c>
    </row>
    <row r="79" spans="41:199" x14ac:dyDescent="0.55000000000000004">
      <c r="AO79">
        <f ca="1"/>
      </c>
      <c r="AP79">
        <f ca="1"/>
      </c>
      <c r="AQ79">
        <f ca="1"/>
      </c>
      <c r="AR79">
        <f ca="1"/>
      </c>
      <c r="AS79">
        <f ca="1"/>
      </c>
      <c r="AT79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AZ79">
        <f ca="1"/>
      </c>
      <c r="BA79">
        <f ca="1"/>
      </c>
      <c r="BB79">
        <f ca="1"/>
      </c>
      <c r="BC79">
        <f ca="1"/>
      </c>
      <c r="BD79">
        <f ca="1"/>
      </c>
      <c r="BE79">
        <f ca="1"/>
      </c>
      <c r="BF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N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M79" s="7">
        <f ca="1"/>
      </c>
      <c r="GN79">
        <f ca="1"/>
      </c>
      <c r="GO79">
        <f ca="1"/>
      </c>
      <c r="GP79">
        <f ca="1"/>
      </c>
      <c r="GQ79">
        <f ca="1"/>
      </c>
    </row>
    <row r="80" spans="41:199" x14ac:dyDescent="0.55000000000000004">
      <c r="AO80">
        <f ca="1"/>
      </c>
      <c r="AP80">
        <f ca="1"/>
      </c>
      <c r="AQ80">
        <f ca="1"/>
      </c>
      <c r="AR80">
        <f ca="1"/>
      </c>
      <c r="AS80">
        <f ca="1"/>
      </c>
      <c r="AT80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AZ80">
        <f ca="1"/>
      </c>
      <c r="BA80">
        <f ca="1"/>
      </c>
      <c r="BB80">
        <f ca="1"/>
      </c>
      <c r="BC80">
        <f ca="1"/>
      </c>
      <c r="BD80">
        <f ca="1"/>
      </c>
      <c r="BE80">
        <f ca="1"/>
      </c>
      <c r="BF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N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M80" s="7">
        <f ca="1"/>
      </c>
      <c r="GN80">
        <f ca="1"/>
      </c>
      <c r="GO80">
        <f ca="1"/>
      </c>
      <c r="GP80">
        <f ca="1"/>
      </c>
      <c r="GQ80">
        <f ca="1"/>
      </c>
    </row>
    <row r="81" spans="41:199" x14ac:dyDescent="0.55000000000000004">
      <c r="AO81">
        <f ca="1"/>
      </c>
      <c r="AP81">
        <f ca="1"/>
      </c>
      <c r="AQ81">
        <f ca="1"/>
      </c>
      <c r="AR81">
        <f ca="1"/>
      </c>
      <c r="AS81">
        <f ca="1"/>
      </c>
      <c r="AT81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AZ81">
        <f ca="1"/>
      </c>
      <c r="BA81">
        <f ca="1"/>
      </c>
      <c r="BB81">
        <f ca="1"/>
      </c>
      <c r="BC81">
        <f ca="1"/>
      </c>
      <c r="BD81">
        <f ca="1"/>
      </c>
      <c r="BE81">
        <f ca="1"/>
      </c>
      <c r="BF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N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M81" s="7">
        <f ca="1"/>
      </c>
      <c r="GN81">
        <f ca="1"/>
      </c>
      <c r="GO81">
        <f ca="1"/>
      </c>
      <c r="GP81">
        <f ca="1"/>
      </c>
      <c r="GQ81">
        <f ca="1"/>
      </c>
    </row>
    <row r="82" spans="41:199" x14ac:dyDescent="0.55000000000000004">
      <c r="AO82">
        <f ca="1"/>
      </c>
      <c r="AP82">
        <f ca="1"/>
      </c>
      <c r="AQ82">
        <f ca="1"/>
      </c>
      <c r="AR82">
        <f ca="1"/>
      </c>
      <c r="AS82">
        <f ca="1"/>
      </c>
      <c r="AT82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AZ82">
        <f ca="1"/>
      </c>
      <c r="BA82">
        <f ca="1"/>
      </c>
      <c r="BB82">
        <f ca="1"/>
      </c>
      <c r="BC82">
        <f ca="1"/>
      </c>
      <c r="BD82">
        <f ca="1"/>
      </c>
      <c r="BE82">
        <f ca="1"/>
      </c>
      <c r="BF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N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M82" s="7">
        <f ca="1"/>
      </c>
      <c r="GN82">
        <f ca="1"/>
      </c>
      <c r="GO82">
        <f ca="1"/>
      </c>
      <c r="GP82">
        <f ca="1"/>
      </c>
      <c r="GQ82">
        <f ca="1"/>
      </c>
    </row>
    <row r="83" spans="41:199" x14ac:dyDescent="0.55000000000000004">
      <c r="AO83">
        <f ca="1"/>
      </c>
      <c r="AP83">
        <f ca="1"/>
      </c>
      <c r="AQ83">
        <f ca="1"/>
      </c>
      <c r="AR83">
        <f ca="1"/>
      </c>
      <c r="AS83">
        <f ca="1"/>
      </c>
      <c r="AT83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AZ83">
        <f ca="1"/>
      </c>
      <c r="BA83">
        <f ca="1"/>
      </c>
      <c r="BB83">
        <f ca="1"/>
      </c>
      <c r="BC83">
        <f ca="1"/>
      </c>
      <c r="BD83">
        <f ca="1"/>
      </c>
      <c r="BE83">
        <f ca="1"/>
      </c>
      <c r="BF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N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M83" s="7">
        <f ca="1"/>
      </c>
      <c r="GN83">
        <f ca="1"/>
      </c>
      <c r="GO83">
        <f ca="1"/>
      </c>
      <c r="GP83">
        <f ca="1"/>
      </c>
      <c r="GQ83">
        <f ca="1"/>
      </c>
    </row>
    <row r="84" spans="41:199" x14ac:dyDescent="0.55000000000000004">
      <c r="AO84">
        <f ca="1"/>
      </c>
      <c r="AP84">
        <f ca="1"/>
      </c>
      <c r="AQ84">
        <f ca="1"/>
      </c>
      <c r="AR84">
        <f ca="1"/>
      </c>
      <c r="AS84">
        <f ca="1"/>
      </c>
      <c r="AT84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AZ84">
        <f ca="1"/>
      </c>
      <c r="BA84">
        <f ca="1"/>
      </c>
      <c r="BB84">
        <f ca="1"/>
      </c>
      <c r="BC84">
        <f ca="1"/>
      </c>
      <c r="BD84">
        <f ca="1"/>
      </c>
      <c r="BE84">
        <f ca="1"/>
      </c>
      <c r="BF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N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M84" s="7">
        <f ca="1"/>
      </c>
      <c r="GN84">
        <f ca="1"/>
      </c>
      <c r="GO84">
        <f ca="1"/>
      </c>
      <c r="GP84">
        <f ca="1"/>
      </c>
      <c r="GQ84">
        <f ca="1"/>
      </c>
    </row>
    <row r="85" spans="41:199" x14ac:dyDescent="0.55000000000000004">
      <c r="AO85">
        <f ca="1"/>
      </c>
      <c r="AP85">
        <f ca="1"/>
      </c>
      <c r="AQ85">
        <f ca="1"/>
      </c>
      <c r="AR85">
        <f ca="1"/>
      </c>
      <c r="AS85">
        <f ca="1"/>
      </c>
      <c r="AT85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AZ85">
        <f ca="1"/>
      </c>
      <c r="BA85">
        <f ca="1"/>
      </c>
      <c r="BB85">
        <f ca="1"/>
      </c>
      <c r="BC85">
        <f ca="1"/>
      </c>
      <c r="BD85">
        <f ca="1"/>
      </c>
      <c r="BE85">
        <f ca="1"/>
      </c>
      <c r="BF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N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M85" s="7">
        <f ca="1"/>
      </c>
      <c r="GN85">
        <f ca="1"/>
      </c>
      <c r="GO85">
        <f ca="1"/>
      </c>
      <c r="GP85">
        <f ca="1"/>
      </c>
      <c r="GQ85">
        <f ca="1"/>
      </c>
    </row>
    <row r="86" spans="41:199" x14ac:dyDescent="0.55000000000000004">
      <c r="AO86">
        <f ca="1"/>
      </c>
      <c r="AP86">
        <f ca="1"/>
      </c>
      <c r="AQ86">
        <f ca="1"/>
      </c>
      <c r="AR86">
        <f ca="1"/>
      </c>
      <c r="AS86">
        <f ca="1"/>
      </c>
      <c r="AT86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AZ86">
        <f ca="1"/>
      </c>
      <c r="BA86">
        <f ca="1"/>
      </c>
      <c r="BB86">
        <f ca="1"/>
      </c>
      <c r="BC86">
        <f ca="1"/>
      </c>
      <c r="BD86">
        <f ca="1"/>
      </c>
      <c r="BE86">
        <f ca="1"/>
      </c>
      <c r="BF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N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M86" s="7">
        <f ca="1"/>
      </c>
      <c r="GN86">
        <f ca="1"/>
      </c>
      <c r="GO86">
        <f ca="1"/>
      </c>
      <c r="GP86">
        <f ca="1"/>
      </c>
      <c r="GQ86">
        <f ca="1"/>
      </c>
    </row>
    <row r="87" spans="41:199" x14ac:dyDescent="0.55000000000000004">
      <c r="AO87">
        <f ca="1"/>
      </c>
      <c r="AP87">
        <f ca="1"/>
      </c>
      <c r="AQ87">
        <f ca="1"/>
      </c>
      <c r="AR87">
        <f ca="1"/>
      </c>
      <c r="AS87">
        <f ca="1"/>
      </c>
      <c r="AT8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AZ87">
        <f ca="1"/>
      </c>
      <c r="BA87">
        <f ca="1"/>
      </c>
      <c r="BB87">
        <f ca="1"/>
      </c>
      <c r="BC87">
        <f ca="1"/>
      </c>
      <c r="BD87">
        <f ca="1"/>
      </c>
      <c r="BE87">
        <f ca="1"/>
      </c>
      <c r="BF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N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M87" s="7">
        <f ca="1"/>
      </c>
      <c r="GN87">
        <f ca="1"/>
      </c>
      <c r="GO87">
        <f ca="1"/>
      </c>
      <c r="GP87">
        <f ca="1"/>
      </c>
      <c r="GQ87">
        <f ca="1"/>
      </c>
    </row>
    <row r="88" spans="41:199" x14ac:dyDescent="0.55000000000000004">
      <c r="AO88">
        <f ca="1"/>
      </c>
      <c r="AP88">
        <f ca="1"/>
      </c>
      <c r="AQ88">
        <f ca="1"/>
      </c>
      <c r="AR88">
        <f ca="1"/>
      </c>
      <c r="AS88">
        <f ca="1"/>
      </c>
      <c r="AT88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AZ88">
        <f ca="1"/>
      </c>
      <c r="BA88">
        <f ca="1"/>
      </c>
      <c r="BB88">
        <f ca="1"/>
      </c>
      <c r="BC88">
        <f ca="1"/>
      </c>
      <c r="BD88">
        <f ca="1"/>
      </c>
      <c r="BE88">
        <f ca="1"/>
      </c>
      <c r="BF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N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M88" s="7">
        <f ca="1"/>
      </c>
      <c r="GN88">
        <f ca="1"/>
      </c>
      <c r="GO88">
        <f ca="1"/>
      </c>
      <c r="GP88">
        <f ca="1"/>
      </c>
      <c r="GQ88">
        <f ca="1"/>
      </c>
    </row>
    <row r="89" spans="41:199" x14ac:dyDescent="0.55000000000000004">
      <c r="AO89">
        <f ca="1"/>
      </c>
      <c r="AP89">
        <f ca="1"/>
      </c>
      <c r="AQ89">
        <f ca="1"/>
      </c>
      <c r="AR89">
        <f ca="1"/>
      </c>
      <c r="AS89">
        <f ca="1"/>
      </c>
      <c r="AT89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AZ89">
        <f ca="1"/>
      </c>
      <c r="BA89">
        <f ca="1"/>
      </c>
      <c r="BB89">
        <f ca="1"/>
      </c>
      <c r="BC89">
        <f ca="1"/>
      </c>
      <c r="BD89">
        <f ca="1"/>
      </c>
      <c r="BE89">
        <f ca="1"/>
      </c>
      <c r="BF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N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M89" s="7">
        <f ca="1"/>
      </c>
      <c r="GN89">
        <f ca="1"/>
      </c>
      <c r="GO89">
        <f ca="1"/>
      </c>
      <c r="GP89">
        <f ca="1"/>
      </c>
      <c r="GQ89">
        <f ca="1"/>
      </c>
    </row>
    <row r="90" spans="41:199" x14ac:dyDescent="0.55000000000000004">
      <c r="AO90">
        <f ca="1"/>
      </c>
      <c r="AP90">
        <f ca="1"/>
      </c>
      <c r="AQ90">
        <f ca="1"/>
      </c>
      <c r="AR90">
        <f ca="1"/>
      </c>
      <c r="AS90">
        <f ca="1"/>
      </c>
      <c r="AT90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AZ90">
        <f ca="1"/>
      </c>
      <c r="BA90">
        <f ca="1"/>
      </c>
      <c r="BB90">
        <f ca="1"/>
      </c>
      <c r="BC90">
        <f ca="1"/>
      </c>
      <c r="BD90">
        <f ca="1"/>
      </c>
      <c r="BE90">
        <f ca="1"/>
      </c>
      <c r="BF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N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M90" s="7">
        <f ca="1"/>
      </c>
      <c r="GN90">
        <f ca="1"/>
      </c>
      <c r="GO90">
        <f ca="1"/>
      </c>
      <c r="GP90">
        <f ca="1"/>
      </c>
      <c r="GQ90">
        <f ca="1"/>
      </c>
    </row>
    <row r="91" spans="41:199" x14ac:dyDescent="0.55000000000000004">
      <c r="AO91">
        <f ca="1"/>
      </c>
      <c r="AP91">
        <f ca="1"/>
      </c>
      <c r="AQ91">
        <f ca="1"/>
      </c>
      <c r="AR91">
        <f ca="1"/>
      </c>
      <c r="AS91">
        <f ca="1"/>
      </c>
      <c r="AT91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AZ91">
        <f ca="1"/>
      </c>
      <c r="BA91">
        <f ca="1"/>
      </c>
      <c r="BB91">
        <f ca="1"/>
      </c>
      <c r="BC91">
        <f ca="1"/>
      </c>
      <c r="BD91">
        <f ca="1"/>
      </c>
      <c r="BE91">
        <f ca="1"/>
      </c>
      <c r="BF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N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M91" s="7">
        <f ca="1"/>
      </c>
      <c r="GN91">
        <f ca="1"/>
      </c>
      <c r="GO91">
        <f ca="1"/>
      </c>
      <c r="GP91">
        <f ca="1"/>
      </c>
      <c r="GQ91">
        <f ca="1"/>
      </c>
    </row>
    <row r="92" spans="41:199" x14ac:dyDescent="0.55000000000000004">
      <c r="AO92">
        <f ca="1"/>
      </c>
      <c r="AP92">
        <f ca="1"/>
      </c>
      <c r="AQ92">
        <f ca="1"/>
      </c>
      <c r="AR92">
        <f ca="1"/>
      </c>
      <c r="AS92">
        <f ca="1"/>
      </c>
      <c r="AT92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AZ92">
        <f ca="1"/>
      </c>
      <c r="BA92">
        <f ca="1"/>
      </c>
      <c r="BB92">
        <f ca="1"/>
      </c>
      <c r="BC92">
        <f ca="1"/>
      </c>
      <c r="BD92">
        <f ca="1"/>
      </c>
      <c r="BE92">
        <f ca="1"/>
      </c>
      <c r="BF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N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M92" s="7">
        <f ca="1"/>
      </c>
      <c r="GN92">
        <f ca="1"/>
      </c>
      <c r="GO92">
        <f ca="1"/>
      </c>
      <c r="GP92">
        <f ca="1"/>
      </c>
      <c r="GQ92">
        <f ca="1"/>
      </c>
    </row>
    <row r="93" spans="41:199" x14ac:dyDescent="0.55000000000000004">
      <c r="AO93">
        <f ca="1"/>
      </c>
      <c r="AP93">
        <f ca="1"/>
      </c>
      <c r="AQ93">
        <f ca="1"/>
      </c>
      <c r="AR93">
        <f ca="1"/>
      </c>
      <c r="AS93">
        <f ca="1"/>
      </c>
      <c r="AT93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AZ93">
        <f ca="1"/>
      </c>
      <c r="BA93">
        <f ca="1"/>
      </c>
      <c r="BB93">
        <f ca="1"/>
      </c>
      <c r="BC93">
        <f ca="1"/>
      </c>
      <c r="BD93">
        <f ca="1"/>
      </c>
      <c r="BE93">
        <f ca="1"/>
      </c>
      <c r="BF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N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M93" s="7">
        <f ca="1"/>
      </c>
      <c r="GN93">
        <f ca="1"/>
      </c>
      <c r="GO93">
        <f ca="1"/>
      </c>
      <c r="GP93">
        <f ca="1"/>
      </c>
      <c r="GQ93">
        <f ca="1"/>
      </c>
    </row>
    <row r="94" spans="41:199" x14ac:dyDescent="0.55000000000000004">
      <c r="AO94">
        <f ca="1"/>
      </c>
      <c r="AP94">
        <f ca="1"/>
      </c>
      <c r="AQ94">
        <f ca="1"/>
      </c>
      <c r="AR94">
        <f ca="1"/>
      </c>
      <c r="AS94">
        <f ca="1"/>
      </c>
      <c r="AT94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AZ94">
        <f ca="1"/>
      </c>
      <c r="BA94">
        <f ca="1"/>
      </c>
      <c r="BB94">
        <f ca="1"/>
      </c>
      <c r="BC94">
        <f ca="1"/>
      </c>
      <c r="BD94">
        <f ca="1"/>
      </c>
      <c r="BE94">
        <f ca="1"/>
      </c>
      <c r="BF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N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M94" s="7">
        <f ca="1"/>
      </c>
      <c r="GN94">
        <f ca="1"/>
      </c>
      <c r="GO94">
        <f ca="1"/>
      </c>
      <c r="GP94">
        <f ca="1"/>
      </c>
      <c r="GQ94">
        <f ca="1"/>
      </c>
    </row>
    <row r="95" spans="41:199" x14ac:dyDescent="0.55000000000000004">
      <c r="AO95">
        <f ca="1"/>
      </c>
      <c r="AP95">
        <f ca="1"/>
      </c>
      <c r="AQ95">
        <f ca="1"/>
      </c>
      <c r="AR95">
        <f ca="1"/>
      </c>
      <c r="AS95">
        <f ca="1"/>
      </c>
      <c r="AT95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AZ95">
        <f ca="1"/>
      </c>
      <c r="BA95">
        <f ca="1"/>
      </c>
      <c r="BB95">
        <f ca="1"/>
      </c>
      <c r="BC95">
        <f ca="1"/>
      </c>
      <c r="BD95">
        <f ca="1"/>
      </c>
      <c r="BE95">
        <f ca="1"/>
      </c>
      <c r="BF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N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M95" s="7">
        <f ca="1"/>
      </c>
      <c r="GN95">
        <f ca="1"/>
      </c>
      <c r="GO95">
        <f ca="1"/>
      </c>
      <c r="GP95">
        <f ca="1"/>
      </c>
      <c r="GQ95">
        <f ca="1"/>
      </c>
    </row>
    <row r="96" spans="41:199" x14ac:dyDescent="0.55000000000000004">
      <c r="AO96">
        <f ca="1"/>
      </c>
      <c r="AP96">
        <f ca="1"/>
      </c>
      <c r="AQ96">
        <f ca="1"/>
      </c>
      <c r="AR96">
        <f ca="1"/>
      </c>
      <c r="AS96">
        <f ca="1"/>
      </c>
      <c r="AT96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AZ96">
        <f ca="1"/>
      </c>
      <c r="BA96">
        <f ca="1"/>
      </c>
      <c r="BB96">
        <f ca="1"/>
      </c>
      <c r="BC96">
        <f ca="1"/>
      </c>
      <c r="BD96">
        <f ca="1"/>
      </c>
      <c r="BE96">
        <f ca="1"/>
      </c>
      <c r="BF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N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M96" s="7">
        <f ca="1"/>
      </c>
      <c r="GN96">
        <f ca="1"/>
      </c>
      <c r="GO96">
        <f ca="1"/>
      </c>
      <c r="GP96">
        <f ca="1"/>
      </c>
      <c r="GQ96">
        <f ca="1"/>
      </c>
    </row>
    <row r="97" spans="41:199" x14ac:dyDescent="0.55000000000000004">
      <c r="AO97">
        <f ca="1"/>
      </c>
      <c r="AP97">
        <f ca="1"/>
      </c>
      <c r="AQ97">
        <f ca="1"/>
      </c>
      <c r="AR97">
        <f ca="1"/>
      </c>
      <c r="AS97">
        <f ca="1"/>
      </c>
      <c r="AT9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AZ97">
        <f ca="1"/>
      </c>
      <c r="BA97">
        <f ca="1"/>
      </c>
      <c r="BB97">
        <f ca="1"/>
      </c>
      <c r="BC97">
        <f ca="1"/>
      </c>
      <c r="BD97">
        <f ca="1"/>
      </c>
      <c r="BE97">
        <f ca="1"/>
      </c>
      <c r="BF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N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M97" s="7">
        <f ca="1"/>
      </c>
      <c r="GN97">
        <f ca="1"/>
      </c>
      <c r="GO97">
        <f ca="1"/>
      </c>
      <c r="GP97">
        <f ca="1"/>
      </c>
      <c r="GQ97">
        <f ca="1"/>
      </c>
    </row>
    <row r="98" spans="41:199" x14ac:dyDescent="0.55000000000000004">
      <c r="AO98">
        <f ca="1"/>
      </c>
      <c r="AP98">
        <f ca="1"/>
      </c>
      <c r="AQ98">
        <f ca="1"/>
      </c>
      <c r="AR98">
        <f ca="1"/>
      </c>
      <c r="AS98">
        <f ca="1"/>
      </c>
      <c r="AT98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AZ98">
        <f ca="1"/>
      </c>
      <c r="BA98">
        <f ca="1"/>
      </c>
      <c r="BB98">
        <f ca="1"/>
      </c>
      <c r="BC98">
        <f ca="1"/>
      </c>
      <c r="BD98">
        <f ca="1"/>
      </c>
      <c r="BE98">
        <f ca="1"/>
      </c>
      <c r="BF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N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M98" s="7">
        <f ca="1"/>
      </c>
      <c r="GN98">
        <f ca="1"/>
      </c>
      <c r="GO98">
        <f ca="1"/>
      </c>
      <c r="GP98">
        <f ca="1"/>
      </c>
      <c r="GQ98">
        <f ca="1"/>
      </c>
    </row>
    <row r="99" spans="41:199" x14ac:dyDescent="0.55000000000000004">
      <c r="AO99">
        <f ca="1"/>
      </c>
      <c r="AP99">
        <f ca="1"/>
      </c>
      <c r="AQ99">
        <f ca="1"/>
      </c>
      <c r="AR99">
        <f ca="1"/>
      </c>
      <c r="AS99">
        <f ca="1"/>
      </c>
      <c r="AT99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AZ99">
        <f ca="1"/>
      </c>
      <c r="BA99">
        <f ca="1"/>
      </c>
      <c r="BB99">
        <f ca="1"/>
      </c>
      <c r="BC99">
        <f ca="1"/>
      </c>
      <c r="BD99">
        <f ca="1"/>
      </c>
      <c r="BE99">
        <f ca="1"/>
      </c>
      <c r="BF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N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M99" s="7">
        <f ca="1"/>
      </c>
      <c r="GN99">
        <f ca="1"/>
      </c>
      <c r="GO99">
        <f ca="1"/>
      </c>
      <c r="GP99">
        <f ca="1"/>
      </c>
      <c r="GQ99">
        <f ca="1"/>
      </c>
    </row>
    <row r="100" spans="41:199" x14ac:dyDescent="0.55000000000000004">
      <c r="AO100">
        <f ca="1"/>
      </c>
      <c r="AP100">
        <f ca="1"/>
      </c>
      <c r="AQ100">
        <f ca="1"/>
      </c>
      <c r="AR100">
        <f ca="1"/>
      </c>
      <c r="AS100">
        <f ca="1"/>
      </c>
      <c r="AT100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AZ100">
        <f ca="1"/>
      </c>
      <c r="BA100">
        <f ca="1"/>
      </c>
      <c r="BB100">
        <f ca="1"/>
      </c>
      <c r="BC100">
        <f ca="1"/>
      </c>
      <c r="BD100">
        <f ca="1"/>
      </c>
      <c r="BE100">
        <f ca="1"/>
      </c>
      <c r="BF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N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M100" s="7">
        <f ca="1"/>
      </c>
      <c r="GN100">
        <f ca="1"/>
      </c>
      <c r="GO100">
        <f ca="1"/>
      </c>
      <c r="GP100">
        <f ca="1"/>
      </c>
      <c r="GQ100">
        <f ca="1"/>
      </c>
    </row>
    <row r="101" spans="41:199" x14ac:dyDescent="0.55000000000000004">
      <c r="AO101">
        <f ca="1"/>
      </c>
      <c r="AP101">
        <f ca="1"/>
      </c>
      <c r="AQ101">
        <f ca="1"/>
      </c>
      <c r="AR101">
        <f ca="1"/>
      </c>
      <c r="AS101">
        <f ca="1"/>
      </c>
      <c r="AT101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AZ101">
        <f ca="1"/>
      </c>
      <c r="BA101">
        <f ca="1"/>
      </c>
      <c r="BB101">
        <f ca="1"/>
      </c>
      <c r="BC101">
        <f ca="1"/>
      </c>
      <c r="BD101">
        <f ca="1"/>
      </c>
      <c r="BE101">
        <f ca="1"/>
      </c>
      <c r="BF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N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M101" s="7">
        <f ca="1"/>
      </c>
      <c r="GN101">
        <f ca="1"/>
      </c>
      <c r="GO101">
        <f ca="1"/>
      </c>
      <c r="GP101">
        <f ca="1"/>
      </c>
      <c r="GQ101">
        <f ca="1"/>
      </c>
    </row>
    <row r="102" spans="41:199" x14ac:dyDescent="0.55000000000000004">
      <c r="AO102">
        <f ca="1"/>
      </c>
      <c r="AP102">
        <f ca="1"/>
      </c>
      <c r="AQ102">
        <f ca="1"/>
      </c>
      <c r="AR102">
        <f ca="1"/>
      </c>
      <c r="AS102">
        <f ca="1"/>
      </c>
      <c r="AT102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AZ102">
        <f ca="1"/>
      </c>
      <c r="BA102">
        <f ca="1"/>
      </c>
      <c r="BB102">
        <f ca="1"/>
      </c>
      <c r="BC102">
        <f ca="1"/>
      </c>
      <c r="BD102">
        <f ca="1"/>
      </c>
      <c r="BE102">
        <f ca="1"/>
      </c>
      <c r="BF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N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M102" s="7">
        <f ca="1"/>
      </c>
      <c r="GN102">
        <f ca="1"/>
      </c>
      <c r="GO102">
        <f ca="1"/>
      </c>
      <c r="GP102">
        <f ca="1"/>
      </c>
      <c r="GQ102">
        <f ca="1"/>
      </c>
    </row>
    <row r="103" spans="41:199" x14ac:dyDescent="0.55000000000000004">
      <c r="AO103">
        <f ca="1"/>
      </c>
      <c r="AP103">
        <f ca="1"/>
      </c>
      <c r="AQ103">
        <f ca="1"/>
      </c>
      <c r="AR103">
        <f ca="1"/>
      </c>
      <c r="AS103">
        <f ca="1"/>
      </c>
      <c r="AT103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AZ103">
        <f ca="1"/>
      </c>
      <c r="BA103">
        <f ca="1"/>
      </c>
      <c r="BB103">
        <f ca="1"/>
      </c>
      <c r="BC103">
        <f ca="1"/>
      </c>
      <c r="BD103">
        <f ca="1"/>
      </c>
      <c r="BE103">
        <f ca="1"/>
      </c>
      <c r="BF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N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M103" s="7">
        <f ca="1"/>
      </c>
      <c r="GN103">
        <f ca="1"/>
      </c>
      <c r="GO103">
        <f ca="1"/>
      </c>
      <c r="GP103">
        <f ca="1"/>
      </c>
      <c r="GQ103">
        <f ca="1"/>
      </c>
    </row>
    <row r="104" spans="41:199" x14ac:dyDescent="0.55000000000000004">
      <c r="AO104">
        <f ca="1"/>
      </c>
      <c r="AP104">
        <f ca="1"/>
      </c>
      <c r="AQ104">
        <f ca="1"/>
      </c>
      <c r="AR104">
        <f ca="1"/>
      </c>
      <c r="AS104">
        <f ca="1"/>
      </c>
      <c r="AT104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AZ104">
        <f ca="1"/>
      </c>
      <c r="BA104">
        <f ca="1"/>
      </c>
      <c r="BB104">
        <f ca="1"/>
      </c>
      <c r="BC104">
        <f ca="1"/>
      </c>
      <c r="BD104">
        <f ca="1"/>
      </c>
      <c r="BE104">
        <f ca="1"/>
      </c>
      <c r="BF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N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M104" s="7">
        <f ca="1"/>
      </c>
      <c r="GN104">
        <f ca="1"/>
      </c>
      <c r="GO104">
        <f ca="1"/>
      </c>
      <c r="GP104">
        <f ca="1"/>
      </c>
      <c r="GQ104">
        <f ca="1"/>
      </c>
    </row>
    <row r="105" spans="41:199" x14ac:dyDescent="0.55000000000000004">
      <c r="AO105">
        <f ca="1"/>
      </c>
      <c r="AP105">
        <f ca="1"/>
      </c>
      <c r="AQ105">
        <f ca="1"/>
      </c>
      <c r="AR105">
        <f ca="1"/>
      </c>
      <c r="AS105">
        <f ca="1"/>
      </c>
      <c r="AT105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AZ105">
        <f ca="1"/>
      </c>
      <c r="BA105">
        <f ca="1"/>
      </c>
      <c r="BB105">
        <f ca="1"/>
      </c>
      <c r="BC105">
        <f ca="1"/>
      </c>
      <c r="BD105">
        <f ca="1"/>
      </c>
      <c r="BE105">
        <f ca="1"/>
      </c>
      <c r="BF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N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M105" s="7">
        <f ca="1"/>
      </c>
      <c r="GN105">
        <f ca="1"/>
      </c>
      <c r="GO105">
        <f ca="1"/>
      </c>
      <c r="GP105">
        <f ca="1"/>
      </c>
      <c r="GQ105">
        <f ca="1"/>
      </c>
    </row>
    <row r="106" spans="41:199" x14ac:dyDescent="0.55000000000000004">
      <c r="AO106">
        <f ca="1"/>
      </c>
      <c r="AP106">
        <f ca="1"/>
      </c>
      <c r="AQ106">
        <f ca="1"/>
      </c>
      <c r="AR106">
        <f ca="1"/>
      </c>
      <c r="AS106">
        <f ca="1"/>
      </c>
      <c r="AT106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AZ106">
        <f ca="1"/>
      </c>
      <c r="BA106">
        <f ca="1"/>
      </c>
      <c r="BB106">
        <f ca="1"/>
      </c>
      <c r="BC106">
        <f ca="1"/>
      </c>
      <c r="BD106">
        <f ca="1"/>
      </c>
      <c r="BE106">
        <f ca="1"/>
      </c>
      <c r="BF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N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M106" s="7">
        <f ca="1"/>
      </c>
      <c r="GN106">
        <f ca="1"/>
      </c>
      <c r="GO106">
        <f ca="1"/>
      </c>
      <c r="GP106">
        <f ca="1"/>
      </c>
      <c r="GQ106">
        <f ca="1"/>
      </c>
    </row>
    <row r="107" spans="41:199" x14ac:dyDescent="0.55000000000000004">
      <c r="AO107">
        <f ca="1"/>
      </c>
      <c r="AP107">
        <f ca="1"/>
      </c>
      <c r="AQ107">
        <f ca="1"/>
      </c>
      <c r="AR107">
        <f ca="1"/>
      </c>
      <c r="AS107">
        <f ca="1"/>
      </c>
      <c r="AT10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AZ107">
        <f ca="1"/>
      </c>
      <c r="BA107">
        <f ca="1"/>
      </c>
      <c r="BB107">
        <f ca="1"/>
      </c>
      <c r="BC107">
        <f ca="1"/>
      </c>
      <c r="BD107">
        <f ca="1"/>
      </c>
      <c r="BE107">
        <f ca="1"/>
      </c>
      <c r="BF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N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M107" s="7">
        <f ca="1"/>
      </c>
      <c r="GN107">
        <f ca="1"/>
      </c>
      <c r="GO107">
        <f ca="1"/>
      </c>
      <c r="GP107">
        <f ca="1"/>
      </c>
      <c r="GQ107">
        <f ca="1"/>
      </c>
    </row>
    <row r="108" spans="41:199" x14ac:dyDescent="0.55000000000000004">
      <c r="AO108">
        <f ca="1"/>
      </c>
      <c r="AP108">
        <f ca="1"/>
      </c>
      <c r="AQ108">
        <f ca="1"/>
      </c>
      <c r="AR108">
        <f ca="1"/>
      </c>
      <c r="AS108">
        <f ca="1"/>
      </c>
      <c r="AT108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AZ108">
        <f ca="1"/>
      </c>
      <c r="BA108">
        <f ca="1"/>
      </c>
      <c r="BB108">
        <f ca="1"/>
      </c>
      <c r="BC108">
        <f ca="1"/>
      </c>
      <c r="BD108">
        <f ca="1"/>
      </c>
      <c r="BE108">
        <f ca="1"/>
      </c>
      <c r="BF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N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M108" s="7">
        <f ca="1"/>
      </c>
      <c r="GN108">
        <f ca="1"/>
      </c>
      <c r="GO108">
        <f ca="1"/>
      </c>
      <c r="GP108">
        <f ca="1"/>
      </c>
      <c r="GQ108">
        <f ca="1"/>
      </c>
    </row>
    <row r="109" spans="41:199" x14ac:dyDescent="0.55000000000000004">
      <c r="AO109">
        <f ca="1"/>
      </c>
      <c r="AP109">
        <f ca="1"/>
      </c>
      <c r="AQ109">
        <f ca="1"/>
      </c>
      <c r="AR109">
        <f ca="1"/>
      </c>
      <c r="AS109">
        <f ca="1"/>
      </c>
      <c r="AT109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AZ109">
        <f ca="1"/>
      </c>
      <c r="BA109">
        <f ca="1"/>
      </c>
      <c r="BB109">
        <f ca="1"/>
      </c>
      <c r="BC109">
        <f ca="1"/>
      </c>
      <c r="BD109">
        <f ca="1"/>
      </c>
      <c r="BE109">
        <f ca="1"/>
      </c>
      <c r="BF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N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M109" s="7">
        <f ca="1"/>
      </c>
      <c r="GN109">
        <f ca="1"/>
      </c>
      <c r="GO109">
        <f ca="1"/>
      </c>
      <c r="GP109">
        <f ca="1"/>
      </c>
      <c r="GQ109">
        <f ca="1"/>
      </c>
    </row>
    <row r="110" spans="41:199" x14ac:dyDescent="0.55000000000000004">
      <c r="AO110">
        <f ca="1"/>
      </c>
      <c r="AP110">
        <f ca="1"/>
      </c>
      <c r="AQ110">
        <f ca="1"/>
      </c>
      <c r="AR110">
        <f ca="1"/>
      </c>
      <c r="AS110">
        <f ca="1"/>
      </c>
      <c r="AT110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AZ110">
        <f ca="1"/>
      </c>
      <c r="BA110">
        <f ca="1"/>
      </c>
      <c r="BB110">
        <f ca="1"/>
      </c>
      <c r="BC110">
        <f ca="1"/>
      </c>
      <c r="BD110">
        <f ca="1"/>
      </c>
      <c r="BE110">
        <f ca="1"/>
      </c>
      <c r="BF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N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M110" s="7">
        <f ca="1"/>
      </c>
      <c r="GN110">
        <f ca="1"/>
      </c>
      <c r="GO110">
        <f ca="1"/>
      </c>
      <c r="GP110">
        <f ca="1"/>
      </c>
      <c r="GQ110">
        <f ca="1"/>
      </c>
    </row>
    <row r="111" spans="41:199" x14ac:dyDescent="0.55000000000000004">
      <c r="AO111">
        <f ca="1"/>
      </c>
      <c r="AP111">
        <f ca="1"/>
      </c>
      <c r="AQ111">
        <f ca="1"/>
      </c>
      <c r="AR111">
        <f ca="1"/>
      </c>
      <c r="AS111">
        <f ca="1"/>
      </c>
      <c r="AT111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AZ111">
        <f ca="1"/>
      </c>
      <c r="BA111">
        <f ca="1"/>
      </c>
      <c r="BB111">
        <f ca="1"/>
      </c>
      <c r="BC111">
        <f ca="1"/>
      </c>
      <c r="BD111">
        <f ca="1"/>
      </c>
      <c r="BE111">
        <f ca="1"/>
      </c>
      <c r="BF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N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M111" s="7">
        <f ca="1"/>
      </c>
      <c r="GN111">
        <f ca="1"/>
      </c>
      <c r="GO111">
        <f ca="1"/>
      </c>
      <c r="GP111">
        <f ca="1"/>
      </c>
      <c r="GQ111">
        <f ca="1"/>
      </c>
    </row>
    <row r="112" spans="41:199" x14ac:dyDescent="0.55000000000000004">
      <c r="AO112">
        <f ca="1"/>
      </c>
      <c r="AP112">
        <f ca="1"/>
      </c>
      <c r="AQ112">
        <f ca="1"/>
      </c>
      <c r="AR112">
        <f ca="1"/>
      </c>
      <c r="AS112">
        <f ca="1"/>
      </c>
      <c r="AT112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AZ112">
        <f ca="1"/>
      </c>
      <c r="BA112">
        <f ca="1"/>
      </c>
      <c r="BB112">
        <f ca="1"/>
      </c>
      <c r="BC112">
        <f ca="1"/>
      </c>
      <c r="BD112">
        <f ca="1"/>
      </c>
      <c r="BE112">
        <f ca="1"/>
      </c>
      <c r="BF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N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M112" s="7">
        <f ca="1"/>
      </c>
      <c r="GN112">
        <f ca="1"/>
      </c>
      <c r="GO112">
        <f ca="1"/>
      </c>
      <c r="GP112">
        <f ca="1"/>
      </c>
      <c r="GQ112">
        <f ca="1"/>
      </c>
    </row>
    <row r="113" spans="41:199" x14ac:dyDescent="0.55000000000000004">
      <c r="AO113">
        <f ca="1"/>
      </c>
      <c r="AP113">
        <f ca="1"/>
      </c>
      <c r="AQ113">
        <f ca="1"/>
      </c>
      <c r="AR113">
        <f ca="1"/>
      </c>
      <c r="AS113">
        <f ca="1"/>
      </c>
      <c r="AT113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AZ113">
        <f ca="1"/>
      </c>
      <c r="BA113">
        <f ca="1"/>
      </c>
      <c r="BB113">
        <f ca="1"/>
      </c>
      <c r="BC113">
        <f ca="1"/>
      </c>
      <c r="BD113">
        <f ca="1"/>
      </c>
      <c r="BE113">
        <f ca="1"/>
      </c>
      <c r="BF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N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M113" s="7">
        <f ca="1"/>
      </c>
      <c r="GN113">
        <f ca="1"/>
      </c>
      <c r="GO113">
        <f ca="1"/>
      </c>
      <c r="GP113">
        <f ca="1"/>
      </c>
      <c r="GQ113">
        <f ca="1"/>
      </c>
    </row>
    <row r="114" spans="41:199" x14ac:dyDescent="0.55000000000000004">
      <c r="AO114">
        <f ca="1"/>
      </c>
      <c r="AP114">
        <f ca="1"/>
      </c>
      <c r="AQ114">
        <f ca="1"/>
      </c>
      <c r="AR114">
        <f ca="1"/>
      </c>
      <c r="AS114">
        <f ca="1"/>
      </c>
      <c r="AT114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AZ114">
        <f ca="1"/>
      </c>
      <c r="BA114">
        <f ca="1"/>
      </c>
      <c r="BB114">
        <f ca="1"/>
      </c>
      <c r="BC114">
        <f ca="1"/>
      </c>
      <c r="BD114">
        <f ca="1"/>
      </c>
      <c r="BE114">
        <f ca="1"/>
      </c>
      <c r="BF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N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M114" s="7">
        <f ca="1"/>
      </c>
      <c r="GN114">
        <f ca="1"/>
      </c>
      <c r="GO114">
        <f ca="1"/>
      </c>
      <c r="GP114">
        <f ca="1"/>
      </c>
      <c r="GQ114">
        <f ca="1"/>
      </c>
    </row>
    <row r="115" spans="41:199" x14ac:dyDescent="0.55000000000000004">
      <c r="AO115">
        <f ca="1"/>
      </c>
      <c r="AP115">
        <f ca="1"/>
      </c>
      <c r="AQ115">
        <f ca="1"/>
      </c>
      <c r="AR115">
        <f ca="1"/>
      </c>
      <c r="AS115">
        <f ca="1"/>
      </c>
      <c r="AT115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AZ115">
        <f ca="1"/>
      </c>
      <c r="BA115">
        <f ca="1"/>
      </c>
      <c r="BB115">
        <f ca="1"/>
      </c>
      <c r="BC115">
        <f ca="1"/>
      </c>
      <c r="BD115">
        <f ca="1"/>
      </c>
      <c r="BE115">
        <f ca="1"/>
      </c>
      <c r="BF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N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M115" s="7">
        <f ca="1"/>
      </c>
      <c r="GN115">
        <f ca="1"/>
      </c>
      <c r="GO115">
        <f ca="1"/>
      </c>
      <c r="GP115">
        <f ca="1"/>
      </c>
      <c r="GQ115">
        <f ca="1"/>
      </c>
    </row>
    <row r="116" spans="41:199" x14ac:dyDescent="0.55000000000000004">
      <c r="AO116">
        <f ca="1"/>
      </c>
      <c r="AP116">
        <f ca="1"/>
      </c>
      <c r="AQ116">
        <f ca="1"/>
      </c>
      <c r="AR116">
        <f ca="1"/>
      </c>
      <c r="AS116">
        <f ca="1"/>
      </c>
      <c r="AT116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AZ116">
        <f ca="1"/>
      </c>
      <c r="BA116">
        <f ca="1"/>
      </c>
      <c r="BB116">
        <f ca="1"/>
      </c>
      <c r="BC116">
        <f ca="1"/>
      </c>
      <c r="BD116">
        <f ca="1"/>
      </c>
      <c r="BE116">
        <f ca="1"/>
      </c>
      <c r="BF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N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M116" s="7">
        <f ca="1"/>
      </c>
      <c r="GN116">
        <f ca="1"/>
      </c>
      <c r="GO116">
        <f ca="1"/>
      </c>
      <c r="GP116">
        <f ca="1"/>
      </c>
      <c r="GQ116">
        <f ca="1"/>
      </c>
    </row>
    <row r="117" spans="41:199" x14ac:dyDescent="0.55000000000000004">
      <c r="AO117">
        <f ca="1"/>
      </c>
      <c r="AP117">
        <f ca="1"/>
      </c>
      <c r="AQ117">
        <f ca="1"/>
      </c>
      <c r="AR117">
        <f ca="1"/>
      </c>
      <c r="AS117">
        <f ca="1"/>
      </c>
      <c r="AT11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AZ117">
        <f ca="1"/>
      </c>
      <c r="BA117">
        <f ca="1"/>
      </c>
      <c r="BB117">
        <f ca="1"/>
      </c>
      <c r="BC117">
        <f ca="1"/>
      </c>
      <c r="BD117">
        <f ca="1"/>
      </c>
      <c r="BE117">
        <f ca="1"/>
      </c>
      <c r="BF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N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M117" s="7">
        <f ca="1"/>
      </c>
      <c r="GN117">
        <f ca="1"/>
      </c>
      <c r="GO117">
        <f ca="1"/>
      </c>
      <c r="GP117">
        <f ca="1"/>
      </c>
      <c r="GQ117">
        <f ca="1"/>
      </c>
    </row>
    <row r="118" spans="41:199" x14ac:dyDescent="0.55000000000000004">
      <c r="AO118">
        <f ca="1"/>
      </c>
      <c r="AP118">
        <f ca="1"/>
      </c>
      <c r="AQ118">
        <f ca="1"/>
      </c>
      <c r="AR118">
        <f ca="1"/>
      </c>
      <c r="AS118">
        <f ca="1"/>
      </c>
      <c r="AT118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AZ118">
        <f ca="1"/>
      </c>
      <c r="BA118">
        <f ca="1"/>
      </c>
      <c r="BB118">
        <f ca="1"/>
      </c>
      <c r="BC118">
        <f ca="1"/>
      </c>
      <c r="BD118">
        <f ca="1"/>
      </c>
      <c r="BE118">
        <f ca="1"/>
      </c>
      <c r="BF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N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M118" s="7">
        <f ca="1"/>
      </c>
      <c r="GN118">
        <f ca="1"/>
      </c>
      <c r="GO118">
        <f ca="1"/>
      </c>
      <c r="GP118">
        <f ca="1"/>
      </c>
      <c r="GQ118">
        <f ca="1"/>
      </c>
    </row>
    <row r="119" spans="41:199" x14ac:dyDescent="0.55000000000000004">
      <c r="AO119">
        <f ca="1"/>
      </c>
      <c r="AP119">
        <f ca="1"/>
      </c>
      <c r="AQ119">
        <f ca="1"/>
      </c>
      <c r="AR119">
        <f ca="1"/>
      </c>
      <c r="AS119">
        <f ca="1"/>
      </c>
      <c r="AT119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AZ119">
        <f ca="1"/>
      </c>
      <c r="BA119">
        <f ca="1"/>
      </c>
      <c r="BB119">
        <f ca="1"/>
      </c>
      <c r="BC119">
        <f ca="1"/>
      </c>
      <c r="BD119">
        <f ca="1"/>
      </c>
      <c r="BE119">
        <f ca="1"/>
      </c>
      <c r="BF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N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M119" s="7">
        <f ca="1"/>
      </c>
      <c r="GN119">
        <f ca="1"/>
      </c>
      <c r="GO119">
        <f ca="1"/>
      </c>
      <c r="GP119">
        <f ca="1"/>
      </c>
      <c r="GQ119">
        <f ca="1"/>
      </c>
    </row>
    <row r="120" spans="41:199" x14ac:dyDescent="0.55000000000000004">
      <c r="AO120">
        <f ca="1"/>
      </c>
      <c r="AP120">
        <f ca="1"/>
      </c>
      <c r="AQ120">
        <f ca="1"/>
      </c>
      <c r="AR120">
        <f ca="1"/>
      </c>
      <c r="AS120">
        <f ca="1"/>
      </c>
      <c r="AT120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AZ120">
        <f ca="1"/>
      </c>
      <c r="BA120">
        <f ca="1"/>
      </c>
      <c r="BB120">
        <f ca="1"/>
      </c>
      <c r="BC120">
        <f ca="1"/>
      </c>
      <c r="BD120">
        <f ca="1"/>
      </c>
      <c r="BE120">
        <f ca="1"/>
      </c>
      <c r="BF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N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M120" s="7">
        <f ca="1"/>
      </c>
      <c r="GN120">
        <f ca="1"/>
      </c>
      <c r="GO120">
        <f ca="1"/>
      </c>
      <c r="GP120">
        <f ca="1"/>
      </c>
      <c r="GQ120">
        <f ca="1"/>
      </c>
    </row>
    <row r="121" spans="41:199" x14ac:dyDescent="0.55000000000000004">
      <c r="AO121">
        <f ca="1"/>
      </c>
      <c r="AP121">
        <f ca="1"/>
      </c>
      <c r="AQ121">
        <f ca="1"/>
      </c>
      <c r="AR121">
        <f ca="1"/>
      </c>
      <c r="AS121">
        <f ca="1"/>
      </c>
      <c r="AT121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AZ121">
        <f ca="1"/>
      </c>
      <c r="BA121">
        <f ca="1"/>
      </c>
      <c r="BB121">
        <f ca="1"/>
      </c>
      <c r="BC121">
        <f ca="1"/>
      </c>
      <c r="BD121">
        <f ca="1"/>
      </c>
      <c r="BE121">
        <f ca="1"/>
      </c>
      <c r="BF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N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M121" s="7">
        <f ca="1"/>
      </c>
      <c r="GN121">
        <f ca="1"/>
      </c>
      <c r="GO121">
        <f ca="1"/>
      </c>
      <c r="GP121">
        <f ca="1"/>
      </c>
      <c r="GQ121">
        <f ca="1"/>
      </c>
    </row>
    <row r="122" spans="41:199" x14ac:dyDescent="0.55000000000000004">
      <c r="AO122">
        <f ca="1"/>
      </c>
      <c r="AP122">
        <f ca="1"/>
      </c>
      <c r="AQ122">
        <f ca="1"/>
      </c>
      <c r="AR122">
        <f ca="1"/>
      </c>
      <c r="AS122">
        <f ca="1"/>
      </c>
      <c r="AT122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AZ122">
        <f ca="1"/>
      </c>
      <c r="BA122">
        <f ca="1"/>
      </c>
      <c r="BB122">
        <f ca="1"/>
      </c>
      <c r="BC122">
        <f ca="1"/>
      </c>
      <c r="BD122">
        <f ca="1"/>
      </c>
      <c r="BE122">
        <f ca="1"/>
      </c>
      <c r="BF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N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M122" s="7">
        <f ca="1"/>
      </c>
      <c r="GN122">
        <f ca="1"/>
      </c>
      <c r="GO122">
        <f ca="1"/>
      </c>
      <c r="GP122">
        <f ca="1"/>
      </c>
      <c r="GQ122">
        <f ca="1"/>
      </c>
    </row>
    <row r="123" spans="41:199" x14ac:dyDescent="0.55000000000000004">
      <c r="AO123">
        <f ca="1"/>
      </c>
      <c r="AP123">
        <f ca="1"/>
      </c>
      <c r="AQ123">
        <f ca="1"/>
      </c>
      <c r="AR123">
        <f ca="1"/>
      </c>
      <c r="AS123">
        <f ca="1"/>
      </c>
      <c r="AT123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AZ123">
        <f ca="1"/>
      </c>
      <c r="BA123">
        <f ca="1"/>
      </c>
      <c r="BB123">
        <f ca="1"/>
      </c>
      <c r="BC123">
        <f ca="1"/>
      </c>
      <c r="BD123">
        <f ca="1"/>
      </c>
      <c r="BE123">
        <f ca="1"/>
      </c>
      <c r="BF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N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M123" s="7">
        <f ca="1"/>
      </c>
      <c r="GN123">
        <f ca="1"/>
      </c>
      <c r="GO123">
        <f ca="1"/>
      </c>
      <c r="GP123">
        <f ca="1"/>
      </c>
      <c r="GQ123">
        <f ca="1"/>
      </c>
    </row>
    <row r="124" spans="41:199" x14ac:dyDescent="0.55000000000000004">
      <c r="AO124">
        <f ca="1"/>
      </c>
      <c r="AP124">
        <f ca="1"/>
      </c>
      <c r="AQ124">
        <f ca="1"/>
      </c>
      <c r="AR124">
        <f ca="1"/>
      </c>
      <c r="AS124">
        <f ca="1"/>
      </c>
      <c r="AT124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AZ124">
        <f ca="1"/>
      </c>
      <c r="BA124">
        <f ca="1"/>
      </c>
      <c r="BB124">
        <f ca="1"/>
      </c>
      <c r="BC124">
        <f ca="1"/>
      </c>
      <c r="BD124">
        <f ca="1"/>
      </c>
      <c r="BE124">
        <f ca="1"/>
      </c>
      <c r="BF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N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M124" s="7">
        <f ca="1"/>
      </c>
      <c r="GN124">
        <f ca="1"/>
      </c>
      <c r="GO124">
        <f ca="1"/>
      </c>
      <c r="GP124">
        <f ca="1"/>
      </c>
      <c r="GQ124">
        <f ca="1"/>
      </c>
    </row>
    <row r="125" spans="41:199" x14ac:dyDescent="0.55000000000000004">
      <c r="AO125">
        <f ca="1"/>
      </c>
      <c r="AP125">
        <f ca="1"/>
      </c>
      <c r="AQ125">
        <f ca="1"/>
      </c>
      <c r="AR125">
        <f ca="1"/>
      </c>
      <c r="AS125">
        <f ca="1"/>
      </c>
      <c r="AT125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AZ125">
        <f ca="1"/>
      </c>
      <c r="BA125">
        <f ca="1"/>
      </c>
      <c r="BB125">
        <f ca="1"/>
      </c>
      <c r="BC125">
        <f ca="1"/>
      </c>
      <c r="BD125">
        <f ca="1"/>
      </c>
      <c r="BE125">
        <f ca="1"/>
      </c>
      <c r="BF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N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M125" s="7">
        <f ca="1"/>
      </c>
      <c r="GN125">
        <f ca="1"/>
      </c>
      <c r="GO125">
        <f ca="1"/>
      </c>
      <c r="GP125">
        <f ca="1"/>
      </c>
      <c r="GQ125">
        <f ca="1"/>
      </c>
    </row>
    <row r="126" spans="41:199" x14ac:dyDescent="0.55000000000000004">
      <c r="AO126">
        <f ca="1"/>
      </c>
      <c r="AP126">
        <f ca="1"/>
      </c>
      <c r="AQ126">
        <f ca="1"/>
      </c>
      <c r="AR126">
        <f ca="1"/>
      </c>
      <c r="AS126">
        <f ca="1"/>
      </c>
      <c r="AT126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AZ126">
        <f ca="1"/>
      </c>
      <c r="BA126">
        <f ca="1"/>
      </c>
      <c r="BB126">
        <f ca="1"/>
      </c>
      <c r="BC126">
        <f ca="1"/>
      </c>
      <c r="BD126">
        <f ca="1"/>
      </c>
      <c r="BE126">
        <f ca="1"/>
      </c>
      <c r="BF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N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M126" s="7">
        <f ca="1"/>
      </c>
      <c r="GN126">
        <f ca="1"/>
      </c>
      <c r="GO126">
        <f ca="1"/>
      </c>
      <c r="GP126">
        <f ca="1"/>
      </c>
      <c r="GQ126">
        <f ca="1"/>
      </c>
    </row>
    <row r="127" spans="41:199" x14ac:dyDescent="0.55000000000000004">
      <c r="AO127">
        <f ca="1"/>
      </c>
      <c r="AP127">
        <f ca="1"/>
      </c>
      <c r="AQ127">
        <f ca="1"/>
      </c>
      <c r="AR127">
        <f ca="1"/>
      </c>
      <c r="AS127">
        <f ca="1"/>
      </c>
      <c r="AT12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AZ127">
        <f ca="1"/>
      </c>
      <c r="BA127">
        <f ca="1"/>
      </c>
      <c r="BB127">
        <f ca="1"/>
      </c>
      <c r="BC127">
        <f ca="1"/>
      </c>
      <c r="BD127">
        <f ca="1"/>
      </c>
      <c r="BE127">
        <f ca="1"/>
      </c>
      <c r="BF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N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M127" s="7">
        <f ca="1"/>
      </c>
      <c r="GN127">
        <f ca="1"/>
      </c>
      <c r="GO127">
        <f ca="1"/>
      </c>
      <c r="GP127">
        <f ca="1"/>
      </c>
      <c r="GQ127">
        <f ca="1"/>
      </c>
    </row>
    <row r="128" spans="41:199" x14ac:dyDescent="0.55000000000000004">
      <c r="AO128">
        <f ca="1"/>
      </c>
      <c r="AP128">
        <f ca="1"/>
      </c>
      <c r="AQ128">
        <f ca="1"/>
      </c>
      <c r="AR128">
        <f ca="1"/>
      </c>
      <c r="AS128">
        <f ca="1"/>
      </c>
      <c r="AT128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AZ128">
        <f ca="1"/>
      </c>
      <c r="BA128">
        <f ca="1"/>
      </c>
      <c r="BB128">
        <f ca="1"/>
      </c>
      <c r="BC128">
        <f ca="1"/>
      </c>
      <c r="BD128">
        <f ca="1"/>
      </c>
      <c r="BE128">
        <f ca="1"/>
      </c>
      <c r="BF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N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M128" s="7">
        <f ca="1"/>
      </c>
      <c r="GN128">
        <f ca="1"/>
      </c>
      <c r="GO128">
        <f ca="1"/>
      </c>
      <c r="GP128">
        <f ca="1"/>
      </c>
      <c r="GQ128">
        <f ca="1"/>
      </c>
    </row>
    <row r="129" spans="41:199" x14ac:dyDescent="0.55000000000000004">
      <c r="AO129">
        <f ca="1"/>
      </c>
      <c r="AP129">
        <f ca="1"/>
      </c>
      <c r="AQ129">
        <f ca="1"/>
      </c>
      <c r="AR129">
        <f ca="1"/>
      </c>
      <c r="AS129">
        <f ca="1"/>
      </c>
      <c r="AT129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AZ129">
        <f ca="1"/>
      </c>
      <c r="BA129">
        <f ca="1"/>
      </c>
      <c r="BB129">
        <f ca="1"/>
      </c>
      <c r="BC129">
        <f ca="1"/>
      </c>
      <c r="BD129">
        <f ca="1"/>
      </c>
      <c r="BE129">
        <f ca="1"/>
      </c>
      <c r="BF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N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M129" s="7">
        <f ca="1"/>
      </c>
      <c r="GN129">
        <f ca="1"/>
      </c>
      <c r="GO129">
        <f ca="1"/>
      </c>
      <c r="GP129">
        <f ca="1"/>
      </c>
      <c r="GQ129">
        <f ca="1"/>
      </c>
    </row>
    <row r="130" spans="41:199" x14ac:dyDescent="0.55000000000000004">
      <c r="AO130">
        <f ca="1"/>
      </c>
      <c r="AP130">
        <f ca="1"/>
      </c>
      <c r="AQ130">
        <f ca="1"/>
      </c>
      <c r="AR130">
        <f ca="1"/>
      </c>
      <c r="AS130">
        <f ca="1"/>
      </c>
      <c r="AT130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AZ130">
        <f ca="1"/>
      </c>
      <c r="BA130">
        <f ca="1"/>
      </c>
      <c r="BB130">
        <f ca="1"/>
      </c>
      <c r="BC130">
        <f ca="1"/>
      </c>
      <c r="BD130">
        <f ca="1"/>
      </c>
      <c r="BE130">
        <f ca="1"/>
      </c>
      <c r="BF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N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M130" s="7">
        <f ca="1"/>
      </c>
      <c r="GN130">
        <f ca="1"/>
      </c>
      <c r="GO130">
        <f ca="1"/>
      </c>
      <c r="GP130">
        <f ca="1"/>
      </c>
      <c r="GQ130">
        <f ca="1"/>
      </c>
    </row>
    <row r="131" spans="41:199" x14ac:dyDescent="0.55000000000000004">
      <c r="AO131">
        <f ca="1"/>
      </c>
      <c r="AP131">
        <f ca="1"/>
      </c>
      <c r="AQ131">
        <f ca="1"/>
      </c>
      <c r="AR131">
        <f ca="1"/>
      </c>
      <c r="AS131">
        <f ca="1"/>
      </c>
      <c r="AT131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AZ131">
        <f ca="1"/>
      </c>
      <c r="BA131">
        <f ca="1"/>
      </c>
      <c r="BB131">
        <f ca="1"/>
      </c>
      <c r="BC131">
        <f ca="1"/>
      </c>
      <c r="BD131">
        <f ca="1"/>
      </c>
      <c r="BE131">
        <f ca="1"/>
      </c>
      <c r="BF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N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M131" s="7">
        <f ca="1"/>
      </c>
      <c r="GN131">
        <f ca="1"/>
      </c>
      <c r="GO131">
        <f ca="1"/>
      </c>
      <c r="GP131">
        <f ca="1"/>
      </c>
      <c r="GQ131">
        <f ca="1"/>
      </c>
    </row>
    <row r="132" spans="41:199" x14ac:dyDescent="0.55000000000000004">
      <c r="AO132">
        <f ca="1"/>
      </c>
      <c r="AP132">
        <f ca="1"/>
      </c>
      <c r="AQ132">
        <f ca="1"/>
      </c>
      <c r="AR132">
        <f ca="1"/>
      </c>
      <c r="AS132">
        <f ca="1"/>
      </c>
      <c r="AT132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AZ132">
        <f ca="1"/>
      </c>
      <c r="BA132">
        <f ca="1"/>
      </c>
      <c r="BB132">
        <f ca="1"/>
      </c>
      <c r="BC132">
        <f ca="1"/>
      </c>
      <c r="BD132">
        <f ca="1"/>
      </c>
      <c r="BE132">
        <f ca="1"/>
      </c>
      <c r="BF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N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M132" s="7">
        <f ca="1"/>
      </c>
      <c r="GN132">
        <f ca="1"/>
      </c>
      <c r="GO132">
        <f ca="1"/>
      </c>
      <c r="GP132">
        <f ca="1"/>
      </c>
      <c r="GQ132">
        <f ca="1"/>
      </c>
    </row>
    <row r="133" spans="41:199" x14ac:dyDescent="0.55000000000000004">
      <c r="AO133">
        <f ca="1"/>
      </c>
      <c r="AP133">
        <f ca="1"/>
      </c>
      <c r="AQ133">
        <f ca="1"/>
      </c>
      <c r="AR133">
        <f ca="1"/>
      </c>
      <c r="AS133">
        <f ca="1"/>
      </c>
      <c r="AT133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AZ133">
        <f ca="1"/>
      </c>
      <c r="BA133">
        <f ca="1"/>
      </c>
      <c r="BB133">
        <f ca="1"/>
      </c>
      <c r="BC133">
        <f ca="1"/>
      </c>
      <c r="BD133">
        <f ca="1"/>
      </c>
      <c r="BE133">
        <f ca="1"/>
      </c>
      <c r="BF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N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M133" s="7">
        <f ca="1"/>
      </c>
      <c r="GN133">
        <f ca="1"/>
      </c>
      <c r="GO133">
        <f ca="1"/>
      </c>
      <c r="GP133">
        <f ca="1"/>
      </c>
      <c r="GQ133">
        <f ca="1"/>
      </c>
    </row>
    <row r="134" spans="41:199" x14ac:dyDescent="0.55000000000000004">
      <c r="AO134">
        <f ca="1"/>
      </c>
      <c r="AP134">
        <f ca="1"/>
      </c>
      <c r="AQ134">
        <f ca="1"/>
      </c>
      <c r="AR134">
        <f ca="1"/>
      </c>
      <c r="AS134">
        <f ca="1"/>
      </c>
      <c r="AT134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AZ134">
        <f ca="1"/>
      </c>
      <c r="BA134">
        <f ca="1"/>
      </c>
      <c r="BB134">
        <f ca="1"/>
      </c>
      <c r="BC134">
        <f ca="1"/>
      </c>
      <c r="BD134">
        <f ca="1"/>
      </c>
      <c r="BE134">
        <f ca="1"/>
      </c>
      <c r="BF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N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M134" s="7">
        <f ca="1"/>
      </c>
      <c r="GN134">
        <f ca="1"/>
      </c>
      <c r="GO134">
        <f ca="1"/>
      </c>
      <c r="GP134">
        <f ca="1"/>
      </c>
      <c r="GQ134">
        <f ca="1"/>
      </c>
    </row>
    <row r="135" spans="41:199" x14ac:dyDescent="0.55000000000000004">
      <c r="AO135">
        <f ca="1"/>
      </c>
      <c r="AP135">
        <f ca="1"/>
      </c>
      <c r="AQ135">
        <f ca="1"/>
      </c>
      <c r="AR135">
        <f ca="1"/>
      </c>
      <c r="AS135">
        <f ca="1"/>
      </c>
      <c r="AT135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AZ135">
        <f ca="1"/>
      </c>
      <c r="BA135">
        <f ca="1"/>
      </c>
      <c r="BB135">
        <f ca="1"/>
      </c>
      <c r="BC135">
        <f ca="1"/>
      </c>
      <c r="BD135">
        <f ca="1"/>
      </c>
      <c r="BE135">
        <f ca="1"/>
      </c>
      <c r="BF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N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M135" s="7">
        <f ca="1"/>
      </c>
      <c r="GN135">
        <f ca="1"/>
      </c>
      <c r="GO135">
        <f ca="1"/>
      </c>
      <c r="GP135">
        <f ca="1"/>
      </c>
      <c r="GQ135">
        <f ca="1"/>
      </c>
    </row>
    <row r="136" spans="41:199" x14ac:dyDescent="0.55000000000000004">
      <c r="AO136">
        <f ca="1"/>
      </c>
      <c r="AP136">
        <f ca="1"/>
      </c>
      <c r="AQ136">
        <f ca="1"/>
      </c>
      <c r="AR136">
        <f ca="1"/>
      </c>
      <c r="AS136">
        <f ca="1"/>
      </c>
      <c r="AT136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AZ136">
        <f ca="1"/>
      </c>
      <c r="BA136">
        <f ca="1"/>
      </c>
      <c r="BB136">
        <f ca="1"/>
      </c>
      <c r="BC136">
        <f ca="1"/>
      </c>
      <c r="BD136">
        <f ca="1"/>
      </c>
      <c r="BE136">
        <f ca="1"/>
      </c>
      <c r="BF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N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M136" s="7">
        <f ca="1"/>
      </c>
      <c r="GN136">
        <f ca="1"/>
      </c>
      <c r="GO136">
        <f ca="1"/>
      </c>
      <c r="GP136">
        <f ca="1"/>
      </c>
      <c r="GQ136">
        <f ca="1"/>
      </c>
    </row>
    <row r="137" spans="41:199" x14ac:dyDescent="0.55000000000000004">
      <c r="AO137">
        <f ca="1"/>
      </c>
      <c r="AP137">
        <f ca="1"/>
      </c>
      <c r="AQ137">
        <f ca="1"/>
      </c>
      <c r="AR137">
        <f ca="1"/>
      </c>
      <c r="AS137">
        <f ca="1"/>
      </c>
      <c r="AT13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AZ137">
        <f ca="1"/>
      </c>
      <c r="BA137">
        <f ca="1"/>
      </c>
      <c r="BB137">
        <f ca="1"/>
      </c>
      <c r="BC137">
        <f ca="1"/>
      </c>
      <c r="BD137">
        <f ca="1"/>
      </c>
      <c r="BE137">
        <f ca="1"/>
      </c>
      <c r="BF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N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M137" s="7">
        <f ca="1"/>
      </c>
      <c r="GN137">
        <f ca="1"/>
      </c>
      <c r="GO137">
        <f ca="1"/>
      </c>
      <c r="GP137">
        <f ca="1"/>
      </c>
      <c r="GQ137">
        <f ca="1"/>
      </c>
    </row>
    <row r="138" spans="41:199" x14ac:dyDescent="0.55000000000000004">
      <c r="AO138">
        <f ca="1"/>
      </c>
      <c r="AP138">
        <f ca="1"/>
      </c>
      <c r="AQ138">
        <f ca="1"/>
      </c>
      <c r="AR138">
        <f ca="1"/>
      </c>
      <c r="AS138">
        <f ca="1"/>
      </c>
      <c r="AT138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AZ138">
        <f ca="1"/>
      </c>
      <c r="BA138">
        <f ca="1"/>
      </c>
      <c r="BB138">
        <f ca="1"/>
      </c>
      <c r="BC138">
        <f ca="1"/>
      </c>
      <c r="BD138">
        <f ca="1"/>
      </c>
      <c r="BE138">
        <f ca="1"/>
      </c>
      <c r="BF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N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M138" s="7">
        <f ca="1"/>
      </c>
      <c r="GN138">
        <f ca="1"/>
      </c>
      <c r="GO138">
        <f ca="1"/>
      </c>
      <c r="GP138">
        <f ca="1"/>
      </c>
      <c r="GQ138">
        <f ca="1"/>
      </c>
    </row>
    <row r="139" spans="41:199" x14ac:dyDescent="0.55000000000000004">
      <c r="AO139">
        <f ca="1"/>
      </c>
      <c r="AP139">
        <f ca="1"/>
      </c>
      <c r="AQ139">
        <f ca="1"/>
      </c>
      <c r="AR139">
        <f ca="1"/>
      </c>
      <c r="AS139">
        <f ca="1"/>
      </c>
      <c r="AT139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AZ139">
        <f ca="1"/>
      </c>
      <c r="BA139">
        <f ca="1"/>
      </c>
      <c r="BB139">
        <f ca="1"/>
      </c>
      <c r="BC139">
        <f ca="1"/>
      </c>
      <c r="BD139">
        <f ca="1"/>
      </c>
      <c r="BE139">
        <f ca="1"/>
      </c>
      <c r="BF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N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M139" s="7">
        <f ca="1"/>
      </c>
      <c r="GN139">
        <f ca="1"/>
      </c>
      <c r="GO139">
        <f ca="1"/>
      </c>
      <c r="GP139">
        <f ca="1"/>
      </c>
      <c r="GQ139">
        <f ca="1"/>
      </c>
    </row>
    <row r="140" spans="41:199" x14ac:dyDescent="0.55000000000000004">
      <c r="AO140">
        <f ca="1"/>
      </c>
      <c r="AP140">
        <f ca="1"/>
      </c>
      <c r="AQ140">
        <f ca="1"/>
      </c>
      <c r="AR140">
        <f ca="1"/>
      </c>
      <c r="AS140">
        <f ca="1"/>
      </c>
      <c r="AT140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AZ140">
        <f ca="1"/>
      </c>
      <c r="BA140">
        <f ca="1"/>
      </c>
      <c r="BB140">
        <f ca="1"/>
      </c>
      <c r="BC140">
        <f ca="1"/>
      </c>
      <c r="BD140">
        <f ca="1"/>
      </c>
      <c r="BE140">
        <f ca="1"/>
      </c>
      <c r="BF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N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M140" s="7">
        <f ca="1"/>
      </c>
      <c r="GN140">
        <f ca="1"/>
      </c>
      <c r="GO140">
        <f ca="1"/>
      </c>
      <c r="GP140">
        <f ca="1"/>
      </c>
      <c r="GQ140">
        <f ca="1"/>
      </c>
    </row>
    <row r="141" spans="41:199" x14ac:dyDescent="0.55000000000000004">
      <c r="AO141">
        <f ca="1"/>
      </c>
      <c r="AP141">
        <f ca="1"/>
      </c>
      <c r="AQ141">
        <f ca="1"/>
      </c>
      <c r="AR141">
        <f ca="1"/>
      </c>
      <c r="AS141">
        <f ca="1"/>
      </c>
      <c r="AT141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AZ141">
        <f ca="1"/>
      </c>
      <c r="BA141">
        <f ca="1"/>
      </c>
      <c r="BB141">
        <f ca="1"/>
      </c>
      <c r="BC141">
        <f ca="1"/>
      </c>
      <c r="BD141">
        <f ca="1"/>
      </c>
      <c r="BE141">
        <f ca="1"/>
      </c>
      <c r="BF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N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M141" s="7">
        <f ca="1"/>
      </c>
      <c r="GN141">
        <f ca="1"/>
      </c>
      <c r="GO141">
        <f ca="1"/>
      </c>
      <c r="GP141">
        <f ca="1"/>
      </c>
      <c r="GQ141">
        <f ca="1"/>
      </c>
    </row>
    <row r="142" spans="41:199" x14ac:dyDescent="0.55000000000000004">
      <c r="AO142">
        <f ca="1"/>
      </c>
      <c r="AP142">
        <f ca="1"/>
      </c>
      <c r="AQ142">
        <f ca="1"/>
      </c>
      <c r="AR142">
        <f ca="1"/>
      </c>
      <c r="AS142">
        <f ca="1"/>
      </c>
      <c r="AT142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AZ142">
        <f ca="1"/>
      </c>
      <c r="BA142">
        <f ca="1"/>
      </c>
      <c r="BB142">
        <f ca="1"/>
      </c>
      <c r="BC142">
        <f ca="1"/>
      </c>
      <c r="BD142">
        <f ca="1"/>
      </c>
      <c r="BE142">
        <f ca="1"/>
      </c>
      <c r="BF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N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M142" s="7">
        <f ca="1"/>
      </c>
      <c r="GN142">
        <f ca="1"/>
      </c>
      <c r="GO142">
        <f ca="1"/>
      </c>
      <c r="GP142">
        <f ca="1"/>
      </c>
      <c r="GQ142">
        <f ca="1"/>
      </c>
    </row>
    <row r="143" spans="41:199" x14ac:dyDescent="0.55000000000000004">
      <c r="AO143">
        <f ca="1"/>
      </c>
      <c r="AP143">
        <f ca="1"/>
      </c>
      <c r="AQ143">
        <f ca="1"/>
      </c>
      <c r="AR143">
        <f ca="1"/>
      </c>
      <c r="AS143">
        <f ca="1"/>
      </c>
      <c r="AT143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AZ143">
        <f ca="1"/>
      </c>
      <c r="BA143">
        <f ca="1"/>
      </c>
      <c r="BB143">
        <f ca="1"/>
      </c>
      <c r="BC143">
        <f ca="1"/>
      </c>
      <c r="BD143">
        <f ca="1"/>
      </c>
      <c r="BE143">
        <f ca="1"/>
      </c>
      <c r="BF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N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M143" s="7">
        <f ca="1"/>
      </c>
      <c r="GN143">
        <f ca="1"/>
      </c>
      <c r="GO143">
        <f ca="1"/>
      </c>
      <c r="GP143">
        <f ca="1"/>
      </c>
      <c r="GQ143">
        <f ca="1"/>
      </c>
    </row>
    <row r="144" spans="41:199" x14ac:dyDescent="0.55000000000000004">
      <c r="AO144">
        <f ca="1"/>
      </c>
      <c r="AP144">
        <f ca="1"/>
      </c>
      <c r="AQ144">
        <f ca="1"/>
      </c>
      <c r="AR144">
        <f ca="1"/>
      </c>
      <c r="AS144">
        <f ca="1"/>
      </c>
      <c r="AT144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AZ144">
        <f ca="1"/>
      </c>
      <c r="BA144">
        <f ca="1"/>
      </c>
      <c r="BB144">
        <f ca="1"/>
      </c>
      <c r="BC144">
        <f ca="1"/>
      </c>
      <c r="BD144">
        <f ca="1"/>
      </c>
      <c r="BE144">
        <f ca="1"/>
      </c>
      <c r="BF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N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M144" s="7">
        <f ca="1"/>
      </c>
      <c r="GN144">
        <f ca="1"/>
      </c>
      <c r="GO144">
        <f ca="1"/>
      </c>
      <c r="GP144">
        <f ca="1"/>
      </c>
      <c r="GQ144">
        <f ca="1"/>
      </c>
    </row>
    <row r="145" spans="41:199" x14ac:dyDescent="0.55000000000000004">
      <c r="AO145">
        <f ca="1"/>
      </c>
      <c r="AP145">
        <f ca="1"/>
      </c>
      <c r="AQ145">
        <f ca="1"/>
      </c>
      <c r="AR145">
        <f ca="1"/>
      </c>
      <c r="AS145">
        <f ca="1"/>
      </c>
      <c r="AT145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AZ145">
        <f ca="1"/>
      </c>
      <c r="BA145">
        <f ca="1"/>
      </c>
      <c r="BB145">
        <f ca="1"/>
      </c>
      <c r="BC145">
        <f ca="1"/>
      </c>
      <c r="BD145">
        <f ca="1"/>
      </c>
      <c r="BE145">
        <f ca="1"/>
      </c>
      <c r="BF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N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M145" s="7">
        <f ca="1"/>
      </c>
      <c r="GN145">
        <f ca="1"/>
      </c>
      <c r="GO145">
        <f ca="1"/>
      </c>
      <c r="GP145">
        <f ca="1"/>
      </c>
      <c r="GQ145">
        <f ca="1"/>
      </c>
    </row>
    <row r="146" spans="41:199" x14ac:dyDescent="0.55000000000000004">
      <c r="AO146">
        <f ca="1"/>
      </c>
      <c r="AP146">
        <f ca="1"/>
      </c>
      <c r="AQ146">
        <f ca="1"/>
      </c>
      <c r="AR146">
        <f ca="1"/>
      </c>
      <c r="AS146">
        <f ca="1"/>
      </c>
      <c r="AT146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AZ146">
        <f ca="1"/>
      </c>
      <c r="BA146">
        <f ca="1"/>
      </c>
      <c r="BB146">
        <f ca="1"/>
      </c>
      <c r="BC146">
        <f ca="1"/>
      </c>
      <c r="BD146">
        <f ca="1"/>
      </c>
      <c r="BE146">
        <f ca="1"/>
      </c>
      <c r="BF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N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M146" s="7">
        <f ca="1"/>
      </c>
      <c r="GN146">
        <f ca="1"/>
      </c>
      <c r="GO146">
        <f ca="1"/>
      </c>
      <c r="GP146">
        <f ca="1"/>
      </c>
      <c r="GQ146">
        <f ca="1"/>
      </c>
    </row>
    <row r="147" spans="41:199" x14ac:dyDescent="0.55000000000000004">
      <c r="AO147">
        <f ca="1"/>
      </c>
      <c r="AP147">
        <f ca="1"/>
      </c>
      <c r="AQ147">
        <f ca="1"/>
      </c>
      <c r="AR147">
        <f ca="1"/>
      </c>
      <c r="AS147">
        <f ca="1"/>
      </c>
      <c r="AT14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AZ147">
        <f ca="1"/>
      </c>
      <c r="BA147">
        <f ca="1"/>
      </c>
      <c r="BB147">
        <f ca="1"/>
      </c>
      <c r="BC147">
        <f ca="1"/>
      </c>
      <c r="BD147">
        <f ca="1"/>
      </c>
      <c r="BE147">
        <f ca="1"/>
      </c>
      <c r="BF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N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M147" s="7">
        <f ca="1"/>
      </c>
      <c r="GN147">
        <f ca="1"/>
      </c>
      <c r="GO147">
        <f ca="1"/>
      </c>
      <c r="GP147">
        <f ca="1"/>
      </c>
      <c r="GQ147">
        <f ca="1"/>
      </c>
    </row>
    <row r="148" spans="41:199" x14ac:dyDescent="0.55000000000000004">
      <c r="AO148">
        <f ca="1"/>
      </c>
      <c r="AP148">
        <f ca="1"/>
      </c>
      <c r="AQ148">
        <f ca="1"/>
      </c>
      <c r="AR148">
        <f ca="1"/>
      </c>
      <c r="AS148">
        <f ca="1"/>
      </c>
      <c r="AT148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AZ148">
        <f ca="1"/>
      </c>
      <c r="BA148">
        <f ca="1"/>
      </c>
      <c r="BB148">
        <f ca="1"/>
      </c>
      <c r="BC148">
        <f ca="1"/>
      </c>
      <c r="BD148">
        <f ca="1"/>
      </c>
      <c r="BE148">
        <f ca="1"/>
      </c>
      <c r="BF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N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M148" s="7">
        <f ca="1"/>
      </c>
      <c r="GN148">
        <f ca="1"/>
      </c>
      <c r="GO148">
        <f ca="1"/>
      </c>
      <c r="GP148">
        <f ca="1"/>
      </c>
      <c r="GQ148">
        <f ca="1"/>
      </c>
    </row>
    <row r="149" spans="41:199" x14ac:dyDescent="0.55000000000000004">
      <c r="AO149">
        <f ca="1"/>
      </c>
      <c r="AP149">
        <f ca="1"/>
      </c>
      <c r="AQ149">
        <f ca="1"/>
      </c>
      <c r="AR149">
        <f ca="1"/>
      </c>
      <c r="AS149">
        <f ca="1"/>
      </c>
      <c r="AT149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AZ149">
        <f ca="1"/>
      </c>
      <c r="BA149">
        <f ca="1"/>
      </c>
      <c r="BB149">
        <f ca="1"/>
      </c>
      <c r="BC149">
        <f ca="1"/>
      </c>
      <c r="BD149">
        <f ca="1"/>
      </c>
      <c r="BE149">
        <f ca="1"/>
      </c>
      <c r="BF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N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M149" s="7">
        <f ca="1"/>
      </c>
      <c r="GN149">
        <f ca="1"/>
      </c>
      <c r="GO149">
        <f ca="1"/>
      </c>
      <c r="GP149">
        <f ca="1"/>
      </c>
      <c r="GQ149">
        <f ca="1"/>
      </c>
    </row>
    <row r="150" spans="41:199" x14ac:dyDescent="0.55000000000000004">
      <c r="AO150">
        <f ca="1"/>
      </c>
      <c r="AP150">
        <f ca="1"/>
      </c>
      <c r="AQ150">
        <f ca="1"/>
      </c>
      <c r="AR150">
        <f ca="1"/>
      </c>
      <c r="AS150">
        <f ca="1"/>
      </c>
      <c r="AT150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AZ150">
        <f ca="1"/>
      </c>
      <c r="BA150">
        <f ca="1"/>
      </c>
      <c r="BB150">
        <f ca="1"/>
      </c>
      <c r="BC150">
        <f ca="1"/>
      </c>
      <c r="BD150">
        <f ca="1"/>
      </c>
      <c r="BE150">
        <f ca="1"/>
      </c>
      <c r="BF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N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M150" s="7">
        <f ca="1"/>
      </c>
      <c r="GN150">
        <f ca="1"/>
      </c>
      <c r="GO150">
        <f ca="1"/>
      </c>
      <c r="GP150">
        <f ca="1"/>
      </c>
      <c r="GQ150">
        <f ca="1"/>
      </c>
    </row>
    <row r="151" spans="41:199" x14ac:dyDescent="0.55000000000000004">
      <c r="AO151">
        <f ca="1"/>
      </c>
      <c r="AP151">
        <f ca="1"/>
      </c>
      <c r="AQ151">
        <f ca="1"/>
      </c>
      <c r="AR151">
        <f ca="1"/>
      </c>
      <c r="AS151">
        <f ca="1"/>
      </c>
      <c r="AT151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AZ151">
        <f ca="1"/>
      </c>
      <c r="BA151">
        <f ca="1"/>
      </c>
      <c r="BB151">
        <f ca="1"/>
      </c>
      <c r="BC151">
        <f ca="1"/>
      </c>
      <c r="BD151">
        <f ca="1"/>
      </c>
      <c r="BE151">
        <f ca="1"/>
      </c>
      <c r="BF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N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M151" s="7">
        <f ca="1"/>
      </c>
      <c r="GN151">
        <f ca="1"/>
      </c>
      <c r="GO151">
        <f ca="1"/>
      </c>
      <c r="GP151">
        <f ca="1"/>
      </c>
      <c r="GQ151">
        <f ca="1"/>
      </c>
    </row>
    <row r="152" spans="41:199" x14ac:dyDescent="0.55000000000000004">
      <c r="AO152">
        <f ca="1"/>
      </c>
      <c r="AP152">
        <f ca="1"/>
      </c>
      <c r="AQ152">
        <f ca="1"/>
      </c>
      <c r="AR152">
        <f ca="1"/>
      </c>
      <c r="AS152">
        <f ca="1"/>
      </c>
      <c r="AT152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AZ152">
        <f ca="1"/>
      </c>
      <c r="BA152">
        <f ca="1"/>
      </c>
      <c r="BB152">
        <f ca="1"/>
      </c>
      <c r="BC152">
        <f ca="1"/>
      </c>
      <c r="BD152">
        <f ca="1"/>
      </c>
      <c r="BE152">
        <f ca="1"/>
      </c>
      <c r="BF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N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M152" s="7">
        <f ca="1"/>
      </c>
      <c r="GN152">
        <f ca="1"/>
      </c>
      <c r="GO152">
        <f ca="1"/>
      </c>
      <c r="GP152">
        <f ca="1"/>
      </c>
      <c r="GQ152">
        <f ca="1"/>
      </c>
    </row>
    <row r="153" spans="41:199" x14ac:dyDescent="0.55000000000000004">
      <c r="AO153">
        <f ca="1"/>
      </c>
      <c r="AP153">
        <f ca="1"/>
      </c>
      <c r="AQ153">
        <f ca="1"/>
      </c>
      <c r="AR153">
        <f ca="1"/>
      </c>
      <c r="AS153">
        <f ca="1"/>
      </c>
      <c r="AT153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AZ153">
        <f ca="1"/>
      </c>
      <c r="BA153">
        <f ca="1"/>
      </c>
      <c r="BB153">
        <f ca="1"/>
      </c>
      <c r="BC153">
        <f ca="1"/>
      </c>
      <c r="BD153">
        <f ca="1"/>
      </c>
      <c r="BE153">
        <f ca="1"/>
      </c>
      <c r="BF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N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M153" s="7">
        <f ca="1"/>
      </c>
      <c r="GN153">
        <f ca="1"/>
      </c>
      <c r="GO153">
        <f ca="1"/>
      </c>
      <c r="GP153">
        <f ca="1"/>
      </c>
      <c r="GQ153">
        <f ca="1"/>
      </c>
    </row>
    <row r="154" spans="41:199" x14ac:dyDescent="0.55000000000000004">
      <c r="AO154">
        <f ca="1"/>
      </c>
      <c r="AP154">
        <f ca="1"/>
      </c>
      <c r="AQ154">
        <f ca="1"/>
      </c>
      <c r="AR154">
        <f ca="1"/>
      </c>
      <c r="AS154">
        <f ca="1"/>
      </c>
      <c r="AT154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AZ154">
        <f ca="1"/>
      </c>
      <c r="BA154">
        <f ca="1"/>
      </c>
      <c r="BB154">
        <f ca="1"/>
      </c>
      <c r="BC154">
        <f ca="1"/>
      </c>
      <c r="BD154">
        <f ca="1"/>
      </c>
      <c r="BE154">
        <f ca="1"/>
      </c>
      <c r="BF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N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M154" s="7">
        <f ca="1"/>
      </c>
      <c r="GN154">
        <f ca="1"/>
      </c>
      <c r="GO154">
        <f ca="1"/>
      </c>
      <c r="GP154">
        <f ca="1"/>
      </c>
      <c r="GQ154">
        <f ca="1"/>
      </c>
    </row>
    <row r="155" spans="41:199" x14ac:dyDescent="0.55000000000000004">
      <c r="AO155">
        <f ca="1"/>
      </c>
      <c r="AP155">
        <f ca="1"/>
      </c>
      <c r="AQ155">
        <f ca="1"/>
      </c>
      <c r="AR155">
        <f ca="1"/>
      </c>
      <c r="AS155">
        <f ca="1"/>
      </c>
      <c r="AT155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AZ155">
        <f ca="1"/>
      </c>
      <c r="BA155">
        <f ca="1"/>
      </c>
      <c r="BB155">
        <f ca="1"/>
      </c>
      <c r="BC155">
        <f ca="1"/>
      </c>
      <c r="BD155">
        <f ca="1"/>
      </c>
      <c r="BE155">
        <f ca="1"/>
      </c>
      <c r="BF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N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M155" s="7">
        <f ca="1"/>
      </c>
      <c r="GN155">
        <f ca="1"/>
      </c>
      <c r="GO155">
        <f ca="1"/>
      </c>
      <c r="GP155">
        <f ca="1"/>
      </c>
      <c r="GQ155">
        <f ca="1"/>
      </c>
    </row>
    <row r="156" spans="41:199" x14ac:dyDescent="0.55000000000000004">
      <c r="AO156">
        <f ca="1"/>
      </c>
      <c r="AP156">
        <f ca="1"/>
      </c>
      <c r="AQ156">
        <f ca="1"/>
      </c>
      <c r="AR156">
        <f ca="1"/>
      </c>
      <c r="AS156">
        <f ca="1"/>
      </c>
      <c r="AT156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AZ156">
        <f ca="1"/>
      </c>
      <c r="BA156">
        <f ca="1"/>
      </c>
      <c r="BB156">
        <f ca="1"/>
      </c>
      <c r="BC156">
        <f ca="1"/>
      </c>
      <c r="BD156">
        <f ca="1"/>
      </c>
      <c r="BE156">
        <f ca="1"/>
      </c>
      <c r="BF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N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M156" s="7">
        <f ca="1"/>
      </c>
      <c r="GN156">
        <f ca="1"/>
      </c>
      <c r="GO156">
        <f ca="1"/>
      </c>
      <c r="GP156">
        <f ca="1"/>
      </c>
      <c r="GQ156">
        <f ca="1"/>
      </c>
    </row>
    <row r="157" spans="41:199" x14ac:dyDescent="0.55000000000000004">
      <c r="AO157">
        <f ca="1"/>
      </c>
      <c r="AP157">
        <f ca="1"/>
      </c>
      <c r="AQ157">
        <f ca="1"/>
      </c>
      <c r="AR157">
        <f ca="1"/>
      </c>
      <c r="AS157">
        <f ca="1"/>
      </c>
      <c r="AT15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AZ157">
        <f ca="1"/>
      </c>
      <c r="BA157">
        <f ca="1"/>
      </c>
      <c r="BB157">
        <f ca="1"/>
      </c>
      <c r="BC157">
        <f ca="1"/>
      </c>
      <c r="BD157">
        <f ca="1"/>
      </c>
      <c r="BE157">
        <f ca="1"/>
      </c>
      <c r="BF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N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M157" s="7">
        <f ca="1"/>
      </c>
      <c r="GN157">
        <f ca="1"/>
      </c>
      <c r="GO157">
        <f ca="1"/>
      </c>
      <c r="GP157">
        <f ca="1"/>
      </c>
      <c r="GQ157">
        <f ca="1"/>
      </c>
    </row>
    <row r="158" spans="41:199" x14ac:dyDescent="0.55000000000000004">
      <c r="AO158">
        <f ca="1"/>
      </c>
      <c r="AP158">
        <f ca="1"/>
      </c>
      <c r="AQ158">
        <f ca="1"/>
      </c>
      <c r="AR158">
        <f ca="1"/>
      </c>
      <c r="AS158">
        <f ca="1"/>
      </c>
      <c r="AT158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AZ158">
        <f ca="1"/>
      </c>
      <c r="BA158">
        <f ca="1"/>
      </c>
      <c r="BB158">
        <f ca="1"/>
      </c>
      <c r="BC158">
        <f ca="1"/>
      </c>
      <c r="BD158">
        <f ca="1"/>
      </c>
      <c r="BE158">
        <f ca="1"/>
      </c>
      <c r="BF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N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M158" s="7">
        <f ca="1"/>
      </c>
      <c r="GN158">
        <f ca="1"/>
      </c>
      <c r="GO158">
        <f ca="1"/>
      </c>
      <c r="GP158">
        <f ca="1"/>
      </c>
      <c r="GQ158">
        <f ca="1"/>
      </c>
    </row>
    <row r="159" spans="41:199" x14ac:dyDescent="0.55000000000000004">
      <c r="AO159">
        <f ca="1"/>
      </c>
      <c r="AP159">
        <f ca="1"/>
      </c>
      <c r="AQ159">
        <f ca="1"/>
      </c>
      <c r="AR159">
        <f ca="1"/>
      </c>
      <c r="AS159">
        <f ca="1"/>
      </c>
      <c r="AT159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AZ159">
        <f ca="1"/>
      </c>
      <c r="BA159">
        <f ca="1"/>
      </c>
      <c r="BB159">
        <f ca="1"/>
      </c>
      <c r="BC159">
        <f ca="1"/>
      </c>
      <c r="BD159">
        <f ca="1"/>
      </c>
      <c r="BE159">
        <f ca="1"/>
      </c>
      <c r="BF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N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M159" s="7">
        <f ca="1"/>
      </c>
      <c r="GN159">
        <f ca="1"/>
      </c>
      <c r="GO159">
        <f ca="1"/>
      </c>
      <c r="GP159">
        <f ca="1"/>
      </c>
      <c r="GQ159">
        <f ca="1"/>
      </c>
    </row>
    <row r="160" spans="41:199" x14ac:dyDescent="0.55000000000000004">
      <c r="AO160">
        <f ca="1"/>
      </c>
      <c r="AP160">
        <f ca="1"/>
      </c>
      <c r="AQ160">
        <f ca="1"/>
      </c>
      <c r="AR160">
        <f ca="1"/>
      </c>
      <c r="AS160">
        <f ca="1"/>
      </c>
      <c r="AT160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AZ160">
        <f ca="1"/>
      </c>
      <c r="BA160">
        <f ca="1"/>
      </c>
      <c r="BB160">
        <f ca="1"/>
      </c>
      <c r="BC160">
        <f ca="1"/>
      </c>
      <c r="BD160">
        <f ca="1"/>
      </c>
      <c r="BE160">
        <f ca="1"/>
      </c>
      <c r="BF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N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M160" s="7">
        <f ca="1"/>
      </c>
      <c r="GN160">
        <f ca="1"/>
      </c>
      <c r="GO160">
        <f ca="1"/>
      </c>
      <c r="GP160">
        <f ca="1"/>
      </c>
      <c r="GQ160">
        <f ca="1"/>
      </c>
    </row>
    <row r="161" spans="41:199" x14ac:dyDescent="0.55000000000000004">
      <c r="AO161">
        <f ca="1"/>
      </c>
      <c r="AP161">
        <f ca="1"/>
      </c>
      <c r="AQ161">
        <f ca="1"/>
      </c>
      <c r="AR161">
        <f ca="1"/>
      </c>
      <c r="AS161">
        <f ca="1"/>
      </c>
      <c r="AT161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AZ161">
        <f ca="1"/>
      </c>
      <c r="BA161">
        <f ca="1"/>
      </c>
      <c r="BB161">
        <f ca="1"/>
      </c>
      <c r="BC161">
        <f ca="1"/>
      </c>
      <c r="BD161">
        <f ca="1"/>
      </c>
      <c r="BE161">
        <f ca="1"/>
      </c>
      <c r="BF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N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BZ161">
        <f ca="1"/>
      </c>
      <c r="CA161">
        <f ca="1"/>
      </c>
      <c r="CB161">
        <f ca="1"/>
      </c>
      <c r="CC161">
        <f ca="1"/>
      </c>
      <c r="CD161">
        <f ca="1"/>
      </c>
      <c r="CE161">
        <f ca="1"/>
      </c>
      <c r="CF161">
        <f ca="1"/>
      </c>
      <c r="CG161">
        <f ca="1"/>
      </c>
      <c r="CH161">
        <f ca="1"/>
      </c>
      <c r="CI161">
        <f ca="1"/>
      </c>
      <c r="CK161">
        <f ca="1"/>
      </c>
      <c r="CL161">
        <f ca="1"/>
      </c>
      <c r="CM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  <c r="GA161">
        <f ca="1"/>
      </c>
      <c r="GM161" s="7">
        <f ca="1"/>
      </c>
      <c r="GN161">
        <f ca="1"/>
      </c>
      <c r="GO161">
        <f ca="1"/>
      </c>
      <c r="GP161">
        <f ca="1"/>
      </c>
      <c r="GQ161">
        <f ca="1"/>
      </c>
    </row>
    <row r="162" spans="41:199" x14ac:dyDescent="0.55000000000000004">
      <c r="AO162">
        <f ca="1"/>
      </c>
      <c r="AP162">
        <f ca="1"/>
      </c>
      <c r="AQ162">
        <f ca="1"/>
      </c>
      <c r="AR162">
        <f ca="1"/>
      </c>
      <c r="AS162">
        <f ca="1"/>
      </c>
      <c r="AT162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AZ162">
        <f ca="1"/>
      </c>
      <c r="BA162">
        <f ca="1"/>
      </c>
      <c r="BB162">
        <f ca="1"/>
      </c>
      <c r="BC162">
        <f ca="1"/>
      </c>
      <c r="BD162">
        <f ca="1"/>
      </c>
      <c r="BE162">
        <f ca="1"/>
      </c>
      <c r="BF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N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BZ162">
        <f ca="1"/>
      </c>
      <c r="CA162">
        <f ca="1"/>
      </c>
      <c r="CB162">
        <f ca="1"/>
      </c>
      <c r="CC162">
        <f ca="1"/>
      </c>
      <c r="CD162">
        <f ca="1"/>
      </c>
      <c r="CE162">
        <f ca="1"/>
      </c>
      <c r="CF162">
        <f ca="1"/>
      </c>
      <c r="CG162">
        <f ca="1"/>
      </c>
      <c r="CH162">
        <f ca="1"/>
      </c>
      <c r="CI162">
        <f ca="1"/>
      </c>
      <c r="CK162">
        <f ca="1"/>
      </c>
      <c r="CL162">
        <f ca="1"/>
      </c>
      <c r="CM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  <c r="GA162">
        <f ca="1"/>
      </c>
      <c r="GM162" s="7">
        <f ca="1"/>
      </c>
      <c r="GN162">
        <f ca="1"/>
      </c>
      <c r="GO162">
        <f ca="1"/>
      </c>
      <c r="GP162">
        <f ca="1"/>
      </c>
      <c r="GQ162">
        <f ca="1"/>
      </c>
    </row>
    <row r="163" spans="41:199" x14ac:dyDescent="0.55000000000000004">
      <c r="AO163">
        <f ca="1"/>
      </c>
      <c r="AP163">
        <f ca="1"/>
      </c>
      <c r="AQ163">
        <f ca="1"/>
      </c>
      <c r="AR163">
        <f ca="1"/>
      </c>
      <c r="AS163">
        <f ca="1"/>
      </c>
      <c r="AT163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AZ163">
        <f ca="1"/>
      </c>
      <c r="BA163">
        <f ca="1"/>
      </c>
      <c r="BB163">
        <f ca="1"/>
      </c>
      <c r="BC163">
        <f ca="1"/>
      </c>
      <c r="BD163">
        <f ca="1"/>
      </c>
      <c r="BE163">
        <f ca="1"/>
      </c>
      <c r="BF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N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BZ163">
        <f ca="1"/>
      </c>
      <c r="CA163">
        <f ca="1"/>
      </c>
      <c r="CB163">
        <f ca="1"/>
      </c>
      <c r="CC163">
        <f ca="1"/>
      </c>
      <c r="CD163">
        <f ca="1"/>
      </c>
      <c r="CE163">
        <f ca="1"/>
      </c>
      <c r="CF163">
        <f ca="1"/>
      </c>
      <c r="CG163">
        <f ca="1"/>
      </c>
      <c r="CH163">
        <f ca="1"/>
      </c>
      <c r="CI163">
        <f ca="1"/>
      </c>
      <c r="CK163">
        <f ca="1"/>
      </c>
      <c r="CL163">
        <f ca="1"/>
      </c>
      <c r="CM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  <c r="GA163">
        <f ca="1"/>
      </c>
      <c r="GM163" s="7">
        <f ca="1"/>
      </c>
      <c r="GN163">
        <f ca="1"/>
      </c>
      <c r="GO163">
        <f ca="1"/>
      </c>
      <c r="GP163">
        <f ca="1"/>
      </c>
      <c r="GQ163">
        <f ca="1"/>
      </c>
    </row>
    <row r="164" spans="41:199" x14ac:dyDescent="0.55000000000000004">
      <c r="AO164">
        <f ca="1"/>
      </c>
      <c r="AP164">
        <f ca="1"/>
      </c>
      <c r="AQ164">
        <f ca="1"/>
      </c>
      <c r="AR164">
        <f ca="1"/>
      </c>
      <c r="AS164">
        <f ca="1"/>
      </c>
      <c r="AT164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AZ164">
        <f ca="1"/>
      </c>
      <c r="BA164">
        <f ca="1"/>
      </c>
      <c r="BB164">
        <f ca="1"/>
      </c>
      <c r="BC164">
        <f ca="1"/>
      </c>
      <c r="BD164">
        <f ca="1"/>
      </c>
      <c r="BE164">
        <f ca="1"/>
      </c>
      <c r="BF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N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BZ164">
        <f ca="1"/>
      </c>
      <c r="CA164">
        <f ca="1"/>
      </c>
      <c r="CB164">
        <f ca="1"/>
      </c>
      <c r="CC164">
        <f ca="1"/>
      </c>
      <c r="CD164">
        <f ca="1"/>
      </c>
      <c r="CE164">
        <f ca="1"/>
      </c>
      <c r="CF164">
        <f ca="1"/>
      </c>
      <c r="CG164">
        <f ca="1"/>
      </c>
      <c r="CH164">
        <f ca="1"/>
      </c>
      <c r="CI164">
        <f ca="1"/>
      </c>
      <c r="CK164">
        <f ca="1"/>
      </c>
      <c r="CL164">
        <f ca="1"/>
      </c>
      <c r="CM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  <c r="GA164">
        <f ca="1"/>
      </c>
      <c r="GM164" s="7">
        <f ca="1"/>
      </c>
      <c r="GN164">
        <f ca="1"/>
      </c>
      <c r="GO164">
        <f ca="1"/>
      </c>
      <c r="GP164">
        <f ca="1"/>
      </c>
      <c r="GQ164">
        <f ca="1"/>
      </c>
    </row>
    <row r="165" spans="41:199" x14ac:dyDescent="0.55000000000000004">
      <c r="AO165">
        <f ca="1"/>
      </c>
      <c r="AP165">
        <f ca="1"/>
      </c>
      <c r="AQ165">
        <f ca="1"/>
      </c>
      <c r="AR165">
        <f ca="1"/>
      </c>
      <c r="AS165">
        <f ca="1"/>
      </c>
      <c r="AT165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AZ165">
        <f ca="1"/>
      </c>
      <c r="BA165">
        <f ca="1"/>
      </c>
      <c r="BB165">
        <f ca="1"/>
      </c>
      <c r="BC165">
        <f ca="1"/>
      </c>
      <c r="BD165">
        <f ca="1"/>
      </c>
      <c r="BE165">
        <f ca="1"/>
      </c>
      <c r="BF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N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BZ165">
        <f ca="1"/>
      </c>
      <c r="CA165">
        <f ca="1"/>
      </c>
      <c r="CB165">
        <f ca="1"/>
      </c>
      <c r="CC165">
        <f ca="1"/>
      </c>
      <c r="CD165">
        <f ca="1"/>
      </c>
      <c r="CE165">
        <f ca="1"/>
      </c>
      <c r="CF165">
        <f ca="1"/>
      </c>
      <c r="CG165">
        <f ca="1"/>
      </c>
      <c r="CH165">
        <f ca="1"/>
      </c>
      <c r="CI165">
        <f ca="1"/>
      </c>
      <c r="CK165">
        <f ca="1"/>
      </c>
      <c r="CL165">
        <f ca="1"/>
      </c>
      <c r="CM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  <c r="GA165">
        <f ca="1"/>
      </c>
      <c r="GM165" s="7">
        <f ca="1"/>
      </c>
      <c r="GN165">
        <f ca="1"/>
      </c>
      <c r="GO165">
        <f ca="1"/>
      </c>
      <c r="GP165">
        <f ca="1"/>
      </c>
      <c r="GQ165">
        <f ca="1"/>
      </c>
    </row>
    <row r="166" spans="41:199" x14ac:dyDescent="0.55000000000000004">
      <c r="AO166">
        <f ca="1"/>
      </c>
      <c r="AP166">
        <f ca="1"/>
      </c>
      <c r="AQ166">
        <f ca="1"/>
      </c>
      <c r="AR166">
        <f ca="1"/>
      </c>
      <c r="AS166">
        <f ca="1"/>
      </c>
      <c r="AT166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AZ166">
        <f ca="1"/>
      </c>
      <c r="BA166">
        <f ca="1"/>
      </c>
      <c r="BB166">
        <f ca="1"/>
      </c>
      <c r="BC166">
        <f ca="1"/>
      </c>
      <c r="BD166">
        <f ca="1"/>
      </c>
      <c r="BE166">
        <f ca="1"/>
      </c>
      <c r="BF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N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BZ166">
        <f ca="1"/>
      </c>
      <c r="CA166">
        <f ca="1"/>
      </c>
      <c r="CB166">
        <f ca="1"/>
      </c>
      <c r="CC166">
        <f ca="1"/>
      </c>
      <c r="CD166">
        <f ca="1"/>
      </c>
      <c r="CE166">
        <f ca="1"/>
      </c>
      <c r="CF166">
        <f ca="1"/>
      </c>
      <c r="CG166">
        <f ca="1"/>
      </c>
      <c r="CH166">
        <f ca="1"/>
      </c>
      <c r="CI166">
        <f ca="1"/>
      </c>
      <c r="CK166">
        <f ca="1"/>
      </c>
      <c r="CL166">
        <f ca="1"/>
      </c>
      <c r="CM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  <c r="GA166">
        <f ca="1"/>
      </c>
      <c r="GM166" s="7">
        <f ca="1"/>
      </c>
      <c r="GN166">
        <f ca="1"/>
      </c>
      <c r="GO166">
        <f ca="1"/>
      </c>
      <c r="GP166">
        <f ca="1"/>
      </c>
      <c r="GQ166">
        <f ca="1"/>
      </c>
    </row>
    <row r="167" spans="41:199" x14ac:dyDescent="0.55000000000000004">
      <c r="AO167">
        <f ca="1"/>
      </c>
      <c r="AP167">
        <f ca="1"/>
      </c>
      <c r="AQ167">
        <f ca="1"/>
      </c>
      <c r="AR167">
        <f ca="1"/>
      </c>
      <c r="AS167">
        <f ca="1"/>
      </c>
      <c r="AT16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AZ167">
        <f ca="1"/>
      </c>
      <c r="BA167">
        <f ca="1"/>
      </c>
      <c r="BB167">
        <f ca="1"/>
      </c>
      <c r="BC167">
        <f ca="1"/>
      </c>
      <c r="BD167">
        <f ca="1"/>
      </c>
      <c r="BE167">
        <f ca="1"/>
      </c>
      <c r="BF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N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BZ167">
        <f ca="1"/>
      </c>
      <c r="CA167">
        <f ca="1"/>
      </c>
      <c r="CB167">
        <f ca="1"/>
      </c>
      <c r="CC167">
        <f ca="1"/>
      </c>
      <c r="CD167">
        <f ca="1"/>
      </c>
      <c r="CE167">
        <f ca="1"/>
      </c>
      <c r="CF167">
        <f ca="1"/>
      </c>
      <c r="CG167">
        <f ca="1"/>
      </c>
      <c r="CH167">
        <f ca="1"/>
      </c>
      <c r="CI167">
        <f ca="1"/>
      </c>
      <c r="CK167">
        <f ca="1"/>
      </c>
      <c r="CL167">
        <f ca="1"/>
      </c>
      <c r="CM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  <c r="GA167">
        <f ca="1"/>
      </c>
      <c r="GM167" s="7">
        <f ca="1"/>
      </c>
      <c r="GN167">
        <f ca="1"/>
      </c>
      <c r="GO167">
        <f ca="1"/>
      </c>
      <c r="GP167">
        <f ca="1"/>
      </c>
      <c r="GQ167">
        <f ca="1"/>
      </c>
    </row>
    <row r="168" spans="41:199" x14ac:dyDescent="0.55000000000000004">
      <c r="AO168">
        <f ca="1"/>
      </c>
      <c r="AP168">
        <f ca="1"/>
      </c>
      <c r="AQ168">
        <f ca="1"/>
      </c>
      <c r="AR168">
        <f ca="1"/>
      </c>
      <c r="AS168">
        <f ca="1"/>
      </c>
      <c r="AT168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AZ168">
        <f ca="1"/>
      </c>
      <c r="BA168">
        <f ca="1"/>
      </c>
      <c r="BB168">
        <f ca="1"/>
      </c>
      <c r="BC168">
        <f ca="1"/>
      </c>
      <c r="BD168">
        <f ca="1"/>
      </c>
      <c r="BE168">
        <f ca="1"/>
      </c>
      <c r="BF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N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BZ168">
        <f ca="1"/>
      </c>
      <c r="CA168">
        <f ca="1"/>
      </c>
      <c r="CB168">
        <f ca="1"/>
      </c>
      <c r="CC168">
        <f ca="1"/>
      </c>
      <c r="CD168">
        <f ca="1"/>
      </c>
      <c r="CE168">
        <f ca="1"/>
      </c>
      <c r="CF168">
        <f ca="1"/>
      </c>
      <c r="CG168">
        <f ca="1"/>
      </c>
      <c r="CH168">
        <f ca="1"/>
      </c>
      <c r="CI168">
        <f ca="1"/>
      </c>
      <c r="CK168">
        <f ca="1"/>
      </c>
      <c r="CL168">
        <f ca="1"/>
      </c>
      <c r="CM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  <c r="GA168">
        <f ca="1"/>
      </c>
      <c r="GM168" s="7">
        <f ca="1"/>
      </c>
      <c r="GN168">
        <f ca="1"/>
      </c>
      <c r="GO168">
        <f ca="1"/>
      </c>
      <c r="GP168">
        <f ca="1"/>
      </c>
      <c r="GQ168">
        <f ca="1"/>
      </c>
    </row>
    <row r="169" spans="41:199" x14ac:dyDescent="0.55000000000000004">
      <c r="AO169">
        <f ca="1"/>
      </c>
      <c r="AP169">
        <f ca="1"/>
      </c>
      <c r="AQ169">
        <f ca="1"/>
      </c>
      <c r="AR169">
        <f ca="1"/>
      </c>
      <c r="AS169">
        <f ca="1"/>
      </c>
      <c r="AT169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AZ169">
        <f ca="1"/>
      </c>
      <c r="BA169">
        <f ca="1"/>
      </c>
      <c r="BB169">
        <f ca="1"/>
      </c>
      <c r="BC169">
        <f ca="1"/>
      </c>
      <c r="BD169">
        <f ca="1"/>
      </c>
      <c r="BE169">
        <f ca="1"/>
      </c>
      <c r="BF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N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BZ169">
        <f ca="1"/>
      </c>
      <c r="CA169">
        <f ca="1"/>
      </c>
      <c r="CB169">
        <f ca="1"/>
      </c>
      <c r="CC169">
        <f ca="1"/>
      </c>
      <c r="CD169">
        <f ca="1"/>
      </c>
      <c r="CE169">
        <f ca="1"/>
      </c>
      <c r="CF169">
        <f ca="1"/>
      </c>
      <c r="CG169">
        <f ca="1"/>
      </c>
      <c r="CH169">
        <f ca="1"/>
      </c>
      <c r="CI169">
        <f ca="1"/>
      </c>
      <c r="CK169">
        <f ca="1"/>
      </c>
      <c r="CL169">
        <f ca="1"/>
      </c>
      <c r="CM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  <c r="GA169">
        <f ca="1"/>
      </c>
      <c r="GM169" s="7">
        <f ca="1"/>
      </c>
      <c r="GN169">
        <f ca="1"/>
      </c>
      <c r="GO169">
        <f ca="1"/>
      </c>
      <c r="GP169">
        <f ca="1"/>
      </c>
      <c r="GQ169">
        <f ca="1"/>
      </c>
    </row>
    <row r="170" spans="41:199" x14ac:dyDescent="0.55000000000000004">
      <c r="AO170">
        <f ca="1"/>
      </c>
      <c r="AP170">
        <f ca="1"/>
      </c>
      <c r="AQ170">
        <f ca="1"/>
      </c>
      <c r="AR170">
        <f ca="1"/>
      </c>
      <c r="AS170">
        <f ca="1"/>
      </c>
      <c r="AT170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AZ170">
        <f ca="1"/>
      </c>
      <c r="BA170">
        <f ca="1"/>
      </c>
      <c r="BB170">
        <f ca="1"/>
      </c>
      <c r="BC170">
        <f ca="1"/>
      </c>
      <c r="BD170">
        <f ca="1"/>
      </c>
      <c r="BE170">
        <f ca="1"/>
      </c>
      <c r="BF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N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BZ170">
        <f ca="1"/>
      </c>
      <c r="CA170">
        <f ca="1"/>
      </c>
      <c r="CB170">
        <f ca="1"/>
      </c>
      <c r="CC170">
        <f ca="1"/>
      </c>
      <c r="CD170">
        <f ca="1"/>
      </c>
      <c r="CE170">
        <f ca="1"/>
      </c>
      <c r="CF170">
        <f ca="1"/>
      </c>
      <c r="CG170">
        <f ca="1"/>
      </c>
      <c r="CH170">
        <f ca="1"/>
      </c>
      <c r="CI170">
        <f ca="1"/>
      </c>
      <c r="CK170">
        <f ca="1"/>
      </c>
      <c r="CL170">
        <f ca="1"/>
      </c>
      <c r="CM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  <c r="GA170">
        <f ca="1"/>
      </c>
      <c r="GM170" s="7">
        <f ca="1"/>
      </c>
      <c r="GN170">
        <f ca="1"/>
      </c>
      <c r="GO170">
        <f ca="1"/>
      </c>
      <c r="GP170">
        <f ca="1"/>
      </c>
      <c r="GQ170">
        <f ca="1"/>
      </c>
    </row>
    <row r="171" spans="41:199" x14ac:dyDescent="0.55000000000000004">
      <c r="AO171">
        <f ca="1"/>
      </c>
      <c r="AP171">
        <f ca="1"/>
      </c>
      <c r="AQ171">
        <f ca="1"/>
      </c>
      <c r="AR171">
        <f ca="1"/>
      </c>
      <c r="AS171">
        <f ca="1"/>
      </c>
      <c r="AT171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AZ171">
        <f ca="1"/>
      </c>
      <c r="BA171">
        <f ca="1"/>
      </c>
      <c r="BB171">
        <f ca="1"/>
      </c>
      <c r="BC171">
        <f ca="1"/>
      </c>
      <c r="BD171">
        <f ca="1"/>
      </c>
      <c r="BE171">
        <f ca="1"/>
      </c>
      <c r="BF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N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BZ171">
        <f ca="1"/>
      </c>
      <c r="CA171">
        <f ca="1"/>
      </c>
      <c r="CB171">
        <f ca="1"/>
      </c>
      <c r="CC171">
        <f ca="1"/>
      </c>
      <c r="CD171">
        <f ca="1"/>
      </c>
      <c r="CE171">
        <f ca="1"/>
      </c>
      <c r="CF171">
        <f ca="1"/>
      </c>
      <c r="CG171">
        <f ca="1"/>
      </c>
      <c r="CH171">
        <f ca="1"/>
      </c>
      <c r="CI171">
        <f ca="1"/>
      </c>
      <c r="CK171">
        <f ca="1"/>
      </c>
      <c r="CL171">
        <f ca="1"/>
      </c>
      <c r="CM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  <c r="GA171">
        <f ca="1"/>
      </c>
      <c r="GM171" s="7">
        <f ca="1"/>
      </c>
      <c r="GN171">
        <f ca="1"/>
      </c>
      <c r="GO171">
        <f ca="1"/>
      </c>
      <c r="GP171">
        <f ca="1"/>
      </c>
      <c r="GQ171">
        <f ca="1"/>
      </c>
    </row>
    <row r="172" spans="41:199" x14ac:dyDescent="0.55000000000000004">
      <c r="AO172">
        <f ca="1"/>
      </c>
      <c r="AP172">
        <f ca="1"/>
      </c>
      <c r="AQ172">
        <f ca="1"/>
      </c>
      <c r="AR172">
        <f ca="1"/>
      </c>
      <c r="AS172">
        <f ca="1"/>
      </c>
      <c r="AT172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AZ172">
        <f ca="1"/>
      </c>
      <c r="BA172">
        <f ca="1"/>
      </c>
      <c r="BB172">
        <f ca="1"/>
      </c>
      <c r="BC172">
        <f ca="1"/>
      </c>
      <c r="BD172">
        <f ca="1"/>
      </c>
      <c r="BE172">
        <f ca="1"/>
      </c>
      <c r="BF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N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BZ172">
        <f ca="1"/>
      </c>
      <c r="CA172">
        <f ca="1"/>
      </c>
      <c r="CB172">
        <f ca="1"/>
      </c>
      <c r="CC172">
        <f ca="1"/>
      </c>
      <c r="CD172">
        <f ca="1"/>
      </c>
      <c r="CE172">
        <f ca="1"/>
      </c>
      <c r="CF172">
        <f ca="1"/>
      </c>
      <c r="CG172">
        <f ca="1"/>
      </c>
      <c r="CH172">
        <f ca="1"/>
      </c>
      <c r="CI172">
        <f ca="1"/>
      </c>
      <c r="CK172">
        <f ca="1"/>
      </c>
      <c r="CL172">
        <f ca="1"/>
      </c>
      <c r="CM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B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  <c r="GA172">
        <f ca="1"/>
      </c>
      <c r="GM172" s="7">
        <f ca="1"/>
      </c>
      <c r="GN172">
        <f ca="1"/>
      </c>
      <c r="GO172">
        <f ca="1"/>
      </c>
      <c r="GP172">
        <f ca="1"/>
      </c>
      <c r="GQ172">
        <f ca="1"/>
      </c>
    </row>
    <row r="173" spans="41:199" x14ac:dyDescent="0.55000000000000004">
      <c r="AO173">
        <f ca="1"/>
      </c>
      <c r="AP173">
        <f ca="1"/>
      </c>
      <c r="AQ173">
        <f ca="1"/>
      </c>
      <c r="AR173">
        <f ca="1"/>
      </c>
      <c r="AS173">
        <f ca="1"/>
      </c>
      <c r="AT173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AZ173">
        <f ca="1"/>
      </c>
      <c r="BA173">
        <f ca="1"/>
      </c>
      <c r="BB173">
        <f ca="1"/>
      </c>
      <c r="BC173">
        <f ca="1"/>
      </c>
      <c r="BD173">
        <f ca="1"/>
      </c>
      <c r="BE173">
        <f ca="1"/>
      </c>
      <c r="BF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N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BZ173">
        <f ca="1"/>
      </c>
      <c r="CA173">
        <f ca="1"/>
      </c>
      <c r="CB173">
        <f ca="1"/>
      </c>
      <c r="CC173">
        <f ca="1"/>
      </c>
      <c r="CD173">
        <f ca="1"/>
      </c>
      <c r="CE173">
        <f ca="1"/>
      </c>
      <c r="CF173">
        <f ca="1"/>
      </c>
      <c r="CG173">
        <f ca="1"/>
      </c>
      <c r="CH173">
        <f ca="1"/>
      </c>
      <c r="CI173">
        <f ca="1"/>
      </c>
      <c r="CK173">
        <f ca="1"/>
      </c>
      <c r="CL173">
        <f ca="1"/>
      </c>
      <c r="CM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B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  <c r="GA173">
        <f ca="1"/>
      </c>
      <c r="GM173" s="7">
        <f ca="1"/>
      </c>
      <c r="GN173">
        <f ca="1"/>
      </c>
      <c r="GO173">
        <f ca="1"/>
      </c>
      <c r="GP173">
        <f ca="1"/>
      </c>
      <c r="GQ173">
        <f ca="1"/>
      </c>
    </row>
    <row r="174" spans="41:199" x14ac:dyDescent="0.55000000000000004">
      <c r="AO174">
        <f ca="1"/>
      </c>
      <c r="AP174">
        <f ca="1"/>
      </c>
      <c r="AQ174">
        <f ca="1"/>
      </c>
      <c r="AR174">
        <f ca="1"/>
      </c>
      <c r="AS174">
        <f ca="1"/>
      </c>
      <c r="AT174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AZ174">
        <f ca="1"/>
      </c>
      <c r="BA174">
        <f ca="1"/>
      </c>
      <c r="BB174">
        <f ca="1"/>
      </c>
      <c r="BC174">
        <f ca="1"/>
      </c>
      <c r="BD174">
        <f ca="1"/>
      </c>
      <c r="BE174">
        <f ca="1"/>
      </c>
      <c r="BF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N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BZ174">
        <f ca="1"/>
      </c>
      <c r="CA174">
        <f ca="1"/>
      </c>
      <c r="CB174">
        <f ca="1"/>
      </c>
      <c r="CC174">
        <f ca="1"/>
      </c>
      <c r="CD174">
        <f ca="1"/>
      </c>
      <c r="CE174">
        <f ca="1"/>
      </c>
      <c r="CF174">
        <f ca="1"/>
      </c>
      <c r="CG174">
        <f ca="1"/>
      </c>
      <c r="CH174">
        <f ca="1"/>
      </c>
      <c r="CI174">
        <f ca="1"/>
      </c>
      <c r="CK174">
        <f ca="1"/>
      </c>
      <c r="CL174">
        <f ca="1"/>
      </c>
      <c r="CM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B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  <c r="GA174">
        <f ca="1"/>
      </c>
      <c r="GM174" s="7">
        <f ca="1"/>
      </c>
      <c r="GN174">
        <f ca="1"/>
      </c>
      <c r="GO174">
        <f ca="1"/>
      </c>
      <c r="GP174">
        <f ca="1"/>
      </c>
      <c r="GQ174">
        <f ca="1"/>
      </c>
    </row>
    <row r="175" spans="41:199" x14ac:dyDescent="0.55000000000000004">
      <c r="AO175">
        <f ca="1"/>
      </c>
      <c r="AP175">
        <f ca="1"/>
      </c>
      <c r="AQ175">
        <f ca="1"/>
      </c>
      <c r="AR175">
        <f ca="1"/>
      </c>
      <c r="AS175">
        <f ca="1"/>
      </c>
      <c r="AT175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AZ175">
        <f ca="1"/>
      </c>
      <c r="BA175">
        <f ca="1"/>
      </c>
      <c r="BB175">
        <f ca="1"/>
      </c>
      <c r="BC175">
        <f ca="1"/>
      </c>
      <c r="BD175">
        <f ca="1"/>
      </c>
      <c r="BE175">
        <f ca="1"/>
      </c>
      <c r="BF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N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BZ175">
        <f ca="1"/>
      </c>
      <c r="CA175">
        <f ca="1"/>
      </c>
      <c r="CB175">
        <f ca="1"/>
      </c>
      <c r="CC175">
        <f ca="1"/>
      </c>
      <c r="CD175">
        <f ca="1"/>
      </c>
      <c r="CE175">
        <f ca="1"/>
      </c>
      <c r="CF175">
        <f ca="1"/>
      </c>
      <c r="CG175">
        <f ca="1"/>
      </c>
      <c r="CH175">
        <f ca="1"/>
      </c>
      <c r="CI175">
        <f ca="1"/>
      </c>
      <c r="CK175">
        <f ca="1"/>
      </c>
      <c r="CL175">
        <f ca="1"/>
      </c>
      <c r="CM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B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  <c r="GA175">
        <f ca="1"/>
      </c>
      <c r="GM175" s="7">
        <f ca="1"/>
      </c>
      <c r="GN175">
        <f ca="1"/>
      </c>
      <c r="GO175">
        <f ca="1"/>
      </c>
      <c r="GP175">
        <f ca="1"/>
      </c>
      <c r="GQ175">
        <f ca="1"/>
      </c>
    </row>
    <row r="176" spans="41:199" x14ac:dyDescent="0.55000000000000004">
      <c r="AO176">
        <f ca="1"/>
      </c>
      <c r="AP176">
        <f ca="1"/>
      </c>
      <c r="AQ176">
        <f ca="1"/>
      </c>
      <c r="AR176">
        <f ca="1"/>
      </c>
      <c r="AS176">
        <f ca="1"/>
      </c>
      <c r="AT176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AZ176">
        <f ca="1"/>
      </c>
      <c r="BA176">
        <f ca="1"/>
      </c>
      <c r="BB176">
        <f ca="1"/>
      </c>
      <c r="BC176">
        <f ca="1"/>
      </c>
      <c r="BD176">
        <f ca="1"/>
      </c>
      <c r="BE176">
        <f ca="1"/>
      </c>
      <c r="BF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N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BZ176">
        <f ca="1"/>
      </c>
      <c r="CA176">
        <f ca="1"/>
      </c>
      <c r="CB176">
        <f ca="1"/>
      </c>
      <c r="CC176">
        <f ca="1"/>
      </c>
      <c r="CD176">
        <f ca="1"/>
      </c>
      <c r="CE176">
        <f ca="1"/>
      </c>
      <c r="CF176">
        <f ca="1"/>
      </c>
      <c r="CG176">
        <f ca="1"/>
      </c>
      <c r="CH176">
        <f ca="1"/>
      </c>
      <c r="CI176">
        <f ca="1"/>
      </c>
      <c r="CK176">
        <f ca="1"/>
      </c>
      <c r="CL176">
        <f ca="1"/>
      </c>
      <c r="CM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B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  <c r="GA176">
        <f ca="1"/>
      </c>
      <c r="GM176" s="7">
        <f ca="1"/>
      </c>
      <c r="GN176">
        <f ca="1"/>
      </c>
      <c r="GO176">
        <f ca="1"/>
      </c>
      <c r="GP176">
        <f ca="1"/>
      </c>
      <c r="GQ176">
        <f ca="1"/>
      </c>
    </row>
    <row r="177" spans="41:199" x14ac:dyDescent="0.55000000000000004">
      <c r="AO177">
        <f ca="1"/>
      </c>
      <c r="AP177">
        <f ca="1"/>
      </c>
      <c r="AQ177">
        <f ca="1"/>
      </c>
      <c r="AR177">
        <f ca="1"/>
      </c>
      <c r="AS177">
        <f ca="1"/>
      </c>
      <c r="AT17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AZ177">
        <f ca="1"/>
      </c>
      <c r="BA177">
        <f ca="1"/>
      </c>
      <c r="BB177">
        <f ca="1"/>
      </c>
      <c r="BC177">
        <f ca="1"/>
      </c>
      <c r="BD177">
        <f ca="1"/>
      </c>
      <c r="BE177">
        <f ca="1"/>
      </c>
      <c r="BF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N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BZ177">
        <f ca="1"/>
      </c>
      <c r="CA177">
        <f ca="1"/>
      </c>
      <c r="CB177">
        <f ca="1"/>
      </c>
      <c r="CC177">
        <f ca="1"/>
      </c>
      <c r="CD177">
        <f ca="1"/>
      </c>
      <c r="CE177">
        <f ca="1"/>
      </c>
      <c r="CF177">
        <f ca="1"/>
      </c>
      <c r="CG177">
        <f ca="1"/>
      </c>
      <c r="CH177">
        <f ca="1"/>
      </c>
      <c r="CI177">
        <f ca="1"/>
      </c>
      <c r="CK177">
        <f ca="1"/>
      </c>
      <c r="CL177">
        <f ca="1"/>
      </c>
      <c r="CM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B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  <c r="GA177">
        <f ca="1"/>
      </c>
      <c r="GM177" s="7">
        <f ca="1"/>
      </c>
      <c r="GN177">
        <f ca="1"/>
      </c>
      <c r="GO177">
        <f ca="1"/>
      </c>
      <c r="GP177">
        <f ca="1"/>
      </c>
      <c r="GQ177">
        <f ca="1"/>
      </c>
    </row>
    <row r="178" spans="41:199" x14ac:dyDescent="0.55000000000000004">
      <c r="AO178">
        <f ca="1"/>
      </c>
      <c r="AP178">
        <f ca="1"/>
      </c>
      <c r="AQ178">
        <f ca="1"/>
      </c>
      <c r="AR178">
        <f ca="1"/>
      </c>
      <c r="AS178">
        <f ca="1"/>
      </c>
      <c r="AT178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AZ178">
        <f ca="1"/>
      </c>
      <c r="BA178">
        <f ca="1"/>
      </c>
      <c r="BB178">
        <f ca="1"/>
      </c>
      <c r="BC178">
        <f ca="1"/>
      </c>
      <c r="BD178">
        <f ca="1"/>
      </c>
      <c r="BE178">
        <f ca="1"/>
      </c>
      <c r="BF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N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BZ178">
        <f ca="1"/>
      </c>
      <c r="CA178">
        <f ca="1"/>
      </c>
      <c r="CB178">
        <f ca="1"/>
      </c>
      <c r="CC178">
        <f ca="1"/>
      </c>
      <c r="CD178">
        <f ca="1"/>
      </c>
      <c r="CE178">
        <f ca="1"/>
      </c>
      <c r="CF178">
        <f ca="1"/>
      </c>
      <c r="CG178">
        <f ca="1"/>
      </c>
      <c r="CH178">
        <f ca="1"/>
      </c>
      <c r="CI178">
        <f ca="1"/>
      </c>
      <c r="CK178">
        <f ca="1"/>
      </c>
      <c r="CL178">
        <f ca="1"/>
      </c>
      <c r="CM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B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  <c r="GA178">
        <f ca="1"/>
      </c>
      <c r="GM178" s="7">
        <f ca="1"/>
      </c>
      <c r="GN178">
        <f ca="1"/>
      </c>
      <c r="GO178">
        <f ca="1"/>
      </c>
      <c r="GP178">
        <f ca="1"/>
      </c>
      <c r="GQ178">
        <f ca="1"/>
      </c>
    </row>
    <row r="179" spans="41:199" x14ac:dyDescent="0.55000000000000004">
      <c r="AO179">
        <f ca="1"/>
      </c>
      <c r="AP179">
        <f ca="1"/>
      </c>
      <c r="AQ179">
        <f ca="1"/>
      </c>
      <c r="AR179">
        <f ca="1"/>
      </c>
      <c r="AS179">
        <f ca="1"/>
      </c>
      <c r="AT179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AZ179">
        <f ca="1"/>
      </c>
      <c r="BA179">
        <f ca="1"/>
      </c>
      <c r="BB179">
        <f ca="1"/>
      </c>
      <c r="BC179">
        <f ca="1"/>
      </c>
      <c r="BD179">
        <f ca="1"/>
      </c>
      <c r="BE179">
        <f ca="1"/>
      </c>
      <c r="BF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N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BZ179">
        <f ca="1"/>
      </c>
      <c r="CA179">
        <f ca="1"/>
      </c>
      <c r="CB179">
        <f ca="1"/>
      </c>
      <c r="CC179">
        <f ca="1"/>
      </c>
      <c r="CD179">
        <f ca="1"/>
      </c>
      <c r="CE179">
        <f ca="1"/>
      </c>
      <c r="CF179">
        <f ca="1"/>
      </c>
      <c r="CG179">
        <f ca="1"/>
      </c>
      <c r="CH179">
        <f ca="1"/>
      </c>
      <c r="CI179">
        <f ca="1"/>
      </c>
      <c r="CK179">
        <f ca="1"/>
      </c>
      <c r="CL179">
        <f ca="1"/>
      </c>
      <c r="CM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B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  <c r="GA179">
        <f ca="1"/>
      </c>
      <c r="GM179" s="7">
        <f ca="1"/>
      </c>
      <c r="GN179">
        <f ca="1"/>
      </c>
      <c r="GO179">
        <f ca="1"/>
      </c>
      <c r="GP179">
        <f ca="1"/>
      </c>
      <c r="GQ179">
        <f ca="1"/>
      </c>
    </row>
    <row r="180" spans="41:199" x14ac:dyDescent="0.55000000000000004">
      <c r="AO180">
        <f ca="1"/>
      </c>
      <c r="AP180">
        <f ca="1"/>
      </c>
      <c r="AQ180">
        <f ca="1"/>
      </c>
      <c r="AR180">
        <f ca="1"/>
      </c>
      <c r="AS180">
        <f ca="1"/>
      </c>
      <c r="AT180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AZ180">
        <f ca="1"/>
      </c>
      <c r="BA180">
        <f ca="1"/>
      </c>
      <c r="BB180">
        <f ca="1"/>
      </c>
      <c r="BC180">
        <f ca="1"/>
      </c>
      <c r="BD180">
        <f ca="1"/>
      </c>
      <c r="BE180">
        <f ca="1"/>
      </c>
      <c r="BF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N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BZ180">
        <f ca="1"/>
      </c>
      <c r="CA180">
        <f ca="1"/>
      </c>
      <c r="CB180">
        <f ca="1"/>
      </c>
      <c r="CC180">
        <f ca="1"/>
      </c>
      <c r="CD180">
        <f ca="1"/>
      </c>
      <c r="CE180">
        <f ca="1"/>
      </c>
      <c r="CF180">
        <f ca="1"/>
      </c>
      <c r="CG180">
        <f ca="1"/>
      </c>
      <c r="CH180">
        <f ca="1"/>
      </c>
      <c r="CI180">
        <f ca="1"/>
      </c>
      <c r="CK180">
        <f ca="1"/>
      </c>
      <c r="CL180">
        <f ca="1"/>
      </c>
      <c r="CM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B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  <c r="GA180">
        <f ca="1"/>
      </c>
      <c r="GM180" s="7">
        <f ca="1"/>
      </c>
      <c r="GN180">
        <f ca="1"/>
      </c>
      <c r="GO180">
        <f ca="1"/>
      </c>
      <c r="GP180">
        <f ca="1"/>
      </c>
      <c r="GQ180">
        <f ca="1"/>
      </c>
    </row>
    <row r="181" spans="41:199" x14ac:dyDescent="0.55000000000000004">
      <c r="AO181">
        <f ca="1"/>
      </c>
      <c r="AP181">
        <f ca="1"/>
      </c>
      <c r="AQ181">
        <f ca="1"/>
      </c>
      <c r="AR181">
        <f ca="1"/>
      </c>
      <c r="AS181">
        <f ca="1"/>
      </c>
      <c r="AT181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AZ181">
        <f ca="1"/>
      </c>
      <c r="BA181">
        <f ca="1"/>
      </c>
      <c r="BB181">
        <f ca="1"/>
      </c>
      <c r="BC181">
        <f ca="1"/>
      </c>
      <c r="BD181">
        <f ca="1"/>
      </c>
      <c r="BE181">
        <f ca="1"/>
      </c>
      <c r="BF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N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BZ181">
        <f ca="1"/>
      </c>
      <c r="CA181">
        <f ca="1"/>
      </c>
      <c r="CB181">
        <f ca="1"/>
      </c>
      <c r="CC181">
        <f ca="1"/>
      </c>
      <c r="CD181">
        <f ca="1"/>
      </c>
      <c r="CE181">
        <f ca="1"/>
      </c>
      <c r="CF181">
        <f ca="1"/>
      </c>
      <c r="CG181">
        <f ca="1"/>
      </c>
      <c r="CH181">
        <f ca="1"/>
      </c>
      <c r="CI181">
        <f ca="1"/>
      </c>
      <c r="CK181">
        <f ca="1"/>
      </c>
      <c r="CL181">
        <f ca="1"/>
      </c>
      <c r="CM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B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  <c r="GA181">
        <f ca="1"/>
      </c>
      <c r="GM181" s="7">
        <f ca="1"/>
      </c>
      <c r="GN181">
        <f ca="1"/>
      </c>
      <c r="GO181">
        <f ca="1"/>
      </c>
      <c r="GP181">
        <f ca="1"/>
      </c>
      <c r="GQ181">
        <f ca="1"/>
      </c>
    </row>
    <row r="182" spans="41:199" x14ac:dyDescent="0.55000000000000004">
      <c r="AO182">
        <f ca="1"/>
      </c>
      <c r="AP182">
        <f ca="1"/>
      </c>
      <c r="AQ182">
        <f ca="1"/>
      </c>
      <c r="AR182">
        <f ca="1"/>
      </c>
      <c r="AS182">
        <f ca="1"/>
      </c>
      <c r="AT182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AZ182">
        <f ca="1"/>
      </c>
      <c r="BA182">
        <f ca="1"/>
      </c>
      <c r="BB182">
        <f ca="1"/>
      </c>
      <c r="BC182">
        <f ca="1"/>
      </c>
      <c r="BD182">
        <f ca="1"/>
      </c>
      <c r="BE182">
        <f ca="1"/>
      </c>
      <c r="BF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N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BZ182">
        <f ca="1"/>
      </c>
      <c r="CA182">
        <f ca="1"/>
      </c>
      <c r="CB182">
        <f ca="1"/>
      </c>
      <c r="CC182">
        <f ca="1"/>
      </c>
      <c r="CD182">
        <f ca="1"/>
      </c>
      <c r="CE182">
        <f ca="1"/>
      </c>
      <c r="CF182">
        <f ca="1"/>
      </c>
      <c r="CG182">
        <f ca="1"/>
      </c>
      <c r="CH182">
        <f ca="1"/>
      </c>
      <c r="CI182">
        <f ca="1"/>
      </c>
      <c r="CK182">
        <f ca="1"/>
      </c>
      <c r="CL182">
        <f ca="1"/>
      </c>
      <c r="CM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B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  <c r="GA182">
        <f ca="1"/>
      </c>
      <c r="GM182" s="7">
        <f ca="1"/>
      </c>
      <c r="GN182">
        <f ca="1"/>
      </c>
      <c r="GO182">
        <f ca="1"/>
      </c>
      <c r="GP182">
        <f ca="1"/>
      </c>
      <c r="GQ182">
        <f ca="1"/>
      </c>
    </row>
    <row r="183" spans="41:199" x14ac:dyDescent="0.55000000000000004">
      <c r="AO183">
        <f ca="1"/>
      </c>
      <c r="AP183">
        <f ca="1"/>
      </c>
      <c r="AQ183">
        <f ca="1"/>
      </c>
      <c r="AR183">
        <f ca="1"/>
      </c>
      <c r="AS183">
        <f ca="1"/>
      </c>
      <c r="AT183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AZ183">
        <f ca="1"/>
      </c>
      <c r="BA183">
        <f ca="1"/>
      </c>
      <c r="BB183">
        <f ca="1"/>
      </c>
      <c r="BC183">
        <f ca="1"/>
      </c>
      <c r="BD183">
        <f ca="1"/>
      </c>
      <c r="BE183">
        <f ca="1"/>
      </c>
      <c r="BF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N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BZ183">
        <f ca="1"/>
      </c>
      <c r="CA183">
        <f ca="1"/>
      </c>
      <c r="CB183">
        <f ca="1"/>
      </c>
      <c r="CC183">
        <f ca="1"/>
      </c>
      <c r="CD183">
        <f ca="1"/>
      </c>
      <c r="CE183">
        <f ca="1"/>
      </c>
      <c r="CF183">
        <f ca="1"/>
      </c>
      <c r="CG183">
        <f ca="1"/>
      </c>
      <c r="CH183">
        <f ca="1"/>
      </c>
      <c r="CI183">
        <f ca="1"/>
      </c>
      <c r="CK183">
        <f ca="1"/>
      </c>
      <c r="CL183">
        <f ca="1"/>
      </c>
      <c r="CM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B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  <c r="GA183">
        <f ca="1"/>
      </c>
      <c r="GM183" s="7">
        <f ca="1"/>
      </c>
      <c r="GN183">
        <f ca="1"/>
      </c>
      <c r="GO183">
        <f ca="1"/>
      </c>
      <c r="GP183">
        <f ca="1"/>
      </c>
      <c r="GQ183">
        <f ca="1"/>
      </c>
    </row>
    <row r="184" spans="41:199" x14ac:dyDescent="0.55000000000000004">
      <c r="AO184">
        <f ca="1"/>
      </c>
      <c r="AP184">
        <f ca="1"/>
      </c>
      <c r="AQ184">
        <f ca="1"/>
      </c>
      <c r="AR184">
        <f ca="1"/>
      </c>
      <c r="AS184">
        <f ca="1"/>
      </c>
      <c r="AT184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AZ184">
        <f ca="1"/>
      </c>
      <c r="BA184">
        <f ca="1"/>
      </c>
      <c r="BB184">
        <f ca="1"/>
      </c>
      <c r="BC184">
        <f ca="1"/>
      </c>
      <c r="BD184">
        <f ca="1"/>
      </c>
      <c r="BE184">
        <f ca="1"/>
      </c>
      <c r="BF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N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BZ184">
        <f ca="1"/>
      </c>
      <c r="CA184">
        <f ca="1"/>
      </c>
      <c r="CB184">
        <f ca="1"/>
      </c>
      <c r="CC184">
        <f ca="1"/>
      </c>
      <c r="CD184">
        <f ca="1"/>
      </c>
      <c r="CE184">
        <f ca="1"/>
      </c>
      <c r="CF184">
        <f ca="1"/>
      </c>
      <c r="CG184">
        <f ca="1"/>
      </c>
      <c r="CH184">
        <f ca="1"/>
      </c>
      <c r="CI184">
        <f ca="1"/>
      </c>
      <c r="CK184">
        <f ca="1"/>
      </c>
      <c r="CL184">
        <f ca="1"/>
      </c>
      <c r="CM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B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  <c r="GA184">
        <f ca="1"/>
      </c>
      <c r="GM184" s="7">
        <f ca="1"/>
      </c>
      <c r="GN184">
        <f ca="1"/>
      </c>
      <c r="GO184">
        <f ca="1"/>
      </c>
      <c r="GP184">
        <f ca="1"/>
      </c>
      <c r="GQ184">
        <f ca="1"/>
      </c>
    </row>
    <row r="185" spans="41:199" x14ac:dyDescent="0.55000000000000004">
      <c r="AO185">
        <f ca="1"/>
      </c>
      <c r="AP185">
        <f ca="1"/>
      </c>
      <c r="AQ185">
        <f ca="1"/>
      </c>
      <c r="AR185">
        <f ca="1"/>
      </c>
      <c r="AS185">
        <f ca="1"/>
      </c>
      <c r="AT185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AZ185">
        <f ca="1"/>
      </c>
      <c r="BA185">
        <f ca="1"/>
      </c>
      <c r="BB185">
        <f ca="1"/>
      </c>
      <c r="BC185">
        <f ca="1"/>
      </c>
      <c r="BD185">
        <f ca="1"/>
      </c>
      <c r="BE185">
        <f ca="1"/>
      </c>
      <c r="BF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N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BZ185">
        <f ca="1"/>
      </c>
      <c r="CA185">
        <f ca="1"/>
      </c>
      <c r="CB185">
        <f ca="1"/>
      </c>
      <c r="CC185">
        <f ca="1"/>
      </c>
      <c r="CD185">
        <f ca="1"/>
      </c>
      <c r="CE185">
        <f ca="1"/>
      </c>
      <c r="CF185">
        <f ca="1"/>
      </c>
      <c r="CG185">
        <f ca="1"/>
      </c>
      <c r="CH185">
        <f ca="1"/>
      </c>
      <c r="CI185">
        <f ca="1"/>
      </c>
      <c r="CK185">
        <f ca="1"/>
      </c>
      <c r="CL185">
        <f ca="1"/>
      </c>
      <c r="CM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F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B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  <c r="GA185">
        <f ca="1"/>
      </c>
      <c r="GM185" s="7">
        <f ca="1"/>
      </c>
      <c r="GN185">
        <f ca="1"/>
      </c>
      <c r="GO185">
        <f ca="1"/>
      </c>
      <c r="GP185">
        <f ca="1"/>
      </c>
      <c r="GQ185">
        <f ca="1"/>
      </c>
    </row>
    <row r="186" spans="41:199" x14ac:dyDescent="0.55000000000000004">
      <c r="AO186">
        <f ca="1"/>
      </c>
      <c r="AP186">
        <f ca="1"/>
      </c>
      <c r="AQ186">
        <f ca="1"/>
      </c>
      <c r="AR186">
        <f ca="1"/>
      </c>
      <c r="AS186">
        <f ca="1"/>
      </c>
      <c r="AT186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AZ186">
        <f ca="1"/>
      </c>
      <c r="BA186">
        <f ca="1"/>
      </c>
      <c r="BB186">
        <f ca="1"/>
      </c>
      <c r="BC186">
        <f ca="1"/>
      </c>
      <c r="BD186">
        <f ca="1"/>
      </c>
      <c r="BE186">
        <f ca="1"/>
      </c>
      <c r="BF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N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BZ186">
        <f ca="1"/>
      </c>
      <c r="CA186">
        <f ca="1"/>
      </c>
      <c r="CB186">
        <f ca="1"/>
      </c>
      <c r="CC186">
        <f ca="1"/>
      </c>
      <c r="CD186">
        <f ca="1"/>
      </c>
      <c r="CE186">
        <f ca="1"/>
      </c>
      <c r="CF186">
        <f ca="1"/>
      </c>
      <c r="CG186">
        <f ca="1"/>
      </c>
      <c r="CH186">
        <f ca="1"/>
      </c>
      <c r="CI186">
        <f ca="1"/>
      </c>
      <c r="CK186">
        <f ca="1"/>
      </c>
      <c r="CL186">
        <f ca="1"/>
      </c>
      <c r="CM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F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B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  <c r="GA186">
        <f ca="1"/>
      </c>
      <c r="GM186" s="7">
        <f ca="1"/>
      </c>
      <c r="GN186">
        <f ca="1"/>
      </c>
      <c r="GO186">
        <f ca="1"/>
      </c>
      <c r="GP186">
        <f ca="1"/>
      </c>
      <c r="GQ186">
        <f ca="1"/>
      </c>
    </row>
    <row r="187" spans="41:199" x14ac:dyDescent="0.55000000000000004">
      <c r="AO187">
        <f ca="1"/>
      </c>
      <c r="AP187">
        <f ca="1"/>
      </c>
      <c r="AQ187">
        <f ca="1"/>
      </c>
      <c r="AR187">
        <f ca="1"/>
      </c>
      <c r="AS187">
        <f ca="1"/>
      </c>
      <c r="AT18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AZ187">
        <f ca="1"/>
      </c>
      <c r="BA187">
        <f ca="1"/>
      </c>
      <c r="BB187">
        <f ca="1"/>
      </c>
      <c r="BC187">
        <f ca="1"/>
      </c>
      <c r="BD187">
        <f ca="1"/>
      </c>
      <c r="BE187">
        <f ca="1"/>
      </c>
      <c r="BF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N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BZ187">
        <f ca="1"/>
      </c>
      <c r="CA187">
        <f ca="1"/>
      </c>
      <c r="CB187">
        <f ca="1"/>
      </c>
      <c r="CC187">
        <f ca="1"/>
      </c>
      <c r="CD187">
        <f ca="1"/>
      </c>
      <c r="CE187">
        <f ca="1"/>
      </c>
      <c r="CF187">
        <f ca="1"/>
      </c>
      <c r="CG187">
        <f ca="1"/>
      </c>
      <c r="CH187">
        <f ca="1"/>
      </c>
      <c r="CI187">
        <f ca="1"/>
      </c>
      <c r="CK187">
        <f ca="1"/>
      </c>
      <c r="CL187">
        <f ca="1"/>
      </c>
      <c r="CM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F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B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  <c r="GA187">
        <f ca="1"/>
      </c>
      <c r="GM187" s="7">
        <f ca="1"/>
      </c>
      <c r="GN187">
        <f ca="1"/>
      </c>
      <c r="GO187">
        <f ca="1"/>
      </c>
      <c r="GP187">
        <f ca="1"/>
      </c>
      <c r="GQ187">
        <f ca="1"/>
      </c>
    </row>
    <row r="188" spans="41:199" x14ac:dyDescent="0.55000000000000004">
      <c r="AO188">
        <f ca="1"/>
      </c>
      <c r="AP188">
        <f ca="1"/>
      </c>
      <c r="AQ188">
        <f ca="1"/>
      </c>
      <c r="AR188">
        <f ca="1"/>
      </c>
      <c r="AS188">
        <f ca="1"/>
      </c>
      <c r="AT188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AZ188">
        <f ca="1"/>
      </c>
      <c r="BA188">
        <f ca="1"/>
      </c>
      <c r="BB188">
        <f ca="1"/>
      </c>
      <c r="BC188">
        <f ca="1"/>
      </c>
      <c r="BD188">
        <f ca="1"/>
      </c>
      <c r="BE188">
        <f ca="1"/>
      </c>
      <c r="BF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N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BZ188">
        <f ca="1"/>
      </c>
      <c r="CA188">
        <f ca="1"/>
      </c>
      <c r="CB188">
        <f ca="1"/>
      </c>
      <c r="CC188">
        <f ca="1"/>
      </c>
      <c r="CD188">
        <f ca="1"/>
      </c>
      <c r="CE188">
        <f ca="1"/>
      </c>
      <c r="CF188">
        <f ca="1"/>
      </c>
      <c r="CG188">
        <f ca="1"/>
      </c>
      <c r="CH188">
        <f ca="1"/>
      </c>
      <c r="CI188">
        <f ca="1"/>
      </c>
      <c r="CK188">
        <f ca="1"/>
      </c>
      <c r="CL188">
        <f ca="1"/>
      </c>
      <c r="CM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F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B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  <c r="GA188">
        <f ca="1"/>
      </c>
      <c r="GM188" s="7">
        <f ca="1"/>
      </c>
      <c r="GN188">
        <f ca="1"/>
      </c>
      <c r="GO188">
        <f ca="1"/>
      </c>
      <c r="GP188">
        <f ca="1"/>
      </c>
      <c r="GQ188">
        <f ca="1"/>
      </c>
    </row>
    <row r="189" spans="41:199" x14ac:dyDescent="0.55000000000000004">
      <c r="AO189">
        <f ca="1"/>
      </c>
      <c r="AP189">
        <f ca="1"/>
      </c>
      <c r="AQ189">
        <f ca="1"/>
      </c>
      <c r="AR189">
        <f ca="1"/>
      </c>
      <c r="AS189">
        <f ca="1"/>
      </c>
      <c r="AT189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AZ189">
        <f ca="1"/>
      </c>
      <c r="BA189">
        <f ca="1"/>
      </c>
      <c r="BB189">
        <f ca="1"/>
      </c>
      <c r="BC189">
        <f ca="1"/>
      </c>
      <c r="BD189">
        <f ca="1"/>
      </c>
      <c r="BE189">
        <f ca="1"/>
      </c>
      <c r="BF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N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BZ189">
        <f ca="1"/>
      </c>
      <c r="CA189">
        <f ca="1"/>
      </c>
      <c r="CB189">
        <f ca="1"/>
      </c>
      <c r="CC189">
        <f ca="1"/>
      </c>
      <c r="CD189">
        <f ca="1"/>
      </c>
      <c r="CE189">
        <f ca="1"/>
      </c>
      <c r="CF189">
        <f ca="1"/>
      </c>
      <c r="CG189">
        <f ca="1"/>
      </c>
      <c r="CH189">
        <f ca="1"/>
      </c>
      <c r="CI189">
        <f ca="1"/>
      </c>
      <c r="CK189">
        <f ca="1"/>
      </c>
      <c r="CL189">
        <f ca="1"/>
      </c>
      <c r="CM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F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B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  <c r="GA189">
        <f ca="1"/>
      </c>
      <c r="GM189" s="7">
        <f ca="1"/>
      </c>
      <c r="GN189">
        <f ca="1"/>
      </c>
      <c r="GO189">
        <f ca="1"/>
      </c>
      <c r="GP189">
        <f ca="1"/>
      </c>
      <c r="GQ189">
        <f ca="1"/>
      </c>
    </row>
    <row r="190" spans="41:199" x14ac:dyDescent="0.55000000000000004">
      <c r="AO190">
        <f ca="1"/>
      </c>
      <c r="AP190">
        <f ca="1"/>
      </c>
      <c r="AQ190">
        <f ca="1"/>
      </c>
      <c r="AR190">
        <f ca="1"/>
      </c>
      <c r="AS190">
        <f ca="1"/>
      </c>
      <c r="AT190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AZ190">
        <f ca="1"/>
      </c>
      <c r="BA190">
        <f ca="1"/>
      </c>
      <c r="BB190">
        <f ca="1"/>
      </c>
      <c r="BC190">
        <f ca="1"/>
      </c>
      <c r="BD190">
        <f ca="1"/>
      </c>
      <c r="BE190">
        <f ca="1"/>
      </c>
      <c r="BF190">
        <f ca="1"/>
      </c>
      <c r="BG190">
        <f ca="1"/>
      </c>
      <c r="BH190">
        <f ca="1"/>
      </c>
      <c r="BI190">
        <f ca="1"/>
      </c>
      <c r="BJ190">
        <f ca="1"/>
      </c>
      <c r="BK190">
        <f ca="1"/>
      </c>
      <c r="BL190">
        <f ca="1"/>
      </c>
      <c r="BM190">
        <f ca="1"/>
      </c>
      <c r="BN190">
        <f ca="1"/>
      </c>
      <c r="BO190">
        <f ca="1"/>
      </c>
      <c r="BP190">
        <f ca="1"/>
      </c>
      <c r="BQ190">
        <f ca="1"/>
      </c>
      <c r="BR190">
        <f ca="1"/>
      </c>
      <c r="BS190">
        <f ca="1"/>
      </c>
      <c r="BT190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BZ190">
        <f ca="1"/>
      </c>
      <c r="CA190">
        <f ca="1"/>
      </c>
      <c r="CB190">
        <f ca="1"/>
      </c>
      <c r="CC190">
        <f ca="1"/>
      </c>
      <c r="CD190">
        <f ca="1"/>
      </c>
      <c r="CE190">
        <f ca="1"/>
      </c>
      <c r="CF190">
        <f ca="1"/>
      </c>
      <c r="CG190">
        <f ca="1"/>
      </c>
      <c r="CH190">
        <f ca="1"/>
      </c>
      <c r="CI190">
        <f ca="1"/>
      </c>
      <c r="CK190">
        <f ca="1"/>
      </c>
      <c r="CL190">
        <f ca="1"/>
      </c>
      <c r="CM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F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B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  <c r="GA190">
        <f ca="1"/>
      </c>
      <c r="GM190" s="7">
        <f ca="1"/>
      </c>
      <c r="GN190">
        <f ca="1"/>
      </c>
      <c r="GO190">
        <f ca="1"/>
      </c>
      <c r="GP190">
        <f ca="1"/>
      </c>
      <c r="GQ190">
        <f ca="1"/>
      </c>
    </row>
    <row r="191" spans="41:199" x14ac:dyDescent="0.55000000000000004">
      <c r="AO191">
        <f ca="1"/>
      </c>
      <c r="AP191">
        <f ca="1"/>
      </c>
      <c r="AQ191">
        <f ca="1"/>
      </c>
      <c r="AR191">
        <f ca="1"/>
      </c>
      <c r="AS191">
        <f ca="1"/>
      </c>
      <c r="AT191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AZ191">
        <f ca="1"/>
      </c>
      <c r="BA191">
        <f ca="1"/>
      </c>
      <c r="BB191">
        <f ca="1"/>
      </c>
      <c r="BC191">
        <f ca="1"/>
      </c>
      <c r="BD191">
        <f ca="1"/>
      </c>
      <c r="BE191">
        <f ca="1"/>
      </c>
      <c r="BF191">
        <f ca="1"/>
      </c>
      <c r="BG191">
        <f ca="1"/>
      </c>
      <c r="BH191">
        <f ca="1"/>
      </c>
      <c r="BI191">
        <f ca="1"/>
      </c>
      <c r="BJ191">
        <f ca="1"/>
      </c>
      <c r="BK191">
        <f ca="1"/>
      </c>
      <c r="BL191">
        <f ca="1"/>
      </c>
      <c r="BM191">
        <f ca="1"/>
      </c>
      <c r="BN191">
        <f ca="1"/>
      </c>
      <c r="BO191">
        <f ca="1"/>
      </c>
      <c r="BP191">
        <f ca="1"/>
      </c>
      <c r="BQ191">
        <f ca="1"/>
      </c>
      <c r="BR191">
        <f ca="1"/>
      </c>
      <c r="BS191">
        <f ca="1"/>
      </c>
      <c r="BT191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BZ191">
        <f ca="1"/>
      </c>
      <c r="CA191">
        <f ca="1"/>
      </c>
      <c r="CB191">
        <f ca="1"/>
      </c>
      <c r="CC191">
        <f ca="1"/>
      </c>
      <c r="CD191">
        <f ca="1"/>
      </c>
      <c r="CE191">
        <f ca="1"/>
      </c>
      <c r="CF191">
        <f ca="1"/>
      </c>
      <c r="CG191">
        <f ca="1"/>
      </c>
      <c r="CH191">
        <f ca="1"/>
      </c>
      <c r="CI191">
        <f ca="1"/>
      </c>
      <c r="CK191">
        <f ca="1"/>
      </c>
      <c r="CL191">
        <f ca="1"/>
      </c>
      <c r="CM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F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B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  <c r="GA191">
        <f ca="1"/>
      </c>
      <c r="GM191" s="7">
        <f ca="1"/>
      </c>
      <c r="GN191">
        <f ca="1"/>
      </c>
      <c r="GO191">
        <f ca="1"/>
      </c>
      <c r="GP191">
        <f ca="1"/>
      </c>
      <c r="GQ191">
        <f ca="1"/>
      </c>
    </row>
    <row r="192" spans="41:199" x14ac:dyDescent="0.55000000000000004">
      <c r="AO192">
        <f ca="1"/>
      </c>
      <c r="AP192">
        <f ca="1"/>
      </c>
      <c r="AQ192">
        <f ca="1"/>
      </c>
      <c r="AR192">
        <f ca="1"/>
      </c>
      <c r="AS192">
        <f ca="1"/>
      </c>
      <c r="AT192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AZ192">
        <f ca="1"/>
      </c>
      <c r="BA192">
        <f ca="1"/>
      </c>
      <c r="BB192">
        <f ca="1"/>
      </c>
      <c r="BC192">
        <f ca="1"/>
      </c>
      <c r="BD192">
        <f ca="1"/>
      </c>
      <c r="BE192">
        <f ca="1"/>
      </c>
      <c r="BF192">
        <f ca="1"/>
      </c>
      <c r="BG192">
        <f ca="1"/>
      </c>
      <c r="BH192">
        <f ca="1"/>
      </c>
      <c r="BI192">
        <f ca="1"/>
      </c>
      <c r="BJ192">
        <f ca="1"/>
      </c>
      <c r="BK192">
        <f ca="1"/>
      </c>
      <c r="BL192">
        <f ca="1"/>
      </c>
      <c r="BM192">
        <f ca="1"/>
      </c>
      <c r="BN192">
        <f ca="1"/>
      </c>
      <c r="BO192">
        <f ca="1"/>
      </c>
      <c r="BP192">
        <f ca="1"/>
      </c>
      <c r="BQ192">
        <f ca="1"/>
      </c>
      <c r="BR192">
        <f ca="1"/>
      </c>
      <c r="BS192">
        <f ca="1"/>
      </c>
      <c r="BT192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BZ192">
        <f ca="1"/>
      </c>
      <c r="CA192">
        <f ca="1"/>
      </c>
      <c r="CB192">
        <f ca="1"/>
      </c>
      <c r="CC192">
        <f ca="1"/>
      </c>
      <c r="CD192">
        <f ca="1"/>
      </c>
      <c r="CE192">
        <f ca="1"/>
      </c>
      <c r="CF192">
        <f ca="1"/>
      </c>
      <c r="CG192">
        <f ca="1"/>
      </c>
      <c r="CH192">
        <f ca="1"/>
      </c>
      <c r="CI192">
        <f ca="1"/>
      </c>
      <c r="CK192">
        <f ca="1"/>
      </c>
      <c r="CL192">
        <f ca="1"/>
      </c>
      <c r="CM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F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B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  <c r="GA192">
        <f ca="1"/>
      </c>
      <c r="GM192" s="7">
        <f ca="1"/>
      </c>
      <c r="GN192">
        <f ca="1"/>
      </c>
      <c r="GO192">
        <f ca="1"/>
      </c>
      <c r="GP192">
        <f ca="1"/>
      </c>
      <c r="GQ192">
        <f ca="1"/>
      </c>
    </row>
    <row r="193" spans="41:199" x14ac:dyDescent="0.55000000000000004">
      <c r="AO193">
        <f ca="1"/>
      </c>
      <c r="AP193">
        <f ca="1"/>
      </c>
      <c r="AQ193">
        <f ca="1"/>
      </c>
      <c r="AR193">
        <f ca="1"/>
      </c>
      <c r="AS193">
        <f ca="1"/>
      </c>
      <c r="AT193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AZ193">
        <f ca="1"/>
      </c>
      <c r="BA193">
        <f ca="1"/>
      </c>
      <c r="BB193">
        <f ca="1"/>
      </c>
      <c r="BC193">
        <f ca="1"/>
      </c>
      <c r="BD193">
        <f ca="1"/>
      </c>
      <c r="BE193">
        <f ca="1"/>
      </c>
      <c r="BF193">
        <f ca="1"/>
      </c>
      <c r="BG193">
        <f ca="1"/>
      </c>
      <c r="BH193">
        <f ca="1"/>
      </c>
      <c r="BI193">
        <f ca="1"/>
      </c>
      <c r="BJ193">
        <f ca="1"/>
      </c>
      <c r="BK193">
        <f ca="1"/>
      </c>
      <c r="BL193">
        <f ca="1"/>
      </c>
      <c r="BM193">
        <f ca="1"/>
      </c>
      <c r="BN193">
        <f ca="1"/>
      </c>
      <c r="BO193">
        <f ca="1"/>
      </c>
      <c r="BP193">
        <f ca="1"/>
      </c>
      <c r="BQ193">
        <f ca="1"/>
      </c>
      <c r="BR193">
        <f ca="1"/>
      </c>
      <c r="BS193">
        <f ca="1"/>
      </c>
      <c r="BT193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BZ193">
        <f ca="1"/>
      </c>
      <c r="CA193">
        <f ca="1"/>
      </c>
      <c r="CB193">
        <f ca="1"/>
      </c>
      <c r="CC193">
        <f ca="1"/>
      </c>
      <c r="CD193">
        <f ca="1"/>
      </c>
      <c r="CE193">
        <f ca="1"/>
      </c>
      <c r="CF193">
        <f ca="1"/>
      </c>
      <c r="CG193">
        <f ca="1"/>
      </c>
      <c r="CH193">
        <f ca="1"/>
      </c>
      <c r="CI193">
        <f ca="1"/>
      </c>
      <c r="CK193">
        <f ca="1"/>
      </c>
      <c r="CL193">
        <f ca="1"/>
      </c>
      <c r="CM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F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B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  <c r="GA193">
        <f ca="1"/>
      </c>
      <c r="GM193" s="7">
        <f ca="1"/>
      </c>
      <c r="GN193">
        <f ca="1"/>
      </c>
      <c r="GO193">
        <f ca="1"/>
      </c>
      <c r="GP193">
        <f ca="1"/>
      </c>
      <c r="GQ193">
        <f ca="1"/>
      </c>
    </row>
    <row r="194" spans="41:199" x14ac:dyDescent="0.55000000000000004">
      <c r="AO194">
        <f ca="1"/>
      </c>
      <c r="AP194">
        <f ca="1"/>
      </c>
      <c r="AQ194">
        <f ca="1"/>
      </c>
      <c r="AR194">
        <f ca="1"/>
      </c>
      <c r="AS194">
        <f ca="1"/>
      </c>
      <c r="AT194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AZ194">
        <f ca="1"/>
      </c>
      <c r="BA194">
        <f ca="1"/>
      </c>
      <c r="BB194">
        <f ca="1"/>
      </c>
      <c r="BC194">
        <f ca="1"/>
      </c>
      <c r="BD194">
        <f ca="1"/>
      </c>
      <c r="BE194">
        <f ca="1"/>
      </c>
      <c r="BF194">
        <f ca="1"/>
      </c>
      <c r="BG194">
        <f ca="1"/>
      </c>
      <c r="BH194">
        <f ca="1"/>
      </c>
      <c r="BI194">
        <f ca="1"/>
      </c>
      <c r="BJ194">
        <f ca="1"/>
      </c>
      <c r="BK194">
        <f ca="1"/>
      </c>
      <c r="BL194">
        <f ca="1"/>
      </c>
      <c r="BM194">
        <f ca="1"/>
      </c>
      <c r="BN194">
        <f ca="1"/>
      </c>
      <c r="BO194">
        <f ca="1"/>
      </c>
      <c r="BP194">
        <f ca="1"/>
      </c>
      <c r="BQ194">
        <f ca="1"/>
      </c>
      <c r="BR194">
        <f ca="1"/>
      </c>
      <c r="BS194">
        <f ca="1"/>
      </c>
      <c r="BT194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BZ194">
        <f ca="1"/>
      </c>
      <c r="CA194">
        <f ca="1"/>
      </c>
      <c r="CB194">
        <f ca="1"/>
      </c>
      <c r="CC194">
        <f ca="1"/>
      </c>
      <c r="CD194">
        <f ca="1"/>
      </c>
      <c r="CE194">
        <f ca="1"/>
      </c>
      <c r="CF194">
        <f ca="1"/>
      </c>
      <c r="CG194">
        <f ca="1"/>
      </c>
      <c r="CH194">
        <f ca="1"/>
      </c>
      <c r="CI194">
        <f ca="1"/>
      </c>
      <c r="CK194">
        <f ca="1"/>
      </c>
      <c r="CL194">
        <f ca="1"/>
      </c>
      <c r="CM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F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B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  <c r="GA194">
        <f ca="1"/>
      </c>
      <c r="GM194" s="7">
        <f ca="1"/>
      </c>
      <c r="GN194">
        <f ca="1"/>
      </c>
      <c r="GO194">
        <f ca="1"/>
      </c>
      <c r="GP194">
        <f ca="1"/>
      </c>
      <c r="GQ194">
        <f ca="1"/>
      </c>
    </row>
    <row r="195" spans="41:199" x14ac:dyDescent="0.55000000000000004">
      <c r="AO195">
        <f ca="1"/>
      </c>
      <c r="AP195">
        <f ca="1"/>
      </c>
      <c r="AQ195">
        <f ca="1"/>
      </c>
      <c r="AR195">
        <f ca="1"/>
      </c>
      <c r="AS195">
        <f ca="1"/>
      </c>
      <c r="AT195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AZ195">
        <f ca="1"/>
      </c>
      <c r="BA195">
        <f ca="1"/>
      </c>
      <c r="BB195">
        <f ca="1"/>
      </c>
      <c r="BC195">
        <f ca="1"/>
      </c>
      <c r="BD195">
        <f ca="1"/>
      </c>
      <c r="BE195">
        <f ca="1"/>
      </c>
      <c r="BF195">
        <f ca="1"/>
      </c>
      <c r="BG195">
        <f ca="1"/>
      </c>
      <c r="BH195">
        <f ca="1"/>
      </c>
      <c r="BI195">
        <f ca="1"/>
      </c>
      <c r="BJ195">
        <f ca="1"/>
      </c>
      <c r="BK195">
        <f ca="1"/>
      </c>
      <c r="BL195">
        <f ca="1"/>
      </c>
      <c r="BM195">
        <f ca="1"/>
      </c>
      <c r="BN195">
        <f ca="1"/>
      </c>
      <c r="BO195">
        <f ca="1"/>
      </c>
      <c r="BP195">
        <f ca="1"/>
      </c>
      <c r="BQ195">
        <f ca="1"/>
      </c>
      <c r="BR195">
        <f ca="1"/>
      </c>
      <c r="BS195">
        <f ca="1"/>
      </c>
      <c r="BT195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BZ195">
        <f ca="1"/>
      </c>
      <c r="CA195">
        <f ca="1"/>
      </c>
      <c r="CB195">
        <f ca="1"/>
      </c>
      <c r="CC195">
        <f ca="1"/>
      </c>
      <c r="CD195">
        <f ca="1"/>
      </c>
      <c r="CE195">
        <f ca="1"/>
      </c>
      <c r="CF195">
        <f ca="1"/>
      </c>
      <c r="CG195">
        <f ca="1"/>
      </c>
      <c r="CH195">
        <f ca="1"/>
      </c>
      <c r="CI195">
        <f ca="1"/>
      </c>
      <c r="CK195">
        <f ca="1"/>
      </c>
      <c r="CL195">
        <f ca="1"/>
      </c>
      <c r="CM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F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B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  <c r="GA195">
        <f ca="1"/>
      </c>
      <c r="GM195" s="7">
        <f ca="1"/>
      </c>
      <c r="GN195">
        <f ca="1"/>
      </c>
      <c r="GO195">
        <f ca="1"/>
      </c>
      <c r="GP195">
        <f ca="1"/>
      </c>
      <c r="GQ195">
        <f ca="1"/>
      </c>
    </row>
    <row r="196" spans="41:199" x14ac:dyDescent="0.55000000000000004">
      <c r="AO196">
        <f ca="1"/>
      </c>
      <c r="AP196">
        <f ca="1"/>
      </c>
      <c r="AQ196">
        <f ca="1"/>
      </c>
      <c r="AR196">
        <f ca="1"/>
      </c>
      <c r="AS196">
        <f ca="1"/>
      </c>
      <c r="AT196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AZ196">
        <f ca="1"/>
      </c>
      <c r="BA196">
        <f ca="1"/>
      </c>
      <c r="BB196">
        <f ca="1"/>
      </c>
      <c r="BC196">
        <f ca="1"/>
      </c>
      <c r="BD196">
        <f ca="1"/>
      </c>
      <c r="BE196">
        <f ca="1"/>
      </c>
      <c r="BF196">
        <f ca="1"/>
      </c>
      <c r="BG196">
        <f ca="1"/>
      </c>
      <c r="BH196">
        <f ca="1"/>
      </c>
      <c r="BI196">
        <f ca="1"/>
      </c>
      <c r="BJ196">
        <f ca="1"/>
      </c>
      <c r="BK196">
        <f ca="1"/>
      </c>
      <c r="BL196">
        <f ca="1"/>
      </c>
      <c r="BM196">
        <f ca="1"/>
      </c>
      <c r="BN196">
        <f ca="1"/>
      </c>
      <c r="BO196">
        <f ca="1"/>
      </c>
      <c r="BP196">
        <f ca="1"/>
      </c>
      <c r="BQ196">
        <f ca="1"/>
      </c>
      <c r="BR196">
        <f ca="1"/>
      </c>
      <c r="BS196">
        <f ca="1"/>
      </c>
      <c r="BT196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BZ196">
        <f ca="1"/>
      </c>
      <c r="CA196">
        <f ca="1"/>
      </c>
      <c r="CB196">
        <f ca="1"/>
      </c>
      <c r="CC196">
        <f ca="1"/>
      </c>
      <c r="CD196">
        <f ca="1"/>
      </c>
      <c r="CE196">
        <f ca="1"/>
      </c>
      <c r="CF196">
        <f ca="1"/>
      </c>
      <c r="CG196">
        <f ca="1"/>
      </c>
      <c r="CH196">
        <f ca="1"/>
      </c>
      <c r="CI196">
        <f ca="1"/>
      </c>
      <c r="CK196">
        <f ca="1"/>
      </c>
      <c r="CL196">
        <f ca="1"/>
      </c>
      <c r="CM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F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B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  <c r="GA196">
        <f ca="1"/>
      </c>
      <c r="GM196" s="7">
        <f ca="1"/>
      </c>
      <c r="GN196">
        <f ca="1"/>
      </c>
      <c r="GO196">
        <f ca="1"/>
      </c>
      <c r="GP196">
        <f ca="1"/>
      </c>
      <c r="GQ196">
        <f ca="1"/>
      </c>
    </row>
    <row r="197" spans="41:199" x14ac:dyDescent="0.55000000000000004">
      <c r="AO197">
        <f ca="1"/>
      </c>
      <c r="AP197">
        <f ca="1"/>
      </c>
      <c r="AQ197">
        <f ca="1"/>
      </c>
      <c r="AR197">
        <f ca="1"/>
      </c>
      <c r="AS197">
        <f ca="1"/>
      </c>
      <c r="AT19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AZ197">
        <f ca="1"/>
      </c>
      <c r="BA197">
        <f ca="1"/>
      </c>
      <c r="BB197">
        <f ca="1"/>
      </c>
      <c r="BC197">
        <f ca="1"/>
      </c>
      <c r="BD197">
        <f ca="1"/>
      </c>
      <c r="BE197">
        <f ca="1"/>
      </c>
      <c r="BF197">
        <f ca="1"/>
      </c>
      <c r="BG197">
        <f ca="1"/>
      </c>
      <c r="BH197">
        <f ca="1"/>
      </c>
      <c r="BI197">
        <f ca="1"/>
      </c>
      <c r="BJ197">
        <f ca="1"/>
      </c>
      <c r="BK197">
        <f ca="1"/>
      </c>
      <c r="BL197">
        <f ca="1"/>
      </c>
      <c r="BM197">
        <f ca="1"/>
      </c>
      <c r="BN197">
        <f ca="1"/>
      </c>
      <c r="BO197">
        <f ca="1"/>
      </c>
      <c r="BP197">
        <f ca="1"/>
      </c>
      <c r="BQ197">
        <f ca="1"/>
      </c>
      <c r="BR197">
        <f ca="1"/>
      </c>
      <c r="BS197">
        <f ca="1"/>
      </c>
      <c r="BT197">
        <f ca="1"/>
      </c>
      <c r="BU197">
        <f ca="1"/>
      </c>
      <c r="BV197">
        <f ca="1"/>
      </c>
      <c r="BW197">
        <f ca="1"/>
      </c>
      <c r="BX197">
        <f ca="1"/>
      </c>
      <c r="BY197">
        <f ca="1"/>
      </c>
      <c r="BZ197">
        <f ca="1"/>
      </c>
      <c r="CA197">
        <f ca="1"/>
      </c>
      <c r="CB197">
        <f ca="1"/>
      </c>
      <c r="CC197">
        <f ca="1"/>
      </c>
      <c r="CD197">
        <f ca="1"/>
      </c>
      <c r="CE197">
        <f ca="1"/>
      </c>
      <c r="CF197">
        <f ca="1"/>
      </c>
      <c r="CG197">
        <f ca="1"/>
      </c>
      <c r="CH197">
        <f ca="1"/>
      </c>
      <c r="CI197">
        <f ca="1"/>
      </c>
      <c r="CK197">
        <f ca="1"/>
      </c>
      <c r="CL197">
        <f ca="1"/>
      </c>
      <c r="CM197">
        <f ca="1"/>
      </c>
      <c r="CN197">
        <f ca="1"/>
      </c>
      <c r="CO197">
        <f ca="1"/>
      </c>
      <c r="CP197">
        <f ca="1"/>
      </c>
      <c r="CQ197">
        <f ca="1"/>
      </c>
      <c r="CR197">
        <f ca="1"/>
      </c>
      <c r="CS197">
        <f ca="1"/>
      </c>
      <c r="CT197">
        <f ca="1"/>
      </c>
      <c r="CU197">
        <f ca="1"/>
      </c>
      <c r="CV197">
        <f ca="1"/>
      </c>
      <c r="CW197">
        <f ca="1"/>
      </c>
      <c r="CX197">
        <f ca="1"/>
      </c>
      <c r="CY197">
        <f ca="1"/>
      </c>
      <c r="CZ197">
        <f ca="1"/>
      </c>
      <c r="DA197">
        <f ca="1"/>
      </c>
      <c r="DB197">
        <f ca="1"/>
      </c>
      <c r="DC197">
        <f ca="1"/>
      </c>
      <c r="DD197">
        <f ca="1"/>
      </c>
      <c r="DE197">
        <f ca="1"/>
      </c>
      <c r="DF197">
        <f ca="1"/>
      </c>
      <c r="DG197">
        <f ca="1"/>
      </c>
      <c r="DH197">
        <f ca="1"/>
      </c>
      <c r="DI197">
        <f ca="1"/>
      </c>
      <c r="DJ197">
        <f ca="1"/>
      </c>
      <c r="DK197">
        <f ca="1"/>
      </c>
      <c r="DL197">
        <f ca="1"/>
      </c>
      <c r="DM197">
        <f ca="1"/>
      </c>
      <c r="DN197">
        <f ca="1"/>
      </c>
      <c r="DO197">
        <f ca="1"/>
      </c>
      <c r="DP197">
        <f ca="1"/>
      </c>
      <c r="DQ197">
        <f ca="1"/>
      </c>
      <c r="DR197">
        <f ca="1"/>
      </c>
      <c r="DS197">
        <f ca="1"/>
      </c>
      <c r="DT197">
        <f ca="1"/>
      </c>
      <c r="DU197">
        <f ca="1"/>
      </c>
      <c r="DV197">
        <f ca="1"/>
      </c>
      <c r="DW197">
        <f ca="1"/>
      </c>
      <c r="DX197">
        <f ca="1"/>
      </c>
      <c r="DY197">
        <f ca="1"/>
      </c>
      <c r="DZ197">
        <f ca="1"/>
      </c>
      <c r="EA197">
        <f ca="1"/>
      </c>
      <c r="EB197">
        <f ca="1"/>
      </c>
      <c r="EC197">
        <f ca="1"/>
      </c>
      <c r="ED197">
        <f ca="1"/>
      </c>
      <c r="EE197">
        <f ca="1"/>
      </c>
      <c r="EG197">
        <f ca="1"/>
      </c>
      <c r="EH197">
        <f ca="1"/>
      </c>
      <c r="EI197">
        <f ca="1"/>
      </c>
      <c r="EJ197">
        <f ca="1"/>
      </c>
      <c r="EK197">
        <f ca="1"/>
      </c>
      <c r="EL197">
        <f ca="1"/>
      </c>
      <c r="EM197">
        <f ca="1"/>
      </c>
      <c r="EN197">
        <f ca="1"/>
      </c>
      <c r="EO197">
        <f ca="1"/>
      </c>
      <c r="EP197">
        <f ca="1"/>
      </c>
      <c r="EQ197">
        <f ca="1"/>
      </c>
      <c r="ER197">
        <f ca="1"/>
      </c>
      <c r="ES197">
        <f ca="1"/>
      </c>
      <c r="ET197">
        <f ca="1"/>
      </c>
      <c r="EU197">
        <f ca="1"/>
      </c>
      <c r="EV197">
        <f ca="1"/>
      </c>
      <c r="EW197">
        <f ca="1"/>
      </c>
      <c r="EX197">
        <f ca="1"/>
      </c>
      <c r="EY197">
        <f ca="1"/>
      </c>
      <c r="EZ197">
        <f ca="1"/>
      </c>
      <c r="FA197">
        <f ca="1"/>
      </c>
      <c r="FB197">
        <f ca="1"/>
      </c>
      <c r="FC197">
        <f ca="1"/>
      </c>
      <c r="FD197">
        <f ca="1"/>
      </c>
      <c r="FE197">
        <f ca="1"/>
      </c>
      <c r="FF197">
        <f ca="1"/>
      </c>
      <c r="FG197">
        <f ca="1"/>
      </c>
      <c r="FH197">
        <f ca="1"/>
      </c>
      <c r="FI197">
        <f ca="1"/>
      </c>
      <c r="FJ197">
        <f ca="1"/>
      </c>
      <c r="FK197">
        <f ca="1"/>
      </c>
      <c r="FL197">
        <f ca="1"/>
      </c>
      <c r="FM197">
        <f ca="1"/>
      </c>
      <c r="FN197">
        <f ca="1"/>
      </c>
      <c r="FO197">
        <f ca="1"/>
      </c>
      <c r="FP197">
        <f ca="1"/>
      </c>
      <c r="FQ197">
        <f ca="1"/>
      </c>
      <c r="FR197">
        <f ca="1"/>
      </c>
      <c r="FS197">
        <f ca="1"/>
      </c>
      <c r="FT197">
        <f ca="1"/>
      </c>
      <c r="FU197">
        <f ca="1"/>
      </c>
      <c r="FV197">
        <f ca="1"/>
      </c>
      <c r="FW197">
        <f ca="1"/>
      </c>
      <c r="FX197">
        <f ca="1"/>
      </c>
      <c r="FY197">
        <f ca="1"/>
      </c>
      <c r="FZ197">
        <f ca="1"/>
      </c>
      <c r="GA197">
        <f ca="1"/>
      </c>
      <c r="GM197" s="7">
        <f ca="1"/>
      </c>
      <c r="GN197">
        <f ca="1"/>
      </c>
      <c r="GO197">
        <f ca="1"/>
      </c>
      <c r="GP197">
        <f ca="1"/>
      </c>
      <c r="GQ197">
        <f ca="1"/>
      </c>
    </row>
    <row r="198" spans="41:199" x14ac:dyDescent="0.55000000000000004">
      <c r="AO198">
        <f ca="1"/>
      </c>
      <c r="AP198">
        <f ca="1"/>
      </c>
      <c r="AQ198">
        <f ca="1"/>
      </c>
      <c r="AR198">
        <f ca="1"/>
      </c>
      <c r="AS198">
        <f ca="1"/>
      </c>
      <c r="AT198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AZ198">
        <f ca="1"/>
      </c>
      <c r="BA198">
        <f ca="1"/>
      </c>
      <c r="BB198">
        <f ca="1"/>
      </c>
      <c r="BC198">
        <f ca="1"/>
      </c>
      <c r="BD198">
        <f ca="1"/>
      </c>
      <c r="BE198">
        <f ca="1"/>
      </c>
      <c r="BF198">
        <f ca="1"/>
      </c>
      <c r="BG198">
        <f ca="1"/>
      </c>
      <c r="BH198">
        <f ca="1"/>
      </c>
      <c r="BI198">
        <f ca="1"/>
      </c>
      <c r="BJ198">
        <f ca="1"/>
      </c>
      <c r="BK198">
        <f ca="1"/>
      </c>
      <c r="BL198">
        <f ca="1"/>
      </c>
      <c r="BM198">
        <f ca="1"/>
      </c>
      <c r="BN198">
        <f ca="1"/>
      </c>
      <c r="BO198">
        <f ca="1"/>
      </c>
      <c r="BP198">
        <f ca="1"/>
      </c>
      <c r="BQ198">
        <f ca="1"/>
      </c>
      <c r="BR198">
        <f ca="1"/>
      </c>
      <c r="BS198">
        <f ca="1"/>
      </c>
      <c r="BT198">
        <f ca="1"/>
      </c>
      <c r="BU198">
        <f ca="1"/>
      </c>
      <c r="BV198">
        <f ca="1"/>
      </c>
      <c r="BW198">
        <f ca="1"/>
      </c>
      <c r="BX198">
        <f ca="1"/>
      </c>
      <c r="BY198">
        <f ca="1"/>
      </c>
      <c r="BZ198">
        <f ca="1"/>
      </c>
      <c r="CA198">
        <f ca="1"/>
      </c>
      <c r="CB198">
        <f ca="1"/>
      </c>
      <c r="CC198">
        <f ca="1"/>
      </c>
      <c r="CD198">
        <f ca="1"/>
      </c>
      <c r="CE198">
        <f ca="1"/>
      </c>
      <c r="CF198">
        <f ca="1"/>
      </c>
      <c r="CG198">
        <f ca="1"/>
      </c>
      <c r="CH198">
        <f ca="1"/>
      </c>
      <c r="CI198">
        <f ca="1"/>
      </c>
      <c r="CK198">
        <f ca="1"/>
      </c>
      <c r="CL198">
        <f ca="1"/>
      </c>
      <c r="CM198">
        <f ca="1"/>
      </c>
      <c r="CN198">
        <f ca="1"/>
      </c>
      <c r="CO198">
        <f ca="1"/>
      </c>
      <c r="CP198">
        <f ca="1"/>
      </c>
      <c r="CQ198">
        <f ca="1"/>
      </c>
      <c r="CR198">
        <f ca="1"/>
      </c>
      <c r="CS198">
        <f ca="1"/>
      </c>
      <c r="CT198">
        <f ca="1"/>
      </c>
      <c r="CU198">
        <f ca="1"/>
      </c>
      <c r="CV198">
        <f ca="1"/>
      </c>
      <c r="CW198">
        <f ca="1"/>
      </c>
      <c r="CX198">
        <f ca="1"/>
      </c>
      <c r="CY198">
        <f ca="1"/>
      </c>
      <c r="CZ198">
        <f ca="1"/>
      </c>
      <c r="DA198">
        <f ca="1"/>
      </c>
      <c r="DB198">
        <f ca="1"/>
      </c>
      <c r="DC198">
        <f ca="1"/>
      </c>
      <c r="DD198">
        <f ca="1"/>
      </c>
      <c r="DE198">
        <f ca="1"/>
      </c>
      <c r="DF198">
        <f ca="1"/>
      </c>
      <c r="DG198">
        <f ca="1"/>
      </c>
      <c r="DH198">
        <f ca="1"/>
      </c>
      <c r="DI198">
        <f ca="1"/>
      </c>
      <c r="DJ198">
        <f ca="1"/>
      </c>
      <c r="DK198">
        <f ca="1"/>
      </c>
      <c r="DL198">
        <f ca="1"/>
      </c>
      <c r="DM198">
        <f ca="1"/>
      </c>
      <c r="DN198">
        <f ca="1"/>
      </c>
      <c r="DO198">
        <f ca="1"/>
      </c>
      <c r="DP198">
        <f ca="1"/>
      </c>
      <c r="DQ198">
        <f ca="1"/>
      </c>
      <c r="DR198">
        <f ca="1"/>
      </c>
      <c r="DS198">
        <f ca="1"/>
      </c>
      <c r="DT198">
        <f ca="1"/>
      </c>
      <c r="DU198">
        <f ca="1"/>
      </c>
      <c r="DV198">
        <f ca="1"/>
      </c>
      <c r="DW198">
        <f ca="1"/>
      </c>
      <c r="DX198">
        <f ca="1"/>
      </c>
      <c r="DY198">
        <f ca="1"/>
      </c>
      <c r="DZ198">
        <f ca="1"/>
      </c>
      <c r="EA198">
        <f ca="1"/>
      </c>
      <c r="EB198">
        <f ca="1"/>
      </c>
      <c r="EC198">
        <f ca="1"/>
      </c>
      <c r="ED198">
        <f ca="1"/>
      </c>
      <c r="EE198">
        <f ca="1"/>
      </c>
      <c r="EG198">
        <f ca="1"/>
      </c>
      <c r="EH198">
        <f ca="1"/>
      </c>
      <c r="EI198">
        <f ca="1"/>
      </c>
      <c r="EJ198">
        <f ca="1"/>
      </c>
      <c r="EK198">
        <f ca="1"/>
      </c>
      <c r="EL198">
        <f ca="1"/>
      </c>
      <c r="EM198">
        <f ca="1"/>
      </c>
      <c r="EN198">
        <f ca="1"/>
      </c>
      <c r="EO198">
        <f ca="1"/>
      </c>
      <c r="EP198">
        <f ca="1"/>
      </c>
      <c r="EQ198">
        <f ca="1"/>
      </c>
      <c r="ER198">
        <f ca="1"/>
      </c>
      <c r="ES198">
        <f ca="1"/>
      </c>
      <c r="ET198">
        <f ca="1"/>
      </c>
      <c r="EU198">
        <f ca="1"/>
      </c>
      <c r="EV198">
        <f ca="1"/>
      </c>
      <c r="EW198">
        <f ca="1"/>
      </c>
      <c r="EX198">
        <f ca="1"/>
      </c>
      <c r="EY198">
        <f ca="1"/>
      </c>
      <c r="EZ198">
        <f ca="1"/>
      </c>
      <c r="FA198">
        <f ca="1"/>
      </c>
      <c r="FB198">
        <f ca="1"/>
      </c>
      <c r="FC198">
        <f ca="1"/>
      </c>
      <c r="FD198">
        <f ca="1"/>
      </c>
      <c r="FE198">
        <f ca="1"/>
      </c>
      <c r="FF198">
        <f ca="1"/>
      </c>
      <c r="FG198">
        <f ca="1"/>
      </c>
      <c r="FH198">
        <f ca="1"/>
      </c>
      <c r="FI198">
        <f ca="1"/>
      </c>
      <c r="FJ198">
        <f ca="1"/>
      </c>
      <c r="FK198">
        <f ca="1"/>
      </c>
      <c r="FL198">
        <f ca="1"/>
      </c>
      <c r="FM198">
        <f ca="1"/>
      </c>
      <c r="FN198">
        <f ca="1"/>
      </c>
      <c r="FO198">
        <f ca="1"/>
      </c>
      <c r="FP198">
        <f ca="1"/>
      </c>
      <c r="FQ198">
        <f ca="1"/>
      </c>
      <c r="FR198">
        <f ca="1"/>
      </c>
      <c r="FS198">
        <f ca="1"/>
      </c>
      <c r="FT198">
        <f ca="1"/>
      </c>
      <c r="FU198">
        <f ca="1"/>
      </c>
      <c r="FV198">
        <f ca="1"/>
      </c>
      <c r="FW198">
        <f ca="1"/>
      </c>
      <c r="FX198">
        <f ca="1"/>
      </c>
      <c r="FY198">
        <f ca="1"/>
      </c>
      <c r="FZ198">
        <f ca="1"/>
      </c>
      <c r="GA198">
        <f ca="1"/>
      </c>
      <c r="GM198" s="7">
        <f ca="1"/>
      </c>
      <c r="GN198">
        <f ca="1"/>
      </c>
      <c r="GO198">
        <f ca="1"/>
      </c>
      <c r="GP198">
        <f ca="1"/>
      </c>
      <c r="GQ198">
        <f ca="1"/>
      </c>
    </row>
    <row r="199" spans="41:199" x14ac:dyDescent="0.55000000000000004">
      <c r="AO199">
        <f ca="1"/>
      </c>
      <c r="AP199">
        <f ca="1"/>
      </c>
      <c r="AQ199">
        <f ca="1"/>
      </c>
      <c r="AR199">
        <f ca="1"/>
      </c>
      <c r="AS199">
        <f ca="1"/>
      </c>
      <c r="AT199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AZ199">
        <f ca="1"/>
      </c>
      <c r="BA199">
        <f ca="1"/>
      </c>
      <c r="BB199">
        <f ca="1"/>
      </c>
      <c r="BC199">
        <f ca="1"/>
      </c>
      <c r="BD199">
        <f ca="1"/>
      </c>
      <c r="BE199">
        <f ca="1"/>
      </c>
      <c r="BF199">
        <f ca="1"/>
      </c>
      <c r="BG199">
        <f ca="1"/>
      </c>
      <c r="BH199">
        <f ca="1"/>
      </c>
      <c r="BI199">
        <f ca="1"/>
      </c>
      <c r="BJ199">
        <f ca="1"/>
      </c>
      <c r="BK199">
        <f ca="1"/>
      </c>
      <c r="BL199">
        <f ca="1"/>
      </c>
      <c r="BM199">
        <f ca="1"/>
      </c>
      <c r="BN199">
        <f ca="1"/>
      </c>
      <c r="BO199">
        <f ca="1"/>
      </c>
      <c r="BP199">
        <f ca="1"/>
      </c>
      <c r="BQ199">
        <f ca="1"/>
      </c>
      <c r="BR199">
        <f ca="1"/>
      </c>
      <c r="BS199">
        <f ca="1"/>
      </c>
      <c r="BT199">
        <f ca="1"/>
      </c>
      <c r="BU199">
        <f ca="1"/>
      </c>
      <c r="BV199">
        <f ca="1"/>
      </c>
      <c r="BW199">
        <f ca="1"/>
      </c>
      <c r="BX199">
        <f ca="1"/>
      </c>
      <c r="BY199">
        <f ca="1"/>
      </c>
      <c r="BZ199">
        <f ca="1"/>
      </c>
      <c r="CA199">
        <f ca="1"/>
      </c>
      <c r="CB199">
        <f ca="1"/>
      </c>
      <c r="CC199">
        <f ca="1"/>
      </c>
      <c r="CD199">
        <f ca="1"/>
      </c>
      <c r="CE199">
        <f ca="1"/>
      </c>
      <c r="CF199">
        <f ca="1"/>
      </c>
      <c r="CG199">
        <f ca="1"/>
      </c>
      <c r="CH199">
        <f ca="1"/>
      </c>
      <c r="CI199">
        <f ca="1"/>
      </c>
      <c r="CK199">
        <f ca="1"/>
      </c>
      <c r="CL199">
        <f ca="1"/>
      </c>
      <c r="CM199">
        <f ca="1"/>
      </c>
      <c r="CN199">
        <f ca="1"/>
      </c>
      <c r="CO199">
        <f ca="1"/>
      </c>
      <c r="CP199">
        <f ca="1"/>
      </c>
      <c r="CQ199">
        <f ca="1"/>
      </c>
      <c r="CR199">
        <f ca="1"/>
      </c>
      <c r="CS199">
        <f ca="1"/>
      </c>
      <c r="CT199">
        <f ca="1"/>
      </c>
      <c r="CU199">
        <f ca="1"/>
      </c>
      <c r="CV199">
        <f ca="1"/>
      </c>
      <c r="CW199">
        <f ca="1"/>
      </c>
      <c r="CX199">
        <f ca="1"/>
      </c>
      <c r="CY199">
        <f ca="1"/>
      </c>
      <c r="CZ199">
        <f ca="1"/>
      </c>
      <c r="DA199">
        <f ca="1"/>
      </c>
      <c r="DB199">
        <f ca="1"/>
      </c>
      <c r="DC199">
        <f ca="1"/>
      </c>
      <c r="DD199">
        <f ca="1"/>
      </c>
      <c r="DE199">
        <f ca="1"/>
      </c>
      <c r="DF199">
        <f ca="1"/>
      </c>
      <c r="DG199">
        <f ca="1"/>
      </c>
      <c r="DH199">
        <f ca="1"/>
      </c>
      <c r="DI199">
        <f ca="1"/>
      </c>
      <c r="DJ199">
        <f ca="1"/>
      </c>
      <c r="DK199">
        <f ca="1"/>
      </c>
      <c r="DL199">
        <f ca="1"/>
      </c>
      <c r="DM199">
        <f ca="1"/>
      </c>
      <c r="DN199">
        <f ca="1"/>
      </c>
      <c r="DO199">
        <f ca="1"/>
      </c>
      <c r="DP199">
        <f ca="1"/>
      </c>
      <c r="DQ199">
        <f ca="1"/>
      </c>
      <c r="DR199">
        <f ca="1"/>
      </c>
      <c r="DS199">
        <f ca="1"/>
      </c>
      <c r="DT199">
        <f ca="1"/>
      </c>
      <c r="DU199">
        <f ca="1"/>
      </c>
      <c r="DV199">
        <f ca="1"/>
      </c>
      <c r="DW199">
        <f ca="1"/>
      </c>
      <c r="DX199">
        <f ca="1"/>
      </c>
      <c r="DY199">
        <f ca="1"/>
      </c>
      <c r="DZ199">
        <f ca="1"/>
      </c>
      <c r="EA199">
        <f ca="1"/>
      </c>
      <c r="EB199">
        <f ca="1"/>
      </c>
      <c r="EC199">
        <f ca="1"/>
      </c>
      <c r="ED199">
        <f ca="1"/>
      </c>
      <c r="EE199">
        <f ca="1"/>
      </c>
      <c r="EG199">
        <f ca="1"/>
      </c>
      <c r="EH199">
        <f ca="1"/>
      </c>
      <c r="EI199">
        <f ca="1"/>
      </c>
      <c r="EJ199">
        <f ca="1"/>
      </c>
      <c r="EK199">
        <f ca="1"/>
      </c>
      <c r="EL199">
        <f ca="1"/>
      </c>
      <c r="EM199">
        <f ca="1"/>
      </c>
      <c r="EN199">
        <f ca="1"/>
      </c>
      <c r="EO199">
        <f ca="1"/>
      </c>
      <c r="EP199">
        <f ca="1"/>
      </c>
      <c r="EQ199">
        <f ca="1"/>
      </c>
      <c r="ER199">
        <f ca="1"/>
      </c>
      <c r="ES199">
        <f ca="1"/>
      </c>
      <c r="ET199">
        <f ca="1"/>
      </c>
      <c r="EU199">
        <f ca="1"/>
      </c>
      <c r="EV199">
        <f ca="1"/>
      </c>
      <c r="EW199">
        <f ca="1"/>
      </c>
      <c r="EX199">
        <f ca="1"/>
      </c>
      <c r="EY199">
        <f ca="1"/>
      </c>
      <c r="EZ199">
        <f ca="1"/>
      </c>
      <c r="FA199">
        <f ca="1"/>
      </c>
      <c r="FB199">
        <f ca="1"/>
      </c>
      <c r="FC199">
        <f ca="1"/>
      </c>
      <c r="FD199">
        <f ca="1"/>
      </c>
      <c r="FE199">
        <f ca="1"/>
      </c>
      <c r="FF199">
        <f ca="1"/>
      </c>
      <c r="FG199">
        <f ca="1"/>
      </c>
      <c r="FH199">
        <f ca="1"/>
      </c>
      <c r="FI199">
        <f ca="1"/>
      </c>
      <c r="FJ199">
        <f ca="1"/>
      </c>
      <c r="FK199">
        <f ca="1"/>
      </c>
      <c r="FL199">
        <f ca="1"/>
      </c>
      <c r="FM199">
        <f ca="1"/>
      </c>
      <c r="FN199">
        <f ca="1"/>
      </c>
      <c r="FO199">
        <f ca="1"/>
      </c>
      <c r="FP199">
        <f ca="1"/>
      </c>
      <c r="FQ199">
        <f ca="1"/>
      </c>
      <c r="FR199">
        <f ca="1"/>
      </c>
      <c r="FS199">
        <f ca="1"/>
      </c>
      <c r="FT199">
        <f ca="1"/>
      </c>
      <c r="FU199">
        <f ca="1"/>
      </c>
      <c r="FV199">
        <f ca="1"/>
      </c>
      <c r="FW199">
        <f ca="1"/>
      </c>
      <c r="FX199">
        <f ca="1"/>
      </c>
      <c r="FY199">
        <f ca="1"/>
      </c>
      <c r="FZ199">
        <f ca="1"/>
      </c>
      <c r="GA199">
        <f ca="1"/>
      </c>
      <c r="GM199" s="7">
        <f ca="1"/>
      </c>
      <c r="GN199">
        <f ca="1"/>
      </c>
      <c r="GO199">
        <f ca="1"/>
      </c>
      <c r="GP199">
        <f ca="1"/>
      </c>
      <c r="GQ199">
        <f ca="1"/>
      </c>
    </row>
    <row r="200" spans="41:199" x14ac:dyDescent="0.55000000000000004">
      <c r="AO200">
        <f ca="1"/>
      </c>
      <c r="AP200">
        <f ca="1"/>
      </c>
      <c r="AQ200">
        <f ca="1"/>
      </c>
      <c r="AR200">
        <f ca="1"/>
      </c>
      <c r="AS200">
        <f ca="1"/>
      </c>
      <c r="AT200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AZ200">
        <f ca="1"/>
      </c>
      <c r="BA200">
        <f ca="1"/>
      </c>
      <c r="BB200">
        <f ca="1"/>
      </c>
      <c r="BC200">
        <f ca="1"/>
      </c>
      <c r="BD200">
        <f ca="1"/>
      </c>
      <c r="BE200">
        <f ca="1"/>
      </c>
      <c r="BF200">
        <f ca="1"/>
      </c>
      <c r="BG200">
        <f ca="1"/>
      </c>
      <c r="BH200">
        <f ca="1"/>
      </c>
      <c r="BI200">
        <f ca="1"/>
      </c>
      <c r="BJ200">
        <f ca="1"/>
      </c>
      <c r="BK200">
        <f ca="1"/>
      </c>
      <c r="BL200">
        <f ca="1"/>
      </c>
      <c r="BM200">
        <f ca="1"/>
      </c>
      <c r="BN200">
        <f ca="1"/>
      </c>
      <c r="BO200">
        <f ca="1"/>
      </c>
      <c r="BP200">
        <f ca="1"/>
      </c>
      <c r="BQ200">
        <f ca="1"/>
      </c>
      <c r="BR200">
        <f ca="1"/>
      </c>
      <c r="BS200">
        <f ca="1"/>
      </c>
      <c r="BT200">
        <f ca="1"/>
      </c>
      <c r="BU200">
        <f ca="1"/>
      </c>
      <c r="BV200">
        <f ca="1"/>
      </c>
      <c r="BW200">
        <f ca="1"/>
      </c>
      <c r="BX200">
        <f ca="1"/>
      </c>
      <c r="BY200">
        <f ca="1"/>
      </c>
      <c r="BZ200">
        <f ca="1"/>
      </c>
      <c r="CA200">
        <f ca="1"/>
      </c>
      <c r="CB200">
        <f ca="1"/>
      </c>
      <c r="CC200">
        <f ca="1"/>
      </c>
      <c r="CD200">
        <f ca="1"/>
      </c>
      <c r="CE200">
        <f ca="1"/>
      </c>
      <c r="CF200">
        <f ca="1"/>
      </c>
      <c r="CG200">
        <f ca="1"/>
      </c>
      <c r="CH200">
        <f ca="1"/>
      </c>
      <c r="CI200">
        <f ca="1"/>
      </c>
      <c r="CK200">
        <f ca="1"/>
      </c>
      <c r="CL200">
        <f ca="1"/>
      </c>
      <c r="CM200">
        <f ca="1"/>
      </c>
      <c r="CN200">
        <f ca="1"/>
      </c>
      <c r="CO200">
        <f ca="1"/>
      </c>
      <c r="CP200">
        <f ca="1"/>
      </c>
      <c r="CQ200">
        <f ca="1"/>
      </c>
      <c r="CR200">
        <f ca="1"/>
      </c>
      <c r="CS200">
        <f ca="1"/>
      </c>
      <c r="CT200">
        <f ca="1"/>
      </c>
      <c r="CU200">
        <f ca="1"/>
      </c>
      <c r="CV200">
        <f ca="1"/>
      </c>
      <c r="CW200">
        <f ca="1"/>
      </c>
      <c r="CX200">
        <f ca="1"/>
      </c>
      <c r="CY200">
        <f ca="1"/>
      </c>
      <c r="CZ200">
        <f ca="1"/>
      </c>
      <c r="DA200">
        <f ca="1"/>
      </c>
      <c r="DB200">
        <f ca="1"/>
      </c>
      <c r="DC200">
        <f ca="1"/>
      </c>
      <c r="DD200">
        <f ca="1"/>
      </c>
      <c r="DE200">
        <f ca="1"/>
      </c>
      <c r="DF200">
        <f ca="1"/>
      </c>
      <c r="DG200">
        <f ca="1"/>
      </c>
      <c r="DH200">
        <f ca="1"/>
      </c>
      <c r="DI200">
        <f ca="1"/>
      </c>
      <c r="DJ200">
        <f ca="1"/>
      </c>
      <c r="DK200">
        <f ca="1"/>
      </c>
      <c r="DL200">
        <f ca="1"/>
      </c>
      <c r="DM200">
        <f ca="1"/>
      </c>
      <c r="DN200">
        <f ca="1"/>
      </c>
      <c r="DO200">
        <f ca="1"/>
      </c>
      <c r="DP200">
        <f ca="1"/>
      </c>
      <c r="DQ200">
        <f ca="1"/>
      </c>
      <c r="DR200">
        <f ca="1"/>
      </c>
      <c r="DS200">
        <f ca="1"/>
      </c>
      <c r="DT200">
        <f ca="1"/>
      </c>
      <c r="DU200">
        <f ca="1"/>
      </c>
      <c r="DV200">
        <f ca="1"/>
      </c>
      <c r="DW200">
        <f ca="1"/>
      </c>
      <c r="DX200">
        <f ca="1"/>
      </c>
      <c r="DY200">
        <f ca="1"/>
      </c>
      <c r="DZ200">
        <f ca="1"/>
      </c>
      <c r="EA200">
        <f ca="1"/>
      </c>
      <c r="EB200">
        <f ca="1"/>
      </c>
      <c r="EC200">
        <f ca="1"/>
      </c>
      <c r="ED200">
        <f ca="1"/>
      </c>
      <c r="EE200">
        <f ca="1"/>
      </c>
      <c r="EG200">
        <f ca="1"/>
      </c>
      <c r="EH200">
        <f ca="1"/>
      </c>
      <c r="EI200">
        <f ca="1"/>
      </c>
      <c r="EJ200">
        <f ca="1"/>
      </c>
      <c r="EK200">
        <f ca="1"/>
      </c>
      <c r="EL200">
        <f ca="1"/>
      </c>
      <c r="EM200">
        <f ca="1"/>
      </c>
      <c r="EN200">
        <f ca="1"/>
      </c>
      <c r="EO200">
        <f ca="1"/>
      </c>
      <c r="EP200">
        <f ca="1"/>
      </c>
      <c r="EQ200">
        <f ca="1"/>
      </c>
      <c r="ER200">
        <f ca="1"/>
      </c>
      <c r="ES200">
        <f ca="1"/>
      </c>
      <c r="ET200">
        <f ca="1"/>
      </c>
      <c r="EU200">
        <f ca="1"/>
      </c>
      <c r="EV200">
        <f ca="1"/>
      </c>
      <c r="EW200">
        <f ca="1"/>
      </c>
      <c r="EX200">
        <f ca="1"/>
      </c>
      <c r="EY200">
        <f ca="1"/>
      </c>
      <c r="EZ200">
        <f ca="1"/>
      </c>
      <c r="FA200">
        <f ca="1"/>
      </c>
      <c r="FB200">
        <f ca="1"/>
      </c>
      <c r="FC200">
        <f ca="1"/>
      </c>
      <c r="FD200">
        <f ca="1"/>
      </c>
      <c r="FE200">
        <f ca="1"/>
      </c>
      <c r="FF200">
        <f ca="1"/>
      </c>
      <c r="FG200">
        <f ca="1"/>
      </c>
      <c r="FH200">
        <f ca="1"/>
      </c>
      <c r="FI200">
        <f ca="1"/>
      </c>
      <c r="FJ200">
        <f ca="1"/>
      </c>
      <c r="FK200">
        <f ca="1"/>
      </c>
      <c r="FL200">
        <f ca="1"/>
      </c>
      <c r="FM200">
        <f ca="1"/>
      </c>
      <c r="FN200">
        <f ca="1"/>
      </c>
      <c r="FO200">
        <f ca="1"/>
      </c>
      <c r="FP200">
        <f ca="1"/>
      </c>
      <c r="FQ200">
        <f ca="1"/>
      </c>
      <c r="FR200">
        <f ca="1"/>
      </c>
      <c r="FS200">
        <f ca="1"/>
      </c>
      <c r="FT200">
        <f ca="1"/>
      </c>
      <c r="FU200">
        <f ca="1"/>
      </c>
      <c r="FV200">
        <f ca="1"/>
      </c>
      <c r="FW200">
        <f ca="1"/>
      </c>
      <c r="FX200">
        <f ca="1"/>
      </c>
      <c r="FY200">
        <f ca="1"/>
      </c>
      <c r="FZ200">
        <f ca="1"/>
      </c>
      <c r="GA200">
        <f ca="1"/>
      </c>
      <c r="GM200" s="7">
        <f ca="1"/>
      </c>
      <c r="GN200">
        <f ca="1"/>
      </c>
      <c r="GO200">
        <f ca="1"/>
      </c>
      <c r="GP200">
        <f ca="1"/>
      </c>
      <c r="GQ200">
        <f ca="1"/>
      </c>
    </row>
    <row r="201" spans="41:199" x14ac:dyDescent="0.55000000000000004">
      <c r="AO201">
        <f ca="1"/>
      </c>
      <c r="AP201">
        <f ca="1"/>
      </c>
      <c r="AQ201">
        <f ca="1"/>
      </c>
      <c r="AR201">
        <f ca="1"/>
      </c>
      <c r="AS201">
        <f ca="1"/>
      </c>
      <c r="AT201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AZ201">
        <f ca="1"/>
      </c>
      <c r="BA201">
        <f ca="1"/>
      </c>
      <c r="BB201">
        <f ca="1"/>
      </c>
      <c r="BC201">
        <f ca="1"/>
      </c>
      <c r="BD201">
        <f ca="1"/>
      </c>
      <c r="BE201">
        <f ca="1"/>
      </c>
      <c r="BF201">
        <f ca="1"/>
      </c>
      <c r="BG201">
        <f ca="1"/>
      </c>
      <c r="BH201">
        <f ca="1"/>
      </c>
      <c r="BI201">
        <f ca="1"/>
      </c>
      <c r="BJ201">
        <f ca="1"/>
      </c>
      <c r="BK201">
        <f ca="1"/>
      </c>
      <c r="BL201">
        <f ca="1"/>
      </c>
      <c r="BM201">
        <f ca="1"/>
      </c>
      <c r="BN201">
        <f ca="1"/>
      </c>
      <c r="BO201">
        <f ca="1"/>
      </c>
      <c r="BP201">
        <f ca="1"/>
      </c>
      <c r="BQ201">
        <f ca="1"/>
      </c>
      <c r="BR201">
        <f ca="1"/>
      </c>
      <c r="BS201">
        <f ca="1"/>
      </c>
      <c r="BT201">
        <f ca="1"/>
      </c>
      <c r="BU201">
        <f ca="1"/>
      </c>
      <c r="BV201">
        <f ca="1"/>
      </c>
      <c r="BW201">
        <f ca="1"/>
      </c>
      <c r="BX201">
        <f ca="1"/>
      </c>
      <c r="BY201">
        <f ca="1"/>
      </c>
      <c r="BZ201">
        <f ca="1"/>
      </c>
      <c r="CA201">
        <f ca="1"/>
      </c>
      <c r="CB201">
        <f ca="1"/>
      </c>
      <c r="CC201">
        <f ca="1"/>
      </c>
      <c r="CD201">
        <f ca="1"/>
      </c>
      <c r="CE201">
        <f ca="1"/>
      </c>
      <c r="CF201">
        <f ca="1"/>
      </c>
      <c r="CG201">
        <f ca="1"/>
      </c>
      <c r="CH201">
        <f ca="1"/>
      </c>
      <c r="CI201">
        <f ca="1"/>
      </c>
      <c r="CK201">
        <f ca="1"/>
      </c>
      <c r="CL201">
        <f ca="1"/>
      </c>
      <c r="CM201">
        <f ca="1"/>
      </c>
      <c r="CN201">
        <f ca="1"/>
      </c>
      <c r="CO201">
        <f ca="1"/>
      </c>
      <c r="CP201">
        <f ca="1"/>
      </c>
      <c r="CQ201">
        <f ca="1"/>
      </c>
      <c r="CR201">
        <f ca="1"/>
      </c>
      <c r="CS201">
        <f ca="1"/>
      </c>
      <c r="CT201">
        <f ca="1"/>
      </c>
      <c r="CU201">
        <f ca="1"/>
      </c>
      <c r="CV201">
        <f ca="1"/>
      </c>
      <c r="CW201">
        <f ca="1"/>
      </c>
      <c r="CX201">
        <f ca="1"/>
      </c>
      <c r="CY201">
        <f ca="1"/>
      </c>
      <c r="CZ201">
        <f ca="1"/>
      </c>
      <c r="DA201">
        <f ca="1"/>
      </c>
      <c r="DB201">
        <f ca="1"/>
      </c>
      <c r="DC201">
        <f ca="1"/>
      </c>
      <c r="DD201">
        <f ca="1"/>
      </c>
      <c r="DE201">
        <f ca="1"/>
      </c>
      <c r="DF201">
        <f ca="1"/>
      </c>
      <c r="DG201">
        <f ca="1"/>
      </c>
      <c r="DH201">
        <f ca="1"/>
      </c>
      <c r="DI201">
        <f ca="1"/>
      </c>
      <c r="DJ201">
        <f ca="1"/>
      </c>
      <c r="DK201">
        <f ca="1"/>
      </c>
      <c r="DL201">
        <f ca="1"/>
      </c>
      <c r="DM201">
        <f ca="1"/>
      </c>
      <c r="DN201">
        <f ca="1"/>
      </c>
      <c r="DO201">
        <f ca="1"/>
      </c>
      <c r="DP201">
        <f ca="1"/>
      </c>
      <c r="DQ201">
        <f ca="1"/>
      </c>
      <c r="DR201">
        <f ca="1"/>
      </c>
      <c r="DS201">
        <f ca="1"/>
      </c>
      <c r="DT201">
        <f ca="1"/>
      </c>
      <c r="DU201">
        <f ca="1"/>
      </c>
      <c r="DV201">
        <f ca="1"/>
      </c>
      <c r="DW201">
        <f ca="1"/>
      </c>
      <c r="DX201">
        <f ca="1"/>
      </c>
      <c r="DY201">
        <f ca="1"/>
      </c>
      <c r="DZ201">
        <f ca="1"/>
      </c>
      <c r="EA201">
        <f ca="1"/>
      </c>
      <c r="EB201">
        <f ca="1"/>
      </c>
      <c r="EC201">
        <f ca="1"/>
      </c>
      <c r="ED201">
        <f ca="1"/>
      </c>
      <c r="EE201">
        <f ca="1"/>
      </c>
      <c r="EG201">
        <f ca="1"/>
      </c>
      <c r="EH201">
        <f ca="1"/>
      </c>
      <c r="EI201">
        <f ca="1"/>
      </c>
      <c r="EJ201">
        <f ca="1"/>
      </c>
      <c r="EK201">
        <f ca="1"/>
      </c>
      <c r="EL201">
        <f ca="1"/>
      </c>
      <c r="EM201">
        <f ca="1"/>
      </c>
      <c r="EN201">
        <f ca="1"/>
      </c>
      <c r="EO201">
        <f ca="1"/>
      </c>
      <c r="EP201">
        <f ca="1"/>
      </c>
      <c r="EQ201">
        <f ca="1"/>
      </c>
      <c r="ER201">
        <f ca="1"/>
      </c>
      <c r="ES201">
        <f ca="1"/>
      </c>
      <c r="ET201">
        <f ca="1"/>
      </c>
      <c r="EU201">
        <f ca="1"/>
      </c>
      <c r="EV201">
        <f ca="1"/>
      </c>
      <c r="EW201">
        <f ca="1"/>
      </c>
      <c r="EX201">
        <f ca="1"/>
      </c>
      <c r="EY201">
        <f ca="1"/>
      </c>
      <c r="EZ201">
        <f ca="1"/>
      </c>
      <c r="FA201">
        <f ca="1"/>
      </c>
      <c r="FB201">
        <f ca="1"/>
      </c>
      <c r="FC201">
        <f ca="1"/>
      </c>
      <c r="FD201">
        <f ca="1"/>
      </c>
      <c r="FE201">
        <f ca="1"/>
      </c>
      <c r="FF201">
        <f ca="1"/>
      </c>
      <c r="FG201">
        <f ca="1"/>
      </c>
      <c r="FH201">
        <f ca="1"/>
      </c>
      <c r="FI201">
        <f ca="1"/>
      </c>
      <c r="FJ201">
        <f ca="1"/>
      </c>
      <c r="FK201">
        <f ca="1"/>
      </c>
      <c r="FL201">
        <f ca="1"/>
      </c>
      <c r="FM201">
        <f ca="1"/>
      </c>
      <c r="FN201">
        <f ca="1"/>
      </c>
      <c r="FO201">
        <f ca="1"/>
      </c>
      <c r="FP201">
        <f ca="1"/>
      </c>
      <c r="FQ201">
        <f ca="1"/>
      </c>
      <c r="FR201">
        <f ca="1"/>
      </c>
      <c r="FS201">
        <f ca="1"/>
      </c>
      <c r="FT201">
        <f ca="1"/>
      </c>
      <c r="FU201">
        <f ca="1"/>
      </c>
      <c r="FV201">
        <f ca="1"/>
      </c>
      <c r="FW201">
        <f ca="1"/>
      </c>
      <c r="FX201">
        <f ca="1"/>
      </c>
      <c r="FY201">
        <f ca="1"/>
      </c>
      <c r="FZ201">
        <f ca="1"/>
      </c>
      <c r="GA201">
        <f ca="1"/>
      </c>
      <c r="GM201" s="7">
        <f ca="1"/>
      </c>
      <c r="GN201">
        <f ca="1"/>
      </c>
      <c r="GO201">
        <f ca="1"/>
      </c>
      <c r="GP201">
        <f ca="1"/>
      </c>
      <c r="GQ201">
        <f ca="1"/>
      </c>
    </row>
    <row r="202" spans="41:199" x14ac:dyDescent="0.55000000000000004">
      <c r="AO202">
        <f ca="1"/>
      </c>
      <c r="AP202">
        <f ca="1"/>
      </c>
      <c r="AQ202">
        <f ca="1"/>
      </c>
      <c r="AR202">
        <f ca="1"/>
      </c>
      <c r="AS202">
        <f ca="1"/>
      </c>
      <c r="AT202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AZ202">
        <f ca="1"/>
      </c>
      <c r="BA202">
        <f ca="1"/>
      </c>
      <c r="BB202">
        <f ca="1"/>
      </c>
      <c r="BC202">
        <f ca="1"/>
      </c>
      <c r="BD202">
        <f ca="1"/>
      </c>
      <c r="BE202">
        <f ca="1"/>
      </c>
      <c r="BF202">
        <f ca="1"/>
      </c>
      <c r="BG202">
        <f ca="1"/>
      </c>
      <c r="BH202">
        <f ca="1"/>
      </c>
      <c r="BI202">
        <f ca="1"/>
      </c>
      <c r="BJ202">
        <f ca="1"/>
      </c>
      <c r="BK202">
        <f ca="1"/>
      </c>
      <c r="BL202">
        <f ca="1"/>
      </c>
      <c r="BM202">
        <f ca="1"/>
      </c>
      <c r="BN202">
        <f ca="1"/>
      </c>
      <c r="BO202">
        <f ca="1"/>
      </c>
      <c r="BP202">
        <f ca="1"/>
      </c>
      <c r="BQ202">
        <f ca="1"/>
      </c>
      <c r="BR202">
        <f ca="1"/>
      </c>
      <c r="BS202">
        <f ca="1"/>
      </c>
      <c r="BT202">
        <f ca="1"/>
      </c>
      <c r="BU202">
        <f ca="1"/>
      </c>
      <c r="BV202">
        <f ca="1"/>
      </c>
      <c r="BW202">
        <f ca="1"/>
      </c>
      <c r="BX202">
        <f ca="1"/>
      </c>
      <c r="BY202">
        <f ca="1"/>
      </c>
      <c r="BZ202">
        <f ca="1"/>
      </c>
      <c r="CA202">
        <f ca="1"/>
      </c>
      <c r="CB202">
        <f ca="1"/>
      </c>
      <c r="CC202">
        <f ca="1"/>
      </c>
      <c r="CD202">
        <f ca="1"/>
      </c>
      <c r="CE202">
        <f ca="1"/>
      </c>
      <c r="CF202">
        <f ca="1"/>
      </c>
      <c r="CG202">
        <f ca="1"/>
      </c>
      <c r="CH202">
        <f ca="1"/>
      </c>
      <c r="CI202">
        <f ca="1"/>
      </c>
      <c r="CK202">
        <f ca="1"/>
      </c>
      <c r="CL202">
        <f ca="1"/>
      </c>
      <c r="CM202">
        <f ca="1"/>
      </c>
      <c r="CN202">
        <f ca="1"/>
      </c>
      <c r="CO202">
        <f ca="1"/>
      </c>
      <c r="CP202">
        <f ca="1"/>
      </c>
      <c r="CQ202">
        <f ca="1"/>
      </c>
      <c r="CR202">
        <f ca="1"/>
      </c>
      <c r="CS202">
        <f ca="1"/>
      </c>
      <c r="CT202">
        <f ca="1"/>
      </c>
      <c r="CU202">
        <f ca="1"/>
      </c>
      <c r="CV202">
        <f ca="1"/>
      </c>
      <c r="CW202">
        <f ca="1"/>
      </c>
      <c r="CX202">
        <f ca="1"/>
      </c>
      <c r="CY202">
        <f ca="1"/>
      </c>
      <c r="CZ202">
        <f ca="1"/>
      </c>
      <c r="DA202">
        <f ca="1"/>
      </c>
      <c r="DB202">
        <f ca="1"/>
      </c>
      <c r="DC202">
        <f ca="1"/>
      </c>
      <c r="DD202">
        <f ca="1"/>
      </c>
      <c r="DE202">
        <f ca="1"/>
      </c>
      <c r="DF202">
        <f ca="1"/>
      </c>
      <c r="DG202">
        <f ca="1"/>
      </c>
      <c r="DH202">
        <f ca="1"/>
      </c>
      <c r="DI202">
        <f ca="1"/>
      </c>
      <c r="DJ202">
        <f ca="1"/>
      </c>
      <c r="DK202">
        <f ca="1"/>
      </c>
      <c r="DL202">
        <f ca="1"/>
      </c>
      <c r="DM202">
        <f ca="1"/>
      </c>
      <c r="DN202">
        <f ca="1"/>
      </c>
      <c r="DO202">
        <f ca="1"/>
      </c>
      <c r="DP202">
        <f ca="1"/>
      </c>
      <c r="DQ202">
        <f ca="1"/>
      </c>
      <c r="DR202">
        <f ca="1"/>
      </c>
      <c r="DS202">
        <f ca="1"/>
      </c>
      <c r="DT202">
        <f ca="1"/>
      </c>
      <c r="DU202">
        <f ca="1"/>
      </c>
      <c r="DV202">
        <f ca="1"/>
      </c>
      <c r="DW202">
        <f ca="1"/>
      </c>
      <c r="DX202">
        <f ca="1"/>
      </c>
      <c r="DY202">
        <f ca="1"/>
      </c>
      <c r="DZ202">
        <f ca="1"/>
      </c>
      <c r="EA202">
        <f ca="1"/>
      </c>
      <c r="EB202">
        <f ca="1"/>
      </c>
      <c r="EC202">
        <f ca="1"/>
      </c>
      <c r="ED202">
        <f ca="1"/>
      </c>
      <c r="EE202">
        <f ca="1"/>
      </c>
      <c r="EG202">
        <f ca="1"/>
      </c>
      <c r="EH202">
        <f ca="1"/>
      </c>
      <c r="EI202">
        <f ca="1"/>
      </c>
      <c r="EJ202">
        <f ca="1"/>
      </c>
      <c r="EK202">
        <f ca="1"/>
      </c>
      <c r="EL202">
        <f ca="1"/>
      </c>
      <c r="EM202">
        <f ca="1"/>
      </c>
      <c r="EN202">
        <f ca="1"/>
      </c>
      <c r="EO202">
        <f ca="1"/>
      </c>
      <c r="EP202">
        <f ca="1"/>
      </c>
      <c r="EQ202">
        <f ca="1"/>
      </c>
      <c r="ER202">
        <f ca="1"/>
      </c>
      <c r="ES202">
        <f ca="1"/>
      </c>
      <c r="ET202">
        <f ca="1"/>
      </c>
      <c r="EU202">
        <f ca="1"/>
      </c>
      <c r="EV202">
        <f ca="1"/>
      </c>
      <c r="EW202">
        <f ca="1"/>
      </c>
      <c r="EX202">
        <f ca="1"/>
      </c>
      <c r="EY202">
        <f ca="1"/>
      </c>
      <c r="EZ202">
        <f ca="1"/>
      </c>
      <c r="FA202">
        <f ca="1"/>
      </c>
      <c r="FB202">
        <f ca="1"/>
      </c>
      <c r="FC202">
        <f ca="1"/>
      </c>
      <c r="FD202">
        <f ca="1"/>
      </c>
      <c r="FE202">
        <f ca="1"/>
      </c>
      <c r="FF202">
        <f ca="1"/>
      </c>
      <c r="FG202">
        <f ca="1"/>
      </c>
      <c r="FH202">
        <f ca="1"/>
      </c>
      <c r="FI202">
        <f ca="1"/>
      </c>
      <c r="FJ202">
        <f ca="1"/>
      </c>
      <c r="FK202">
        <f ca="1"/>
      </c>
      <c r="FL202">
        <f ca="1"/>
      </c>
      <c r="FM202">
        <f ca="1"/>
      </c>
      <c r="FN202">
        <f ca="1"/>
      </c>
      <c r="FO202">
        <f ca="1"/>
      </c>
      <c r="FP202">
        <f ca="1"/>
      </c>
      <c r="FQ202">
        <f ca="1"/>
      </c>
      <c r="FR202">
        <f ca="1"/>
      </c>
      <c r="FS202">
        <f ca="1"/>
      </c>
      <c r="FT202">
        <f ca="1"/>
      </c>
      <c r="FU202">
        <f ca="1"/>
      </c>
      <c r="FV202">
        <f ca="1"/>
      </c>
      <c r="FW202">
        <f ca="1"/>
      </c>
      <c r="FX202">
        <f ca="1"/>
      </c>
      <c r="FY202">
        <f ca="1"/>
      </c>
      <c r="FZ202">
        <f ca="1"/>
      </c>
      <c r="GA202">
        <f ca="1"/>
      </c>
      <c r="GM202" s="7">
        <f ca="1"/>
      </c>
      <c r="GN202">
        <f ca="1"/>
      </c>
      <c r="GO202">
        <f ca="1"/>
      </c>
      <c r="GP202">
        <f ca="1"/>
      </c>
      <c r="GQ202">
        <f ca="1"/>
      </c>
    </row>
    <row r="203" spans="41:199" x14ac:dyDescent="0.55000000000000004">
      <c r="AO203">
        <f ca="1"/>
      </c>
      <c r="AP203">
        <f ca="1"/>
      </c>
      <c r="AQ203">
        <f ca="1"/>
      </c>
      <c r="AR203">
        <f ca="1"/>
      </c>
      <c r="AS203">
        <f ca="1"/>
      </c>
      <c r="AT203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AZ203">
        <f ca="1"/>
      </c>
      <c r="BA203">
        <f ca="1"/>
      </c>
      <c r="BB203">
        <f ca="1"/>
      </c>
      <c r="BC203">
        <f ca="1"/>
      </c>
      <c r="BD203">
        <f ca="1"/>
      </c>
      <c r="BE203">
        <f ca="1"/>
      </c>
      <c r="BF203">
        <f ca="1"/>
      </c>
      <c r="BG203">
        <f ca="1"/>
      </c>
      <c r="BH203">
        <f ca="1"/>
      </c>
      <c r="BI203">
        <f ca="1"/>
      </c>
      <c r="BJ203">
        <f ca="1"/>
      </c>
      <c r="BK203">
        <f ca="1"/>
      </c>
      <c r="BL203">
        <f ca="1"/>
      </c>
      <c r="BM203">
        <f ca="1"/>
      </c>
      <c r="BN203">
        <f ca="1"/>
      </c>
      <c r="BO203">
        <f ca="1"/>
      </c>
      <c r="BP203">
        <f ca="1"/>
      </c>
      <c r="BQ203">
        <f ca="1"/>
      </c>
      <c r="BR203">
        <f ca="1"/>
      </c>
      <c r="BS203">
        <f ca="1"/>
      </c>
      <c r="BT203">
        <f ca="1"/>
      </c>
      <c r="BU203">
        <f ca="1"/>
      </c>
      <c r="BV203">
        <f ca="1"/>
      </c>
      <c r="BW203">
        <f ca="1"/>
      </c>
      <c r="BX203">
        <f ca="1"/>
      </c>
      <c r="BY203">
        <f ca="1"/>
      </c>
      <c r="BZ203">
        <f ca="1"/>
      </c>
      <c r="CA203">
        <f ca="1"/>
      </c>
      <c r="CB203">
        <f ca="1"/>
      </c>
      <c r="CC203">
        <f ca="1"/>
      </c>
      <c r="CD203">
        <f ca="1"/>
      </c>
      <c r="CE203">
        <f ca="1"/>
      </c>
      <c r="CF203">
        <f ca="1"/>
      </c>
      <c r="CG203">
        <f ca="1"/>
      </c>
      <c r="CH203">
        <f ca="1"/>
      </c>
      <c r="CI203">
        <f ca="1"/>
      </c>
      <c r="CK203">
        <f ca="1"/>
      </c>
      <c r="CL203">
        <f ca="1"/>
      </c>
      <c r="CM203">
        <f ca="1"/>
      </c>
      <c r="CN203">
        <f ca="1"/>
      </c>
      <c r="CO203">
        <f ca="1"/>
      </c>
      <c r="CP203">
        <f ca="1"/>
      </c>
      <c r="CQ203">
        <f ca="1"/>
      </c>
      <c r="CR203">
        <f ca="1"/>
      </c>
      <c r="CS203">
        <f ca="1"/>
      </c>
      <c r="CT203">
        <f ca="1"/>
      </c>
      <c r="CU203">
        <f ca="1"/>
      </c>
      <c r="CV203">
        <f ca="1"/>
      </c>
      <c r="CW203">
        <f ca="1"/>
      </c>
      <c r="CX203">
        <f ca="1"/>
      </c>
      <c r="CY203">
        <f ca="1"/>
      </c>
      <c r="CZ203">
        <f ca="1"/>
      </c>
      <c r="DA203">
        <f ca="1"/>
      </c>
      <c r="DB203">
        <f ca="1"/>
      </c>
      <c r="DC203">
        <f ca="1"/>
      </c>
      <c r="DD203">
        <f ca="1"/>
      </c>
      <c r="DE203">
        <f ca="1"/>
      </c>
      <c r="DF203">
        <f ca="1"/>
      </c>
      <c r="DG203">
        <f ca="1"/>
      </c>
      <c r="DH203">
        <f ca="1"/>
      </c>
      <c r="DI203">
        <f ca="1"/>
      </c>
      <c r="DJ203">
        <f ca="1"/>
      </c>
      <c r="DK203">
        <f ca="1"/>
      </c>
      <c r="DL203">
        <f ca="1"/>
      </c>
      <c r="DM203">
        <f ca="1"/>
      </c>
      <c r="DN203">
        <f ca="1"/>
      </c>
      <c r="DO203">
        <f ca="1"/>
      </c>
      <c r="DP203">
        <f ca="1"/>
      </c>
      <c r="DQ203">
        <f ca="1"/>
      </c>
      <c r="DR203">
        <f ca="1"/>
      </c>
      <c r="DS203">
        <f ca="1"/>
      </c>
      <c r="DT203">
        <f ca="1"/>
      </c>
      <c r="DU203">
        <f ca="1"/>
      </c>
      <c r="DV203">
        <f ca="1"/>
      </c>
      <c r="DW203">
        <f ca="1"/>
      </c>
      <c r="DX203">
        <f ca="1"/>
      </c>
      <c r="DY203">
        <f ca="1"/>
      </c>
      <c r="DZ203">
        <f ca="1"/>
      </c>
      <c r="EA203">
        <f ca="1"/>
      </c>
      <c r="EB203">
        <f ca="1"/>
      </c>
      <c r="EC203">
        <f ca="1"/>
      </c>
      <c r="ED203">
        <f ca="1"/>
      </c>
      <c r="EE203">
        <f ca="1"/>
      </c>
      <c r="EG203">
        <f ca="1"/>
      </c>
      <c r="EH203">
        <f ca="1"/>
      </c>
      <c r="EI203">
        <f ca="1"/>
      </c>
      <c r="EJ203">
        <f ca="1"/>
      </c>
      <c r="EK203">
        <f ca="1"/>
      </c>
      <c r="EL203">
        <f ca="1"/>
      </c>
      <c r="EM203">
        <f ca="1"/>
      </c>
      <c r="EN203">
        <f ca="1"/>
      </c>
      <c r="EO203">
        <f ca="1"/>
      </c>
      <c r="EP203">
        <f ca="1"/>
      </c>
      <c r="EQ203">
        <f ca="1"/>
      </c>
      <c r="ER203">
        <f ca="1"/>
      </c>
      <c r="ES203">
        <f ca="1"/>
      </c>
      <c r="ET203">
        <f ca="1"/>
      </c>
      <c r="EU203">
        <f ca="1"/>
      </c>
      <c r="EV203">
        <f ca="1"/>
      </c>
      <c r="EW203">
        <f ca="1"/>
      </c>
      <c r="EX203">
        <f ca="1"/>
      </c>
      <c r="EY203">
        <f ca="1"/>
      </c>
      <c r="EZ203">
        <f ca="1"/>
      </c>
      <c r="FA203">
        <f ca="1"/>
      </c>
      <c r="FB203">
        <f ca="1"/>
      </c>
      <c r="FC203">
        <f ca="1"/>
      </c>
      <c r="FD203">
        <f ca="1"/>
      </c>
      <c r="FE203">
        <f ca="1"/>
      </c>
      <c r="FF203">
        <f ca="1"/>
      </c>
      <c r="FG203">
        <f ca="1"/>
      </c>
      <c r="FH203">
        <f ca="1"/>
      </c>
      <c r="FI203">
        <f ca="1"/>
      </c>
      <c r="FJ203">
        <f ca="1"/>
      </c>
      <c r="FK203">
        <f ca="1"/>
      </c>
      <c r="FL203">
        <f ca="1"/>
      </c>
      <c r="FM203">
        <f ca="1"/>
      </c>
      <c r="FN203">
        <f ca="1"/>
      </c>
      <c r="FO203">
        <f ca="1"/>
      </c>
      <c r="FP203">
        <f ca="1"/>
      </c>
      <c r="FQ203">
        <f ca="1"/>
      </c>
      <c r="FR203">
        <f ca="1"/>
      </c>
      <c r="FS203">
        <f ca="1"/>
      </c>
      <c r="FT203">
        <f ca="1"/>
      </c>
      <c r="FU203">
        <f ca="1"/>
      </c>
      <c r="FV203">
        <f ca="1"/>
      </c>
      <c r="FW203">
        <f ca="1"/>
      </c>
      <c r="FX203">
        <f ca="1"/>
      </c>
      <c r="FY203">
        <f ca="1"/>
      </c>
      <c r="FZ203">
        <f ca="1"/>
      </c>
      <c r="GA203">
        <f ca="1"/>
      </c>
      <c r="GM203" s="7">
        <f ca="1"/>
      </c>
      <c r="GN203">
        <f ca="1"/>
      </c>
      <c r="GO203">
        <f ca="1"/>
      </c>
      <c r="GP203">
        <f ca="1"/>
      </c>
      <c r="GQ203">
        <f ca="1"/>
      </c>
    </row>
    <row r="204" spans="41:199" x14ac:dyDescent="0.55000000000000004">
      <c r="AO204">
        <f ca="1"/>
      </c>
      <c r="AP204">
        <f ca="1"/>
      </c>
      <c r="AQ204">
        <f ca="1"/>
      </c>
      <c r="AR204">
        <f ca="1"/>
      </c>
      <c r="AS204">
        <f ca="1"/>
      </c>
      <c r="AT204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AZ204">
        <f ca="1"/>
      </c>
      <c r="BA204">
        <f ca="1"/>
      </c>
      <c r="BB204">
        <f ca="1"/>
      </c>
      <c r="BC204">
        <f ca="1"/>
      </c>
      <c r="BD204">
        <f ca="1"/>
      </c>
      <c r="BE204">
        <f ca="1"/>
      </c>
      <c r="BF204">
        <f ca="1"/>
      </c>
      <c r="BG204">
        <f ca="1"/>
      </c>
      <c r="BH204">
        <f ca="1"/>
      </c>
      <c r="BI204">
        <f ca="1"/>
      </c>
      <c r="BJ204">
        <f ca="1"/>
      </c>
      <c r="BK204">
        <f ca="1"/>
      </c>
      <c r="BL204">
        <f ca="1"/>
      </c>
      <c r="BM204">
        <f ca="1"/>
      </c>
      <c r="BN204">
        <f ca="1"/>
      </c>
      <c r="BO204">
        <f ca="1"/>
      </c>
      <c r="BP204">
        <f ca="1"/>
      </c>
      <c r="BQ204">
        <f ca="1"/>
      </c>
      <c r="BR204">
        <f ca="1"/>
      </c>
      <c r="BS204">
        <f ca="1"/>
      </c>
      <c r="BT204">
        <f ca="1"/>
      </c>
      <c r="BU204">
        <f ca="1"/>
      </c>
      <c r="BV204">
        <f ca="1"/>
      </c>
      <c r="BW204">
        <f ca="1"/>
      </c>
      <c r="BX204">
        <f ca="1"/>
      </c>
      <c r="BY204">
        <f ca="1"/>
      </c>
      <c r="BZ204">
        <f ca="1"/>
      </c>
      <c r="CA204">
        <f ca="1"/>
      </c>
      <c r="CB204">
        <f ca="1"/>
      </c>
      <c r="CC204">
        <f ca="1"/>
      </c>
      <c r="CD204">
        <f ca="1"/>
      </c>
      <c r="CE204">
        <f ca="1"/>
      </c>
      <c r="CF204">
        <f ca="1"/>
      </c>
      <c r="CG204">
        <f ca="1"/>
      </c>
      <c r="CH204">
        <f ca="1"/>
      </c>
      <c r="CI204">
        <f ca="1"/>
      </c>
      <c r="CK204">
        <f ca="1"/>
      </c>
      <c r="CL204">
        <f ca="1"/>
      </c>
      <c r="CM204">
        <f ca="1"/>
      </c>
      <c r="CN204">
        <f ca="1"/>
      </c>
      <c r="CO204">
        <f ca="1"/>
      </c>
      <c r="CP204">
        <f ca="1"/>
      </c>
      <c r="CQ204">
        <f ca="1"/>
      </c>
      <c r="CR204">
        <f ca="1"/>
      </c>
      <c r="CS204">
        <f ca="1"/>
      </c>
      <c r="CT204">
        <f ca="1"/>
      </c>
      <c r="CU204">
        <f ca="1"/>
      </c>
      <c r="CV204">
        <f ca="1"/>
      </c>
      <c r="CW204">
        <f ca="1"/>
      </c>
      <c r="CX204">
        <f ca="1"/>
      </c>
      <c r="CY204">
        <f ca="1"/>
      </c>
      <c r="CZ204">
        <f ca="1"/>
      </c>
      <c r="DA204">
        <f ca="1"/>
      </c>
      <c r="DB204">
        <f ca="1"/>
      </c>
      <c r="DC204">
        <f ca="1"/>
      </c>
      <c r="DD204">
        <f ca="1"/>
      </c>
      <c r="DE204">
        <f ca="1"/>
      </c>
      <c r="DF204">
        <f ca="1"/>
      </c>
      <c r="DG204">
        <f ca="1"/>
      </c>
      <c r="DH204">
        <f ca="1"/>
      </c>
      <c r="DI204">
        <f ca="1"/>
      </c>
      <c r="DJ204">
        <f ca="1"/>
      </c>
      <c r="DK204">
        <f ca="1"/>
      </c>
      <c r="DL204">
        <f ca="1"/>
      </c>
      <c r="DM204">
        <f ca="1"/>
      </c>
      <c r="DN204">
        <f ca="1"/>
      </c>
      <c r="DO204">
        <f ca="1"/>
      </c>
      <c r="DP204">
        <f ca="1"/>
      </c>
      <c r="DQ204">
        <f ca="1"/>
      </c>
      <c r="DR204">
        <f ca="1"/>
      </c>
      <c r="DS204">
        <f ca="1"/>
      </c>
      <c r="DT204">
        <f ca="1"/>
      </c>
      <c r="DU204">
        <f ca="1"/>
      </c>
      <c r="DV204">
        <f ca="1"/>
      </c>
      <c r="DW204">
        <f ca="1"/>
      </c>
      <c r="DX204">
        <f ca="1"/>
      </c>
      <c r="DY204">
        <f ca="1"/>
      </c>
      <c r="DZ204">
        <f ca="1"/>
      </c>
      <c r="EA204">
        <f ca="1"/>
      </c>
      <c r="EB204">
        <f ca="1"/>
      </c>
      <c r="EC204">
        <f ca="1"/>
      </c>
      <c r="ED204">
        <f ca="1"/>
      </c>
      <c r="EE204">
        <f ca="1"/>
      </c>
      <c r="EG204">
        <f ca="1"/>
      </c>
      <c r="EH204">
        <f ca="1"/>
      </c>
      <c r="EI204">
        <f ca="1"/>
      </c>
      <c r="EJ204">
        <f ca="1"/>
      </c>
      <c r="EK204">
        <f ca="1"/>
      </c>
      <c r="EL204">
        <f ca="1"/>
      </c>
      <c r="EM204">
        <f ca="1"/>
      </c>
      <c r="EN204">
        <f ca="1"/>
      </c>
      <c r="EO204">
        <f ca="1"/>
      </c>
      <c r="EP204">
        <f ca="1"/>
      </c>
      <c r="EQ204">
        <f ca="1"/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FS204">
        <f ca="1"/>
      </c>
      <c r="FT204">
        <f ca="1"/>
      </c>
      <c r="FU204">
        <f ca="1"/>
      </c>
      <c r="FV204">
        <f ca="1"/>
      </c>
      <c r="FW204">
        <f ca="1"/>
      </c>
      <c r="FX204">
        <f ca="1"/>
      </c>
      <c r="FY204">
        <f ca="1"/>
      </c>
      <c r="FZ204">
        <f ca="1"/>
      </c>
      <c r="GA204">
        <f ca="1"/>
      </c>
      <c r="GM204" s="7">
        <f ca="1"/>
      </c>
      <c r="GN204">
        <f ca="1"/>
      </c>
      <c r="GO204">
        <f ca="1"/>
      </c>
      <c r="GP204">
        <f ca="1"/>
      </c>
      <c r="GQ204">
        <f ca="1"/>
      </c>
    </row>
    <row r="205" spans="41:199" x14ac:dyDescent="0.55000000000000004">
      <c r="AO205">
        <f ca="1"/>
      </c>
      <c r="AP205">
        <f ca="1"/>
      </c>
      <c r="AQ205">
        <f ca="1"/>
      </c>
      <c r="AR205">
        <f ca="1"/>
      </c>
      <c r="AS205">
        <f ca="1"/>
      </c>
      <c r="AT205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AZ205">
        <f ca="1"/>
      </c>
      <c r="BA205">
        <f ca="1"/>
      </c>
      <c r="BB205">
        <f ca="1"/>
      </c>
      <c r="BC205">
        <f ca="1"/>
      </c>
      <c r="BD205">
        <f ca="1"/>
      </c>
      <c r="BE205">
        <f ca="1"/>
      </c>
      <c r="BF205">
        <f ca="1"/>
      </c>
      <c r="BG205">
        <f ca="1"/>
      </c>
      <c r="BH205">
        <f ca="1"/>
      </c>
      <c r="BI205">
        <f ca="1"/>
      </c>
      <c r="BJ205">
        <f ca="1"/>
      </c>
      <c r="BK205">
        <f ca="1"/>
      </c>
      <c r="BL205">
        <f ca="1"/>
      </c>
      <c r="BM205">
        <f ca="1"/>
      </c>
      <c r="BN205">
        <f ca="1"/>
      </c>
      <c r="BO205">
        <f ca="1"/>
      </c>
      <c r="BP205">
        <f ca="1"/>
      </c>
      <c r="BQ205">
        <f ca="1"/>
      </c>
      <c r="BR205">
        <f ca="1"/>
      </c>
      <c r="BS205">
        <f ca="1"/>
      </c>
      <c r="BT205">
        <f ca="1"/>
      </c>
      <c r="BU205">
        <f ca="1"/>
      </c>
      <c r="BV205">
        <f ca="1"/>
      </c>
      <c r="BW205">
        <f ca="1"/>
      </c>
      <c r="BX205">
        <f ca="1"/>
      </c>
      <c r="BY205">
        <f ca="1"/>
      </c>
      <c r="BZ205">
        <f ca="1"/>
      </c>
      <c r="CA205">
        <f ca="1"/>
      </c>
      <c r="CB205">
        <f ca="1"/>
      </c>
      <c r="CC205">
        <f ca="1"/>
      </c>
      <c r="CD205">
        <f ca="1"/>
      </c>
      <c r="CE205">
        <f ca="1"/>
      </c>
      <c r="CF205">
        <f ca="1"/>
      </c>
      <c r="CG205">
        <f ca="1"/>
      </c>
      <c r="CH205">
        <f ca="1"/>
      </c>
      <c r="CI205">
        <f ca="1"/>
      </c>
      <c r="CK205">
        <f ca="1"/>
      </c>
      <c r="CL205">
        <f ca="1"/>
      </c>
      <c r="CM205">
        <f ca="1"/>
      </c>
      <c r="CN205">
        <f ca="1"/>
      </c>
      <c r="CO205">
        <f ca="1"/>
      </c>
      <c r="CP205">
        <f ca="1"/>
      </c>
      <c r="CQ205">
        <f ca="1"/>
      </c>
      <c r="CR205">
        <f ca="1"/>
      </c>
      <c r="CS205">
        <f ca="1"/>
      </c>
      <c r="CT205">
        <f ca="1"/>
      </c>
      <c r="CU205">
        <f ca="1"/>
      </c>
      <c r="CV205">
        <f ca="1"/>
      </c>
      <c r="CW205">
        <f ca="1"/>
      </c>
      <c r="CX205">
        <f ca="1"/>
      </c>
      <c r="CY205">
        <f ca="1"/>
      </c>
      <c r="CZ205">
        <f ca="1"/>
      </c>
      <c r="DA205">
        <f ca="1"/>
      </c>
      <c r="DB205">
        <f ca="1"/>
      </c>
      <c r="DC205">
        <f ca="1"/>
      </c>
      <c r="DD205">
        <f ca="1"/>
      </c>
      <c r="DE205">
        <f ca="1"/>
      </c>
      <c r="DF205">
        <f ca="1"/>
      </c>
      <c r="DG205">
        <f ca="1"/>
      </c>
      <c r="DH205">
        <f ca="1"/>
      </c>
      <c r="DI205">
        <f ca="1"/>
      </c>
      <c r="DJ205">
        <f ca="1"/>
      </c>
      <c r="DK205">
        <f ca="1"/>
      </c>
      <c r="DL205">
        <f ca="1"/>
      </c>
      <c r="DM205">
        <f ca="1"/>
      </c>
      <c r="DN205">
        <f ca="1"/>
      </c>
      <c r="DO205">
        <f ca="1"/>
      </c>
      <c r="DP205">
        <f ca="1"/>
      </c>
      <c r="DQ205">
        <f ca="1"/>
      </c>
      <c r="DR205">
        <f ca="1"/>
      </c>
      <c r="DS205">
        <f ca="1"/>
      </c>
      <c r="DT205">
        <f ca="1"/>
      </c>
      <c r="DU205">
        <f ca="1"/>
      </c>
      <c r="DV205">
        <f ca="1"/>
      </c>
      <c r="DW205">
        <f ca="1"/>
      </c>
      <c r="DX205">
        <f ca="1"/>
      </c>
      <c r="DY205">
        <f ca="1"/>
      </c>
      <c r="DZ205">
        <f ca="1"/>
      </c>
      <c r="EA205">
        <f ca="1"/>
      </c>
      <c r="EB205">
        <f ca="1"/>
      </c>
      <c r="EC205">
        <f ca="1"/>
      </c>
      <c r="ED205">
        <f ca="1"/>
      </c>
      <c r="EE205">
        <f ca="1"/>
      </c>
      <c r="EG205">
        <f ca="1"/>
      </c>
      <c r="EH205">
        <f ca="1"/>
      </c>
      <c r="EI205">
        <f ca="1"/>
      </c>
      <c r="EJ205">
        <f ca="1"/>
      </c>
      <c r="EK205">
        <f ca="1"/>
      </c>
      <c r="EL205">
        <f ca="1"/>
      </c>
      <c r="EM205">
        <f ca="1"/>
      </c>
      <c r="EN205">
        <f ca="1"/>
      </c>
      <c r="EO205">
        <f ca="1"/>
      </c>
      <c r="EP205">
        <f ca="1"/>
      </c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FS205">
        <f ca="1"/>
      </c>
      <c r="FT205">
        <f ca="1"/>
      </c>
      <c r="FU205">
        <f ca="1"/>
      </c>
      <c r="FV205">
        <f ca="1"/>
      </c>
      <c r="FW205">
        <f ca="1"/>
      </c>
      <c r="FX205">
        <f ca="1"/>
      </c>
      <c r="FY205">
        <f ca="1"/>
      </c>
      <c r="FZ205">
        <f ca="1"/>
      </c>
      <c r="GA205">
        <f ca="1"/>
      </c>
      <c r="GM205" s="7">
        <f ca="1"/>
      </c>
      <c r="GN205">
        <f ca="1"/>
      </c>
      <c r="GO205">
        <f ca="1"/>
      </c>
      <c r="GP205">
        <f ca="1"/>
      </c>
      <c r="GQ205">
        <f ca="1"/>
      </c>
    </row>
    <row r="206" spans="41:199" x14ac:dyDescent="0.55000000000000004">
      <c r="AO206">
        <f ca="1"/>
      </c>
      <c r="AP206">
        <f ca="1"/>
      </c>
      <c r="AQ206">
        <f ca="1"/>
      </c>
      <c r="AR206">
        <f ca="1"/>
      </c>
      <c r="AS206">
        <f ca="1"/>
      </c>
      <c r="AT206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AZ206">
        <f ca="1"/>
      </c>
      <c r="BA206">
        <f ca="1"/>
      </c>
      <c r="BB206">
        <f ca="1"/>
      </c>
      <c r="BC206">
        <f ca="1"/>
      </c>
      <c r="BD206">
        <f ca="1"/>
      </c>
      <c r="BE206">
        <f ca="1"/>
      </c>
      <c r="BF206">
        <f ca="1"/>
      </c>
      <c r="BG206">
        <f ca="1"/>
      </c>
      <c r="BH206">
        <f ca="1"/>
      </c>
      <c r="BI206">
        <f ca="1"/>
      </c>
      <c r="BJ206">
        <f ca="1"/>
      </c>
      <c r="BK206">
        <f ca="1"/>
      </c>
      <c r="BL206">
        <f ca="1"/>
      </c>
      <c r="BM206">
        <f ca="1"/>
      </c>
      <c r="BN206">
        <f ca="1"/>
      </c>
      <c r="BO206">
        <f ca="1"/>
      </c>
      <c r="BP206">
        <f ca="1"/>
      </c>
      <c r="BQ206">
        <f ca="1"/>
      </c>
      <c r="BR206">
        <f ca="1"/>
      </c>
      <c r="BS206">
        <f ca="1"/>
      </c>
      <c r="BT206">
        <f ca="1"/>
      </c>
      <c r="BU206">
        <f ca="1"/>
      </c>
      <c r="BV206">
        <f ca="1"/>
      </c>
      <c r="BW206">
        <f ca="1"/>
      </c>
      <c r="BX206">
        <f ca="1"/>
      </c>
      <c r="BY206">
        <f ca="1"/>
      </c>
      <c r="BZ206">
        <f ca="1"/>
      </c>
      <c r="CA206">
        <f ca="1"/>
      </c>
      <c r="CB206">
        <f ca="1"/>
      </c>
      <c r="CC206">
        <f ca="1"/>
      </c>
      <c r="CD206">
        <f ca="1"/>
      </c>
      <c r="CE206">
        <f ca="1"/>
      </c>
      <c r="CF206">
        <f ca="1"/>
      </c>
      <c r="CG206">
        <f ca="1"/>
      </c>
      <c r="CH206">
        <f ca="1"/>
      </c>
      <c r="CI206">
        <f ca="1"/>
      </c>
      <c r="CK206">
        <f ca="1"/>
      </c>
      <c r="CL206">
        <f ca="1"/>
      </c>
      <c r="CM206">
        <f ca="1"/>
      </c>
      <c r="CN206">
        <f ca="1"/>
      </c>
      <c r="CO206">
        <f ca="1"/>
      </c>
      <c r="CP206">
        <f ca="1"/>
      </c>
      <c r="CQ206">
        <f ca="1"/>
      </c>
      <c r="CR206">
        <f ca="1"/>
      </c>
      <c r="CS206">
        <f ca="1"/>
      </c>
      <c r="CT206">
        <f ca="1"/>
      </c>
      <c r="CU206">
        <f ca="1"/>
      </c>
      <c r="CV206">
        <f ca="1"/>
      </c>
      <c r="CW206">
        <f ca="1"/>
      </c>
      <c r="CX206">
        <f ca="1"/>
      </c>
      <c r="CY206">
        <f ca="1"/>
      </c>
      <c r="CZ206">
        <f ca="1"/>
      </c>
      <c r="DA206">
        <f ca="1"/>
      </c>
      <c r="DB206">
        <f ca="1"/>
      </c>
      <c r="DC206">
        <f ca="1"/>
      </c>
      <c r="DD206">
        <f ca="1"/>
      </c>
      <c r="DE206">
        <f ca="1"/>
      </c>
      <c r="DF206">
        <f ca="1"/>
      </c>
      <c r="DG206">
        <f ca="1"/>
      </c>
      <c r="DH206">
        <f ca="1"/>
      </c>
      <c r="DI206">
        <f ca="1"/>
      </c>
      <c r="DJ206">
        <f ca="1"/>
      </c>
      <c r="DK206">
        <f ca="1"/>
      </c>
      <c r="DL206">
        <f ca="1"/>
      </c>
      <c r="DM206">
        <f ca="1"/>
      </c>
      <c r="DN206">
        <f ca="1"/>
      </c>
      <c r="DO206">
        <f ca="1"/>
      </c>
      <c r="DP206">
        <f ca="1"/>
      </c>
      <c r="DQ206">
        <f ca="1"/>
      </c>
      <c r="DR206">
        <f ca="1"/>
      </c>
      <c r="DS206">
        <f ca="1"/>
      </c>
      <c r="DT206">
        <f ca="1"/>
      </c>
      <c r="DU206">
        <f ca="1"/>
      </c>
      <c r="DV206">
        <f ca="1"/>
      </c>
      <c r="DW206">
        <f ca="1"/>
      </c>
      <c r="DX206">
        <f ca="1"/>
      </c>
      <c r="DY206">
        <f ca="1"/>
      </c>
      <c r="DZ206">
        <f ca="1"/>
      </c>
      <c r="EA206">
        <f ca="1"/>
      </c>
      <c r="EB206">
        <f ca="1"/>
      </c>
      <c r="EC206">
        <f ca="1"/>
      </c>
      <c r="ED206">
        <f ca="1"/>
      </c>
      <c r="EE206">
        <f ca="1"/>
      </c>
      <c r="EG206">
        <f ca="1"/>
      </c>
      <c r="EH206">
        <f ca="1"/>
      </c>
      <c r="EI206">
        <f ca="1"/>
      </c>
      <c r="EJ206">
        <f ca="1"/>
      </c>
      <c r="EK206">
        <f ca="1"/>
      </c>
      <c r="EL206">
        <f ca="1"/>
      </c>
      <c r="EM206">
        <f ca="1"/>
      </c>
      <c r="EN206">
        <f ca="1"/>
      </c>
      <c r="EO206">
        <f ca="1"/>
      </c>
      <c r="EP206">
        <f ca="1"/>
      </c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FS206">
        <f ca="1"/>
      </c>
      <c r="FT206">
        <f ca="1"/>
      </c>
      <c r="FU206">
        <f ca="1"/>
      </c>
      <c r="FV206">
        <f ca="1"/>
      </c>
      <c r="FW206">
        <f ca="1"/>
      </c>
      <c r="FX206">
        <f ca="1"/>
      </c>
      <c r="FY206">
        <f ca="1"/>
      </c>
      <c r="FZ206">
        <f ca="1"/>
      </c>
      <c r="GA206">
        <f ca="1"/>
      </c>
      <c r="GM206" s="7">
        <f ca="1"/>
      </c>
      <c r="GN206">
        <f ca="1"/>
      </c>
      <c r="GO206">
        <f ca="1"/>
      </c>
      <c r="GP206">
        <f ca="1"/>
      </c>
      <c r="GQ206">
        <f ca="1"/>
      </c>
    </row>
    <row r="207" spans="41:199" x14ac:dyDescent="0.55000000000000004">
      <c r="AO207">
        <f ca="1"/>
      </c>
      <c r="AP207">
        <f ca="1"/>
      </c>
      <c r="AQ207">
        <f ca="1"/>
      </c>
      <c r="AR207">
        <f ca="1"/>
      </c>
      <c r="AS207">
        <f ca="1"/>
      </c>
      <c r="AT20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AZ207">
        <f ca="1"/>
      </c>
      <c r="BA207">
        <f ca="1"/>
      </c>
      <c r="BB207">
        <f ca="1"/>
      </c>
      <c r="BC207">
        <f ca="1"/>
      </c>
      <c r="BD207">
        <f ca="1"/>
      </c>
      <c r="BE207">
        <f ca="1"/>
      </c>
      <c r="BF207">
        <f ca="1"/>
      </c>
      <c r="BG207">
        <f ca="1"/>
      </c>
      <c r="BH207">
        <f ca="1"/>
      </c>
      <c r="BI207">
        <f ca="1"/>
      </c>
      <c r="BJ207">
        <f ca="1"/>
      </c>
      <c r="BK207">
        <f ca="1"/>
      </c>
      <c r="BL207">
        <f ca="1"/>
      </c>
      <c r="BM207">
        <f ca="1"/>
      </c>
      <c r="BN207">
        <f ca="1"/>
      </c>
      <c r="BO207">
        <f ca="1"/>
      </c>
      <c r="BP207">
        <f ca="1"/>
      </c>
      <c r="BQ207">
        <f ca="1"/>
      </c>
      <c r="BR207">
        <f ca="1"/>
      </c>
      <c r="BS207">
        <f ca="1"/>
      </c>
      <c r="BT207">
        <f ca="1"/>
      </c>
      <c r="BU207">
        <f ca="1"/>
      </c>
      <c r="BV207">
        <f ca="1"/>
      </c>
      <c r="BW207">
        <f ca="1"/>
      </c>
      <c r="BX207">
        <f ca="1"/>
      </c>
      <c r="BY207">
        <f ca="1"/>
      </c>
      <c r="BZ207">
        <f ca="1"/>
      </c>
      <c r="CA207">
        <f ca="1"/>
      </c>
      <c r="CB207">
        <f ca="1"/>
      </c>
      <c r="CC207">
        <f ca="1"/>
      </c>
      <c r="CD207">
        <f ca="1"/>
      </c>
      <c r="CE207">
        <f ca="1"/>
      </c>
      <c r="CF207">
        <f ca="1"/>
      </c>
      <c r="CG207">
        <f ca="1"/>
      </c>
      <c r="CH207">
        <f ca="1"/>
      </c>
      <c r="CI207">
        <f ca="1"/>
      </c>
      <c r="CK207">
        <f ca="1"/>
      </c>
      <c r="CL207">
        <f ca="1"/>
      </c>
      <c r="CM207">
        <f ca="1"/>
      </c>
      <c r="CN207">
        <f ca="1"/>
      </c>
      <c r="CO207">
        <f ca="1"/>
      </c>
      <c r="CP207">
        <f ca="1"/>
      </c>
      <c r="CQ207">
        <f ca="1"/>
      </c>
      <c r="CR207">
        <f ca="1"/>
      </c>
      <c r="CS207">
        <f ca="1"/>
      </c>
      <c r="CT207">
        <f ca="1"/>
      </c>
      <c r="CU207">
        <f ca="1"/>
      </c>
      <c r="CV207">
        <f ca="1"/>
      </c>
      <c r="CW207">
        <f ca="1"/>
      </c>
      <c r="CX207">
        <f ca="1"/>
      </c>
      <c r="CY207">
        <f ca="1"/>
      </c>
      <c r="CZ207">
        <f ca="1"/>
      </c>
      <c r="DA207">
        <f ca="1"/>
      </c>
      <c r="DB207">
        <f ca="1"/>
      </c>
      <c r="DC207">
        <f ca="1"/>
      </c>
      <c r="DD207">
        <f ca="1"/>
      </c>
      <c r="DE207">
        <f ca="1"/>
      </c>
      <c r="DF207">
        <f ca="1"/>
      </c>
      <c r="DG207">
        <f ca="1"/>
      </c>
      <c r="DH207">
        <f ca="1"/>
      </c>
      <c r="DI207">
        <f ca="1"/>
      </c>
      <c r="DJ207">
        <f ca="1"/>
      </c>
      <c r="DK207">
        <f ca="1"/>
      </c>
      <c r="DL207">
        <f ca="1"/>
      </c>
      <c r="DM207">
        <f ca="1"/>
      </c>
      <c r="DN207">
        <f ca="1"/>
      </c>
      <c r="DO207">
        <f ca="1"/>
      </c>
      <c r="DP207">
        <f ca="1"/>
      </c>
      <c r="DQ207">
        <f ca="1"/>
      </c>
      <c r="DR207">
        <f ca="1"/>
      </c>
      <c r="DS207">
        <f ca="1"/>
      </c>
      <c r="DT207">
        <f ca="1"/>
      </c>
      <c r="DU207">
        <f ca="1"/>
      </c>
      <c r="DV207">
        <f ca="1"/>
      </c>
      <c r="DW207">
        <f ca="1"/>
      </c>
      <c r="DX207">
        <f ca="1"/>
      </c>
      <c r="DY207">
        <f ca="1"/>
      </c>
      <c r="DZ207">
        <f ca="1"/>
      </c>
      <c r="EA207">
        <f ca="1"/>
      </c>
      <c r="EB207">
        <f ca="1"/>
      </c>
      <c r="EC207">
        <f ca="1"/>
      </c>
      <c r="ED207">
        <f ca="1"/>
      </c>
      <c r="EE207">
        <f ca="1"/>
      </c>
      <c r="EG207">
        <f ca="1"/>
      </c>
      <c r="EH207">
        <f ca="1"/>
      </c>
      <c r="EI207">
        <f ca="1"/>
      </c>
      <c r="EJ207">
        <f ca="1"/>
      </c>
      <c r="EK207">
        <f ca="1"/>
      </c>
      <c r="EL207">
        <f ca="1"/>
      </c>
      <c r="EM207">
        <f ca="1"/>
      </c>
      <c r="EN207">
        <f ca="1"/>
      </c>
      <c r="EO207">
        <f ca="1"/>
      </c>
      <c r="EP207">
        <f ca="1"/>
      </c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FS207">
        <f ca="1"/>
      </c>
      <c r="FT207">
        <f ca="1"/>
      </c>
      <c r="FU207">
        <f ca="1"/>
      </c>
      <c r="FV207">
        <f ca="1"/>
      </c>
      <c r="FW207">
        <f ca="1"/>
      </c>
      <c r="FX207">
        <f ca="1"/>
      </c>
      <c r="FY207">
        <f ca="1"/>
      </c>
      <c r="FZ207">
        <f ca="1"/>
      </c>
      <c r="GA207">
        <f ca="1"/>
      </c>
      <c r="GM207" s="7">
        <f ca="1"/>
      </c>
      <c r="GN207">
        <f ca="1"/>
      </c>
      <c r="GO207">
        <f ca="1"/>
      </c>
      <c r="GP207">
        <f ca="1"/>
      </c>
      <c r="GQ207">
        <f ca="1"/>
      </c>
    </row>
    <row r="208" spans="41:199" x14ac:dyDescent="0.55000000000000004">
      <c r="AO208">
        <f ca="1"/>
      </c>
      <c r="AP208">
        <f ca="1"/>
      </c>
      <c r="AQ208">
        <f ca="1"/>
      </c>
      <c r="AR208">
        <f ca="1"/>
      </c>
      <c r="AS208">
        <f ca="1"/>
      </c>
      <c r="AT208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AZ208">
        <f ca="1"/>
      </c>
      <c r="BA208">
        <f ca="1"/>
      </c>
      <c r="BB208">
        <f ca="1"/>
      </c>
      <c r="BC208">
        <f ca="1"/>
      </c>
      <c r="BD208">
        <f ca="1"/>
      </c>
      <c r="BE208">
        <f ca="1"/>
      </c>
      <c r="BF208">
        <f ca="1"/>
      </c>
      <c r="BG208">
        <f ca="1"/>
      </c>
      <c r="BH208">
        <f ca="1"/>
      </c>
      <c r="BI208">
        <f ca="1"/>
      </c>
      <c r="BJ208">
        <f ca="1"/>
      </c>
      <c r="BK208">
        <f ca="1"/>
      </c>
      <c r="BL208">
        <f ca="1"/>
      </c>
      <c r="BM208">
        <f ca="1"/>
      </c>
      <c r="BN208">
        <f ca="1"/>
      </c>
      <c r="BO208">
        <f ca="1"/>
      </c>
      <c r="BP208">
        <f ca="1"/>
      </c>
      <c r="BQ208">
        <f ca="1"/>
      </c>
      <c r="BR208">
        <f ca="1"/>
      </c>
      <c r="BS208">
        <f ca="1"/>
      </c>
      <c r="BT208">
        <f ca="1"/>
      </c>
      <c r="BU208">
        <f ca="1"/>
      </c>
      <c r="BV208">
        <f ca="1"/>
      </c>
      <c r="BW208">
        <f ca="1"/>
      </c>
      <c r="BX208">
        <f ca="1"/>
      </c>
      <c r="BY208">
        <f ca="1"/>
      </c>
      <c r="BZ208">
        <f ca="1"/>
      </c>
      <c r="CA208">
        <f ca="1"/>
      </c>
      <c r="CB208">
        <f ca="1"/>
      </c>
      <c r="CC208">
        <f ca="1"/>
      </c>
      <c r="CD208">
        <f ca="1"/>
      </c>
      <c r="CE208">
        <f ca="1"/>
      </c>
      <c r="CF208">
        <f ca="1"/>
      </c>
      <c r="CG208">
        <f ca="1"/>
      </c>
      <c r="CH208">
        <f ca="1"/>
      </c>
      <c r="CI208">
        <f ca="1"/>
      </c>
      <c r="CK208">
        <f ca="1"/>
      </c>
      <c r="CL208">
        <f ca="1"/>
      </c>
      <c r="CM208">
        <f ca="1"/>
      </c>
      <c r="CN208">
        <f ca="1"/>
      </c>
      <c r="CO208">
        <f ca="1"/>
      </c>
      <c r="CP208">
        <f ca="1"/>
      </c>
      <c r="CQ208">
        <f ca="1"/>
      </c>
      <c r="CR208">
        <f ca="1"/>
      </c>
      <c r="CS208">
        <f ca="1"/>
      </c>
      <c r="CT208">
        <f ca="1"/>
      </c>
      <c r="CU208">
        <f ca="1"/>
      </c>
      <c r="CV208">
        <f ca="1"/>
      </c>
      <c r="CW208">
        <f ca="1"/>
      </c>
      <c r="CX208">
        <f ca="1"/>
      </c>
      <c r="CY208">
        <f ca="1"/>
      </c>
      <c r="CZ208">
        <f ca="1"/>
      </c>
      <c r="DA208">
        <f ca="1"/>
      </c>
      <c r="DB208">
        <f ca="1"/>
      </c>
      <c r="DC208">
        <f ca="1"/>
      </c>
      <c r="DD208">
        <f ca="1"/>
      </c>
      <c r="DE208">
        <f ca="1"/>
      </c>
      <c r="DF208">
        <f ca="1"/>
      </c>
      <c r="DG208">
        <f ca="1"/>
      </c>
      <c r="DH208">
        <f ca="1"/>
      </c>
      <c r="DI208">
        <f ca="1"/>
      </c>
      <c r="DJ208">
        <f ca="1"/>
      </c>
      <c r="DK208">
        <f ca="1"/>
      </c>
      <c r="DL208">
        <f ca="1"/>
      </c>
      <c r="DM208">
        <f ca="1"/>
      </c>
      <c r="DN208">
        <f ca="1"/>
      </c>
      <c r="DO208">
        <f ca="1"/>
      </c>
      <c r="DP208">
        <f ca="1"/>
      </c>
      <c r="DQ208">
        <f ca="1"/>
      </c>
      <c r="DR208">
        <f ca="1"/>
      </c>
      <c r="DS208">
        <f ca="1"/>
      </c>
      <c r="DT208">
        <f ca="1"/>
      </c>
      <c r="DU208">
        <f ca="1"/>
      </c>
      <c r="DV208">
        <f ca="1"/>
      </c>
      <c r="DW208">
        <f ca="1"/>
      </c>
      <c r="DX208">
        <f ca="1"/>
      </c>
      <c r="DY208">
        <f ca="1"/>
      </c>
      <c r="DZ208">
        <f ca="1"/>
      </c>
      <c r="EA208">
        <f ca="1"/>
      </c>
      <c r="EB208">
        <f ca="1"/>
      </c>
      <c r="EC208">
        <f ca="1"/>
      </c>
      <c r="ED208">
        <f ca="1"/>
      </c>
      <c r="EE208">
        <f ca="1"/>
      </c>
      <c r="EG208">
        <f ca="1"/>
      </c>
      <c r="EH208">
        <f ca="1"/>
      </c>
      <c r="EI208">
        <f ca="1"/>
      </c>
      <c r="EJ208">
        <f ca="1"/>
      </c>
      <c r="EK208">
        <f ca="1"/>
      </c>
      <c r="EL208">
        <f ca="1"/>
      </c>
      <c r="EM208">
        <f ca="1"/>
      </c>
      <c r="EN208">
        <f ca="1"/>
      </c>
      <c r="EO208">
        <f ca="1"/>
      </c>
      <c r="EP208">
        <f ca="1"/>
      </c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FS208">
        <f ca="1"/>
      </c>
      <c r="FT208">
        <f ca="1"/>
      </c>
      <c r="FU208">
        <f ca="1"/>
      </c>
      <c r="FV208">
        <f ca="1"/>
      </c>
      <c r="FW208">
        <f ca="1"/>
      </c>
      <c r="FX208">
        <f ca="1"/>
      </c>
      <c r="FY208">
        <f ca="1"/>
      </c>
      <c r="FZ208">
        <f ca="1"/>
      </c>
      <c r="GA208">
        <f ca="1"/>
      </c>
      <c r="GM208" s="7">
        <f ca="1"/>
      </c>
      <c r="GN208">
        <f ca="1"/>
      </c>
      <c r="GO208">
        <f ca="1"/>
      </c>
      <c r="GP208">
        <f ca="1"/>
      </c>
      <c r="GQ208">
        <f ca="1"/>
      </c>
    </row>
    <row r="209" spans="41:199" x14ac:dyDescent="0.55000000000000004">
      <c r="AO209">
        <f ca="1"/>
      </c>
      <c r="AP209">
        <f ca="1"/>
      </c>
      <c r="AQ209">
        <f ca="1"/>
      </c>
      <c r="AR209">
        <f ca="1"/>
      </c>
      <c r="AS209">
        <f ca="1"/>
      </c>
      <c r="AT209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AZ209">
        <f ca="1"/>
      </c>
      <c r="BA209">
        <f ca="1"/>
      </c>
      <c r="BB209">
        <f ca="1"/>
      </c>
      <c r="BC209">
        <f ca="1"/>
      </c>
      <c r="BD209">
        <f ca="1"/>
      </c>
      <c r="BE209">
        <f ca="1"/>
      </c>
      <c r="BF209">
        <f ca="1"/>
      </c>
      <c r="BG209">
        <f ca="1"/>
      </c>
      <c r="BH209">
        <f ca="1"/>
      </c>
      <c r="BI209">
        <f ca="1"/>
      </c>
      <c r="BJ209">
        <f ca="1"/>
      </c>
      <c r="BK209">
        <f ca="1"/>
      </c>
      <c r="BL209">
        <f ca="1"/>
      </c>
      <c r="BM209">
        <f ca="1"/>
      </c>
      <c r="BN209">
        <f ca="1"/>
      </c>
      <c r="BO209">
        <f ca="1"/>
      </c>
      <c r="BP209">
        <f ca="1"/>
      </c>
      <c r="BQ209">
        <f ca="1"/>
      </c>
      <c r="BR209">
        <f ca="1"/>
      </c>
      <c r="BS209">
        <f ca="1"/>
      </c>
      <c r="BT209">
        <f ca="1"/>
      </c>
      <c r="BU209">
        <f ca="1"/>
      </c>
      <c r="BV209">
        <f ca="1"/>
      </c>
      <c r="BW209">
        <f ca="1"/>
      </c>
      <c r="BX209">
        <f ca="1"/>
      </c>
      <c r="BY209">
        <f ca="1"/>
      </c>
      <c r="BZ209">
        <f ca="1"/>
      </c>
      <c r="CA209">
        <f ca="1"/>
      </c>
      <c r="CB209">
        <f ca="1"/>
      </c>
      <c r="CC209">
        <f ca="1"/>
      </c>
      <c r="CD209">
        <f ca="1"/>
      </c>
      <c r="CE209">
        <f ca="1"/>
      </c>
      <c r="CF209">
        <f ca="1"/>
      </c>
      <c r="CG209">
        <f ca="1"/>
      </c>
      <c r="CH209">
        <f ca="1"/>
      </c>
      <c r="CI209">
        <f ca="1"/>
      </c>
      <c r="CK209">
        <f ca="1"/>
      </c>
      <c r="CL209">
        <f ca="1"/>
      </c>
      <c r="CM209">
        <f ca="1"/>
      </c>
      <c r="CN209">
        <f ca="1"/>
      </c>
      <c r="CO209">
        <f ca="1"/>
      </c>
      <c r="CP209">
        <f ca="1"/>
      </c>
      <c r="CQ209">
        <f ca="1"/>
      </c>
      <c r="CR209">
        <f ca="1"/>
      </c>
      <c r="CS209">
        <f ca="1"/>
      </c>
      <c r="CT209">
        <f ca="1"/>
      </c>
      <c r="CU209">
        <f ca="1"/>
      </c>
      <c r="CV209">
        <f ca="1"/>
      </c>
      <c r="CW209">
        <f ca="1"/>
      </c>
      <c r="CX209">
        <f ca="1"/>
      </c>
      <c r="CY209">
        <f ca="1"/>
      </c>
      <c r="CZ209">
        <f ca="1"/>
      </c>
      <c r="DA209">
        <f ca="1"/>
      </c>
      <c r="DB209">
        <f ca="1"/>
      </c>
      <c r="DC209">
        <f ca="1"/>
      </c>
      <c r="DD209">
        <f ca="1"/>
      </c>
      <c r="DE209">
        <f ca="1"/>
      </c>
      <c r="DF209">
        <f ca="1"/>
      </c>
      <c r="DG209">
        <f ca="1"/>
      </c>
      <c r="DH209">
        <f ca="1"/>
      </c>
      <c r="DI209">
        <f ca="1"/>
      </c>
      <c r="DJ209">
        <f ca="1"/>
      </c>
      <c r="DK209">
        <f ca="1"/>
      </c>
      <c r="DL209">
        <f ca="1"/>
      </c>
      <c r="DM209">
        <f ca="1"/>
      </c>
      <c r="DN209">
        <f ca="1"/>
      </c>
      <c r="DO209">
        <f ca="1"/>
      </c>
      <c r="DP209">
        <f ca="1"/>
      </c>
      <c r="DQ209">
        <f ca="1"/>
      </c>
      <c r="DR209">
        <f ca="1"/>
      </c>
      <c r="DS209">
        <f ca="1"/>
      </c>
      <c r="DT209">
        <f ca="1"/>
      </c>
      <c r="DU209">
        <f ca="1"/>
      </c>
      <c r="DV209">
        <f ca="1"/>
      </c>
      <c r="DW209">
        <f ca="1"/>
      </c>
      <c r="DX209">
        <f ca="1"/>
      </c>
      <c r="DY209">
        <f ca="1"/>
      </c>
      <c r="DZ209">
        <f ca="1"/>
      </c>
      <c r="EA209">
        <f ca="1"/>
      </c>
      <c r="EB209">
        <f ca="1"/>
      </c>
      <c r="EC209">
        <f ca="1"/>
      </c>
      <c r="ED209">
        <f ca="1"/>
      </c>
      <c r="EE209">
        <f ca="1"/>
      </c>
      <c r="EG209">
        <f ca="1"/>
      </c>
      <c r="EH209">
        <f ca="1"/>
      </c>
      <c r="EI209">
        <f ca="1"/>
      </c>
      <c r="EJ209">
        <f ca="1"/>
      </c>
      <c r="EK209">
        <f ca="1"/>
      </c>
      <c r="EL209">
        <f ca="1"/>
      </c>
      <c r="EM209">
        <f ca="1"/>
      </c>
      <c r="EN209">
        <f ca="1"/>
      </c>
      <c r="EO209">
        <f ca="1"/>
      </c>
      <c r="EP209">
        <f ca="1"/>
      </c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FS209">
        <f ca="1"/>
      </c>
      <c r="FT209">
        <f ca="1"/>
      </c>
      <c r="FU209">
        <f ca="1"/>
      </c>
      <c r="FV209">
        <f ca="1"/>
      </c>
      <c r="FW209">
        <f ca="1"/>
      </c>
      <c r="FX209">
        <f ca="1"/>
      </c>
      <c r="FY209">
        <f ca="1"/>
      </c>
      <c r="FZ209">
        <f ca="1"/>
      </c>
      <c r="GA209">
        <f ca="1"/>
      </c>
      <c r="GM209" s="7">
        <f ca="1"/>
      </c>
      <c r="GN209">
        <f ca="1"/>
      </c>
      <c r="GO209">
        <f ca="1"/>
      </c>
      <c r="GP209">
        <f ca="1"/>
      </c>
      <c r="GQ209">
        <f ca="1"/>
      </c>
    </row>
    <row r="210" spans="41:199" x14ac:dyDescent="0.55000000000000004">
      <c r="AO210">
        <f ca="1"/>
      </c>
      <c r="AP210">
        <f ca="1"/>
      </c>
      <c r="AQ210">
        <f ca="1"/>
      </c>
      <c r="AR210">
        <f ca="1"/>
      </c>
      <c r="AS210">
        <f ca="1"/>
      </c>
      <c r="AT210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AZ210">
        <f ca="1"/>
      </c>
      <c r="BA210">
        <f ca="1"/>
      </c>
      <c r="BB210">
        <f ca="1"/>
      </c>
      <c r="BC210">
        <f ca="1"/>
      </c>
      <c r="BD210">
        <f ca="1"/>
      </c>
      <c r="BE210">
        <f ca="1"/>
      </c>
      <c r="BF210">
        <f ca="1"/>
      </c>
      <c r="BG210">
        <f ca="1"/>
      </c>
      <c r="BH210">
        <f ca="1"/>
      </c>
      <c r="BI210">
        <f ca="1"/>
      </c>
      <c r="BJ210">
        <f ca="1"/>
      </c>
      <c r="BK210">
        <f ca="1"/>
      </c>
      <c r="BL210">
        <f ca="1"/>
      </c>
      <c r="BM210">
        <f ca="1"/>
      </c>
      <c r="BN210">
        <f ca="1"/>
      </c>
      <c r="BO210">
        <f ca="1"/>
      </c>
      <c r="BP210">
        <f ca="1"/>
      </c>
      <c r="BQ210">
        <f ca="1"/>
      </c>
      <c r="BR210">
        <f ca="1"/>
      </c>
      <c r="BS210">
        <f ca="1"/>
      </c>
      <c r="BT210">
        <f ca="1"/>
      </c>
      <c r="BU210">
        <f ca="1"/>
      </c>
      <c r="BV210">
        <f ca="1"/>
      </c>
      <c r="BW210">
        <f ca="1"/>
      </c>
      <c r="BX210">
        <f ca="1"/>
      </c>
      <c r="BY210">
        <f ca="1"/>
      </c>
      <c r="BZ210">
        <f ca="1"/>
      </c>
      <c r="CA210">
        <f ca="1"/>
      </c>
      <c r="CB210">
        <f ca="1"/>
      </c>
      <c r="CC210">
        <f ca="1"/>
      </c>
      <c r="CD210">
        <f ca="1"/>
      </c>
      <c r="CE210">
        <f ca="1"/>
      </c>
      <c r="CF210">
        <f ca="1"/>
      </c>
      <c r="CG210">
        <f ca="1"/>
      </c>
      <c r="CH210">
        <f ca="1"/>
      </c>
      <c r="CI210">
        <f ca="1"/>
      </c>
      <c r="CK210">
        <f ca="1"/>
      </c>
      <c r="CL210">
        <f ca="1"/>
      </c>
      <c r="CM210">
        <f ca="1"/>
      </c>
      <c r="CN210">
        <f ca="1"/>
      </c>
      <c r="CO210">
        <f ca="1"/>
      </c>
      <c r="CP210">
        <f ca="1"/>
      </c>
      <c r="CQ210">
        <f ca="1"/>
      </c>
      <c r="CR210">
        <f ca="1"/>
      </c>
      <c r="CS210">
        <f ca="1"/>
      </c>
      <c r="CT210">
        <f ca="1"/>
      </c>
      <c r="CU210">
        <f ca="1"/>
      </c>
      <c r="CV210">
        <f ca="1"/>
      </c>
      <c r="CW210">
        <f ca="1"/>
      </c>
      <c r="CX210">
        <f ca="1"/>
      </c>
      <c r="CY210">
        <f ca="1"/>
      </c>
      <c r="CZ210">
        <f ca="1"/>
      </c>
      <c r="DA210">
        <f ca="1"/>
      </c>
      <c r="DB210">
        <f ca="1"/>
      </c>
      <c r="DC210">
        <f ca="1"/>
      </c>
      <c r="DD210">
        <f ca="1"/>
      </c>
      <c r="DE210">
        <f ca="1"/>
      </c>
      <c r="DF210">
        <f ca="1"/>
      </c>
      <c r="DG210">
        <f ca="1"/>
      </c>
      <c r="DH210">
        <f ca="1"/>
      </c>
      <c r="DI210">
        <f ca="1"/>
      </c>
      <c r="DJ210">
        <f ca="1"/>
      </c>
      <c r="DK210">
        <f ca="1"/>
      </c>
      <c r="DL210">
        <f ca="1"/>
      </c>
      <c r="DM210">
        <f ca="1"/>
      </c>
      <c r="DN210">
        <f ca="1"/>
      </c>
      <c r="DO210">
        <f ca="1"/>
      </c>
      <c r="DP210">
        <f ca="1"/>
      </c>
      <c r="DQ210">
        <f ca="1"/>
      </c>
      <c r="DR210">
        <f ca="1"/>
      </c>
      <c r="DS210">
        <f ca="1"/>
      </c>
      <c r="DT210">
        <f ca="1"/>
      </c>
      <c r="DU210">
        <f ca="1"/>
      </c>
      <c r="DV210">
        <f ca="1"/>
      </c>
      <c r="DW210">
        <f ca="1"/>
      </c>
      <c r="DX210">
        <f ca="1"/>
      </c>
      <c r="DY210">
        <f ca="1"/>
      </c>
      <c r="DZ210">
        <f ca="1"/>
      </c>
      <c r="EA210">
        <f ca="1"/>
      </c>
      <c r="EB210">
        <f ca="1"/>
      </c>
      <c r="EC210">
        <f ca="1"/>
      </c>
      <c r="ED210">
        <f ca="1"/>
      </c>
      <c r="EE210">
        <f ca="1"/>
      </c>
      <c r="EG210">
        <f ca="1"/>
      </c>
      <c r="EH210">
        <f ca="1"/>
      </c>
      <c r="EI210">
        <f ca="1"/>
      </c>
      <c r="EJ210">
        <f ca="1"/>
      </c>
      <c r="EK210">
        <f ca="1"/>
      </c>
      <c r="EL210">
        <f ca="1"/>
      </c>
      <c r="EM210">
        <f ca="1"/>
      </c>
      <c r="EN210">
        <f ca="1"/>
      </c>
      <c r="EO210">
        <f ca="1"/>
      </c>
      <c r="EP210">
        <f ca="1"/>
      </c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FS210">
        <f ca="1"/>
      </c>
      <c r="FT210">
        <f ca="1"/>
      </c>
      <c r="FU210">
        <f ca="1"/>
      </c>
      <c r="FV210">
        <f ca="1"/>
      </c>
      <c r="FW210">
        <f ca="1"/>
      </c>
      <c r="FX210">
        <f ca="1"/>
      </c>
      <c r="FY210">
        <f ca="1"/>
      </c>
      <c r="FZ210">
        <f ca="1"/>
      </c>
      <c r="GA210">
        <f ca="1"/>
      </c>
      <c r="GM210" s="7">
        <f ca="1"/>
      </c>
      <c r="GN210">
        <f ca="1"/>
      </c>
      <c r="GO210">
        <f ca="1"/>
      </c>
      <c r="GP210">
        <f ca="1"/>
      </c>
      <c r="GQ210">
        <f ca="1"/>
      </c>
    </row>
    <row r="211" spans="41:199" x14ac:dyDescent="0.55000000000000004">
      <c r="AO211">
        <f ca="1"/>
      </c>
      <c r="AP211">
        <f ca="1"/>
      </c>
      <c r="AQ211">
        <f ca="1"/>
      </c>
      <c r="AR211">
        <f ca="1"/>
      </c>
      <c r="AS211">
        <f ca="1"/>
      </c>
      <c r="AT211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AZ211">
        <f ca="1"/>
      </c>
      <c r="BA211">
        <f ca="1"/>
      </c>
      <c r="BB211">
        <f ca="1"/>
      </c>
      <c r="BC211">
        <f ca="1"/>
      </c>
      <c r="BD211">
        <f ca="1"/>
      </c>
      <c r="BE211">
        <f ca="1"/>
      </c>
      <c r="BF211">
        <f ca="1"/>
      </c>
      <c r="BG211">
        <f ca="1"/>
      </c>
      <c r="BH211">
        <f ca="1"/>
      </c>
      <c r="BI211">
        <f ca="1"/>
      </c>
      <c r="BJ211">
        <f ca="1"/>
      </c>
      <c r="BK211">
        <f ca="1"/>
      </c>
      <c r="BL211">
        <f ca="1"/>
      </c>
      <c r="BM211">
        <f ca="1"/>
      </c>
      <c r="BN211">
        <f ca="1"/>
      </c>
      <c r="BO211">
        <f ca="1"/>
      </c>
      <c r="BP211">
        <f ca="1"/>
      </c>
      <c r="BQ211">
        <f ca="1"/>
      </c>
      <c r="BR211">
        <f ca="1"/>
      </c>
      <c r="BS211">
        <f ca="1"/>
      </c>
      <c r="BT211">
        <f ca="1"/>
      </c>
      <c r="BU211">
        <f ca="1"/>
      </c>
      <c r="BV211">
        <f ca="1"/>
      </c>
      <c r="BW211">
        <f ca="1"/>
      </c>
      <c r="BX211">
        <f ca="1"/>
      </c>
      <c r="BY211">
        <f ca="1"/>
      </c>
      <c r="BZ211">
        <f ca="1"/>
      </c>
      <c r="CA211">
        <f ca="1"/>
      </c>
      <c r="CB211">
        <f ca="1"/>
      </c>
      <c r="CC211">
        <f ca="1"/>
      </c>
      <c r="CD211">
        <f ca="1"/>
      </c>
      <c r="CE211">
        <f ca="1"/>
      </c>
      <c r="CF211">
        <f ca="1"/>
      </c>
      <c r="CG211">
        <f ca="1"/>
      </c>
      <c r="CH211">
        <f ca="1"/>
      </c>
      <c r="CI211">
        <f ca="1"/>
      </c>
      <c r="CK211">
        <f ca="1"/>
      </c>
      <c r="CL211">
        <f ca="1"/>
      </c>
      <c r="CM211">
        <f ca="1"/>
      </c>
      <c r="CN211">
        <f ca="1"/>
      </c>
      <c r="CO211">
        <f ca="1"/>
      </c>
      <c r="CP211">
        <f ca="1"/>
      </c>
      <c r="CQ211">
        <f ca="1"/>
      </c>
      <c r="CR211">
        <f ca="1"/>
      </c>
      <c r="CS211">
        <f ca="1"/>
      </c>
      <c r="CT211">
        <f ca="1"/>
      </c>
      <c r="CU211">
        <f ca="1"/>
      </c>
      <c r="CV211">
        <f ca="1"/>
      </c>
      <c r="CW211">
        <f ca="1"/>
      </c>
      <c r="CX211">
        <f ca="1"/>
      </c>
      <c r="CY211">
        <f ca="1"/>
      </c>
      <c r="CZ211">
        <f ca="1"/>
      </c>
      <c r="DA211">
        <f ca="1"/>
      </c>
      <c r="DB211">
        <f ca="1"/>
      </c>
      <c r="DC211">
        <f ca="1"/>
      </c>
      <c r="DD211">
        <f ca="1"/>
      </c>
      <c r="DE211">
        <f ca="1"/>
      </c>
      <c r="DF211">
        <f ca="1"/>
      </c>
      <c r="DG211">
        <f ca="1"/>
      </c>
      <c r="DH211">
        <f ca="1"/>
      </c>
      <c r="DI211">
        <f ca="1"/>
      </c>
      <c r="DJ211">
        <f ca="1"/>
      </c>
      <c r="DK211">
        <f ca="1"/>
      </c>
      <c r="DL211">
        <f ca="1"/>
      </c>
      <c r="DM211">
        <f ca="1"/>
      </c>
      <c r="DN211">
        <f ca="1"/>
      </c>
      <c r="DO211">
        <f ca="1"/>
      </c>
      <c r="DP211">
        <f ca="1"/>
      </c>
      <c r="DQ211">
        <f ca="1"/>
      </c>
      <c r="DR211">
        <f ca="1"/>
      </c>
      <c r="DS211">
        <f ca="1"/>
      </c>
      <c r="DT211">
        <f ca="1"/>
      </c>
      <c r="DU211">
        <f ca="1"/>
      </c>
      <c r="DV211">
        <f ca="1"/>
      </c>
      <c r="DW211">
        <f ca="1"/>
      </c>
      <c r="DX211">
        <f ca="1"/>
      </c>
      <c r="DY211">
        <f ca="1"/>
      </c>
      <c r="DZ211">
        <f ca="1"/>
      </c>
      <c r="EA211">
        <f ca="1"/>
      </c>
      <c r="EB211">
        <f ca="1"/>
      </c>
      <c r="EC211">
        <f ca="1"/>
      </c>
      <c r="ED211">
        <f ca="1"/>
      </c>
      <c r="EE211">
        <f ca="1"/>
      </c>
      <c r="EG211">
        <f ca="1"/>
      </c>
      <c r="EH211">
        <f ca="1"/>
      </c>
      <c r="EI211">
        <f ca="1"/>
      </c>
      <c r="EJ211">
        <f ca="1"/>
      </c>
      <c r="EK211">
        <f ca="1"/>
      </c>
      <c r="EL211">
        <f ca="1"/>
      </c>
      <c r="EM211">
        <f ca="1"/>
      </c>
      <c r="EN211">
        <f ca="1"/>
      </c>
      <c r="EO211">
        <f ca="1"/>
      </c>
      <c r="EP211">
        <f ca="1"/>
      </c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FS211">
        <f ca="1"/>
      </c>
      <c r="FT211">
        <f ca="1"/>
      </c>
      <c r="FU211">
        <f ca="1"/>
      </c>
      <c r="FV211">
        <f ca="1"/>
      </c>
      <c r="FW211">
        <f ca="1"/>
      </c>
      <c r="FX211">
        <f ca="1"/>
      </c>
      <c r="FY211">
        <f ca="1"/>
      </c>
      <c r="FZ211">
        <f ca="1"/>
      </c>
      <c r="GA211">
        <f ca="1"/>
      </c>
      <c r="GM211" s="7">
        <f ca="1"/>
      </c>
      <c r="GN211">
        <f ca="1"/>
      </c>
      <c r="GO211">
        <f ca="1"/>
      </c>
      <c r="GP211">
        <f ca="1"/>
      </c>
      <c r="GQ211">
        <f ca="1"/>
      </c>
    </row>
    <row r="212" spans="41:199" x14ac:dyDescent="0.55000000000000004">
      <c r="AO212">
        <f ca="1"/>
      </c>
      <c r="AP212">
        <f ca="1"/>
      </c>
      <c r="AQ212">
        <f ca="1"/>
      </c>
      <c r="AR212">
        <f ca="1"/>
      </c>
      <c r="AS212">
        <f ca="1"/>
      </c>
      <c r="AT212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AZ212">
        <f ca="1"/>
      </c>
      <c r="BA212">
        <f ca="1"/>
      </c>
      <c r="BB212">
        <f ca="1"/>
      </c>
      <c r="BC212">
        <f ca="1"/>
      </c>
      <c r="BD212">
        <f ca="1"/>
      </c>
      <c r="BE212">
        <f ca="1"/>
      </c>
      <c r="BF212">
        <f ca="1"/>
      </c>
      <c r="BG212">
        <f ca="1"/>
      </c>
      <c r="BH212">
        <f ca="1"/>
      </c>
      <c r="BI212">
        <f ca="1"/>
      </c>
      <c r="BJ212">
        <f ca="1"/>
      </c>
      <c r="BK212">
        <f ca="1"/>
      </c>
      <c r="BL212">
        <f ca="1"/>
      </c>
      <c r="BM212">
        <f ca="1"/>
      </c>
      <c r="BN212">
        <f ca="1"/>
      </c>
      <c r="BO212">
        <f ca="1"/>
      </c>
      <c r="BP212">
        <f ca="1"/>
      </c>
      <c r="BQ212">
        <f ca="1"/>
      </c>
      <c r="BR212">
        <f ca="1"/>
      </c>
      <c r="BS212">
        <f ca="1"/>
      </c>
      <c r="BT212">
        <f ca="1"/>
      </c>
      <c r="BU212">
        <f ca="1"/>
      </c>
      <c r="BV212">
        <f ca="1"/>
      </c>
      <c r="BW212">
        <f ca="1"/>
      </c>
      <c r="BX212">
        <f ca="1"/>
      </c>
      <c r="BY212">
        <f ca="1"/>
      </c>
      <c r="BZ212">
        <f ca="1"/>
      </c>
      <c r="CA212">
        <f ca="1"/>
      </c>
      <c r="CB212">
        <f ca="1"/>
      </c>
      <c r="CC212">
        <f ca="1"/>
      </c>
      <c r="CD212">
        <f ca="1"/>
      </c>
      <c r="CE212">
        <f ca="1"/>
      </c>
      <c r="CF212">
        <f ca="1"/>
      </c>
      <c r="CG212">
        <f ca="1"/>
      </c>
      <c r="CH212">
        <f ca="1"/>
      </c>
      <c r="CI212">
        <f ca="1"/>
      </c>
      <c r="CK212">
        <f ca="1"/>
      </c>
      <c r="CL212">
        <f ca="1"/>
      </c>
      <c r="CM212">
        <f ca="1"/>
      </c>
      <c r="CN212">
        <f ca="1"/>
      </c>
      <c r="CO212">
        <f ca="1"/>
      </c>
      <c r="CP212">
        <f ca="1"/>
      </c>
      <c r="CQ212">
        <f ca="1"/>
      </c>
      <c r="CR212">
        <f ca="1"/>
      </c>
      <c r="CS212">
        <f ca="1"/>
      </c>
      <c r="CT212">
        <f ca="1"/>
      </c>
      <c r="CU212">
        <f ca="1"/>
      </c>
      <c r="CV212">
        <f ca="1"/>
      </c>
      <c r="CW212">
        <f ca="1"/>
      </c>
      <c r="CX212">
        <f ca="1"/>
      </c>
      <c r="CY212">
        <f ca="1"/>
      </c>
      <c r="CZ212">
        <f ca="1"/>
      </c>
      <c r="DA212">
        <f ca="1"/>
      </c>
      <c r="DB212">
        <f ca="1"/>
      </c>
      <c r="DC212">
        <f ca="1"/>
      </c>
      <c r="DD212">
        <f ca="1"/>
      </c>
      <c r="DE212">
        <f ca="1"/>
      </c>
      <c r="DF212">
        <f ca="1"/>
      </c>
      <c r="DG212">
        <f ca="1"/>
      </c>
      <c r="DH212">
        <f ca="1"/>
      </c>
      <c r="DI212">
        <f ca="1"/>
      </c>
      <c r="DJ212">
        <f ca="1"/>
      </c>
      <c r="DK212">
        <f ca="1"/>
      </c>
      <c r="DL212">
        <f ca="1"/>
      </c>
      <c r="DM212">
        <f ca="1"/>
      </c>
      <c r="DN212">
        <f ca="1"/>
      </c>
      <c r="DO212">
        <f ca="1"/>
      </c>
      <c r="DP212">
        <f ca="1"/>
      </c>
      <c r="DQ212">
        <f ca="1"/>
      </c>
      <c r="DR212">
        <f ca="1"/>
      </c>
      <c r="DS212">
        <f ca="1"/>
      </c>
      <c r="DT212">
        <f ca="1"/>
      </c>
      <c r="DU212">
        <f ca="1"/>
      </c>
      <c r="DV212">
        <f ca="1"/>
      </c>
      <c r="DW212">
        <f ca="1"/>
      </c>
      <c r="DX212">
        <f ca="1"/>
      </c>
      <c r="DY212">
        <f ca="1"/>
      </c>
      <c r="DZ212">
        <f ca="1"/>
      </c>
      <c r="EA212">
        <f ca="1"/>
      </c>
      <c r="EB212">
        <f ca="1"/>
      </c>
      <c r="EC212">
        <f ca="1"/>
      </c>
      <c r="ED212">
        <f ca="1"/>
      </c>
      <c r="EE212">
        <f ca="1"/>
      </c>
      <c r="EG212">
        <f ca="1"/>
      </c>
      <c r="EH212">
        <f ca="1"/>
      </c>
      <c r="EI212">
        <f ca="1"/>
      </c>
      <c r="EJ212">
        <f ca="1"/>
      </c>
      <c r="EK212">
        <f ca="1"/>
      </c>
      <c r="EL212">
        <f ca="1"/>
      </c>
      <c r="EM212">
        <f ca="1"/>
      </c>
      <c r="EN212">
        <f ca="1"/>
      </c>
      <c r="EO212">
        <f ca="1"/>
      </c>
      <c r="EP212">
        <f ca="1"/>
      </c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FS212">
        <f ca="1"/>
      </c>
      <c r="FT212">
        <f ca="1"/>
      </c>
      <c r="FU212">
        <f ca="1"/>
      </c>
      <c r="FV212">
        <f ca="1"/>
      </c>
      <c r="FW212">
        <f ca="1"/>
      </c>
      <c r="FX212">
        <f ca="1"/>
      </c>
      <c r="FY212">
        <f ca="1"/>
      </c>
      <c r="FZ212">
        <f ca="1"/>
      </c>
      <c r="GA212">
        <f ca="1"/>
      </c>
      <c r="GM212" s="7">
        <f ca="1"/>
      </c>
      <c r="GN212">
        <f ca="1"/>
      </c>
      <c r="GO212">
        <f ca="1"/>
      </c>
      <c r="GP212">
        <f ca="1"/>
      </c>
      <c r="GQ212">
        <f ca="1"/>
      </c>
    </row>
    <row r="213" spans="41:199" x14ac:dyDescent="0.55000000000000004">
      <c r="AO213">
        <f ca="1"/>
      </c>
      <c r="AP213">
        <f ca="1"/>
      </c>
      <c r="AQ213">
        <f ca="1"/>
      </c>
      <c r="AR213">
        <f ca="1"/>
      </c>
      <c r="AS213">
        <f ca="1"/>
      </c>
      <c r="AT213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AZ213">
        <f ca="1"/>
      </c>
      <c r="BA213">
        <f ca="1"/>
      </c>
      <c r="BB213">
        <f ca="1"/>
      </c>
      <c r="BC213">
        <f ca="1"/>
      </c>
      <c r="BD213">
        <f ca="1"/>
      </c>
      <c r="BE213">
        <f ca="1"/>
      </c>
      <c r="BF213">
        <f ca="1"/>
      </c>
      <c r="BG213">
        <f ca="1"/>
      </c>
      <c r="BH213">
        <f ca="1"/>
      </c>
      <c r="BI213">
        <f ca="1"/>
      </c>
      <c r="BJ213">
        <f ca="1"/>
      </c>
      <c r="BK213">
        <f ca="1"/>
      </c>
      <c r="BL213">
        <f ca="1"/>
      </c>
      <c r="BM213">
        <f ca="1"/>
      </c>
      <c r="BN213">
        <f ca="1"/>
      </c>
      <c r="BO213">
        <f ca="1"/>
      </c>
      <c r="BP213">
        <f ca="1"/>
      </c>
      <c r="BQ213">
        <f ca="1"/>
      </c>
      <c r="BR213">
        <f ca="1"/>
      </c>
      <c r="BS213">
        <f ca="1"/>
      </c>
      <c r="BT213">
        <f ca="1"/>
      </c>
      <c r="BU213">
        <f ca="1"/>
      </c>
      <c r="BV213">
        <f ca="1"/>
      </c>
      <c r="BW213">
        <f ca="1"/>
      </c>
      <c r="BX213">
        <f ca="1"/>
      </c>
      <c r="BY213">
        <f ca="1"/>
      </c>
      <c r="BZ213">
        <f ca="1"/>
      </c>
      <c r="CA213">
        <f ca="1"/>
      </c>
      <c r="CB213">
        <f ca="1"/>
      </c>
      <c r="CC213">
        <f ca="1"/>
      </c>
      <c r="CD213">
        <f ca="1"/>
      </c>
      <c r="CE213">
        <f ca="1"/>
      </c>
      <c r="CF213">
        <f ca="1"/>
      </c>
      <c r="CG213">
        <f ca="1"/>
      </c>
      <c r="CH213">
        <f ca="1"/>
      </c>
      <c r="CI213">
        <f ca="1"/>
      </c>
      <c r="CK213">
        <f ca="1"/>
      </c>
      <c r="CL213">
        <f ca="1"/>
      </c>
      <c r="CM213">
        <f ca="1"/>
      </c>
      <c r="CN213">
        <f ca="1"/>
      </c>
      <c r="CO213">
        <f ca="1"/>
      </c>
      <c r="CP213">
        <f ca="1"/>
      </c>
      <c r="CQ213">
        <f ca="1"/>
      </c>
      <c r="CR213">
        <f ca="1"/>
      </c>
      <c r="CS213">
        <f ca="1"/>
      </c>
      <c r="CT213">
        <f ca="1"/>
      </c>
      <c r="CU213">
        <f ca="1"/>
      </c>
      <c r="CV213">
        <f ca="1"/>
      </c>
      <c r="CW213">
        <f ca="1"/>
      </c>
      <c r="CX213">
        <f ca="1"/>
      </c>
      <c r="CY213">
        <f ca="1"/>
      </c>
      <c r="CZ213">
        <f ca="1"/>
      </c>
      <c r="DA213">
        <f ca="1"/>
      </c>
      <c r="DB213">
        <f ca="1"/>
      </c>
      <c r="DC213">
        <f ca="1"/>
      </c>
      <c r="DD213">
        <f ca="1"/>
      </c>
      <c r="DE213">
        <f ca="1"/>
      </c>
      <c r="DF213">
        <f ca="1"/>
      </c>
      <c r="DG213">
        <f ca="1"/>
      </c>
      <c r="DH213">
        <f ca="1"/>
      </c>
      <c r="DI213">
        <f ca="1"/>
      </c>
      <c r="DJ213">
        <f ca="1"/>
      </c>
      <c r="DK213">
        <f ca="1"/>
      </c>
      <c r="DL213">
        <f ca="1"/>
      </c>
      <c r="DM213">
        <f ca="1"/>
      </c>
      <c r="DN213">
        <f ca="1"/>
      </c>
      <c r="DO213">
        <f ca="1"/>
      </c>
      <c r="DP213">
        <f ca="1"/>
      </c>
      <c r="DQ213">
        <f ca="1"/>
      </c>
      <c r="DR213">
        <f ca="1"/>
      </c>
      <c r="DS213">
        <f ca="1"/>
      </c>
      <c r="DT213">
        <f ca="1"/>
      </c>
      <c r="DU213">
        <f ca="1"/>
      </c>
      <c r="DV213">
        <f ca="1"/>
      </c>
      <c r="DW213">
        <f ca="1"/>
      </c>
      <c r="DX213">
        <f ca="1"/>
      </c>
      <c r="DY213">
        <f ca="1"/>
      </c>
      <c r="DZ213">
        <f ca="1"/>
      </c>
      <c r="EA213">
        <f ca="1"/>
      </c>
      <c r="EB213">
        <f ca="1"/>
      </c>
      <c r="EC213">
        <f ca="1"/>
      </c>
      <c r="ED213">
        <f ca="1"/>
      </c>
      <c r="EE213">
        <f ca="1"/>
      </c>
      <c r="EG213">
        <f ca="1"/>
      </c>
      <c r="EH213">
        <f ca="1"/>
      </c>
      <c r="EI213">
        <f ca="1"/>
      </c>
      <c r="EJ213">
        <f ca="1"/>
      </c>
      <c r="EK213">
        <f ca="1"/>
      </c>
      <c r="EL213">
        <f ca="1"/>
      </c>
      <c r="EM213">
        <f ca="1"/>
      </c>
      <c r="EN213">
        <f ca="1"/>
      </c>
      <c r="EO213">
        <f ca="1"/>
      </c>
      <c r="EP213">
        <f ca="1"/>
      </c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FS213">
        <f ca="1"/>
      </c>
      <c r="FT213">
        <f ca="1"/>
      </c>
      <c r="FU213">
        <f ca="1"/>
      </c>
      <c r="FV213">
        <f ca="1"/>
      </c>
      <c r="FW213">
        <f ca="1"/>
      </c>
      <c r="FX213">
        <f ca="1"/>
      </c>
      <c r="FY213">
        <f ca="1"/>
      </c>
      <c r="FZ213">
        <f ca="1"/>
      </c>
      <c r="GA213">
        <f ca="1"/>
      </c>
      <c r="GM213" s="7">
        <f ca="1"/>
      </c>
      <c r="GN213">
        <f ca="1"/>
      </c>
      <c r="GO213">
        <f ca="1"/>
      </c>
      <c r="GP213">
        <f ca="1"/>
      </c>
      <c r="GQ213">
        <f ca="1"/>
      </c>
    </row>
    <row r="214" spans="41:199" x14ac:dyDescent="0.55000000000000004">
      <c r="AO214">
        <f ca="1"/>
      </c>
      <c r="AP214">
        <f ca="1"/>
      </c>
      <c r="AQ214">
        <f ca="1"/>
      </c>
      <c r="AR214">
        <f ca="1"/>
      </c>
      <c r="AS214">
        <f ca="1"/>
      </c>
      <c r="AT214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AZ214">
        <f ca="1"/>
      </c>
      <c r="BA214">
        <f ca="1"/>
      </c>
      <c r="BB214">
        <f ca="1"/>
      </c>
      <c r="BC214">
        <f ca="1"/>
      </c>
      <c r="BD214">
        <f ca="1"/>
      </c>
      <c r="BE214">
        <f ca="1"/>
      </c>
      <c r="BF214">
        <f ca="1"/>
      </c>
      <c r="BG214">
        <f ca="1"/>
      </c>
      <c r="BH214">
        <f ca="1"/>
      </c>
      <c r="BI214">
        <f ca="1"/>
      </c>
      <c r="BJ214">
        <f ca="1"/>
      </c>
      <c r="BK214">
        <f ca="1"/>
      </c>
      <c r="BL214">
        <f ca="1"/>
      </c>
      <c r="BM214">
        <f ca="1"/>
      </c>
      <c r="BN214">
        <f ca="1"/>
      </c>
      <c r="BO214">
        <f ca="1"/>
      </c>
      <c r="BP214">
        <f ca="1"/>
      </c>
      <c r="BQ214">
        <f ca="1"/>
      </c>
      <c r="BR214">
        <f ca="1"/>
      </c>
      <c r="BS214">
        <f ca="1"/>
      </c>
      <c r="BT214">
        <f ca="1"/>
      </c>
      <c r="BU214">
        <f ca="1"/>
      </c>
      <c r="BV214">
        <f ca="1"/>
      </c>
      <c r="BW214">
        <f ca="1"/>
      </c>
      <c r="BX214">
        <f ca="1"/>
      </c>
      <c r="BY214">
        <f ca="1"/>
      </c>
      <c r="BZ214">
        <f ca="1"/>
      </c>
      <c r="CA214">
        <f ca="1"/>
      </c>
      <c r="CB214">
        <f ca="1"/>
      </c>
      <c r="CC214">
        <f ca="1"/>
      </c>
      <c r="CD214">
        <f ca="1"/>
      </c>
      <c r="CE214">
        <f ca="1"/>
      </c>
      <c r="CF214">
        <f ca="1"/>
      </c>
      <c r="CG214">
        <f ca="1"/>
      </c>
      <c r="CH214">
        <f ca="1"/>
      </c>
      <c r="CI214">
        <f ca="1"/>
      </c>
      <c r="CK214">
        <f ca="1"/>
      </c>
      <c r="CL214">
        <f ca="1"/>
      </c>
      <c r="CM214">
        <f ca="1"/>
      </c>
      <c r="CN214">
        <f ca="1"/>
      </c>
      <c r="CO214">
        <f ca="1"/>
      </c>
      <c r="CP214">
        <f ca="1"/>
      </c>
      <c r="CQ214">
        <f ca="1"/>
      </c>
      <c r="CR214">
        <f ca="1"/>
      </c>
      <c r="CS214">
        <f ca="1"/>
      </c>
      <c r="CT214">
        <f ca="1"/>
      </c>
      <c r="CU214">
        <f ca="1"/>
      </c>
      <c r="CV214">
        <f ca="1"/>
      </c>
      <c r="CW214">
        <f ca="1"/>
      </c>
      <c r="CX214">
        <f ca="1"/>
      </c>
      <c r="CY214">
        <f ca="1"/>
      </c>
      <c r="CZ214">
        <f ca="1"/>
      </c>
      <c r="DA214">
        <f ca="1"/>
      </c>
      <c r="DB214">
        <f ca="1"/>
      </c>
      <c r="DC214">
        <f ca="1"/>
      </c>
      <c r="DD214">
        <f ca="1"/>
      </c>
      <c r="DE214">
        <f ca="1"/>
      </c>
      <c r="DF214">
        <f ca="1"/>
      </c>
      <c r="DG214">
        <f ca="1"/>
      </c>
      <c r="DH214">
        <f ca="1"/>
      </c>
      <c r="DI214">
        <f ca="1"/>
      </c>
      <c r="DJ214">
        <f ca="1"/>
      </c>
      <c r="DK214">
        <f ca="1"/>
      </c>
      <c r="DL214">
        <f ca="1"/>
      </c>
      <c r="DM214">
        <f ca="1"/>
      </c>
      <c r="DN214">
        <f ca="1"/>
      </c>
      <c r="DO214">
        <f ca="1"/>
      </c>
      <c r="DP214">
        <f ca="1"/>
      </c>
      <c r="DQ214">
        <f ca="1"/>
      </c>
      <c r="DR214">
        <f ca="1"/>
      </c>
      <c r="DS214">
        <f ca="1"/>
      </c>
      <c r="DT214">
        <f ca="1"/>
      </c>
      <c r="DU214">
        <f ca="1"/>
      </c>
      <c r="DV214">
        <f ca="1"/>
      </c>
      <c r="DW214">
        <f ca="1"/>
      </c>
      <c r="DX214">
        <f ca="1"/>
      </c>
      <c r="DY214">
        <f ca="1"/>
      </c>
      <c r="DZ214">
        <f ca="1"/>
      </c>
      <c r="EA214">
        <f ca="1"/>
      </c>
      <c r="EB214">
        <f ca="1"/>
      </c>
      <c r="EC214">
        <f ca="1"/>
      </c>
      <c r="ED214">
        <f ca="1"/>
      </c>
      <c r="EE214">
        <f ca="1"/>
      </c>
      <c r="EG214">
        <f ca="1"/>
      </c>
      <c r="EH214">
        <f ca="1"/>
      </c>
      <c r="EI214">
        <f ca="1"/>
      </c>
      <c r="EJ214">
        <f ca="1"/>
      </c>
      <c r="EK214">
        <f ca="1"/>
      </c>
      <c r="EL214">
        <f ca="1"/>
      </c>
      <c r="EM214">
        <f ca="1"/>
      </c>
      <c r="EN214">
        <f ca="1"/>
      </c>
      <c r="EO214">
        <f ca="1"/>
      </c>
      <c r="EP214">
        <f ca="1"/>
      </c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FS214">
        <f ca="1"/>
      </c>
      <c r="FT214">
        <f ca="1"/>
      </c>
      <c r="FU214">
        <f ca="1"/>
      </c>
      <c r="FV214">
        <f ca="1"/>
      </c>
      <c r="FW214">
        <f ca="1"/>
      </c>
      <c r="FX214">
        <f ca="1"/>
      </c>
      <c r="FY214">
        <f ca="1"/>
      </c>
      <c r="FZ214">
        <f ca="1"/>
      </c>
      <c r="GA214">
        <f ca="1"/>
      </c>
      <c r="GM214" s="7">
        <f ca="1"/>
      </c>
      <c r="GN214">
        <f ca="1"/>
      </c>
      <c r="GO214">
        <f ca="1"/>
      </c>
      <c r="GP214">
        <f ca="1"/>
      </c>
      <c r="GQ214">
        <f ca="1"/>
      </c>
    </row>
    <row r="215" spans="41:199" x14ac:dyDescent="0.55000000000000004">
      <c r="AO215">
        <f ca="1"/>
      </c>
      <c r="AP215">
        <f ca="1"/>
      </c>
      <c r="AQ215">
        <f ca="1"/>
      </c>
      <c r="AR215">
        <f ca="1"/>
      </c>
      <c r="AS215">
        <f ca="1"/>
      </c>
      <c r="AT215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AZ215">
        <f ca="1"/>
      </c>
      <c r="BA215">
        <f ca="1"/>
      </c>
      <c r="BB215">
        <f ca="1"/>
      </c>
      <c r="BC215">
        <f ca="1"/>
      </c>
      <c r="BD215">
        <f ca="1"/>
      </c>
      <c r="BE215">
        <f ca="1"/>
      </c>
      <c r="BF215">
        <f ca="1"/>
      </c>
      <c r="BG215">
        <f ca="1"/>
      </c>
      <c r="BH215">
        <f ca="1"/>
      </c>
      <c r="BI215">
        <f ca="1"/>
      </c>
      <c r="BJ215">
        <f ca="1"/>
      </c>
      <c r="BK215">
        <f ca="1"/>
      </c>
      <c r="BL215">
        <f ca="1"/>
      </c>
      <c r="BM215">
        <f ca="1"/>
      </c>
      <c r="BN215">
        <f ca="1"/>
      </c>
      <c r="BO215">
        <f ca="1"/>
      </c>
      <c r="BP215">
        <f ca="1"/>
      </c>
      <c r="BQ215">
        <f ca="1"/>
      </c>
      <c r="BR215">
        <f ca="1"/>
      </c>
      <c r="BS215">
        <f ca="1"/>
      </c>
      <c r="BT215">
        <f ca="1"/>
      </c>
      <c r="BU215">
        <f ca="1"/>
      </c>
      <c r="BV215">
        <f ca="1"/>
      </c>
      <c r="BW215">
        <f ca="1"/>
      </c>
      <c r="BX215">
        <f ca="1"/>
      </c>
      <c r="BY215">
        <f ca="1"/>
      </c>
      <c r="BZ215">
        <f ca="1"/>
      </c>
      <c r="CA215">
        <f ca="1"/>
      </c>
      <c r="CB215">
        <f ca="1"/>
      </c>
      <c r="CC215">
        <f ca="1"/>
      </c>
      <c r="CD215">
        <f ca="1"/>
      </c>
      <c r="CE215">
        <f ca="1"/>
      </c>
      <c r="CF215">
        <f ca="1"/>
      </c>
      <c r="CG215">
        <f ca="1"/>
      </c>
      <c r="CH215">
        <f ca="1"/>
      </c>
      <c r="CI215">
        <f ca="1"/>
      </c>
      <c r="CK215">
        <f ca="1"/>
      </c>
      <c r="CL215">
        <f ca="1"/>
      </c>
      <c r="CM215">
        <f ca="1"/>
      </c>
      <c r="CN215">
        <f ca="1"/>
      </c>
      <c r="CO215">
        <f ca="1"/>
      </c>
      <c r="CP215">
        <f ca="1"/>
      </c>
      <c r="CQ215">
        <f ca="1"/>
      </c>
      <c r="CR215">
        <f ca="1"/>
      </c>
      <c r="CS215">
        <f ca="1"/>
      </c>
      <c r="CT215">
        <f ca="1"/>
      </c>
      <c r="CU215">
        <f ca="1"/>
      </c>
      <c r="CV215">
        <f ca="1"/>
      </c>
      <c r="CW215">
        <f ca="1"/>
      </c>
      <c r="CX215">
        <f ca="1"/>
      </c>
      <c r="CY215">
        <f ca="1"/>
      </c>
      <c r="CZ215">
        <f ca="1"/>
      </c>
      <c r="DA215">
        <f ca="1"/>
      </c>
      <c r="DB215">
        <f ca="1"/>
      </c>
      <c r="DC215">
        <f ca="1"/>
      </c>
      <c r="DD215">
        <f ca="1"/>
      </c>
      <c r="DE215">
        <f ca="1"/>
      </c>
      <c r="DF215">
        <f ca="1"/>
      </c>
      <c r="DG215">
        <f ca="1"/>
      </c>
      <c r="DH215">
        <f ca="1"/>
      </c>
      <c r="DI215">
        <f ca="1"/>
      </c>
      <c r="DJ215">
        <f ca="1"/>
      </c>
      <c r="DK215">
        <f ca="1"/>
      </c>
      <c r="DL215">
        <f ca="1"/>
      </c>
      <c r="DM215">
        <f ca="1"/>
      </c>
      <c r="DN215">
        <f ca="1"/>
      </c>
      <c r="DO215">
        <f ca="1"/>
      </c>
      <c r="DP215">
        <f ca="1"/>
      </c>
      <c r="DQ215">
        <f ca="1"/>
      </c>
      <c r="DR215">
        <f ca="1"/>
      </c>
      <c r="DS215">
        <f ca="1"/>
      </c>
      <c r="DT215">
        <f ca="1"/>
      </c>
      <c r="DU215">
        <f ca="1"/>
      </c>
      <c r="DV215">
        <f ca="1"/>
      </c>
      <c r="DW215">
        <f ca="1"/>
      </c>
      <c r="DX215">
        <f ca="1"/>
      </c>
      <c r="DY215">
        <f ca="1"/>
      </c>
      <c r="DZ215">
        <f ca="1"/>
      </c>
      <c r="EA215">
        <f ca="1"/>
      </c>
      <c r="EB215">
        <f ca="1"/>
      </c>
      <c r="EC215">
        <f ca="1"/>
      </c>
      <c r="ED215">
        <f ca="1"/>
      </c>
      <c r="EE215">
        <f ca="1"/>
      </c>
      <c r="EG215">
        <f ca="1"/>
      </c>
      <c r="EH215">
        <f ca="1"/>
      </c>
      <c r="EI215">
        <f ca="1"/>
      </c>
      <c r="EJ215">
        <f ca="1"/>
      </c>
      <c r="EK215">
        <f ca="1"/>
      </c>
      <c r="EL215">
        <f ca="1"/>
      </c>
      <c r="EM215">
        <f ca="1"/>
      </c>
      <c r="EN215">
        <f ca="1"/>
      </c>
      <c r="EO215">
        <f ca="1"/>
      </c>
      <c r="EP215">
        <f ca="1"/>
      </c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FS215">
        <f ca="1"/>
      </c>
      <c r="FT215">
        <f ca="1"/>
      </c>
      <c r="FU215">
        <f ca="1"/>
      </c>
      <c r="FV215">
        <f ca="1"/>
      </c>
      <c r="FW215">
        <f ca="1"/>
      </c>
      <c r="FX215">
        <f ca="1"/>
      </c>
      <c r="FY215">
        <f ca="1"/>
      </c>
      <c r="FZ215">
        <f ca="1"/>
      </c>
      <c r="GA215">
        <f ca="1"/>
      </c>
      <c r="GM215" s="7">
        <f ca="1"/>
      </c>
      <c r="GN215">
        <f ca="1"/>
      </c>
      <c r="GO215">
        <f ca="1"/>
      </c>
      <c r="GP215">
        <f ca="1"/>
      </c>
      <c r="GQ215">
        <f ca="1"/>
      </c>
    </row>
    <row r="216" spans="41:199" x14ac:dyDescent="0.55000000000000004">
      <c r="AO216">
        <f ca="1"/>
      </c>
      <c r="AP216">
        <f ca="1"/>
      </c>
      <c r="AQ216">
        <f ca="1"/>
      </c>
      <c r="AR216">
        <f ca="1"/>
      </c>
      <c r="AS216">
        <f ca="1"/>
      </c>
      <c r="AT216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AZ216">
        <f ca="1"/>
      </c>
      <c r="BA216">
        <f ca="1"/>
      </c>
      <c r="BB216">
        <f ca="1"/>
      </c>
      <c r="BC216">
        <f ca="1"/>
      </c>
      <c r="BD216">
        <f ca="1"/>
      </c>
      <c r="BE216">
        <f ca="1"/>
      </c>
      <c r="BF216">
        <f ca="1"/>
      </c>
      <c r="BG216">
        <f ca="1"/>
      </c>
      <c r="BH216">
        <f ca="1"/>
      </c>
      <c r="BI216">
        <f ca="1"/>
      </c>
      <c r="BJ216">
        <f ca="1"/>
      </c>
      <c r="BK216">
        <f ca="1"/>
      </c>
      <c r="BL216">
        <f ca="1"/>
      </c>
      <c r="BM216">
        <f ca="1"/>
      </c>
      <c r="BN216">
        <f ca="1"/>
      </c>
      <c r="BO216">
        <f ca="1"/>
      </c>
      <c r="BP216">
        <f ca="1"/>
      </c>
      <c r="BQ216">
        <f ca="1"/>
      </c>
      <c r="BR216">
        <f ca="1"/>
      </c>
      <c r="BS216">
        <f ca="1"/>
      </c>
      <c r="BT216">
        <f ca="1"/>
      </c>
      <c r="BU216">
        <f ca="1"/>
      </c>
      <c r="BV216">
        <f ca="1"/>
      </c>
      <c r="BW216">
        <f ca="1"/>
      </c>
      <c r="BX216">
        <f ca="1"/>
      </c>
      <c r="BY216">
        <f ca="1"/>
      </c>
      <c r="BZ216">
        <f ca="1"/>
      </c>
      <c r="CA216">
        <f ca="1"/>
      </c>
      <c r="CB216">
        <f ca="1"/>
      </c>
      <c r="CC216">
        <f ca="1"/>
      </c>
      <c r="CD216">
        <f ca="1"/>
      </c>
      <c r="CE216">
        <f ca="1"/>
      </c>
      <c r="CF216">
        <f ca="1"/>
      </c>
      <c r="CG216">
        <f ca="1"/>
      </c>
      <c r="CH216">
        <f ca="1"/>
      </c>
      <c r="CI216">
        <f ca="1"/>
      </c>
      <c r="CK216">
        <f ca="1"/>
      </c>
      <c r="CL216">
        <f ca="1"/>
      </c>
      <c r="CM216">
        <f ca="1"/>
      </c>
      <c r="CN216">
        <f ca="1"/>
      </c>
      <c r="CO216">
        <f ca="1"/>
      </c>
      <c r="CP216">
        <f ca="1"/>
      </c>
      <c r="CQ216">
        <f ca="1"/>
      </c>
      <c r="CR216">
        <f ca="1"/>
      </c>
      <c r="CS216">
        <f ca="1"/>
      </c>
      <c r="CT216">
        <f ca="1"/>
      </c>
      <c r="CU216">
        <f ca="1"/>
      </c>
      <c r="CV216">
        <f ca="1"/>
      </c>
      <c r="CW216">
        <f ca="1"/>
      </c>
      <c r="CX216">
        <f ca="1"/>
      </c>
      <c r="CY216">
        <f ca="1"/>
      </c>
      <c r="CZ216">
        <f ca="1"/>
      </c>
      <c r="DA216">
        <f ca="1"/>
      </c>
      <c r="DB216">
        <f ca="1"/>
      </c>
      <c r="DC216">
        <f ca="1"/>
      </c>
      <c r="DD216">
        <f ca="1"/>
      </c>
      <c r="DE216">
        <f ca="1"/>
      </c>
      <c r="DF216">
        <f ca="1"/>
      </c>
      <c r="DG216">
        <f ca="1"/>
      </c>
      <c r="DH216">
        <f ca="1"/>
      </c>
      <c r="DI216">
        <f ca="1"/>
      </c>
      <c r="DJ216">
        <f ca="1"/>
      </c>
      <c r="DK216">
        <f ca="1"/>
      </c>
      <c r="DL216">
        <f ca="1"/>
      </c>
      <c r="DM216">
        <f ca="1"/>
      </c>
      <c r="DN216">
        <f ca="1"/>
      </c>
      <c r="DO216">
        <f ca="1"/>
      </c>
      <c r="DP216">
        <f ca="1"/>
      </c>
      <c r="DQ216">
        <f ca="1"/>
      </c>
      <c r="DR216">
        <f ca="1"/>
      </c>
      <c r="DS216">
        <f ca="1"/>
      </c>
      <c r="DT216">
        <f ca="1"/>
      </c>
      <c r="DU216">
        <f ca="1"/>
      </c>
      <c r="DV216">
        <f ca="1"/>
      </c>
      <c r="DW216">
        <f ca="1"/>
      </c>
      <c r="DX216">
        <f ca="1"/>
      </c>
      <c r="DY216">
        <f ca="1"/>
      </c>
      <c r="DZ216">
        <f ca="1"/>
      </c>
      <c r="EA216">
        <f ca="1"/>
      </c>
      <c r="EB216">
        <f ca="1"/>
      </c>
      <c r="EC216">
        <f ca="1"/>
      </c>
      <c r="ED216">
        <f ca="1"/>
      </c>
      <c r="EE216">
        <f ca="1"/>
      </c>
      <c r="EG216">
        <f ca="1"/>
      </c>
      <c r="EH216">
        <f ca="1"/>
      </c>
      <c r="EI216">
        <f ca="1"/>
      </c>
      <c r="EJ216">
        <f ca="1"/>
      </c>
      <c r="EK216">
        <f ca="1"/>
      </c>
      <c r="EL216">
        <f ca="1"/>
      </c>
      <c r="EM216">
        <f ca="1"/>
      </c>
      <c r="EN216">
        <f ca="1"/>
      </c>
      <c r="EO216">
        <f ca="1"/>
      </c>
      <c r="EP216">
        <f ca="1"/>
      </c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FS216">
        <f ca="1"/>
      </c>
      <c r="FT216">
        <f ca="1"/>
      </c>
      <c r="FU216">
        <f ca="1"/>
      </c>
      <c r="FV216">
        <f ca="1"/>
      </c>
      <c r="FW216">
        <f ca="1"/>
      </c>
      <c r="FX216">
        <f ca="1"/>
      </c>
      <c r="FY216">
        <f ca="1"/>
      </c>
      <c r="FZ216">
        <f ca="1"/>
      </c>
      <c r="GA216">
        <f ca="1"/>
      </c>
      <c r="GM216" s="7">
        <f ca="1"/>
      </c>
      <c r="GN216">
        <f ca="1"/>
      </c>
      <c r="GO216">
        <f ca="1"/>
      </c>
      <c r="GP216">
        <f ca="1"/>
      </c>
      <c r="GQ216">
        <f ca="1"/>
      </c>
    </row>
    <row r="217" spans="41:199" x14ac:dyDescent="0.55000000000000004">
      <c r="AO217">
        <f ca="1"/>
      </c>
      <c r="AP217">
        <f ca="1"/>
      </c>
      <c r="AQ217">
        <f ca="1"/>
      </c>
      <c r="AR217">
        <f ca="1"/>
      </c>
      <c r="AS217">
        <f ca="1"/>
      </c>
      <c r="AT21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AZ217">
        <f ca="1"/>
      </c>
      <c r="BA217">
        <f ca="1"/>
      </c>
      <c r="BB217">
        <f ca="1"/>
      </c>
      <c r="BC217">
        <f ca="1"/>
      </c>
      <c r="BD217">
        <f ca="1"/>
      </c>
      <c r="BE217">
        <f ca="1"/>
      </c>
      <c r="BF217">
        <f ca="1"/>
      </c>
      <c r="BG217">
        <f ca="1"/>
      </c>
      <c r="BH217">
        <f ca="1"/>
      </c>
      <c r="BI217">
        <f ca="1"/>
      </c>
      <c r="BJ217">
        <f ca="1"/>
      </c>
      <c r="BK217">
        <f ca="1"/>
      </c>
      <c r="BL217">
        <f ca="1"/>
      </c>
      <c r="BM217">
        <f ca="1"/>
      </c>
      <c r="BN217">
        <f ca="1"/>
      </c>
      <c r="BO217">
        <f ca="1"/>
      </c>
      <c r="BP217">
        <f ca="1"/>
      </c>
      <c r="BQ217">
        <f ca="1"/>
      </c>
      <c r="BR217">
        <f ca="1"/>
      </c>
      <c r="BS217">
        <f ca="1"/>
      </c>
      <c r="BT217">
        <f ca="1"/>
      </c>
      <c r="BU217">
        <f ca="1"/>
      </c>
      <c r="BV217">
        <f ca="1"/>
      </c>
      <c r="BW217">
        <f ca="1"/>
      </c>
      <c r="BX217">
        <f ca="1"/>
      </c>
      <c r="BY217">
        <f ca="1"/>
      </c>
      <c r="BZ217">
        <f ca="1"/>
      </c>
      <c r="CA217">
        <f ca="1"/>
      </c>
      <c r="CB217">
        <f ca="1"/>
      </c>
      <c r="CC217">
        <f ca="1"/>
      </c>
      <c r="CD217">
        <f ca="1"/>
      </c>
      <c r="CE217">
        <f ca="1"/>
      </c>
      <c r="CF217">
        <f ca="1"/>
      </c>
      <c r="CG217">
        <f ca="1"/>
      </c>
      <c r="CH217">
        <f ca="1"/>
      </c>
      <c r="CI217">
        <f ca="1"/>
      </c>
      <c r="CK217">
        <f ca="1"/>
      </c>
      <c r="CL217">
        <f ca="1"/>
      </c>
      <c r="CM217">
        <f ca="1"/>
      </c>
      <c r="CN217">
        <f ca="1"/>
      </c>
      <c r="CO217">
        <f ca="1"/>
      </c>
      <c r="CP217">
        <f ca="1"/>
      </c>
      <c r="CQ217">
        <f ca="1"/>
      </c>
      <c r="CR217">
        <f ca="1"/>
      </c>
      <c r="CS217">
        <f ca="1"/>
      </c>
      <c r="CT217">
        <f ca="1"/>
      </c>
      <c r="CU217">
        <f ca="1"/>
      </c>
      <c r="CV217">
        <f ca="1"/>
      </c>
      <c r="CW217">
        <f ca="1"/>
      </c>
      <c r="CX217">
        <f ca="1"/>
      </c>
      <c r="CY217">
        <f ca="1"/>
      </c>
      <c r="CZ217">
        <f ca="1"/>
      </c>
      <c r="DA217">
        <f ca="1"/>
      </c>
      <c r="DB217">
        <f ca="1"/>
      </c>
      <c r="DC217">
        <f ca="1"/>
      </c>
      <c r="DD217">
        <f ca="1"/>
      </c>
      <c r="DE217">
        <f ca="1"/>
      </c>
      <c r="DF217">
        <f ca="1"/>
      </c>
      <c r="DG217">
        <f ca="1"/>
      </c>
      <c r="DH217">
        <f ca="1"/>
      </c>
      <c r="DI217">
        <f ca="1"/>
      </c>
      <c r="DJ217">
        <f ca="1"/>
      </c>
      <c r="DK217">
        <f ca="1"/>
      </c>
      <c r="DL217">
        <f ca="1"/>
      </c>
      <c r="DM217">
        <f ca="1"/>
      </c>
      <c r="DN217">
        <f ca="1"/>
      </c>
      <c r="DO217">
        <f ca="1"/>
      </c>
      <c r="DP217">
        <f ca="1"/>
      </c>
      <c r="DQ217">
        <f ca="1"/>
      </c>
      <c r="DR217">
        <f ca="1"/>
      </c>
      <c r="DS217">
        <f ca="1"/>
      </c>
      <c r="DT217">
        <f ca="1"/>
      </c>
      <c r="DU217">
        <f ca="1"/>
      </c>
      <c r="DV217">
        <f ca="1"/>
      </c>
      <c r="DW217">
        <f ca="1"/>
      </c>
      <c r="DX217">
        <f ca="1"/>
      </c>
      <c r="DY217">
        <f ca="1"/>
      </c>
      <c r="DZ217">
        <f ca="1"/>
      </c>
      <c r="EA217">
        <f ca="1"/>
      </c>
      <c r="EB217">
        <f ca="1"/>
      </c>
      <c r="EC217">
        <f ca="1"/>
      </c>
      <c r="ED217">
        <f ca="1"/>
      </c>
      <c r="EE217">
        <f ca="1"/>
      </c>
      <c r="EG217">
        <f ca="1"/>
      </c>
      <c r="EH217">
        <f ca="1"/>
      </c>
      <c r="EI217">
        <f ca="1"/>
      </c>
      <c r="EJ217">
        <f ca="1"/>
      </c>
      <c r="EK217">
        <f ca="1"/>
      </c>
      <c r="EL217">
        <f ca="1"/>
      </c>
      <c r="EM217">
        <f ca="1"/>
      </c>
      <c r="EN217">
        <f ca="1"/>
      </c>
      <c r="EO217">
        <f ca="1"/>
      </c>
      <c r="EP217">
        <f ca="1"/>
      </c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FS217">
        <f ca="1"/>
      </c>
      <c r="FT217">
        <f ca="1"/>
      </c>
      <c r="FU217">
        <f ca="1"/>
      </c>
      <c r="FV217">
        <f ca="1"/>
      </c>
      <c r="FW217">
        <f ca="1"/>
      </c>
      <c r="FX217">
        <f ca="1"/>
      </c>
      <c r="FY217">
        <f ca="1"/>
      </c>
      <c r="FZ217">
        <f ca="1"/>
      </c>
      <c r="GA217">
        <f ca="1"/>
      </c>
      <c r="GM217" s="7">
        <f ca="1"/>
      </c>
      <c r="GN217">
        <f ca="1"/>
      </c>
      <c r="GO217">
        <f ca="1"/>
      </c>
      <c r="GP217">
        <f ca="1"/>
      </c>
      <c r="GQ217">
        <f ca="1"/>
      </c>
    </row>
    <row r="218" spans="41:199" x14ac:dyDescent="0.55000000000000004">
      <c r="AO218">
        <f ca="1"/>
      </c>
      <c r="AP218">
        <f ca="1"/>
      </c>
      <c r="AQ218">
        <f ca="1"/>
      </c>
      <c r="AR218">
        <f ca="1"/>
      </c>
      <c r="AS218">
        <f ca="1"/>
      </c>
      <c r="AT218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AZ218">
        <f ca="1"/>
      </c>
      <c r="BA218">
        <f ca="1"/>
      </c>
      <c r="BB218">
        <f ca="1"/>
      </c>
      <c r="BC218">
        <f ca="1"/>
      </c>
      <c r="BD218">
        <f ca="1"/>
      </c>
      <c r="BE218">
        <f ca="1"/>
      </c>
      <c r="BF218">
        <f ca="1"/>
      </c>
      <c r="BG218">
        <f ca="1"/>
      </c>
      <c r="BH218">
        <f ca="1"/>
      </c>
      <c r="BI218">
        <f ca="1"/>
      </c>
      <c r="BJ218">
        <f ca="1"/>
      </c>
      <c r="BK218">
        <f ca="1"/>
      </c>
      <c r="BL218">
        <f ca="1"/>
      </c>
      <c r="BM218">
        <f ca="1"/>
      </c>
      <c r="BN218">
        <f ca="1"/>
      </c>
      <c r="BO218">
        <f ca="1"/>
      </c>
      <c r="BP218">
        <f ca="1"/>
      </c>
      <c r="BQ218">
        <f ca="1"/>
      </c>
      <c r="BR218">
        <f ca="1"/>
      </c>
      <c r="BS218">
        <f ca="1"/>
      </c>
      <c r="BT218">
        <f ca="1"/>
      </c>
      <c r="BU218">
        <f ca="1"/>
      </c>
      <c r="BV218">
        <f ca="1"/>
      </c>
      <c r="BW218">
        <f ca="1"/>
      </c>
      <c r="BX218">
        <f ca="1"/>
      </c>
      <c r="BY218">
        <f ca="1"/>
      </c>
      <c r="BZ218">
        <f ca="1"/>
      </c>
      <c r="CA218">
        <f ca="1"/>
      </c>
      <c r="CB218">
        <f ca="1"/>
      </c>
      <c r="CC218">
        <f ca="1"/>
      </c>
      <c r="CD218">
        <f ca="1"/>
      </c>
      <c r="CE218">
        <f ca="1"/>
      </c>
      <c r="CF218">
        <f ca="1"/>
      </c>
      <c r="CG218">
        <f ca="1"/>
      </c>
      <c r="CH218">
        <f ca="1"/>
      </c>
      <c r="CI218">
        <f ca="1"/>
      </c>
      <c r="CK218">
        <f ca="1"/>
      </c>
      <c r="CL218">
        <f ca="1"/>
      </c>
      <c r="CM218">
        <f ca="1"/>
      </c>
      <c r="CN218">
        <f ca="1"/>
      </c>
      <c r="CO218">
        <f ca="1"/>
      </c>
      <c r="CP218">
        <f ca="1"/>
      </c>
      <c r="CQ218">
        <f ca="1"/>
      </c>
      <c r="CR218">
        <f ca="1"/>
      </c>
      <c r="CS218">
        <f ca="1"/>
      </c>
      <c r="CT218">
        <f ca="1"/>
      </c>
      <c r="CU218">
        <f ca="1"/>
      </c>
      <c r="CV218">
        <f ca="1"/>
      </c>
      <c r="CW218">
        <f ca="1"/>
      </c>
      <c r="CX218">
        <f ca="1"/>
      </c>
      <c r="CY218">
        <f ca="1"/>
      </c>
      <c r="CZ218">
        <f ca="1"/>
      </c>
      <c r="DA218">
        <f ca="1"/>
      </c>
      <c r="DB218">
        <f ca="1"/>
      </c>
      <c r="DC218">
        <f ca="1"/>
      </c>
      <c r="DD218">
        <f ca="1"/>
      </c>
      <c r="DE218">
        <f ca="1"/>
      </c>
      <c r="DF218">
        <f ca="1"/>
      </c>
      <c r="DG218">
        <f ca="1"/>
      </c>
      <c r="DH218">
        <f ca="1"/>
      </c>
      <c r="DI218">
        <f ca="1"/>
      </c>
      <c r="DJ218">
        <f ca="1"/>
      </c>
      <c r="DK218">
        <f ca="1"/>
      </c>
      <c r="DL218">
        <f ca="1"/>
      </c>
      <c r="DM218">
        <f ca="1"/>
      </c>
      <c r="DN218">
        <f ca="1"/>
      </c>
      <c r="DO218">
        <f ca="1"/>
      </c>
      <c r="DP218">
        <f ca="1"/>
      </c>
      <c r="DQ218">
        <f ca="1"/>
      </c>
      <c r="DR218">
        <f ca="1"/>
      </c>
      <c r="DS218">
        <f ca="1"/>
      </c>
      <c r="DT218">
        <f ca="1"/>
      </c>
      <c r="DU218">
        <f ca="1"/>
      </c>
      <c r="DV218">
        <f ca="1"/>
      </c>
      <c r="DW218">
        <f ca="1"/>
      </c>
      <c r="DX218">
        <f ca="1"/>
      </c>
      <c r="DY218">
        <f ca="1"/>
      </c>
      <c r="DZ218">
        <f ca="1"/>
      </c>
      <c r="EA218">
        <f ca="1"/>
      </c>
      <c r="EB218">
        <f ca="1"/>
      </c>
      <c r="EC218">
        <f ca="1"/>
      </c>
      <c r="ED218">
        <f ca="1"/>
      </c>
      <c r="EE218">
        <f ca="1"/>
      </c>
      <c r="EG218">
        <f ca="1"/>
      </c>
      <c r="EH218">
        <f ca="1"/>
      </c>
      <c r="EI218">
        <f ca="1"/>
      </c>
      <c r="EJ218">
        <f ca="1"/>
      </c>
      <c r="EK218">
        <f ca="1"/>
      </c>
      <c r="EL218">
        <f ca="1"/>
      </c>
      <c r="EM218">
        <f ca="1"/>
      </c>
      <c r="EN218">
        <f ca="1"/>
      </c>
      <c r="EO218">
        <f ca="1"/>
      </c>
      <c r="EP218">
        <f ca="1"/>
      </c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FS218">
        <f ca="1"/>
      </c>
      <c r="FT218">
        <f ca="1"/>
      </c>
      <c r="FU218">
        <f ca="1"/>
      </c>
      <c r="FV218">
        <f ca="1"/>
      </c>
      <c r="FW218">
        <f ca="1"/>
      </c>
      <c r="FX218">
        <f ca="1"/>
      </c>
      <c r="FY218">
        <f ca="1"/>
      </c>
      <c r="FZ218">
        <f ca="1"/>
      </c>
      <c r="GA218">
        <f ca="1"/>
      </c>
      <c r="GM218" s="7">
        <f ca="1"/>
      </c>
      <c r="GN218">
        <f ca="1"/>
      </c>
      <c r="GO218">
        <f ca="1"/>
      </c>
      <c r="GP218">
        <f ca="1"/>
      </c>
      <c r="GQ218">
        <f ca="1"/>
      </c>
    </row>
    <row r="219" spans="41:199" x14ac:dyDescent="0.55000000000000004">
      <c r="AO219">
        <f ca="1"/>
      </c>
      <c r="AP219">
        <f ca="1"/>
      </c>
      <c r="AQ219">
        <f ca="1"/>
      </c>
      <c r="AR219">
        <f ca="1"/>
      </c>
      <c r="AS219">
        <f ca="1"/>
      </c>
      <c r="AT219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AZ219">
        <f ca="1"/>
      </c>
      <c r="BA219">
        <f ca="1"/>
      </c>
      <c r="BB219">
        <f ca="1"/>
      </c>
      <c r="BC219">
        <f ca="1"/>
      </c>
      <c r="BD219">
        <f ca="1"/>
      </c>
      <c r="BE219">
        <f ca="1"/>
      </c>
      <c r="BF219">
        <f ca="1"/>
      </c>
      <c r="BG219">
        <f ca="1"/>
      </c>
      <c r="BH219">
        <f ca="1"/>
      </c>
      <c r="BI219">
        <f ca="1"/>
      </c>
      <c r="BJ219">
        <f ca="1"/>
      </c>
      <c r="BK219">
        <f ca="1"/>
      </c>
      <c r="BL219">
        <f ca="1"/>
      </c>
      <c r="BM219">
        <f ca="1"/>
      </c>
      <c r="BN219">
        <f ca="1"/>
      </c>
      <c r="BO219">
        <f ca="1"/>
      </c>
      <c r="BP219">
        <f ca="1"/>
      </c>
      <c r="BQ219">
        <f ca="1"/>
      </c>
      <c r="BR219">
        <f ca="1"/>
      </c>
      <c r="BS219">
        <f ca="1"/>
      </c>
      <c r="BT219">
        <f ca="1"/>
      </c>
      <c r="BU219">
        <f ca="1"/>
      </c>
      <c r="BV219">
        <f ca="1"/>
      </c>
      <c r="BW219">
        <f ca="1"/>
      </c>
      <c r="BX219">
        <f ca="1"/>
      </c>
      <c r="BY219">
        <f ca="1"/>
      </c>
      <c r="BZ219">
        <f ca="1"/>
      </c>
      <c r="CA219">
        <f ca="1"/>
      </c>
      <c r="CB219">
        <f ca="1"/>
      </c>
      <c r="CC219">
        <f ca="1"/>
      </c>
      <c r="CD219">
        <f ca="1"/>
      </c>
      <c r="CE219">
        <f ca="1"/>
      </c>
      <c r="CF219">
        <f ca="1"/>
      </c>
      <c r="CG219">
        <f ca="1"/>
      </c>
      <c r="CH219">
        <f ca="1"/>
      </c>
      <c r="CI219">
        <f ca="1"/>
      </c>
      <c r="CK219">
        <f ca="1"/>
      </c>
      <c r="CL219">
        <f ca="1"/>
      </c>
      <c r="CM219">
        <f ca="1"/>
      </c>
      <c r="CN219">
        <f ca="1"/>
      </c>
      <c r="CO219">
        <f ca="1"/>
      </c>
      <c r="CP219">
        <f ca="1"/>
      </c>
      <c r="CQ219">
        <f ca="1"/>
      </c>
      <c r="CR219">
        <f ca="1"/>
      </c>
      <c r="CS219">
        <f ca="1"/>
      </c>
      <c r="CT219">
        <f ca="1"/>
      </c>
      <c r="CU219">
        <f ca="1"/>
      </c>
      <c r="CV219">
        <f ca="1"/>
      </c>
      <c r="CW219">
        <f ca="1"/>
      </c>
      <c r="CX219">
        <f ca="1"/>
      </c>
      <c r="CY219">
        <f ca="1"/>
      </c>
      <c r="CZ219">
        <f ca="1"/>
      </c>
      <c r="DA219">
        <f ca="1"/>
      </c>
      <c r="DB219">
        <f ca="1"/>
      </c>
      <c r="DC219">
        <f ca="1"/>
      </c>
      <c r="DD219">
        <f ca="1"/>
      </c>
      <c r="DE219">
        <f ca="1"/>
      </c>
      <c r="DF219">
        <f ca="1"/>
      </c>
      <c r="DG219">
        <f ca="1"/>
      </c>
      <c r="DH219">
        <f ca="1"/>
      </c>
      <c r="DI219">
        <f ca="1"/>
      </c>
      <c r="DJ219">
        <f ca="1"/>
      </c>
      <c r="DK219">
        <f ca="1"/>
      </c>
      <c r="DL219">
        <f ca="1"/>
      </c>
      <c r="DM219">
        <f ca="1"/>
      </c>
      <c r="DN219">
        <f ca="1"/>
      </c>
      <c r="DO219">
        <f ca="1"/>
      </c>
      <c r="DP219">
        <f ca="1"/>
      </c>
      <c r="DQ219">
        <f ca="1"/>
      </c>
      <c r="DR219">
        <f ca="1"/>
      </c>
      <c r="DS219">
        <f ca="1"/>
      </c>
      <c r="DT219">
        <f ca="1"/>
      </c>
      <c r="DU219">
        <f ca="1"/>
      </c>
      <c r="DV219">
        <f ca="1"/>
      </c>
      <c r="DW219">
        <f ca="1"/>
      </c>
      <c r="DX219">
        <f ca="1"/>
      </c>
      <c r="DY219">
        <f ca="1"/>
      </c>
      <c r="DZ219">
        <f ca="1"/>
      </c>
      <c r="EA219">
        <f ca="1"/>
      </c>
      <c r="EB219">
        <f ca="1"/>
      </c>
      <c r="EC219">
        <f ca="1"/>
      </c>
      <c r="ED219">
        <f ca="1"/>
      </c>
      <c r="EE219">
        <f ca="1"/>
      </c>
      <c r="EG219">
        <f ca="1"/>
      </c>
      <c r="EH219">
        <f ca="1"/>
      </c>
      <c r="EI219">
        <f ca="1"/>
      </c>
      <c r="EJ219">
        <f ca="1"/>
      </c>
      <c r="EK219">
        <f ca="1"/>
      </c>
      <c r="EL219">
        <f ca="1"/>
      </c>
      <c r="EM219">
        <f ca="1"/>
      </c>
      <c r="EN219">
        <f ca="1"/>
      </c>
      <c r="EO219">
        <f ca="1"/>
      </c>
      <c r="EP219">
        <f ca="1"/>
      </c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FS219">
        <f ca="1"/>
      </c>
      <c r="FT219">
        <f ca="1"/>
      </c>
      <c r="FU219">
        <f ca="1"/>
      </c>
      <c r="FV219">
        <f ca="1"/>
      </c>
      <c r="FW219">
        <f ca="1"/>
      </c>
      <c r="FX219">
        <f ca="1"/>
      </c>
      <c r="FY219">
        <f ca="1"/>
      </c>
      <c r="FZ219">
        <f ca="1"/>
      </c>
      <c r="GA219">
        <f ca="1"/>
      </c>
      <c r="GM219" s="7">
        <f ca="1"/>
      </c>
      <c r="GN219">
        <f ca="1"/>
      </c>
      <c r="GO219">
        <f ca="1"/>
      </c>
      <c r="GP219">
        <f ca="1"/>
      </c>
      <c r="GQ219">
        <f ca="1"/>
      </c>
    </row>
    <row r="220" spans="41:199" x14ac:dyDescent="0.55000000000000004">
      <c r="AO220">
        <f ca="1"/>
      </c>
      <c r="AP220">
        <f ca="1"/>
      </c>
      <c r="AQ220">
        <f ca="1"/>
      </c>
      <c r="AR220">
        <f ca="1"/>
      </c>
      <c r="AS220">
        <f ca="1"/>
      </c>
      <c r="AT220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AZ220">
        <f ca="1"/>
      </c>
      <c r="BA220">
        <f ca="1"/>
      </c>
      <c r="BB220">
        <f ca="1"/>
      </c>
      <c r="BC220">
        <f ca="1"/>
      </c>
      <c r="BD220">
        <f ca="1"/>
      </c>
      <c r="BE220">
        <f ca="1"/>
      </c>
      <c r="BF220">
        <f ca="1"/>
      </c>
      <c r="BG220">
        <f ca="1"/>
      </c>
      <c r="BH220">
        <f ca="1"/>
      </c>
      <c r="BI220">
        <f ca="1"/>
      </c>
      <c r="BJ220">
        <f ca="1"/>
      </c>
      <c r="BK220">
        <f ca="1"/>
      </c>
      <c r="BL220">
        <f ca="1"/>
      </c>
      <c r="BM220">
        <f ca="1"/>
      </c>
      <c r="BN220">
        <f ca="1"/>
      </c>
      <c r="BO220">
        <f ca="1"/>
      </c>
      <c r="BP220">
        <f ca="1"/>
      </c>
      <c r="BQ220">
        <f ca="1"/>
      </c>
      <c r="BR220">
        <f ca="1"/>
      </c>
      <c r="BS220">
        <f ca="1"/>
      </c>
      <c r="BT220">
        <f ca="1"/>
      </c>
      <c r="BU220">
        <f ca="1"/>
      </c>
      <c r="BV220">
        <f ca="1"/>
      </c>
      <c r="BW220">
        <f ca="1"/>
      </c>
      <c r="BX220">
        <f ca="1"/>
      </c>
      <c r="BY220">
        <f ca="1"/>
      </c>
      <c r="BZ220">
        <f ca="1"/>
      </c>
      <c r="CA220">
        <f ca="1"/>
      </c>
      <c r="CB220">
        <f ca="1"/>
      </c>
      <c r="CC220">
        <f ca="1"/>
      </c>
      <c r="CD220">
        <f ca="1"/>
      </c>
      <c r="CE220">
        <f ca="1"/>
      </c>
      <c r="CF220">
        <f ca="1"/>
      </c>
      <c r="CG220">
        <f ca="1"/>
      </c>
      <c r="CH220">
        <f ca="1"/>
      </c>
      <c r="CI220">
        <f ca="1"/>
      </c>
      <c r="CK220">
        <f ca="1"/>
      </c>
      <c r="CL220">
        <f ca="1"/>
      </c>
      <c r="CM220">
        <f ca="1"/>
      </c>
      <c r="CN220">
        <f ca="1"/>
      </c>
      <c r="CO220">
        <f ca="1"/>
      </c>
      <c r="CP220">
        <f ca="1"/>
      </c>
      <c r="CQ220">
        <f ca="1"/>
      </c>
      <c r="CR220">
        <f ca="1"/>
      </c>
      <c r="CS220">
        <f ca="1"/>
      </c>
      <c r="CT220">
        <f ca="1"/>
      </c>
      <c r="CU220">
        <f ca="1"/>
      </c>
      <c r="CV220">
        <f ca="1"/>
      </c>
      <c r="CW220">
        <f ca="1"/>
      </c>
      <c r="CX220">
        <f ca="1"/>
      </c>
      <c r="CY220">
        <f ca="1"/>
      </c>
      <c r="CZ220">
        <f ca="1"/>
      </c>
      <c r="DA220">
        <f ca="1"/>
      </c>
      <c r="DB220">
        <f ca="1"/>
      </c>
      <c r="DC220">
        <f ca="1"/>
      </c>
      <c r="DD220">
        <f ca="1"/>
      </c>
      <c r="DE220">
        <f ca="1"/>
      </c>
      <c r="DF220">
        <f ca="1"/>
      </c>
      <c r="DG220">
        <f ca="1"/>
      </c>
      <c r="DH220">
        <f ca="1"/>
      </c>
      <c r="DI220">
        <f ca="1"/>
      </c>
      <c r="DJ220">
        <f ca="1"/>
      </c>
      <c r="DK220">
        <f ca="1"/>
      </c>
      <c r="DL220">
        <f ca="1"/>
      </c>
      <c r="DM220">
        <f ca="1"/>
      </c>
      <c r="DN220">
        <f ca="1"/>
      </c>
      <c r="DO220">
        <f ca="1"/>
      </c>
      <c r="DP220">
        <f ca="1"/>
      </c>
      <c r="DQ220">
        <f ca="1"/>
      </c>
      <c r="DR220">
        <f ca="1"/>
      </c>
      <c r="DS220">
        <f ca="1"/>
      </c>
      <c r="DT220">
        <f ca="1"/>
      </c>
      <c r="DU220">
        <f ca="1"/>
      </c>
      <c r="DV220">
        <f ca="1"/>
      </c>
      <c r="DW220">
        <f ca="1"/>
      </c>
      <c r="DX220">
        <f ca="1"/>
      </c>
      <c r="DY220">
        <f ca="1"/>
      </c>
      <c r="DZ220">
        <f ca="1"/>
      </c>
      <c r="EA220">
        <f ca="1"/>
      </c>
      <c r="EB220">
        <f ca="1"/>
      </c>
      <c r="EC220">
        <f ca="1"/>
      </c>
      <c r="ED220">
        <f ca="1"/>
      </c>
      <c r="EE220">
        <f ca="1"/>
      </c>
      <c r="EG220">
        <f ca="1"/>
      </c>
      <c r="EH220">
        <f ca="1"/>
      </c>
      <c r="EI220">
        <f ca="1"/>
      </c>
      <c r="EJ220">
        <f ca="1"/>
      </c>
      <c r="EK220">
        <f ca="1"/>
      </c>
      <c r="EL220">
        <f ca="1"/>
      </c>
      <c r="EM220">
        <f ca="1"/>
      </c>
      <c r="EN220">
        <f ca="1"/>
      </c>
      <c r="EO220">
        <f ca="1"/>
      </c>
      <c r="EP220">
        <f ca="1"/>
      </c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FS220">
        <f ca="1"/>
      </c>
      <c r="FT220">
        <f ca="1"/>
      </c>
      <c r="FU220">
        <f ca="1"/>
      </c>
      <c r="FV220">
        <f ca="1"/>
      </c>
      <c r="FW220">
        <f ca="1"/>
      </c>
      <c r="FX220">
        <f ca="1"/>
      </c>
      <c r="FY220">
        <f ca="1"/>
      </c>
      <c r="FZ220">
        <f ca="1"/>
      </c>
      <c r="GA220">
        <f ca="1"/>
      </c>
      <c r="GM220" s="7">
        <f ca="1"/>
      </c>
      <c r="GN220">
        <f ca="1"/>
      </c>
      <c r="GO220">
        <f ca="1"/>
      </c>
      <c r="GP220">
        <f ca="1"/>
      </c>
      <c r="GQ220">
        <f ca="1"/>
      </c>
    </row>
    <row r="221" spans="41:199" x14ac:dyDescent="0.55000000000000004">
      <c r="AO221">
        <f ca="1"/>
      </c>
      <c r="AP221">
        <f ca="1"/>
      </c>
      <c r="AQ221">
        <f ca="1"/>
      </c>
      <c r="AR221">
        <f ca="1"/>
      </c>
      <c r="AS221">
        <f ca="1"/>
      </c>
      <c r="AT221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AZ221">
        <f ca="1"/>
      </c>
      <c r="BA221">
        <f ca="1"/>
      </c>
      <c r="BB221">
        <f ca="1"/>
      </c>
      <c r="BC221">
        <f ca="1"/>
      </c>
      <c r="BD221">
        <f ca="1"/>
      </c>
      <c r="BE221">
        <f ca="1"/>
      </c>
      <c r="BF221">
        <f ca="1"/>
      </c>
      <c r="BG221">
        <f ca="1"/>
      </c>
      <c r="BH221">
        <f ca="1"/>
      </c>
      <c r="BI221">
        <f ca="1"/>
      </c>
      <c r="BJ221">
        <f ca="1"/>
      </c>
      <c r="BK221">
        <f ca="1"/>
      </c>
      <c r="BL221">
        <f ca="1"/>
      </c>
      <c r="BM221">
        <f ca="1"/>
      </c>
      <c r="BN221">
        <f ca="1"/>
      </c>
      <c r="BO221">
        <f ca="1"/>
      </c>
      <c r="BP221">
        <f ca="1"/>
      </c>
      <c r="BQ221">
        <f ca="1"/>
      </c>
      <c r="BR221">
        <f ca="1"/>
      </c>
      <c r="BS221">
        <f ca="1"/>
      </c>
      <c r="BT221">
        <f ca="1"/>
      </c>
      <c r="BU221">
        <f ca="1"/>
      </c>
      <c r="BV221">
        <f ca="1"/>
      </c>
      <c r="BW221">
        <f ca="1"/>
      </c>
      <c r="BX221">
        <f ca="1"/>
      </c>
      <c r="BY221">
        <f ca="1"/>
      </c>
      <c r="BZ221">
        <f ca="1"/>
      </c>
      <c r="CA221">
        <f ca="1"/>
      </c>
      <c r="CB221">
        <f ca="1"/>
      </c>
      <c r="CC221">
        <f ca="1"/>
      </c>
      <c r="CD221">
        <f ca="1"/>
      </c>
      <c r="CE221">
        <f ca="1"/>
      </c>
      <c r="CF221">
        <f ca="1"/>
      </c>
      <c r="CG221">
        <f ca="1"/>
      </c>
      <c r="CH221">
        <f ca="1"/>
      </c>
      <c r="CI221">
        <f ca="1"/>
      </c>
      <c r="CK221">
        <f ca="1"/>
      </c>
      <c r="CL221">
        <f ca="1"/>
      </c>
      <c r="CM221">
        <f ca="1"/>
      </c>
      <c r="CN221">
        <f ca="1"/>
      </c>
      <c r="CO221">
        <f ca="1"/>
      </c>
      <c r="CP221">
        <f ca="1"/>
      </c>
      <c r="CQ221">
        <f ca="1"/>
      </c>
      <c r="CR221">
        <f ca="1"/>
      </c>
      <c r="CS221">
        <f ca="1"/>
      </c>
      <c r="CT221">
        <f ca="1"/>
      </c>
      <c r="CU221">
        <f ca="1"/>
      </c>
      <c r="CV221">
        <f ca="1"/>
      </c>
      <c r="CW221">
        <f ca="1"/>
      </c>
      <c r="CX221">
        <f ca="1"/>
      </c>
      <c r="CY221">
        <f ca="1"/>
      </c>
      <c r="CZ221">
        <f ca="1"/>
      </c>
      <c r="DA221">
        <f ca="1"/>
      </c>
      <c r="DB221">
        <f ca="1"/>
      </c>
      <c r="DC221">
        <f ca="1"/>
      </c>
      <c r="DD221">
        <f ca="1"/>
      </c>
      <c r="DE221">
        <f ca="1"/>
      </c>
      <c r="DF221">
        <f ca="1"/>
      </c>
      <c r="DG221">
        <f ca="1"/>
      </c>
      <c r="DH221">
        <f ca="1"/>
      </c>
      <c r="DI221">
        <f ca="1"/>
      </c>
      <c r="DJ221">
        <f ca="1"/>
      </c>
      <c r="DK221">
        <f ca="1"/>
      </c>
      <c r="DL221">
        <f ca="1"/>
      </c>
      <c r="DM221">
        <f ca="1"/>
      </c>
      <c r="DN221">
        <f ca="1"/>
      </c>
      <c r="DO221">
        <f ca="1"/>
      </c>
      <c r="DP221">
        <f ca="1"/>
      </c>
      <c r="DQ221">
        <f ca="1"/>
      </c>
      <c r="DR221">
        <f ca="1"/>
      </c>
      <c r="DS221">
        <f ca="1"/>
      </c>
      <c r="DT221">
        <f ca="1"/>
      </c>
      <c r="DU221">
        <f ca="1"/>
      </c>
      <c r="DV221">
        <f ca="1"/>
      </c>
      <c r="DW221">
        <f ca="1"/>
      </c>
      <c r="DX221">
        <f ca="1"/>
      </c>
      <c r="DY221">
        <f ca="1"/>
      </c>
      <c r="DZ221">
        <f ca="1"/>
      </c>
      <c r="EA221">
        <f ca="1"/>
      </c>
      <c r="EB221">
        <f ca="1"/>
      </c>
      <c r="EC221">
        <f ca="1"/>
      </c>
      <c r="ED221">
        <f ca="1"/>
      </c>
      <c r="EE221">
        <f ca="1"/>
      </c>
      <c r="EG221">
        <f ca="1"/>
      </c>
      <c r="EH221">
        <f ca="1"/>
      </c>
      <c r="EI221">
        <f ca="1"/>
      </c>
      <c r="EJ221">
        <f ca="1"/>
      </c>
      <c r="EK221">
        <f ca="1"/>
      </c>
      <c r="EL221">
        <f ca="1"/>
      </c>
      <c r="EM221">
        <f ca="1"/>
      </c>
      <c r="EN221">
        <f ca="1"/>
      </c>
      <c r="EO221">
        <f ca="1"/>
      </c>
      <c r="EP221">
        <f ca="1"/>
      </c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FS221">
        <f ca="1"/>
      </c>
      <c r="FT221">
        <f ca="1"/>
      </c>
      <c r="FU221">
        <f ca="1"/>
      </c>
      <c r="FV221">
        <f ca="1"/>
      </c>
      <c r="FW221">
        <f ca="1"/>
      </c>
      <c r="FX221">
        <f ca="1"/>
      </c>
      <c r="FY221">
        <f ca="1"/>
      </c>
      <c r="FZ221">
        <f ca="1"/>
      </c>
      <c r="GA221">
        <f ca="1"/>
      </c>
      <c r="GM221" s="7">
        <f ca="1"/>
      </c>
      <c r="GN221">
        <f ca="1"/>
      </c>
      <c r="GO221">
        <f ca="1"/>
      </c>
      <c r="GP221">
        <f ca="1"/>
      </c>
      <c r="GQ221">
        <f ca="1"/>
      </c>
    </row>
    <row r="222" spans="41:199" x14ac:dyDescent="0.55000000000000004">
      <c r="AO222">
        <f ca="1"/>
      </c>
      <c r="AP222">
        <f ca="1"/>
      </c>
      <c r="AQ222">
        <f ca="1"/>
      </c>
      <c r="AR222">
        <f ca="1"/>
      </c>
      <c r="AS222">
        <f ca="1"/>
      </c>
      <c r="AT222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AZ222">
        <f ca="1"/>
      </c>
      <c r="BA222">
        <f ca="1"/>
      </c>
      <c r="BB222">
        <f ca="1"/>
      </c>
      <c r="BC222">
        <f ca="1"/>
      </c>
      <c r="BD222">
        <f ca="1"/>
      </c>
      <c r="BE222">
        <f ca="1"/>
      </c>
      <c r="BF222">
        <f ca="1"/>
      </c>
      <c r="BG222">
        <f ca="1"/>
      </c>
      <c r="BH222">
        <f ca="1"/>
      </c>
      <c r="BI222">
        <f ca="1"/>
      </c>
      <c r="BJ222">
        <f ca="1"/>
      </c>
      <c r="BK222">
        <f ca="1"/>
      </c>
      <c r="BL222">
        <f ca="1"/>
      </c>
      <c r="BM222">
        <f ca="1"/>
      </c>
      <c r="BN222">
        <f ca="1"/>
      </c>
      <c r="BO222">
        <f ca="1"/>
      </c>
      <c r="BP222">
        <f ca="1"/>
      </c>
      <c r="BQ222">
        <f ca="1"/>
      </c>
      <c r="BR222">
        <f ca="1"/>
      </c>
      <c r="BS222">
        <f ca="1"/>
      </c>
      <c r="BT222">
        <f ca="1"/>
      </c>
      <c r="BU222">
        <f ca="1"/>
      </c>
      <c r="BV222">
        <f ca="1"/>
      </c>
      <c r="BW222">
        <f ca="1"/>
      </c>
      <c r="BX222">
        <f ca="1"/>
      </c>
      <c r="BY222">
        <f ca="1"/>
      </c>
      <c r="BZ222">
        <f ca="1"/>
      </c>
      <c r="CA222">
        <f ca="1"/>
      </c>
      <c r="CB222">
        <f ca="1"/>
      </c>
      <c r="CC222">
        <f ca="1"/>
      </c>
      <c r="CD222">
        <f ca="1"/>
      </c>
      <c r="CE222">
        <f ca="1"/>
      </c>
      <c r="CF222">
        <f ca="1"/>
      </c>
      <c r="CG222">
        <f ca="1"/>
      </c>
      <c r="CH222">
        <f ca="1"/>
      </c>
      <c r="CI222">
        <f ca="1"/>
      </c>
      <c r="CK222">
        <f ca="1"/>
      </c>
      <c r="CL222">
        <f ca="1"/>
      </c>
      <c r="CM222">
        <f ca="1"/>
      </c>
      <c r="CN222">
        <f ca="1"/>
      </c>
      <c r="CO222">
        <f ca="1"/>
      </c>
      <c r="CP222">
        <f ca="1"/>
      </c>
      <c r="CQ222">
        <f ca="1"/>
      </c>
      <c r="CR222">
        <f ca="1"/>
      </c>
      <c r="CS222">
        <f ca="1"/>
      </c>
      <c r="CT222">
        <f ca="1"/>
      </c>
      <c r="CU222">
        <f ca="1"/>
      </c>
      <c r="CV222">
        <f ca="1"/>
      </c>
      <c r="CW222">
        <f ca="1"/>
      </c>
      <c r="CX222">
        <f ca="1"/>
      </c>
      <c r="CY222">
        <f ca="1"/>
      </c>
      <c r="CZ222">
        <f ca="1"/>
      </c>
      <c r="DA222">
        <f ca="1"/>
      </c>
      <c r="DB222">
        <f ca="1"/>
      </c>
      <c r="DC222">
        <f ca="1"/>
      </c>
      <c r="DD222">
        <f ca="1"/>
      </c>
      <c r="DE222">
        <f ca="1"/>
      </c>
      <c r="DF222">
        <f ca="1"/>
      </c>
      <c r="DG222">
        <f ca="1"/>
      </c>
      <c r="DH222">
        <f ca="1"/>
      </c>
      <c r="DI222">
        <f ca="1"/>
      </c>
      <c r="DJ222">
        <f ca="1"/>
      </c>
      <c r="DK222">
        <f ca="1"/>
      </c>
      <c r="DL222">
        <f ca="1"/>
      </c>
      <c r="DM222">
        <f ca="1"/>
      </c>
      <c r="DN222">
        <f ca="1"/>
      </c>
      <c r="DO222">
        <f ca="1"/>
      </c>
      <c r="DP222">
        <f ca="1"/>
      </c>
      <c r="DQ222">
        <f ca="1"/>
      </c>
      <c r="DR222">
        <f ca="1"/>
      </c>
      <c r="DS222">
        <f ca="1"/>
      </c>
      <c r="DT222">
        <f ca="1"/>
      </c>
      <c r="DU222">
        <f ca="1"/>
      </c>
      <c r="DV222">
        <f ca="1"/>
      </c>
      <c r="DW222">
        <f ca="1"/>
      </c>
      <c r="DX222">
        <f ca="1"/>
      </c>
      <c r="DY222">
        <f ca="1"/>
      </c>
      <c r="DZ222">
        <f ca="1"/>
      </c>
      <c r="EA222">
        <f ca="1"/>
      </c>
      <c r="EB222">
        <f ca="1"/>
      </c>
      <c r="EC222">
        <f ca="1"/>
      </c>
      <c r="ED222">
        <f ca="1"/>
      </c>
      <c r="EE222">
        <f ca="1"/>
      </c>
      <c r="EG222">
        <f ca="1"/>
      </c>
      <c r="EH222">
        <f ca="1"/>
      </c>
      <c r="EI222">
        <f ca="1"/>
      </c>
      <c r="EJ222">
        <f ca="1"/>
      </c>
      <c r="EK222">
        <f ca="1"/>
      </c>
      <c r="EL222">
        <f ca="1"/>
      </c>
      <c r="EM222">
        <f ca="1"/>
      </c>
      <c r="EN222">
        <f ca="1"/>
      </c>
      <c r="EO222">
        <f ca="1"/>
      </c>
      <c r="EP222">
        <f ca="1"/>
      </c>
      <c r="EQ222">
        <f ca="1"/>
      </c>
      <c r="ER222">
        <f ca="1"/>
      </c>
      <c r="ES222">
        <f ca="1"/>
      </c>
      <c r="ET222">
        <f ca="1"/>
      </c>
      <c r="EU222">
        <f ca="1"/>
      </c>
      <c r="EV222">
        <f ca="1"/>
      </c>
      <c r="EW222">
        <f ca="1"/>
      </c>
      <c r="EX222">
        <f ca="1"/>
      </c>
      <c r="EY222">
        <f ca="1"/>
      </c>
      <c r="EZ222">
        <f ca="1"/>
      </c>
      <c r="FA222">
        <f ca="1"/>
      </c>
      <c r="FB222">
        <f ca="1"/>
      </c>
      <c r="FC222">
        <f ca="1"/>
      </c>
      <c r="FD222">
        <f ca="1"/>
      </c>
      <c r="FE222">
        <f ca="1"/>
      </c>
      <c r="FF222">
        <f ca="1"/>
      </c>
      <c r="FG222">
        <f ca="1"/>
      </c>
      <c r="FH222">
        <f ca="1"/>
      </c>
      <c r="FI222">
        <f ca="1"/>
      </c>
      <c r="FJ222">
        <f ca="1"/>
      </c>
      <c r="FK222">
        <f ca="1"/>
      </c>
      <c r="FL222">
        <f ca="1"/>
      </c>
      <c r="FM222">
        <f ca="1"/>
      </c>
      <c r="FN222">
        <f ca="1"/>
      </c>
      <c r="FO222">
        <f ca="1"/>
      </c>
      <c r="FP222">
        <f ca="1"/>
      </c>
      <c r="FQ222">
        <f ca="1"/>
      </c>
      <c r="FR222">
        <f ca="1"/>
      </c>
      <c r="FS222">
        <f ca="1"/>
      </c>
      <c r="FT222">
        <f ca="1"/>
      </c>
      <c r="FU222">
        <f ca="1"/>
      </c>
      <c r="FV222">
        <f ca="1"/>
      </c>
      <c r="FW222">
        <f ca="1"/>
      </c>
      <c r="FX222">
        <f ca="1"/>
      </c>
      <c r="FY222">
        <f ca="1"/>
      </c>
      <c r="FZ222">
        <f ca="1"/>
      </c>
      <c r="GA222">
        <f ca="1"/>
      </c>
      <c r="GM222" s="7">
        <f ca="1"/>
      </c>
      <c r="GN222">
        <f ca="1"/>
      </c>
      <c r="GO222">
        <f ca="1"/>
      </c>
      <c r="GP222">
        <f ca="1"/>
      </c>
      <c r="GQ222">
        <f ca="1"/>
      </c>
    </row>
    <row r="223" spans="41:199" x14ac:dyDescent="0.55000000000000004">
      <c r="AO223">
        <f ca="1"/>
      </c>
      <c r="AP223">
        <f ca="1"/>
      </c>
      <c r="AQ223">
        <f ca="1"/>
      </c>
      <c r="AR223">
        <f ca="1"/>
      </c>
      <c r="AS223">
        <f ca="1"/>
      </c>
      <c r="AT223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AZ223">
        <f ca="1"/>
      </c>
      <c r="BA223">
        <f ca="1"/>
      </c>
      <c r="BB223">
        <f ca="1"/>
      </c>
      <c r="BC223">
        <f ca="1"/>
      </c>
      <c r="BD223">
        <f ca="1"/>
      </c>
      <c r="BE223">
        <f ca="1"/>
      </c>
      <c r="BF223">
        <f ca="1"/>
      </c>
      <c r="BG223">
        <f ca="1"/>
      </c>
      <c r="BH223">
        <f ca="1"/>
      </c>
      <c r="BI223">
        <f ca="1"/>
      </c>
      <c r="BJ223">
        <f ca="1"/>
      </c>
      <c r="BK223">
        <f ca="1"/>
      </c>
      <c r="BL223">
        <f ca="1"/>
      </c>
      <c r="BM223">
        <f ca="1"/>
      </c>
      <c r="BN223">
        <f ca="1"/>
      </c>
      <c r="BO223">
        <f ca="1"/>
      </c>
      <c r="BP223">
        <f ca="1"/>
      </c>
      <c r="BQ223">
        <f ca="1"/>
      </c>
      <c r="BR223">
        <f ca="1"/>
      </c>
      <c r="BS223">
        <f ca="1"/>
      </c>
      <c r="BT223">
        <f ca="1"/>
      </c>
      <c r="BU223">
        <f ca="1"/>
      </c>
      <c r="BV223">
        <f ca="1"/>
      </c>
      <c r="BW223">
        <f ca="1"/>
      </c>
      <c r="BX223">
        <f ca="1"/>
      </c>
      <c r="BY223">
        <f ca="1"/>
      </c>
      <c r="BZ223">
        <f ca="1"/>
      </c>
      <c r="CA223">
        <f ca="1"/>
      </c>
      <c r="CB223">
        <f ca="1"/>
      </c>
      <c r="CC223">
        <f ca="1"/>
      </c>
      <c r="CD223">
        <f ca="1"/>
      </c>
      <c r="CE223">
        <f ca="1"/>
      </c>
      <c r="CF223">
        <f ca="1"/>
      </c>
      <c r="CG223">
        <f ca="1"/>
      </c>
      <c r="CH223">
        <f ca="1"/>
      </c>
      <c r="CI223">
        <f ca="1"/>
      </c>
      <c r="CK223">
        <f ca="1"/>
      </c>
      <c r="CL223">
        <f ca="1"/>
      </c>
      <c r="CM223">
        <f ca="1"/>
      </c>
      <c r="CN223">
        <f ca="1"/>
      </c>
      <c r="CO223">
        <f ca="1"/>
      </c>
      <c r="CP223">
        <f ca="1"/>
      </c>
      <c r="CQ223">
        <f ca="1"/>
      </c>
      <c r="CR223">
        <f ca="1"/>
      </c>
      <c r="CS223">
        <f ca="1"/>
      </c>
      <c r="CT223">
        <f ca="1"/>
      </c>
      <c r="CU223">
        <f ca="1"/>
      </c>
      <c r="CV223">
        <f ca="1"/>
      </c>
      <c r="CW223">
        <f ca="1"/>
      </c>
      <c r="CX223">
        <f ca="1"/>
      </c>
      <c r="CY223">
        <f ca="1"/>
      </c>
      <c r="CZ223">
        <f ca="1"/>
      </c>
      <c r="DA223">
        <f ca="1"/>
      </c>
      <c r="DB223">
        <f ca="1"/>
      </c>
      <c r="DC223">
        <f ca="1"/>
      </c>
      <c r="DD223">
        <f ca="1"/>
      </c>
      <c r="DE223">
        <f ca="1"/>
      </c>
      <c r="DF223">
        <f ca="1"/>
      </c>
      <c r="DG223">
        <f ca="1"/>
      </c>
      <c r="DH223">
        <f ca="1"/>
      </c>
      <c r="DI223">
        <f ca="1"/>
      </c>
      <c r="DJ223">
        <f ca="1"/>
      </c>
      <c r="DK223">
        <f ca="1"/>
      </c>
      <c r="DL223">
        <f ca="1"/>
      </c>
      <c r="DM223">
        <f ca="1"/>
      </c>
      <c r="DN223">
        <f ca="1"/>
      </c>
      <c r="DO223">
        <f ca="1"/>
      </c>
      <c r="DP223">
        <f ca="1"/>
      </c>
      <c r="DQ223">
        <f ca="1"/>
      </c>
      <c r="DR223">
        <f ca="1"/>
      </c>
      <c r="DS223">
        <f ca="1"/>
      </c>
      <c r="DT223">
        <f ca="1"/>
      </c>
      <c r="DU223">
        <f ca="1"/>
      </c>
      <c r="DV223">
        <f ca="1"/>
      </c>
      <c r="DW223">
        <f ca="1"/>
      </c>
      <c r="DX223">
        <f ca="1"/>
      </c>
      <c r="DY223">
        <f ca="1"/>
      </c>
      <c r="DZ223">
        <f ca="1"/>
      </c>
      <c r="EA223">
        <f ca="1"/>
      </c>
      <c r="EB223">
        <f ca="1"/>
      </c>
      <c r="EC223">
        <f ca="1"/>
      </c>
      <c r="ED223">
        <f ca="1"/>
      </c>
      <c r="EE223">
        <f ca="1"/>
      </c>
      <c r="EG223">
        <f ca="1"/>
      </c>
      <c r="EH223">
        <f ca="1"/>
      </c>
      <c r="EI223">
        <f ca="1"/>
      </c>
      <c r="EJ223">
        <f ca="1"/>
      </c>
      <c r="EK223">
        <f ca="1"/>
      </c>
      <c r="EL223">
        <f ca="1"/>
      </c>
      <c r="EM223">
        <f ca="1"/>
      </c>
      <c r="EN223">
        <f ca="1"/>
      </c>
      <c r="EO223">
        <f ca="1"/>
      </c>
      <c r="EP223">
        <f ca="1"/>
      </c>
      <c r="EQ223">
        <f ca="1"/>
      </c>
      <c r="ER223">
        <f ca="1"/>
      </c>
      <c r="ES223">
        <f ca="1"/>
      </c>
      <c r="ET223">
        <f ca="1"/>
      </c>
      <c r="EU223">
        <f ca="1"/>
      </c>
      <c r="EV223">
        <f ca="1"/>
      </c>
      <c r="EW223">
        <f ca="1"/>
      </c>
      <c r="EX223">
        <f ca="1"/>
      </c>
      <c r="EY223">
        <f ca="1"/>
      </c>
      <c r="EZ223">
        <f ca="1"/>
      </c>
      <c r="FA223">
        <f ca="1"/>
      </c>
      <c r="FB223">
        <f ca="1"/>
      </c>
      <c r="FC223">
        <f ca="1"/>
      </c>
      <c r="FD223">
        <f ca="1"/>
      </c>
      <c r="FE223">
        <f ca="1"/>
      </c>
      <c r="FF223">
        <f ca="1"/>
      </c>
      <c r="FG223">
        <f ca="1"/>
      </c>
      <c r="FH223">
        <f ca="1"/>
      </c>
      <c r="FI223">
        <f ca="1"/>
      </c>
      <c r="FJ223">
        <f ca="1"/>
      </c>
      <c r="FK223">
        <f ca="1"/>
      </c>
      <c r="FL223">
        <f ca="1"/>
      </c>
      <c r="FM223">
        <f ca="1"/>
      </c>
      <c r="FN223">
        <f ca="1"/>
      </c>
      <c r="FO223">
        <f ca="1"/>
      </c>
      <c r="FP223">
        <f ca="1"/>
      </c>
      <c r="FQ223">
        <f ca="1"/>
      </c>
      <c r="FR223">
        <f ca="1"/>
      </c>
      <c r="FS223">
        <f ca="1"/>
      </c>
      <c r="FT223">
        <f ca="1"/>
      </c>
      <c r="FU223">
        <f ca="1"/>
      </c>
      <c r="FV223">
        <f ca="1"/>
      </c>
      <c r="FW223">
        <f ca="1"/>
      </c>
      <c r="FX223">
        <f ca="1"/>
      </c>
      <c r="FY223">
        <f ca="1"/>
      </c>
      <c r="FZ223">
        <f ca="1"/>
      </c>
      <c r="GA223">
        <f ca="1"/>
      </c>
      <c r="GM223" s="7">
        <f ca="1"/>
      </c>
      <c r="GN223">
        <f ca="1"/>
      </c>
      <c r="GO223">
        <f ca="1"/>
      </c>
      <c r="GP223">
        <f ca="1"/>
      </c>
      <c r="GQ223">
        <f ca="1"/>
      </c>
    </row>
    <row r="224" spans="41:199" x14ac:dyDescent="0.55000000000000004">
      <c r="AO224">
        <f ca="1"/>
      </c>
      <c r="AP224">
        <f ca="1"/>
      </c>
      <c r="AQ224">
        <f ca="1"/>
      </c>
      <c r="AR224">
        <f ca="1"/>
      </c>
      <c r="AS224">
        <f ca="1"/>
      </c>
      <c r="AT224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AZ224">
        <f ca="1"/>
      </c>
      <c r="BA224">
        <f ca="1"/>
      </c>
      <c r="BB224">
        <f ca="1"/>
      </c>
      <c r="BC224">
        <f ca="1"/>
      </c>
      <c r="BD224">
        <f ca="1"/>
      </c>
      <c r="BE224">
        <f ca="1"/>
      </c>
      <c r="BF224">
        <f ca="1"/>
      </c>
      <c r="BG224">
        <f ca="1"/>
      </c>
      <c r="BH224">
        <f ca="1"/>
      </c>
      <c r="BI224">
        <f ca="1"/>
      </c>
      <c r="BJ224">
        <f ca="1"/>
      </c>
      <c r="BK224">
        <f ca="1"/>
      </c>
      <c r="BL224">
        <f ca="1"/>
      </c>
      <c r="BM224">
        <f ca="1"/>
      </c>
      <c r="BN224">
        <f ca="1"/>
      </c>
      <c r="BO224">
        <f ca="1"/>
      </c>
      <c r="BP224">
        <f ca="1"/>
      </c>
      <c r="BQ224">
        <f ca="1"/>
      </c>
      <c r="BR224">
        <f ca="1"/>
      </c>
      <c r="BS224">
        <f ca="1"/>
      </c>
      <c r="BT224">
        <f ca="1"/>
      </c>
      <c r="BU224">
        <f ca="1"/>
      </c>
      <c r="BV224">
        <f ca="1"/>
      </c>
      <c r="BW224">
        <f ca="1"/>
      </c>
      <c r="BX224">
        <f ca="1"/>
      </c>
      <c r="BY224">
        <f ca="1"/>
      </c>
      <c r="BZ224">
        <f ca="1"/>
      </c>
      <c r="CA224">
        <f ca="1"/>
      </c>
      <c r="CB224">
        <f ca="1"/>
      </c>
      <c r="CC224">
        <f ca="1"/>
      </c>
      <c r="CD224">
        <f ca="1"/>
      </c>
      <c r="CE224">
        <f ca="1"/>
      </c>
      <c r="CF224">
        <f ca="1"/>
      </c>
      <c r="CG224">
        <f ca="1"/>
      </c>
      <c r="CH224">
        <f ca="1"/>
      </c>
      <c r="CI224">
        <f ca="1"/>
      </c>
      <c r="CK224">
        <f ca="1"/>
      </c>
      <c r="CL224">
        <f ca="1"/>
      </c>
      <c r="CM224">
        <f ca="1"/>
      </c>
      <c r="CN224">
        <f ca="1"/>
      </c>
      <c r="CO224">
        <f ca="1"/>
      </c>
      <c r="CP224">
        <f ca="1"/>
      </c>
      <c r="CQ224">
        <f ca="1"/>
      </c>
      <c r="CR224">
        <f ca="1"/>
      </c>
      <c r="CS224">
        <f ca="1"/>
      </c>
      <c r="CT224">
        <f ca="1"/>
      </c>
      <c r="CU224">
        <f ca="1"/>
      </c>
      <c r="CV224">
        <f ca="1"/>
      </c>
      <c r="CW224">
        <f ca="1"/>
      </c>
      <c r="CX224">
        <f ca="1"/>
      </c>
      <c r="CY224">
        <f ca="1"/>
      </c>
      <c r="CZ224">
        <f ca="1"/>
      </c>
      <c r="DA224">
        <f ca="1"/>
      </c>
      <c r="DB224">
        <f ca="1"/>
      </c>
      <c r="DC224">
        <f ca="1"/>
      </c>
      <c r="DD224">
        <f ca="1"/>
      </c>
      <c r="DE224">
        <f ca="1"/>
      </c>
      <c r="DF224">
        <f ca="1"/>
      </c>
      <c r="DG224">
        <f ca="1"/>
      </c>
      <c r="DH224">
        <f ca="1"/>
      </c>
      <c r="DI224">
        <f ca="1"/>
      </c>
      <c r="DJ224">
        <f ca="1"/>
      </c>
      <c r="DK224">
        <f ca="1"/>
      </c>
      <c r="DL224">
        <f ca="1"/>
      </c>
      <c r="DM224">
        <f ca="1"/>
      </c>
      <c r="DN224">
        <f ca="1"/>
      </c>
      <c r="DO224">
        <f ca="1"/>
      </c>
      <c r="DP224">
        <f ca="1"/>
      </c>
      <c r="DQ224">
        <f ca="1"/>
      </c>
      <c r="DR224">
        <f ca="1"/>
      </c>
      <c r="DS224">
        <f ca="1"/>
      </c>
      <c r="DT224">
        <f ca="1"/>
      </c>
      <c r="DU224">
        <f ca="1"/>
      </c>
      <c r="DV224">
        <f ca="1"/>
      </c>
      <c r="DW224">
        <f ca="1"/>
      </c>
      <c r="DX224">
        <f ca="1"/>
      </c>
      <c r="DY224">
        <f ca="1"/>
      </c>
      <c r="DZ224">
        <f ca="1"/>
      </c>
      <c r="EA224">
        <f ca="1"/>
      </c>
      <c r="EB224">
        <f ca="1"/>
      </c>
      <c r="EC224">
        <f ca="1"/>
      </c>
      <c r="ED224">
        <f ca="1"/>
      </c>
      <c r="EE224">
        <f ca="1"/>
      </c>
      <c r="EG224">
        <f ca="1"/>
      </c>
      <c r="EH224">
        <f ca="1"/>
      </c>
      <c r="EI224">
        <f ca="1"/>
      </c>
      <c r="EJ224">
        <f ca="1"/>
      </c>
      <c r="EK224">
        <f ca="1"/>
      </c>
      <c r="EL224">
        <f ca="1"/>
      </c>
      <c r="EM224">
        <f ca="1"/>
      </c>
      <c r="EN224">
        <f ca="1"/>
      </c>
      <c r="EO224">
        <f ca="1"/>
      </c>
      <c r="EP224">
        <f ca="1"/>
      </c>
      <c r="EQ224">
        <f ca="1"/>
      </c>
      <c r="ER224">
        <f ca="1"/>
      </c>
      <c r="ES224">
        <f ca="1"/>
      </c>
      <c r="ET224">
        <f ca="1"/>
      </c>
      <c r="EU224">
        <f ca="1"/>
      </c>
      <c r="EV224">
        <f ca="1"/>
      </c>
      <c r="EW224">
        <f ca="1"/>
      </c>
      <c r="EX224">
        <f ca="1"/>
      </c>
      <c r="EY224">
        <f ca="1"/>
      </c>
      <c r="EZ224">
        <f ca="1"/>
      </c>
      <c r="FA224">
        <f ca="1"/>
      </c>
      <c r="FB224">
        <f ca="1"/>
      </c>
      <c r="FC224">
        <f ca="1"/>
      </c>
      <c r="FD224">
        <f ca="1"/>
      </c>
      <c r="FE224">
        <f ca="1"/>
      </c>
      <c r="FF224">
        <f ca="1"/>
      </c>
      <c r="FG224">
        <f ca="1"/>
      </c>
      <c r="FH224">
        <f ca="1"/>
      </c>
      <c r="FI224">
        <f ca="1"/>
      </c>
      <c r="FJ224">
        <f ca="1"/>
      </c>
      <c r="FK224">
        <f ca="1"/>
      </c>
      <c r="FL224">
        <f ca="1"/>
      </c>
      <c r="FM224">
        <f ca="1"/>
      </c>
      <c r="FN224">
        <f ca="1"/>
      </c>
      <c r="FO224">
        <f ca="1"/>
      </c>
      <c r="FP224">
        <f ca="1"/>
      </c>
      <c r="FQ224">
        <f ca="1"/>
      </c>
      <c r="FR224">
        <f ca="1"/>
      </c>
      <c r="FS224">
        <f ca="1"/>
      </c>
      <c r="FT224">
        <f ca="1"/>
      </c>
      <c r="FU224">
        <f ca="1"/>
      </c>
      <c r="FV224">
        <f ca="1"/>
      </c>
      <c r="FW224">
        <f ca="1"/>
      </c>
      <c r="FX224">
        <f ca="1"/>
      </c>
      <c r="FY224">
        <f ca="1"/>
      </c>
      <c r="FZ224">
        <f ca="1"/>
      </c>
      <c r="GA224">
        <f ca="1"/>
      </c>
      <c r="GM224" s="7">
        <f ca="1"/>
      </c>
      <c r="GN224">
        <f ca="1"/>
      </c>
      <c r="GO224">
        <f ca="1"/>
      </c>
      <c r="GP224">
        <f ca="1"/>
      </c>
      <c r="GQ224">
        <f ca="1"/>
      </c>
    </row>
    <row r="225" spans="41:199" x14ac:dyDescent="0.55000000000000004">
      <c r="AO225">
        <f ca="1"/>
      </c>
      <c r="AP225">
        <f ca="1"/>
      </c>
      <c r="AQ225">
        <f ca="1"/>
      </c>
      <c r="AR225">
        <f ca="1"/>
      </c>
      <c r="AS225">
        <f ca="1"/>
      </c>
      <c r="AT225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AZ225">
        <f ca="1"/>
      </c>
      <c r="BA225">
        <f ca="1"/>
      </c>
      <c r="BB225">
        <f ca="1"/>
      </c>
      <c r="BC225">
        <f ca="1"/>
      </c>
      <c r="BD225">
        <f ca="1"/>
      </c>
      <c r="BE225">
        <f ca="1"/>
      </c>
      <c r="BF225">
        <f ca="1"/>
      </c>
      <c r="BG225">
        <f ca="1"/>
      </c>
      <c r="BH225">
        <f ca="1"/>
      </c>
      <c r="BI225">
        <f ca="1"/>
      </c>
      <c r="BJ225">
        <f ca="1"/>
      </c>
      <c r="BK225">
        <f ca="1"/>
      </c>
      <c r="BL225">
        <f ca="1"/>
      </c>
      <c r="BM225">
        <f ca="1"/>
      </c>
      <c r="BN225">
        <f ca="1"/>
      </c>
      <c r="BO225">
        <f ca="1"/>
      </c>
      <c r="BP225">
        <f ca="1"/>
      </c>
      <c r="BQ225">
        <f ca="1"/>
      </c>
      <c r="BR225">
        <f ca="1"/>
      </c>
      <c r="BS225">
        <f ca="1"/>
      </c>
      <c r="BT225">
        <f ca="1"/>
      </c>
      <c r="BU225">
        <f ca="1"/>
      </c>
      <c r="BV225">
        <f ca="1"/>
      </c>
      <c r="BW225">
        <f ca="1"/>
      </c>
      <c r="BX225">
        <f ca="1"/>
      </c>
      <c r="BY225">
        <f ca="1"/>
      </c>
      <c r="BZ225">
        <f ca="1"/>
      </c>
      <c r="CA225">
        <f ca="1"/>
      </c>
      <c r="CB225">
        <f ca="1"/>
      </c>
      <c r="CC225">
        <f ca="1"/>
      </c>
      <c r="CD225">
        <f ca="1"/>
      </c>
      <c r="CE225">
        <f ca="1"/>
      </c>
      <c r="CF225">
        <f ca="1"/>
      </c>
      <c r="CG225">
        <f ca="1"/>
      </c>
      <c r="CH225">
        <f ca="1"/>
      </c>
      <c r="CI225">
        <f ca="1"/>
      </c>
      <c r="CK225">
        <f ca="1"/>
      </c>
      <c r="CL225">
        <f ca="1"/>
      </c>
      <c r="CM225">
        <f ca="1"/>
      </c>
      <c r="CN225">
        <f ca="1"/>
      </c>
      <c r="CO225">
        <f ca="1"/>
      </c>
      <c r="CP225">
        <f ca="1"/>
      </c>
      <c r="CQ225">
        <f ca="1"/>
      </c>
      <c r="CR225">
        <f ca="1"/>
      </c>
      <c r="CS225">
        <f ca="1"/>
      </c>
      <c r="CT225">
        <f ca="1"/>
      </c>
      <c r="CU225">
        <f ca="1"/>
      </c>
      <c r="CV225">
        <f ca="1"/>
      </c>
      <c r="CW225">
        <f ca="1"/>
      </c>
      <c r="CX225">
        <f ca="1"/>
      </c>
      <c r="CY225">
        <f ca="1"/>
      </c>
      <c r="CZ225">
        <f ca="1"/>
      </c>
      <c r="DA225">
        <f ca="1"/>
      </c>
      <c r="DB225">
        <f ca="1"/>
      </c>
      <c r="DC225">
        <f ca="1"/>
      </c>
      <c r="DD225">
        <f ca="1"/>
      </c>
      <c r="DE225">
        <f ca="1"/>
      </c>
      <c r="DF225">
        <f ca="1"/>
      </c>
      <c r="DG225">
        <f ca="1"/>
      </c>
      <c r="DH225">
        <f ca="1"/>
      </c>
      <c r="DI225">
        <f ca="1"/>
      </c>
      <c r="DJ225">
        <f ca="1"/>
      </c>
      <c r="DK225">
        <f ca="1"/>
      </c>
      <c r="DL225">
        <f ca="1"/>
      </c>
      <c r="DM225">
        <f ca="1"/>
      </c>
      <c r="DN225">
        <f ca="1"/>
      </c>
      <c r="DO225">
        <f ca="1"/>
      </c>
      <c r="DP225">
        <f ca="1"/>
      </c>
      <c r="DQ225">
        <f ca="1"/>
      </c>
      <c r="DR225">
        <f ca="1"/>
      </c>
      <c r="DS225">
        <f ca="1"/>
      </c>
      <c r="DT225">
        <f ca="1"/>
      </c>
      <c r="DU225">
        <f ca="1"/>
      </c>
      <c r="DV225">
        <f ca="1"/>
      </c>
      <c r="DW225">
        <f ca="1"/>
      </c>
      <c r="DX225">
        <f ca="1"/>
      </c>
      <c r="DY225">
        <f ca="1"/>
      </c>
      <c r="DZ225">
        <f ca="1"/>
      </c>
      <c r="EA225">
        <f ca="1"/>
      </c>
      <c r="EB225">
        <f ca="1"/>
      </c>
      <c r="EC225">
        <f ca="1"/>
      </c>
      <c r="ED225">
        <f ca="1"/>
      </c>
      <c r="EE225">
        <f ca="1"/>
      </c>
      <c r="EG225">
        <f ca="1"/>
      </c>
      <c r="EH225">
        <f ca="1"/>
      </c>
      <c r="EI225">
        <f ca="1"/>
      </c>
      <c r="EJ225">
        <f ca="1"/>
      </c>
      <c r="EK225">
        <f ca="1"/>
      </c>
      <c r="EL225">
        <f ca="1"/>
      </c>
      <c r="EM225">
        <f ca="1"/>
      </c>
      <c r="EN225">
        <f ca="1"/>
      </c>
      <c r="EO225">
        <f ca="1"/>
      </c>
      <c r="EP225">
        <f ca="1"/>
      </c>
      <c r="EQ225">
        <f ca="1"/>
      </c>
      <c r="ER225">
        <f ca="1"/>
      </c>
      <c r="ES225">
        <f ca="1"/>
      </c>
      <c r="ET225">
        <f ca="1"/>
      </c>
      <c r="EU225">
        <f ca="1"/>
      </c>
      <c r="EV225">
        <f ca="1"/>
      </c>
      <c r="EW225">
        <f ca="1"/>
      </c>
      <c r="EX225">
        <f ca="1"/>
      </c>
      <c r="EY225">
        <f ca="1"/>
      </c>
      <c r="EZ225">
        <f ca="1"/>
      </c>
      <c r="FA225">
        <f ca="1"/>
      </c>
      <c r="FB225">
        <f ca="1"/>
      </c>
      <c r="FC225">
        <f ca="1"/>
      </c>
      <c r="FD225">
        <f ca="1"/>
      </c>
      <c r="FE225">
        <f ca="1"/>
      </c>
      <c r="FF225">
        <f ca="1"/>
      </c>
      <c r="FG225">
        <f ca="1"/>
      </c>
      <c r="FH225">
        <f ca="1"/>
      </c>
      <c r="FI225">
        <f ca="1"/>
      </c>
      <c r="FJ225">
        <f ca="1"/>
      </c>
      <c r="FK225">
        <f ca="1"/>
      </c>
      <c r="FL225">
        <f ca="1"/>
      </c>
      <c r="FM225">
        <f ca="1"/>
      </c>
      <c r="FN225">
        <f ca="1"/>
      </c>
      <c r="FO225">
        <f ca="1"/>
      </c>
      <c r="FP225">
        <f ca="1"/>
      </c>
      <c r="FQ225">
        <f ca="1"/>
      </c>
      <c r="FR225">
        <f ca="1"/>
      </c>
      <c r="FS225">
        <f ca="1"/>
      </c>
      <c r="FT225">
        <f ca="1"/>
      </c>
      <c r="FU225">
        <f ca="1"/>
      </c>
      <c r="FV225">
        <f ca="1"/>
      </c>
      <c r="FW225">
        <f ca="1"/>
      </c>
      <c r="FX225">
        <f ca="1"/>
      </c>
      <c r="FY225">
        <f ca="1"/>
      </c>
      <c r="FZ225">
        <f ca="1"/>
      </c>
      <c r="GA225">
        <f ca="1"/>
      </c>
      <c r="GM225" s="7">
        <f ca="1"/>
      </c>
      <c r="GN225">
        <f ca="1"/>
      </c>
      <c r="GO225">
        <f ca="1"/>
      </c>
      <c r="GP225">
        <f ca="1"/>
      </c>
      <c r="GQ225">
        <f ca="1"/>
      </c>
    </row>
    <row r="226" spans="41:199" x14ac:dyDescent="0.55000000000000004">
      <c r="AO226">
        <f ca="1"/>
      </c>
      <c r="AP226">
        <f ca="1"/>
      </c>
      <c r="AQ226">
        <f ca="1"/>
      </c>
      <c r="AR226">
        <f ca="1"/>
      </c>
      <c r="AS226">
        <f ca="1"/>
      </c>
      <c r="AT226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AZ226">
        <f ca="1"/>
      </c>
      <c r="BA226">
        <f ca="1"/>
      </c>
      <c r="BB226">
        <f ca="1"/>
      </c>
      <c r="BC226">
        <f ca="1"/>
      </c>
      <c r="BD226">
        <f ca="1"/>
      </c>
      <c r="BE226">
        <f ca="1"/>
      </c>
      <c r="BF226">
        <f ca="1"/>
      </c>
      <c r="BG226">
        <f ca="1"/>
      </c>
      <c r="BH226">
        <f ca="1"/>
      </c>
      <c r="BI226">
        <f ca="1"/>
      </c>
      <c r="BJ226">
        <f ca="1"/>
      </c>
      <c r="BK226">
        <f ca="1"/>
      </c>
      <c r="BL226">
        <f ca="1"/>
      </c>
      <c r="BM226">
        <f ca="1"/>
      </c>
      <c r="BN226">
        <f ca="1"/>
      </c>
      <c r="BO226">
        <f ca="1"/>
      </c>
      <c r="BP226">
        <f ca="1"/>
      </c>
      <c r="BQ226">
        <f ca="1"/>
      </c>
      <c r="BR226">
        <f ca="1"/>
      </c>
      <c r="BS226">
        <f ca="1"/>
      </c>
      <c r="BT226">
        <f ca="1"/>
      </c>
      <c r="BU226">
        <f ca="1"/>
      </c>
      <c r="BV226">
        <f ca="1"/>
      </c>
      <c r="BW226">
        <f ca="1"/>
      </c>
      <c r="BX226">
        <f ca="1"/>
      </c>
      <c r="BY226">
        <f ca="1"/>
      </c>
      <c r="BZ226">
        <f ca="1"/>
      </c>
      <c r="CA226">
        <f ca="1"/>
      </c>
      <c r="CB226">
        <f ca="1"/>
      </c>
      <c r="CC226">
        <f ca="1"/>
      </c>
      <c r="CD226">
        <f ca="1"/>
      </c>
      <c r="CE226">
        <f ca="1"/>
      </c>
      <c r="CF226">
        <f ca="1"/>
      </c>
      <c r="CG226">
        <f ca="1"/>
      </c>
      <c r="CH226">
        <f ca="1"/>
      </c>
      <c r="CI226">
        <f ca="1"/>
      </c>
      <c r="CK226">
        <f ca="1"/>
      </c>
      <c r="CL226">
        <f ca="1"/>
      </c>
      <c r="CM226">
        <f ca="1"/>
      </c>
      <c r="CN226">
        <f ca="1"/>
      </c>
      <c r="CO226">
        <f ca="1"/>
      </c>
      <c r="CP226">
        <f ca="1"/>
      </c>
      <c r="CQ226">
        <f ca="1"/>
      </c>
      <c r="CR226">
        <f ca="1"/>
      </c>
      <c r="CS226">
        <f ca="1"/>
      </c>
      <c r="CT226">
        <f ca="1"/>
      </c>
      <c r="CU226">
        <f ca="1"/>
      </c>
      <c r="CV226">
        <f ca="1"/>
      </c>
      <c r="CW226">
        <f ca="1"/>
      </c>
      <c r="CX226">
        <f ca="1"/>
      </c>
      <c r="CY226">
        <f ca="1"/>
      </c>
      <c r="CZ226">
        <f ca="1"/>
      </c>
      <c r="DA226">
        <f ca="1"/>
      </c>
      <c r="DB226">
        <f ca="1"/>
      </c>
      <c r="DC226">
        <f ca="1"/>
      </c>
      <c r="DD226">
        <f ca="1"/>
      </c>
      <c r="DE226">
        <f ca="1"/>
      </c>
      <c r="DF226">
        <f ca="1"/>
      </c>
      <c r="DG226">
        <f ca="1"/>
      </c>
      <c r="DH226">
        <f ca="1"/>
      </c>
      <c r="DI226">
        <f ca="1"/>
      </c>
      <c r="DJ226">
        <f ca="1"/>
      </c>
      <c r="DK226">
        <f ca="1"/>
      </c>
      <c r="DL226">
        <f ca="1"/>
      </c>
      <c r="DM226">
        <f ca="1"/>
      </c>
      <c r="DN226">
        <f ca="1"/>
      </c>
      <c r="DO226">
        <f ca="1"/>
      </c>
      <c r="DP226">
        <f ca="1"/>
      </c>
      <c r="DQ226">
        <f ca="1"/>
      </c>
      <c r="DR226">
        <f ca="1"/>
      </c>
      <c r="DS226">
        <f ca="1"/>
      </c>
      <c r="DT226">
        <f ca="1"/>
      </c>
      <c r="DU226">
        <f ca="1"/>
      </c>
      <c r="DV226">
        <f ca="1"/>
      </c>
      <c r="DW226">
        <f ca="1"/>
      </c>
      <c r="DX226">
        <f ca="1"/>
      </c>
      <c r="DY226">
        <f ca="1"/>
      </c>
      <c r="DZ226">
        <f ca="1"/>
      </c>
      <c r="EA226">
        <f ca="1"/>
      </c>
      <c r="EB226">
        <f ca="1"/>
      </c>
      <c r="EC226">
        <f ca="1"/>
      </c>
      <c r="ED226">
        <f ca="1"/>
      </c>
      <c r="EE226">
        <f ca="1"/>
      </c>
      <c r="EG226">
        <f ca="1"/>
      </c>
      <c r="EH226">
        <f ca="1"/>
      </c>
      <c r="EI226">
        <f ca="1"/>
      </c>
      <c r="EJ226">
        <f ca="1"/>
      </c>
      <c r="EK226">
        <f ca="1"/>
      </c>
      <c r="EL226">
        <f ca="1"/>
      </c>
      <c r="EM226">
        <f ca="1"/>
      </c>
      <c r="EN226">
        <f ca="1"/>
      </c>
      <c r="EO226">
        <f ca="1"/>
      </c>
      <c r="EP226">
        <f ca="1"/>
      </c>
      <c r="EQ226">
        <f ca="1"/>
      </c>
      <c r="ER226">
        <f ca="1"/>
      </c>
      <c r="ES226">
        <f ca="1"/>
      </c>
      <c r="ET226">
        <f ca="1"/>
      </c>
      <c r="EU226">
        <f ca="1"/>
      </c>
      <c r="EV226">
        <f ca="1"/>
      </c>
      <c r="EW226">
        <f ca="1"/>
      </c>
      <c r="EX226">
        <f ca="1"/>
      </c>
      <c r="EY226">
        <f ca="1"/>
      </c>
      <c r="EZ226">
        <f ca="1"/>
      </c>
      <c r="FA226">
        <f ca="1"/>
      </c>
      <c r="FB226">
        <f ca="1"/>
      </c>
      <c r="FC226">
        <f ca="1"/>
      </c>
      <c r="FD226">
        <f ca="1"/>
      </c>
      <c r="FE226">
        <f ca="1"/>
      </c>
      <c r="FF226">
        <f ca="1"/>
      </c>
      <c r="FG226">
        <f ca="1"/>
      </c>
      <c r="FH226">
        <f ca="1"/>
      </c>
      <c r="FI226">
        <f ca="1"/>
      </c>
      <c r="FJ226">
        <f ca="1"/>
      </c>
      <c r="FK226">
        <f ca="1"/>
      </c>
      <c r="FL226">
        <f ca="1"/>
      </c>
      <c r="FM226">
        <f ca="1"/>
      </c>
      <c r="FN226">
        <f ca="1"/>
      </c>
      <c r="FO226">
        <f ca="1"/>
      </c>
      <c r="FP226">
        <f ca="1"/>
      </c>
      <c r="FQ226">
        <f ca="1"/>
      </c>
      <c r="FR226">
        <f ca="1"/>
      </c>
      <c r="FS226">
        <f ca="1"/>
      </c>
      <c r="FT226">
        <f ca="1"/>
      </c>
      <c r="FU226">
        <f ca="1"/>
      </c>
      <c r="FV226">
        <f ca="1"/>
      </c>
      <c r="FW226">
        <f ca="1"/>
      </c>
      <c r="FX226">
        <f ca="1"/>
      </c>
      <c r="FY226">
        <f ca="1"/>
      </c>
      <c r="FZ226">
        <f ca="1"/>
      </c>
      <c r="GA226">
        <f ca="1"/>
      </c>
      <c r="GM226" s="7">
        <f ca="1"/>
      </c>
      <c r="GN226">
        <f ca="1"/>
      </c>
      <c r="GO226">
        <f ca="1"/>
      </c>
      <c r="GP226">
        <f ca="1"/>
      </c>
      <c r="GQ226">
        <f ca="1"/>
      </c>
    </row>
    <row r="227" spans="41:199" x14ac:dyDescent="0.55000000000000004">
      <c r="AO227">
        <f ca="1"/>
      </c>
      <c r="AP227">
        <f ca="1"/>
      </c>
      <c r="AQ227">
        <f ca="1"/>
      </c>
      <c r="AR227">
        <f ca="1"/>
      </c>
      <c r="AS227">
        <f ca="1"/>
      </c>
      <c r="AT22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AZ227">
        <f ca="1"/>
      </c>
      <c r="BA227">
        <f ca="1"/>
      </c>
      <c r="BB227">
        <f ca="1"/>
      </c>
      <c r="BC227">
        <f ca="1"/>
      </c>
      <c r="BD227">
        <f ca="1"/>
      </c>
      <c r="BE227">
        <f ca="1"/>
      </c>
      <c r="BF227">
        <f ca="1"/>
      </c>
      <c r="BG227">
        <f ca="1"/>
      </c>
      <c r="BH227">
        <f ca="1"/>
      </c>
      <c r="BI227">
        <f ca="1"/>
      </c>
      <c r="BJ227">
        <f ca="1"/>
      </c>
      <c r="BK227">
        <f ca="1"/>
      </c>
      <c r="BL227">
        <f ca="1"/>
      </c>
      <c r="BM227">
        <f ca="1"/>
      </c>
      <c r="BN227">
        <f ca="1"/>
      </c>
      <c r="BO227">
        <f ca="1"/>
      </c>
      <c r="BP227">
        <f ca="1"/>
      </c>
      <c r="BQ227">
        <f ca="1"/>
      </c>
      <c r="BR227">
        <f ca="1"/>
      </c>
      <c r="BS227">
        <f ca="1"/>
      </c>
      <c r="BT227">
        <f ca="1"/>
      </c>
      <c r="BU227">
        <f ca="1"/>
      </c>
      <c r="BV227">
        <f ca="1"/>
      </c>
      <c r="BW227">
        <f ca="1"/>
      </c>
      <c r="BX227">
        <f ca="1"/>
      </c>
      <c r="BY227">
        <f ca="1"/>
      </c>
      <c r="BZ227">
        <f ca="1"/>
      </c>
      <c r="CA227">
        <f ca="1"/>
      </c>
      <c r="CB227">
        <f ca="1"/>
      </c>
      <c r="CC227">
        <f ca="1"/>
      </c>
      <c r="CD227">
        <f ca="1"/>
      </c>
      <c r="CE227">
        <f ca="1"/>
      </c>
      <c r="CF227">
        <f ca="1"/>
      </c>
      <c r="CG227">
        <f ca="1"/>
      </c>
      <c r="CH227">
        <f ca="1"/>
      </c>
      <c r="CI227">
        <f ca="1"/>
      </c>
      <c r="CK227">
        <f ca="1"/>
      </c>
      <c r="CL227">
        <f ca="1"/>
      </c>
      <c r="CM227">
        <f ca="1"/>
      </c>
      <c r="CN227">
        <f ca="1"/>
      </c>
      <c r="CO227">
        <f ca="1"/>
      </c>
      <c r="CP227">
        <f ca="1"/>
      </c>
      <c r="CQ227">
        <f ca="1"/>
      </c>
      <c r="CR227">
        <f ca="1"/>
      </c>
      <c r="CS227">
        <f ca="1"/>
      </c>
      <c r="CT227">
        <f ca="1"/>
      </c>
      <c r="CU227">
        <f ca="1"/>
      </c>
      <c r="CV227">
        <f ca="1"/>
      </c>
      <c r="CW227">
        <f ca="1"/>
      </c>
      <c r="CX227">
        <f ca="1"/>
      </c>
      <c r="CY227">
        <f ca="1"/>
      </c>
      <c r="CZ227">
        <f ca="1"/>
      </c>
      <c r="DA227">
        <f ca="1"/>
      </c>
      <c r="DB227">
        <f ca="1"/>
      </c>
      <c r="DC227">
        <f ca="1"/>
      </c>
      <c r="DD227">
        <f ca="1"/>
      </c>
      <c r="DE227">
        <f ca="1"/>
      </c>
      <c r="DF227">
        <f ca="1"/>
      </c>
      <c r="DG227">
        <f ca="1"/>
      </c>
      <c r="DH227">
        <f ca="1"/>
      </c>
      <c r="DI227">
        <f ca="1"/>
      </c>
      <c r="DJ227">
        <f ca="1"/>
      </c>
      <c r="DK227">
        <f ca="1"/>
      </c>
      <c r="DL227">
        <f ca="1"/>
      </c>
      <c r="DM227">
        <f ca="1"/>
      </c>
      <c r="DN227">
        <f ca="1"/>
      </c>
      <c r="DO227">
        <f ca="1"/>
      </c>
      <c r="DP227">
        <f ca="1"/>
      </c>
      <c r="DQ227">
        <f ca="1"/>
      </c>
      <c r="DR227">
        <f ca="1"/>
      </c>
      <c r="DS227">
        <f ca="1"/>
      </c>
      <c r="DT227">
        <f ca="1"/>
      </c>
      <c r="DU227">
        <f ca="1"/>
      </c>
      <c r="DV227">
        <f ca="1"/>
      </c>
      <c r="DW227">
        <f ca="1"/>
      </c>
      <c r="DX227">
        <f ca="1"/>
      </c>
      <c r="DY227">
        <f ca="1"/>
      </c>
      <c r="DZ227">
        <f ca="1"/>
      </c>
      <c r="EA227">
        <f ca="1"/>
      </c>
      <c r="EB227">
        <f ca="1"/>
      </c>
      <c r="EC227">
        <f ca="1"/>
      </c>
      <c r="ED227">
        <f ca="1"/>
      </c>
      <c r="EE227">
        <f ca="1"/>
      </c>
      <c r="EG227">
        <f ca="1"/>
      </c>
      <c r="EH227">
        <f ca="1"/>
      </c>
      <c r="EI227">
        <f ca="1"/>
      </c>
      <c r="EJ227">
        <f ca="1"/>
      </c>
      <c r="EK227">
        <f ca="1"/>
      </c>
      <c r="EL227">
        <f ca="1"/>
      </c>
      <c r="EM227">
        <f ca="1"/>
      </c>
      <c r="EN227">
        <f ca="1"/>
      </c>
      <c r="EO227">
        <f ca="1"/>
      </c>
      <c r="EP227">
        <f ca="1"/>
      </c>
      <c r="EQ227">
        <f ca="1"/>
      </c>
      <c r="ER227">
        <f ca="1"/>
      </c>
      <c r="ES227">
        <f ca="1"/>
      </c>
      <c r="ET227">
        <f ca="1"/>
      </c>
      <c r="EU227">
        <f ca="1"/>
      </c>
      <c r="EV227">
        <f ca="1"/>
      </c>
      <c r="EW227">
        <f ca="1"/>
      </c>
      <c r="EX227">
        <f ca="1"/>
      </c>
      <c r="EY227">
        <f ca="1"/>
      </c>
      <c r="EZ227">
        <f ca="1"/>
      </c>
      <c r="FA227">
        <f ca="1"/>
      </c>
      <c r="FB227">
        <f ca="1"/>
      </c>
      <c r="FC227">
        <f ca="1"/>
      </c>
      <c r="FD227">
        <f ca="1"/>
      </c>
      <c r="FE227">
        <f ca="1"/>
      </c>
      <c r="FF227">
        <f ca="1"/>
      </c>
      <c r="FG227">
        <f ca="1"/>
      </c>
      <c r="FH227">
        <f ca="1"/>
      </c>
      <c r="FI227">
        <f ca="1"/>
      </c>
      <c r="FJ227">
        <f ca="1"/>
      </c>
      <c r="FK227">
        <f ca="1"/>
      </c>
      <c r="FL227">
        <f ca="1"/>
      </c>
      <c r="FM227">
        <f ca="1"/>
      </c>
      <c r="FN227">
        <f ca="1"/>
      </c>
      <c r="FO227">
        <f ca="1"/>
      </c>
      <c r="FP227">
        <f ca="1"/>
      </c>
      <c r="FQ227">
        <f ca="1"/>
      </c>
      <c r="FR227">
        <f ca="1"/>
      </c>
      <c r="FS227">
        <f ca="1"/>
      </c>
      <c r="FT227">
        <f ca="1"/>
      </c>
      <c r="FU227">
        <f ca="1"/>
      </c>
      <c r="FV227">
        <f ca="1"/>
      </c>
      <c r="FW227">
        <f ca="1"/>
      </c>
      <c r="FX227">
        <f ca="1"/>
      </c>
      <c r="FY227">
        <f ca="1"/>
      </c>
      <c r="FZ227">
        <f ca="1"/>
      </c>
      <c r="GA227">
        <f ca="1"/>
      </c>
      <c r="GM227" s="7">
        <f ca="1"/>
      </c>
      <c r="GN227">
        <f ca="1"/>
      </c>
      <c r="GO227">
        <f ca="1"/>
      </c>
      <c r="GP227">
        <f ca="1"/>
      </c>
      <c r="GQ227">
        <f ca="1"/>
      </c>
    </row>
    <row r="228" spans="41:199" x14ac:dyDescent="0.55000000000000004">
      <c r="AO228">
        <f ca="1"/>
      </c>
      <c r="AP228">
        <f ca="1"/>
      </c>
      <c r="AQ228">
        <f ca="1"/>
      </c>
      <c r="AR228">
        <f ca="1"/>
      </c>
      <c r="AS228">
        <f ca="1"/>
      </c>
      <c r="AT228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AZ228">
        <f ca="1"/>
      </c>
      <c r="BA228">
        <f ca="1"/>
      </c>
      <c r="BB228">
        <f ca="1"/>
      </c>
      <c r="BC228">
        <f ca="1"/>
      </c>
      <c r="BD228">
        <f ca="1"/>
      </c>
      <c r="BE228">
        <f ca="1"/>
      </c>
      <c r="BF228">
        <f ca="1"/>
      </c>
      <c r="BG228">
        <f ca="1"/>
      </c>
      <c r="BH228">
        <f ca="1"/>
      </c>
      <c r="BI228">
        <f ca="1"/>
      </c>
      <c r="BJ228">
        <f ca="1"/>
      </c>
      <c r="BK228">
        <f ca="1"/>
      </c>
      <c r="BL228">
        <f ca="1"/>
      </c>
      <c r="BM228">
        <f ca="1"/>
      </c>
      <c r="BN228">
        <f ca="1"/>
      </c>
      <c r="BO228">
        <f ca="1"/>
      </c>
      <c r="BP228">
        <f ca="1"/>
      </c>
      <c r="BQ228">
        <f ca="1"/>
      </c>
      <c r="BR228">
        <f ca="1"/>
      </c>
      <c r="BS228">
        <f ca="1"/>
      </c>
      <c r="BT228">
        <f ca="1"/>
      </c>
      <c r="BU228">
        <f ca="1"/>
      </c>
      <c r="BV228">
        <f ca="1"/>
      </c>
      <c r="BW228">
        <f ca="1"/>
      </c>
      <c r="BX228">
        <f ca="1"/>
      </c>
      <c r="BY228">
        <f ca="1"/>
      </c>
      <c r="BZ228">
        <f ca="1"/>
      </c>
      <c r="CA228">
        <f ca="1"/>
      </c>
      <c r="CB228">
        <f ca="1"/>
      </c>
      <c r="CC228">
        <f ca="1"/>
      </c>
      <c r="CD228">
        <f ca="1"/>
      </c>
      <c r="CE228">
        <f ca="1"/>
      </c>
      <c r="CF228">
        <f ca="1"/>
      </c>
      <c r="CG228">
        <f ca="1"/>
      </c>
      <c r="CH228">
        <f ca="1"/>
      </c>
      <c r="CI228">
        <f ca="1"/>
      </c>
      <c r="CK228">
        <f ca="1"/>
      </c>
      <c r="CL228">
        <f ca="1"/>
      </c>
      <c r="CM228">
        <f ca="1"/>
      </c>
      <c r="CN228">
        <f ca="1"/>
      </c>
      <c r="CO228">
        <f ca="1"/>
      </c>
      <c r="CP228">
        <f ca="1"/>
      </c>
      <c r="CQ228">
        <f ca="1"/>
      </c>
      <c r="CR228">
        <f ca="1"/>
      </c>
      <c r="CS228">
        <f ca="1"/>
      </c>
      <c r="CT228">
        <f ca="1"/>
      </c>
      <c r="CU228">
        <f ca="1"/>
      </c>
      <c r="CV228">
        <f ca="1"/>
      </c>
      <c r="CW228">
        <f ca="1"/>
      </c>
      <c r="CX228">
        <f ca="1"/>
      </c>
      <c r="CY228">
        <f ca="1"/>
      </c>
      <c r="CZ228">
        <f ca="1"/>
      </c>
      <c r="DA228">
        <f ca="1"/>
      </c>
      <c r="DB228">
        <f ca="1"/>
      </c>
      <c r="DC228">
        <f ca="1"/>
      </c>
      <c r="DD228">
        <f ca="1"/>
      </c>
      <c r="DE228">
        <f ca="1"/>
      </c>
      <c r="DF228">
        <f ca="1"/>
      </c>
      <c r="DG228">
        <f ca="1"/>
      </c>
      <c r="DH228">
        <f ca="1"/>
      </c>
      <c r="DI228">
        <f ca="1"/>
      </c>
      <c r="DJ228">
        <f ca="1"/>
      </c>
      <c r="DK228">
        <f ca="1"/>
      </c>
      <c r="DL228">
        <f ca="1"/>
      </c>
      <c r="DM228">
        <f ca="1"/>
      </c>
      <c r="DN228">
        <f ca="1"/>
      </c>
      <c r="DO228">
        <f ca="1"/>
      </c>
      <c r="DP228">
        <f ca="1"/>
      </c>
      <c r="DQ228">
        <f ca="1"/>
      </c>
      <c r="DR228">
        <f ca="1"/>
      </c>
      <c r="DS228">
        <f ca="1"/>
      </c>
      <c r="DT228">
        <f ca="1"/>
      </c>
      <c r="DU228">
        <f ca="1"/>
      </c>
      <c r="DV228">
        <f ca="1"/>
      </c>
      <c r="DW228">
        <f ca="1"/>
      </c>
      <c r="DX228">
        <f ca="1"/>
      </c>
      <c r="DY228">
        <f ca="1"/>
      </c>
      <c r="DZ228">
        <f ca="1"/>
      </c>
      <c r="EA228">
        <f ca="1"/>
      </c>
      <c r="EB228">
        <f ca="1"/>
      </c>
      <c r="EC228">
        <f ca="1"/>
      </c>
      <c r="ED228">
        <f ca="1"/>
      </c>
      <c r="EE228">
        <f ca="1"/>
      </c>
      <c r="EG228">
        <f ca="1"/>
      </c>
      <c r="EH228">
        <f ca="1"/>
      </c>
      <c r="EI228">
        <f ca="1"/>
      </c>
      <c r="EJ228">
        <f ca="1"/>
      </c>
      <c r="EK228">
        <f ca="1"/>
      </c>
      <c r="EL228">
        <f ca="1"/>
      </c>
      <c r="EM228">
        <f ca="1"/>
      </c>
      <c r="EN228">
        <f ca="1"/>
      </c>
      <c r="EO228">
        <f ca="1"/>
      </c>
      <c r="EP228">
        <f ca="1"/>
      </c>
      <c r="EQ228">
        <f ca="1"/>
      </c>
      <c r="ER228">
        <f ca="1"/>
      </c>
      <c r="ES228">
        <f ca="1"/>
      </c>
      <c r="ET228">
        <f ca="1"/>
      </c>
      <c r="EU228">
        <f ca="1"/>
      </c>
      <c r="EV228">
        <f ca="1"/>
      </c>
      <c r="EW228">
        <f ca="1"/>
      </c>
      <c r="EX228">
        <f ca="1"/>
      </c>
      <c r="EY228">
        <f ca="1"/>
      </c>
      <c r="EZ228">
        <f ca="1"/>
      </c>
      <c r="FA228">
        <f ca="1"/>
      </c>
      <c r="FB228">
        <f ca="1"/>
      </c>
      <c r="FC228">
        <f ca="1"/>
      </c>
      <c r="FD228">
        <f ca="1"/>
      </c>
      <c r="FE228">
        <f ca="1"/>
      </c>
      <c r="FF228">
        <f ca="1"/>
      </c>
      <c r="FG228">
        <f ca="1"/>
      </c>
      <c r="FH228">
        <f ca="1"/>
      </c>
      <c r="FI228">
        <f ca="1"/>
      </c>
      <c r="FJ228">
        <f ca="1"/>
      </c>
      <c r="FK228">
        <f ca="1"/>
      </c>
      <c r="FL228">
        <f ca="1"/>
      </c>
      <c r="FM228">
        <f ca="1"/>
      </c>
      <c r="FN228">
        <f ca="1"/>
      </c>
      <c r="FO228">
        <f ca="1"/>
      </c>
      <c r="FP228">
        <f ca="1"/>
      </c>
      <c r="FQ228">
        <f ca="1"/>
      </c>
      <c r="FR228">
        <f ca="1"/>
      </c>
      <c r="FS228">
        <f ca="1"/>
      </c>
      <c r="FT228">
        <f ca="1"/>
      </c>
      <c r="FU228">
        <f ca="1"/>
      </c>
      <c r="FV228">
        <f ca="1"/>
      </c>
      <c r="FW228">
        <f ca="1"/>
      </c>
      <c r="FX228">
        <f ca="1"/>
      </c>
      <c r="FY228">
        <f ca="1"/>
      </c>
      <c r="FZ228">
        <f ca="1"/>
      </c>
      <c r="GA228">
        <f ca="1"/>
      </c>
      <c r="GM228" s="7">
        <f ca="1"/>
      </c>
      <c r="GN228">
        <f ca="1"/>
      </c>
      <c r="GO228">
        <f ca="1"/>
      </c>
      <c r="GP228">
        <f ca="1"/>
      </c>
      <c r="GQ228">
        <f ca="1"/>
      </c>
    </row>
    <row r="229" spans="41:199" x14ac:dyDescent="0.55000000000000004">
      <c r="AO229">
        <f ca="1"/>
      </c>
      <c r="AP229">
        <f ca="1"/>
      </c>
      <c r="AQ229">
        <f ca="1"/>
      </c>
      <c r="AR229">
        <f ca="1"/>
      </c>
      <c r="AS229">
        <f ca="1"/>
      </c>
      <c r="AT229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AZ229">
        <f ca="1"/>
      </c>
      <c r="BA229">
        <f ca="1"/>
      </c>
      <c r="BB229">
        <f ca="1"/>
      </c>
      <c r="BC229">
        <f ca="1"/>
      </c>
      <c r="BD229">
        <f ca="1"/>
      </c>
      <c r="BE229">
        <f ca="1"/>
      </c>
      <c r="BF229">
        <f ca="1"/>
      </c>
      <c r="BG229">
        <f ca="1"/>
      </c>
      <c r="BH229">
        <f ca="1"/>
      </c>
      <c r="BI229">
        <f ca="1"/>
      </c>
      <c r="BJ229">
        <f ca="1"/>
      </c>
      <c r="BK229">
        <f ca="1"/>
      </c>
      <c r="BL229">
        <f ca="1"/>
      </c>
      <c r="BM229">
        <f ca="1"/>
      </c>
      <c r="BN229">
        <f ca="1"/>
      </c>
      <c r="BO229">
        <f ca="1"/>
      </c>
      <c r="BP229">
        <f ca="1"/>
      </c>
      <c r="BQ229">
        <f ca="1"/>
      </c>
      <c r="BR229">
        <f ca="1"/>
      </c>
      <c r="BS229">
        <f ca="1"/>
      </c>
      <c r="BT229">
        <f ca="1"/>
      </c>
      <c r="BU229">
        <f ca="1"/>
      </c>
      <c r="BV229">
        <f ca="1"/>
      </c>
      <c r="BW229">
        <f ca="1"/>
      </c>
      <c r="BX229">
        <f ca="1"/>
      </c>
      <c r="BY229">
        <f ca="1"/>
      </c>
      <c r="BZ229">
        <f ca="1"/>
      </c>
      <c r="CA229">
        <f ca="1"/>
      </c>
      <c r="CB229">
        <f ca="1"/>
      </c>
      <c r="CC229">
        <f ca="1"/>
      </c>
      <c r="CD229">
        <f ca="1"/>
      </c>
      <c r="CE229">
        <f ca="1"/>
      </c>
      <c r="CF229">
        <f ca="1"/>
      </c>
      <c r="CG229">
        <f ca="1"/>
      </c>
      <c r="CH229">
        <f ca="1"/>
      </c>
      <c r="CI229">
        <f ca="1"/>
      </c>
      <c r="CK229">
        <f ca="1"/>
      </c>
      <c r="CL229">
        <f ca="1"/>
      </c>
      <c r="CM229">
        <f ca="1"/>
      </c>
      <c r="CN229">
        <f ca="1"/>
      </c>
      <c r="CO229">
        <f ca="1"/>
      </c>
      <c r="CP229">
        <f ca="1"/>
      </c>
      <c r="CQ229">
        <f ca="1"/>
      </c>
      <c r="CR229">
        <f ca="1"/>
      </c>
      <c r="CS229">
        <f ca="1"/>
      </c>
      <c r="CT229">
        <f ca="1"/>
      </c>
      <c r="CU229">
        <f ca="1"/>
      </c>
      <c r="CV229">
        <f ca="1"/>
      </c>
      <c r="CW229">
        <f ca="1"/>
      </c>
      <c r="CX229">
        <f ca="1"/>
      </c>
      <c r="CY229">
        <f ca="1"/>
      </c>
      <c r="CZ229">
        <f ca="1"/>
      </c>
      <c r="DA229">
        <f ca="1"/>
      </c>
      <c r="DB229">
        <f ca="1"/>
      </c>
      <c r="DC229">
        <f ca="1"/>
      </c>
      <c r="DD229">
        <f ca="1"/>
      </c>
      <c r="DE229">
        <f ca="1"/>
      </c>
      <c r="DF229">
        <f ca="1"/>
      </c>
      <c r="DG229">
        <f ca="1"/>
      </c>
      <c r="DH229">
        <f ca="1"/>
      </c>
      <c r="DI229">
        <f ca="1"/>
      </c>
      <c r="DJ229">
        <f ca="1"/>
      </c>
      <c r="DK229">
        <f ca="1"/>
      </c>
      <c r="DL229">
        <f ca="1"/>
      </c>
      <c r="DM229">
        <f ca="1"/>
      </c>
      <c r="DN229">
        <f ca="1"/>
      </c>
      <c r="DO229">
        <f ca="1"/>
      </c>
      <c r="DP229">
        <f ca="1"/>
      </c>
      <c r="DQ229">
        <f ca="1"/>
      </c>
      <c r="DR229">
        <f ca="1"/>
      </c>
      <c r="DS229">
        <f ca="1"/>
      </c>
      <c r="DT229">
        <f ca="1"/>
      </c>
      <c r="DU229">
        <f ca="1"/>
      </c>
      <c r="DV229">
        <f ca="1"/>
      </c>
      <c r="DW229">
        <f ca="1"/>
      </c>
      <c r="DX229">
        <f ca="1"/>
      </c>
      <c r="DY229">
        <f ca="1"/>
      </c>
      <c r="DZ229">
        <f ca="1"/>
      </c>
      <c r="EA229">
        <f ca="1"/>
      </c>
      <c r="EB229">
        <f ca="1"/>
      </c>
      <c r="EC229">
        <f ca="1"/>
      </c>
      <c r="ED229">
        <f ca="1"/>
      </c>
      <c r="EE229">
        <f ca="1"/>
      </c>
      <c r="EG229">
        <f ca="1"/>
      </c>
      <c r="EH229">
        <f ca="1"/>
      </c>
      <c r="EI229">
        <f ca="1"/>
      </c>
      <c r="EJ229">
        <f ca="1"/>
      </c>
      <c r="EK229">
        <f ca="1"/>
      </c>
      <c r="EL229">
        <f ca="1"/>
      </c>
      <c r="EM229">
        <f ca="1"/>
      </c>
      <c r="EN229">
        <f ca="1"/>
      </c>
      <c r="EO229">
        <f ca="1"/>
      </c>
      <c r="EP229">
        <f ca="1"/>
      </c>
      <c r="EQ229">
        <f ca="1"/>
      </c>
      <c r="ER229">
        <f ca="1"/>
      </c>
      <c r="ES229">
        <f ca="1"/>
      </c>
      <c r="ET229">
        <f ca="1"/>
      </c>
      <c r="EU229">
        <f ca="1"/>
      </c>
      <c r="EV229">
        <f ca="1"/>
      </c>
      <c r="EW229">
        <f ca="1"/>
      </c>
      <c r="EX229">
        <f ca="1"/>
      </c>
      <c r="EY229">
        <f ca="1"/>
      </c>
      <c r="EZ229">
        <f ca="1"/>
      </c>
      <c r="FA229">
        <f ca="1"/>
      </c>
      <c r="FB229">
        <f ca="1"/>
      </c>
      <c r="FC229">
        <f ca="1"/>
      </c>
      <c r="FD229">
        <f ca="1"/>
      </c>
      <c r="FE229">
        <f ca="1"/>
      </c>
      <c r="FF229">
        <f ca="1"/>
      </c>
      <c r="FG229">
        <f ca="1"/>
      </c>
      <c r="FH229">
        <f ca="1"/>
      </c>
      <c r="FI229">
        <f ca="1"/>
      </c>
      <c r="FJ229">
        <f ca="1"/>
      </c>
      <c r="FK229">
        <f ca="1"/>
      </c>
      <c r="FL229">
        <f ca="1"/>
      </c>
      <c r="FM229">
        <f ca="1"/>
      </c>
      <c r="FN229">
        <f ca="1"/>
      </c>
      <c r="FO229">
        <f ca="1"/>
      </c>
      <c r="FP229">
        <f ca="1"/>
      </c>
      <c r="FQ229">
        <f ca="1"/>
      </c>
      <c r="FR229">
        <f ca="1"/>
      </c>
      <c r="FS229">
        <f ca="1"/>
      </c>
      <c r="FT229">
        <f ca="1"/>
      </c>
      <c r="FU229">
        <f ca="1"/>
      </c>
      <c r="FV229">
        <f ca="1"/>
      </c>
      <c r="FW229">
        <f ca="1"/>
      </c>
      <c r="FX229">
        <f ca="1"/>
      </c>
      <c r="FY229">
        <f ca="1"/>
      </c>
      <c r="FZ229">
        <f ca="1"/>
      </c>
      <c r="GA229">
        <f ca="1"/>
      </c>
      <c r="GM229" s="7">
        <f ca="1"/>
      </c>
      <c r="GN229">
        <f ca="1"/>
      </c>
      <c r="GO229">
        <f ca="1"/>
      </c>
      <c r="GP229">
        <f ca="1"/>
      </c>
      <c r="GQ229">
        <f ca="1"/>
      </c>
    </row>
    <row r="230" spans="41:199" x14ac:dyDescent="0.55000000000000004">
      <c r="AO230">
        <f ca="1"/>
      </c>
      <c r="AP230">
        <f ca="1"/>
      </c>
      <c r="AQ230">
        <f ca="1"/>
      </c>
      <c r="AR230">
        <f ca="1"/>
      </c>
      <c r="AS230">
        <f ca="1"/>
      </c>
      <c r="AT230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AZ230">
        <f ca="1"/>
      </c>
      <c r="BA230">
        <f ca="1"/>
      </c>
      <c r="BB230">
        <f ca="1"/>
      </c>
      <c r="BC230">
        <f ca="1"/>
      </c>
      <c r="BD230">
        <f ca="1"/>
      </c>
      <c r="BE230">
        <f ca="1"/>
      </c>
      <c r="BF230">
        <f ca="1"/>
      </c>
      <c r="BG230">
        <f ca="1"/>
      </c>
      <c r="BH230">
        <f ca="1"/>
      </c>
      <c r="BI230">
        <f ca="1"/>
      </c>
      <c r="BJ230">
        <f ca="1"/>
      </c>
      <c r="BK230">
        <f ca="1"/>
      </c>
      <c r="BL230">
        <f ca="1"/>
      </c>
      <c r="BM230">
        <f ca="1"/>
      </c>
      <c r="BN230">
        <f ca="1"/>
      </c>
      <c r="BO230">
        <f ca="1"/>
      </c>
      <c r="BP230">
        <f ca="1"/>
      </c>
      <c r="BQ230">
        <f ca="1"/>
      </c>
      <c r="BR230">
        <f ca="1"/>
      </c>
      <c r="BS230">
        <f ca="1"/>
      </c>
      <c r="BT230">
        <f ca="1"/>
      </c>
      <c r="BU230">
        <f ca="1"/>
      </c>
      <c r="BV230">
        <f ca="1"/>
      </c>
      <c r="BW230">
        <f ca="1"/>
      </c>
      <c r="BX230">
        <f ca="1"/>
      </c>
      <c r="BY230">
        <f ca="1"/>
      </c>
      <c r="BZ230">
        <f ca="1"/>
      </c>
      <c r="CA230">
        <f ca="1"/>
      </c>
      <c r="CB230">
        <f ca="1"/>
      </c>
      <c r="CC230">
        <f ca="1"/>
      </c>
      <c r="CD230">
        <f ca="1"/>
      </c>
      <c r="CE230">
        <f ca="1"/>
      </c>
      <c r="CF230">
        <f ca="1"/>
      </c>
      <c r="CG230">
        <f ca="1"/>
      </c>
      <c r="CH230">
        <f ca="1"/>
      </c>
      <c r="CI230">
        <f ca="1"/>
      </c>
      <c r="CK230">
        <f ca="1"/>
      </c>
      <c r="CL230">
        <f ca="1"/>
      </c>
      <c r="CM230">
        <f ca="1"/>
      </c>
      <c r="CN230">
        <f ca="1"/>
      </c>
      <c r="CO230">
        <f ca="1"/>
      </c>
      <c r="CP230">
        <f ca="1"/>
      </c>
      <c r="CQ230">
        <f ca="1"/>
      </c>
      <c r="CR230">
        <f ca="1"/>
      </c>
      <c r="CS230">
        <f ca="1"/>
      </c>
      <c r="CT230">
        <f ca="1"/>
      </c>
      <c r="CU230">
        <f ca="1"/>
      </c>
      <c r="CV230">
        <f ca="1"/>
      </c>
      <c r="CW230">
        <f ca="1"/>
      </c>
      <c r="CX230">
        <f ca="1"/>
      </c>
      <c r="CY230">
        <f ca="1"/>
      </c>
      <c r="CZ230">
        <f ca="1"/>
      </c>
      <c r="DA230">
        <f ca="1"/>
      </c>
      <c r="DB230">
        <f ca="1"/>
      </c>
      <c r="DC230">
        <f ca="1"/>
      </c>
      <c r="DD230">
        <f ca="1"/>
      </c>
      <c r="DE230">
        <f ca="1"/>
      </c>
      <c r="DF230">
        <f ca="1"/>
      </c>
      <c r="DG230">
        <f ca="1"/>
      </c>
      <c r="DH230">
        <f ca="1"/>
      </c>
      <c r="DI230">
        <f ca="1"/>
      </c>
      <c r="DJ230">
        <f ca="1"/>
      </c>
      <c r="DK230">
        <f ca="1"/>
      </c>
      <c r="DL230">
        <f ca="1"/>
      </c>
      <c r="DM230">
        <f ca="1"/>
      </c>
      <c r="DN230">
        <f ca="1"/>
      </c>
      <c r="DO230">
        <f ca="1"/>
      </c>
      <c r="DP230">
        <f ca="1"/>
      </c>
      <c r="DQ230">
        <f ca="1"/>
      </c>
      <c r="DR230">
        <f ca="1"/>
      </c>
      <c r="DS230">
        <f ca="1"/>
      </c>
      <c r="DT230">
        <f ca="1"/>
      </c>
      <c r="DU230">
        <f ca="1"/>
      </c>
      <c r="DV230">
        <f ca="1"/>
      </c>
      <c r="DW230">
        <f ca="1"/>
      </c>
      <c r="DX230">
        <f ca="1"/>
      </c>
      <c r="DY230">
        <f ca="1"/>
      </c>
      <c r="DZ230">
        <f ca="1"/>
      </c>
      <c r="EA230">
        <f ca="1"/>
      </c>
      <c r="EB230">
        <f ca="1"/>
      </c>
      <c r="EC230">
        <f ca="1"/>
      </c>
      <c r="ED230">
        <f ca="1"/>
      </c>
      <c r="EE230">
        <f ca="1"/>
      </c>
      <c r="EG230">
        <f ca="1"/>
      </c>
      <c r="EH230">
        <f ca="1"/>
      </c>
      <c r="EI230">
        <f ca="1"/>
      </c>
      <c r="EJ230">
        <f ca="1"/>
      </c>
      <c r="EK230">
        <f ca="1"/>
      </c>
      <c r="EL230">
        <f ca="1"/>
      </c>
      <c r="EM230">
        <f ca="1"/>
      </c>
      <c r="EN230">
        <f ca="1"/>
      </c>
      <c r="EO230">
        <f ca="1"/>
      </c>
      <c r="EP230">
        <f ca="1"/>
      </c>
      <c r="EQ230">
        <f ca="1"/>
      </c>
      <c r="ER230">
        <f ca="1"/>
      </c>
      <c r="ES230">
        <f ca="1"/>
      </c>
      <c r="ET230">
        <f ca="1"/>
      </c>
      <c r="EU230">
        <f ca="1"/>
      </c>
      <c r="EV230">
        <f ca="1"/>
      </c>
      <c r="EW230">
        <f ca="1"/>
      </c>
      <c r="EX230">
        <f ca="1"/>
      </c>
      <c r="EY230">
        <f ca="1"/>
      </c>
      <c r="EZ230">
        <f ca="1"/>
      </c>
      <c r="FA230">
        <f ca="1"/>
      </c>
      <c r="FB230">
        <f ca="1"/>
      </c>
      <c r="FC230">
        <f ca="1"/>
      </c>
      <c r="FD230">
        <f ca="1"/>
      </c>
      <c r="FE230">
        <f ca="1"/>
      </c>
      <c r="FF230">
        <f ca="1"/>
      </c>
      <c r="FG230">
        <f ca="1"/>
      </c>
      <c r="FH230">
        <f ca="1"/>
      </c>
      <c r="FI230">
        <f ca="1"/>
      </c>
      <c r="FJ230">
        <f ca="1"/>
      </c>
      <c r="FK230">
        <f ca="1"/>
      </c>
      <c r="FL230">
        <f ca="1"/>
      </c>
      <c r="FM230">
        <f ca="1"/>
      </c>
      <c r="FN230">
        <f ca="1"/>
      </c>
      <c r="FO230">
        <f ca="1"/>
      </c>
      <c r="FP230">
        <f ca="1"/>
      </c>
      <c r="FQ230">
        <f ca="1"/>
      </c>
      <c r="FR230">
        <f ca="1"/>
      </c>
      <c r="FS230">
        <f ca="1"/>
      </c>
      <c r="FT230">
        <f ca="1"/>
      </c>
      <c r="FU230">
        <f ca="1"/>
      </c>
      <c r="FV230">
        <f ca="1"/>
      </c>
      <c r="FW230">
        <f ca="1"/>
      </c>
      <c r="FX230">
        <f ca="1"/>
      </c>
      <c r="FY230">
        <f ca="1"/>
      </c>
      <c r="FZ230">
        <f ca="1"/>
      </c>
      <c r="GA230">
        <f ca="1"/>
      </c>
      <c r="GM230" s="7">
        <f ca="1"/>
      </c>
      <c r="GN230">
        <f ca="1"/>
      </c>
      <c r="GO230">
        <f ca="1"/>
      </c>
      <c r="GP230">
        <f ca="1"/>
      </c>
      <c r="GQ230">
        <f ca="1"/>
      </c>
    </row>
    <row r="231" spans="41:199" x14ac:dyDescent="0.55000000000000004">
      <c r="AO231">
        <f ca="1"/>
      </c>
      <c r="AP231">
        <f ca="1"/>
      </c>
      <c r="AQ231">
        <f ca="1"/>
      </c>
      <c r="AR231">
        <f ca="1"/>
      </c>
      <c r="AS231">
        <f ca="1"/>
      </c>
      <c r="AT231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AZ231">
        <f ca="1"/>
      </c>
      <c r="BA231">
        <f ca="1"/>
      </c>
      <c r="BB231">
        <f ca="1"/>
      </c>
      <c r="BC231">
        <f ca="1"/>
      </c>
      <c r="BD231">
        <f ca="1"/>
      </c>
      <c r="BE231">
        <f ca="1"/>
      </c>
      <c r="BF231">
        <f ca="1"/>
      </c>
      <c r="BG231">
        <f ca="1"/>
      </c>
      <c r="BH231">
        <f ca="1"/>
      </c>
      <c r="BI231">
        <f ca="1"/>
      </c>
      <c r="BJ231">
        <f ca="1"/>
      </c>
      <c r="BK231">
        <f ca="1"/>
      </c>
      <c r="BL231">
        <f ca="1"/>
      </c>
      <c r="BM231">
        <f ca="1"/>
      </c>
      <c r="BN231">
        <f ca="1"/>
      </c>
      <c r="BO231">
        <f ca="1"/>
      </c>
      <c r="BP231">
        <f ca="1"/>
      </c>
      <c r="BQ231">
        <f ca="1"/>
      </c>
      <c r="BR231">
        <f ca="1"/>
      </c>
      <c r="BS231">
        <f ca="1"/>
      </c>
      <c r="BT231">
        <f ca="1"/>
      </c>
      <c r="BU231">
        <f ca="1"/>
      </c>
      <c r="BV231">
        <f ca="1"/>
      </c>
      <c r="BW231">
        <f ca="1"/>
      </c>
      <c r="BX231">
        <f ca="1"/>
      </c>
      <c r="BY231">
        <f ca="1"/>
      </c>
      <c r="BZ231">
        <f ca="1"/>
      </c>
      <c r="CA231">
        <f ca="1"/>
      </c>
      <c r="CB231">
        <f ca="1"/>
      </c>
      <c r="CC231">
        <f ca="1"/>
      </c>
      <c r="CD231">
        <f ca="1"/>
      </c>
      <c r="CE231">
        <f ca="1"/>
      </c>
      <c r="CF231">
        <f ca="1"/>
      </c>
      <c r="CG231">
        <f ca="1"/>
      </c>
      <c r="CH231">
        <f ca="1"/>
      </c>
      <c r="CI231">
        <f ca="1"/>
      </c>
      <c r="CK231">
        <f ca="1"/>
      </c>
      <c r="CL231">
        <f ca="1"/>
      </c>
      <c r="CM231">
        <f ca="1"/>
      </c>
      <c r="CN231">
        <f ca="1"/>
      </c>
      <c r="CO231">
        <f ca="1"/>
      </c>
      <c r="CP231">
        <f ca="1"/>
      </c>
      <c r="CQ231">
        <f ca="1"/>
      </c>
      <c r="CR231">
        <f ca="1"/>
      </c>
      <c r="CS231">
        <f ca="1"/>
      </c>
      <c r="CT231">
        <f ca="1"/>
      </c>
      <c r="CU231">
        <f ca="1"/>
      </c>
      <c r="CV231">
        <f ca="1"/>
      </c>
      <c r="CW231">
        <f ca="1"/>
      </c>
      <c r="CX231">
        <f ca="1"/>
      </c>
      <c r="CY231">
        <f ca="1"/>
      </c>
      <c r="CZ231">
        <f ca="1"/>
      </c>
      <c r="DA231">
        <f ca="1"/>
      </c>
      <c r="DB231">
        <f ca="1"/>
      </c>
      <c r="DC231">
        <f ca="1"/>
      </c>
      <c r="DD231">
        <f ca="1"/>
      </c>
      <c r="DE231">
        <f ca="1"/>
      </c>
      <c r="DF231">
        <f ca="1"/>
      </c>
      <c r="DG231">
        <f ca="1"/>
      </c>
      <c r="DH231">
        <f ca="1"/>
      </c>
      <c r="DI231">
        <f ca="1"/>
      </c>
      <c r="DJ231">
        <f ca="1"/>
      </c>
      <c r="DK231">
        <f ca="1"/>
      </c>
      <c r="DL231">
        <f ca="1"/>
      </c>
      <c r="DM231">
        <f ca="1"/>
      </c>
      <c r="DN231">
        <f ca="1"/>
      </c>
      <c r="DO231">
        <f ca="1"/>
      </c>
      <c r="DP231">
        <f ca="1"/>
      </c>
      <c r="DQ231">
        <f ca="1"/>
      </c>
      <c r="DR231">
        <f ca="1"/>
      </c>
      <c r="DS231">
        <f ca="1"/>
      </c>
      <c r="DT231">
        <f ca="1"/>
      </c>
      <c r="DU231">
        <f ca="1"/>
      </c>
      <c r="DV231">
        <f ca="1"/>
      </c>
      <c r="DW231">
        <f ca="1"/>
      </c>
      <c r="DX231">
        <f ca="1"/>
      </c>
      <c r="DY231">
        <f ca="1"/>
      </c>
      <c r="DZ231">
        <f ca="1"/>
      </c>
      <c r="EA231">
        <f ca="1"/>
      </c>
      <c r="EB231">
        <f ca="1"/>
      </c>
      <c r="EC231">
        <f ca="1"/>
      </c>
      <c r="ED231">
        <f ca="1"/>
      </c>
      <c r="EE231">
        <f ca="1"/>
      </c>
      <c r="EG231">
        <f ca="1"/>
      </c>
      <c r="EH231">
        <f ca="1"/>
      </c>
      <c r="EI231">
        <f ca="1"/>
      </c>
      <c r="EJ231">
        <f ca="1"/>
      </c>
      <c r="EK231">
        <f ca="1"/>
      </c>
      <c r="EL231">
        <f ca="1"/>
      </c>
      <c r="EM231">
        <f ca="1"/>
      </c>
      <c r="EN231">
        <f ca="1"/>
      </c>
      <c r="EO231">
        <f ca="1"/>
      </c>
      <c r="EP231">
        <f ca="1"/>
      </c>
      <c r="EQ231">
        <f ca="1"/>
      </c>
      <c r="ER231">
        <f ca="1"/>
      </c>
      <c r="ES231">
        <f ca="1"/>
      </c>
      <c r="ET231">
        <f ca="1"/>
      </c>
      <c r="EU231">
        <f ca="1"/>
      </c>
      <c r="EV231">
        <f ca="1"/>
      </c>
      <c r="EW231">
        <f ca="1"/>
      </c>
      <c r="EX231">
        <f ca="1"/>
      </c>
      <c r="EY231">
        <f ca="1"/>
      </c>
      <c r="EZ231">
        <f ca="1"/>
      </c>
      <c r="FA231">
        <f ca="1"/>
      </c>
      <c r="FB231">
        <f ca="1"/>
      </c>
      <c r="FC231">
        <f ca="1"/>
      </c>
      <c r="FD231">
        <f ca="1"/>
      </c>
      <c r="FE231">
        <f ca="1"/>
      </c>
      <c r="FF231">
        <f ca="1"/>
      </c>
      <c r="FG231">
        <f ca="1"/>
      </c>
      <c r="FH231">
        <f ca="1"/>
      </c>
      <c r="FI231">
        <f ca="1"/>
      </c>
      <c r="FJ231">
        <f ca="1"/>
      </c>
      <c r="FK231">
        <f ca="1"/>
      </c>
      <c r="FL231">
        <f ca="1"/>
      </c>
      <c r="FM231">
        <f ca="1"/>
      </c>
      <c r="FN231">
        <f ca="1"/>
      </c>
      <c r="FO231">
        <f ca="1"/>
      </c>
      <c r="FP231">
        <f ca="1"/>
      </c>
      <c r="FQ231">
        <f ca="1"/>
      </c>
      <c r="FR231">
        <f ca="1"/>
      </c>
      <c r="FS231">
        <f ca="1"/>
      </c>
      <c r="FT231">
        <f ca="1"/>
      </c>
      <c r="FU231">
        <f ca="1"/>
      </c>
      <c r="FV231">
        <f ca="1"/>
      </c>
      <c r="FW231">
        <f ca="1"/>
      </c>
      <c r="FX231">
        <f ca="1"/>
      </c>
      <c r="FY231">
        <f ca="1"/>
      </c>
      <c r="FZ231">
        <f ca="1"/>
      </c>
      <c r="GA231">
        <f ca="1"/>
      </c>
      <c r="GM231" s="7">
        <f ca="1"/>
      </c>
      <c r="GN231">
        <f ca="1"/>
      </c>
      <c r="GO231">
        <f ca="1"/>
      </c>
      <c r="GP231">
        <f ca="1"/>
      </c>
      <c r="GQ231">
        <f ca="1"/>
      </c>
    </row>
    <row r="232" spans="41:199" x14ac:dyDescent="0.55000000000000004">
      <c r="AO232">
        <f ca="1"/>
      </c>
      <c r="AP232">
        <f ca="1"/>
      </c>
      <c r="AQ232">
        <f ca="1"/>
      </c>
      <c r="AR232">
        <f ca="1"/>
      </c>
      <c r="AS232">
        <f ca="1"/>
      </c>
      <c r="AT232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AZ232">
        <f ca="1"/>
      </c>
      <c r="BA232">
        <f ca="1"/>
      </c>
      <c r="BB232">
        <f ca="1"/>
      </c>
      <c r="BC232">
        <f ca="1"/>
      </c>
      <c r="BD232">
        <f ca="1"/>
      </c>
      <c r="BE232">
        <f ca="1"/>
      </c>
      <c r="BF232">
        <f ca="1"/>
      </c>
      <c r="BG232">
        <f ca="1"/>
      </c>
      <c r="BH232">
        <f ca="1"/>
      </c>
      <c r="BI232">
        <f ca="1"/>
      </c>
      <c r="BJ232">
        <f ca="1"/>
      </c>
      <c r="BK232">
        <f ca="1"/>
      </c>
      <c r="BL232">
        <f ca="1"/>
      </c>
      <c r="BM232">
        <f ca="1"/>
      </c>
      <c r="BN232">
        <f ca="1"/>
      </c>
      <c r="BO232">
        <f ca="1"/>
      </c>
      <c r="BP232">
        <f ca="1"/>
      </c>
      <c r="BQ232">
        <f ca="1"/>
      </c>
      <c r="BR232">
        <f ca="1"/>
      </c>
      <c r="BS232">
        <f ca="1"/>
      </c>
      <c r="BT232">
        <f ca="1"/>
      </c>
      <c r="BU232">
        <f ca="1"/>
      </c>
      <c r="BV232">
        <f ca="1"/>
      </c>
      <c r="BW232">
        <f ca="1"/>
      </c>
      <c r="BX232">
        <f ca="1"/>
      </c>
      <c r="BY232">
        <f ca="1"/>
      </c>
      <c r="BZ232">
        <f ca="1"/>
      </c>
      <c r="CA232">
        <f ca="1"/>
      </c>
      <c r="CB232">
        <f ca="1"/>
      </c>
      <c r="CC232">
        <f ca="1"/>
      </c>
      <c r="CD232">
        <f ca="1"/>
      </c>
      <c r="CE232">
        <f ca="1"/>
      </c>
      <c r="CF232">
        <f ca="1"/>
      </c>
      <c r="CG232">
        <f ca="1"/>
      </c>
      <c r="CH232">
        <f ca="1"/>
      </c>
      <c r="CI232">
        <f ca="1"/>
      </c>
      <c r="CK232">
        <f ca="1"/>
      </c>
      <c r="CL232">
        <f ca="1"/>
      </c>
      <c r="CM232">
        <f ca="1"/>
      </c>
      <c r="CN232">
        <f ca="1"/>
      </c>
      <c r="CO232">
        <f ca="1"/>
      </c>
      <c r="CP232">
        <f ca="1"/>
      </c>
      <c r="CQ232">
        <f ca="1"/>
      </c>
      <c r="CR232">
        <f ca="1"/>
      </c>
      <c r="CS232">
        <f ca="1"/>
      </c>
      <c r="CT232">
        <f ca="1"/>
      </c>
      <c r="CU232">
        <f ca="1"/>
      </c>
      <c r="CV232">
        <f ca="1"/>
      </c>
      <c r="CW232">
        <f ca="1"/>
      </c>
      <c r="CX232">
        <f ca="1"/>
      </c>
      <c r="CY232">
        <f ca="1"/>
      </c>
      <c r="CZ232">
        <f ca="1"/>
      </c>
      <c r="DA232">
        <f ca="1"/>
      </c>
      <c r="DB232">
        <f ca="1"/>
      </c>
      <c r="DC232">
        <f ca="1"/>
      </c>
      <c r="DD232">
        <f ca="1"/>
      </c>
      <c r="DE232">
        <f ca="1"/>
      </c>
      <c r="DF232">
        <f ca="1"/>
      </c>
      <c r="DG232">
        <f ca="1"/>
      </c>
      <c r="DH232">
        <f ca="1"/>
      </c>
      <c r="DI232">
        <f ca="1"/>
      </c>
      <c r="DJ232">
        <f ca="1"/>
      </c>
      <c r="DK232">
        <f ca="1"/>
      </c>
      <c r="DL232">
        <f ca="1"/>
      </c>
      <c r="DM232">
        <f ca="1"/>
      </c>
      <c r="DN232">
        <f ca="1"/>
      </c>
      <c r="DO232">
        <f ca="1"/>
      </c>
      <c r="DP232">
        <f ca="1"/>
      </c>
      <c r="DQ232">
        <f ca="1"/>
      </c>
      <c r="DR232">
        <f ca="1"/>
      </c>
      <c r="DS232">
        <f ca="1"/>
      </c>
      <c r="DT232">
        <f ca="1"/>
      </c>
      <c r="DU232">
        <f ca="1"/>
      </c>
      <c r="DV232">
        <f ca="1"/>
      </c>
      <c r="DW232">
        <f ca="1"/>
      </c>
      <c r="DX232">
        <f ca="1"/>
      </c>
      <c r="DY232">
        <f ca="1"/>
      </c>
      <c r="DZ232">
        <f ca="1"/>
      </c>
      <c r="EA232">
        <f ca="1"/>
      </c>
      <c r="EB232">
        <f ca="1"/>
      </c>
      <c r="EC232">
        <f ca="1"/>
      </c>
      <c r="ED232">
        <f ca="1"/>
      </c>
      <c r="EE232">
        <f ca="1"/>
      </c>
      <c r="EG232">
        <f ca="1"/>
      </c>
      <c r="EH232">
        <f ca="1"/>
      </c>
      <c r="EI232">
        <f ca="1"/>
      </c>
      <c r="EJ232">
        <f ca="1"/>
      </c>
      <c r="EK232">
        <f ca="1"/>
      </c>
      <c r="EL232">
        <f ca="1"/>
      </c>
      <c r="EM232">
        <f ca="1"/>
      </c>
      <c r="EN232">
        <f ca="1"/>
      </c>
      <c r="EO232">
        <f ca="1"/>
      </c>
      <c r="EP232">
        <f ca="1"/>
      </c>
      <c r="EQ232">
        <f ca="1"/>
      </c>
      <c r="ER232">
        <f ca="1"/>
      </c>
      <c r="ES232">
        <f ca="1"/>
      </c>
      <c r="ET232">
        <f ca="1"/>
      </c>
      <c r="EU232">
        <f ca="1"/>
      </c>
      <c r="EV232">
        <f ca="1"/>
      </c>
      <c r="EW232">
        <f ca="1"/>
      </c>
      <c r="EX232">
        <f ca="1"/>
      </c>
      <c r="EY232">
        <f ca="1"/>
      </c>
      <c r="EZ232">
        <f ca="1"/>
      </c>
      <c r="FA232">
        <f ca="1"/>
      </c>
      <c r="FB232">
        <f ca="1"/>
      </c>
      <c r="FC232">
        <f ca="1"/>
      </c>
      <c r="FD232">
        <f ca="1"/>
      </c>
      <c r="FE232">
        <f ca="1"/>
      </c>
      <c r="FF232">
        <f ca="1"/>
      </c>
      <c r="FG232">
        <f ca="1"/>
      </c>
      <c r="FH232">
        <f ca="1"/>
      </c>
      <c r="FI232">
        <f ca="1"/>
      </c>
      <c r="FJ232">
        <f ca="1"/>
      </c>
      <c r="FK232">
        <f ca="1"/>
      </c>
      <c r="FL232">
        <f ca="1"/>
      </c>
      <c r="FM232">
        <f ca="1"/>
      </c>
      <c r="FN232">
        <f ca="1"/>
      </c>
      <c r="FO232">
        <f ca="1"/>
      </c>
      <c r="FP232">
        <f ca="1"/>
      </c>
      <c r="FQ232">
        <f ca="1"/>
      </c>
      <c r="FR232">
        <f ca="1"/>
      </c>
      <c r="FS232">
        <f ca="1"/>
      </c>
      <c r="FT232">
        <f ca="1"/>
      </c>
      <c r="FU232">
        <f ca="1"/>
      </c>
      <c r="FV232">
        <f ca="1"/>
      </c>
      <c r="FW232">
        <f ca="1"/>
      </c>
      <c r="FX232">
        <f ca="1"/>
      </c>
      <c r="FY232">
        <f ca="1"/>
      </c>
      <c r="FZ232">
        <f ca="1"/>
      </c>
      <c r="GA232">
        <f ca="1"/>
      </c>
      <c r="GM232" s="7">
        <f ca="1"/>
      </c>
      <c r="GN232">
        <f ca="1"/>
      </c>
      <c r="GO232">
        <f ca="1"/>
      </c>
      <c r="GP232">
        <f ca="1"/>
      </c>
      <c r="GQ232">
        <f ca="1"/>
      </c>
    </row>
    <row r="233" spans="41:199" x14ac:dyDescent="0.55000000000000004">
      <c r="AO233">
        <f ca="1"/>
      </c>
      <c r="AP233">
        <f ca="1"/>
      </c>
      <c r="AQ233">
        <f ca="1"/>
      </c>
      <c r="AR233">
        <f ca="1"/>
      </c>
      <c r="AS233">
        <f ca="1"/>
      </c>
      <c r="AT233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AZ233">
        <f ca="1"/>
      </c>
      <c r="BA233">
        <f ca="1"/>
      </c>
      <c r="BB233">
        <f ca="1"/>
      </c>
      <c r="BC233">
        <f ca="1"/>
      </c>
      <c r="BD233">
        <f ca="1"/>
      </c>
      <c r="BE233">
        <f ca="1"/>
      </c>
      <c r="BF233">
        <f ca="1"/>
      </c>
      <c r="BG233">
        <f ca="1"/>
      </c>
      <c r="BH233">
        <f ca="1"/>
      </c>
      <c r="BI233">
        <f ca="1"/>
      </c>
      <c r="BJ233">
        <f ca="1"/>
      </c>
      <c r="BK233">
        <f ca="1"/>
      </c>
      <c r="BL233">
        <f ca="1"/>
      </c>
      <c r="BM233">
        <f ca="1"/>
      </c>
      <c r="BN233">
        <f ca="1"/>
      </c>
      <c r="BO233">
        <f ca="1"/>
      </c>
      <c r="BP233">
        <f ca="1"/>
      </c>
      <c r="BQ233">
        <f ca="1"/>
      </c>
      <c r="BR233">
        <f ca="1"/>
      </c>
      <c r="BS233">
        <f ca="1"/>
      </c>
      <c r="BT233">
        <f ca="1"/>
      </c>
      <c r="BU233">
        <f ca="1"/>
      </c>
      <c r="BV233">
        <f ca="1"/>
      </c>
      <c r="BW233">
        <f ca="1"/>
      </c>
      <c r="BX233">
        <f ca="1"/>
      </c>
      <c r="BY233">
        <f ca="1"/>
      </c>
      <c r="BZ233">
        <f ca="1"/>
      </c>
      <c r="CA233">
        <f ca="1"/>
      </c>
      <c r="CB233">
        <f ca="1"/>
      </c>
      <c r="CC233">
        <f ca="1"/>
      </c>
      <c r="CD233">
        <f ca="1"/>
      </c>
      <c r="CE233">
        <f ca="1"/>
      </c>
      <c r="CF233">
        <f ca="1"/>
      </c>
      <c r="CG233">
        <f ca="1"/>
      </c>
      <c r="CH233">
        <f ca="1"/>
      </c>
      <c r="CI233">
        <f ca="1"/>
      </c>
      <c r="CK233">
        <f ca="1"/>
      </c>
      <c r="CL233">
        <f ca="1"/>
      </c>
      <c r="CM233">
        <f ca="1"/>
      </c>
      <c r="CN233">
        <f ca="1"/>
      </c>
      <c r="CO233">
        <f ca="1"/>
      </c>
      <c r="CP233">
        <f ca="1"/>
      </c>
      <c r="CQ233">
        <f ca="1"/>
      </c>
      <c r="CR233">
        <f ca="1"/>
      </c>
      <c r="CS233">
        <f ca="1"/>
      </c>
      <c r="CT233">
        <f ca="1"/>
      </c>
      <c r="CU233">
        <f ca="1"/>
      </c>
      <c r="CV233">
        <f ca="1"/>
      </c>
      <c r="CW233">
        <f ca="1"/>
      </c>
      <c r="CX233">
        <f ca="1"/>
      </c>
      <c r="CY233">
        <f ca="1"/>
      </c>
      <c r="CZ233">
        <f ca="1"/>
      </c>
      <c r="DA233">
        <f ca="1"/>
      </c>
      <c r="DB233">
        <f ca="1"/>
      </c>
      <c r="DC233">
        <f ca="1"/>
      </c>
      <c r="DD233">
        <f ca="1"/>
      </c>
      <c r="DE233">
        <f ca="1"/>
      </c>
      <c r="DF233">
        <f ca="1"/>
      </c>
      <c r="DG233">
        <f ca="1"/>
      </c>
      <c r="DH233">
        <f ca="1"/>
      </c>
      <c r="DI233">
        <f ca="1"/>
      </c>
      <c r="DJ233">
        <f ca="1"/>
      </c>
      <c r="DK233">
        <f ca="1"/>
      </c>
      <c r="DL233">
        <f ca="1"/>
      </c>
      <c r="DM233">
        <f ca="1"/>
      </c>
      <c r="DN233">
        <f ca="1"/>
      </c>
      <c r="DO233">
        <f ca="1"/>
      </c>
      <c r="DP233">
        <f ca="1"/>
      </c>
      <c r="DQ233">
        <f ca="1"/>
      </c>
      <c r="DR233">
        <f ca="1"/>
      </c>
      <c r="DS233">
        <f ca="1"/>
      </c>
      <c r="DT233">
        <f ca="1"/>
      </c>
      <c r="DU233">
        <f ca="1"/>
      </c>
      <c r="DV233">
        <f ca="1"/>
      </c>
      <c r="DW233">
        <f ca="1"/>
      </c>
      <c r="DX233">
        <f ca="1"/>
      </c>
      <c r="DY233">
        <f ca="1"/>
      </c>
      <c r="DZ233">
        <f ca="1"/>
      </c>
      <c r="EA233">
        <f ca="1"/>
      </c>
      <c r="EB233">
        <f ca="1"/>
      </c>
      <c r="EC233">
        <f ca="1"/>
      </c>
      <c r="ED233">
        <f ca="1"/>
      </c>
      <c r="EE233">
        <f ca="1"/>
      </c>
      <c r="EG233">
        <f ca="1"/>
      </c>
      <c r="EH233">
        <f ca="1"/>
      </c>
      <c r="EI233">
        <f ca="1"/>
      </c>
      <c r="EJ233">
        <f ca="1"/>
      </c>
      <c r="EK233">
        <f ca="1"/>
      </c>
      <c r="EL233">
        <f ca="1"/>
      </c>
      <c r="EM233">
        <f ca="1"/>
      </c>
      <c r="EN233">
        <f ca="1"/>
      </c>
      <c r="EO233">
        <f ca="1"/>
      </c>
      <c r="EP233">
        <f ca="1"/>
      </c>
      <c r="EQ233">
        <f ca="1"/>
      </c>
      <c r="ER233">
        <f ca="1"/>
      </c>
      <c r="ES233">
        <f ca="1"/>
      </c>
      <c r="ET233">
        <f ca="1"/>
      </c>
      <c r="EU233">
        <f ca="1"/>
      </c>
      <c r="EV233">
        <f ca="1"/>
      </c>
      <c r="EW233">
        <f ca="1"/>
      </c>
      <c r="EX233">
        <f ca="1"/>
      </c>
      <c r="EY233">
        <f ca="1"/>
      </c>
      <c r="EZ233">
        <f ca="1"/>
      </c>
      <c r="FA233">
        <f ca="1"/>
      </c>
      <c r="FB233">
        <f ca="1"/>
      </c>
      <c r="FC233">
        <f ca="1"/>
      </c>
      <c r="FD233">
        <f ca="1"/>
      </c>
      <c r="FE233">
        <f ca="1"/>
      </c>
      <c r="FF233">
        <f ca="1"/>
      </c>
      <c r="FG233">
        <f ca="1"/>
      </c>
      <c r="FH233">
        <f ca="1"/>
      </c>
      <c r="FI233">
        <f ca="1"/>
      </c>
      <c r="FJ233">
        <f ca="1"/>
      </c>
      <c r="FK233">
        <f ca="1"/>
      </c>
      <c r="FL233">
        <f ca="1"/>
      </c>
      <c r="FM233">
        <f ca="1"/>
      </c>
      <c r="FN233">
        <f ca="1"/>
      </c>
      <c r="FO233">
        <f ca="1"/>
      </c>
      <c r="FP233">
        <f ca="1"/>
      </c>
      <c r="FQ233">
        <f ca="1"/>
      </c>
      <c r="FR233">
        <f ca="1"/>
      </c>
      <c r="FS233">
        <f ca="1"/>
      </c>
      <c r="FT233">
        <f ca="1"/>
      </c>
      <c r="FU233">
        <f ca="1"/>
      </c>
      <c r="FV233">
        <f ca="1"/>
      </c>
      <c r="FW233">
        <f ca="1"/>
      </c>
      <c r="FX233">
        <f ca="1"/>
      </c>
      <c r="FY233">
        <f ca="1"/>
      </c>
      <c r="FZ233">
        <f ca="1"/>
      </c>
      <c r="GA233">
        <f ca="1"/>
      </c>
      <c r="GM233" s="7">
        <f ca="1"/>
      </c>
      <c r="GN233">
        <f ca="1"/>
      </c>
      <c r="GO233">
        <f ca="1"/>
      </c>
      <c r="GP233">
        <f ca="1"/>
      </c>
      <c r="GQ233">
        <f ca="1"/>
      </c>
    </row>
    <row r="234" spans="41:199" x14ac:dyDescent="0.55000000000000004">
      <c r="AO234">
        <f ca="1"/>
      </c>
      <c r="AP234">
        <f ca="1"/>
      </c>
      <c r="AQ234">
        <f ca="1"/>
      </c>
      <c r="AR234">
        <f ca="1"/>
      </c>
      <c r="AS234">
        <f ca="1"/>
      </c>
      <c r="AT234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AZ234">
        <f ca="1"/>
      </c>
      <c r="BA234">
        <f ca="1"/>
      </c>
      <c r="BB234">
        <f ca="1"/>
      </c>
      <c r="BC234">
        <f ca="1"/>
      </c>
      <c r="BD234">
        <f ca="1"/>
      </c>
      <c r="BE234">
        <f ca="1"/>
      </c>
      <c r="BF234">
        <f ca="1"/>
      </c>
      <c r="BG234">
        <f ca="1"/>
      </c>
      <c r="BH234">
        <f ca="1"/>
      </c>
      <c r="BI234">
        <f ca="1"/>
      </c>
      <c r="BJ234">
        <f ca="1"/>
      </c>
      <c r="BK234">
        <f ca="1"/>
      </c>
      <c r="BL234">
        <f ca="1"/>
      </c>
      <c r="BM234">
        <f ca="1"/>
      </c>
      <c r="BN234">
        <f ca="1"/>
      </c>
      <c r="BO234">
        <f ca="1"/>
      </c>
      <c r="BP234">
        <f ca="1"/>
      </c>
      <c r="BQ234">
        <f ca="1"/>
      </c>
      <c r="BR234">
        <f ca="1"/>
      </c>
      <c r="BS234">
        <f ca="1"/>
      </c>
      <c r="BT234">
        <f ca="1"/>
      </c>
      <c r="BU234">
        <f ca="1"/>
      </c>
      <c r="BV234">
        <f ca="1"/>
      </c>
      <c r="BW234">
        <f ca="1"/>
      </c>
      <c r="BX234">
        <f ca="1"/>
      </c>
      <c r="BY234">
        <f ca="1"/>
      </c>
      <c r="BZ234">
        <f ca="1"/>
      </c>
      <c r="CA234">
        <f ca="1"/>
      </c>
      <c r="CB234">
        <f ca="1"/>
      </c>
      <c r="CC234">
        <f ca="1"/>
      </c>
      <c r="CD234">
        <f ca="1"/>
      </c>
      <c r="CE234">
        <f ca="1"/>
      </c>
      <c r="CF234">
        <f ca="1"/>
      </c>
      <c r="CG234">
        <f ca="1"/>
      </c>
      <c r="CH234">
        <f ca="1"/>
      </c>
      <c r="CI234">
        <f ca="1"/>
      </c>
      <c r="CK234">
        <f ca="1"/>
      </c>
      <c r="CL234">
        <f ca="1"/>
      </c>
      <c r="CM234">
        <f ca="1"/>
      </c>
      <c r="CN234">
        <f ca="1"/>
      </c>
      <c r="CO234">
        <f ca="1"/>
      </c>
      <c r="CP234">
        <f ca="1"/>
      </c>
      <c r="CQ234">
        <f ca="1"/>
      </c>
      <c r="CR234">
        <f ca="1"/>
      </c>
      <c r="CS234">
        <f ca="1"/>
      </c>
      <c r="CT234">
        <f ca="1"/>
      </c>
      <c r="CU234">
        <f ca="1"/>
      </c>
      <c r="CV234">
        <f ca="1"/>
      </c>
      <c r="CW234">
        <f ca="1"/>
      </c>
      <c r="CX234">
        <f ca="1"/>
      </c>
      <c r="CY234">
        <f ca="1"/>
      </c>
      <c r="CZ234">
        <f ca="1"/>
      </c>
      <c r="DA234">
        <f ca="1"/>
      </c>
      <c r="DB234">
        <f ca="1"/>
      </c>
      <c r="DC234">
        <f ca="1"/>
      </c>
      <c r="DD234">
        <f ca="1"/>
      </c>
      <c r="DE234">
        <f ca="1"/>
      </c>
      <c r="DF234">
        <f ca="1"/>
      </c>
      <c r="DG234">
        <f ca="1"/>
      </c>
      <c r="DH234">
        <f ca="1"/>
      </c>
      <c r="DI234">
        <f ca="1"/>
      </c>
      <c r="DJ234">
        <f ca="1"/>
      </c>
      <c r="DK234">
        <f ca="1"/>
      </c>
      <c r="DL234">
        <f ca="1"/>
      </c>
      <c r="DM234">
        <f ca="1"/>
      </c>
      <c r="DN234">
        <f ca="1"/>
      </c>
      <c r="DO234">
        <f ca="1"/>
      </c>
      <c r="DP234">
        <f ca="1"/>
      </c>
      <c r="DQ234">
        <f ca="1"/>
      </c>
      <c r="DR234">
        <f ca="1"/>
      </c>
      <c r="DS234">
        <f ca="1"/>
      </c>
      <c r="DT234">
        <f ca="1"/>
      </c>
      <c r="DU234">
        <f ca="1"/>
      </c>
      <c r="DV234">
        <f ca="1"/>
      </c>
      <c r="DW234">
        <f ca="1"/>
      </c>
      <c r="DX234">
        <f ca="1"/>
      </c>
      <c r="DY234">
        <f ca="1"/>
      </c>
      <c r="DZ234">
        <f ca="1"/>
      </c>
      <c r="EA234">
        <f ca="1"/>
      </c>
      <c r="EB234">
        <f ca="1"/>
      </c>
      <c r="EC234">
        <f ca="1"/>
      </c>
      <c r="ED234">
        <f ca="1"/>
      </c>
      <c r="EE234">
        <f ca="1"/>
      </c>
      <c r="EG234">
        <f ca="1"/>
      </c>
      <c r="EH234">
        <f ca="1"/>
      </c>
      <c r="EI234">
        <f ca="1"/>
      </c>
      <c r="EJ234">
        <f ca="1"/>
      </c>
      <c r="EK234">
        <f ca="1"/>
      </c>
      <c r="EL234">
        <f ca="1"/>
      </c>
      <c r="EM234">
        <f ca="1"/>
      </c>
      <c r="EN234">
        <f ca="1"/>
      </c>
      <c r="EO234">
        <f ca="1"/>
      </c>
      <c r="EP234">
        <f ca="1"/>
      </c>
      <c r="EQ234">
        <f ca="1"/>
      </c>
      <c r="ER234">
        <f ca="1"/>
      </c>
      <c r="ES234">
        <f ca="1"/>
      </c>
      <c r="ET234">
        <f ca="1"/>
      </c>
      <c r="EU234">
        <f ca="1"/>
      </c>
      <c r="EV234">
        <f ca="1"/>
      </c>
      <c r="EW234">
        <f ca="1"/>
      </c>
      <c r="EX234">
        <f ca="1"/>
      </c>
      <c r="EY234">
        <f ca="1"/>
      </c>
      <c r="EZ234">
        <f ca="1"/>
      </c>
      <c r="FA234">
        <f ca="1"/>
      </c>
      <c r="FB234">
        <f ca="1"/>
      </c>
      <c r="FC234">
        <f ca="1"/>
      </c>
      <c r="FD234">
        <f ca="1"/>
      </c>
      <c r="FE234">
        <f ca="1"/>
      </c>
      <c r="FF234">
        <f ca="1"/>
      </c>
      <c r="FG234">
        <f ca="1"/>
      </c>
      <c r="FH234">
        <f ca="1"/>
      </c>
      <c r="FI234">
        <f ca="1"/>
      </c>
      <c r="FJ234">
        <f ca="1"/>
      </c>
      <c r="FK234">
        <f ca="1"/>
      </c>
      <c r="FL234">
        <f ca="1"/>
      </c>
      <c r="FM234">
        <f ca="1"/>
      </c>
      <c r="FN234">
        <f ca="1"/>
      </c>
      <c r="FO234">
        <f ca="1"/>
      </c>
      <c r="FP234">
        <f ca="1"/>
      </c>
      <c r="FQ234">
        <f ca="1"/>
      </c>
      <c r="FR234">
        <f ca="1"/>
      </c>
      <c r="FS234">
        <f ca="1"/>
      </c>
      <c r="FT234">
        <f ca="1"/>
      </c>
      <c r="FU234">
        <f ca="1"/>
      </c>
      <c r="FV234">
        <f ca="1"/>
      </c>
      <c r="FW234">
        <f ca="1"/>
      </c>
      <c r="FX234">
        <f ca="1"/>
      </c>
      <c r="FY234">
        <f ca="1"/>
      </c>
      <c r="FZ234">
        <f ca="1"/>
      </c>
      <c r="GA234">
        <f ca="1"/>
      </c>
      <c r="GM234" s="7">
        <f ca="1"/>
      </c>
      <c r="GN234">
        <f ca="1"/>
      </c>
      <c r="GO234">
        <f ca="1"/>
      </c>
      <c r="GP234">
        <f ca="1"/>
      </c>
      <c r="GQ234">
        <f ca="1"/>
      </c>
    </row>
    <row r="235" spans="41:199" x14ac:dyDescent="0.55000000000000004">
      <c r="AO235">
        <f ca="1"/>
      </c>
      <c r="AP235">
        <f ca="1"/>
      </c>
      <c r="AQ235">
        <f ca="1"/>
      </c>
      <c r="AR235">
        <f ca="1"/>
      </c>
      <c r="AS235">
        <f ca="1"/>
      </c>
      <c r="AT235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AZ235">
        <f ca="1"/>
      </c>
      <c r="BA235">
        <f ca="1"/>
      </c>
      <c r="BB235">
        <f ca="1"/>
      </c>
      <c r="BC235">
        <f ca="1"/>
      </c>
      <c r="BD235">
        <f ca="1"/>
      </c>
      <c r="BE235">
        <f ca="1"/>
      </c>
      <c r="BF235">
        <f ca="1"/>
      </c>
      <c r="BG235">
        <f ca="1"/>
      </c>
      <c r="BH235">
        <f ca="1"/>
      </c>
      <c r="BI235">
        <f ca="1"/>
      </c>
      <c r="BJ235">
        <f ca="1"/>
      </c>
      <c r="BK235">
        <f ca="1"/>
      </c>
      <c r="BL235">
        <f ca="1"/>
      </c>
      <c r="BM235">
        <f ca="1"/>
      </c>
      <c r="BN235">
        <f ca="1"/>
      </c>
      <c r="BO235">
        <f ca="1"/>
      </c>
      <c r="BP235">
        <f ca="1"/>
      </c>
      <c r="BQ235">
        <f ca="1"/>
      </c>
      <c r="BR235">
        <f ca="1"/>
      </c>
      <c r="BS235">
        <f ca="1"/>
      </c>
      <c r="BT235">
        <f ca="1"/>
      </c>
      <c r="BU235">
        <f ca="1"/>
      </c>
      <c r="BV235">
        <f ca="1"/>
      </c>
      <c r="BW235">
        <f ca="1"/>
      </c>
      <c r="BX235">
        <f ca="1"/>
      </c>
      <c r="BY235">
        <f ca="1"/>
      </c>
      <c r="BZ235">
        <f ca="1"/>
      </c>
      <c r="CA235">
        <f ca="1"/>
      </c>
      <c r="CB235">
        <f ca="1"/>
      </c>
      <c r="CC235">
        <f ca="1"/>
      </c>
      <c r="CD235">
        <f ca="1"/>
      </c>
      <c r="CE235">
        <f ca="1"/>
      </c>
      <c r="CF235">
        <f ca="1"/>
      </c>
      <c r="CG235">
        <f ca="1"/>
      </c>
      <c r="CH235">
        <f ca="1"/>
      </c>
      <c r="CI235">
        <f ca="1"/>
      </c>
      <c r="CK235">
        <f ca="1"/>
      </c>
      <c r="CL235">
        <f ca="1"/>
      </c>
      <c r="CM235">
        <f ca="1"/>
      </c>
      <c r="CN235">
        <f ca="1"/>
      </c>
      <c r="CO235">
        <f ca="1"/>
      </c>
      <c r="CP235">
        <f ca="1"/>
      </c>
      <c r="CQ235">
        <f ca="1"/>
      </c>
      <c r="CR235">
        <f ca="1"/>
      </c>
      <c r="CS235">
        <f ca="1"/>
      </c>
      <c r="CT235">
        <f ca="1"/>
      </c>
      <c r="CU235">
        <f ca="1"/>
      </c>
      <c r="CV235">
        <f ca="1"/>
      </c>
      <c r="CW235">
        <f ca="1"/>
      </c>
      <c r="CX235">
        <f ca="1"/>
      </c>
      <c r="CY235">
        <f ca="1"/>
      </c>
      <c r="CZ235">
        <f ca="1"/>
      </c>
      <c r="DA235">
        <f ca="1"/>
      </c>
      <c r="DB235">
        <f ca="1"/>
      </c>
      <c r="DC235">
        <f ca="1"/>
      </c>
      <c r="DD235">
        <f ca="1"/>
      </c>
      <c r="DE235">
        <f ca="1"/>
      </c>
      <c r="DF235">
        <f ca="1"/>
      </c>
      <c r="DG235">
        <f ca="1"/>
      </c>
      <c r="DH235">
        <f ca="1"/>
      </c>
      <c r="DI235">
        <f ca="1"/>
      </c>
      <c r="DJ235">
        <f ca="1"/>
      </c>
      <c r="DK235">
        <f ca="1"/>
      </c>
      <c r="DL235">
        <f ca="1"/>
      </c>
      <c r="DM235">
        <f ca="1"/>
      </c>
      <c r="DN235">
        <f ca="1"/>
      </c>
      <c r="DO235">
        <f ca="1"/>
      </c>
      <c r="DP235">
        <f ca="1"/>
      </c>
      <c r="DQ235">
        <f ca="1"/>
      </c>
      <c r="DR235">
        <f ca="1"/>
      </c>
      <c r="DS235">
        <f ca="1"/>
      </c>
      <c r="DT235">
        <f ca="1"/>
      </c>
      <c r="DU235">
        <f ca="1"/>
      </c>
      <c r="DV235">
        <f ca="1"/>
      </c>
      <c r="DW235">
        <f ca="1"/>
      </c>
      <c r="DX235">
        <f ca="1"/>
      </c>
      <c r="DY235">
        <f ca="1"/>
      </c>
      <c r="DZ235">
        <f ca="1"/>
      </c>
      <c r="EA235">
        <f ca="1"/>
      </c>
      <c r="EB235">
        <f ca="1"/>
      </c>
      <c r="EC235">
        <f ca="1"/>
      </c>
      <c r="ED235">
        <f ca="1"/>
      </c>
      <c r="EE235">
        <f ca="1"/>
      </c>
      <c r="EG235">
        <f ca="1"/>
      </c>
      <c r="EH235">
        <f ca="1"/>
      </c>
      <c r="EI235">
        <f ca="1"/>
      </c>
      <c r="EJ235">
        <f ca="1"/>
      </c>
      <c r="EK235">
        <f ca="1"/>
      </c>
      <c r="EL235">
        <f ca="1"/>
      </c>
      <c r="EM235">
        <f ca="1"/>
      </c>
      <c r="EN235">
        <f ca="1"/>
      </c>
      <c r="EO235">
        <f ca="1"/>
      </c>
      <c r="EP235">
        <f ca="1"/>
      </c>
      <c r="EQ235">
        <f ca="1"/>
      </c>
      <c r="ER235">
        <f ca="1"/>
      </c>
      <c r="ES235">
        <f ca="1"/>
      </c>
      <c r="ET235">
        <f ca="1"/>
      </c>
      <c r="EU235">
        <f ca="1"/>
      </c>
      <c r="EV235">
        <f ca="1"/>
      </c>
      <c r="EW235">
        <f ca="1"/>
      </c>
      <c r="EX235">
        <f ca="1"/>
      </c>
      <c r="EY235">
        <f ca="1"/>
      </c>
      <c r="EZ235">
        <f ca="1"/>
      </c>
      <c r="FA235">
        <f ca="1"/>
      </c>
      <c r="FB235">
        <f ca="1"/>
      </c>
      <c r="FC235">
        <f ca="1"/>
      </c>
      <c r="FD235">
        <f ca="1"/>
      </c>
      <c r="FE235">
        <f ca="1"/>
      </c>
      <c r="FF235">
        <f ca="1"/>
      </c>
      <c r="FG235">
        <f ca="1"/>
      </c>
      <c r="FH235">
        <f ca="1"/>
      </c>
      <c r="FI235">
        <f ca="1"/>
      </c>
      <c r="FJ235">
        <f ca="1"/>
      </c>
      <c r="FK235">
        <f ca="1"/>
      </c>
      <c r="FL235">
        <f ca="1"/>
      </c>
      <c r="FM235">
        <f ca="1"/>
      </c>
      <c r="FN235">
        <f ca="1"/>
      </c>
      <c r="FO235">
        <f ca="1"/>
      </c>
      <c r="FP235">
        <f ca="1"/>
      </c>
      <c r="FQ235">
        <f ca="1"/>
      </c>
      <c r="FR235">
        <f ca="1"/>
      </c>
      <c r="FS235">
        <f ca="1"/>
      </c>
      <c r="FT235">
        <f ca="1"/>
      </c>
      <c r="FU235">
        <f ca="1"/>
      </c>
      <c r="FV235">
        <f ca="1"/>
      </c>
      <c r="FW235">
        <f ca="1"/>
      </c>
      <c r="FX235">
        <f ca="1"/>
      </c>
      <c r="FY235">
        <f ca="1"/>
      </c>
      <c r="FZ235">
        <f ca="1"/>
      </c>
      <c r="GA235">
        <f ca="1"/>
      </c>
      <c r="GM235" s="7">
        <f ca="1"/>
      </c>
      <c r="GN235">
        <f ca="1"/>
      </c>
      <c r="GO235">
        <f ca="1"/>
      </c>
      <c r="GP235">
        <f ca="1"/>
      </c>
      <c r="GQ235">
        <f ca="1"/>
      </c>
    </row>
    <row r="236" spans="41:199" x14ac:dyDescent="0.55000000000000004">
      <c r="AO236">
        <f ca="1"/>
      </c>
      <c r="AP236">
        <f ca="1"/>
      </c>
      <c r="AQ236">
        <f ca="1"/>
      </c>
      <c r="AR236">
        <f ca="1"/>
      </c>
      <c r="AS236">
        <f ca="1"/>
      </c>
      <c r="AT236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AZ236">
        <f ca="1"/>
      </c>
      <c r="BA236">
        <f ca="1"/>
      </c>
      <c r="BB236">
        <f ca="1"/>
      </c>
      <c r="BC236">
        <f ca="1"/>
      </c>
      <c r="BD236">
        <f ca="1"/>
      </c>
      <c r="BE236">
        <f ca="1"/>
      </c>
      <c r="BF236">
        <f ca="1"/>
      </c>
      <c r="BG236">
        <f ca="1"/>
      </c>
      <c r="BH236">
        <f ca="1"/>
      </c>
      <c r="BI236">
        <f ca="1"/>
      </c>
      <c r="BJ236">
        <f ca="1"/>
      </c>
      <c r="BK236">
        <f ca="1"/>
      </c>
      <c r="BL236">
        <f ca="1"/>
      </c>
      <c r="BM236">
        <f ca="1"/>
      </c>
      <c r="BN236">
        <f ca="1"/>
      </c>
      <c r="BO236">
        <f ca="1"/>
      </c>
      <c r="BP236">
        <f ca="1"/>
      </c>
      <c r="BQ236">
        <f ca="1"/>
      </c>
      <c r="BR236">
        <f ca="1"/>
      </c>
      <c r="BS236">
        <f ca="1"/>
      </c>
      <c r="BT236">
        <f ca="1"/>
      </c>
      <c r="BU236">
        <f ca="1"/>
      </c>
      <c r="BV236">
        <f ca="1"/>
      </c>
      <c r="BW236">
        <f ca="1"/>
      </c>
      <c r="BX236">
        <f ca="1"/>
      </c>
      <c r="BY236">
        <f ca="1"/>
      </c>
      <c r="BZ236">
        <f ca="1"/>
      </c>
      <c r="CA236">
        <f ca="1"/>
      </c>
      <c r="CB236">
        <f ca="1"/>
      </c>
      <c r="CC236">
        <f ca="1"/>
      </c>
      <c r="CD236">
        <f ca="1"/>
      </c>
      <c r="CE236">
        <f ca="1"/>
      </c>
      <c r="CF236">
        <f ca="1"/>
      </c>
      <c r="CG236">
        <f ca="1"/>
      </c>
      <c r="CH236">
        <f ca="1"/>
      </c>
      <c r="CI236">
        <f ca="1"/>
      </c>
      <c r="CK236">
        <f ca="1"/>
      </c>
      <c r="CL236">
        <f ca="1"/>
      </c>
      <c r="CM236">
        <f ca="1"/>
      </c>
      <c r="CN236">
        <f ca="1"/>
      </c>
      <c r="CO236">
        <f ca="1"/>
      </c>
      <c r="CP236">
        <f ca="1"/>
      </c>
      <c r="CQ236">
        <f ca="1"/>
      </c>
      <c r="CR236">
        <f ca="1"/>
      </c>
      <c r="CS236">
        <f ca="1"/>
      </c>
      <c r="CT236">
        <f ca="1"/>
      </c>
      <c r="CU236">
        <f ca="1"/>
      </c>
      <c r="CV236">
        <f ca="1"/>
      </c>
      <c r="CW236">
        <f ca="1"/>
      </c>
      <c r="CX236">
        <f ca="1"/>
      </c>
      <c r="CY236">
        <f ca="1"/>
      </c>
      <c r="CZ236">
        <f ca="1"/>
      </c>
      <c r="DA236">
        <f ca="1"/>
      </c>
      <c r="DB236">
        <f ca="1"/>
      </c>
      <c r="DC236">
        <f ca="1"/>
      </c>
      <c r="DD236">
        <f ca="1"/>
      </c>
      <c r="DE236">
        <f ca="1"/>
      </c>
      <c r="DF236">
        <f ca="1"/>
      </c>
      <c r="DG236">
        <f ca="1"/>
      </c>
      <c r="DH236">
        <f ca="1"/>
      </c>
      <c r="DI236">
        <f ca="1"/>
      </c>
      <c r="DJ236">
        <f ca="1"/>
      </c>
      <c r="DK236">
        <f ca="1"/>
      </c>
      <c r="DL236">
        <f ca="1"/>
      </c>
      <c r="DM236">
        <f ca="1"/>
      </c>
      <c r="DN236">
        <f ca="1"/>
      </c>
      <c r="DO236">
        <f ca="1"/>
      </c>
      <c r="DP236">
        <f ca="1"/>
      </c>
      <c r="DQ236">
        <f ca="1"/>
      </c>
      <c r="DR236">
        <f ca="1"/>
      </c>
      <c r="DS236">
        <f ca="1"/>
      </c>
      <c r="DT236">
        <f ca="1"/>
      </c>
      <c r="DU236">
        <f ca="1"/>
      </c>
      <c r="DV236">
        <f ca="1"/>
      </c>
      <c r="DW236">
        <f ca="1"/>
      </c>
      <c r="DX236">
        <f ca="1"/>
      </c>
      <c r="DY236">
        <f ca="1"/>
      </c>
      <c r="DZ236">
        <f ca="1"/>
      </c>
      <c r="EA236">
        <f ca="1"/>
      </c>
      <c r="EB236">
        <f ca="1"/>
      </c>
      <c r="EC236">
        <f ca="1"/>
      </c>
      <c r="ED236">
        <f ca="1"/>
      </c>
      <c r="EE236">
        <f ca="1"/>
      </c>
      <c r="EG236">
        <f ca="1"/>
      </c>
      <c r="EH236">
        <f ca="1"/>
      </c>
      <c r="EI236">
        <f ca="1"/>
      </c>
      <c r="EJ236">
        <f ca="1"/>
      </c>
      <c r="EK236">
        <f ca="1"/>
      </c>
      <c r="EL236">
        <f ca="1"/>
      </c>
      <c r="EM236">
        <f ca="1"/>
      </c>
      <c r="EN236">
        <f ca="1"/>
      </c>
      <c r="EO236">
        <f ca="1"/>
      </c>
      <c r="EP236">
        <f ca="1"/>
      </c>
      <c r="EQ236">
        <f ca="1"/>
      </c>
      <c r="ER236">
        <f ca="1"/>
      </c>
      <c r="ES236">
        <f ca="1"/>
      </c>
      <c r="ET236">
        <f ca="1"/>
      </c>
      <c r="EU236">
        <f ca="1"/>
      </c>
      <c r="EV236">
        <f ca="1"/>
      </c>
      <c r="EW236">
        <f ca="1"/>
      </c>
      <c r="EX236">
        <f ca="1"/>
      </c>
      <c r="EY236">
        <f ca="1"/>
      </c>
      <c r="EZ236">
        <f ca="1"/>
      </c>
      <c r="FA236">
        <f ca="1"/>
      </c>
      <c r="FB236">
        <f ca="1"/>
      </c>
      <c r="FC236">
        <f ca="1"/>
      </c>
      <c r="FD236">
        <f ca="1"/>
      </c>
      <c r="FE236">
        <f ca="1"/>
      </c>
      <c r="FF236">
        <f ca="1"/>
      </c>
      <c r="FG236">
        <f ca="1"/>
      </c>
      <c r="FH236">
        <f ca="1"/>
      </c>
      <c r="FI236">
        <f ca="1"/>
      </c>
      <c r="FJ236">
        <f ca="1"/>
      </c>
      <c r="FK236">
        <f ca="1"/>
      </c>
      <c r="FL236">
        <f ca="1"/>
      </c>
      <c r="FM236">
        <f ca="1"/>
      </c>
      <c r="FN236">
        <f ca="1"/>
      </c>
      <c r="FO236">
        <f ca="1"/>
      </c>
      <c r="FP236">
        <f ca="1"/>
      </c>
      <c r="FQ236">
        <f ca="1"/>
      </c>
      <c r="FR236">
        <f ca="1"/>
      </c>
      <c r="FS236">
        <f ca="1"/>
      </c>
      <c r="FT236">
        <f ca="1"/>
      </c>
      <c r="FU236">
        <f ca="1"/>
      </c>
      <c r="FV236">
        <f ca="1"/>
      </c>
      <c r="FW236">
        <f ca="1"/>
      </c>
      <c r="FX236">
        <f ca="1"/>
      </c>
      <c r="FY236">
        <f ca="1"/>
      </c>
      <c r="FZ236">
        <f ca="1"/>
      </c>
      <c r="GA236">
        <f ca="1"/>
      </c>
      <c r="GM236" s="7">
        <f ca="1"/>
      </c>
      <c r="GN236">
        <f ca="1"/>
      </c>
      <c r="GO236">
        <f ca="1"/>
      </c>
      <c r="GP236">
        <f ca="1"/>
      </c>
      <c r="GQ236">
        <f ca="1"/>
      </c>
    </row>
    <row r="237" spans="41:199" x14ac:dyDescent="0.55000000000000004">
      <c r="AO237">
        <f ca="1"/>
      </c>
      <c r="AP237">
        <f ca="1"/>
      </c>
      <c r="AQ237">
        <f ca="1"/>
      </c>
      <c r="AR237">
        <f ca="1"/>
      </c>
      <c r="AS237">
        <f ca="1"/>
      </c>
      <c r="AT23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AZ237">
        <f ca="1"/>
      </c>
      <c r="BA237">
        <f ca="1"/>
      </c>
      <c r="BB237">
        <f ca="1"/>
      </c>
      <c r="BC237">
        <f ca="1"/>
      </c>
      <c r="BD237">
        <f ca="1"/>
      </c>
      <c r="BE237">
        <f ca="1"/>
      </c>
      <c r="BF237">
        <f ca="1"/>
      </c>
      <c r="BG237">
        <f ca="1"/>
      </c>
      <c r="BH237">
        <f ca="1"/>
      </c>
      <c r="BI237">
        <f ca="1"/>
      </c>
      <c r="BJ237">
        <f ca="1"/>
      </c>
      <c r="BK237">
        <f ca="1"/>
      </c>
      <c r="BL237">
        <f ca="1"/>
      </c>
      <c r="BM237">
        <f ca="1"/>
      </c>
      <c r="BN237">
        <f ca="1"/>
      </c>
      <c r="BO237">
        <f ca="1"/>
      </c>
      <c r="BP237">
        <f ca="1"/>
      </c>
      <c r="BQ237">
        <f ca="1"/>
      </c>
      <c r="BR237">
        <f ca="1"/>
      </c>
      <c r="BS237">
        <f ca="1"/>
      </c>
      <c r="BT237">
        <f ca="1"/>
      </c>
      <c r="BU237">
        <f ca="1"/>
      </c>
      <c r="BV237">
        <f ca="1"/>
      </c>
      <c r="BW237">
        <f ca="1"/>
      </c>
      <c r="BX237">
        <f ca="1"/>
      </c>
      <c r="BY237">
        <f ca="1"/>
      </c>
      <c r="BZ237">
        <f ca="1"/>
      </c>
      <c r="CA237">
        <f ca="1"/>
      </c>
      <c r="CB237">
        <f ca="1"/>
      </c>
      <c r="CC237">
        <f ca="1"/>
      </c>
      <c r="CD237">
        <f ca="1"/>
      </c>
      <c r="CE237">
        <f ca="1"/>
      </c>
      <c r="CF237">
        <f ca="1"/>
      </c>
      <c r="CG237">
        <f ca="1"/>
      </c>
      <c r="CH237">
        <f ca="1"/>
      </c>
      <c r="CI237">
        <f ca="1"/>
      </c>
      <c r="CK237">
        <f ca="1"/>
      </c>
      <c r="CL237">
        <f ca="1"/>
      </c>
      <c r="CM237">
        <f ca="1"/>
      </c>
      <c r="CN237">
        <f ca="1"/>
      </c>
      <c r="CO237">
        <f ca="1"/>
      </c>
      <c r="CP237">
        <f ca="1"/>
      </c>
      <c r="CQ237">
        <f ca="1"/>
      </c>
      <c r="CR237">
        <f ca="1"/>
      </c>
      <c r="CS237">
        <f ca="1"/>
      </c>
      <c r="CT237">
        <f ca="1"/>
      </c>
      <c r="CU237">
        <f ca="1"/>
      </c>
      <c r="CV237">
        <f ca="1"/>
      </c>
      <c r="CW237">
        <f ca="1"/>
      </c>
      <c r="CX237">
        <f ca="1"/>
      </c>
      <c r="CY237">
        <f ca="1"/>
      </c>
      <c r="CZ237">
        <f ca="1"/>
      </c>
      <c r="DA237">
        <f ca="1"/>
      </c>
      <c r="DB237">
        <f ca="1"/>
      </c>
      <c r="DC237">
        <f ca="1"/>
      </c>
      <c r="DD237">
        <f ca="1"/>
      </c>
      <c r="DE237">
        <f ca="1"/>
      </c>
      <c r="DF237">
        <f ca="1"/>
      </c>
      <c r="DG237">
        <f ca="1"/>
      </c>
      <c r="DH237">
        <f ca="1"/>
      </c>
      <c r="DI237">
        <f ca="1"/>
      </c>
      <c r="DJ237">
        <f ca="1"/>
      </c>
      <c r="DK237">
        <f ca="1"/>
      </c>
      <c r="DL237">
        <f ca="1"/>
      </c>
      <c r="DM237">
        <f ca="1"/>
      </c>
      <c r="DN237">
        <f ca="1"/>
      </c>
      <c r="DO237">
        <f ca="1"/>
      </c>
      <c r="DP237">
        <f ca="1"/>
      </c>
      <c r="DQ237">
        <f ca="1"/>
      </c>
      <c r="DR237">
        <f ca="1"/>
      </c>
      <c r="DS237">
        <f ca="1"/>
      </c>
      <c r="DT237">
        <f ca="1"/>
      </c>
      <c r="DU237">
        <f ca="1"/>
      </c>
      <c r="DV237">
        <f ca="1"/>
      </c>
      <c r="DW237">
        <f ca="1"/>
      </c>
      <c r="DX237">
        <f ca="1"/>
      </c>
      <c r="DY237">
        <f ca="1"/>
      </c>
      <c r="DZ237">
        <f ca="1"/>
      </c>
      <c r="EA237">
        <f ca="1"/>
      </c>
      <c r="EB237">
        <f ca="1"/>
      </c>
      <c r="EC237">
        <f ca="1"/>
      </c>
      <c r="ED237">
        <f ca="1"/>
      </c>
      <c r="EE237">
        <f ca="1"/>
      </c>
      <c r="EG237">
        <f ca="1"/>
      </c>
      <c r="EH237">
        <f ca="1"/>
      </c>
      <c r="EI237">
        <f ca="1"/>
      </c>
      <c r="EJ237">
        <f ca="1"/>
      </c>
      <c r="EK237">
        <f ca="1"/>
      </c>
      <c r="EL237">
        <f ca="1"/>
      </c>
      <c r="EM237">
        <f ca="1"/>
      </c>
      <c r="EN237">
        <f ca="1"/>
      </c>
      <c r="EO237">
        <f ca="1"/>
      </c>
      <c r="EP237">
        <f ca="1"/>
      </c>
      <c r="EQ237">
        <f ca="1"/>
      </c>
      <c r="ER237">
        <f ca="1"/>
      </c>
      <c r="ES237">
        <f ca="1"/>
      </c>
      <c r="ET237">
        <f ca="1"/>
      </c>
      <c r="EU237">
        <f ca="1"/>
      </c>
      <c r="EV237">
        <f ca="1"/>
      </c>
      <c r="EW237">
        <f ca="1"/>
      </c>
      <c r="EX237">
        <f ca="1"/>
      </c>
      <c r="EY237">
        <f ca="1"/>
      </c>
      <c r="EZ237">
        <f ca="1"/>
      </c>
      <c r="FA237">
        <f ca="1"/>
      </c>
      <c r="FB237">
        <f ca="1"/>
      </c>
      <c r="FC237">
        <f ca="1"/>
      </c>
      <c r="FD237">
        <f ca="1"/>
      </c>
      <c r="FE237">
        <f ca="1"/>
      </c>
      <c r="FF237">
        <f ca="1"/>
      </c>
      <c r="FG237">
        <f ca="1"/>
      </c>
      <c r="FH237">
        <f ca="1"/>
      </c>
      <c r="FI237">
        <f ca="1"/>
      </c>
      <c r="FJ237">
        <f ca="1"/>
      </c>
      <c r="FK237">
        <f ca="1"/>
      </c>
      <c r="FL237">
        <f ca="1"/>
      </c>
      <c r="FM237">
        <f ca="1"/>
      </c>
      <c r="FN237">
        <f ca="1"/>
      </c>
      <c r="FO237">
        <f ca="1"/>
      </c>
      <c r="FP237">
        <f ca="1"/>
      </c>
      <c r="FQ237">
        <f ca="1"/>
      </c>
      <c r="FR237">
        <f ca="1"/>
      </c>
      <c r="FS237">
        <f ca="1"/>
      </c>
      <c r="FT237">
        <f ca="1"/>
      </c>
      <c r="FU237">
        <f ca="1"/>
      </c>
      <c r="FV237">
        <f ca="1"/>
      </c>
      <c r="FW237">
        <f ca="1"/>
      </c>
      <c r="FX237">
        <f ca="1"/>
      </c>
      <c r="FY237">
        <f ca="1"/>
      </c>
      <c r="FZ237">
        <f ca="1"/>
      </c>
      <c r="GA237">
        <f ca="1"/>
      </c>
      <c r="GM237" s="7">
        <f ca="1"/>
      </c>
      <c r="GN237">
        <f ca="1"/>
      </c>
      <c r="GO237">
        <f ca="1"/>
      </c>
      <c r="GP237">
        <f ca="1"/>
      </c>
      <c r="GQ237">
        <f ca="1"/>
      </c>
    </row>
    <row r="238" spans="41:199" x14ac:dyDescent="0.55000000000000004">
      <c r="AO238">
        <f ca="1"/>
      </c>
      <c r="AP238">
        <f ca="1"/>
      </c>
      <c r="AQ238">
        <f ca="1"/>
      </c>
      <c r="AR238">
        <f ca="1"/>
      </c>
      <c r="AS238">
        <f ca="1"/>
      </c>
      <c r="AT238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AZ238">
        <f ca="1"/>
      </c>
      <c r="BA238">
        <f ca="1"/>
      </c>
      <c r="BB238">
        <f ca="1"/>
      </c>
      <c r="BC238">
        <f ca="1"/>
      </c>
      <c r="BD238">
        <f ca="1"/>
      </c>
      <c r="BE238">
        <f ca="1"/>
      </c>
      <c r="BF238">
        <f ca="1"/>
      </c>
      <c r="BG238">
        <f ca="1"/>
      </c>
      <c r="BH238">
        <f ca="1"/>
      </c>
      <c r="BI238">
        <f ca="1"/>
      </c>
      <c r="BJ238">
        <f ca="1"/>
      </c>
      <c r="BK238">
        <f ca="1"/>
      </c>
      <c r="BL238">
        <f ca="1"/>
      </c>
      <c r="BM238">
        <f ca="1"/>
      </c>
      <c r="BN238">
        <f ca="1"/>
      </c>
      <c r="BO238">
        <f ca="1"/>
      </c>
      <c r="BP238">
        <f ca="1"/>
      </c>
      <c r="BQ238">
        <f ca="1"/>
      </c>
      <c r="BR238">
        <f ca="1"/>
      </c>
      <c r="BS238">
        <f ca="1"/>
      </c>
      <c r="BT238">
        <f ca="1"/>
      </c>
      <c r="BU238">
        <f ca="1"/>
      </c>
      <c r="BV238">
        <f ca="1"/>
      </c>
      <c r="BW238">
        <f ca="1"/>
      </c>
      <c r="BX238">
        <f ca="1"/>
      </c>
      <c r="BY238">
        <f ca="1"/>
      </c>
      <c r="BZ238">
        <f ca="1"/>
      </c>
      <c r="CA238">
        <f ca="1"/>
      </c>
      <c r="CB238">
        <f ca="1"/>
      </c>
      <c r="CC238">
        <f ca="1"/>
      </c>
      <c r="CD238">
        <f ca="1"/>
      </c>
      <c r="CE238">
        <f ca="1"/>
      </c>
      <c r="CF238">
        <f ca="1"/>
      </c>
      <c r="CG238">
        <f ca="1"/>
      </c>
      <c r="CH238">
        <f ca="1"/>
      </c>
      <c r="CI238">
        <f ca="1"/>
      </c>
      <c r="CK238">
        <f ca="1"/>
      </c>
      <c r="CL238">
        <f ca="1"/>
      </c>
      <c r="CM238">
        <f ca="1"/>
      </c>
      <c r="CN238">
        <f ca="1"/>
      </c>
      <c r="CO238">
        <f ca="1"/>
      </c>
      <c r="CP238">
        <f ca="1"/>
      </c>
      <c r="CQ238">
        <f ca="1"/>
      </c>
      <c r="CR238">
        <f ca="1"/>
      </c>
      <c r="CS238">
        <f ca="1"/>
      </c>
      <c r="CT238">
        <f ca="1"/>
      </c>
      <c r="CU238">
        <f ca="1"/>
      </c>
      <c r="CV238">
        <f ca="1"/>
      </c>
      <c r="CW238">
        <f ca="1"/>
      </c>
      <c r="CX238">
        <f ca="1"/>
      </c>
      <c r="CY238">
        <f ca="1"/>
      </c>
      <c r="CZ238">
        <f ca="1"/>
      </c>
      <c r="DA238">
        <f ca="1"/>
      </c>
      <c r="DB238">
        <f ca="1"/>
      </c>
      <c r="DC238">
        <f ca="1"/>
      </c>
      <c r="DD238">
        <f ca="1"/>
      </c>
      <c r="DE238">
        <f ca="1"/>
      </c>
      <c r="DF238">
        <f ca="1"/>
      </c>
      <c r="DG238">
        <f ca="1"/>
      </c>
      <c r="DH238">
        <f ca="1"/>
      </c>
      <c r="DI238">
        <f ca="1"/>
      </c>
      <c r="DJ238">
        <f ca="1"/>
      </c>
      <c r="DK238">
        <f ca="1"/>
      </c>
      <c r="DL238">
        <f ca="1"/>
      </c>
      <c r="DM238">
        <f ca="1"/>
      </c>
      <c r="DN238">
        <f ca="1"/>
      </c>
      <c r="DO238">
        <f ca="1"/>
      </c>
      <c r="DP238">
        <f ca="1"/>
      </c>
      <c r="DQ238">
        <f ca="1"/>
      </c>
      <c r="DR238">
        <f ca="1"/>
      </c>
      <c r="DS238">
        <f ca="1"/>
      </c>
      <c r="DT238">
        <f ca="1"/>
      </c>
      <c r="DU238">
        <f ca="1"/>
      </c>
      <c r="DV238">
        <f ca="1"/>
      </c>
      <c r="DW238">
        <f ca="1"/>
      </c>
      <c r="DX238">
        <f ca="1"/>
      </c>
      <c r="DY238">
        <f ca="1"/>
      </c>
      <c r="DZ238">
        <f ca="1"/>
      </c>
      <c r="EA238">
        <f ca="1"/>
      </c>
      <c r="EB238">
        <f ca="1"/>
      </c>
      <c r="EC238">
        <f ca="1"/>
      </c>
      <c r="ED238">
        <f ca="1"/>
      </c>
      <c r="EE238">
        <f ca="1"/>
      </c>
      <c r="EG238">
        <f ca="1"/>
      </c>
      <c r="EH238">
        <f ca="1"/>
      </c>
      <c r="EI238">
        <f ca="1"/>
      </c>
      <c r="EJ238">
        <f ca="1"/>
      </c>
      <c r="EK238">
        <f ca="1"/>
      </c>
      <c r="EL238">
        <f ca="1"/>
      </c>
      <c r="EM238">
        <f ca="1"/>
      </c>
      <c r="EN238">
        <f ca="1"/>
      </c>
      <c r="EO238">
        <f ca="1"/>
      </c>
      <c r="EP238">
        <f ca="1"/>
      </c>
      <c r="EQ238">
        <f ca="1"/>
      </c>
      <c r="ER238">
        <f ca="1"/>
      </c>
      <c r="ES238">
        <f ca="1"/>
      </c>
      <c r="ET238">
        <f ca="1"/>
      </c>
      <c r="EU238">
        <f ca="1"/>
      </c>
      <c r="EV238">
        <f ca="1"/>
      </c>
      <c r="EW238">
        <f ca="1"/>
      </c>
      <c r="EX238">
        <f ca="1"/>
      </c>
      <c r="EY238">
        <f ca="1"/>
      </c>
      <c r="EZ238">
        <f ca="1"/>
      </c>
      <c r="FA238">
        <f ca="1"/>
      </c>
      <c r="FB238">
        <f ca="1"/>
      </c>
      <c r="FC238">
        <f ca="1"/>
      </c>
      <c r="FD238">
        <f ca="1"/>
      </c>
      <c r="FE238">
        <f ca="1"/>
      </c>
      <c r="FF238">
        <f ca="1"/>
      </c>
      <c r="FG238">
        <f ca="1"/>
      </c>
      <c r="FH238">
        <f ca="1"/>
      </c>
      <c r="FI238">
        <f ca="1"/>
      </c>
      <c r="FJ238">
        <f ca="1"/>
      </c>
      <c r="FK238">
        <f ca="1"/>
      </c>
      <c r="FL238">
        <f ca="1"/>
      </c>
      <c r="FM238">
        <f ca="1"/>
      </c>
      <c r="FN238">
        <f ca="1"/>
      </c>
      <c r="FO238">
        <f ca="1"/>
      </c>
      <c r="FP238">
        <f ca="1"/>
      </c>
      <c r="FQ238">
        <f ca="1"/>
      </c>
      <c r="FR238">
        <f ca="1"/>
      </c>
      <c r="FS238">
        <f ca="1"/>
      </c>
      <c r="FT238">
        <f ca="1"/>
      </c>
      <c r="FU238">
        <f ca="1"/>
      </c>
      <c r="FV238">
        <f ca="1"/>
      </c>
      <c r="FW238">
        <f ca="1"/>
      </c>
      <c r="FX238">
        <f ca="1"/>
      </c>
      <c r="FY238">
        <f ca="1"/>
      </c>
      <c r="FZ238">
        <f ca="1"/>
      </c>
      <c r="GA238">
        <f ca="1"/>
      </c>
      <c r="GM238" s="7">
        <f ca="1"/>
      </c>
      <c r="GN238">
        <f ca="1"/>
      </c>
      <c r="GO238">
        <f ca="1"/>
      </c>
      <c r="GP238">
        <f ca="1"/>
      </c>
      <c r="GQ238">
        <f ca="1"/>
      </c>
    </row>
    <row r="239" spans="41:199" x14ac:dyDescent="0.55000000000000004">
      <c r="AO239">
        <f ca="1"/>
      </c>
      <c r="AP239">
        <f ca="1"/>
      </c>
      <c r="AQ239">
        <f ca="1"/>
      </c>
      <c r="AR239">
        <f ca="1"/>
      </c>
      <c r="AS239">
        <f ca="1"/>
      </c>
      <c r="AT239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AZ239">
        <f ca="1"/>
      </c>
      <c r="BA239">
        <f ca="1"/>
      </c>
      <c r="BB239">
        <f ca="1"/>
      </c>
      <c r="BC239">
        <f ca="1"/>
      </c>
      <c r="BD239">
        <f ca="1"/>
      </c>
      <c r="BE239">
        <f ca="1"/>
      </c>
      <c r="BF239">
        <f ca="1"/>
      </c>
      <c r="BG239">
        <f ca="1"/>
      </c>
      <c r="BH239">
        <f ca="1"/>
      </c>
      <c r="BI239">
        <f ca="1"/>
      </c>
      <c r="BJ239">
        <f ca="1"/>
      </c>
      <c r="BK239">
        <f ca="1"/>
      </c>
      <c r="BL239">
        <f ca="1"/>
      </c>
      <c r="BM239">
        <f ca="1"/>
      </c>
      <c r="BN239">
        <f ca="1"/>
      </c>
      <c r="BO239">
        <f ca="1"/>
      </c>
      <c r="BP239">
        <f ca="1"/>
      </c>
      <c r="BQ239">
        <f ca="1"/>
      </c>
      <c r="BR239">
        <f ca="1"/>
      </c>
      <c r="BS239">
        <f ca="1"/>
      </c>
      <c r="BT239">
        <f ca="1"/>
      </c>
      <c r="BU239">
        <f ca="1"/>
      </c>
      <c r="BV239">
        <f ca="1"/>
      </c>
      <c r="BW239">
        <f ca="1"/>
      </c>
      <c r="BX239">
        <f ca="1"/>
      </c>
      <c r="BY239">
        <f ca="1"/>
      </c>
      <c r="BZ239">
        <f ca="1"/>
      </c>
      <c r="CA239">
        <f ca="1"/>
      </c>
      <c r="CB239">
        <f ca="1"/>
      </c>
      <c r="CC239">
        <f ca="1"/>
      </c>
      <c r="CD239">
        <f ca="1"/>
      </c>
      <c r="CE239">
        <f ca="1"/>
      </c>
      <c r="CF239">
        <f ca="1"/>
      </c>
      <c r="CG239">
        <f ca="1"/>
      </c>
      <c r="CH239">
        <f ca="1"/>
      </c>
      <c r="CI239">
        <f ca="1"/>
      </c>
      <c r="CK239">
        <f ca="1"/>
      </c>
      <c r="CL239">
        <f ca="1"/>
      </c>
      <c r="CM239">
        <f ca="1"/>
      </c>
      <c r="CN239">
        <f ca="1"/>
      </c>
      <c r="CO239">
        <f ca="1"/>
      </c>
      <c r="CP239">
        <f ca="1"/>
      </c>
      <c r="CQ239">
        <f ca="1"/>
      </c>
      <c r="CR239">
        <f ca="1"/>
      </c>
      <c r="CS239">
        <f ca="1"/>
      </c>
      <c r="CT239">
        <f ca="1"/>
      </c>
      <c r="CU239">
        <f ca="1"/>
      </c>
      <c r="CV239">
        <f ca="1"/>
      </c>
      <c r="CW239">
        <f ca="1"/>
      </c>
      <c r="CX239">
        <f ca="1"/>
      </c>
      <c r="CY239">
        <f ca="1"/>
      </c>
      <c r="CZ239">
        <f ca="1"/>
      </c>
      <c r="DA239">
        <f ca="1"/>
      </c>
      <c r="DB239">
        <f ca="1"/>
      </c>
      <c r="DC239">
        <f ca="1"/>
      </c>
      <c r="DD239">
        <f ca="1"/>
      </c>
      <c r="DE239">
        <f ca="1"/>
      </c>
      <c r="DF239">
        <f ca="1"/>
      </c>
      <c r="DG239">
        <f ca="1"/>
      </c>
      <c r="DH239">
        <f ca="1"/>
      </c>
      <c r="DI239">
        <f ca="1"/>
      </c>
      <c r="DJ239">
        <f ca="1"/>
      </c>
      <c r="DK239">
        <f ca="1"/>
      </c>
      <c r="DL239">
        <f ca="1"/>
      </c>
      <c r="DM239">
        <f ca="1"/>
      </c>
      <c r="DN239">
        <f ca="1"/>
      </c>
      <c r="DO239">
        <f ca="1"/>
      </c>
      <c r="DP239">
        <f ca="1"/>
      </c>
      <c r="DQ239">
        <f ca="1"/>
      </c>
      <c r="DR239">
        <f ca="1"/>
      </c>
      <c r="DS239">
        <f ca="1"/>
      </c>
      <c r="DT239">
        <f ca="1"/>
      </c>
      <c r="DU239">
        <f ca="1"/>
      </c>
      <c r="DV239">
        <f ca="1"/>
      </c>
      <c r="DW239">
        <f ca="1"/>
      </c>
      <c r="DX239">
        <f ca="1"/>
      </c>
      <c r="DY239">
        <f ca="1"/>
      </c>
      <c r="DZ239">
        <f ca="1"/>
      </c>
      <c r="EA239">
        <f ca="1"/>
      </c>
      <c r="EB239">
        <f ca="1"/>
      </c>
      <c r="EC239">
        <f ca="1"/>
      </c>
      <c r="ED239">
        <f ca="1"/>
      </c>
      <c r="EE239">
        <f ca="1"/>
      </c>
      <c r="EG239">
        <f ca="1"/>
      </c>
      <c r="EH239">
        <f ca="1"/>
      </c>
      <c r="EI239">
        <f ca="1"/>
      </c>
      <c r="EJ239">
        <f ca="1"/>
      </c>
      <c r="EK239">
        <f ca="1"/>
      </c>
      <c r="EL239">
        <f ca="1"/>
      </c>
      <c r="EM239">
        <f ca="1"/>
      </c>
      <c r="EN239">
        <f ca="1"/>
      </c>
      <c r="EO239">
        <f ca="1"/>
      </c>
      <c r="EP239">
        <f ca="1"/>
      </c>
      <c r="EQ239">
        <f ca="1"/>
      </c>
      <c r="ER239">
        <f ca="1"/>
      </c>
      <c r="ES239">
        <f ca="1"/>
      </c>
      <c r="ET239">
        <f ca="1"/>
      </c>
      <c r="EU239">
        <f ca="1"/>
      </c>
      <c r="EV239">
        <f ca="1"/>
      </c>
      <c r="EW239">
        <f ca="1"/>
      </c>
      <c r="EX239">
        <f ca="1"/>
      </c>
      <c r="EY239">
        <f ca="1"/>
      </c>
      <c r="EZ239">
        <f ca="1"/>
      </c>
      <c r="FA239">
        <f ca="1"/>
      </c>
      <c r="FB239">
        <f ca="1"/>
      </c>
      <c r="FC239">
        <f ca="1"/>
      </c>
      <c r="FD239">
        <f ca="1"/>
      </c>
      <c r="FE239">
        <f ca="1"/>
      </c>
      <c r="FF239">
        <f ca="1"/>
      </c>
      <c r="FG239">
        <f ca="1"/>
      </c>
      <c r="FH239">
        <f ca="1"/>
      </c>
      <c r="FI239">
        <f ca="1"/>
      </c>
      <c r="FJ239">
        <f ca="1"/>
      </c>
      <c r="FK239">
        <f ca="1"/>
      </c>
      <c r="FL239">
        <f ca="1"/>
      </c>
      <c r="FM239">
        <f ca="1"/>
      </c>
      <c r="FN239">
        <f ca="1"/>
      </c>
      <c r="FO239">
        <f ca="1"/>
      </c>
      <c r="FP239">
        <f ca="1"/>
      </c>
      <c r="FQ239">
        <f ca="1"/>
      </c>
      <c r="FR239">
        <f ca="1"/>
      </c>
      <c r="FS239">
        <f ca="1"/>
      </c>
      <c r="FT239">
        <f ca="1"/>
      </c>
      <c r="FU239">
        <f ca="1"/>
      </c>
      <c r="FV239">
        <f ca="1"/>
      </c>
      <c r="FW239">
        <f ca="1"/>
      </c>
      <c r="FX239">
        <f ca="1"/>
      </c>
      <c r="FY239">
        <f ca="1"/>
      </c>
      <c r="FZ239">
        <f ca="1"/>
      </c>
      <c r="GA239">
        <f ca="1"/>
      </c>
      <c r="GM239" s="7">
        <f ca="1"/>
      </c>
      <c r="GN239">
        <f ca="1"/>
      </c>
      <c r="GO239">
        <f ca="1"/>
      </c>
      <c r="GP239">
        <f ca="1"/>
      </c>
      <c r="GQ239">
        <f ca="1"/>
      </c>
    </row>
    <row r="240" spans="41:199" x14ac:dyDescent="0.55000000000000004">
      <c r="AO240">
        <f ca="1"/>
      </c>
      <c r="AP240">
        <f ca="1"/>
      </c>
      <c r="AQ240">
        <f ca="1"/>
      </c>
      <c r="AR240">
        <f ca="1"/>
      </c>
      <c r="AS240">
        <f ca="1"/>
      </c>
      <c r="AT240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AZ240">
        <f ca="1"/>
      </c>
      <c r="BA240">
        <f ca="1"/>
      </c>
      <c r="BB240">
        <f ca="1"/>
      </c>
      <c r="BC240">
        <f ca="1"/>
      </c>
      <c r="BD240">
        <f ca="1"/>
      </c>
      <c r="BE240">
        <f ca="1"/>
      </c>
      <c r="BF240">
        <f ca="1"/>
      </c>
      <c r="BG240">
        <f ca="1"/>
      </c>
      <c r="BH240">
        <f ca="1"/>
      </c>
      <c r="BI240">
        <f ca="1"/>
      </c>
      <c r="BJ240">
        <f ca="1"/>
      </c>
      <c r="BK240">
        <f ca="1"/>
      </c>
      <c r="BL240">
        <f ca="1"/>
      </c>
      <c r="BM240">
        <f ca="1"/>
      </c>
      <c r="BN240">
        <f ca="1"/>
      </c>
      <c r="BO240">
        <f ca="1"/>
      </c>
      <c r="BP240">
        <f ca="1"/>
      </c>
      <c r="BQ240">
        <f ca="1"/>
      </c>
      <c r="BR240">
        <f ca="1"/>
      </c>
      <c r="BS240">
        <f ca="1"/>
      </c>
      <c r="BT240">
        <f ca="1"/>
      </c>
      <c r="BU240">
        <f ca="1"/>
      </c>
      <c r="BV240">
        <f ca="1"/>
      </c>
      <c r="BW240">
        <f ca="1"/>
      </c>
      <c r="BX240">
        <f ca="1"/>
      </c>
      <c r="BY240">
        <f ca="1"/>
      </c>
      <c r="BZ240">
        <f ca="1"/>
      </c>
      <c r="CA240">
        <f ca="1"/>
      </c>
      <c r="CB240">
        <f ca="1"/>
      </c>
      <c r="CC240">
        <f ca="1"/>
      </c>
      <c r="CD240">
        <f ca="1"/>
      </c>
      <c r="CE240">
        <f ca="1"/>
      </c>
      <c r="CF240">
        <f ca="1"/>
      </c>
      <c r="CG240">
        <f ca="1"/>
      </c>
      <c r="CH240">
        <f ca="1"/>
      </c>
      <c r="CI240">
        <f ca="1"/>
      </c>
      <c r="CK240">
        <f ca="1"/>
      </c>
      <c r="CL240">
        <f ca="1"/>
      </c>
      <c r="CM240">
        <f ca="1"/>
      </c>
      <c r="CN240">
        <f ca="1"/>
      </c>
      <c r="CO240">
        <f ca="1"/>
      </c>
      <c r="CP240">
        <f ca="1"/>
      </c>
      <c r="CQ240">
        <f ca="1"/>
      </c>
      <c r="CR240">
        <f ca="1"/>
      </c>
      <c r="CS240">
        <f ca="1"/>
      </c>
      <c r="CT240">
        <f ca="1"/>
      </c>
      <c r="CU240">
        <f ca="1"/>
      </c>
      <c r="CV240">
        <f ca="1"/>
      </c>
      <c r="CW240">
        <f ca="1"/>
      </c>
      <c r="CX240">
        <f ca="1"/>
      </c>
      <c r="CY240">
        <f ca="1"/>
      </c>
      <c r="CZ240">
        <f ca="1"/>
      </c>
      <c r="DA240">
        <f ca="1"/>
      </c>
      <c r="DB240">
        <f ca="1"/>
      </c>
      <c r="DC240">
        <f ca="1"/>
      </c>
      <c r="DD240">
        <f ca="1"/>
      </c>
      <c r="DE240">
        <f ca="1"/>
      </c>
      <c r="DF240">
        <f ca="1"/>
      </c>
      <c r="DG240">
        <f ca="1"/>
      </c>
      <c r="DH240">
        <f ca="1"/>
      </c>
      <c r="DI240">
        <f ca="1"/>
      </c>
      <c r="DJ240">
        <f ca="1"/>
      </c>
      <c r="DK240">
        <f ca="1"/>
      </c>
      <c r="DL240">
        <f ca="1"/>
      </c>
      <c r="DM240">
        <f ca="1"/>
      </c>
      <c r="DN240">
        <f ca="1"/>
      </c>
      <c r="DO240">
        <f ca="1"/>
      </c>
      <c r="DP240">
        <f ca="1"/>
      </c>
      <c r="DQ240">
        <f ca="1"/>
      </c>
      <c r="DR240">
        <f ca="1"/>
      </c>
      <c r="DS240">
        <f ca="1"/>
      </c>
      <c r="DT240">
        <f ca="1"/>
      </c>
      <c r="DU240">
        <f ca="1"/>
      </c>
      <c r="DV240">
        <f ca="1"/>
      </c>
      <c r="DW240">
        <f ca="1"/>
      </c>
      <c r="DX240">
        <f ca="1"/>
      </c>
      <c r="DY240">
        <f ca="1"/>
      </c>
      <c r="DZ240">
        <f ca="1"/>
      </c>
      <c r="EA240">
        <f ca="1"/>
      </c>
      <c r="EB240">
        <f ca="1"/>
      </c>
      <c r="EC240">
        <f ca="1"/>
      </c>
      <c r="ED240">
        <f ca="1"/>
      </c>
      <c r="EE240">
        <f ca="1"/>
      </c>
      <c r="EG240">
        <f ca="1"/>
      </c>
      <c r="EH240">
        <f ca="1"/>
      </c>
      <c r="EI240">
        <f ca="1"/>
      </c>
      <c r="EJ240">
        <f ca="1"/>
      </c>
      <c r="EK240">
        <f ca="1"/>
      </c>
      <c r="EL240">
        <f ca="1"/>
      </c>
      <c r="EM240">
        <f ca="1"/>
      </c>
      <c r="EN240">
        <f ca="1"/>
      </c>
      <c r="EO240">
        <f ca="1"/>
      </c>
      <c r="EP240">
        <f ca="1"/>
      </c>
      <c r="EQ240">
        <f ca="1"/>
      </c>
      <c r="ER240">
        <f ca="1"/>
      </c>
      <c r="ES240">
        <f ca="1"/>
      </c>
      <c r="ET240">
        <f ca="1"/>
      </c>
      <c r="EU240">
        <f ca="1"/>
      </c>
      <c r="EV240">
        <f ca="1"/>
      </c>
      <c r="EW240">
        <f ca="1"/>
      </c>
      <c r="EX240">
        <f ca="1"/>
      </c>
      <c r="EY240">
        <f ca="1"/>
      </c>
      <c r="EZ240">
        <f ca="1"/>
      </c>
      <c r="FA240">
        <f ca="1"/>
      </c>
      <c r="FB240">
        <f ca="1"/>
      </c>
      <c r="FC240">
        <f ca="1"/>
      </c>
      <c r="FD240">
        <f ca="1"/>
      </c>
      <c r="FE240">
        <f ca="1"/>
      </c>
      <c r="FF240">
        <f ca="1"/>
      </c>
      <c r="FG240">
        <f ca="1"/>
      </c>
      <c r="FH240">
        <f ca="1"/>
      </c>
      <c r="FI240">
        <f ca="1"/>
      </c>
      <c r="FJ240">
        <f ca="1"/>
      </c>
      <c r="FK240">
        <f ca="1"/>
      </c>
      <c r="FL240">
        <f ca="1"/>
      </c>
      <c r="FM240">
        <f ca="1"/>
      </c>
      <c r="FN240">
        <f ca="1"/>
      </c>
      <c r="FO240">
        <f ca="1"/>
      </c>
      <c r="FP240">
        <f ca="1"/>
      </c>
      <c r="FQ240">
        <f ca="1"/>
      </c>
      <c r="FR240">
        <f ca="1"/>
      </c>
      <c r="FS240">
        <f ca="1"/>
      </c>
      <c r="FT240">
        <f ca="1"/>
      </c>
      <c r="FU240">
        <f ca="1"/>
      </c>
      <c r="FV240">
        <f ca="1"/>
      </c>
      <c r="FW240">
        <f ca="1"/>
      </c>
      <c r="FX240">
        <f ca="1"/>
      </c>
      <c r="FY240">
        <f ca="1"/>
      </c>
      <c r="FZ240">
        <f ca="1"/>
      </c>
      <c r="GA240">
        <f ca="1"/>
      </c>
      <c r="GM240" s="7">
        <f ca="1"/>
      </c>
      <c r="GN240">
        <f ca="1"/>
      </c>
      <c r="GO240">
        <f ca="1"/>
      </c>
      <c r="GP240">
        <f ca="1"/>
      </c>
      <c r="GQ240">
        <f ca="1"/>
      </c>
    </row>
    <row r="241" spans="41:199" x14ac:dyDescent="0.55000000000000004">
      <c r="AO241">
        <f ca="1"/>
      </c>
      <c r="AP241">
        <f ca="1"/>
      </c>
      <c r="AQ241">
        <f ca="1"/>
      </c>
      <c r="AR241">
        <f ca="1"/>
      </c>
      <c r="AS241">
        <f ca="1"/>
      </c>
      <c r="AT241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AZ241">
        <f ca="1"/>
      </c>
      <c r="BA241">
        <f ca="1"/>
      </c>
      <c r="BB241">
        <f ca="1"/>
      </c>
      <c r="BC241">
        <f ca="1"/>
      </c>
      <c r="BD241">
        <f ca="1"/>
      </c>
      <c r="BE241">
        <f ca="1"/>
      </c>
      <c r="BF241">
        <f ca="1"/>
      </c>
      <c r="BG241">
        <f ca="1"/>
      </c>
      <c r="BH241">
        <f ca="1"/>
      </c>
      <c r="BI241">
        <f ca="1"/>
      </c>
      <c r="BJ241">
        <f ca="1"/>
      </c>
      <c r="BK241">
        <f ca="1"/>
      </c>
      <c r="BL241">
        <f ca="1"/>
      </c>
      <c r="BM241">
        <f ca="1"/>
      </c>
      <c r="BN241">
        <f ca="1"/>
      </c>
      <c r="BO241">
        <f ca="1"/>
      </c>
      <c r="BP241">
        <f ca="1"/>
      </c>
      <c r="BQ241">
        <f ca="1"/>
      </c>
      <c r="BR241">
        <f ca="1"/>
      </c>
      <c r="BS241">
        <f ca="1"/>
      </c>
      <c r="BT241">
        <f ca="1"/>
      </c>
      <c r="BU241">
        <f ca="1"/>
      </c>
      <c r="BV241">
        <f ca="1"/>
      </c>
      <c r="BW241">
        <f ca="1"/>
      </c>
      <c r="BX241">
        <f ca="1"/>
      </c>
      <c r="BY241">
        <f ca="1"/>
      </c>
      <c r="BZ241">
        <f ca="1"/>
      </c>
      <c r="CA241">
        <f ca="1"/>
      </c>
      <c r="CB241">
        <f ca="1"/>
      </c>
      <c r="CC241">
        <f ca="1"/>
      </c>
      <c r="CD241">
        <f ca="1"/>
      </c>
      <c r="CE241">
        <f ca="1"/>
      </c>
      <c r="CF241">
        <f ca="1"/>
      </c>
      <c r="CG241">
        <f ca="1"/>
      </c>
      <c r="CH241">
        <f ca="1"/>
      </c>
      <c r="CI241">
        <f ca="1"/>
      </c>
      <c r="CK241">
        <f ca="1"/>
      </c>
      <c r="CL241">
        <f ca="1"/>
      </c>
      <c r="CM241">
        <f ca="1"/>
      </c>
      <c r="CN241">
        <f ca="1"/>
      </c>
      <c r="CO241">
        <f ca="1"/>
      </c>
      <c r="CP241">
        <f ca="1"/>
      </c>
      <c r="CQ241">
        <f ca="1"/>
      </c>
      <c r="CR241">
        <f ca="1"/>
      </c>
      <c r="CS241">
        <f ca="1"/>
      </c>
      <c r="CT241">
        <f ca="1"/>
      </c>
      <c r="CU241">
        <f ca="1"/>
      </c>
      <c r="CV241">
        <f ca="1"/>
      </c>
      <c r="CW241">
        <f ca="1"/>
      </c>
      <c r="CX241">
        <f ca="1"/>
      </c>
      <c r="CY241">
        <f ca="1"/>
      </c>
      <c r="CZ241">
        <f ca="1"/>
      </c>
      <c r="DA241">
        <f ca="1"/>
      </c>
      <c r="DB241">
        <f ca="1"/>
      </c>
      <c r="DC241">
        <f ca="1"/>
      </c>
      <c r="DD241">
        <f ca="1"/>
      </c>
      <c r="DE241">
        <f ca="1"/>
      </c>
      <c r="DF241">
        <f ca="1"/>
      </c>
      <c r="DG241">
        <f ca="1"/>
      </c>
      <c r="DH241">
        <f ca="1"/>
      </c>
      <c r="DI241">
        <f ca="1"/>
      </c>
      <c r="DJ241">
        <f ca="1"/>
      </c>
      <c r="DK241">
        <f ca="1"/>
      </c>
      <c r="DL241">
        <f ca="1"/>
      </c>
      <c r="DM241">
        <f ca="1"/>
      </c>
      <c r="DN241">
        <f ca="1"/>
      </c>
      <c r="DO241">
        <f ca="1"/>
      </c>
      <c r="DP241">
        <f ca="1"/>
      </c>
      <c r="DQ241">
        <f ca="1"/>
      </c>
      <c r="DR241">
        <f ca="1"/>
      </c>
      <c r="DS241">
        <f ca="1"/>
      </c>
      <c r="DT241">
        <f ca="1"/>
      </c>
      <c r="DU241">
        <f ca="1"/>
      </c>
      <c r="DV241">
        <f ca="1"/>
      </c>
      <c r="DW241">
        <f ca="1"/>
      </c>
      <c r="DX241">
        <f ca="1"/>
      </c>
      <c r="DY241">
        <f ca="1"/>
      </c>
      <c r="DZ241">
        <f ca="1"/>
      </c>
      <c r="EA241">
        <f ca="1"/>
      </c>
      <c r="EB241">
        <f ca="1"/>
      </c>
      <c r="EC241">
        <f ca="1"/>
      </c>
      <c r="ED241">
        <f ca="1"/>
      </c>
      <c r="EE241">
        <f ca="1"/>
      </c>
      <c r="EG241">
        <f ca="1"/>
      </c>
      <c r="EH241">
        <f ca="1"/>
      </c>
      <c r="EI241">
        <f ca="1"/>
      </c>
      <c r="EJ241">
        <f ca="1"/>
      </c>
      <c r="EK241">
        <f ca="1"/>
      </c>
      <c r="EL241">
        <f ca="1"/>
      </c>
      <c r="EM241">
        <f ca="1"/>
      </c>
      <c r="EN241">
        <f ca="1"/>
      </c>
      <c r="EO241">
        <f ca="1"/>
      </c>
      <c r="EP241">
        <f ca="1"/>
      </c>
      <c r="EQ241">
        <f ca="1"/>
      </c>
      <c r="ER241">
        <f ca="1"/>
      </c>
      <c r="ES241">
        <f ca="1"/>
      </c>
      <c r="ET241">
        <f ca="1"/>
      </c>
      <c r="EU241">
        <f ca="1"/>
      </c>
      <c r="EV241">
        <f ca="1"/>
      </c>
      <c r="EW241">
        <f ca="1"/>
      </c>
      <c r="EX241">
        <f ca="1"/>
      </c>
      <c r="EY241">
        <f ca="1"/>
      </c>
      <c r="EZ241">
        <f ca="1"/>
      </c>
      <c r="FA241">
        <f ca="1"/>
      </c>
      <c r="FB241">
        <f ca="1"/>
      </c>
      <c r="FC241">
        <f ca="1"/>
      </c>
      <c r="FD241">
        <f ca="1"/>
      </c>
      <c r="FE241">
        <f ca="1"/>
      </c>
      <c r="FF241">
        <f ca="1"/>
      </c>
      <c r="FG241">
        <f ca="1"/>
      </c>
      <c r="FH241">
        <f ca="1"/>
      </c>
      <c r="FI241">
        <f ca="1"/>
      </c>
      <c r="FJ241">
        <f ca="1"/>
      </c>
      <c r="FK241">
        <f ca="1"/>
      </c>
      <c r="FL241">
        <f ca="1"/>
      </c>
      <c r="FM241">
        <f ca="1"/>
      </c>
      <c r="FN241">
        <f ca="1"/>
      </c>
      <c r="FO241">
        <f ca="1"/>
      </c>
      <c r="FP241">
        <f ca="1"/>
      </c>
      <c r="FQ241">
        <f ca="1"/>
      </c>
      <c r="FR241">
        <f ca="1"/>
      </c>
      <c r="FS241">
        <f ca="1"/>
      </c>
      <c r="FT241">
        <f ca="1"/>
      </c>
      <c r="FU241">
        <f ca="1"/>
      </c>
      <c r="FV241">
        <f ca="1"/>
      </c>
      <c r="FW241">
        <f ca="1"/>
      </c>
      <c r="FX241">
        <f ca="1"/>
      </c>
      <c r="FY241">
        <f ca="1"/>
      </c>
      <c r="FZ241">
        <f ca="1"/>
      </c>
      <c r="GA241">
        <f ca="1"/>
      </c>
      <c r="GM241" s="7">
        <f ca="1"/>
      </c>
      <c r="GN241">
        <f ca="1"/>
      </c>
      <c r="GO241">
        <f ca="1"/>
      </c>
      <c r="GP241">
        <f ca="1"/>
      </c>
      <c r="GQ241">
        <f ca="1"/>
      </c>
    </row>
    <row r="242" spans="41:199" x14ac:dyDescent="0.55000000000000004">
      <c r="AO242">
        <f ca="1"/>
      </c>
      <c r="AP242">
        <f ca="1"/>
      </c>
      <c r="AQ242">
        <f ca="1"/>
      </c>
      <c r="AR242">
        <f ca="1"/>
      </c>
      <c r="AS242">
        <f ca="1"/>
      </c>
      <c r="AT242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AZ242">
        <f ca="1"/>
      </c>
      <c r="BA242">
        <f ca="1"/>
      </c>
      <c r="BB242">
        <f ca="1"/>
      </c>
      <c r="BC242">
        <f ca="1"/>
      </c>
      <c r="BD242">
        <f ca="1"/>
      </c>
      <c r="BE242">
        <f ca="1"/>
      </c>
      <c r="BF242">
        <f ca="1"/>
      </c>
      <c r="BG242">
        <f ca="1"/>
      </c>
      <c r="BH242">
        <f ca="1"/>
      </c>
      <c r="BI242">
        <f ca="1"/>
      </c>
      <c r="BJ242">
        <f ca="1"/>
      </c>
      <c r="BK242">
        <f ca="1"/>
      </c>
      <c r="BL242">
        <f ca="1"/>
      </c>
      <c r="BM242">
        <f ca="1"/>
      </c>
      <c r="BN242">
        <f ca="1"/>
      </c>
      <c r="BO242">
        <f ca="1"/>
      </c>
      <c r="BP242">
        <f ca="1"/>
      </c>
      <c r="BQ242">
        <f ca="1"/>
      </c>
      <c r="BR242">
        <f ca="1"/>
      </c>
      <c r="BS242">
        <f ca="1"/>
      </c>
      <c r="BT242">
        <f ca="1"/>
      </c>
      <c r="BU242">
        <f ca="1"/>
      </c>
      <c r="BV242">
        <f ca="1"/>
      </c>
      <c r="BW242">
        <f ca="1"/>
      </c>
      <c r="BX242">
        <f ca="1"/>
      </c>
      <c r="BY242">
        <f ca="1"/>
      </c>
      <c r="BZ242">
        <f ca="1"/>
      </c>
      <c r="CA242">
        <f ca="1"/>
      </c>
      <c r="CB242">
        <f ca="1"/>
      </c>
      <c r="CC242">
        <f ca="1"/>
      </c>
      <c r="CD242">
        <f ca="1"/>
      </c>
      <c r="CE242">
        <f ca="1"/>
      </c>
      <c r="CF242">
        <f ca="1"/>
      </c>
      <c r="CG242">
        <f ca="1"/>
      </c>
      <c r="CH242">
        <f ca="1"/>
      </c>
      <c r="CI242">
        <f ca="1"/>
      </c>
      <c r="CK242">
        <f ca="1"/>
      </c>
      <c r="CL242">
        <f ca="1"/>
      </c>
      <c r="CM242">
        <f ca="1"/>
      </c>
      <c r="CN242">
        <f ca="1"/>
      </c>
      <c r="CO242">
        <f ca="1"/>
      </c>
      <c r="CP242">
        <f ca="1"/>
      </c>
      <c r="CQ242">
        <f ca="1"/>
      </c>
      <c r="CR242">
        <f ca="1"/>
      </c>
      <c r="CS242">
        <f ca="1"/>
      </c>
      <c r="CT242">
        <f ca="1"/>
      </c>
      <c r="CU242">
        <f ca="1"/>
      </c>
      <c r="CV242">
        <f ca="1"/>
      </c>
      <c r="CW242">
        <f ca="1"/>
      </c>
      <c r="CX242">
        <f ca="1"/>
      </c>
      <c r="CY242">
        <f ca="1"/>
      </c>
      <c r="CZ242">
        <f ca="1"/>
      </c>
      <c r="DA242">
        <f ca="1"/>
      </c>
      <c r="DB242">
        <f ca="1"/>
      </c>
      <c r="DC242">
        <f ca="1"/>
      </c>
      <c r="DD242">
        <f ca="1"/>
      </c>
      <c r="DE242">
        <f ca="1"/>
      </c>
      <c r="DF242">
        <f ca="1"/>
      </c>
      <c r="DG242">
        <f ca="1"/>
      </c>
      <c r="DH242">
        <f ca="1"/>
      </c>
      <c r="DI242">
        <f ca="1"/>
      </c>
      <c r="DJ242">
        <f ca="1"/>
      </c>
      <c r="DK242">
        <f ca="1"/>
      </c>
      <c r="DL242">
        <f ca="1"/>
      </c>
      <c r="DM242">
        <f ca="1"/>
      </c>
      <c r="DN242">
        <f ca="1"/>
      </c>
      <c r="DO242">
        <f ca="1"/>
      </c>
      <c r="DP242">
        <f ca="1"/>
      </c>
      <c r="DQ242">
        <f ca="1"/>
      </c>
      <c r="DR242">
        <f ca="1"/>
      </c>
      <c r="DS242">
        <f ca="1"/>
      </c>
      <c r="DT242">
        <f ca="1"/>
      </c>
      <c r="DU242">
        <f ca="1"/>
      </c>
      <c r="DV242">
        <f ca="1"/>
      </c>
      <c r="DW242">
        <f ca="1"/>
      </c>
      <c r="DX242">
        <f ca="1"/>
      </c>
      <c r="DY242">
        <f ca="1"/>
      </c>
      <c r="DZ242">
        <f ca="1"/>
      </c>
      <c r="EA242">
        <f ca="1"/>
      </c>
      <c r="EB242">
        <f ca="1"/>
      </c>
      <c r="EC242">
        <f ca="1"/>
      </c>
      <c r="ED242">
        <f ca="1"/>
      </c>
      <c r="EE242">
        <f ca="1"/>
      </c>
      <c r="EG242">
        <f ca="1"/>
      </c>
      <c r="EH242">
        <f ca="1"/>
      </c>
      <c r="EI242">
        <f ca="1"/>
      </c>
      <c r="EJ242">
        <f ca="1"/>
      </c>
      <c r="EK242">
        <f ca="1"/>
      </c>
      <c r="EL242">
        <f ca="1"/>
      </c>
      <c r="EM242">
        <f ca="1"/>
      </c>
      <c r="EN242">
        <f ca="1"/>
      </c>
      <c r="EO242">
        <f ca="1"/>
      </c>
      <c r="EP242">
        <f ca="1"/>
      </c>
      <c r="EQ242">
        <f ca="1"/>
      </c>
      <c r="ER242">
        <f ca="1"/>
      </c>
      <c r="ES242">
        <f ca="1"/>
      </c>
      <c r="ET242">
        <f ca="1"/>
      </c>
      <c r="EU242">
        <f ca="1"/>
      </c>
      <c r="EV242">
        <f ca="1"/>
      </c>
      <c r="EW242">
        <f ca="1"/>
      </c>
      <c r="EX242">
        <f ca="1"/>
      </c>
      <c r="EY242">
        <f ca="1"/>
      </c>
      <c r="EZ242">
        <f ca="1"/>
      </c>
      <c r="FA242">
        <f ca="1"/>
      </c>
      <c r="FB242">
        <f ca="1"/>
      </c>
      <c r="FC242">
        <f ca="1"/>
      </c>
      <c r="FD242">
        <f ca="1"/>
      </c>
      <c r="FE242">
        <f ca="1"/>
      </c>
      <c r="FF242">
        <f ca="1"/>
      </c>
      <c r="FG242">
        <f ca="1"/>
      </c>
      <c r="FH242">
        <f ca="1"/>
      </c>
      <c r="FI242">
        <f ca="1"/>
      </c>
      <c r="FJ242">
        <f ca="1"/>
      </c>
      <c r="FK242">
        <f ca="1"/>
      </c>
      <c r="FL242">
        <f ca="1"/>
      </c>
      <c r="FM242">
        <f ca="1"/>
      </c>
      <c r="FN242">
        <f ca="1"/>
      </c>
      <c r="FO242">
        <f ca="1"/>
      </c>
      <c r="FP242">
        <f ca="1"/>
      </c>
      <c r="FQ242">
        <f ca="1"/>
      </c>
      <c r="FR242">
        <f ca="1"/>
      </c>
      <c r="FS242">
        <f ca="1"/>
      </c>
      <c r="FT242">
        <f ca="1"/>
      </c>
      <c r="FU242">
        <f ca="1"/>
      </c>
      <c r="FV242">
        <f ca="1"/>
      </c>
      <c r="FW242">
        <f ca="1"/>
      </c>
      <c r="FX242">
        <f ca="1"/>
      </c>
      <c r="FY242">
        <f ca="1"/>
      </c>
      <c r="FZ242">
        <f ca="1"/>
      </c>
      <c r="GA242">
        <f ca="1"/>
      </c>
      <c r="GM242" s="7">
        <f ca="1"/>
      </c>
      <c r="GN242">
        <f ca="1"/>
      </c>
      <c r="GO242">
        <f ca="1"/>
      </c>
      <c r="GP242">
        <f ca="1"/>
      </c>
      <c r="GQ242">
        <f ca="1"/>
      </c>
    </row>
    <row r="243" spans="41:199" x14ac:dyDescent="0.55000000000000004">
      <c r="AO243">
        <f ca="1"/>
      </c>
      <c r="AP243">
        <f ca="1"/>
      </c>
      <c r="AQ243">
        <f ca="1"/>
      </c>
      <c r="AR243">
        <f ca="1"/>
      </c>
      <c r="AS243">
        <f ca="1"/>
      </c>
      <c r="AT243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AZ243">
        <f ca="1"/>
      </c>
      <c r="BA243">
        <f ca="1"/>
      </c>
      <c r="BB243">
        <f ca="1"/>
      </c>
      <c r="BC243">
        <f ca="1"/>
      </c>
      <c r="BD243">
        <f ca="1"/>
      </c>
      <c r="BE243">
        <f ca="1"/>
      </c>
      <c r="BF243">
        <f ca="1"/>
      </c>
      <c r="BG243">
        <f ca="1"/>
      </c>
      <c r="BH243">
        <f ca="1"/>
      </c>
      <c r="BI243">
        <f ca="1"/>
      </c>
      <c r="BJ243">
        <f ca="1"/>
      </c>
      <c r="BK243">
        <f ca="1"/>
      </c>
      <c r="BL243">
        <f ca="1"/>
      </c>
      <c r="BM243">
        <f ca="1"/>
      </c>
      <c r="BN243">
        <f ca="1"/>
      </c>
      <c r="BO243">
        <f ca="1"/>
      </c>
      <c r="BP243">
        <f ca="1"/>
      </c>
      <c r="BQ243">
        <f ca="1"/>
      </c>
      <c r="BR243">
        <f ca="1"/>
      </c>
      <c r="BS243">
        <f ca="1"/>
      </c>
      <c r="BT243">
        <f ca="1"/>
      </c>
      <c r="BU243">
        <f ca="1"/>
      </c>
      <c r="BV243">
        <f ca="1"/>
      </c>
      <c r="BW243">
        <f ca="1"/>
      </c>
      <c r="BX243">
        <f ca="1"/>
      </c>
      <c r="BY243">
        <f ca="1"/>
      </c>
      <c r="BZ243">
        <f ca="1"/>
      </c>
      <c r="CA243">
        <f ca="1"/>
      </c>
      <c r="CB243">
        <f ca="1"/>
      </c>
      <c r="CC243">
        <f ca="1"/>
      </c>
      <c r="CD243">
        <f ca="1"/>
      </c>
      <c r="CE243">
        <f ca="1"/>
      </c>
      <c r="CF243">
        <f ca="1"/>
      </c>
      <c r="CG243">
        <f ca="1"/>
      </c>
      <c r="CH243">
        <f ca="1"/>
      </c>
      <c r="CI243">
        <f ca="1"/>
      </c>
      <c r="CK243">
        <f ca="1"/>
      </c>
      <c r="CL243">
        <f ca="1"/>
      </c>
      <c r="CM243">
        <f ca="1"/>
      </c>
      <c r="CN243">
        <f ca="1"/>
      </c>
      <c r="CO243">
        <f ca="1"/>
      </c>
      <c r="CP243">
        <f ca="1"/>
      </c>
      <c r="CQ243">
        <f ca="1"/>
      </c>
      <c r="CR243">
        <f ca="1"/>
      </c>
      <c r="CS243">
        <f ca="1"/>
      </c>
      <c r="CT243">
        <f ca="1"/>
      </c>
      <c r="CU243">
        <f ca="1"/>
      </c>
      <c r="CV243">
        <f ca="1"/>
      </c>
      <c r="CW243">
        <f ca="1"/>
      </c>
      <c r="CX243">
        <f ca="1"/>
      </c>
      <c r="CY243">
        <f ca="1"/>
      </c>
      <c r="CZ243">
        <f ca="1"/>
      </c>
      <c r="DA243">
        <f ca="1"/>
      </c>
      <c r="DB243">
        <f ca="1"/>
      </c>
      <c r="DC243">
        <f ca="1"/>
      </c>
      <c r="DD243">
        <f ca="1"/>
      </c>
      <c r="DE243">
        <f ca="1"/>
      </c>
      <c r="DF243">
        <f ca="1"/>
      </c>
      <c r="DG243">
        <f ca="1"/>
      </c>
      <c r="DH243">
        <f ca="1"/>
      </c>
      <c r="DI243">
        <f ca="1"/>
      </c>
      <c r="DJ243">
        <f ca="1"/>
      </c>
      <c r="DK243">
        <f ca="1"/>
      </c>
      <c r="DL243">
        <f ca="1"/>
      </c>
      <c r="DM243">
        <f ca="1"/>
      </c>
      <c r="DN243">
        <f ca="1"/>
      </c>
      <c r="DO243">
        <f ca="1"/>
      </c>
      <c r="DP243">
        <f ca="1"/>
      </c>
      <c r="DQ243">
        <f ca="1"/>
      </c>
      <c r="DR243">
        <f ca="1"/>
      </c>
      <c r="DS243">
        <f ca="1"/>
      </c>
      <c r="DT243">
        <f ca="1"/>
      </c>
      <c r="DU243">
        <f ca="1"/>
      </c>
      <c r="DV243">
        <f ca="1"/>
      </c>
      <c r="DW243">
        <f ca="1"/>
      </c>
      <c r="DX243">
        <f ca="1"/>
      </c>
      <c r="DY243">
        <f ca="1"/>
      </c>
      <c r="DZ243">
        <f ca="1"/>
      </c>
      <c r="EA243">
        <f ca="1"/>
      </c>
      <c r="EB243">
        <f ca="1"/>
      </c>
      <c r="EC243">
        <f ca="1"/>
      </c>
      <c r="ED243">
        <f ca="1"/>
      </c>
      <c r="EE243">
        <f ca="1"/>
      </c>
      <c r="EG243">
        <f ca="1"/>
      </c>
      <c r="EH243">
        <f ca="1"/>
      </c>
      <c r="EI243">
        <f ca="1"/>
      </c>
      <c r="EJ243">
        <f ca="1"/>
      </c>
      <c r="EK243">
        <f ca="1"/>
      </c>
      <c r="EL243">
        <f ca="1"/>
      </c>
      <c r="EM243">
        <f ca="1"/>
      </c>
      <c r="EN243">
        <f ca="1"/>
      </c>
      <c r="EO243">
        <f ca="1"/>
      </c>
      <c r="EP243">
        <f ca="1"/>
      </c>
      <c r="EQ243">
        <f ca="1"/>
      </c>
      <c r="ER243">
        <f ca="1"/>
      </c>
      <c r="ES243">
        <f ca="1"/>
      </c>
      <c r="ET243">
        <f ca="1"/>
      </c>
      <c r="EU243">
        <f ca="1"/>
      </c>
      <c r="EV243">
        <f ca="1"/>
      </c>
      <c r="EW243">
        <f ca="1"/>
      </c>
      <c r="EX243">
        <f ca="1"/>
      </c>
      <c r="EY243">
        <f ca="1"/>
      </c>
      <c r="EZ243">
        <f ca="1"/>
      </c>
      <c r="FA243">
        <f ca="1"/>
      </c>
      <c r="FB243">
        <f ca="1"/>
      </c>
      <c r="FC243">
        <f ca="1"/>
      </c>
      <c r="FD243">
        <f ca="1"/>
      </c>
      <c r="FE243">
        <f ca="1"/>
      </c>
      <c r="FF243">
        <f ca="1"/>
      </c>
      <c r="FG243">
        <f ca="1"/>
      </c>
      <c r="FH243">
        <f ca="1"/>
      </c>
      <c r="FI243">
        <f ca="1"/>
      </c>
      <c r="FJ243">
        <f ca="1"/>
      </c>
      <c r="FK243">
        <f ca="1"/>
      </c>
      <c r="FL243">
        <f ca="1"/>
      </c>
      <c r="FM243">
        <f ca="1"/>
      </c>
      <c r="FN243">
        <f ca="1"/>
      </c>
      <c r="FO243">
        <f ca="1"/>
      </c>
      <c r="FP243">
        <f ca="1"/>
      </c>
      <c r="FQ243">
        <f ca="1"/>
      </c>
      <c r="FR243">
        <f ca="1"/>
      </c>
      <c r="FS243">
        <f ca="1"/>
      </c>
      <c r="FT243">
        <f ca="1"/>
      </c>
      <c r="FU243">
        <f ca="1"/>
      </c>
      <c r="FV243">
        <f ca="1"/>
      </c>
      <c r="FW243">
        <f ca="1"/>
      </c>
      <c r="FX243">
        <f ca="1"/>
      </c>
      <c r="FY243">
        <f ca="1"/>
      </c>
      <c r="FZ243">
        <f ca="1"/>
      </c>
      <c r="GA243">
        <f ca="1"/>
      </c>
      <c r="GM243" s="7">
        <f ca="1"/>
      </c>
      <c r="GN243">
        <f ca="1"/>
      </c>
      <c r="GO243">
        <f ca="1"/>
      </c>
      <c r="GP243">
        <f ca="1"/>
      </c>
      <c r="GQ243">
        <f ca="1"/>
      </c>
    </row>
    <row r="244" spans="41:199" x14ac:dyDescent="0.55000000000000004">
      <c r="AO244">
        <f ca="1"/>
      </c>
      <c r="AP244">
        <f ca="1"/>
      </c>
      <c r="AQ244">
        <f ca="1"/>
      </c>
      <c r="AR244">
        <f ca="1"/>
      </c>
      <c r="AS244">
        <f ca="1"/>
      </c>
      <c r="AT244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AZ244">
        <f ca="1"/>
      </c>
      <c r="BA244">
        <f ca="1"/>
      </c>
      <c r="BB244">
        <f ca="1"/>
      </c>
      <c r="BC244">
        <f ca="1"/>
      </c>
      <c r="BD244">
        <f ca="1"/>
      </c>
      <c r="BE244">
        <f ca="1"/>
      </c>
      <c r="BF244">
        <f ca="1"/>
      </c>
      <c r="BG244">
        <f ca="1"/>
      </c>
      <c r="BH244">
        <f ca="1"/>
      </c>
      <c r="BI244">
        <f ca="1"/>
      </c>
      <c r="BJ244">
        <f ca="1"/>
      </c>
      <c r="BK244">
        <f ca="1"/>
      </c>
      <c r="BL244">
        <f ca="1"/>
      </c>
      <c r="BM244">
        <f ca="1"/>
      </c>
      <c r="BN244">
        <f ca="1"/>
      </c>
      <c r="BO244">
        <f ca="1"/>
      </c>
      <c r="BP244">
        <f ca="1"/>
      </c>
      <c r="BQ244">
        <f ca="1"/>
      </c>
      <c r="BR244">
        <f ca="1"/>
      </c>
      <c r="BS244">
        <f ca="1"/>
      </c>
      <c r="BT244">
        <f ca="1"/>
      </c>
      <c r="BU244">
        <f ca="1"/>
      </c>
      <c r="BV244">
        <f ca="1"/>
      </c>
      <c r="BW244">
        <f ca="1"/>
      </c>
      <c r="BX244">
        <f ca="1"/>
      </c>
      <c r="BY244">
        <f ca="1"/>
      </c>
      <c r="BZ244">
        <f ca="1"/>
      </c>
      <c r="CA244">
        <f ca="1"/>
      </c>
      <c r="CB244">
        <f ca="1"/>
      </c>
      <c r="CC244">
        <f ca="1"/>
      </c>
      <c r="CD244">
        <f ca="1"/>
      </c>
      <c r="CE244">
        <f ca="1"/>
      </c>
      <c r="CF244">
        <f ca="1"/>
      </c>
      <c r="CG244">
        <f ca="1"/>
      </c>
      <c r="CH244">
        <f ca="1"/>
      </c>
      <c r="CI244">
        <f ca="1"/>
      </c>
      <c r="CK244">
        <f ca="1"/>
      </c>
      <c r="CL244">
        <f ca="1"/>
      </c>
      <c r="CM244">
        <f ca="1"/>
      </c>
      <c r="CN244">
        <f ca="1"/>
      </c>
      <c r="CO244">
        <f ca="1"/>
      </c>
      <c r="CP244">
        <f ca="1"/>
      </c>
      <c r="CQ244">
        <f ca="1"/>
      </c>
      <c r="CR244">
        <f ca="1"/>
      </c>
      <c r="CS244">
        <f ca="1"/>
      </c>
      <c r="CT244">
        <f ca="1"/>
      </c>
      <c r="CU244">
        <f ca="1"/>
      </c>
      <c r="CV244">
        <f ca="1"/>
      </c>
      <c r="CW244">
        <f ca="1"/>
      </c>
      <c r="CX244">
        <f ca="1"/>
      </c>
      <c r="CY244">
        <f ca="1"/>
      </c>
      <c r="CZ244">
        <f ca="1"/>
      </c>
      <c r="DA244">
        <f ca="1"/>
      </c>
      <c r="DB244">
        <f ca="1"/>
      </c>
      <c r="DC244">
        <f ca="1"/>
      </c>
      <c r="DD244">
        <f ca="1"/>
      </c>
      <c r="DE244">
        <f ca="1"/>
      </c>
      <c r="DF244">
        <f ca="1"/>
      </c>
      <c r="DG244">
        <f ca="1"/>
      </c>
      <c r="DH244">
        <f ca="1"/>
      </c>
      <c r="DI244">
        <f ca="1"/>
      </c>
      <c r="DJ244">
        <f ca="1"/>
      </c>
      <c r="DK244">
        <f ca="1"/>
      </c>
      <c r="DL244">
        <f ca="1"/>
      </c>
      <c r="DM244">
        <f ca="1"/>
      </c>
      <c r="DN244">
        <f ca="1"/>
      </c>
      <c r="DO244">
        <f ca="1"/>
      </c>
      <c r="DP244">
        <f ca="1"/>
      </c>
      <c r="DQ244">
        <f ca="1"/>
      </c>
      <c r="DR244">
        <f ca="1"/>
      </c>
      <c r="DS244">
        <f ca="1"/>
      </c>
      <c r="DT244">
        <f ca="1"/>
      </c>
      <c r="DU244">
        <f ca="1"/>
      </c>
      <c r="DV244">
        <f ca="1"/>
      </c>
      <c r="DW244">
        <f ca="1"/>
      </c>
      <c r="DX244">
        <f ca="1"/>
      </c>
      <c r="DY244">
        <f ca="1"/>
      </c>
      <c r="DZ244">
        <f ca="1"/>
      </c>
      <c r="EA244">
        <f ca="1"/>
      </c>
      <c r="EB244">
        <f ca="1"/>
      </c>
      <c r="EC244">
        <f ca="1"/>
      </c>
      <c r="ED244">
        <f ca="1"/>
      </c>
      <c r="EE244">
        <f ca="1"/>
      </c>
      <c r="EG244">
        <f ca="1"/>
      </c>
      <c r="EH244">
        <f ca="1"/>
      </c>
      <c r="EI244">
        <f ca="1"/>
      </c>
      <c r="EJ244">
        <f ca="1"/>
      </c>
      <c r="EK244">
        <f ca="1"/>
      </c>
      <c r="EL244">
        <f ca="1"/>
      </c>
      <c r="EM244">
        <f ca="1"/>
      </c>
      <c r="EN244">
        <f ca="1"/>
      </c>
      <c r="EO244">
        <f ca="1"/>
      </c>
      <c r="EP244">
        <f ca="1"/>
      </c>
      <c r="EQ244">
        <f ca="1"/>
      </c>
      <c r="ER244">
        <f ca="1"/>
      </c>
      <c r="ES244">
        <f ca="1"/>
      </c>
      <c r="ET244">
        <f ca="1"/>
      </c>
      <c r="EU244">
        <f ca="1"/>
      </c>
      <c r="EV244">
        <f ca="1"/>
      </c>
      <c r="EW244">
        <f ca="1"/>
      </c>
      <c r="EX244">
        <f ca="1"/>
      </c>
      <c r="EY244">
        <f ca="1"/>
      </c>
      <c r="EZ244">
        <f ca="1"/>
      </c>
      <c r="FA244">
        <f ca="1"/>
      </c>
      <c r="FB244">
        <f ca="1"/>
      </c>
      <c r="FC244">
        <f ca="1"/>
      </c>
      <c r="FD244">
        <f ca="1"/>
      </c>
      <c r="FE244">
        <f ca="1"/>
      </c>
      <c r="FF244">
        <f ca="1"/>
      </c>
      <c r="FG244">
        <f ca="1"/>
      </c>
      <c r="FH244">
        <f ca="1"/>
      </c>
      <c r="FI244">
        <f ca="1"/>
      </c>
      <c r="FJ244">
        <f ca="1"/>
      </c>
      <c r="FK244">
        <f ca="1"/>
      </c>
      <c r="FL244">
        <f ca="1"/>
      </c>
      <c r="FM244">
        <f ca="1"/>
      </c>
      <c r="FN244">
        <f ca="1"/>
      </c>
      <c r="FO244">
        <f ca="1"/>
      </c>
      <c r="FP244">
        <f ca="1"/>
      </c>
      <c r="FQ244">
        <f ca="1"/>
      </c>
      <c r="FR244">
        <f ca="1"/>
      </c>
      <c r="FS244">
        <f ca="1"/>
      </c>
      <c r="FT244">
        <f ca="1"/>
      </c>
      <c r="FU244">
        <f ca="1"/>
      </c>
      <c r="FV244">
        <f ca="1"/>
      </c>
      <c r="FW244">
        <f ca="1"/>
      </c>
      <c r="FX244">
        <f ca="1"/>
      </c>
      <c r="FY244">
        <f ca="1"/>
      </c>
      <c r="FZ244">
        <f ca="1"/>
      </c>
      <c r="GA244">
        <f ca="1"/>
      </c>
      <c r="GM244" s="7">
        <f ca="1"/>
      </c>
      <c r="GN244">
        <f ca="1"/>
      </c>
      <c r="GO244">
        <f ca="1"/>
      </c>
      <c r="GP244">
        <f ca="1"/>
      </c>
      <c r="GQ244">
        <f ca="1"/>
      </c>
    </row>
    <row r="245" spans="41:199" x14ac:dyDescent="0.55000000000000004">
      <c r="AO245">
        <f ca="1"/>
      </c>
      <c r="AP245">
        <f ca="1"/>
      </c>
      <c r="AQ245">
        <f ca="1"/>
      </c>
      <c r="AR245">
        <f ca="1"/>
      </c>
      <c r="AS245">
        <f ca="1"/>
      </c>
      <c r="AT245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AZ245">
        <f ca="1"/>
      </c>
      <c r="BA245">
        <f ca="1"/>
      </c>
      <c r="BB245">
        <f ca="1"/>
      </c>
      <c r="BC245">
        <f ca="1"/>
      </c>
      <c r="BD245">
        <f ca="1"/>
      </c>
      <c r="BE245">
        <f ca="1"/>
      </c>
      <c r="BF245">
        <f ca="1"/>
      </c>
      <c r="BG245">
        <f ca="1"/>
      </c>
      <c r="BH245">
        <f ca="1"/>
      </c>
      <c r="BI245">
        <f ca="1"/>
      </c>
      <c r="BJ245">
        <f ca="1"/>
      </c>
      <c r="BK245">
        <f ca="1"/>
      </c>
      <c r="BL245">
        <f ca="1"/>
      </c>
      <c r="BM245">
        <f ca="1"/>
      </c>
      <c r="BN245">
        <f ca="1"/>
      </c>
      <c r="BO245">
        <f ca="1"/>
      </c>
      <c r="BP245">
        <f ca="1"/>
      </c>
      <c r="BQ245">
        <f ca="1"/>
      </c>
      <c r="BR245">
        <f ca="1"/>
      </c>
      <c r="BS245">
        <f ca="1"/>
      </c>
      <c r="BT245">
        <f ca="1"/>
      </c>
      <c r="BU245">
        <f ca="1"/>
      </c>
      <c r="BV245">
        <f ca="1"/>
      </c>
      <c r="BW245">
        <f ca="1"/>
      </c>
      <c r="BX245">
        <f ca="1"/>
      </c>
      <c r="BY245">
        <f ca="1"/>
      </c>
      <c r="BZ245">
        <f ca="1"/>
      </c>
      <c r="CA245">
        <f ca="1"/>
      </c>
      <c r="CB245">
        <f ca="1"/>
      </c>
      <c r="CC245">
        <f ca="1"/>
      </c>
      <c r="CD245">
        <f ca="1"/>
      </c>
      <c r="CE245">
        <f ca="1"/>
      </c>
      <c r="CF245">
        <f ca="1"/>
      </c>
      <c r="CG245">
        <f ca="1"/>
      </c>
      <c r="CH245">
        <f ca="1"/>
      </c>
      <c r="CI245">
        <f ca="1"/>
      </c>
      <c r="CK245">
        <f ca="1"/>
      </c>
      <c r="CL245">
        <f ca="1"/>
      </c>
      <c r="CM245">
        <f ca="1"/>
      </c>
      <c r="CN245">
        <f ca="1"/>
      </c>
      <c r="CO245">
        <f ca="1"/>
      </c>
      <c r="CP245">
        <f ca="1"/>
      </c>
      <c r="CQ245">
        <f ca="1"/>
      </c>
      <c r="CR245">
        <f ca="1"/>
      </c>
      <c r="CS245">
        <f ca="1"/>
      </c>
      <c r="CT245">
        <f ca="1"/>
      </c>
      <c r="CU245">
        <f ca="1"/>
      </c>
      <c r="CV245">
        <f ca="1"/>
      </c>
      <c r="CW245">
        <f ca="1"/>
      </c>
      <c r="CX245">
        <f ca="1"/>
      </c>
      <c r="CY245">
        <f ca="1"/>
      </c>
      <c r="CZ245">
        <f ca="1"/>
      </c>
      <c r="DA245">
        <f ca="1"/>
      </c>
      <c r="DB245">
        <f ca="1"/>
      </c>
      <c r="DC245">
        <f ca="1"/>
      </c>
      <c r="DD245">
        <f ca="1"/>
      </c>
      <c r="DE245">
        <f ca="1"/>
      </c>
      <c r="DF245">
        <f ca="1"/>
      </c>
      <c r="DG245">
        <f ca="1"/>
      </c>
      <c r="DH245">
        <f ca="1"/>
      </c>
      <c r="DI245">
        <f ca="1"/>
      </c>
      <c r="DJ245">
        <f ca="1"/>
      </c>
      <c r="DK245">
        <f ca="1"/>
      </c>
      <c r="DL245">
        <f ca="1"/>
      </c>
      <c r="DM245">
        <f ca="1"/>
      </c>
      <c r="DN245">
        <f ca="1"/>
      </c>
      <c r="DO245">
        <f ca="1"/>
      </c>
      <c r="DP245">
        <f ca="1"/>
      </c>
      <c r="DQ245">
        <f ca="1"/>
      </c>
      <c r="DR245">
        <f ca="1"/>
      </c>
      <c r="DS245">
        <f ca="1"/>
      </c>
      <c r="DT245">
        <f ca="1"/>
      </c>
      <c r="DU245">
        <f ca="1"/>
      </c>
      <c r="DV245">
        <f ca="1"/>
      </c>
      <c r="DW245">
        <f ca="1"/>
      </c>
      <c r="DX245">
        <f ca="1"/>
      </c>
      <c r="DY245">
        <f ca="1"/>
      </c>
      <c r="DZ245">
        <f ca="1"/>
      </c>
      <c r="EA245">
        <f ca="1"/>
      </c>
      <c r="EB245">
        <f ca="1"/>
      </c>
      <c r="EC245">
        <f ca="1"/>
      </c>
      <c r="ED245">
        <f ca="1"/>
      </c>
      <c r="EE245">
        <f ca="1"/>
      </c>
      <c r="EG245">
        <f ca="1"/>
      </c>
      <c r="EH245">
        <f ca="1"/>
      </c>
      <c r="EI245">
        <f ca="1"/>
      </c>
      <c r="EJ245">
        <f ca="1"/>
      </c>
      <c r="EK245">
        <f ca="1"/>
      </c>
      <c r="EL245">
        <f ca="1"/>
      </c>
      <c r="EM245">
        <f ca="1"/>
      </c>
      <c r="EN245">
        <f ca="1"/>
      </c>
      <c r="EO245">
        <f ca="1"/>
      </c>
      <c r="EP245">
        <f ca="1"/>
      </c>
      <c r="EQ245">
        <f ca="1"/>
      </c>
      <c r="ER245">
        <f ca="1"/>
      </c>
      <c r="ES245">
        <f ca="1"/>
      </c>
      <c r="ET245">
        <f ca="1"/>
      </c>
      <c r="EU245">
        <f ca="1"/>
      </c>
      <c r="EV245">
        <f ca="1"/>
      </c>
      <c r="EW245">
        <f ca="1"/>
      </c>
      <c r="EX245">
        <f ca="1"/>
      </c>
      <c r="EY245">
        <f ca="1"/>
      </c>
      <c r="EZ245">
        <f ca="1"/>
      </c>
      <c r="FA245">
        <f ca="1"/>
      </c>
      <c r="FB245">
        <f ca="1"/>
      </c>
      <c r="FC245">
        <f ca="1"/>
      </c>
      <c r="FD245">
        <f ca="1"/>
      </c>
      <c r="FE245">
        <f ca="1"/>
      </c>
      <c r="FF245">
        <f ca="1"/>
      </c>
      <c r="FG245">
        <f ca="1"/>
      </c>
      <c r="FH245">
        <f ca="1"/>
      </c>
      <c r="FI245">
        <f ca="1"/>
      </c>
      <c r="FJ245">
        <f ca="1"/>
      </c>
      <c r="FK245">
        <f ca="1"/>
      </c>
      <c r="FL245">
        <f ca="1"/>
      </c>
      <c r="FM245">
        <f ca="1"/>
      </c>
      <c r="FN245">
        <f ca="1"/>
      </c>
      <c r="FO245">
        <f ca="1"/>
      </c>
      <c r="FP245">
        <f ca="1"/>
      </c>
      <c r="FQ245">
        <f ca="1"/>
      </c>
      <c r="FR245">
        <f ca="1"/>
      </c>
      <c r="FS245">
        <f ca="1"/>
      </c>
      <c r="FT245">
        <f ca="1"/>
      </c>
      <c r="FU245">
        <f ca="1"/>
      </c>
      <c r="FV245">
        <f ca="1"/>
      </c>
      <c r="FW245">
        <f ca="1"/>
      </c>
      <c r="FX245">
        <f ca="1"/>
      </c>
      <c r="FY245">
        <f ca="1"/>
      </c>
      <c r="FZ245">
        <f ca="1"/>
      </c>
      <c r="GA245">
        <f ca="1"/>
      </c>
      <c r="GM245" s="7"/>
    </row>
    <row r="246" spans="41:199" x14ac:dyDescent="0.55000000000000004">
      <c r="AO246">
        <f ca="1"/>
      </c>
      <c r="AP246">
        <f ca="1"/>
      </c>
      <c r="AQ246">
        <f ca="1"/>
      </c>
      <c r="AR246">
        <f ca="1"/>
      </c>
      <c r="AS246">
        <f ca="1"/>
      </c>
      <c r="AT246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AZ246">
        <f ca="1"/>
      </c>
      <c r="BA246">
        <f ca="1"/>
      </c>
      <c r="BB246">
        <f ca="1"/>
      </c>
      <c r="BC246">
        <f ca="1"/>
      </c>
      <c r="BD246">
        <f ca="1"/>
      </c>
      <c r="BE246">
        <f ca="1"/>
      </c>
      <c r="BF246">
        <f ca="1"/>
      </c>
      <c r="BG246">
        <f ca="1"/>
      </c>
      <c r="BH246">
        <f ca="1"/>
      </c>
      <c r="BI246">
        <f ca="1"/>
      </c>
      <c r="BJ246">
        <f ca="1"/>
      </c>
      <c r="BK246">
        <f ca="1"/>
      </c>
      <c r="BL246">
        <f ca="1"/>
      </c>
      <c r="BM246">
        <f ca="1"/>
      </c>
      <c r="BN246">
        <f ca="1"/>
      </c>
      <c r="BO246">
        <f ca="1"/>
      </c>
      <c r="BP246">
        <f ca="1"/>
      </c>
      <c r="BQ246">
        <f ca="1"/>
      </c>
      <c r="BR246">
        <f ca="1"/>
      </c>
      <c r="BS246">
        <f ca="1"/>
      </c>
      <c r="BT246">
        <f ca="1"/>
      </c>
      <c r="BU246">
        <f ca="1"/>
      </c>
      <c r="BV246">
        <f ca="1"/>
      </c>
      <c r="BW246">
        <f ca="1"/>
      </c>
      <c r="BX246">
        <f ca="1"/>
      </c>
      <c r="BY246">
        <f ca="1"/>
      </c>
      <c r="BZ246">
        <f ca="1"/>
      </c>
      <c r="CA246">
        <f ca="1"/>
      </c>
      <c r="CB246">
        <f ca="1"/>
      </c>
      <c r="CC246">
        <f ca="1"/>
      </c>
      <c r="CD246">
        <f ca="1"/>
      </c>
      <c r="CE246">
        <f ca="1"/>
      </c>
      <c r="CF246">
        <f ca="1"/>
      </c>
      <c r="CG246">
        <f ca="1"/>
      </c>
      <c r="CH246">
        <f ca="1"/>
      </c>
      <c r="CI246">
        <f ca="1"/>
      </c>
      <c r="CK246">
        <f ca="1"/>
      </c>
      <c r="CL246">
        <f ca="1"/>
      </c>
      <c r="CM246">
        <f ca="1"/>
      </c>
      <c r="CN246">
        <f ca="1"/>
      </c>
      <c r="CO246">
        <f ca="1"/>
      </c>
      <c r="CP246">
        <f ca="1"/>
      </c>
      <c r="CQ246">
        <f ca="1"/>
      </c>
      <c r="CR246">
        <f ca="1"/>
      </c>
      <c r="CS246">
        <f ca="1"/>
      </c>
      <c r="CT246">
        <f ca="1"/>
      </c>
      <c r="CU246">
        <f ca="1"/>
      </c>
      <c r="CV246">
        <f ca="1"/>
      </c>
      <c r="CW246">
        <f ca="1"/>
      </c>
      <c r="CX246">
        <f ca="1"/>
      </c>
      <c r="CY246">
        <f ca="1"/>
      </c>
      <c r="CZ246">
        <f ca="1"/>
      </c>
      <c r="DA246">
        <f ca="1"/>
      </c>
      <c r="DB246">
        <f ca="1"/>
      </c>
      <c r="DC246">
        <f ca="1"/>
      </c>
      <c r="DD246">
        <f ca="1"/>
      </c>
      <c r="DE246">
        <f ca="1"/>
      </c>
      <c r="DF246">
        <f ca="1"/>
      </c>
      <c r="DG246">
        <f ca="1"/>
      </c>
      <c r="DH246">
        <f ca="1"/>
      </c>
      <c r="DI246">
        <f ca="1"/>
      </c>
      <c r="DJ246">
        <f ca="1"/>
      </c>
      <c r="DK246">
        <f ca="1"/>
      </c>
      <c r="DL246">
        <f ca="1"/>
      </c>
      <c r="DM246">
        <f ca="1"/>
      </c>
      <c r="DN246">
        <f ca="1"/>
      </c>
      <c r="DO246">
        <f ca="1"/>
      </c>
      <c r="DP246">
        <f ca="1"/>
      </c>
      <c r="DQ246">
        <f ca="1"/>
      </c>
      <c r="DR246">
        <f ca="1"/>
      </c>
      <c r="DS246">
        <f ca="1"/>
      </c>
      <c r="DT246">
        <f ca="1"/>
      </c>
      <c r="DU246">
        <f ca="1"/>
      </c>
      <c r="DV246">
        <f ca="1"/>
      </c>
      <c r="DW246">
        <f ca="1"/>
      </c>
      <c r="DX246">
        <f ca="1"/>
      </c>
      <c r="DY246">
        <f ca="1"/>
      </c>
      <c r="DZ246">
        <f ca="1"/>
      </c>
      <c r="EA246">
        <f ca="1"/>
      </c>
      <c r="EB246">
        <f ca="1"/>
      </c>
      <c r="EC246">
        <f ca="1"/>
      </c>
      <c r="ED246">
        <f ca="1"/>
      </c>
      <c r="EE246">
        <f ca="1"/>
      </c>
      <c r="EG246">
        <f ca="1"/>
      </c>
      <c r="EH246">
        <f ca="1"/>
      </c>
      <c r="EI246">
        <f ca="1"/>
      </c>
      <c r="EJ246">
        <f ca="1"/>
      </c>
      <c r="EK246">
        <f ca="1"/>
      </c>
      <c r="EL246">
        <f ca="1"/>
      </c>
      <c r="EM246">
        <f ca="1"/>
      </c>
      <c r="EN246">
        <f ca="1"/>
      </c>
      <c r="EO246">
        <f ca="1"/>
      </c>
      <c r="EP246">
        <f ca="1"/>
      </c>
      <c r="EQ246">
        <f ca="1"/>
      </c>
      <c r="ER246">
        <f ca="1"/>
      </c>
      <c r="ES246">
        <f ca="1"/>
      </c>
      <c r="ET246">
        <f ca="1"/>
      </c>
      <c r="EU246">
        <f ca="1"/>
      </c>
      <c r="EV246">
        <f ca="1"/>
      </c>
      <c r="EW246">
        <f ca="1"/>
      </c>
      <c r="EX246">
        <f ca="1"/>
      </c>
      <c r="EY246">
        <f ca="1"/>
      </c>
      <c r="EZ246">
        <f ca="1"/>
      </c>
      <c r="FA246">
        <f ca="1"/>
      </c>
      <c r="FB246">
        <f ca="1"/>
      </c>
      <c r="FC246">
        <f ca="1"/>
      </c>
      <c r="FD246">
        <f ca="1"/>
      </c>
      <c r="FE246">
        <f ca="1"/>
      </c>
      <c r="FF246">
        <f ca="1"/>
      </c>
      <c r="FG246">
        <f ca="1"/>
      </c>
      <c r="FH246">
        <f ca="1"/>
      </c>
      <c r="FI246">
        <f ca="1"/>
      </c>
      <c r="FJ246">
        <f ca="1"/>
      </c>
      <c r="FK246">
        <f ca="1"/>
      </c>
      <c r="FL246">
        <f ca="1"/>
      </c>
      <c r="FM246">
        <f ca="1"/>
      </c>
      <c r="FN246">
        <f ca="1"/>
      </c>
      <c r="FO246">
        <f ca="1"/>
      </c>
      <c r="FP246">
        <f ca="1"/>
      </c>
      <c r="FQ246">
        <f ca="1"/>
      </c>
      <c r="FR246">
        <f ca="1"/>
      </c>
      <c r="FS246">
        <f ca="1"/>
      </c>
      <c r="FT246">
        <f ca="1"/>
      </c>
      <c r="FU246">
        <f ca="1"/>
      </c>
      <c r="FV246">
        <f ca="1"/>
      </c>
      <c r="FW246">
        <f ca="1"/>
      </c>
      <c r="FX246">
        <f ca="1"/>
      </c>
      <c r="FY246">
        <f ca="1"/>
      </c>
      <c r="FZ246">
        <f ca="1"/>
      </c>
      <c r="GA246">
        <f ca="1"/>
      </c>
      <c r="GM246" s="7"/>
    </row>
    <row r="247" spans="41:199" x14ac:dyDescent="0.55000000000000004">
      <c r="AO247">
        <f ca="1"/>
      </c>
      <c r="AP247">
        <f ca="1"/>
      </c>
      <c r="AQ247">
        <f ca="1"/>
      </c>
      <c r="AR247">
        <f ca="1"/>
      </c>
      <c r="AS247">
        <f ca="1"/>
      </c>
      <c r="AT24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AZ247">
        <f ca="1"/>
      </c>
      <c r="BA247">
        <f ca="1"/>
      </c>
      <c r="BB247">
        <f ca="1"/>
      </c>
      <c r="BC247">
        <f ca="1"/>
      </c>
      <c r="BD247">
        <f ca="1"/>
      </c>
      <c r="BE247">
        <f ca="1"/>
      </c>
      <c r="BF247">
        <f ca="1"/>
      </c>
      <c r="BG247">
        <f ca="1"/>
      </c>
      <c r="BH247">
        <f ca="1"/>
      </c>
      <c r="BI247">
        <f ca="1"/>
      </c>
      <c r="BJ247">
        <f ca="1"/>
      </c>
      <c r="BK247">
        <f ca="1"/>
      </c>
      <c r="BL247">
        <f ca="1"/>
      </c>
      <c r="BM247">
        <f ca="1"/>
      </c>
      <c r="BN247">
        <f ca="1"/>
      </c>
      <c r="BO247">
        <f ca="1"/>
      </c>
      <c r="BP247">
        <f ca="1"/>
      </c>
      <c r="BQ247">
        <f ca="1"/>
      </c>
      <c r="BR247">
        <f ca="1"/>
      </c>
      <c r="BS247">
        <f ca="1"/>
      </c>
      <c r="BT247">
        <f ca="1"/>
      </c>
      <c r="BU247">
        <f ca="1"/>
      </c>
      <c r="BV247">
        <f ca="1"/>
      </c>
      <c r="BW247">
        <f ca="1"/>
      </c>
      <c r="BX247">
        <f ca="1"/>
      </c>
      <c r="BY247">
        <f ca="1"/>
      </c>
      <c r="BZ247">
        <f ca="1"/>
      </c>
      <c r="CA247">
        <f ca="1"/>
      </c>
      <c r="CB247">
        <f ca="1"/>
      </c>
      <c r="CC247">
        <f ca="1"/>
      </c>
      <c r="CD247">
        <f ca="1"/>
      </c>
      <c r="CE247">
        <f ca="1"/>
      </c>
      <c r="CF247">
        <f ca="1"/>
      </c>
      <c r="CG247">
        <f ca="1"/>
      </c>
      <c r="CH247">
        <f ca="1"/>
      </c>
      <c r="CI247">
        <f ca="1"/>
      </c>
      <c r="CK247">
        <f ca="1"/>
      </c>
      <c r="CL247">
        <f ca="1"/>
      </c>
      <c r="CM247">
        <f ca="1"/>
      </c>
      <c r="CN247">
        <f ca="1"/>
      </c>
      <c r="CO247">
        <f ca="1"/>
      </c>
      <c r="CP247">
        <f ca="1"/>
      </c>
      <c r="CQ247">
        <f ca="1"/>
      </c>
      <c r="CR247">
        <f ca="1"/>
      </c>
      <c r="CS247">
        <f ca="1"/>
      </c>
      <c r="CT247">
        <f ca="1"/>
      </c>
      <c r="CU247">
        <f ca="1"/>
      </c>
      <c r="CV247">
        <f ca="1"/>
      </c>
      <c r="CW247">
        <f ca="1"/>
      </c>
      <c r="CX247">
        <f ca="1"/>
      </c>
      <c r="CY247">
        <f ca="1"/>
      </c>
      <c r="CZ247">
        <f ca="1"/>
      </c>
      <c r="DA247">
        <f ca="1"/>
      </c>
      <c r="DB247">
        <f ca="1"/>
      </c>
      <c r="DC247">
        <f ca="1"/>
      </c>
      <c r="DD247">
        <f ca="1"/>
      </c>
      <c r="DE247">
        <f ca="1"/>
      </c>
      <c r="DF247">
        <f ca="1"/>
      </c>
      <c r="DG247">
        <f ca="1"/>
      </c>
      <c r="DH247">
        <f ca="1"/>
      </c>
      <c r="DI247">
        <f ca="1"/>
      </c>
      <c r="DJ247">
        <f ca="1"/>
      </c>
      <c r="DK247">
        <f ca="1"/>
      </c>
      <c r="DL247">
        <f ca="1"/>
      </c>
      <c r="DM247">
        <f ca="1"/>
      </c>
      <c r="DN247">
        <f ca="1"/>
      </c>
      <c r="DO247">
        <f ca="1"/>
      </c>
      <c r="DP247">
        <f ca="1"/>
      </c>
      <c r="DQ247">
        <f ca="1"/>
      </c>
      <c r="DR247">
        <f ca="1"/>
      </c>
      <c r="DS247">
        <f ca="1"/>
      </c>
      <c r="DT247">
        <f ca="1"/>
      </c>
      <c r="DU247">
        <f ca="1"/>
      </c>
      <c r="DV247">
        <f ca="1"/>
      </c>
      <c r="DW247">
        <f ca="1"/>
      </c>
      <c r="DX247">
        <f ca="1"/>
      </c>
      <c r="DY247">
        <f ca="1"/>
      </c>
      <c r="DZ247">
        <f ca="1"/>
      </c>
      <c r="EA247">
        <f ca="1"/>
      </c>
      <c r="EB247">
        <f ca="1"/>
      </c>
      <c r="EC247">
        <f ca="1"/>
      </c>
      <c r="ED247">
        <f ca="1"/>
      </c>
      <c r="EE247">
        <f ca="1"/>
      </c>
      <c r="EG247">
        <f ca="1"/>
      </c>
      <c r="EH247">
        <f ca="1"/>
      </c>
      <c r="EI247">
        <f ca="1"/>
      </c>
      <c r="EJ247">
        <f ca="1"/>
      </c>
      <c r="EK247">
        <f ca="1"/>
      </c>
      <c r="EL247">
        <f ca="1"/>
      </c>
      <c r="EM247">
        <f ca="1"/>
      </c>
      <c r="EN247">
        <f ca="1"/>
      </c>
      <c r="EO247">
        <f ca="1"/>
      </c>
      <c r="EP247">
        <f ca="1"/>
      </c>
      <c r="EQ247">
        <f ca="1"/>
      </c>
      <c r="ER247">
        <f ca="1"/>
      </c>
      <c r="ES247">
        <f ca="1"/>
      </c>
      <c r="ET247">
        <f ca="1"/>
      </c>
      <c r="EU247">
        <f ca="1"/>
      </c>
      <c r="EV247">
        <f ca="1"/>
      </c>
      <c r="EW247">
        <f ca="1"/>
      </c>
      <c r="EX247">
        <f ca="1"/>
      </c>
      <c r="EY247">
        <f ca="1"/>
      </c>
      <c r="EZ247">
        <f ca="1"/>
      </c>
      <c r="FA247">
        <f ca="1"/>
      </c>
      <c r="FB247">
        <f ca="1"/>
      </c>
      <c r="FC247">
        <f ca="1"/>
      </c>
      <c r="FD247">
        <f ca="1"/>
      </c>
      <c r="FE247">
        <f ca="1"/>
      </c>
      <c r="FF247">
        <f ca="1"/>
      </c>
      <c r="FG247">
        <f ca="1"/>
      </c>
      <c r="FH247">
        <f ca="1"/>
      </c>
      <c r="FI247">
        <f ca="1"/>
      </c>
      <c r="FJ247">
        <f ca="1"/>
      </c>
      <c r="FK247">
        <f ca="1"/>
      </c>
      <c r="FL247">
        <f ca="1"/>
      </c>
      <c r="FM247">
        <f ca="1"/>
      </c>
      <c r="FN247">
        <f ca="1"/>
      </c>
      <c r="FO247">
        <f ca="1"/>
      </c>
      <c r="FP247">
        <f ca="1"/>
      </c>
      <c r="FQ247">
        <f ca="1"/>
      </c>
      <c r="FR247">
        <f ca="1"/>
      </c>
      <c r="FS247">
        <f ca="1"/>
      </c>
      <c r="FT247">
        <f ca="1"/>
      </c>
      <c r="FU247">
        <f ca="1"/>
      </c>
      <c r="FV247">
        <f ca="1"/>
      </c>
      <c r="FW247">
        <f ca="1"/>
      </c>
      <c r="FX247">
        <f ca="1"/>
      </c>
      <c r="FY247">
        <f ca="1"/>
      </c>
      <c r="FZ247">
        <f ca="1"/>
      </c>
      <c r="GA247">
        <f ca="1"/>
      </c>
      <c r="GM247" s="7"/>
    </row>
    <row r="248" spans="41:199" x14ac:dyDescent="0.55000000000000004">
      <c r="AO248">
        <f ca="1"/>
      </c>
      <c r="AP248">
        <f ca="1"/>
      </c>
      <c r="AQ248">
        <f ca="1"/>
      </c>
      <c r="AR248">
        <f ca="1"/>
      </c>
      <c r="AS248">
        <f ca="1"/>
      </c>
      <c r="AT248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AZ248">
        <f ca="1"/>
      </c>
      <c r="BA248">
        <f ca="1"/>
      </c>
      <c r="BB248">
        <f ca="1"/>
      </c>
      <c r="BC248">
        <f ca="1"/>
      </c>
      <c r="BD248">
        <f ca="1"/>
      </c>
      <c r="BE248">
        <f ca="1"/>
      </c>
      <c r="BF248">
        <f ca="1"/>
      </c>
      <c r="BG248">
        <f ca="1"/>
      </c>
      <c r="BH248">
        <f ca="1"/>
      </c>
      <c r="BI248">
        <f ca="1"/>
      </c>
      <c r="BJ248">
        <f ca="1"/>
      </c>
      <c r="BK248">
        <f ca="1"/>
      </c>
      <c r="BL248">
        <f ca="1"/>
      </c>
      <c r="BM248">
        <f ca="1"/>
      </c>
      <c r="BN248">
        <f ca="1"/>
      </c>
      <c r="BO248">
        <f ca="1"/>
      </c>
      <c r="BP248">
        <f ca="1"/>
      </c>
      <c r="BQ248">
        <f ca="1"/>
      </c>
      <c r="BR248">
        <f ca="1"/>
      </c>
      <c r="BS248">
        <f ca="1"/>
      </c>
      <c r="BT248">
        <f ca="1"/>
      </c>
      <c r="BU248">
        <f ca="1"/>
      </c>
      <c r="BV248">
        <f ca="1"/>
      </c>
      <c r="BW248">
        <f ca="1"/>
      </c>
      <c r="BX248">
        <f ca="1"/>
      </c>
      <c r="BY248">
        <f ca="1"/>
      </c>
      <c r="BZ248">
        <f ca="1"/>
      </c>
      <c r="CA248">
        <f ca="1"/>
      </c>
      <c r="CB248">
        <f ca="1"/>
      </c>
      <c r="CC248">
        <f ca="1"/>
      </c>
      <c r="CD248">
        <f ca="1"/>
      </c>
      <c r="CE248">
        <f ca="1"/>
      </c>
      <c r="CF248">
        <f ca="1"/>
      </c>
      <c r="CG248">
        <f ca="1"/>
      </c>
      <c r="CH248">
        <f ca="1"/>
      </c>
      <c r="CI248">
        <f ca="1"/>
      </c>
      <c r="CK248">
        <f ca="1"/>
      </c>
      <c r="CL248">
        <f ca="1"/>
      </c>
      <c r="CM248">
        <f ca="1"/>
      </c>
      <c r="CN248">
        <f ca="1"/>
      </c>
      <c r="CO248">
        <f ca="1"/>
      </c>
      <c r="CP248">
        <f ca="1"/>
      </c>
      <c r="CQ248">
        <f ca="1"/>
      </c>
      <c r="CR248">
        <f ca="1"/>
      </c>
      <c r="CS248">
        <f ca="1"/>
      </c>
      <c r="CT248">
        <f ca="1"/>
      </c>
      <c r="CU248">
        <f ca="1"/>
      </c>
      <c r="CV248">
        <f ca="1"/>
      </c>
      <c r="CW248">
        <f ca="1"/>
      </c>
      <c r="CX248">
        <f ca="1"/>
      </c>
      <c r="CY248">
        <f ca="1"/>
      </c>
      <c r="CZ248">
        <f ca="1"/>
      </c>
      <c r="DA248">
        <f ca="1"/>
      </c>
      <c r="DB248">
        <f ca="1"/>
      </c>
      <c r="DC248">
        <f ca="1"/>
      </c>
      <c r="DD248">
        <f ca="1"/>
      </c>
      <c r="DE248">
        <f ca="1"/>
      </c>
      <c r="DF248">
        <f ca="1"/>
      </c>
      <c r="DG248">
        <f ca="1"/>
      </c>
      <c r="DH248">
        <f ca="1"/>
      </c>
      <c r="DI248">
        <f ca="1"/>
      </c>
      <c r="DJ248">
        <f ca="1"/>
      </c>
      <c r="DK248">
        <f ca="1"/>
      </c>
      <c r="DL248">
        <f ca="1"/>
      </c>
      <c r="DM248">
        <f ca="1"/>
      </c>
      <c r="DN248">
        <f ca="1"/>
      </c>
      <c r="DO248">
        <f ca="1"/>
      </c>
      <c r="DP248">
        <f ca="1"/>
      </c>
      <c r="DQ248">
        <f ca="1"/>
      </c>
      <c r="DR248">
        <f ca="1"/>
      </c>
      <c r="DS248">
        <f ca="1"/>
      </c>
      <c r="DT248">
        <f ca="1"/>
      </c>
      <c r="DU248">
        <f ca="1"/>
      </c>
      <c r="DV248">
        <f ca="1"/>
      </c>
      <c r="DW248">
        <f ca="1"/>
      </c>
      <c r="DX248">
        <f ca="1"/>
      </c>
      <c r="DY248">
        <f ca="1"/>
      </c>
      <c r="DZ248">
        <f ca="1"/>
      </c>
      <c r="EA248">
        <f ca="1"/>
      </c>
      <c r="EB248">
        <f ca="1"/>
      </c>
      <c r="EC248">
        <f ca="1"/>
      </c>
      <c r="ED248">
        <f ca="1"/>
      </c>
      <c r="EE248">
        <f ca="1"/>
      </c>
      <c r="EG248">
        <f ca="1"/>
      </c>
      <c r="EH248">
        <f ca="1"/>
      </c>
      <c r="EI248">
        <f ca="1"/>
      </c>
      <c r="EJ248">
        <f ca="1"/>
      </c>
      <c r="EK248">
        <f ca="1"/>
      </c>
      <c r="EL248">
        <f ca="1"/>
      </c>
      <c r="EM248">
        <f ca="1"/>
      </c>
      <c r="EN248">
        <f ca="1"/>
      </c>
      <c r="EO248">
        <f ca="1"/>
      </c>
      <c r="EP248">
        <f ca="1"/>
      </c>
      <c r="EQ248">
        <f ca="1"/>
      </c>
      <c r="ER248">
        <f ca="1"/>
      </c>
      <c r="ES248">
        <f ca="1"/>
      </c>
      <c r="ET248">
        <f ca="1"/>
      </c>
      <c r="EU248">
        <f ca="1"/>
      </c>
      <c r="EV248">
        <f ca="1"/>
      </c>
      <c r="EW248">
        <f ca="1"/>
      </c>
      <c r="EX248">
        <f ca="1"/>
      </c>
      <c r="EY248">
        <f ca="1"/>
      </c>
      <c r="EZ248">
        <f ca="1"/>
      </c>
      <c r="FA248">
        <f ca="1"/>
      </c>
      <c r="FB248">
        <f ca="1"/>
      </c>
      <c r="FC248">
        <f ca="1"/>
      </c>
      <c r="FD248">
        <f ca="1"/>
      </c>
      <c r="FE248">
        <f ca="1"/>
      </c>
      <c r="FF248">
        <f ca="1"/>
      </c>
      <c r="FG248">
        <f ca="1"/>
      </c>
      <c r="FH248">
        <f ca="1"/>
      </c>
      <c r="FI248">
        <f ca="1"/>
      </c>
      <c r="FJ248">
        <f ca="1"/>
      </c>
      <c r="FK248">
        <f ca="1"/>
      </c>
      <c r="FL248">
        <f ca="1"/>
      </c>
      <c r="FM248">
        <f ca="1"/>
      </c>
      <c r="FN248">
        <f ca="1"/>
      </c>
      <c r="FO248">
        <f ca="1"/>
      </c>
      <c r="FP248">
        <f ca="1"/>
      </c>
      <c r="FQ248">
        <f ca="1"/>
      </c>
      <c r="FR248">
        <f ca="1"/>
      </c>
      <c r="FS248">
        <f ca="1"/>
      </c>
      <c r="FT248">
        <f ca="1"/>
      </c>
      <c r="FU248">
        <f ca="1"/>
      </c>
      <c r="FV248">
        <f ca="1"/>
      </c>
      <c r="FW248">
        <f ca="1"/>
      </c>
      <c r="FX248">
        <f ca="1"/>
      </c>
      <c r="FY248">
        <f ca="1"/>
      </c>
      <c r="FZ248">
        <f ca="1"/>
      </c>
      <c r="GA248">
        <f ca="1"/>
      </c>
      <c r="GM248" s="7"/>
    </row>
    <row r="249" spans="41:199" x14ac:dyDescent="0.55000000000000004">
      <c r="AO249">
        <f ca="1"/>
      </c>
      <c r="AP249">
        <f ca="1"/>
      </c>
      <c r="AQ249">
        <f ca="1"/>
      </c>
      <c r="AR249">
        <f ca="1"/>
      </c>
      <c r="AS249">
        <f ca="1"/>
      </c>
      <c r="AT249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AZ249">
        <f ca="1"/>
      </c>
      <c r="BA249">
        <f ca="1"/>
      </c>
      <c r="BB249">
        <f ca="1"/>
      </c>
      <c r="BC249">
        <f ca="1"/>
      </c>
      <c r="BD249">
        <f ca="1"/>
      </c>
      <c r="BE249">
        <f ca="1"/>
      </c>
      <c r="BF249">
        <f ca="1"/>
      </c>
      <c r="BG249">
        <f ca="1"/>
      </c>
      <c r="BH249">
        <f ca="1"/>
      </c>
      <c r="BI249">
        <f ca="1"/>
      </c>
      <c r="BJ249">
        <f ca="1"/>
      </c>
      <c r="BK249">
        <f ca="1"/>
      </c>
      <c r="BL249">
        <f ca="1"/>
      </c>
      <c r="BM249">
        <f ca="1"/>
      </c>
      <c r="BN249">
        <f ca="1"/>
      </c>
      <c r="BO249">
        <f ca="1"/>
      </c>
      <c r="BP249">
        <f ca="1"/>
      </c>
      <c r="BQ249">
        <f ca="1"/>
      </c>
      <c r="BR249">
        <f ca="1"/>
      </c>
      <c r="BS249">
        <f ca="1"/>
      </c>
      <c r="BT249">
        <f ca="1"/>
      </c>
      <c r="BU249">
        <f ca="1"/>
      </c>
      <c r="BV249">
        <f ca="1"/>
      </c>
      <c r="BW249">
        <f ca="1"/>
      </c>
      <c r="BX249">
        <f ca="1"/>
      </c>
      <c r="BY249">
        <f ca="1"/>
      </c>
      <c r="BZ249">
        <f ca="1"/>
      </c>
      <c r="CA249">
        <f ca="1"/>
      </c>
      <c r="CB249">
        <f ca="1"/>
      </c>
      <c r="CC249">
        <f ca="1"/>
      </c>
      <c r="CD249">
        <f ca="1"/>
      </c>
      <c r="CE249">
        <f ca="1"/>
      </c>
      <c r="CF249">
        <f ca="1"/>
      </c>
      <c r="CG249">
        <f ca="1"/>
      </c>
      <c r="CH249">
        <f ca="1"/>
      </c>
      <c r="CI249">
        <f ca="1"/>
      </c>
      <c r="CK249">
        <f ca="1"/>
      </c>
      <c r="CL249">
        <f ca="1"/>
      </c>
      <c r="CM249">
        <f ca="1"/>
      </c>
      <c r="CN249">
        <f ca="1"/>
      </c>
      <c r="CO249">
        <f ca="1"/>
      </c>
      <c r="CP249">
        <f ca="1"/>
      </c>
      <c r="CQ249">
        <f ca="1"/>
      </c>
      <c r="CR249">
        <f ca="1"/>
      </c>
      <c r="CS249">
        <f ca="1"/>
      </c>
      <c r="CT249">
        <f ca="1"/>
      </c>
      <c r="CU249">
        <f ca="1"/>
      </c>
      <c r="CV249">
        <f ca="1"/>
      </c>
      <c r="CW249">
        <f ca="1"/>
      </c>
      <c r="CX249">
        <f ca="1"/>
      </c>
      <c r="CY249">
        <f ca="1"/>
      </c>
      <c r="CZ249">
        <f ca="1"/>
      </c>
      <c r="DA249">
        <f ca="1"/>
      </c>
      <c r="DB249">
        <f ca="1"/>
      </c>
      <c r="DC249">
        <f ca="1"/>
      </c>
      <c r="DD249">
        <f ca="1"/>
      </c>
      <c r="DE249">
        <f ca="1"/>
      </c>
      <c r="DF249">
        <f ca="1"/>
      </c>
      <c r="DG249">
        <f ca="1"/>
      </c>
      <c r="DH249">
        <f ca="1"/>
      </c>
      <c r="DI249">
        <f ca="1"/>
      </c>
      <c r="DJ249">
        <f ca="1"/>
      </c>
      <c r="DK249">
        <f ca="1"/>
      </c>
      <c r="DL249">
        <f ca="1"/>
      </c>
      <c r="DM249">
        <f ca="1"/>
      </c>
      <c r="DN249">
        <f ca="1"/>
      </c>
      <c r="DO249">
        <f ca="1"/>
      </c>
      <c r="DP249">
        <f ca="1"/>
      </c>
      <c r="DQ249">
        <f ca="1"/>
      </c>
      <c r="DR249">
        <f ca="1"/>
      </c>
      <c r="DS249">
        <f ca="1"/>
      </c>
      <c r="DT249">
        <f ca="1"/>
      </c>
      <c r="DU249">
        <f ca="1"/>
      </c>
      <c r="DV249">
        <f ca="1"/>
      </c>
      <c r="DW249">
        <f ca="1"/>
      </c>
      <c r="DX249">
        <f ca="1"/>
      </c>
      <c r="DY249">
        <f ca="1"/>
      </c>
      <c r="DZ249">
        <f ca="1"/>
      </c>
      <c r="EA249">
        <f ca="1"/>
      </c>
      <c r="EB249">
        <f ca="1"/>
      </c>
      <c r="EC249">
        <f ca="1"/>
      </c>
      <c r="ED249">
        <f ca="1"/>
      </c>
      <c r="EE249">
        <f ca="1"/>
      </c>
      <c r="EG249">
        <f ca="1"/>
      </c>
      <c r="EH249">
        <f ca="1"/>
      </c>
      <c r="EI249">
        <f ca="1"/>
      </c>
      <c r="EJ249">
        <f ca="1"/>
      </c>
      <c r="EK249">
        <f ca="1"/>
      </c>
      <c r="EL249">
        <f ca="1"/>
      </c>
      <c r="EM249">
        <f ca="1"/>
      </c>
      <c r="EN249">
        <f ca="1"/>
      </c>
      <c r="EO249">
        <f ca="1"/>
      </c>
      <c r="EP249">
        <f ca="1"/>
      </c>
      <c r="EQ249">
        <f ca="1"/>
      </c>
      <c r="ER249">
        <f ca="1"/>
      </c>
      <c r="ES249">
        <f ca="1"/>
      </c>
      <c r="ET249">
        <f ca="1"/>
      </c>
      <c r="EU249">
        <f ca="1"/>
      </c>
      <c r="EV249">
        <f ca="1"/>
      </c>
      <c r="EW249">
        <f ca="1"/>
      </c>
      <c r="EX249">
        <f ca="1"/>
      </c>
      <c r="EY249">
        <f ca="1"/>
      </c>
      <c r="EZ249">
        <f ca="1"/>
      </c>
      <c r="FA249">
        <f ca="1"/>
      </c>
      <c r="FB249">
        <f ca="1"/>
      </c>
      <c r="FC249">
        <f ca="1"/>
      </c>
      <c r="FD249">
        <f ca="1"/>
      </c>
      <c r="FE249">
        <f ca="1"/>
      </c>
      <c r="FF249">
        <f ca="1"/>
      </c>
      <c r="FG249">
        <f ca="1"/>
      </c>
      <c r="FH249">
        <f ca="1"/>
      </c>
      <c r="FI249">
        <f ca="1"/>
      </c>
      <c r="FJ249">
        <f ca="1"/>
      </c>
      <c r="FK249">
        <f ca="1"/>
      </c>
      <c r="FL249">
        <f ca="1"/>
      </c>
      <c r="FM249">
        <f ca="1"/>
      </c>
      <c r="FN249">
        <f ca="1"/>
      </c>
      <c r="FO249">
        <f ca="1"/>
      </c>
      <c r="FP249">
        <f ca="1"/>
      </c>
      <c r="FQ249">
        <f ca="1"/>
      </c>
      <c r="FR249">
        <f ca="1"/>
      </c>
      <c r="FS249">
        <f ca="1"/>
      </c>
      <c r="FT249">
        <f ca="1"/>
      </c>
      <c r="FU249">
        <f ca="1"/>
      </c>
      <c r="FV249">
        <f ca="1"/>
      </c>
      <c r="FW249">
        <f ca="1"/>
      </c>
      <c r="FX249">
        <f ca="1"/>
      </c>
      <c r="FY249">
        <f ca="1"/>
      </c>
      <c r="FZ249">
        <f ca="1"/>
      </c>
      <c r="GA249">
        <f ca="1"/>
      </c>
      <c r="GM249" s="7"/>
    </row>
    <row r="250" spans="41:199" x14ac:dyDescent="0.55000000000000004">
      <c r="AO250">
        <f ca="1"/>
      </c>
      <c r="AP250">
        <f ca="1"/>
      </c>
      <c r="AQ250">
        <f ca="1"/>
      </c>
      <c r="AR250">
        <f ca="1"/>
      </c>
      <c r="AS250">
        <f ca="1"/>
      </c>
      <c r="AT250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AZ250">
        <f ca="1"/>
      </c>
      <c r="BA250">
        <f ca="1"/>
      </c>
      <c r="BB250">
        <f ca="1"/>
      </c>
      <c r="BC250">
        <f ca="1"/>
      </c>
      <c r="BD250">
        <f ca="1"/>
      </c>
      <c r="BE250">
        <f ca="1"/>
      </c>
      <c r="BF250">
        <f ca="1"/>
      </c>
      <c r="BG250">
        <f ca="1"/>
      </c>
      <c r="BH250">
        <f ca="1"/>
      </c>
      <c r="BI250">
        <f ca="1"/>
      </c>
      <c r="BJ250">
        <f ca="1"/>
      </c>
      <c r="BK250">
        <f ca="1"/>
      </c>
      <c r="BL250">
        <f ca="1"/>
      </c>
      <c r="BM250">
        <f ca="1"/>
      </c>
      <c r="BN250">
        <f ca="1"/>
      </c>
      <c r="BO250">
        <f ca="1"/>
      </c>
      <c r="BP250">
        <f ca="1"/>
      </c>
      <c r="BQ250">
        <f ca="1"/>
      </c>
      <c r="BR250">
        <f ca="1"/>
      </c>
      <c r="BS250">
        <f ca="1"/>
      </c>
      <c r="BT250">
        <f ca="1"/>
      </c>
      <c r="BU250">
        <f ca="1"/>
      </c>
      <c r="BV250">
        <f ca="1"/>
      </c>
      <c r="BW250">
        <f ca="1"/>
      </c>
      <c r="BX250">
        <f ca="1"/>
      </c>
      <c r="BY250">
        <f ca="1"/>
      </c>
      <c r="BZ250">
        <f ca="1"/>
      </c>
      <c r="CA250">
        <f ca="1"/>
      </c>
      <c r="CB250">
        <f ca="1"/>
      </c>
      <c r="CC250">
        <f ca="1"/>
      </c>
      <c r="CD250">
        <f ca="1"/>
      </c>
      <c r="CE250">
        <f ca="1"/>
      </c>
      <c r="CF250">
        <f ca="1"/>
      </c>
      <c r="CG250">
        <f ca="1"/>
      </c>
      <c r="CH250">
        <f ca="1"/>
      </c>
      <c r="CI250">
        <f ca="1"/>
      </c>
      <c r="CK250">
        <f ca="1"/>
      </c>
      <c r="CL250">
        <f ca="1"/>
      </c>
      <c r="CM250">
        <f ca="1"/>
      </c>
      <c r="CN250">
        <f ca="1"/>
      </c>
      <c r="CO250">
        <f ca="1"/>
      </c>
      <c r="CP250">
        <f ca="1"/>
      </c>
      <c r="CQ250">
        <f ca="1"/>
      </c>
      <c r="CR250">
        <f ca="1"/>
      </c>
      <c r="CS250">
        <f ca="1"/>
      </c>
      <c r="CT250">
        <f ca="1"/>
      </c>
      <c r="CU250">
        <f ca="1"/>
      </c>
      <c r="CV250">
        <f ca="1"/>
      </c>
      <c r="CW250">
        <f ca="1"/>
      </c>
      <c r="CX250">
        <f ca="1"/>
      </c>
      <c r="CY250">
        <f ca="1"/>
      </c>
      <c r="CZ250">
        <f ca="1"/>
      </c>
      <c r="DA250">
        <f ca="1"/>
      </c>
      <c r="DB250">
        <f ca="1"/>
      </c>
      <c r="DC250">
        <f ca="1"/>
      </c>
      <c r="DD250">
        <f ca="1"/>
      </c>
      <c r="DE250">
        <f ca="1"/>
      </c>
      <c r="DF250">
        <f ca="1"/>
      </c>
      <c r="DG250">
        <f ca="1"/>
      </c>
      <c r="DH250">
        <f ca="1"/>
      </c>
      <c r="DI250">
        <f ca="1"/>
      </c>
      <c r="DJ250">
        <f ca="1"/>
      </c>
      <c r="DK250">
        <f ca="1"/>
      </c>
      <c r="DL250">
        <f ca="1"/>
      </c>
      <c r="DM250">
        <f ca="1"/>
      </c>
      <c r="DN250">
        <f ca="1"/>
      </c>
      <c r="DO250">
        <f ca="1"/>
      </c>
      <c r="DP250">
        <f ca="1"/>
      </c>
      <c r="DQ250">
        <f ca="1"/>
      </c>
      <c r="DR250">
        <f ca="1"/>
      </c>
      <c r="DS250">
        <f ca="1"/>
      </c>
      <c r="DT250">
        <f ca="1"/>
      </c>
      <c r="DU250">
        <f ca="1"/>
      </c>
      <c r="DV250">
        <f ca="1"/>
      </c>
      <c r="DW250">
        <f ca="1"/>
      </c>
      <c r="DX250">
        <f ca="1"/>
      </c>
      <c r="DY250">
        <f ca="1"/>
      </c>
      <c r="DZ250">
        <f ca="1"/>
      </c>
      <c r="EA250">
        <f ca="1"/>
      </c>
      <c r="EB250">
        <f ca="1"/>
      </c>
      <c r="EC250">
        <f ca="1"/>
      </c>
      <c r="ED250">
        <f ca="1"/>
      </c>
      <c r="EE250">
        <f ca="1"/>
      </c>
      <c r="EG250">
        <f ca="1"/>
      </c>
      <c r="EH250">
        <f ca="1"/>
      </c>
      <c r="EI250">
        <f ca="1"/>
      </c>
      <c r="EJ250">
        <f ca="1"/>
      </c>
      <c r="EK250">
        <f ca="1"/>
      </c>
      <c r="EL250">
        <f ca="1"/>
      </c>
      <c r="EM250">
        <f ca="1"/>
      </c>
      <c r="EN250">
        <f ca="1"/>
      </c>
      <c r="EO250">
        <f ca="1"/>
      </c>
      <c r="EP250">
        <f ca="1"/>
      </c>
      <c r="EQ250">
        <f ca="1"/>
      </c>
      <c r="ER250">
        <f ca="1"/>
      </c>
      <c r="ES250">
        <f ca="1"/>
      </c>
      <c r="ET250">
        <f ca="1"/>
      </c>
      <c r="EU250">
        <f ca="1"/>
      </c>
      <c r="EV250">
        <f ca="1"/>
      </c>
      <c r="EW250">
        <f ca="1"/>
      </c>
      <c r="EX250">
        <f ca="1"/>
      </c>
      <c r="EY250">
        <f ca="1"/>
      </c>
      <c r="EZ250">
        <f ca="1"/>
      </c>
      <c r="FA250">
        <f ca="1"/>
      </c>
      <c r="FB250">
        <f ca="1"/>
      </c>
      <c r="FC250">
        <f ca="1"/>
      </c>
      <c r="FD250">
        <f ca="1"/>
      </c>
      <c r="FE250">
        <f ca="1"/>
      </c>
      <c r="FF250">
        <f ca="1"/>
      </c>
      <c r="FG250">
        <f ca="1"/>
      </c>
      <c r="FH250">
        <f ca="1"/>
      </c>
      <c r="FI250">
        <f ca="1"/>
      </c>
      <c r="FJ250">
        <f ca="1"/>
      </c>
      <c r="FK250">
        <f ca="1"/>
      </c>
      <c r="FL250">
        <f ca="1"/>
      </c>
      <c r="FM250">
        <f ca="1"/>
      </c>
      <c r="FN250">
        <f ca="1"/>
      </c>
      <c r="FO250">
        <f ca="1"/>
      </c>
      <c r="FP250">
        <f ca="1"/>
      </c>
      <c r="FQ250">
        <f ca="1"/>
      </c>
      <c r="FR250">
        <f ca="1"/>
      </c>
      <c r="FS250">
        <f ca="1"/>
      </c>
      <c r="FT250">
        <f ca="1"/>
      </c>
      <c r="FU250">
        <f ca="1"/>
      </c>
      <c r="FV250">
        <f ca="1"/>
      </c>
      <c r="FW250">
        <f ca="1"/>
      </c>
      <c r="FX250">
        <f ca="1"/>
      </c>
      <c r="FY250">
        <f ca="1"/>
      </c>
      <c r="FZ250">
        <f ca="1"/>
      </c>
      <c r="GA250">
        <f ca="1"/>
      </c>
      <c r="GM250" s="7"/>
    </row>
    <row r="251" spans="41:199" x14ac:dyDescent="0.55000000000000004">
      <c r="AO251">
        <f ca="1"/>
      </c>
      <c r="AP251">
        <f ca="1"/>
      </c>
      <c r="AQ251">
        <f ca="1"/>
      </c>
      <c r="AR251">
        <f ca="1"/>
      </c>
      <c r="AS251">
        <f ca="1"/>
      </c>
      <c r="AT251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AZ251">
        <f ca="1"/>
      </c>
      <c r="BA251">
        <f ca="1"/>
      </c>
      <c r="BB251">
        <f ca="1"/>
      </c>
      <c r="BC251">
        <f ca="1"/>
      </c>
      <c r="BD251">
        <f ca="1"/>
      </c>
      <c r="BE251">
        <f ca="1"/>
      </c>
      <c r="BF251">
        <f ca="1"/>
      </c>
      <c r="BG251">
        <f ca="1"/>
      </c>
      <c r="BH251">
        <f ca="1"/>
      </c>
      <c r="BI251">
        <f ca="1"/>
      </c>
      <c r="BJ251">
        <f ca="1"/>
      </c>
      <c r="BK251">
        <f ca="1"/>
      </c>
      <c r="BL251">
        <f ca="1"/>
      </c>
      <c r="BM251">
        <f ca="1"/>
      </c>
      <c r="BN251">
        <f ca="1"/>
      </c>
      <c r="BO251">
        <f ca="1"/>
      </c>
      <c r="BP251">
        <f ca="1"/>
      </c>
      <c r="BQ251">
        <f ca="1"/>
      </c>
      <c r="BR251">
        <f ca="1"/>
      </c>
      <c r="BS251">
        <f ca="1"/>
      </c>
      <c r="BT251">
        <f ca="1"/>
      </c>
      <c r="BU251">
        <f ca="1"/>
      </c>
      <c r="BV251">
        <f ca="1"/>
      </c>
      <c r="BW251">
        <f ca="1"/>
      </c>
      <c r="BX251">
        <f ca="1"/>
      </c>
      <c r="BY251">
        <f ca="1"/>
      </c>
      <c r="BZ251">
        <f ca="1"/>
      </c>
      <c r="CA251">
        <f ca="1"/>
      </c>
      <c r="CB251">
        <f ca="1"/>
      </c>
      <c r="CC251">
        <f ca="1"/>
      </c>
      <c r="CD251">
        <f ca="1"/>
      </c>
      <c r="CE251">
        <f ca="1"/>
      </c>
      <c r="CF251">
        <f ca="1"/>
      </c>
      <c r="CG251">
        <f ca="1"/>
      </c>
      <c r="CH251">
        <f ca="1"/>
      </c>
      <c r="CI251">
        <f ca="1"/>
      </c>
      <c r="CK251">
        <f ca="1"/>
      </c>
      <c r="CL251">
        <f ca="1"/>
      </c>
      <c r="CM251">
        <f ca="1"/>
      </c>
      <c r="CN251">
        <f ca="1"/>
      </c>
      <c r="CO251">
        <f ca="1"/>
      </c>
      <c r="CP251">
        <f ca="1"/>
      </c>
      <c r="CQ251">
        <f ca="1"/>
      </c>
      <c r="CR251">
        <f ca="1"/>
      </c>
      <c r="CS251">
        <f ca="1"/>
      </c>
      <c r="CT251">
        <f ca="1"/>
      </c>
      <c r="CU251">
        <f ca="1"/>
      </c>
      <c r="CV251">
        <f ca="1"/>
      </c>
      <c r="CW251">
        <f ca="1"/>
      </c>
      <c r="CX251">
        <f ca="1"/>
      </c>
      <c r="CY251">
        <f ca="1"/>
      </c>
      <c r="CZ251">
        <f ca="1"/>
      </c>
      <c r="DA251">
        <f ca="1"/>
      </c>
      <c r="DB251">
        <f ca="1"/>
      </c>
      <c r="DC251">
        <f ca="1"/>
      </c>
      <c r="DD251">
        <f ca="1"/>
      </c>
      <c r="DE251">
        <f ca="1"/>
      </c>
      <c r="DF251">
        <f ca="1"/>
      </c>
      <c r="DG251">
        <f ca="1"/>
      </c>
      <c r="DH251">
        <f ca="1"/>
      </c>
      <c r="DI251">
        <f ca="1"/>
      </c>
      <c r="DJ251">
        <f ca="1"/>
      </c>
      <c r="DK251">
        <f ca="1"/>
      </c>
      <c r="DL251">
        <f ca="1"/>
      </c>
      <c r="DM251">
        <f ca="1"/>
      </c>
      <c r="DN251">
        <f ca="1"/>
      </c>
      <c r="DO251">
        <f ca="1"/>
      </c>
      <c r="DP251">
        <f ca="1"/>
      </c>
      <c r="DQ251">
        <f ca="1"/>
      </c>
      <c r="DR251">
        <f ca="1"/>
      </c>
      <c r="DS251">
        <f ca="1"/>
      </c>
      <c r="DT251">
        <f ca="1"/>
      </c>
      <c r="DU251">
        <f ca="1"/>
      </c>
      <c r="DV251">
        <f ca="1"/>
      </c>
      <c r="DW251">
        <f ca="1"/>
      </c>
      <c r="DX251">
        <f ca="1"/>
      </c>
      <c r="DY251">
        <f ca="1"/>
      </c>
      <c r="DZ251">
        <f ca="1"/>
      </c>
      <c r="EA251">
        <f ca="1"/>
      </c>
      <c r="EB251">
        <f ca="1"/>
      </c>
      <c r="EC251">
        <f ca="1"/>
      </c>
      <c r="ED251">
        <f ca="1"/>
      </c>
      <c r="EE251">
        <f ca="1"/>
      </c>
      <c r="EG251">
        <f ca="1"/>
      </c>
      <c r="EH251">
        <f ca="1"/>
      </c>
      <c r="EI251">
        <f ca="1"/>
      </c>
      <c r="EJ251">
        <f ca="1"/>
      </c>
      <c r="EK251">
        <f ca="1"/>
      </c>
      <c r="EL251">
        <f ca="1"/>
      </c>
      <c r="EM251">
        <f ca="1"/>
      </c>
      <c r="EN251">
        <f ca="1"/>
      </c>
      <c r="EO251">
        <f ca="1"/>
      </c>
      <c r="EP251">
        <f ca="1"/>
      </c>
      <c r="EQ251">
        <f ca="1"/>
      </c>
      <c r="ER251">
        <f ca="1"/>
      </c>
      <c r="ES251">
        <f ca="1"/>
      </c>
      <c r="ET251">
        <f ca="1"/>
      </c>
      <c r="EU251">
        <f ca="1"/>
      </c>
      <c r="EV251">
        <f ca="1"/>
      </c>
      <c r="EW251">
        <f ca="1"/>
      </c>
      <c r="EX251">
        <f ca="1"/>
      </c>
      <c r="EY251">
        <f ca="1"/>
      </c>
      <c r="EZ251">
        <f ca="1"/>
      </c>
      <c r="FA251">
        <f ca="1"/>
      </c>
      <c r="FB251">
        <f ca="1"/>
      </c>
      <c r="FC251">
        <f ca="1"/>
      </c>
      <c r="FD251">
        <f ca="1"/>
      </c>
      <c r="FE251">
        <f ca="1"/>
      </c>
      <c r="FF251">
        <f ca="1"/>
      </c>
      <c r="FG251">
        <f ca="1"/>
      </c>
      <c r="FH251">
        <f ca="1"/>
      </c>
      <c r="FI251">
        <f ca="1"/>
      </c>
      <c r="FJ251">
        <f ca="1"/>
      </c>
      <c r="FK251">
        <f ca="1"/>
      </c>
      <c r="FL251">
        <f ca="1"/>
      </c>
      <c r="FM251">
        <f ca="1"/>
      </c>
      <c r="FN251">
        <f ca="1"/>
      </c>
      <c r="FO251">
        <f ca="1"/>
      </c>
      <c r="FP251">
        <f ca="1"/>
      </c>
      <c r="FQ251">
        <f ca="1"/>
      </c>
      <c r="FR251">
        <f ca="1"/>
      </c>
      <c r="FS251">
        <f ca="1"/>
      </c>
      <c r="FT251">
        <f ca="1"/>
      </c>
      <c r="FU251">
        <f ca="1"/>
      </c>
      <c r="FV251">
        <f ca="1"/>
      </c>
      <c r="FW251">
        <f ca="1"/>
      </c>
      <c r="FX251">
        <f ca="1"/>
      </c>
      <c r="FY251">
        <f ca="1"/>
      </c>
      <c r="FZ251">
        <f ca="1"/>
      </c>
      <c r="GA251">
        <f ca="1"/>
      </c>
      <c r="GM251" s="7"/>
    </row>
    <row r="252" spans="41:199" x14ac:dyDescent="0.55000000000000004">
      <c r="AO252">
        <f ca="1"/>
      </c>
      <c r="AP252">
        <f ca="1"/>
      </c>
      <c r="AQ252">
        <f ca="1"/>
      </c>
      <c r="AR252">
        <f ca="1"/>
      </c>
      <c r="AS252">
        <f ca="1"/>
      </c>
      <c r="AT252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AZ252">
        <f ca="1"/>
      </c>
      <c r="BA252">
        <f ca="1"/>
      </c>
      <c r="BB252">
        <f ca="1"/>
      </c>
      <c r="BC252">
        <f ca="1"/>
      </c>
      <c r="BD252">
        <f ca="1"/>
      </c>
      <c r="BE252">
        <f ca="1"/>
      </c>
      <c r="BF252">
        <f ca="1"/>
      </c>
      <c r="BG252">
        <f ca="1"/>
      </c>
      <c r="BH252">
        <f ca="1"/>
      </c>
      <c r="BI252">
        <f ca="1"/>
      </c>
      <c r="BJ252">
        <f ca="1"/>
      </c>
      <c r="BK252">
        <f ca="1"/>
      </c>
      <c r="BL252">
        <f ca="1"/>
      </c>
      <c r="BM252">
        <f ca="1"/>
      </c>
      <c r="BN252">
        <f ca="1"/>
      </c>
      <c r="BO252">
        <f ca="1"/>
      </c>
      <c r="BP252">
        <f ca="1"/>
      </c>
      <c r="BQ252">
        <f ca="1"/>
      </c>
      <c r="BR252">
        <f ca="1"/>
      </c>
      <c r="BS252">
        <f ca="1"/>
      </c>
      <c r="BT252">
        <f ca="1"/>
      </c>
      <c r="BU252">
        <f ca="1"/>
      </c>
      <c r="BV252">
        <f ca="1"/>
      </c>
      <c r="BW252">
        <f ca="1"/>
      </c>
      <c r="BX252">
        <f ca="1"/>
      </c>
      <c r="BY252">
        <f ca="1"/>
      </c>
      <c r="BZ252">
        <f ca="1"/>
      </c>
      <c r="CA252">
        <f ca="1"/>
      </c>
      <c r="CB252">
        <f ca="1"/>
      </c>
      <c r="CC252">
        <f ca="1"/>
      </c>
      <c r="CD252">
        <f ca="1"/>
      </c>
      <c r="CE252">
        <f ca="1"/>
      </c>
      <c r="CF252">
        <f ca="1"/>
      </c>
      <c r="CG252">
        <f ca="1"/>
      </c>
      <c r="CH252">
        <f ca="1"/>
      </c>
      <c r="CI252">
        <f ca="1"/>
      </c>
      <c r="CK252">
        <f ca="1"/>
      </c>
      <c r="CL252">
        <f ca="1"/>
      </c>
      <c r="CM252">
        <f ca="1"/>
      </c>
      <c r="CN252">
        <f ca="1"/>
      </c>
      <c r="CO252">
        <f ca="1"/>
      </c>
      <c r="CP252">
        <f ca="1"/>
      </c>
      <c r="CQ252">
        <f ca="1"/>
      </c>
      <c r="CR252">
        <f ca="1"/>
      </c>
      <c r="CS252">
        <f ca="1"/>
      </c>
      <c r="CT252">
        <f ca="1"/>
      </c>
      <c r="CU252">
        <f ca="1"/>
      </c>
      <c r="CV252">
        <f ca="1"/>
      </c>
      <c r="CW252">
        <f ca="1"/>
      </c>
      <c r="CX252">
        <f ca="1"/>
      </c>
      <c r="CY252">
        <f ca="1"/>
      </c>
      <c r="CZ252">
        <f ca="1"/>
      </c>
      <c r="DA252">
        <f ca="1"/>
      </c>
      <c r="DB252">
        <f ca="1"/>
      </c>
      <c r="DC252">
        <f ca="1"/>
      </c>
      <c r="DD252">
        <f ca="1"/>
      </c>
      <c r="DE252">
        <f ca="1"/>
      </c>
      <c r="DF252">
        <f ca="1"/>
      </c>
      <c r="DG252">
        <f ca="1"/>
      </c>
      <c r="DH252">
        <f ca="1"/>
      </c>
      <c r="DI252">
        <f ca="1"/>
      </c>
      <c r="DJ252">
        <f ca="1"/>
      </c>
      <c r="DK252">
        <f ca="1"/>
      </c>
      <c r="DL252">
        <f ca="1"/>
      </c>
      <c r="DM252">
        <f ca="1"/>
      </c>
      <c r="DN252">
        <f ca="1"/>
      </c>
      <c r="DO252">
        <f ca="1"/>
      </c>
      <c r="DP252">
        <f ca="1"/>
      </c>
      <c r="DQ252">
        <f ca="1"/>
      </c>
      <c r="DR252">
        <f ca="1"/>
      </c>
      <c r="DS252">
        <f ca="1"/>
      </c>
      <c r="DT252">
        <f ca="1"/>
      </c>
      <c r="DU252">
        <f ca="1"/>
      </c>
      <c r="DV252">
        <f ca="1"/>
      </c>
      <c r="DW252">
        <f ca="1"/>
      </c>
      <c r="DX252">
        <f ca="1"/>
      </c>
      <c r="DY252">
        <f ca="1"/>
      </c>
      <c r="DZ252">
        <f ca="1"/>
      </c>
      <c r="EA252">
        <f ca="1"/>
      </c>
      <c r="EB252">
        <f ca="1"/>
      </c>
      <c r="EC252">
        <f ca="1"/>
      </c>
      <c r="ED252">
        <f ca="1"/>
      </c>
      <c r="EE252">
        <f ca="1"/>
      </c>
      <c r="EG252">
        <f ca="1"/>
      </c>
      <c r="EH252">
        <f ca="1"/>
      </c>
      <c r="EI252">
        <f ca="1"/>
      </c>
      <c r="EJ252">
        <f ca="1"/>
      </c>
      <c r="EK252">
        <f ca="1"/>
      </c>
      <c r="EL252">
        <f ca="1"/>
      </c>
      <c r="EM252">
        <f ca="1"/>
      </c>
      <c r="EN252">
        <f ca="1"/>
      </c>
      <c r="EO252">
        <f ca="1"/>
      </c>
      <c r="EP252">
        <f ca="1"/>
      </c>
      <c r="EQ252">
        <f ca="1"/>
      </c>
      <c r="ER252">
        <f ca="1"/>
      </c>
      <c r="ES252">
        <f ca="1"/>
      </c>
      <c r="ET252">
        <f ca="1"/>
      </c>
      <c r="EU252">
        <f ca="1"/>
      </c>
      <c r="EV252">
        <f ca="1"/>
      </c>
      <c r="EW252">
        <f ca="1"/>
      </c>
      <c r="EX252">
        <f ca="1"/>
      </c>
      <c r="EY252">
        <f ca="1"/>
      </c>
      <c r="EZ252">
        <f ca="1"/>
      </c>
      <c r="FA252">
        <f ca="1"/>
      </c>
      <c r="FB252">
        <f ca="1"/>
      </c>
      <c r="FC252">
        <f ca="1"/>
      </c>
      <c r="FD252">
        <f ca="1"/>
      </c>
      <c r="FE252">
        <f ca="1"/>
      </c>
      <c r="FF252">
        <f ca="1"/>
      </c>
      <c r="FG252">
        <f ca="1"/>
      </c>
      <c r="FH252">
        <f ca="1"/>
      </c>
      <c r="FI252">
        <f ca="1"/>
      </c>
      <c r="FJ252">
        <f ca="1"/>
      </c>
      <c r="FK252">
        <f ca="1"/>
      </c>
      <c r="FL252">
        <f ca="1"/>
      </c>
      <c r="FM252">
        <f ca="1"/>
      </c>
      <c r="FN252">
        <f ca="1"/>
      </c>
      <c r="FO252">
        <f ca="1"/>
      </c>
      <c r="FP252">
        <f ca="1"/>
      </c>
      <c r="FQ252">
        <f ca="1"/>
      </c>
      <c r="FR252">
        <f ca="1"/>
      </c>
      <c r="FS252">
        <f ca="1"/>
      </c>
      <c r="FT252">
        <f ca="1"/>
      </c>
      <c r="FU252">
        <f ca="1"/>
      </c>
      <c r="FV252">
        <f ca="1"/>
      </c>
      <c r="FW252">
        <f ca="1"/>
      </c>
      <c r="FX252">
        <f ca="1"/>
      </c>
      <c r="FY252">
        <f ca="1"/>
      </c>
      <c r="FZ252">
        <f ca="1"/>
      </c>
      <c r="GA252">
        <f ca="1"/>
      </c>
      <c r="GM252" s="7"/>
    </row>
    <row r="253" spans="41:199" x14ac:dyDescent="0.55000000000000004">
      <c r="AO253">
        <f ca="1"/>
      </c>
      <c r="AP253">
        <f ca="1"/>
      </c>
      <c r="AQ253">
        <f ca="1"/>
      </c>
      <c r="AR253">
        <f ca="1"/>
      </c>
      <c r="AS253">
        <f ca="1"/>
      </c>
      <c r="AT253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AZ253">
        <f ca="1"/>
      </c>
      <c r="BA253">
        <f ca="1"/>
      </c>
      <c r="BB253">
        <f ca="1"/>
      </c>
      <c r="BC253">
        <f ca="1"/>
      </c>
      <c r="BD253">
        <f ca="1"/>
      </c>
      <c r="BE253">
        <f ca="1"/>
      </c>
      <c r="BF253">
        <f ca="1"/>
      </c>
      <c r="BG253">
        <f ca="1"/>
      </c>
      <c r="BH253">
        <f ca="1"/>
      </c>
      <c r="BI253">
        <f ca="1"/>
      </c>
      <c r="BJ253">
        <f ca="1"/>
      </c>
      <c r="BK253">
        <f ca="1"/>
      </c>
      <c r="BL253">
        <f ca="1"/>
      </c>
      <c r="BM253">
        <f ca="1"/>
      </c>
      <c r="BN253">
        <f ca="1"/>
      </c>
      <c r="BO253">
        <f ca="1"/>
      </c>
      <c r="BP253">
        <f ca="1"/>
      </c>
      <c r="BQ253">
        <f ca="1"/>
      </c>
      <c r="BR253">
        <f ca="1"/>
      </c>
      <c r="BS253">
        <f ca="1"/>
      </c>
      <c r="BT253">
        <f ca="1"/>
      </c>
      <c r="BU253">
        <f ca="1"/>
      </c>
      <c r="BV253">
        <f ca="1"/>
      </c>
      <c r="BW253">
        <f ca="1"/>
      </c>
      <c r="BX253">
        <f ca="1"/>
      </c>
      <c r="BY253">
        <f ca="1"/>
      </c>
      <c r="BZ253">
        <f ca="1"/>
      </c>
      <c r="CA253">
        <f ca="1"/>
      </c>
      <c r="CB253">
        <f ca="1"/>
      </c>
      <c r="CC253">
        <f ca="1"/>
      </c>
      <c r="CD253">
        <f ca="1"/>
      </c>
      <c r="CE253">
        <f ca="1"/>
      </c>
      <c r="CF253">
        <f ca="1"/>
      </c>
      <c r="CG253">
        <f ca="1"/>
      </c>
      <c r="CH253">
        <f ca="1"/>
      </c>
      <c r="CI253">
        <f ca="1"/>
      </c>
      <c r="CK253">
        <f ca="1"/>
      </c>
      <c r="CL253">
        <f ca="1"/>
      </c>
      <c r="CM253">
        <f ca="1"/>
      </c>
      <c r="CN253">
        <f ca="1"/>
      </c>
      <c r="CO253">
        <f ca="1"/>
      </c>
      <c r="CP253">
        <f ca="1"/>
      </c>
      <c r="CQ253">
        <f ca="1"/>
      </c>
      <c r="CR253">
        <f ca="1"/>
      </c>
      <c r="CS253">
        <f ca="1"/>
      </c>
      <c r="CT253">
        <f ca="1"/>
      </c>
      <c r="CU253">
        <f ca="1"/>
      </c>
      <c r="CV253">
        <f ca="1"/>
      </c>
      <c r="CW253">
        <f ca="1"/>
      </c>
      <c r="CX253">
        <f ca="1"/>
      </c>
      <c r="CY253">
        <f ca="1"/>
      </c>
      <c r="CZ253">
        <f ca="1"/>
      </c>
      <c r="DA253">
        <f ca="1"/>
      </c>
      <c r="DB253">
        <f ca="1"/>
      </c>
      <c r="DC253">
        <f ca="1"/>
      </c>
      <c r="DD253">
        <f ca="1"/>
      </c>
      <c r="DE253">
        <f ca="1"/>
      </c>
      <c r="DF253">
        <f ca="1"/>
      </c>
      <c r="DG253">
        <f ca="1"/>
      </c>
      <c r="DH253">
        <f ca="1"/>
      </c>
      <c r="DI253">
        <f ca="1"/>
      </c>
      <c r="DJ253">
        <f ca="1"/>
      </c>
      <c r="DK253">
        <f ca="1"/>
      </c>
      <c r="DL253">
        <f ca="1"/>
      </c>
      <c r="DM253">
        <f ca="1"/>
      </c>
      <c r="DN253">
        <f ca="1"/>
      </c>
      <c r="DO253">
        <f ca="1"/>
      </c>
      <c r="DP253">
        <f ca="1"/>
      </c>
      <c r="DQ253">
        <f ca="1"/>
      </c>
      <c r="DR253">
        <f ca="1"/>
      </c>
      <c r="DS253">
        <f ca="1"/>
      </c>
      <c r="DT253">
        <f ca="1"/>
      </c>
      <c r="DU253">
        <f ca="1"/>
      </c>
      <c r="DV253">
        <f ca="1"/>
      </c>
      <c r="DW253">
        <f ca="1"/>
      </c>
      <c r="DX253">
        <f ca="1"/>
      </c>
      <c r="DY253">
        <f ca="1"/>
      </c>
      <c r="DZ253">
        <f ca="1"/>
      </c>
      <c r="EA253">
        <f ca="1"/>
      </c>
      <c r="EB253">
        <f ca="1"/>
      </c>
      <c r="EC253">
        <f ca="1"/>
      </c>
      <c r="ED253">
        <f ca="1"/>
      </c>
      <c r="EE253">
        <f ca="1"/>
      </c>
      <c r="EG253">
        <f ca="1"/>
      </c>
      <c r="EH253">
        <f ca="1"/>
      </c>
      <c r="EI253">
        <f ca="1"/>
      </c>
      <c r="EJ253">
        <f ca="1"/>
      </c>
      <c r="EK253">
        <f ca="1"/>
      </c>
      <c r="EL253">
        <f ca="1"/>
      </c>
      <c r="EM253">
        <f ca="1"/>
      </c>
      <c r="EN253">
        <f ca="1"/>
      </c>
      <c r="EO253">
        <f ca="1"/>
      </c>
      <c r="EP253">
        <f ca="1"/>
      </c>
      <c r="EQ253">
        <f ca="1"/>
      </c>
      <c r="ER253">
        <f ca="1"/>
      </c>
      <c r="ES253">
        <f ca="1"/>
      </c>
      <c r="ET253">
        <f ca="1"/>
      </c>
      <c r="EU253">
        <f ca="1"/>
      </c>
      <c r="EV253">
        <f ca="1"/>
      </c>
      <c r="EW253">
        <f ca="1"/>
      </c>
      <c r="EX253">
        <f ca="1"/>
      </c>
      <c r="EY253">
        <f ca="1"/>
      </c>
      <c r="EZ253">
        <f ca="1"/>
      </c>
      <c r="FA253">
        <f ca="1"/>
      </c>
      <c r="FB253">
        <f ca="1"/>
      </c>
      <c r="FC253">
        <f ca="1"/>
      </c>
      <c r="FD253">
        <f ca="1"/>
      </c>
      <c r="FE253">
        <f ca="1"/>
      </c>
      <c r="FF253">
        <f ca="1"/>
      </c>
      <c r="FG253">
        <f ca="1"/>
      </c>
      <c r="FH253">
        <f ca="1"/>
      </c>
      <c r="FI253">
        <f ca="1"/>
      </c>
      <c r="FJ253">
        <f ca="1"/>
      </c>
      <c r="FK253">
        <f ca="1"/>
      </c>
      <c r="FL253">
        <f ca="1"/>
      </c>
      <c r="FM253">
        <f ca="1"/>
      </c>
      <c r="FN253">
        <f ca="1"/>
      </c>
      <c r="FO253">
        <f ca="1"/>
      </c>
      <c r="FP253">
        <f ca="1"/>
      </c>
      <c r="FQ253">
        <f ca="1"/>
      </c>
      <c r="FR253">
        <f ca="1"/>
      </c>
      <c r="FS253">
        <f ca="1"/>
      </c>
      <c r="FT253">
        <f ca="1"/>
      </c>
      <c r="FU253">
        <f ca="1"/>
      </c>
      <c r="FV253">
        <f ca="1"/>
      </c>
      <c r="FW253">
        <f ca="1"/>
      </c>
      <c r="FX253">
        <f ca="1"/>
      </c>
      <c r="FY253">
        <f ca="1"/>
      </c>
      <c r="FZ253">
        <f ca="1"/>
      </c>
      <c r="GA253">
        <f ca="1"/>
      </c>
      <c r="GM253" s="7"/>
    </row>
    <row r="254" spans="41:199" x14ac:dyDescent="0.55000000000000004">
      <c r="AO254">
        <f ca="1"/>
      </c>
      <c r="AP254">
        <f ca="1"/>
      </c>
      <c r="AQ254">
        <f ca="1"/>
      </c>
      <c r="AR254">
        <f ca="1"/>
      </c>
      <c r="AS254">
        <f ca="1"/>
      </c>
      <c r="AT254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AZ254">
        <f ca="1"/>
      </c>
      <c r="BA254">
        <f ca="1"/>
      </c>
      <c r="BB254">
        <f ca="1"/>
      </c>
      <c r="BC254">
        <f ca="1"/>
      </c>
      <c r="BD254">
        <f ca="1"/>
      </c>
      <c r="BE254">
        <f ca="1"/>
      </c>
      <c r="BF254">
        <f ca="1"/>
      </c>
      <c r="BG254">
        <f ca="1"/>
      </c>
      <c r="BH254">
        <f ca="1"/>
      </c>
      <c r="BI254">
        <f ca="1"/>
      </c>
      <c r="BJ254">
        <f ca="1"/>
      </c>
      <c r="BK254">
        <f ca="1"/>
      </c>
      <c r="BL254">
        <f ca="1"/>
      </c>
      <c r="BM254">
        <f ca="1"/>
      </c>
      <c r="BN254">
        <f ca="1"/>
      </c>
      <c r="BO254">
        <f ca="1"/>
      </c>
      <c r="BP254">
        <f ca="1"/>
      </c>
      <c r="BQ254">
        <f ca="1"/>
      </c>
      <c r="BR254">
        <f ca="1"/>
      </c>
      <c r="BS254">
        <f ca="1"/>
      </c>
      <c r="BT254">
        <f ca="1"/>
      </c>
      <c r="BU254">
        <f ca="1"/>
      </c>
      <c r="BV254">
        <f ca="1"/>
      </c>
      <c r="BW254">
        <f ca="1"/>
      </c>
      <c r="BX254">
        <f ca="1"/>
      </c>
      <c r="BY254">
        <f ca="1"/>
      </c>
      <c r="BZ254">
        <f ca="1"/>
      </c>
      <c r="CA254">
        <f ca="1"/>
      </c>
      <c r="CB254">
        <f ca="1"/>
      </c>
      <c r="CC254">
        <f ca="1"/>
      </c>
      <c r="CD254">
        <f ca="1"/>
      </c>
      <c r="CE254">
        <f ca="1"/>
      </c>
      <c r="CF254">
        <f ca="1"/>
      </c>
      <c r="CG254">
        <f ca="1"/>
      </c>
      <c r="CH254">
        <f ca="1"/>
      </c>
      <c r="CI254">
        <f ca="1"/>
      </c>
      <c r="CK254">
        <f ca="1"/>
      </c>
      <c r="CL254">
        <f ca="1"/>
      </c>
      <c r="CM254">
        <f ca="1"/>
      </c>
      <c r="CN254">
        <f ca="1"/>
      </c>
      <c r="CO254">
        <f ca="1"/>
      </c>
      <c r="CP254">
        <f ca="1"/>
      </c>
      <c r="CQ254">
        <f ca="1"/>
      </c>
      <c r="CR254">
        <f ca="1"/>
      </c>
      <c r="CS254">
        <f ca="1"/>
      </c>
      <c r="CT254">
        <f ca="1"/>
      </c>
      <c r="CU254">
        <f ca="1"/>
      </c>
      <c r="CV254">
        <f ca="1"/>
      </c>
      <c r="CW254">
        <f ca="1"/>
      </c>
      <c r="CX254">
        <f ca="1"/>
      </c>
      <c r="CY254">
        <f ca="1"/>
      </c>
      <c r="CZ254">
        <f ca="1"/>
      </c>
      <c r="DA254">
        <f ca="1"/>
      </c>
      <c r="DB254">
        <f ca="1"/>
      </c>
      <c r="DC254">
        <f ca="1"/>
      </c>
      <c r="DD254">
        <f ca="1"/>
      </c>
      <c r="DE254">
        <f ca="1"/>
      </c>
      <c r="DF254">
        <f ca="1"/>
      </c>
      <c r="DG254">
        <f ca="1"/>
      </c>
      <c r="DH254">
        <f ca="1"/>
      </c>
      <c r="DI254">
        <f ca="1"/>
      </c>
      <c r="DJ254">
        <f ca="1"/>
      </c>
      <c r="DK254">
        <f ca="1"/>
      </c>
      <c r="DL254">
        <f ca="1"/>
      </c>
      <c r="DM254">
        <f ca="1"/>
      </c>
      <c r="DN254">
        <f ca="1"/>
      </c>
      <c r="DO254">
        <f ca="1"/>
      </c>
      <c r="DP254">
        <f ca="1"/>
      </c>
      <c r="DQ254">
        <f ca="1"/>
      </c>
      <c r="DR254">
        <f ca="1"/>
      </c>
      <c r="DS254">
        <f ca="1"/>
      </c>
      <c r="DT254">
        <f ca="1"/>
      </c>
      <c r="DU254">
        <f ca="1"/>
      </c>
      <c r="DV254">
        <f ca="1"/>
      </c>
      <c r="DW254">
        <f ca="1"/>
      </c>
      <c r="DX254">
        <f ca="1"/>
      </c>
      <c r="DY254">
        <f ca="1"/>
      </c>
      <c r="DZ254">
        <f ca="1"/>
      </c>
      <c r="EA254">
        <f ca="1"/>
      </c>
      <c r="EB254">
        <f ca="1"/>
      </c>
      <c r="EC254">
        <f ca="1"/>
      </c>
      <c r="ED254">
        <f ca="1"/>
      </c>
      <c r="EE254">
        <f ca="1"/>
      </c>
      <c r="EG254">
        <f ca="1"/>
      </c>
      <c r="EH254">
        <f ca="1"/>
      </c>
      <c r="EI254">
        <f ca="1"/>
      </c>
      <c r="EJ254">
        <f ca="1"/>
      </c>
      <c r="EK254">
        <f ca="1"/>
      </c>
      <c r="EL254">
        <f ca="1"/>
      </c>
      <c r="EM254">
        <f ca="1"/>
      </c>
      <c r="EN254">
        <f ca="1"/>
      </c>
      <c r="EO254">
        <f ca="1"/>
      </c>
      <c r="EP254">
        <f ca="1"/>
      </c>
      <c r="EQ254">
        <f ca="1"/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FS254">
        <f ca="1"/>
      </c>
      <c r="FT254">
        <f ca="1"/>
      </c>
      <c r="FU254">
        <f ca="1"/>
      </c>
      <c r="FV254">
        <f ca="1"/>
      </c>
      <c r="FW254">
        <f ca="1"/>
      </c>
      <c r="FX254">
        <f ca="1"/>
      </c>
      <c r="FY254">
        <f ca="1"/>
      </c>
      <c r="FZ254">
        <f ca="1"/>
      </c>
      <c r="GA254">
        <f ca="1"/>
      </c>
      <c r="GM254" s="7"/>
    </row>
    <row r="255" spans="41:199" x14ac:dyDescent="0.55000000000000004">
      <c r="AO255">
        <f ca="1"/>
      </c>
      <c r="AP255">
        <f ca="1"/>
      </c>
      <c r="AQ255">
        <f ca="1"/>
      </c>
      <c r="AR255">
        <f ca="1"/>
      </c>
      <c r="AS255">
        <f ca="1"/>
      </c>
      <c r="AT255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AZ255">
        <f ca="1"/>
      </c>
      <c r="BA255">
        <f ca="1"/>
      </c>
      <c r="BB255">
        <f ca="1"/>
      </c>
      <c r="BC255">
        <f ca="1"/>
      </c>
      <c r="BD255">
        <f ca="1"/>
      </c>
      <c r="BE255">
        <f ca="1"/>
      </c>
      <c r="BF255">
        <f ca="1"/>
      </c>
      <c r="BG255">
        <f ca="1"/>
      </c>
      <c r="BH255">
        <f ca="1"/>
      </c>
      <c r="BI255">
        <f ca="1"/>
      </c>
      <c r="BJ255">
        <f ca="1"/>
      </c>
      <c r="BK255">
        <f ca="1"/>
      </c>
      <c r="BL255">
        <f ca="1"/>
      </c>
      <c r="BM255">
        <f ca="1"/>
      </c>
      <c r="BN255">
        <f ca="1"/>
      </c>
      <c r="BO255">
        <f ca="1"/>
      </c>
      <c r="BP255">
        <f ca="1"/>
      </c>
      <c r="BQ255">
        <f ca="1"/>
      </c>
      <c r="BR255">
        <f ca="1"/>
      </c>
      <c r="BS255">
        <f ca="1"/>
      </c>
      <c r="BT255">
        <f ca="1"/>
      </c>
      <c r="BU255">
        <f ca="1"/>
      </c>
      <c r="BV255">
        <f ca="1"/>
      </c>
      <c r="BW255">
        <f ca="1"/>
      </c>
      <c r="BX255">
        <f ca="1"/>
      </c>
      <c r="BY255">
        <f ca="1"/>
      </c>
      <c r="BZ255">
        <f ca="1"/>
      </c>
      <c r="CA255">
        <f ca="1"/>
      </c>
      <c r="CB255">
        <f ca="1"/>
      </c>
      <c r="CC255">
        <f ca="1"/>
      </c>
      <c r="CD255">
        <f ca="1"/>
      </c>
      <c r="CE255">
        <f ca="1"/>
      </c>
      <c r="CF255">
        <f ca="1"/>
      </c>
      <c r="CG255">
        <f ca="1"/>
      </c>
      <c r="CH255">
        <f ca="1"/>
      </c>
      <c r="CI255">
        <f ca="1"/>
      </c>
      <c r="CK255">
        <f ca="1"/>
      </c>
      <c r="CL255">
        <f ca="1"/>
      </c>
      <c r="CM255">
        <f ca="1"/>
      </c>
      <c r="CN255">
        <f ca="1"/>
      </c>
      <c r="CO255">
        <f ca="1"/>
      </c>
      <c r="CP255">
        <f ca="1"/>
      </c>
      <c r="CQ255">
        <f ca="1"/>
      </c>
      <c r="CR255">
        <f ca="1"/>
      </c>
      <c r="CS255">
        <f ca="1"/>
      </c>
      <c r="CT255">
        <f ca="1"/>
      </c>
      <c r="CU255">
        <f ca="1"/>
      </c>
      <c r="CV255">
        <f ca="1"/>
      </c>
      <c r="CW255">
        <f ca="1"/>
      </c>
      <c r="CX255">
        <f ca="1"/>
      </c>
      <c r="CY255">
        <f ca="1"/>
      </c>
      <c r="CZ255">
        <f ca="1"/>
      </c>
      <c r="DA255">
        <f ca="1"/>
      </c>
      <c r="DB255">
        <f ca="1"/>
      </c>
      <c r="DC255">
        <f ca="1"/>
      </c>
      <c r="DD255">
        <f ca="1"/>
      </c>
      <c r="DE255">
        <f ca="1"/>
      </c>
      <c r="DF255">
        <f ca="1"/>
      </c>
      <c r="DG255">
        <f ca="1"/>
      </c>
      <c r="DH255">
        <f ca="1"/>
      </c>
      <c r="DI255">
        <f ca="1"/>
      </c>
      <c r="DJ255">
        <f ca="1"/>
      </c>
      <c r="DK255">
        <f ca="1"/>
      </c>
      <c r="DL255">
        <f ca="1"/>
      </c>
      <c r="DM255">
        <f ca="1"/>
      </c>
      <c r="DN255">
        <f ca="1"/>
      </c>
      <c r="DO255">
        <f ca="1"/>
      </c>
      <c r="DP255">
        <f ca="1"/>
      </c>
      <c r="DQ255">
        <f ca="1"/>
      </c>
      <c r="DR255">
        <f ca="1"/>
      </c>
      <c r="DS255">
        <f ca="1"/>
      </c>
      <c r="DT255">
        <f ca="1"/>
      </c>
      <c r="DU255">
        <f ca="1"/>
      </c>
      <c r="DV255">
        <f ca="1"/>
      </c>
      <c r="DW255">
        <f ca="1"/>
      </c>
      <c r="DX255">
        <f ca="1"/>
      </c>
      <c r="DY255">
        <f ca="1"/>
      </c>
      <c r="DZ255">
        <f ca="1"/>
      </c>
      <c r="EA255">
        <f ca="1"/>
      </c>
      <c r="EB255">
        <f ca="1"/>
      </c>
      <c r="EC255">
        <f ca="1"/>
      </c>
      <c r="ED255">
        <f ca="1"/>
      </c>
      <c r="EE255">
        <f ca="1"/>
      </c>
      <c r="EG255">
        <f ca="1"/>
      </c>
      <c r="EH255">
        <f ca="1"/>
      </c>
      <c r="EI255">
        <f ca="1"/>
      </c>
      <c r="EJ255">
        <f ca="1"/>
      </c>
      <c r="EK255">
        <f ca="1"/>
      </c>
      <c r="EL255">
        <f ca="1"/>
      </c>
      <c r="EM255">
        <f ca="1"/>
      </c>
      <c r="EN255">
        <f ca="1"/>
      </c>
      <c r="EO255">
        <f ca="1"/>
      </c>
      <c r="EP255">
        <f ca="1"/>
      </c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FS255">
        <f ca="1"/>
      </c>
      <c r="FT255">
        <f ca="1"/>
      </c>
      <c r="FU255">
        <f ca="1"/>
      </c>
      <c r="FV255">
        <f ca="1"/>
      </c>
      <c r="FW255">
        <f ca="1"/>
      </c>
      <c r="FX255">
        <f ca="1"/>
      </c>
      <c r="FY255">
        <f ca="1"/>
      </c>
      <c r="FZ255">
        <f ca="1"/>
      </c>
      <c r="GA255">
        <f ca="1"/>
      </c>
      <c r="GM255" s="7"/>
    </row>
    <row r="256" spans="41:199" x14ac:dyDescent="0.55000000000000004">
      <c r="AO256">
        <f ca="1"/>
      </c>
      <c r="AP256">
        <f ca="1"/>
      </c>
      <c r="AQ256">
        <f ca="1"/>
      </c>
      <c r="AR256">
        <f ca="1"/>
      </c>
      <c r="AS256">
        <f ca="1"/>
      </c>
      <c r="AT256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AZ256">
        <f ca="1"/>
      </c>
      <c r="BA256">
        <f ca="1"/>
      </c>
      <c r="BB256">
        <f ca="1"/>
      </c>
      <c r="BC256">
        <f ca="1"/>
      </c>
      <c r="BD256">
        <f ca="1"/>
      </c>
      <c r="BE256">
        <f ca="1"/>
      </c>
      <c r="BF256">
        <f ca="1"/>
      </c>
      <c r="BG256">
        <f ca="1"/>
      </c>
      <c r="BH256">
        <f ca="1"/>
      </c>
      <c r="BI256">
        <f ca="1"/>
      </c>
      <c r="BJ256">
        <f ca="1"/>
      </c>
      <c r="BK256">
        <f ca="1"/>
      </c>
      <c r="BL256">
        <f ca="1"/>
      </c>
      <c r="BM256">
        <f ca="1"/>
      </c>
      <c r="BN256">
        <f ca="1"/>
      </c>
      <c r="BO256">
        <f ca="1"/>
      </c>
      <c r="BP256">
        <f ca="1"/>
      </c>
      <c r="BQ256">
        <f ca="1"/>
      </c>
      <c r="BR256">
        <f ca="1"/>
      </c>
      <c r="BS256">
        <f ca="1"/>
      </c>
      <c r="BT256">
        <f ca="1"/>
      </c>
      <c r="BU256">
        <f ca="1"/>
      </c>
      <c r="BV256">
        <f ca="1"/>
      </c>
      <c r="BW256">
        <f ca="1"/>
      </c>
      <c r="BX256">
        <f ca="1"/>
      </c>
      <c r="BY256">
        <f ca="1"/>
      </c>
      <c r="BZ256">
        <f ca="1"/>
      </c>
      <c r="CA256">
        <f ca="1"/>
      </c>
      <c r="CB256">
        <f ca="1"/>
      </c>
      <c r="CC256">
        <f ca="1"/>
      </c>
      <c r="CD256">
        <f ca="1"/>
      </c>
      <c r="CE256">
        <f ca="1"/>
      </c>
      <c r="CF256">
        <f ca="1"/>
      </c>
      <c r="CG256">
        <f ca="1"/>
      </c>
      <c r="CH256">
        <f ca="1"/>
      </c>
      <c r="CI256">
        <f ca="1"/>
      </c>
      <c r="CK256">
        <f ca="1"/>
      </c>
      <c r="CL256">
        <f ca="1"/>
      </c>
      <c r="CM256">
        <f ca="1"/>
      </c>
      <c r="CN256">
        <f ca="1"/>
      </c>
      <c r="CO256">
        <f ca="1"/>
      </c>
      <c r="CP256">
        <f ca="1"/>
      </c>
      <c r="CQ256">
        <f ca="1"/>
      </c>
      <c r="CR256">
        <f ca="1"/>
      </c>
      <c r="CS256">
        <f ca="1"/>
      </c>
      <c r="CT256">
        <f ca="1"/>
      </c>
      <c r="CU256">
        <f ca="1"/>
      </c>
      <c r="CV256">
        <f ca="1"/>
      </c>
      <c r="CW256">
        <f ca="1"/>
      </c>
      <c r="CX256">
        <f ca="1"/>
      </c>
      <c r="CY256">
        <f ca="1"/>
      </c>
      <c r="CZ256">
        <f ca="1"/>
      </c>
      <c r="DA256">
        <f ca="1"/>
      </c>
      <c r="DB256">
        <f ca="1"/>
      </c>
      <c r="DC256">
        <f ca="1"/>
      </c>
      <c r="DD256">
        <f ca="1"/>
      </c>
      <c r="DE256">
        <f ca="1"/>
      </c>
      <c r="DF256">
        <f ca="1"/>
      </c>
      <c r="DG256">
        <f ca="1"/>
      </c>
      <c r="DH256">
        <f ca="1"/>
      </c>
      <c r="DI256">
        <f ca="1"/>
      </c>
      <c r="DJ256">
        <f ca="1"/>
      </c>
      <c r="DK256">
        <f ca="1"/>
      </c>
      <c r="DL256">
        <f ca="1"/>
      </c>
      <c r="DM256">
        <f ca="1"/>
      </c>
      <c r="DN256">
        <f ca="1"/>
      </c>
      <c r="DO256">
        <f ca="1"/>
      </c>
      <c r="DP256">
        <f ca="1"/>
      </c>
      <c r="DQ256">
        <f ca="1"/>
      </c>
      <c r="DR256">
        <f ca="1"/>
      </c>
      <c r="DS256">
        <f ca="1"/>
      </c>
      <c r="DT256">
        <f ca="1"/>
      </c>
      <c r="DU256">
        <f ca="1"/>
      </c>
      <c r="DV256">
        <f ca="1"/>
      </c>
      <c r="DW256">
        <f ca="1"/>
      </c>
      <c r="DX256">
        <f ca="1"/>
      </c>
      <c r="DY256">
        <f ca="1"/>
      </c>
      <c r="DZ256">
        <f ca="1"/>
      </c>
      <c r="EA256">
        <f ca="1"/>
      </c>
      <c r="EB256">
        <f ca="1"/>
      </c>
      <c r="EC256">
        <f ca="1"/>
      </c>
      <c r="ED256">
        <f ca="1"/>
      </c>
      <c r="EE256">
        <f ca="1"/>
      </c>
      <c r="EG256">
        <f ca="1"/>
      </c>
      <c r="EH256">
        <f ca="1"/>
      </c>
      <c r="EI256">
        <f ca="1"/>
      </c>
      <c r="EJ256">
        <f ca="1"/>
      </c>
      <c r="EK256">
        <f ca="1"/>
      </c>
      <c r="EL256">
        <f ca="1"/>
      </c>
      <c r="EM256">
        <f ca="1"/>
      </c>
      <c r="EN256">
        <f ca="1"/>
      </c>
      <c r="EO256">
        <f ca="1"/>
      </c>
      <c r="EP256">
        <f ca="1"/>
      </c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FS256">
        <f ca="1"/>
      </c>
      <c r="FT256">
        <f ca="1"/>
      </c>
      <c r="FU256">
        <f ca="1"/>
      </c>
      <c r="FV256">
        <f ca="1"/>
      </c>
      <c r="FW256">
        <f ca="1"/>
      </c>
      <c r="FX256">
        <f ca="1"/>
      </c>
      <c r="FY256">
        <f ca="1"/>
      </c>
      <c r="FZ256">
        <f ca="1"/>
      </c>
      <c r="GA256">
        <f ca="1"/>
      </c>
      <c r="GM256" s="7"/>
    </row>
    <row r="257" spans="41:195" x14ac:dyDescent="0.55000000000000004">
      <c r="AO257">
        <f ca="1"/>
      </c>
      <c r="AP257">
        <f ca="1"/>
      </c>
      <c r="AQ257">
        <f ca="1"/>
      </c>
      <c r="AR257">
        <f ca="1"/>
      </c>
      <c r="AS257">
        <f ca="1"/>
      </c>
      <c r="AT25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AZ257">
        <f ca="1"/>
      </c>
      <c r="BA257">
        <f ca="1"/>
      </c>
      <c r="BB257">
        <f ca="1"/>
      </c>
      <c r="BC257">
        <f ca="1"/>
      </c>
      <c r="BD257">
        <f ca="1"/>
      </c>
      <c r="BE257">
        <f ca="1"/>
      </c>
      <c r="BF257">
        <f ca="1"/>
      </c>
      <c r="BG257">
        <f ca="1"/>
      </c>
      <c r="BH257">
        <f ca="1"/>
      </c>
      <c r="BI257">
        <f ca="1"/>
      </c>
      <c r="BJ257">
        <f ca="1"/>
      </c>
      <c r="BK257">
        <f ca="1"/>
      </c>
      <c r="BL257">
        <f ca="1"/>
      </c>
      <c r="BM257">
        <f ca="1"/>
      </c>
      <c r="BN257">
        <f ca="1"/>
      </c>
      <c r="BO257">
        <f ca="1"/>
      </c>
      <c r="BP257">
        <f ca="1"/>
      </c>
      <c r="BQ257">
        <f ca="1"/>
      </c>
      <c r="BR257">
        <f ca="1"/>
      </c>
      <c r="BS257">
        <f ca="1"/>
      </c>
      <c r="BT257">
        <f ca="1"/>
      </c>
      <c r="BU257">
        <f ca="1"/>
      </c>
      <c r="BV257">
        <f ca="1"/>
      </c>
      <c r="BW257">
        <f ca="1"/>
      </c>
      <c r="BX257">
        <f ca="1"/>
      </c>
      <c r="BY257">
        <f ca="1"/>
      </c>
      <c r="BZ257">
        <f ca="1"/>
      </c>
      <c r="CA257">
        <f ca="1"/>
      </c>
      <c r="CB257">
        <f ca="1"/>
      </c>
      <c r="CC257">
        <f ca="1"/>
      </c>
      <c r="CD257">
        <f ca="1"/>
      </c>
      <c r="CE257">
        <f ca="1"/>
      </c>
      <c r="CF257">
        <f ca="1"/>
      </c>
      <c r="CG257">
        <f ca="1"/>
      </c>
      <c r="CH257">
        <f ca="1"/>
      </c>
      <c r="CI257">
        <f ca="1"/>
      </c>
      <c r="CK257">
        <f ca="1"/>
      </c>
      <c r="CL257">
        <f ca="1"/>
      </c>
      <c r="CM257">
        <f ca="1"/>
      </c>
      <c r="CN257">
        <f ca="1"/>
      </c>
      <c r="CO257">
        <f ca="1"/>
      </c>
      <c r="CP257">
        <f ca="1"/>
      </c>
      <c r="CQ257">
        <f ca="1"/>
      </c>
      <c r="CR257">
        <f ca="1"/>
      </c>
      <c r="CS257">
        <f ca="1"/>
      </c>
      <c r="CT257">
        <f ca="1"/>
      </c>
      <c r="CU257">
        <f ca="1"/>
      </c>
      <c r="CV257">
        <f ca="1"/>
      </c>
      <c r="CW257">
        <f ca="1"/>
      </c>
      <c r="CX257">
        <f ca="1"/>
      </c>
      <c r="CY257">
        <f ca="1"/>
      </c>
      <c r="CZ257">
        <f ca="1"/>
      </c>
      <c r="DA257">
        <f ca="1"/>
      </c>
      <c r="DB257">
        <f ca="1"/>
      </c>
      <c r="DC257">
        <f ca="1"/>
      </c>
      <c r="DD257">
        <f ca="1"/>
      </c>
      <c r="DE257">
        <f ca="1"/>
      </c>
      <c r="DF257">
        <f ca="1"/>
      </c>
      <c r="DG257">
        <f ca="1"/>
      </c>
      <c r="DH257">
        <f ca="1"/>
      </c>
      <c r="DI257">
        <f ca="1"/>
      </c>
      <c r="DJ257">
        <f ca="1"/>
      </c>
      <c r="DK257">
        <f ca="1"/>
      </c>
      <c r="DL257">
        <f ca="1"/>
      </c>
      <c r="DM257">
        <f ca="1"/>
      </c>
      <c r="DN257">
        <f ca="1"/>
      </c>
      <c r="DO257">
        <f ca="1"/>
      </c>
      <c r="DP257">
        <f ca="1"/>
      </c>
      <c r="DQ257">
        <f ca="1"/>
      </c>
      <c r="DR257">
        <f ca="1"/>
      </c>
      <c r="DS257">
        <f ca="1"/>
      </c>
      <c r="DT257">
        <f ca="1"/>
      </c>
      <c r="DU257">
        <f ca="1"/>
      </c>
      <c r="DV257">
        <f ca="1"/>
      </c>
      <c r="DW257">
        <f ca="1"/>
      </c>
      <c r="DX257">
        <f ca="1"/>
      </c>
      <c r="DY257">
        <f ca="1"/>
      </c>
      <c r="DZ257">
        <f ca="1"/>
      </c>
      <c r="EA257">
        <f ca="1"/>
      </c>
      <c r="EB257">
        <f ca="1"/>
      </c>
      <c r="EC257">
        <f ca="1"/>
      </c>
      <c r="ED257">
        <f ca="1"/>
      </c>
      <c r="EE257">
        <f ca="1"/>
      </c>
      <c r="EG257">
        <f ca="1"/>
      </c>
      <c r="EH257">
        <f ca="1"/>
      </c>
      <c r="EI257">
        <f ca="1"/>
      </c>
      <c r="EJ257">
        <f ca="1"/>
      </c>
      <c r="EK257">
        <f ca="1"/>
      </c>
      <c r="EL257">
        <f ca="1"/>
      </c>
      <c r="EM257">
        <f ca="1"/>
      </c>
      <c r="EN257">
        <f ca="1"/>
      </c>
      <c r="EO257">
        <f ca="1"/>
      </c>
      <c r="EP257">
        <f ca="1"/>
      </c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FS257">
        <f ca="1"/>
      </c>
      <c r="FT257">
        <f ca="1"/>
      </c>
      <c r="FU257">
        <f ca="1"/>
      </c>
      <c r="FV257">
        <f ca="1"/>
      </c>
      <c r="FW257">
        <f ca="1"/>
      </c>
      <c r="FX257">
        <f ca="1"/>
      </c>
      <c r="FY257">
        <f ca="1"/>
      </c>
      <c r="FZ257">
        <f ca="1"/>
      </c>
      <c r="GA257">
        <f ca="1"/>
      </c>
      <c r="GM257" s="7"/>
    </row>
    <row r="258" spans="41:195" x14ac:dyDescent="0.55000000000000004">
      <c r="AO258">
        <f ca="1"/>
      </c>
      <c r="AP258">
        <f ca="1"/>
      </c>
      <c r="AQ258">
        <f ca="1"/>
      </c>
      <c r="AR258">
        <f ca="1"/>
      </c>
      <c r="AS258">
        <f ca="1"/>
      </c>
      <c r="AT258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AZ258">
        <f ca="1"/>
      </c>
      <c r="BA258">
        <f ca="1"/>
      </c>
      <c r="BB258">
        <f ca="1"/>
      </c>
      <c r="BC258">
        <f ca="1"/>
      </c>
      <c r="BD258">
        <f ca="1"/>
      </c>
      <c r="BE258">
        <f ca="1"/>
      </c>
      <c r="BF258">
        <f ca="1"/>
      </c>
      <c r="BG258">
        <f ca="1"/>
      </c>
      <c r="BH258">
        <f ca="1"/>
      </c>
      <c r="BI258">
        <f ca="1"/>
      </c>
      <c r="BJ258">
        <f ca="1"/>
      </c>
      <c r="BK258">
        <f ca="1"/>
      </c>
      <c r="BL258">
        <f ca="1"/>
      </c>
      <c r="BM258">
        <f ca="1"/>
      </c>
      <c r="BN258">
        <f ca="1"/>
      </c>
      <c r="BO258">
        <f ca="1"/>
      </c>
      <c r="BP258">
        <f ca="1"/>
      </c>
      <c r="BQ258">
        <f ca="1"/>
      </c>
      <c r="BR258">
        <f ca="1"/>
      </c>
      <c r="BS258">
        <f ca="1"/>
      </c>
      <c r="BT258">
        <f ca="1"/>
      </c>
      <c r="BU258">
        <f ca="1"/>
      </c>
      <c r="BV258">
        <f ca="1"/>
      </c>
      <c r="BW258">
        <f ca="1"/>
      </c>
      <c r="BX258">
        <f ca="1"/>
      </c>
      <c r="BY258">
        <f ca="1"/>
      </c>
      <c r="BZ258">
        <f ca="1"/>
      </c>
      <c r="CA258">
        <f ca="1"/>
      </c>
      <c r="CB258">
        <f ca="1"/>
      </c>
      <c r="CC258">
        <f ca="1"/>
      </c>
      <c r="CD258">
        <f ca="1"/>
      </c>
      <c r="CE258">
        <f ca="1"/>
      </c>
      <c r="CF258">
        <f ca="1"/>
      </c>
      <c r="CG258">
        <f ca="1"/>
      </c>
      <c r="CH258">
        <f ca="1"/>
      </c>
      <c r="CI258">
        <f ca="1"/>
      </c>
      <c r="CK258">
        <f ca="1"/>
      </c>
      <c r="CL258">
        <f ca="1"/>
      </c>
      <c r="CM258">
        <f ca="1"/>
      </c>
      <c r="CN258">
        <f ca="1"/>
      </c>
      <c r="CO258">
        <f ca="1"/>
      </c>
      <c r="CP258">
        <f ca="1"/>
      </c>
      <c r="CQ258">
        <f ca="1"/>
      </c>
      <c r="CR258">
        <f ca="1"/>
      </c>
      <c r="CS258">
        <f ca="1"/>
      </c>
      <c r="CT258">
        <f ca="1"/>
      </c>
      <c r="CU258">
        <f ca="1"/>
      </c>
      <c r="CV258">
        <f ca="1"/>
      </c>
      <c r="CW258">
        <f ca="1"/>
      </c>
      <c r="CX258">
        <f ca="1"/>
      </c>
      <c r="CY258">
        <f ca="1"/>
      </c>
      <c r="CZ258">
        <f ca="1"/>
      </c>
      <c r="DA258">
        <f ca="1"/>
      </c>
      <c r="DB258">
        <f ca="1"/>
      </c>
      <c r="DC258">
        <f ca="1"/>
      </c>
      <c r="DD258">
        <f ca="1"/>
      </c>
      <c r="DE258">
        <f ca="1"/>
      </c>
      <c r="DF258">
        <f ca="1"/>
      </c>
      <c r="DG258">
        <f ca="1"/>
      </c>
      <c r="DH258">
        <f ca="1"/>
      </c>
      <c r="DI258">
        <f ca="1"/>
      </c>
      <c r="DJ258">
        <f ca="1"/>
      </c>
      <c r="DK258">
        <f ca="1"/>
      </c>
      <c r="DL258">
        <f ca="1"/>
      </c>
      <c r="DM258">
        <f ca="1"/>
      </c>
      <c r="DN258">
        <f ca="1"/>
      </c>
      <c r="DO258">
        <f ca="1"/>
      </c>
      <c r="DP258">
        <f ca="1"/>
      </c>
      <c r="DQ258">
        <f ca="1"/>
      </c>
      <c r="DR258">
        <f ca="1"/>
      </c>
      <c r="DS258">
        <f ca="1"/>
      </c>
      <c r="DT258">
        <f ca="1"/>
      </c>
      <c r="DU258">
        <f ca="1"/>
      </c>
      <c r="DV258">
        <f ca="1"/>
      </c>
      <c r="DW258">
        <f ca="1"/>
      </c>
      <c r="DX258">
        <f ca="1"/>
      </c>
      <c r="DY258">
        <f ca="1"/>
      </c>
      <c r="DZ258">
        <f ca="1"/>
      </c>
      <c r="EA258">
        <f ca="1"/>
      </c>
      <c r="EB258">
        <f ca="1"/>
      </c>
      <c r="EC258">
        <f ca="1"/>
      </c>
      <c r="ED258">
        <f ca="1"/>
      </c>
      <c r="EE258">
        <f ca="1"/>
      </c>
      <c r="EG258">
        <f ca="1"/>
      </c>
      <c r="EH258">
        <f ca="1"/>
      </c>
      <c r="EI258">
        <f ca="1"/>
      </c>
      <c r="EJ258">
        <f ca="1"/>
      </c>
      <c r="EK258">
        <f ca="1"/>
      </c>
      <c r="EL258">
        <f ca="1"/>
      </c>
      <c r="EM258">
        <f ca="1"/>
      </c>
      <c r="EN258">
        <f ca="1"/>
      </c>
      <c r="EO258">
        <f ca="1"/>
      </c>
      <c r="EP258">
        <f ca="1"/>
      </c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FS258">
        <f ca="1"/>
      </c>
      <c r="FT258">
        <f ca="1"/>
      </c>
      <c r="FU258">
        <f ca="1"/>
      </c>
      <c r="FV258">
        <f ca="1"/>
      </c>
      <c r="FW258">
        <f ca="1"/>
      </c>
      <c r="FX258">
        <f ca="1"/>
      </c>
      <c r="FY258">
        <f ca="1"/>
      </c>
      <c r="FZ258">
        <f ca="1"/>
      </c>
      <c r="GA258">
        <f ca="1"/>
      </c>
      <c r="GM258" s="7"/>
    </row>
    <row r="259" spans="41:195" x14ac:dyDescent="0.55000000000000004">
      <c r="AO259">
        <f ca="1"/>
      </c>
      <c r="AP259">
        <f ca="1"/>
      </c>
      <c r="AQ259">
        <f ca="1"/>
      </c>
      <c r="AR259">
        <f ca="1"/>
      </c>
      <c r="AS259">
        <f ca="1"/>
      </c>
      <c r="AT259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AZ259">
        <f ca="1"/>
      </c>
      <c r="BA259">
        <f ca="1"/>
      </c>
      <c r="BB259">
        <f ca="1"/>
      </c>
      <c r="BC259">
        <f ca="1"/>
      </c>
      <c r="BD259">
        <f ca="1"/>
      </c>
      <c r="BE259">
        <f ca="1"/>
      </c>
      <c r="BF259">
        <f ca="1"/>
      </c>
      <c r="BG259">
        <f ca="1"/>
      </c>
      <c r="BH259">
        <f ca="1"/>
      </c>
      <c r="BI259">
        <f ca="1"/>
      </c>
      <c r="BJ259">
        <f ca="1"/>
      </c>
      <c r="BK259">
        <f ca="1"/>
      </c>
      <c r="BL259">
        <f ca="1"/>
      </c>
      <c r="BM259">
        <f ca="1"/>
      </c>
      <c r="BN259">
        <f ca="1"/>
      </c>
      <c r="BO259">
        <f ca="1"/>
      </c>
      <c r="BP259">
        <f ca="1"/>
      </c>
      <c r="BQ259">
        <f ca="1"/>
      </c>
      <c r="BR259">
        <f ca="1"/>
      </c>
      <c r="BS259">
        <f ca="1"/>
      </c>
      <c r="BT259">
        <f ca="1"/>
      </c>
      <c r="BU259">
        <f ca="1"/>
      </c>
      <c r="BV259">
        <f ca="1"/>
      </c>
      <c r="BW259">
        <f ca="1"/>
      </c>
      <c r="BX259">
        <f ca="1"/>
      </c>
      <c r="BY259">
        <f ca="1"/>
      </c>
      <c r="BZ259">
        <f ca="1"/>
      </c>
      <c r="CA259">
        <f ca="1"/>
      </c>
      <c r="CB259">
        <f ca="1"/>
      </c>
      <c r="CC259">
        <f ca="1"/>
      </c>
      <c r="CD259">
        <f ca="1"/>
      </c>
      <c r="CE259">
        <f ca="1"/>
      </c>
      <c r="CF259">
        <f ca="1"/>
      </c>
      <c r="CG259">
        <f ca="1"/>
      </c>
      <c r="CH259">
        <f ca="1"/>
      </c>
      <c r="CI259">
        <f ca="1"/>
      </c>
      <c r="CK259">
        <f ca="1"/>
      </c>
      <c r="CL259">
        <f ca="1"/>
      </c>
      <c r="CM259">
        <f ca="1"/>
      </c>
      <c r="CN259">
        <f ca="1"/>
      </c>
      <c r="CO259">
        <f ca="1"/>
      </c>
      <c r="CP259">
        <f ca="1"/>
      </c>
      <c r="CQ259">
        <f ca="1"/>
      </c>
      <c r="CR259">
        <f ca="1"/>
      </c>
      <c r="CS259">
        <f ca="1"/>
      </c>
      <c r="CT259">
        <f ca="1"/>
      </c>
      <c r="CU259">
        <f ca="1"/>
      </c>
      <c r="CV259">
        <f ca="1"/>
      </c>
      <c r="CW259">
        <f ca="1"/>
      </c>
      <c r="CX259">
        <f ca="1"/>
      </c>
      <c r="CY259">
        <f ca="1"/>
      </c>
      <c r="CZ259">
        <f ca="1"/>
      </c>
      <c r="DA259">
        <f ca="1"/>
      </c>
      <c r="DB259">
        <f ca="1"/>
      </c>
      <c r="DC259">
        <f ca="1"/>
      </c>
      <c r="DD259">
        <f ca="1"/>
      </c>
      <c r="DE259">
        <f ca="1"/>
      </c>
      <c r="DF259">
        <f ca="1"/>
      </c>
      <c r="DG259">
        <f ca="1"/>
      </c>
      <c r="DH259">
        <f ca="1"/>
      </c>
      <c r="DI259">
        <f ca="1"/>
      </c>
      <c r="DJ259">
        <f ca="1"/>
      </c>
      <c r="DK259">
        <f ca="1"/>
      </c>
      <c r="DL259">
        <f ca="1"/>
      </c>
      <c r="DM259">
        <f ca="1"/>
      </c>
      <c r="DN259">
        <f ca="1"/>
      </c>
      <c r="DO259">
        <f ca="1"/>
      </c>
      <c r="DP259">
        <f ca="1"/>
      </c>
      <c r="DQ259">
        <f ca="1"/>
      </c>
      <c r="DR259">
        <f ca="1"/>
      </c>
      <c r="DS259">
        <f ca="1"/>
      </c>
      <c r="DT259">
        <f ca="1"/>
      </c>
      <c r="DU259">
        <f ca="1"/>
      </c>
      <c r="DV259">
        <f ca="1"/>
      </c>
      <c r="DW259">
        <f ca="1"/>
      </c>
      <c r="DX259">
        <f ca="1"/>
      </c>
      <c r="DY259">
        <f ca="1"/>
      </c>
      <c r="DZ259">
        <f ca="1"/>
      </c>
      <c r="EA259">
        <f ca="1"/>
      </c>
      <c r="EB259">
        <f ca="1"/>
      </c>
      <c r="EC259">
        <f ca="1"/>
      </c>
      <c r="ED259">
        <f ca="1"/>
      </c>
      <c r="EE259">
        <f ca="1"/>
      </c>
      <c r="EG259">
        <f ca="1"/>
      </c>
      <c r="EH259">
        <f ca="1"/>
      </c>
      <c r="EI259">
        <f ca="1"/>
      </c>
      <c r="EJ259">
        <f ca="1"/>
      </c>
      <c r="EK259">
        <f ca="1"/>
      </c>
      <c r="EL259">
        <f ca="1"/>
      </c>
      <c r="EM259">
        <f ca="1"/>
      </c>
      <c r="EN259">
        <f ca="1"/>
      </c>
      <c r="EO259">
        <f ca="1"/>
      </c>
      <c r="EP259">
        <f ca="1"/>
      </c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FS259">
        <f ca="1"/>
      </c>
      <c r="FT259">
        <f ca="1"/>
      </c>
      <c r="FU259">
        <f ca="1"/>
      </c>
      <c r="FV259">
        <f ca="1"/>
      </c>
      <c r="FW259">
        <f ca="1"/>
      </c>
      <c r="FX259">
        <f ca="1"/>
      </c>
      <c r="FY259">
        <f ca="1"/>
      </c>
      <c r="FZ259">
        <f ca="1"/>
      </c>
      <c r="GA259">
        <f ca="1"/>
      </c>
      <c r="GM259" s="7"/>
    </row>
    <row r="260" spans="41:195" x14ac:dyDescent="0.55000000000000004">
      <c r="AO260">
        <f ca="1"/>
      </c>
      <c r="AP260">
        <f ca="1"/>
      </c>
      <c r="AQ260">
        <f ca="1"/>
      </c>
      <c r="AR260">
        <f ca="1"/>
      </c>
      <c r="AS260">
        <f ca="1"/>
      </c>
      <c r="AT260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AZ260">
        <f ca="1"/>
      </c>
      <c r="BA260">
        <f ca="1"/>
      </c>
      <c r="BB260">
        <f ca="1"/>
      </c>
      <c r="BC260">
        <f ca="1"/>
      </c>
      <c r="BD260">
        <f ca="1"/>
      </c>
      <c r="BE260">
        <f ca="1"/>
      </c>
      <c r="BF260">
        <f ca="1"/>
      </c>
      <c r="BG260">
        <f ca="1"/>
      </c>
      <c r="BH260">
        <f ca="1"/>
      </c>
      <c r="BI260">
        <f ca="1"/>
      </c>
      <c r="BJ260">
        <f ca="1"/>
      </c>
      <c r="BK260">
        <f ca="1"/>
      </c>
      <c r="BL260">
        <f ca="1"/>
      </c>
      <c r="BM260">
        <f ca="1"/>
      </c>
      <c r="BN260">
        <f ca="1"/>
      </c>
      <c r="BO260">
        <f ca="1"/>
      </c>
      <c r="BP260">
        <f ca="1"/>
      </c>
      <c r="BQ260">
        <f ca="1"/>
      </c>
      <c r="BR260">
        <f ca="1"/>
      </c>
      <c r="BS260">
        <f ca="1"/>
      </c>
      <c r="BT260">
        <f ca="1"/>
      </c>
      <c r="BU260">
        <f ca="1"/>
      </c>
      <c r="BV260">
        <f ca="1"/>
      </c>
      <c r="BW260">
        <f ca="1"/>
      </c>
      <c r="BX260">
        <f ca="1"/>
      </c>
      <c r="BY260">
        <f ca="1"/>
      </c>
      <c r="BZ260">
        <f ca="1"/>
      </c>
      <c r="CA260">
        <f ca="1"/>
      </c>
      <c r="CB260">
        <f ca="1"/>
      </c>
      <c r="CC260">
        <f ca="1"/>
      </c>
      <c r="CD260">
        <f ca="1"/>
      </c>
      <c r="CE260">
        <f ca="1"/>
      </c>
      <c r="CF260">
        <f ca="1"/>
      </c>
      <c r="CG260">
        <f ca="1"/>
      </c>
      <c r="CH260">
        <f ca="1"/>
      </c>
      <c r="CI260">
        <f ca="1"/>
      </c>
      <c r="CK260">
        <f ca="1"/>
      </c>
      <c r="CL260">
        <f ca="1"/>
      </c>
      <c r="CM260">
        <f ca="1"/>
      </c>
      <c r="CN260">
        <f ca="1"/>
      </c>
      <c r="CO260">
        <f ca="1"/>
      </c>
      <c r="CP260">
        <f ca="1"/>
      </c>
      <c r="CQ260">
        <f ca="1"/>
      </c>
      <c r="CR260">
        <f ca="1"/>
      </c>
      <c r="CS260">
        <f ca="1"/>
      </c>
      <c r="CT260">
        <f ca="1"/>
      </c>
      <c r="CU260">
        <f ca="1"/>
      </c>
      <c r="CV260">
        <f ca="1"/>
      </c>
      <c r="CW260">
        <f ca="1"/>
      </c>
      <c r="CX260">
        <f ca="1"/>
      </c>
      <c r="CY260">
        <f ca="1"/>
      </c>
      <c r="CZ260">
        <f ca="1"/>
      </c>
      <c r="DA260">
        <f ca="1"/>
      </c>
      <c r="DB260">
        <f ca="1"/>
      </c>
      <c r="DC260">
        <f ca="1"/>
      </c>
      <c r="DD260">
        <f ca="1"/>
      </c>
      <c r="DE260">
        <f ca="1"/>
      </c>
      <c r="DF260">
        <f ca="1"/>
      </c>
      <c r="DG260">
        <f ca="1"/>
      </c>
      <c r="DH260">
        <f ca="1"/>
      </c>
      <c r="DI260">
        <f ca="1"/>
      </c>
      <c r="DJ260">
        <f ca="1"/>
      </c>
      <c r="DK260">
        <f ca="1"/>
      </c>
      <c r="DL260">
        <f ca="1"/>
      </c>
      <c r="DM260">
        <f ca="1"/>
      </c>
      <c r="DN260">
        <f ca="1"/>
      </c>
      <c r="DO260">
        <f ca="1"/>
      </c>
      <c r="DP260">
        <f ca="1"/>
      </c>
      <c r="DQ260">
        <f ca="1"/>
      </c>
      <c r="DR260">
        <f ca="1"/>
      </c>
      <c r="DS260">
        <f ca="1"/>
      </c>
      <c r="DT260">
        <f ca="1"/>
      </c>
      <c r="DU260">
        <f ca="1"/>
      </c>
      <c r="DV260">
        <f ca="1"/>
      </c>
      <c r="DW260">
        <f ca="1"/>
      </c>
      <c r="DX260">
        <f ca="1"/>
      </c>
      <c r="DY260">
        <f ca="1"/>
      </c>
      <c r="DZ260">
        <f ca="1"/>
      </c>
      <c r="EA260">
        <f ca="1"/>
      </c>
      <c r="EB260">
        <f ca="1"/>
      </c>
      <c r="EC260">
        <f ca="1"/>
      </c>
      <c r="ED260">
        <f ca="1"/>
      </c>
      <c r="EE260">
        <f ca="1"/>
      </c>
      <c r="EG260">
        <f ca="1"/>
      </c>
      <c r="EH260">
        <f ca="1"/>
      </c>
      <c r="EI260">
        <f ca="1"/>
      </c>
      <c r="EJ260">
        <f ca="1"/>
      </c>
      <c r="EK260">
        <f ca="1"/>
      </c>
      <c r="EL260">
        <f ca="1"/>
      </c>
      <c r="EM260">
        <f ca="1"/>
      </c>
      <c r="EN260">
        <f ca="1"/>
      </c>
      <c r="EO260">
        <f ca="1"/>
      </c>
      <c r="EP260">
        <f ca="1"/>
      </c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FS260">
        <f ca="1"/>
      </c>
      <c r="FT260">
        <f ca="1"/>
      </c>
      <c r="FU260">
        <f ca="1"/>
      </c>
      <c r="FV260">
        <f ca="1"/>
      </c>
      <c r="FW260">
        <f ca="1"/>
      </c>
      <c r="FX260">
        <f ca="1"/>
      </c>
      <c r="FY260">
        <f ca="1"/>
      </c>
      <c r="FZ260">
        <f ca="1"/>
      </c>
      <c r="GA260">
        <f ca="1"/>
      </c>
      <c r="GM260" s="7"/>
    </row>
    <row r="261" spans="41:195" x14ac:dyDescent="0.55000000000000004">
      <c r="AO261">
        <f ca="1"/>
      </c>
      <c r="AP261">
        <f ca="1"/>
      </c>
      <c r="AQ261">
        <f ca="1"/>
      </c>
      <c r="AR261">
        <f ca="1"/>
      </c>
      <c r="AS261">
        <f ca="1"/>
      </c>
      <c r="AT261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AZ261">
        <f ca="1"/>
      </c>
      <c r="BA261">
        <f ca="1"/>
      </c>
      <c r="BB261">
        <f ca="1"/>
      </c>
      <c r="BC261">
        <f ca="1"/>
      </c>
      <c r="BD261">
        <f ca="1"/>
      </c>
      <c r="BE261">
        <f ca="1"/>
      </c>
      <c r="BF261">
        <f ca="1"/>
      </c>
      <c r="BG261">
        <f ca="1"/>
      </c>
      <c r="BH261">
        <f ca="1"/>
      </c>
      <c r="BI261">
        <f ca="1"/>
      </c>
      <c r="BJ261">
        <f ca="1"/>
      </c>
      <c r="BK261">
        <f ca="1"/>
      </c>
      <c r="BL261">
        <f ca="1"/>
      </c>
      <c r="BM261">
        <f ca="1"/>
      </c>
      <c r="BN261">
        <f ca="1"/>
      </c>
      <c r="BO261">
        <f ca="1"/>
      </c>
      <c r="BP261">
        <f ca="1"/>
      </c>
      <c r="BQ261">
        <f ca="1"/>
      </c>
      <c r="BR261">
        <f ca="1"/>
      </c>
      <c r="BS261">
        <f ca="1"/>
      </c>
      <c r="BT261">
        <f ca="1"/>
      </c>
      <c r="BU261">
        <f ca="1"/>
      </c>
      <c r="BV261">
        <f ca="1"/>
      </c>
      <c r="BW261">
        <f ca="1"/>
      </c>
      <c r="BX261">
        <f ca="1"/>
      </c>
      <c r="BY261">
        <f ca="1"/>
      </c>
      <c r="BZ261">
        <f ca="1"/>
      </c>
      <c r="CA261">
        <f ca="1"/>
      </c>
      <c r="CB261">
        <f ca="1"/>
      </c>
      <c r="CC261">
        <f ca="1"/>
      </c>
      <c r="CD261">
        <f ca="1"/>
      </c>
      <c r="CE261">
        <f ca="1"/>
      </c>
      <c r="CF261">
        <f ca="1"/>
      </c>
      <c r="CG261">
        <f ca="1"/>
      </c>
      <c r="CH261">
        <f ca="1"/>
      </c>
      <c r="CI261">
        <f ca="1"/>
      </c>
      <c r="CK261">
        <f ca="1"/>
      </c>
      <c r="CL261">
        <f ca="1"/>
      </c>
      <c r="CM261">
        <f ca="1"/>
      </c>
      <c r="CN261">
        <f ca="1"/>
      </c>
      <c r="CO261">
        <f ca="1"/>
      </c>
      <c r="CP261">
        <f ca="1"/>
      </c>
      <c r="CQ261">
        <f ca="1"/>
      </c>
      <c r="CR261">
        <f ca="1"/>
      </c>
      <c r="CS261">
        <f ca="1"/>
      </c>
      <c r="CT261">
        <f ca="1"/>
      </c>
      <c r="CU261">
        <f ca="1"/>
      </c>
      <c r="CV261">
        <f ca="1"/>
      </c>
      <c r="CW261">
        <f ca="1"/>
      </c>
      <c r="CX261">
        <f ca="1"/>
      </c>
      <c r="CY261">
        <f ca="1"/>
      </c>
      <c r="CZ261">
        <f ca="1"/>
      </c>
      <c r="DA261">
        <f ca="1"/>
      </c>
      <c r="DB261">
        <f ca="1"/>
      </c>
      <c r="DC261">
        <f ca="1"/>
      </c>
      <c r="DD261">
        <f ca="1"/>
      </c>
      <c r="DE261">
        <f ca="1"/>
      </c>
      <c r="DF261">
        <f ca="1"/>
      </c>
      <c r="DG261">
        <f ca="1"/>
      </c>
      <c r="DH261">
        <f ca="1"/>
      </c>
      <c r="DI261">
        <f ca="1"/>
      </c>
      <c r="DJ261">
        <f ca="1"/>
      </c>
      <c r="DK261">
        <f ca="1"/>
      </c>
      <c r="DL261">
        <f ca="1"/>
      </c>
      <c r="DM261">
        <f ca="1"/>
      </c>
      <c r="DN261">
        <f ca="1"/>
      </c>
      <c r="DO261">
        <f ca="1"/>
      </c>
      <c r="DP261">
        <f ca="1"/>
      </c>
      <c r="DQ261">
        <f ca="1"/>
      </c>
      <c r="DR261">
        <f ca="1"/>
      </c>
      <c r="DS261">
        <f ca="1"/>
      </c>
      <c r="DT261">
        <f ca="1"/>
      </c>
      <c r="DU261">
        <f ca="1"/>
      </c>
      <c r="DV261">
        <f ca="1"/>
      </c>
      <c r="DW261">
        <f ca="1"/>
      </c>
      <c r="DX261">
        <f ca="1"/>
      </c>
      <c r="DY261">
        <f ca="1"/>
      </c>
      <c r="DZ261">
        <f ca="1"/>
      </c>
      <c r="EA261">
        <f ca="1"/>
      </c>
      <c r="EB261">
        <f ca="1"/>
      </c>
      <c r="EC261">
        <f ca="1"/>
      </c>
      <c r="ED261">
        <f ca="1"/>
      </c>
      <c r="EE261">
        <f ca="1"/>
      </c>
      <c r="EG261">
        <f ca="1"/>
      </c>
      <c r="EH261">
        <f ca="1"/>
      </c>
      <c r="EI261">
        <f ca="1"/>
      </c>
      <c r="EJ261">
        <f ca="1"/>
      </c>
      <c r="EK261">
        <f ca="1"/>
      </c>
      <c r="EL261">
        <f ca="1"/>
      </c>
      <c r="EM261">
        <f ca="1"/>
      </c>
      <c r="EN261">
        <f ca="1"/>
      </c>
      <c r="EO261">
        <f ca="1"/>
      </c>
      <c r="EP261">
        <f ca="1"/>
      </c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FS261">
        <f ca="1"/>
      </c>
      <c r="FT261">
        <f ca="1"/>
      </c>
      <c r="FU261">
        <f ca="1"/>
      </c>
      <c r="FV261">
        <f ca="1"/>
      </c>
      <c r="FW261">
        <f ca="1"/>
      </c>
      <c r="FX261">
        <f ca="1"/>
      </c>
      <c r="FY261">
        <f ca="1"/>
      </c>
      <c r="FZ261">
        <f ca="1"/>
      </c>
      <c r="GA261">
        <f ca="1"/>
      </c>
      <c r="GM261" s="7"/>
    </row>
    <row r="262" spans="41:195" x14ac:dyDescent="0.55000000000000004">
      <c r="AO262">
        <f ca="1"/>
      </c>
      <c r="AP262">
        <f ca="1"/>
      </c>
      <c r="AQ262">
        <f ca="1"/>
      </c>
      <c r="AR262">
        <f ca="1"/>
      </c>
      <c r="AS262">
        <f ca="1"/>
      </c>
      <c r="AT262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AZ262">
        <f ca="1"/>
      </c>
      <c r="BA262">
        <f ca="1"/>
      </c>
      <c r="BB262">
        <f ca="1"/>
      </c>
      <c r="BC262">
        <f ca="1"/>
      </c>
      <c r="BD262">
        <f ca="1"/>
      </c>
      <c r="BE262">
        <f ca="1"/>
      </c>
      <c r="BF262">
        <f ca="1"/>
      </c>
      <c r="BG262">
        <f ca="1"/>
      </c>
      <c r="BH262">
        <f ca="1"/>
      </c>
      <c r="BI262">
        <f ca="1"/>
      </c>
      <c r="BJ262">
        <f ca="1"/>
      </c>
      <c r="BK262">
        <f ca="1"/>
      </c>
      <c r="BL262">
        <f ca="1"/>
      </c>
      <c r="BM262">
        <f ca="1"/>
      </c>
      <c r="BN262">
        <f ca="1"/>
      </c>
      <c r="BO262">
        <f ca="1"/>
      </c>
      <c r="BP262">
        <f ca="1"/>
      </c>
      <c r="BQ262">
        <f ca="1"/>
      </c>
      <c r="BR262">
        <f ca="1"/>
      </c>
      <c r="BS262">
        <f ca="1"/>
      </c>
      <c r="BT262">
        <f ca="1"/>
      </c>
      <c r="BU262">
        <f ca="1"/>
      </c>
      <c r="BV262">
        <f ca="1"/>
      </c>
      <c r="BW262">
        <f ca="1"/>
      </c>
      <c r="BX262">
        <f ca="1"/>
      </c>
      <c r="BY262">
        <f ca="1"/>
      </c>
      <c r="BZ262">
        <f ca="1"/>
      </c>
      <c r="CA262">
        <f ca="1"/>
      </c>
      <c r="CB262">
        <f ca="1"/>
      </c>
      <c r="CC262">
        <f ca="1"/>
      </c>
      <c r="CD262">
        <f ca="1"/>
      </c>
      <c r="CE262">
        <f ca="1"/>
      </c>
      <c r="CF262">
        <f ca="1"/>
      </c>
      <c r="CG262">
        <f ca="1"/>
      </c>
      <c r="CH262">
        <f ca="1"/>
      </c>
      <c r="CI262">
        <f ca="1"/>
      </c>
      <c r="CK262">
        <f ca="1"/>
      </c>
      <c r="CL262">
        <f ca="1"/>
      </c>
      <c r="CM262">
        <f ca="1"/>
      </c>
      <c r="CN262">
        <f ca="1"/>
      </c>
      <c r="CO262">
        <f ca="1"/>
      </c>
      <c r="CP262">
        <f ca="1"/>
      </c>
      <c r="CQ262">
        <f ca="1"/>
      </c>
      <c r="CR262">
        <f ca="1"/>
      </c>
      <c r="CS262">
        <f ca="1"/>
      </c>
      <c r="CT262">
        <f ca="1"/>
      </c>
      <c r="CU262">
        <f ca="1"/>
      </c>
      <c r="CV262">
        <f ca="1"/>
      </c>
      <c r="CW262">
        <f ca="1"/>
      </c>
      <c r="CX262">
        <f ca="1"/>
      </c>
      <c r="CY262">
        <f ca="1"/>
      </c>
      <c r="CZ262">
        <f ca="1"/>
      </c>
      <c r="DA262">
        <f ca="1"/>
      </c>
      <c r="DB262">
        <f ca="1"/>
      </c>
      <c r="DC262">
        <f ca="1"/>
      </c>
      <c r="DD262">
        <f ca="1"/>
      </c>
      <c r="DE262">
        <f ca="1"/>
      </c>
      <c r="DF262">
        <f ca="1"/>
      </c>
      <c r="DG262">
        <f ca="1"/>
      </c>
      <c r="DH262">
        <f ca="1"/>
      </c>
      <c r="DI262">
        <f ca="1"/>
      </c>
      <c r="DJ262">
        <f ca="1"/>
      </c>
      <c r="DK262">
        <f ca="1"/>
      </c>
      <c r="DL262">
        <f ca="1"/>
      </c>
      <c r="DM262">
        <f ca="1"/>
      </c>
      <c r="DN262">
        <f ca="1"/>
      </c>
      <c r="DO262">
        <f ca="1"/>
      </c>
      <c r="DP262">
        <f ca="1"/>
      </c>
      <c r="DQ262">
        <f ca="1"/>
      </c>
      <c r="DR262">
        <f ca="1"/>
      </c>
      <c r="DS262">
        <f ca="1"/>
      </c>
      <c r="DT262">
        <f ca="1"/>
      </c>
      <c r="DU262">
        <f ca="1"/>
      </c>
      <c r="DV262">
        <f ca="1"/>
      </c>
      <c r="DW262">
        <f ca="1"/>
      </c>
      <c r="DX262">
        <f ca="1"/>
      </c>
      <c r="DY262">
        <f ca="1"/>
      </c>
      <c r="DZ262">
        <f ca="1"/>
      </c>
      <c r="EA262">
        <f ca="1"/>
      </c>
      <c r="EB262">
        <f ca="1"/>
      </c>
      <c r="EC262">
        <f ca="1"/>
      </c>
      <c r="ED262">
        <f ca="1"/>
      </c>
      <c r="EE262">
        <f ca="1"/>
      </c>
      <c r="EG262">
        <f ca="1"/>
      </c>
      <c r="EH262">
        <f ca="1"/>
      </c>
      <c r="EI262">
        <f ca="1"/>
      </c>
      <c r="EJ262">
        <f ca="1"/>
      </c>
      <c r="EK262">
        <f ca="1"/>
      </c>
      <c r="EL262">
        <f ca="1"/>
      </c>
      <c r="EM262">
        <f ca="1"/>
      </c>
      <c r="EN262">
        <f ca="1"/>
      </c>
      <c r="EO262">
        <f ca="1"/>
      </c>
      <c r="EP262">
        <f ca="1"/>
      </c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FS262">
        <f ca="1"/>
      </c>
      <c r="FT262">
        <f ca="1"/>
      </c>
      <c r="FU262">
        <f ca="1"/>
      </c>
      <c r="FV262">
        <f ca="1"/>
      </c>
      <c r="FW262">
        <f ca="1"/>
      </c>
      <c r="FX262">
        <f ca="1"/>
      </c>
      <c r="FY262">
        <f ca="1"/>
      </c>
      <c r="FZ262">
        <f ca="1"/>
      </c>
      <c r="GA262">
        <f ca="1"/>
      </c>
      <c r="GM262" s="7"/>
    </row>
    <row r="263" spans="41:195" x14ac:dyDescent="0.55000000000000004">
      <c r="AO263">
        <f ca="1"/>
      </c>
      <c r="AP263">
        <f ca="1"/>
      </c>
      <c r="AQ263">
        <f ca="1"/>
      </c>
      <c r="AR263">
        <f ca="1"/>
      </c>
      <c r="AS263">
        <f ca="1"/>
      </c>
      <c r="AT263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AZ263">
        <f ca="1"/>
      </c>
      <c r="BA263">
        <f ca="1"/>
      </c>
      <c r="BB263">
        <f ca="1"/>
      </c>
      <c r="BC263">
        <f ca="1"/>
      </c>
      <c r="BD263">
        <f ca="1"/>
      </c>
      <c r="BE263">
        <f ca="1"/>
      </c>
      <c r="BF263">
        <f ca="1"/>
      </c>
      <c r="BG263">
        <f ca="1"/>
      </c>
      <c r="BH263">
        <f ca="1"/>
      </c>
      <c r="BI263">
        <f ca="1"/>
      </c>
      <c r="BJ263">
        <f ca="1"/>
      </c>
      <c r="BK263">
        <f ca="1"/>
      </c>
      <c r="BL263">
        <f ca="1"/>
      </c>
      <c r="BM263">
        <f ca="1"/>
      </c>
      <c r="BN263">
        <f ca="1"/>
      </c>
      <c r="BO263">
        <f ca="1"/>
      </c>
      <c r="BP263">
        <f ca="1"/>
      </c>
      <c r="BQ263">
        <f ca="1"/>
      </c>
      <c r="BR263">
        <f ca="1"/>
      </c>
      <c r="BS263">
        <f ca="1"/>
      </c>
      <c r="BT263">
        <f ca="1"/>
      </c>
      <c r="BU263">
        <f ca="1"/>
      </c>
      <c r="BV263">
        <f ca="1"/>
      </c>
      <c r="BW263">
        <f ca="1"/>
      </c>
      <c r="BX263">
        <f ca="1"/>
      </c>
      <c r="BY263">
        <f ca="1"/>
      </c>
      <c r="BZ263">
        <f ca="1"/>
      </c>
      <c r="CA263">
        <f ca="1"/>
      </c>
      <c r="CB263">
        <f ca="1"/>
      </c>
      <c r="CC263">
        <f ca="1"/>
      </c>
      <c r="CD263">
        <f ca="1"/>
      </c>
      <c r="CE263">
        <f ca="1"/>
      </c>
      <c r="CF263">
        <f ca="1"/>
      </c>
      <c r="CG263">
        <f ca="1"/>
      </c>
      <c r="CH263">
        <f ca="1"/>
      </c>
      <c r="CI263">
        <f ca="1"/>
      </c>
      <c r="CK263">
        <f ca="1"/>
      </c>
      <c r="CL263">
        <f ca="1"/>
      </c>
      <c r="CM263">
        <f ca="1"/>
      </c>
      <c r="CN263">
        <f ca="1"/>
      </c>
      <c r="CO263">
        <f ca="1"/>
      </c>
      <c r="CP263">
        <f ca="1"/>
      </c>
      <c r="CQ263">
        <f ca="1"/>
      </c>
      <c r="CR263">
        <f ca="1"/>
      </c>
      <c r="CS263">
        <f ca="1"/>
      </c>
      <c r="CT263">
        <f ca="1"/>
      </c>
      <c r="CU263">
        <f ca="1"/>
      </c>
      <c r="CV263">
        <f ca="1"/>
      </c>
      <c r="CW263">
        <f ca="1"/>
      </c>
      <c r="CX263">
        <f ca="1"/>
      </c>
      <c r="CY263">
        <f ca="1"/>
      </c>
      <c r="CZ263">
        <f ca="1"/>
      </c>
      <c r="DA263">
        <f ca="1"/>
      </c>
      <c r="DB263">
        <f ca="1"/>
      </c>
      <c r="DC263">
        <f ca="1"/>
      </c>
      <c r="DD263">
        <f ca="1"/>
      </c>
      <c r="DE263">
        <f ca="1"/>
      </c>
      <c r="DF263">
        <f ca="1"/>
      </c>
      <c r="DG263">
        <f ca="1"/>
      </c>
      <c r="DH263">
        <f ca="1"/>
      </c>
      <c r="DI263">
        <f ca="1"/>
      </c>
      <c r="DJ263">
        <f ca="1"/>
      </c>
      <c r="DK263">
        <f ca="1"/>
      </c>
      <c r="DL263">
        <f ca="1"/>
      </c>
      <c r="DM263">
        <f ca="1"/>
      </c>
      <c r="DN263">
        <f ca="1"/>
      </c>
      <c r="DO263">
        <f ca="1"/>
      </c>
      <c r="DP263">
        <f ca="1"/>
      </c>
      <c r="DQ263">
        <f ca="1"/>
      </c>
      <c r="DR263">
        <f ca="1"/>
      </c>
      <c r="DS263">
        <f ca="1"/>
      </c>
      <c r="DT263">
        <f ca="1"/>
      </c>
      <c r="DU263">
        <f ca="1"/>
      </c>
      <c r="DV263">
        <f ca="1"/>
      </c>
      <c r="DW263">
        <f ca="1"/>
      </c>
      <c r="DX263">
        <f ca="1"/>
      </c>
      <c r="DY263">
        <f ca="1"/>
      </c>
      <c r="DZ263">
        <f ca="1"/>
      </c>
      <c r="EA263">
        <f ca="1"/>
      </c>
      <c r="EB263">
        <f ca="1"/>
      </c>
      <c r="EC263">
        <f ca="1"/>
      </c>
      <c r="ED263">
        <f ca="1"/>
      </c>
      <c r="EE263">
        <f ca="1"/>
      </c>
      <c r="EG263">
        <f ca="1"/>
      </c>
      <c r="EH263">
        <f ca="1"/>
      </c>
      <c r="EI263">
        <f ca="1"/>
      </c>
      <c r="EJ263">
        <f ca="1"/>
      </c>
      <c r="EK263">
        <f ca="1"/>
      </c>
      <c r="EL263">
        <f ca="1"/>
      </c>
      <c r="EM263">
        <f ca="1"/>
      </c>
      <c r="EN263">
        <f ca="1"/>
      </c>
      <c r="EO263">
        <f ca="1"/>
      </c>
      <c r="EP263">
        <f ca="1"/>
      </c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FS263">
        <f ca="1"/>
      </c>
      <c r="FT263">
        <f ca="1"/>
      </c>
      <c r="FU263">
        <f ca="1"/>
      </c>
      <c r="FV263">
        <f ca="1"/>
      </c>
      <c r="FW263">
        <f ca="1"/>
      </c>
      <c r="FX263">
        <f ca="1"/>
      </c>
      <c r="FY263">
        <f ca="1"/>
      </c>
      <c r="FZ263">
        <f ca="1"/>
      </c>
      <c r="GA263">
        <f ca="1"/>
      </c>
      <c r="GM263" s="7"/>
    </row>
    <row r="264" spans="41:195" x14ac:dyDescent="0.55000000000000004">
      <c r="AO264">
        <f ca="1"/>
      </c>
      <c r="AP264">
        <f ca="1"/>
      </c>
      <c r="AQ264">
        <f ca="1"/>
      </c>
      <c r="AR264">
        <f ca="1"/>
      </c>
      <c r="AS264">
        <f ca="1"/>
      </c>
      <c r="AT264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AZ264">
        <f ca="1"/>
      </c>
      <c r="BA264">
        <f ca="1"/>
      </c>
      <c r="BB264">
        <f ca="1"/>
      </c>
      <c r="BC264">
        <f ca="1"/>
      </c>
      <c r="BD264">
        <f ca="1"/>
      </c>
      <c r="BE264">
        <f ca="1"/>
      </c>
      <c r="BF264">
        <f ca="1"/>
      </c>
      <c r="BG264">
        <f ca="1"/>
      </c>
      <c r="BH264">
        <f ca="1"/>
      </c>
      <c r="BI264">
        <f ca="1"/>
      </c>
      <c r="BJ264">
        <f ca="1"/>
      </c>
      <c r="BK264">
        <f ca="1"/>
      </c>
      <c r="BL264">
        <f ca="1"/>
      </c>
      <c r="BM264">
        <f ca="1"/>
      </c>
      <c r="BN264">
        <f ca="1"/>
      </c>
      <c r="BO264">
        <f ca="1"/>
      </c>
      <c r="BP264">
        <f ca="1"/>
      </c>
      <c r="BQ264">
        <f ca="1"/>
      </c>
      <c r="BR264">
        <f ca="1"/>
      </c>
      <c r="BS264">
        <f ca="1"/>
      </c>
      <c r="BT264">
        <f ca="1"/>
      </c>
      <c r="BU264">
        <f ca="1"/>
      </c>
      <c r="BV264">
        <f ca="1"/>
      </c>
      <c r="BW264">
        <f ca="1"/>
      </c>
      <c r="BX264">
        <f ca="1"/>
      </c>
      <c r="BY264">
        <f ca="1"/>
      </c>
      <c r="BZ264">
        <f ca="1"/>
      </c>
      <c r="CA264">
        <f ca="1"/>
      </c>
      <c r="CB264">
        <f ca="1"/>
      </c>
      <c r="CC264">
        <f ca="1"/>
      </c>
      <c r="CD264">
        <f ca="1"/>
      </c>
      <c r="CE264">
        <f ca="1"/>
      </c>
      <c r="CF264">
        <f ca="1"/>
      </c>
      <c r="CG264">
        <f ca="1"/>
      </c>
      <c r="CH264">
        <f ca="1"/>
      </c>
      <c r="CI264">
        <f ca="1"/>
      </c>
      <c r="CK264">
        <f ca="1"/>
      </c>
      <c r="CL264">
        <f ca="1"/>
      </c>
      <c r="CM264">
        <f ca="1"/>
      </c>
      <c r="CN264">
        <f ca="1"/>
      </c>
      <c r="CO264">
        <f ca="1"/>
      </c>
      <c r="CP264">
        <f ca="1"/>
      </c>
      <c r="CQ264">
        <f ca="1"/>
      </c>
      <c r="CR264">
        <f ca="1"/>
      </c>
      <c r="CS264">
        <f ca="1"/>
      </c>
      <c r="CT264">
        <f ca="1"/>
      </c>
      <c r="CU264">
        <f ca="1"/>
      </c>
      <c r="CV264">
        <f ca="1"/>
      </c>
      <c r="CW264">
        <f ca="1"/>
      </c>
      <c r="CX264">
        <f ca="1"/>
      </c>
      <c r="CY264">
        <f ca="1"/>
      </c>
      <c r="CZ264">
        <f ca="1"/>
      </c>
      <c r="DA264">
        <f ca="1"/>
      </c>
      <c r="DB264">
        <f ca="1"/>
      </c>
      <c r="DC264">
        <f ca="1"/>
      </c>
      <c r="DD264">
        <f ca="1"/>
      </c>
      <c r="DE264">
        <f ca="1"/>
      </c>
      <c r="DF264">
        <f ca="1"/>
      </c>
      <c r="DG264">
        <f ca="1"/>
      </c>
      <c r="DH264">
        <f ca="1"/>
      </c>
      <c r="DI264">
        <f ca="1"/>
      </c>
      <c r="DJ264">
        <f ca="1"/>
      </c>
      <c r="DK264">
        <f ca="1"/>
      </c>
      <c r="DL264">
        <f ca="1"/>
      </c>
      <c r="DM264">
        <f ca="1"/>
      </c>
      <c r="DN264">
        <f ca="1"/>
      </c>
      <c r="DO264">
        <f ca="1"/>
      </c>
      <c r="DP264">
        <f ca="1"/>
      </c>
      <c r="DQ264">
        <f ca="1"/>
      </c>
      <c r="DR264">
        <f ca="1"/>
      </c>
      <c r="DS264">
        <f ca="1"/>
      </c>
      <c r="DT264">
        <f ca="1"/>
      </c>
      <c r="DU264">
        <f ca="1"/>
      </c>
      <c r="DV264">
        <f ca="1"/>
      </c>
      <c r="DW264">
        <f ca="1"/>
      </c>
      <c r="DX264">
        <f ca="1"/>
      </c>
      <c r="DY264">
        <f ca="1"/>
      </c>
      <c r="DZ264">
        <f ca="1"/>
      </c>
      <c r="EA264">
        <f ca="1"/>
      </c>
      <c r="EB264">
        <f ca="1"/>
      </c>
      <c r="EC264">
        <f ca="1"/>
      </c>
      <c r="ED264">
        <f ca="1"/>
      </c>
      <c r="EE264">
        <f ca="1"/>
      </c>
      <c r="EG264">
        <f ca="1"/>
      </c>
      <c r="EH264">
        <f ca="1"/>
      </c>
      <c r="EI264">
        <f ca="1"/>
      </c>
      <c r="EJ264">
        <f ca="1"/>
      </c>
      <c r="EK264">
        <f ca="1"/>
      </c>
      <c r="EL264">
        <f ca="1"/>
      </c>
      <c r="EM264">
        <f ca="1"/>
      </c>
      <c r="EN264">
        <f ca="1"/>
      </c>
      <c r="EO264">
        <f ca="1"/>
      </c>
      <c r="EP264">
        <f ca="1"/>
      </c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FS264">
        <f ca="1"/>
      </c>
      <c r="FT264">
        <f ca="1"/>
      </c>
      <c r="FU264">
        <f ca="1"/>
      </c>
      <c r="FV264">
        <f ca="1"/>
      </c>
      <c r="FW264">
        <f ca="1"/>
      </c>
      <c r="FX264">
        <f ca="1"/>
      </c>
      <c r="FY264">
        <f ca="1"/>
      </c>
      <c r="FZ264">
        <f ca="1"/>
      </c>
      <c r="GA264">
        <f ca="1"/>
      </c>
      <c r="GM264" s="7"/>
    </row>
    <row r="265" spans="41:195" x14ac:dyDescent="0.55000000000000004">
      <c r="AO265">
        <f ca="1"/>
      </c>
      <c r="AP265">
        <f ca="1"/>
      </c>
      <c r="AQ265">
        <f ca="1"/>
      </c>
      <c r="AR265">
        <f ca="1"/>
      </c>
      <c r="AS265">
        <f ca="1"/>
      </c>
      <c r="AT265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AZ265">
        <f ca="1"/>
      </c>
      <c r="BA265">
        <f ca="1"/>
      </c>
      <c r="BB265">
        <f ca="1"/>
      </c>
      <c r="BC265">
        <f ca="1"/>
      </c>
      <c r="BD265">
        <f ca="1"/>
      </c>
      <c r="BE265">
        <f ca="1"/>
      </c>
      <c r="BF265">
        <f ca="1"/>
      </c>
      <c r="BG265">
        <f ca="1"/>
      </c>
      <c r="BH265">
        <f ca="1"/>
      </c>
      <c r="BI265">
        <f ca="1"/>
      </c>
      <c r="BJ265">
        <f ca="1"/>
      </c>
      <c r="BK265">
        <f ca="1"/>
      </c>
      <c r="BL265">
        <f ca="1"/>
      </c>
      <c r="BM265">
        <f ca="1"/>
      </c>
      <c r="BN265">
        <f ca="1"/>
      </c>
      <c r="BO265">
        <f ca="1"/>
      </c>
      <c r="BP265">
        <f ca="1"/>
      </c>
      <c r="BQ265">
        <f ca="1"/>
      </c>
      <c r="BR265">
        <f ca="1"/>
      </c>
      <c r="BS265">
        <f ca="1"/>
      </c>
      <c r="BT265">
        <f ca="1"/>
      </c>
      <c r="BU265">
        <f ca="1"/>
      </c>
      <c r="BV265">
        <f ca="1"/>
      </c>
      <c r="BW265">
        <f ca="1"/>
      </c>
      <c r="BX265">
        <f ca="1"/>
      </c>
      <c r="BY265">
        <f ca="1"/>
      </c>
      <c r="BZ265">
        <f ca="1"/>
      </c>
      <c r="CA265">
        <f ca="1"/>
      </c>
      <c r="CB265">
        <f ca="1"/>
      </c>
      <c r="CC265">
        <f ca="1"/>
      </c>
      <c r="CD265">
        <f ca="1"/>
      </c>
      <c r="CE265">
        <f ca="1"/>
      </c>
      <c r="CF265">
        <f ca="1"/>
      </c>
      <c r="CG265">
        <f ca="1"/>
      </c>
      <c r="CH265">
        <f ca="1"/>
      </c>
      <c r="CI265">
        <f ca="1"/>
      </c>
      <c r="CK265">
        <f ca="1"/>
      </c>
      <c r="CL265">
        <f ca="1"/>
      </c>
      <c r="CM265">
        <f ca="1"/>
      </c>
      <c r="CN265">
        <f ca="1"/>
      </c>
      <c r="CO265">
        <f ca="1"/>
      </c>
      <c r="CP265">
        <f ca="1"/>
      </c>
      <c r="CQ265">
        <f ca="1"/>
      </c>
      <c r="CR265">
        <f ca="1"/>
      </c>
      <c r="CS265">
        <f ca="1"/>
      </c>
      <c r="CT265">
        <f ca="1"/>
      </c>
      <c r="CU265">
        <f ca="1"/>
      </c>
      <c r="CV265">
        <f ca="1"/>
      </c>
      <c r="CW265">
        <f ca="1"/>
      </c>
      <c r="CX265">
        <f ca="1"/>
      </c>
      <c r="CY265">
        <f ca="1"/>
      </c>
      <c r="CZ265">
        <f ca="1"/>
      </c>
      <c r="DA265">
        <f ca="1"/>
      </c>
      <c r="DB265">
        <f ca="1"/>
      </c>
      <c r="DC265">
        <f ca="1"/>
      </c>
      <c r="DD265">
        <f ca="1"/>
      </c>
      <c r="DE265">
        <f ca="1"/>
      </c>
      <c r="DF265">
        <f ca="1"/>
      </c>
      <c r="DG265">
        <f ca="1"/>
      </c>
      <c r="DH265">
        <f ca="1"/>
      </c>
      <c r="DI265">
        <f ca="1"/>
      </c>
      <c r="DJ265">
        <f ca="1"/>
      </c>
      <c r="DK265">
        <f ca="1"/>
      </c>
      <c r="DL265">
        <f ca="1"/>
      </c>
      <c r="DM265">
        <f ca="1"/>
      </c>
      <c r="DN265">
        <f ca="1"/>
      </c>
      <c r="DO265">
        <f ca="1"/>
      </c>
      <c r="DP265">
        <f ca="1"/>
      </c>
      <c r="DQ265">
        <f ca="1"/>
      </c>
      <c r="DR265">
        <f ca="1"/>
      </c>
      <c r="DS265">
        <f ca="1"/>
      </c>
      <c r="DT265">
        <f ca="1"/>
      </c>
      <c r="DU265">
        <f ca="1"/>
      </c>
      <c r="DV265">
        <f ca="1"/>
      </c>
      <c r="DW265">
        <f ca="1"/>
      </c>
      <c r="DX265">
        <f ca="1"/>
      </c>
      <c r="DY265">
        <f ca="1"/>
      </c>
      <c r="DZ265">
        <f ca="1"/>
      </c>
      <c r="EA265">
        <f ca="1"/>
      </c>
      <c r="EB265">
        <f ca="1"/>
      </c>
      <c r="EC265">
        <f ca="1"/>
      </c>
      <c r="ED265">
        <f ca="1"/>
      </c>
      <c r="EE265">
        <f ca="1"/>
      </c>
      <c r="EG265">
        <f ca="1"/>
      </c>
      <c r="EH265">
        <f ca="1"/>
      </c>
      <c r="EI265">
        <f ca="1"/>
      </c>
      <c r="EJ265">
        <f ca="1"/>
      </c>
      <c r="EK265">
        <f ca="1"/>
      </c>
      <c r="EL265">
        <f ca="1"/>
      </c>
      <c r="EM265">
        <f ca="1"/>
      </c>
      <c r="EN265">
        <f ca="1"/>
      </c>
      <c r="EO265">
        <f ca="1"/>
      </c>
      <c r="EP265">
        <f ca="1"/>
      </c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FS265">
        <f ca="1"/>
      </c>
      <c r="FT265">
        <f ca="1"/>
      </c>
      <c r="FU265">
        <f ca="1"/>
      </c>
      <c r="FV265">
        <f ca="1"/>
      </c>
      <c r="FW265">
        <f ca="1"/>
      </c>
      <c r="FX265">
        <f ca="1"/>
      </c>
      <c r="FY265">
        <f ca="1"/>
      </c>
      <c r="FZ265">
        <f ca="1"/>
      </c>
      <c r="GA265">
        <f ca="1"/>
      </c>
      <c r="GM265" s="7"/>
    </row>
    <row r="266" spans="41:195" x14ac:dyDescent="0.55000000000000004">
      <c r="AO266">
        <f ca="1"/>
      </c>
      <c r="AP266">
        <f ca="1"/>
      </c>
      <c r="AQ266">
        <f ca="1"/>
      </c>
      <c r="AR266">
        <f ca="1"/>
      </c>
      <c r="AS266">
        <f ca="1"/>
      </c>
      <c r="AT266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AZ266">
        <f ca="1"/>
      </c>
      <c r="BA266">
        <f ca="1"/>
      </c>
      <c r="BB266">
        <f ca="1"/>
      </c>
      <c r="BC266">
        <f ca="1"/>
      </c>
      <c r="BD266">
        <f ca="1"/>
      </c>
      <c r="BE266">
        <f ca="1"/>
      </c>
      <c r="BF266">
        <f ca="1"/>
      </c>
      <c r="BG266">
        <f ca="1"/>
      </c>
      <c r="BH266">
        <f ca="1"/>
      </c>
      <c r="BI266">
        <f ca="1"/>
      </c>
      <c r="BJ266">
        <f ca="1"/>
      </c>
      <c r="BK266">
        <f ca="1"/>
      </c>
      <c r="BL266">
        <f ca="1"/>
      </c>
      <c r="BM266">
        <f ca="1"/>
      </c>
      <c r="BN266">
        <f ca="1"/>
      </c>
      <c r="BO266">
        <f ca="1"/>
      </c>
      <c r="BP266">
        <f ca="1"/>
      </c>
      <c r="BQ266">
        <f ca="1"/>
      </c>
      <c r="BR266">
        <f ca="1"/>
      </c>
      <c r="BS266">
        <f ca="1"/>
      </c>
      <c r="BT266">
        <f ca="1"/>
      </c>
      <c r="BU266">
        <f ca="1"/>
      </c>
      <c r="BV266">
        <f ca="1"/>
      </c>
      <c r="BW266">
        <f ca="1"/>
      </c>
      <c r="BX266">
        <f ca="1"/>
      </c>
      <c r="BY266">
        <f ca="1"/>
      </c>
      <c r="BZ266">
        <f ca="1"/>
      </c>
      <c r="CA266">
        <f ca="1"/>
      </c>
      <c r="CB266">
        <f ca="1"/>
      </c>
      <c r="CC266">
        <f ca="1"/>
      </c>
      <c r="CD266">
        <f ca="1"/>
      </c>
      <c r="CE266">
        <f ca="1"/>
      </c>
      <c r="CF266">
        <f ca="1"/>
      </c>
      <c r="CG266">
        <f ca="1"/>
      </c>
      <c r="CH266">
        <f ca="1"/>
      </c>
      <c r="CI266">
        <f ca="1"/>
      </c>
      <c r="CK266">
        <f ca="1"/>
      </c>
      <c r="CL266">
        <f ca="1"/>
      </c>
      <c r="CM266">
        <f ca="1"/>
      </c>
      <c r="CN266">
        <f ca="1"/>
      </c>
      <c r="CO266">
        <f ca="1"/>
      </c>
      <c r="CP266">
        <f ca="1"/>
      </c>
      <c r="CQ266">
        <f ca="1"/>
      </c>
      <c r="CR266">
        <f ca="1"/>
      </c>
      <c r="CS266">
        <f ca="1"/>
      </c>
      <c r="CT266">
        <f ca="1"/>
      </c>
      <c r="CU266">
        <f ca="1"/>
      </c>
      <c r="CV266">
        <f ca="1"/>
      </c>
      <c r="CW266">
        <f ca="1"/>
      </c>
      <c r="CX266">
        <f ca="1"/>
      </c>
      <c r="CY266">
        <f ca="1"/>
      </c>
      <c r="CZ266">
        <f ca="1"/>
      </c>
      <c r="DA266">
        <f ca="1"/>
      </c>
      <c r="DB266">
        <f ca="1"/>
      </c>
      <c r="DC266">
        <f ca="1"/>
      </c>
      <c r="DD266">
        <f ca="1"/>
      </c>
      <c r="DE266">
        <f ca="1"/>
      </c>
      <c r="DF266">
        <f ca="1"/>
      </c>
      <c r="DG266">
        <f ca="1"/>
      </c>
      <c r="DH266">
        <f ca="1"/>
      </c>
      <c r="DI266">
        <f ca="1"/>
      </c>
      <c r="DJ266">
        <f ca="1"/>
      </c>
      <c r="DK266">
        <f ca="1"/>
      </c>
      <c r="DL266">
        <f ca="1"/>
      </c>
      <c r="DM266">
        <f ca="1"/>
      </c>
      <c r="DN266">
        <f ca="1"/>
      </c>
      <c r="DO266">
        <f ca="1"/>
      </c>
      <c r="DP266">
        <f ca="1"/>
      </c>
      <c r="DQ266">
        <f ca="1"/>
      </c>
      <c r="DR266">
        <f ca="1"/>
      </c>
      <c r="DS266">
        <f ca="1"/>
      </c>
      <c r="DT266">
        <f ca="1"/>
      </c>
      <c r="DU266">
        <f ca="1"/>
      </c>
      <c r="DV266">
        <f ca="1"/>
      </c>
      <c r="DW266">
        <f ca="1"/>
      </c>
      <c r="DX266">
        <f ca="1"/>
      </c>
      <c r="DY266">
        <f ca="1"/>
      </c>
      <c r="DZ266">
        <f ca="1"/>
      </c>
      <c r="EA266">
        <f ca="1"/>
      </c>
      <c r="EB266">
        <f ca="1"/>
      </c>
      <c r="EC266">
        <f ca="1"/>
      </c>
      <c r="ED266">
        <f ca="1"/>
      </c>
      <c r="EE266">
        <f ca="1"/>
      </c>
      <c r="EG266">
        <f ca="1"/>
      </c>
      <c r="EH266">
        <f ca="1"/>
      </c>
      <c r="EI266">
        <f ca="1"/>
      </c>
      <c r="EJ266">
        <f ca="1"/>
      </c>
      <c r="EK266">
        <f ca="1"/>
      </c>
      <c r="EL266">
        <f ca="1"/>
      </c>
      <c r="EM266">
        <f ca="1"/>
      </c>
      <c r="EN266">
        <f ca="1"/>
      </c>
      <c r="EO266">
        <f ca="1"/>
      </c>
      <c r="EP266">
        <f ca="1"/>
      </c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FS266">
        <f ca="1"/>
      </c>
      <c r="FT266">
        <f ca="1"/>
      </c>
      <c r="FU266">
        <f ca="1"/>
      </c>
      <c r="FV266">
        <f ca="1"/>
      </c>
      <c r="FW266">
        <f ca="1"/>
      </c>
      <c r="FX266">
        <f ca="1"/>
      </c>
      <c r="FY266">
        <f ca="1"/>
      </c>
      <c r="FZ266">
        <f ca="1"/>
      </c>
      <c r="GA266">
        <f ca="1"/>
      </c>
      <c r="GM266" s="7"/>
    </row>
    <row r="267" spans="41:195" x14ac:dyDescent="0.55000000000000004">
      <c r="AO267">
        <f ca="1"/>
      </c>
      <c r="AP267">
        <f ca="1"/>
      </c>
      <c r="AQ267">
        <f ca="1"/>
      </c>
      <c r="AR267">
        <f ca="1"/>
      </c>
      <c r="AS267">
        <f ca="1"/>
      </c>
      <c r="AT26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AZ267">
        <f ca="1"/>
      </c>
      <c r="BA267">
        <f ca="1"/>
      </c>
      <c r="BB267">
        <f ca="1"/>
      </c>
      <c r="BC267">
        <f ca="1"/>
      </c>
      <c r="BD267">
        <f ca="1"/>
      </c>
      <c r="BE267">
        <f ca="1"/>
      </c>
      <c r="BF267">
        <f ca="1"/>
      </c>
      <c r="BG267">
        <f ca="1"/>
      </c>
      <c r="BH267">
        <f ca="1"/>
      </c>
      <c r="BI267">
        <f ca="1"/>
      </c>
      <c r="BJ267">
        <f ca="1"/>
      </c>
      <c r="BK267">
        <f ca="1"/>
      </c>
      <c r="BL267">
        <f ca="1"/>
      </c>
      <c r="BM267">
        <f ca="1"/>
      </c>
      <c r="BN267">
        <f ca="1"/>
      </c>
      <c r="BO267">
        <f ca="1"/>
      </c>
      <c r="BP267">
        <f ca="1"/>
      </c>
      <c r="BQ267">
        <f ca="1"/>
      </c>
      <c r="BR267">
        <f ca="1"/>
      </c>
      <c r="BS267">
        <f ca="1"/>
      </c>
      <c r="BT267">
        <f ca="1"/>
      </c>
      <c r="BU267">
        <f ca="1"/>
      </c>
      <c r="BV267">
        <f ca="1"/>
      </c>
      <c r="BW267">
        <f ca="1"/>
      </c>
      <c r="BX267">
        <f ca="1"/>
      </c>
      <c r="BY267">
        <f ca="1"/>
      </c>
      <c r="BZ267">
        <f ca="1"/>
      </c>
      <c r="CA267">
        <f ca="1"/>
      </c>
      <c r="CB267">
        <f ca="1"/>
      </c>
      <c r="CC267">
        <f ca="1"/>
      </c>
      <c r="CD267">
        <f ca="1"/>
      </c>
      <c r="CE267">
        <f ca="1"/>
      </c>
      <c r="CF267">
        <f ca="1"/>
      </c>
      <c r="CG267">
        <f ca="1"/>
      </c>
      <c r="CH267">
        <f ca="1"/>
      </c>
      <c r="CI267">
        <f ca="1"/>
      </c>
      <c r="CK267">
        <f ca="1"/>
      </c>
      <c r="CL267">
        <f ca="1"/>
      </c>
      <c r="CM267">
        <f ca="1"/>
      </c>
      <c r="CN267">
        <f ca="1"/>
      </c>
      <c r="CO267">
        <f ca="1"/>
      </c>
      <c r="CP267">
        <f ca="1"/>
      </c>
      <c r="CQ267">
        <f ca="1"/>
      </c>
      <c r="CR267">
        <f ca="1"/>
      </c>
      <c r="CS267">
        <f ca="1"/>
      </c>
      <c r="CT267">
        <f ca="1"/>
      </c>
      <c r="CU267">
        <f ca="1"/>
      </c>
      <c r="CV267">
        <f ca="1"/>
      </c>
      <c r="CW267">
        <f ca="1"/>
      </c>
      <c r="CX267">
        <f ca="1"/>
      </c>
      <c r="CY267">
        <f ca="1"/>
      </c>
      <c r="CZ267">
        <f ca="1"/>
      </c>
      <c r="DA267">
        <f ca="1"/>
      </c>
      <c r="DB267">
        <f ca="1"/>
      </c>
      <c r="DC267">
        <f ca="1"/>
      </c>
      <c r="DD267">
        <f ca="1"/>
      </c>
      <c r="DE267">
        <f ca="1"/>
      </c>
      <c r="DF267">
        <f ca="1"/>
      </c>
      <c r="DG267">
        <f ca="1"/>
      </c>
      <c r="DH267">
        <f ca="1"/>
      </c>
      <c r="DI267">
        <f ca="1"/>
      </c>
      <c r="DJ267">
        <f ca="1"/>
      </c>
      <c r="DK267">
        <f ca="1"/>
      </c>
      <c r="DL267">
        <f ca="1"/>
      </c>
      <c r="DM267">
        <f ca="1"/>
      </c>
      <c r="DN267">
        <f ca="1"/>
      </c>
      <c r="DO267">
        <f ca="1"/>
      </c>
      <c r="DP267">
        <f ca="1"/>
      </c>
      <c r="DQ267">
        <f ca="1"/>
      </c>
      <c r="DR267">
        <f ca="1"/>
      </c>
      <c r="DS267">
        <f ca="1"/>
      </c>
      <c r="DT267">
        <f ca="1"/>
      </c>
      <c r="DU267">
        <f ca="1"/>
      </c>
      <c r="DV267">
        <f ca="1"/>
      </c>
      <c r="DW267">
        <f ca="1"/>
      </c>
      <c r="DX267">
        <f ca="1"/>
      </c>
      <c r="DY267">
        <f ca="1"/>
      </c>
      <c r="DZ267">
        <f ca="1"/>
      </c>
      <c r="EA267">
        <f ca="1"/>
      </c>
      <c r="EB267">
        <f ca="1"/>
      </c>
      <c r="EC267">
        <f ca="1"/>
      </c>
      <c r="ED267">
        <f ca="1"/>
      </c>
      <c r="EE267">
        <f ca="1"/>
      </c>
      <c r="EG267">
        <f ca="1"/>
      </c>
      <c r="EH267">
        <f ca="1"/>
      </c>
      <c r="EI267">
        <f ca="1"/>
      </c>
      <c r="EJ267">
        <f ca="1"/>
      </c>
      <c r="EK267">
        <f ca="1"/>
      </c>
      <c r="EL267">
        <f ca="1"/>
      </c>
      <c r="EM267">
        <f ca="1"/>
      </c>
      <c r="EN267">
        <f ca="1"/>
      </c>
      <c r="EO267">
        <f ca="1"/>
      </c>
      <c r="EP267">
        <f ca="1"/>
      </c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FS267">
        <f ca="1"/>
      </c>
      <c r="FT267">
        <f ca="1"/>
      </c>
      <c r="FU267">
        <f ca="1"/>
      </c>
      <c r="FV267">
        <f ca="1"/>
      </c>
      <c r="FW267">
        <f ca="1"/>
      </c>
      <c r="FX267">
        <f ca="1"/>
      </c>
      <c r="FY267">
        <f ca="1"/>
      </c>
      <c r="FZ267">
        <f ca="1"/>
      </c>
      <c r="GA267">
        <f ca="1"/>
      </c>
      <c r="GM267" s="7"/>
    </row>
    <row r="268" spans="41:195" x14ac:dyDescent="0.55000000000000004">
      <c r="AO268">
        <f ca="1"/>
      </c>
      <c r="AP268">
        <f ca="1"/>
      </c>
      <c r="AQ268">
        <f ca="1"/>
      </c>
      <c r="AR268">
        <f ca="1"/>
      </c>
      <c r="AS268">
        <f ca="1"/>
      </c>
      <c r="AT268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AZ268">
        <f ca="1"/>
      </c>
      <c r="BA268">
        <f ca="1"/>
      </c>
      <c r="BB268">
        <f ca="1"/>
      </c>
      <c r="BC268">
        <f ca="1"/>
      </c>
      <c r="BD268">
        <f ca="1"/>
      </c>
      <c r="BE268">
        <f ca="1"/>
      </c>
      <c r="BF268">
        <f ca="1"/>
      </c>
      <c r="BG268">
        <f ca="1"/>
      </c>
      <c r="BH268">
        <f ca="1"/>
      </c>
      <c r="BI268">
        <f ca="1"/>
      </c>
      <c r="BJ268">
        <f ca="1"/>
      </c>
      <c r="BK268">
        <f ca="1"/>
      </c>
      <c r="BL268">
        <f ca="1"/>
      </c>
      <c r="BM268">
        <f ca="1"/>
      </c>
      <c r="BN268">
        <f ca="1"/>
      </c>
      <c r="BO268">
        <f ca="1"/>
      </c>
      <c r="BP268">
        <f ca="1"/>
      </c>
      <c r="BQ268">
        <f ca="1"/>
      </c>
      <c r="BR268">
        <f ca="1"/>
      </c>
      <c r="BS268">
        <f ca="1"/>
      </c>
      <c r="BT268">
        <f ca="1"/>
      </c>
      <c r="BU268">
        <f ca="1"/>
      </c>
      <c r="BV268">
        <f ca="1"/>
      </c>
      <c r="BW268">
        <f ca="1"/>
      </c>
      <c r="BX268">
        <f ca="1"/>
      </c>
      <c r="BY268">
        <f ca="1"/>
      </c>
      <c r="BZ268">
        <f ca="1"/>
      </c>
      <c r="CA268">
        <f ca="1"/>
      </c>
      <c r="CB268">
        <f ca="1"/>
      </c>
      <c r="CC268">
        <f ca="1"/>
      </c>
      <c r="CD268">
        <f ca="1"/>
      </c>
      <c r="CE268">
        <f ca="1"/>
      </c>
      <c r="CF268">
        <f ca="1"/>
      </c>
      <c r="CG268">
        <f ca="1"/>
      </c>
      <c r="CH268">
        <f ca="1"/>
      </c>
      <c r="CI268">
        <f ca="1"/>
      </c>
      <c r="CK268">
        <f ca="1"/>
      </c>
      <c r="CL268">
        <f ca="1"/>
      </c>
      <c r="CM268">
        <f ca="1"/>
      </c>
      <c r="CN268">
        <f ca="1"/>
      </c>
      <c r="CO268">
        <f ca="1"/>
      </c>
      <c r="CP268">
        <f ca="1"/>
      </c>
      <c r="CQ268">
        <f ca="1"/>
      </c>
      <c r="CR268">
        <f ca="1"/>
      </c>
      <c r="CS268">
        <f ca="1"/>
      </c>
      <c r="CT268">
        <f ca="1"/>
      </c>
      <c r="CU268">
        <f ca="1"/>
      </c>
      <c r="CV268">
        <f ca="1"/>
      </c>
      <c r="CW268">
        <f ca="1"/>
      </c>
      <c r="CX268">
        <f ca="1"/>
      </c>
      <c r="CY268">
        <f ca="1"/>
      </c>
      <c r="CZ268">
        <f ca="1"/>
      </c>
      <c r="DA268">
        <f ca="1"/>
      </c>
      <c r="DB268">
        <f ca="1"/>
      </c>
      <c r="DC268">
        <f ca="1"/>
      </c>
      <c r="DD268">
        <f ca="1"/>
      </c>
      <c r="DE268">
        <f ca="1"/>
      </c>
      <c r="DF268">
        <f ca="1"/>
      </c>
      <c r="DG268">
        <f ca="1"/>
      </c>
      <c r="DH268">
        <f ca="1"/>
      </c>
      <c r="DI268">
        <f ca="1"/>
      </c>
      <c r="DJ268">
        <f ca="1"/>
      </c>
      <c r="DK268">
        <f ca="1"/>
      </c>
      <c r="DL268">
        <f ca="1"/>
      </c>
      <c r="DM268">
        <f ca="1"/>
      </c>
      <c r="DN268">
        <f ca="1"/>
      </c>
      <c r="DO268">
        <f ca="1"/>
      </c>
      <c r="DP268">
        <f ca="1"/>
      </c>
      <c r="DQ268">
        <f ca="1"/>
      </c>
      <c r="DR268">
        <f ca="1"/>
      </c>
      <c r="DS268">
        <f ca="1"/>
      </c>
      <c r="DT268">
        <f ca="1"/>
      </c>
      <c r="DU268">
        <f ca="1"/>
      </c>
      <c r="DV268">
        <f ca="1"/>
      </c>
      <c r="DW268">
        <f ca="1"/>
      </c>
      <c r="DX268">
        <f ca="1"/>
      </c>
      <c r="DY268">
        <f ca="1"/>
      </c>
      <c r="DZ268">
        <f ca="1"/>
      </c>
      <c r="EA268">
        <f ca="1"/>
      </c>
      <c r="EB268">
        <f ca="1"/>
      </c>
      <c r="EC268">
        <f ca="1"/>
      </c>
      <c r="ED268">
        <f ca="1"/>
      </c>
      <c r="EE268">
        <f ca="1"/>
      </c>
      <c r="EG268">
        <f ca="1"/>
      </c>
      <c r="EH268">
        <f ca="1"/>
      </c>
      <c r="EI268">
        <f ca="1"/>
      </c>
      <c r="EJ268">
        <f ca="1"/>
      </c>
      <c r="EK268">
        <f ca="1"/>
      </c>
      <c r="EL268">
        <f ca="1"/>
      </c>
      <c r="EM268">
        <f ca="1"/>
      </c>
      <c r="EN268">
        <f ca="1"/>
      </c>
      <c r="EO268">
        <f ca="1"/>
      </c>
      <c r="EP268">
        <f ca="1"/>
      </c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FS268">
        <f ca="1"/>
      </c>
      <c r="FT268">
        <f ca="1"/>
      </c>
      <c r="FU268">
        <f ca="1"/>
      </c>
      <c r="FV268">
        <f ca="1"/>
      </c>
      <c r="FW268">
        <f ca="1"/>
      </c>
      <c r="FX268">
        <f ca="1"/>
      </c>
      <c r="FY268">
        <f ca="1"/>
      </c>
      <c r="FZ268">
        <f ca="1"/>
      </c>
      <c r="GA268">
        <f ca="1"/>
      </c>
      <c r="GM268" s="7"/>
    </row>
    <row r="269" spans="41:195" x14ac:dyDescent="0.55000000000000004">
      <c r="AO269">
        <f ca="1"/>
      </c>
      <c r="AP269">
        <f ca="1"/>
      </c>
      <c r="AQ269">
        <f ca="1"/>
      </c>
      <c r="AR269">
        <f ca="1"/>
      </c>
      <c r="AS269">
        <f ca="1"/>
      </c>
      <c r="AT269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AZ269">
        <f ca="1"/>
      </c>
      <c r="BA269">
        <f ca="1"/>
      </c>
      <c r="BB269">
        <f ca="1"/>
      </c>
      <c r="BC269">
        <f ca="1"/>
      </c>
      <c r="BD269">
        <f ca="1"/>
      </c>
      <c r="BE269">
        <f ca="1"/>
      </c>
      <c r="BF269">
        <f ca="1"/>
      </c>
      <c r="BG269">
        <f ca="1"/>
      </c>
      <c r="BH269">
        <f ca="1"/>
      </c>
      <c r="BI269">
        <f ca="1"/>
      </c>
      <c r="BJ269">
        <f ca="1"/>
      </c>
      <c r="BK269">
        <f ca="1"/>
      </c>
      <c r="BL269">
        <f ca="1"/>
      </c>
      <c r="BM269">
        <f ca="1"/>
      </c>
      <c r="BN269">
        <f ca="1"/>
      </c>
      <c r="BO269">
        <f ca="1"/>
      </c>
      <c r="BP269">
        <f ca="1"/>
      </c>
      <c r="BQ269">
        <f ca="1"/>
      </c>
      <c r="BR269">
        <f ca="1"/>
      </c>
      <c r="BS269">
        <f ca="1"/>
      </c>
      <c r="BT269">
        <f ca="1"/>
      </c>
      <c r="BU269">
        <f ca="1"/>
      </c>
      <c r="BV269">
        <f ca="1"/>
      </c>
      <c r="BW269">
        <f ca="1"/>
      </c>
      <c r="BX269">
        <f ca="1"/>
      </c>
      <c r="BY269">
        <f ca="1"/>
      </c>
      <c r="BZ269">
        <f ca="1"/>
      </c>
      <c r="CA269">
        <f ca="1"/>
      </c>
      <c r="CB269">
        <f ca="1"/>
      </c>
      <c r="CC269">
        <f ca="1"/>
      </c>
      <c r="CD269">
        <f ca="1"/>
      </c>
      <c r="CE269">
        <f ca="1"/>
      </c>
      <c r="CF269">
        <f ca="1"/>
      </c>
      <c r="CG269">
        <f ca="1"/>
      </c>
      <c r="CH269">
        <f ca="1"/>
      </c>
      <c r="CI269">
        <f ca="1"/>
      </c>
      <c r="CK269">
        <f ca="1"/>
      </c>
      <c r="CL269">
        <f ca="1"/>
      </c>
      <c r="CM269">
        <f ca="1"/>
      </c>
      <c r="CN269">
        <f ca="1"/>
      </c>
      <c r="CO269">
        <f ca="1"/>
      </c>
      <c r="CP269">
        <f ca="1"/>
      </c>
      <c r="CQ269">
        <f ca="1"/>
      </c>
      <c r="CR269">
        <f ca="1"/>
      </c>
      <c r="CS269">
        <f ca="1"/>
      </c>
      <c r="CT269">
        <f ca="1"/>
      </c>
      <c r="CU269">
        <f ca="1"/>
      </c>
      <c r="CV269">
        <f ca="1"/>
      </c>
      <c r="CW269">
        <f ca="1"/>
      </c>
      <c r="CX269">
        <f ca="1"/>
      </c>
      <c r="CY269">
        <f ca="1"/>
      </c>
      <c r="CZ269">
        <f ca="1"/>
      </c>
      <c r="DA269">
        <f ca="1"/>
      </c>
      <c r="DB269">
        <f ca="1"/>
      </c>
      <c r="DC269">
        <f ca="1"/>
      </c>
      <c r="DD269">
        <f ca="1"/>
      </c>
      <c r="DE269">
        <f ca="1"/>
      </c>
      <c r="DF269">
        <f ca="1"/>
      </c>
      <c r="DG269">
        <f ca="1"/>
      </c>
      <c r="DH269">
        <f ca="1"/>
      </c>
      <c r="DI269">
        <f ca="1"/>
      </c>
      <c r="DJ269">
        <f ca="1"/>
      </c>
      <c r="DK269">
        <f ca="1"/>
      </c>
      <c r="DL269">
        <f ca="1"/>
      </c>
      <c r="DM269">
        <f ca="1"/>
      </c>
      <c r="DN269">
        <f ca="1"/>
      </c>
      <c r="DO269">
        <f ca="1"/>
      </c>
      <c r="DP269">
        <f ca="1"/>
      </c>
      <c r="DQ269">
        <f ca="1"/>
      </c>
      <c r="DR269">
        <f ca="1"/>
      </c>
      <c r="DS269">
        <f ca="1"/>
      </c>
      <c r="DT269">
        <f ca="1"/>
      </c>
      <c r="DU269">
        <f ca="1"/>
      </c>
      <c r="DV269">
        <f ca="1"/>
      </c>
      <c r="DW269">
        <f ca="1"/>
      </c>
      <c r="DX269">
        <f ca="1"/>
      </c>
      <c r="DY269">
        <f ca="1"/>
      </c>
      <c r="DZ269">
        <f ca="1"/>
      </c>
      <c r="EA269">
        <f ca="1"/>
      </c>
      <c r="EB269">
        <f ca="1"/>
      </c>
      <c r="EC269">
        <f ca="1"/>
      </c>
      <c r="ED269">
        <f ca="1"/>
      </c>
      <c r="EE269">
        <f ca="1"/>
      </c>
      <c r="EG269">
        <f ca="1"/>
      </c>
      <c r="EH269">
        <f ca="1"/>
      </c>
      <c r="EI269">
        <f ca="1"/>
      </c>
      <c r="EJ269">
        <f ca="1"/>
      </c>
      <c r="EK269">
        <f ca="1"/>
      </c>
      <c r="EL269">
        <f ca="1"/>
      </c>
      <c r="EM269">
        <f ca="1"/>
      </c>
      <c r="EN269">
        <f ca="1"/>
      </c>
      <c r="EO269">
        <f ca="1"/>
      </c>
      <c r="EP269">
        <f ca="1"/>
      </c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FS269">
        <f ca="1"/>
      </c>
      <c r="FT269">
        <f ca="1"/>
      </c>
      <c r="FU269">
        <f ca="1"/>
      </c>
      <c r="FV269">
        <f ca="1"/>
      </c>
      <c r="FW269">
        <f ca="1"/>
      </c>
      <c r="FX269">
        <f ca="1"/>
      </c>
      <c r="FY269">
        <f ca="1"/>
      </c>
      <c r="FZ269">
        <f ca="1"/>
      </c>
      <c r="GA269">
        <f ca="1"/>
      </c>
      <c r="GM269" s="7"/>
    </row>
    <row r="270" spans="41:195" x14ac:dyDescent="0.55000000000000004">
      <c r="AO270">
        <f ca="1"/>
      </c>
      <c r="AP270">
        <f ca="1"/>
      </c>
      <c r="AQ270">
        <f ca="1"/>
      </c>
      <c r="AR270">
        <f ca="1"/>
      </c>
      <c r="AS270">
        <f ca="1"/>
      </c>
      <c r="AT270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AZ270">
        <f ca="1"/>
      </c>
      <c r="BA270">
        <f ca="1"/>
      </c>
      <c r="BB270">
        <f ca="1"/>
      </c>
      <c r="BC270">
        <f ca="1"/>
      </c>
      <c r="BD270">
        <f ca="1"/>
      </c>
      <c r="BE270">
        <f ca="1"/>
      </c>
      <c r="BF270">
        <f ca="1"/>
      </c>
      <c r="BG270">
        <f ca="1"/>
      </c>
      <c r="BH270">
        <f ca="1"/>
      </c>
      <c r="BI270">
        <f ca="1"/>
      </c>
      <c r="BJ270">
        <f ca="1"/>
      </c>
      <c r="BK270">
        <f ca="1"/>
      </c>
      <c r="BL270">
        <f ca="1"/>
      </c>
      <c r="BM270">
        <f ca="1"/>
      </c>
      <c r="BN270">
        <f ca="1"/>
      </c>
      <c r="BO270">
        <f ca="1"/>
      </c>
      <c r="BP270">
        <f ca="1"/>
      </c>
      <c r="BQ270">
        <f ca="1"/>
      </c>
      <c r="BR270">
        <f ca="1"/>
      </c>
      <c r="BS270">
        <f ca="1"/>
      </c>
      <c r="BT270">
        <f ca="1"/>
      </c>
      <c r="BU270">
        <f ca="1"/>
      </c>
      <c r="BV270">
        <f ca="1"/>
      </c>
      <c r="BW270">
        <f ca="1"/>
      </c>
      <c r="BX270">
        <f ca="1"/>
      </c>
      <c r="BY270">
        <f ca="1"/>
      </c>
      <c r="BZ270">
        <f ca="1"/>
      </c>
      <c r="CA270">
        <f ca="1"/>
      </c>
      <c r="CB270">
        <f ca="1"/>
      </c>
      <c r="CC270">
        <f ca="1"/>
      </c>
      <c r="CD270">
        <f ca="1"/>
      </c>
      <c r="CE270">
        <f ca="1"/>
      </c>
      <c r="CF270">
        <f ca="1"/>
      </c>
      <c r="CG270">
        <f ca="1"/>
      </c>
      <c r="CH270">
        <f ca="1"/>
      </c>
      <c r="CI270">
        <f ca="1"/>
      </c>
      <c r="CK270">
        <f ca="1"/>
      </c>
      <c r="CL270">
        <f ca="1"/>
      </c>
      <c r="CM270">
        <f ca="1"/>
      </c>
      <c r="CN270">
        <f ca="1"/>
      </c>
      <c r="CO270">
        <f ca="1"/>
      </c>
      <c r="CP270">
        <f ca="1"/>
      </c>
      <c r="CQ270">
        <f ca="1"/>
      </c>
      <c r="CR270">
        <f ca="1"/>
      </c>
      <c r="CS270">
        <f ca="1"/>
      </c>
      <c r="CT270">
        <f ca="1"/>
      </c>
      <c r="CU270">
        <f ca="1"/>
      </c>
      <c r="CV270">
        <f ca="1"/>
      </c>
      <c r="CW270">
        <f ca="1"/>
      </c>
      <c r="CX270">
        <f ca="1"/>
      </c>
      <c r="CY270">
        <f ca="1"/>
      </c>
      <c r="CZ270">
        <f ca="1"/>
      </c>
      <c r="DA270">
        <f ca="1"/>
      </c>
      <c r="DB270">
        <f ca="1"/>
      </c>
      <c r="DC270">
        <f ca="1"/>
      </c>
      <c r="DD270">
        <f ca="1"/>
      </c>
      <c r="DE270">
        <f ca="1"/>
      </c>
      <c r="DF270">
        <f ca="1"/>
      </c>
      <c r="DG270">
        <f ca="1"/>
      </c>
      <c r="DH270">
        <f ca="1"/>
      </c>
      <c r="DI270">
        <f ca="1"/>
      </c>
      <c r="DJ270">
        <f ca="1"/>
      </c>
      <c r="DK270">
        <f ca="1"/>
      </c>
      <c r="DL270">
        <f ca="1"/>
      </c>
      <c r="DM270">
        <f ca="1"/>
      </c>
      <c r="DN270">
        <f ca="1"/>
      </c>
      <c r="DO270">
        <f ca="1"/>
      </c>
      <c r="DP270">
        <f ca="1"/>
      </c>
      <c r="DQ270">
        <f ca="1"/>
      </c>
      <c r="DR270">
        <f ca="1"/>
      </c>
      <c r="DS270">
        <f ca="1"/>
      </c>
      <c r="DT270">
        <f ca="1"/>
      </c>
      <c r="DU270">
        <f ca="1"/>
      </c>
      <c r="DV270">
        <f ca="1"/>
      </c>
      <c r="DW270">
        <f ca="1"/>
      </c>
      <c r="DX270">
        <f ca="1"/>
      </c>
      <c r="DY270">
        <f ca="1"/>
      </c>
      <c r="DZ270">
        <f ca="1"/>
      </c>
      <c r="EA270">
        <f ca="1"/>
      </c>
      <c r="EB270">
        <f ca="1"/>
      </c>
      <c r="EC270">
        <f ca="1"/>
      </c>
      <c r="ED270">
        <f ca="1"/>
      </c>
      <c r="EE270">
        <f ca="1"/>
      </c>
      <c r="EG270">
        <f ca="1"/>
      </c>
      <c r="EH270">
        <f ca="1"/>
      </c>
      <c r="EI270">
        <f ca="1"/>
      </c>
      <c r="EJ270">
        <f ca="1"/>
      </c>
      <c r="EK270">
        <f ca="1"/>
      </c>
      <c r="EL270">
        <f ca="1"/>
      </c>
      <c r="EM270">
        <f ca="1"/>
      </c>
      <c r="EN270">
        <f ca="1"/>
      </c>
      <c r="EO270">
        <f ca="1"/>
      </c>
      <c r="EP270">
        <f ca="1"/>
      </c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FS270">
        <f ca="1"/>
      </c>
      <c r="FT270">
        <f ca="1"/>
      </c>
      <c r="FU270">
        <f ca="1"/>
      </c>
      <c r="FV270">
        <f ca="1"/>
      </c>
      <c r="FW270">
        <f ca="1"/>
      </c>
      <c r="FX270">
        <f ca="1"/>
      </c>
      <c r="FY270">
        <f ca="1"/>
      </c>
      <c r="FZ270">
        <f ca="1"/>
      </c>
      <c r="GA270">
        <f ca="1"/>
      </c>
      <c r="GM270" s="7"/>
    </row>
    <row r="271" spans="41:195" x14ac:dyDescent="0.55000000000000004">
      <c r="AO271">
        <f ca="1"/>
      </c>
      <c r="AP271">
        <f ca="1"/>
      </c>
      <c r="AQ271">
        <f ca="1"/>
      </c>
      <c r="AR271">
        <f ca="1"/>
      </c>
      <c r="AS271">
        <f ca="1"/>
      </c>
      <c r="AT271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AZ271">
        <f ca="1"/>
      </c>
      <c r="BA271">
        <f ca="1"/>
      </c>
      <c r="BB271">
        <f ca="1"/>
      </c>
      <c r="BC271">
        <f ca="1"/>
      </c>
      <c r="BD271">
        <f ca="1"/>
      </c>
      <c r="BE271">
        <f ca="1"/>
      </c>
      <c r="BF271">
        <f ca="1"/>
      </c>
      <c r="BG271">
        <f ca="1"/>
      </c>
      <c r="BH271">
        <f ca="1"/>
      </c>
      <c r="BI271">
        <f ca="1"/>
      </c>
      <c r="BJ271">
        <f ca="1"/>
      </c>
      <c r="BK271">
        <f ca="1"/>
      </c>
      <c r="BL271">
        <f ca="1"/>
      </c>
      <c r="BM271">
        <f ca="1"/>
      </c>
      <c r="BN271">
        <f ca="1"/>
      </c>
      <c r="BO271">
        <f ca="1"/>
      </c>
      <c r="BP271">
        <f ca="1"/>
      </c>
      <c r="BQ271">
        <f ca="1"/>
      </c>
      <c r="BR271">
        <f ca="1"/>
      </c>
      <c r="BS271">
        <f ca="1"/>
      </c>
      <c r="BT271">
        <f ca="1"/>
      </c>
      <c r="BU271">
        <f ca="1"/>
      </c>
      <c r="BV271">
        <f ca="1"/>
      </c>
      <c r="BW271">
        <f ca="1"/>
      </c>
      <c r="BX271">
        <f ca="1"/>
      </c>
      <c r="BY271">
        <f ca="1"/>
      </c>
      <c r="BZ271">
        <f ca="1"/>
      </c>
      <c r="CA271">
        <f ca="1"/>
      </c>
      <c r="CB271">
        <f ca="1"/>
      </c>
      <c r="CC271">
        <f ca="1"/>
      </c>
      <c r="CD271">
        <f ca="1"/>
      </c>
      <c r="CE271">
        <f ca="1"/>
      </c>
      <c r="CF271">
        <f ca="1"/>
      </c>
      <c r="CG271">
        <f ca="1"/>
      </c>
      <c r="CH271">
        <f ca="1"/>
      </c>
      <c r="CI271">
        <f ca="1"/>
      </c>
      <c r="CK271">
        <f ca="1"/>
      </c>
      <c r="CL271">
        <f ca="1"/>
      </c>
      <c r="CM271">
        <f ca="1"/>
      </c>
      <c r="CN271">
        <f ca="1"/>
      </c>
      <c r="CO271">
        <f ca="1"/>
      </c>
      <c r="CP271">
        <f ca="1"/>
      </c>
      <c r="CQ271">
        <f ca="1"/>
      </c>
      <c r="CR271">
        <f ca="1"/>
      </c>
      <c r="CS271">
        <f ca="1"/>
      </c>
      <c r="CT271">
        <f ca="1"/>
      </c>
      <c r="CU271">
        <f ca="1"/>
      </c>
      <c r="CV271">
        <f ca="1"/>
      </c>
      <c r="CW271">
        <f ca="1"/>
      </c>
      <c r="CX271">
        <f ca="1"/>
      </c>
      <c r="CY271">
        <f ca="1"/>
      </c>
      <c r="CZ271">
        <f ca="1"/>
      </c>
      <c r="DA271">
        <f ca="1"/>
      </c>
      <c r="DB271">
        <f ca="1"/>
      </c>
      <c r="DC271">
        <f ca="1"/>
      </c>
      <c r="DD271">
        <f ca="1"/>
      </c>
      <c r="DE271">
        <f ca="1"/>
      </c>
      <c r="DF271">
        <f ca="1"/>
      </c>
      <c r="DG271">
        <f ca="1"/>
      </c>
      <c r="DH271">
        <f ca="1"/>
      </c>
      <c r="DI271">
        <f ca="1"/>
      </c>
      <c r="DJ271">
        <f ca="1"/>
      </c>
      <c r="DK271">
        <f ca="1"/>
      </c>
      <c r="DL271">
        <f ca="1"/>
      </c>
      <c r="DM271">
        <f ca="1"/>
      </c>
      <c r="DN271">
        <f ca="1"/>
      </c>
      <c r="DO271">
        <f ca="1"/>
      </c>
      <c r="DP271">
        <f ca="1"/>
      </c>
      <c r="DQ271">
        <f ca="1"/>
      </c>
      <c r="DR271">
        <f ca="1"/>
      </c>
      <c r="DS271">
        <f ca="1"/>
      </c>
      <c r="DT271">
        <f ca="1"/>
      </c>
      <c r="DU271">
        <f ca="1"/>
      </c>
      <c r="DV271">
        <f ca="1"/>
      </c>
      <c r="DW271">
        <f ca="1"/>
      </c>
      <c r="DX271">
        <f ca="1"/>
      </c>
      <c r="DY271">
        <f ca="1"/>
      </c>
      <c r="DZ271">
        <f ca="1"/>
      </c>
      <c r="EA271">
        <f ca="1"/>
      </c>
      <c r="EB271">
        <f ca="1"/>
      </c>
      <c r="EC271">
        <f ca="1"/>
      </c>
      <c r="ED271">
        <f ca="1"/>
      </c>
      <c r="EE271">
        <f ca="1"/>
      </c>
      <c r="EG271">
        <f ca="1"/>
      </c>
      <c r="EH271">
        <f ca="1"/>
      </c>
      <c r="EI271">
        <f ca="1"/>
      </c>
      <c r="EJ271">
        <f ca="1"/>
      </c>
      <c r="EK271">
        <f ca="1"/>
      </c>
      <c r="EL271">
        <f ca="1"/>
      </c>
      <c r="EM271">
        <f ca="1"/>
      </c>
      <c r="EN271">
        <f ca="1"/>
      </c>
      <c r="EO271">
        <f ca="1"/>
      </c>
      <c r="EP271">
        <f ca="1"/>
      </c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FS271">
        <f ca="1"/>
      </c>
      <c r="FT271">
        <f ca="1"/>
      </c>
      <c r="FU271">
        <f ca="1"/>
      </c>
      <c r="FV271">
        <f ca="1"/>
      </c>
      <c r="FW271">
        <f ca="1"/>
      </c>
      <c r="FX271">
        <f ca="1"/>
      </c>
      <c r="FY271">
        <f ca="1"/>
      </c>
      <c r="FZ271">
        <f ca="1"/>
      </c>
      <c r="GA271">
        <f ca="1"/>
      </c>
      <c r="GM271" s="7"/>
    </row>
    <row r="272" spans="41:195" x14ac:dyDescent="0.55000000000000004">
      <c r="AO272">
        <f ca="1"/>
      </c>
      <c r="AP272">
        <f ca="1"/>
      </c>
      <c r="AQ272">
        <f ca="1"/>
      </c>
      <c r="AR272">
        <f ca="1"/>
      </c>
      <c r="AS272">
        <f ca="1"/>
      </c>
      <c r="AT272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AZ272">
        <f ca="1"/>
      </c>
      <c r="BA272">
        <f ca="1"/>
      </c>
      <c r="BB272">
        <f ca="1"/>
      </c>
      <c r="BC272">
        <f ca="1"/>
      </c>
      <c r="BD272">
        <f ca="1"/>
      </c>
      <c r="BE272">
        <f ca="1"/>
      </c>
      <c r="BF272">
        <f ca="1"/>
      </c>
      <c r="BG272">
        <f ca="1"/>
      </c>
      <c r="BH272">
        <f ca="1"/>
      </c>
      <c r="BI272">
        <f ca="1"/>
      </c>
      <c r="BJ272">
        <f ca="1"/>
      </c>
      <c r="BK272">
        <f ca="1"/>
      </c>
      <c r="BL272">
        <f ca="1"/>
      </c>
      <c r="BM272">
        <f ca="1"/>
      </c>
      <c r="BN272">
        <f ca="1"/>
      </c>
      <c r="BO272">
        <f ca="1"/>
      </c>
      <c r="BP272">
        <f ca="1"/>
      </c>
      <c r="BQ272">
        <f ca="1"/>
      </c>
      <c r="BR272">
        <f ca="1"/>
      </c>
      <c r="BS272">
        <f ca="1"/>
      </c>
      <c r="BT272">
        <f ca="1"/>
      </c>
      <c r="BU272">
        <f ca="1"/>
      </c>
      <c r="BV272">
        <f ca="1"/>
      </c>
      <c r="BW272">
        <f ca="1"/>
      </c>
      <c r="BX272">
        <f ca="1"/>
      </c>
      <c r="BY272">
        <f ca="1"/>
      </c>
      <c r="BZ272">
        <f ca="1"/>
      </c>
      <c r="CA272">
        <f ca="1"/>
      </c>
      <c r="CB272">
        <f ca="1"/>
      </c>
      <c r="CC272">
        <f ca="1"/>
      </c>
      <c r="CD272">
        <f ca="1"/>
      </c>
      <c r="CE272">
        <f ca="1"/>
      </c>
      <c r="CF272">
        <f ca="1"/>
      </c>
      <c r="CG272">
        <f ca="1"/>
      </c>
      <c r="CH272">
        <f ca="1"/>
      </c>
      <c r="CI272">
        <f ca="1"/>
      </c>
      <c r="CK272">
        <f ca="1"/>
      </c>
      <c r="CL272">
        <f ca="1"/>
      </c>
      <c r="CM272">
        <f ca="1"/>
      </c>
      <c r="CN272">
        <f ca="1"/>
      </c>
      <c r="CO272">
        <f ca="1"/>
      </c>
      <c r="CP272">
        <f ca="1"/>
      </c>
      <c r="CQ272">
        <f ca="1"/>
      </c>
      <c r="CR272">
        <f ca="1"/>
      </c>
      <c r="CS272">
        <f ca="1"/>
      </c>
      <c r="CT272">
        <f ca="1"/>
      </c>
      <c r="CU272">
        <f ca="1"/>
      </c>
      <c r="CV272">
        <f ca="1"/>
      </c>
      <c r="CW272">
        <f ca="1"/>
      </c>
      <c r="CX272">
        <f ca="1"/>
      </c>
      <c r="CY272">
        <f ca="1"/>
      </c>
      <c r="CZ272">
        <f ca="1"/>
      </c>
      <c r="DA272">
        <f ca="1"/>
      </c>
      <c r="DB272">
        <f ca="1"/>
      </c>
      <c r="DC272">
        <f ca="1"/>
      </c>
      <c r="DD272">
        <f ca="1"/>
      </c>
      <c r="DE272">
        <f ca="1"/>
      </c>
      <c r="DF272">
        <f ca="1"/>
      </c>
      <c r="DG272">
        <f ca="1"/>
      </c>
      <c r="DH272">
        <f ca="1"/>
      </c>
      <c r="DI272">
        <f ca="1"/>
      </c>
      <c r="DJ272">
        <f ca="1"/>
      </c>
      <c r="DK272">
        <f ca="1"/>
      </c>
      <c r="DL272">
        <f ca="1"/>
      </c>
      <c r="DM272">
        <f ca="1"/>
      </c>
      <c r="DN272">
        <f ca="1"/>
      </c>
      <c r="DO272">
        <f ca="1"/>
      </c>
      <c r="DP272">
        <f ca="1"/>
      </c>
      <c r="DQ272">
        <f ca="1"/>
      </c>
      <c r="DR272">
        <f ca="1"/>
      </c>
      <c r="DS272">
        <f ca="1"/>
      </c>
      <c r="DT272">
        <f ca="1"/>
      </c>
      <c r="DU272">
        <f ca="1"/>
      </c>
      <c r="DV272">
        <f ca="1"/>
      </c>
      <c r="DW272">
        <f ca="1"/>
      </c>
      <c r="DX272">
        <f ca="1"/>
      </c>
      <c r="DY272">
        <f ca="1"/>
      </c>
      <c r="DZ272">
        <f ca="1"/>
      </c>
      <c r="EA272">
        <f ca="1"/>
      </c>
      <c r="EB272">
        <f ca="1"/>
      </c>
      <c r="EC272">
        <f ca="1"/>
      </c>
      <c r="ED272">
        <f ca="1"/>
      </c>
      <c r="EE272">
        <f ca="1"/>
      </c>
      <c r="EG272">
        <f ca="1"/>
      </c>
      <c r="EH272">
        <f ca="1"/>
      </c>
      <c r="EI272">
        <f ca="1"/>
      </c>
      <c r="EJ272">
        <f ca="1"/>
      </c>
      <c r="EK272">
        <f ca="1"/>
      </c>
      <c r="EL272">
        <f ca="1"/>
      </c>
      <c r="EM272">
        <f ca="1"/>
      </c>
      <c r="EN272">
        <f ca="1"/>
      </c>
      <c r="EO272">
        <f ca="1"/>
      </c>
      <c r="EP272">
        <f ca="1"/>
      </c>
      <c r="EQ272">
        <f ca="1"/>
      </c>
      <c r="ER272">
        <f ca="1"/>
      </c>
      <c r="ES272">
        <f ca="1"/>
      </c>
      <c r="ET272">
        <f ca="1"/>
      </c>
      <c r="EU272">
        <f ca="1"/>
      </c>
      <c r="EV272">
        <f ca="1"/>
      </c>
      <c r="EW272">
        <f ca="1"/>
      </c>
      <c r="EX272">
        <f ca="1"/>
      </c>
      <c r="EY272">
        <f ca="1"/>
      </c>
      <c r="EZ272">
        <f ca="1"/>
      </c>
      <c r="FA272">
        <f ca="1"/>
      </c>
      <c r="FB272">
        <f ca="1"/>
      </c>
      <c r="FC272">
        <f ca="1"/>
      </c>
      <c r="FD272">
        <f ca="1"/>
      </c>
      <c r="FE272">
        <f ca="1"/>
      </c>
      <c r="FF272">
        <f ca="1"/>
      </c>
      <c r="FG272">
        <f ca="1"/>
      </c>
      <c r="FH272">
        <f ca="1"/>
      </c>
      <c r="FI272">
        <f ca="1"/>
      </c>
      <c r="FJ272">
        <f ca="1"/>
      </c>
      <c r="FK272">
        <f ca="1"/>
      </c>
      <c r="FL272">
        <f ca="1"/>
      </c>
      <c r="FM272">
        <f ca="1"/>
      </c>
      <c r="FN272">
        <f ca="1"/>
      </c>
      <c r="FO272">
        <f ca="1"/>
      </c>
      <c r="FP272">
        <f ca="1"/>
      </c>
      <c r="FQ272">
        <f ca="1"/>
      </c>
      <c r="FR272">
        <f ca="1"/>
      </c>
      <c r="FS272">
        <f ca="1"/>
      </c>
      <c r="FT272">
        <f ca="1"/>
      </c>
      <c r="FU272">
        <f ca="1"/>
      </c>
      <c r="FV272">
        <f ca="1"/>
      </c>
      <c r="FW272">
        <f ca="1"/>
      </c>
      <c r="FX272">
        <f ca="1"/>
      </c>
      <c r="FY272">
        <f ca="1"/>
      </c>
      <c r="FZ272">
        <f ca="1"/>
      </c>
      <c r="GA272">
        <f ca="1"/>
      </c>
      <c r="GM272" s="7"/>
    </row>
    <row r="273" spans="41:195" x14ac:dyDescent="0.55000000000000004">
      <c r="AO273">
        <f ca="1"/>
      </c>
      <c r="AP273">
        <f ca="1"/>
      </c>
      <c r="AQ273">
        <f ca="1"/>
      </c>
      <c r="AR273">
        <f ca="1"/>
      </c>
      <c r="AS273">
        <f ca="1"/>
      </c>
      <c r="AT273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AZ273">
        <f ca="1"/>
      </c>
      <c r="BA273">
        <f ca="1"/>
      </c>
      <c r="BB273">
        <f ca="1"/>
      </c>
      <c r="BC273">
        <f ca="1"/>
      </c>
      <c r="BD273">
        <f ca="1"/>
      </c>
      <c r="BE273">
        <f ca="1"/>
      </c>
      <c r="BF273">
        <f ca="1"/>
      </c>
      <c r="BG273">
        <f ca="1"/>
      </c>
      <c r="BH273">
        <f ca="1"/>
      </c>
      <c r="BI273">
        <f ca="1"/>
      </c>
      <c r="BJ273">
        <f ca="1"/>
      </c>
      <c r="BK273">
        <f ca="1"/>
      </c>
      <c r="BL273">
        <f ca="1"/>
      </c>
      <c r="BM273">
        <f ca="1"/>
      </c>
      <c r="BN273">
        <f ca="1"/>
      </c>
      <c r="BO273">
        <f ca="1"/>
      </c>
      <c r="BP273">
        <f ca="1"/>
      </c>
      <c r="BQ273">
        <f ca="1"/>
      </c>
      <c r="BR273">
        <f ca="1"/>
      </c>
      <c r="BS273">
        <f ca="1"/>
      </c>
      <c r="BT273">
        <f ca="1"/>
      </c>
      <c r="BU273">
        <f ca="1"/>
      </c>
      <c r="BV273">
        <f ca="1"/>
      </c>
      <c r="BW273">
        <f ca="1"/>
      </c>
      <c r="BX273">
        <f ca="1"/>
      </c>
      <c r="BY273">
        <f ca="1"/>
      </c>
      <c r="BZ273">
        <f ca="1"/>
      </c>
      <c r="CA273">
        <f ca="1"/>
      </c>
      <c r="CB273">
        <f ca="1"/>
      </c>
      <c r="CC273">
        <f ca="1"/>
      </c>
      <c r="CD273">
        <f ca="1"/>
      </c>
      <c r="CE273">
        <f ca="1"/>
      </c>
      <c r="CF273">
        <f ca="1"/>
      </c>
      <c r="CG273">
        <f ca="1"/>
      </c>
      <c r="CH273">
        <f ca="1"/>
      </c>
      <c r="CI273">
        <f ca="1"/>
      </c>
      <c r="CK273">
        <f ca="1"/>
      </c>
      <c r="CL273">
        <f ca="1"/>
      </c>
      <c r="CM273">
        <f ca="1"/>
      </c>
      <c r="CN273">
        <f ca="1"/>
      </c>
      <c r="CO273">
        <f ca="1"/>
      </c>
      <c r="CP273">
        <f ca="1"/>
      </c>
      <c r="CQ273">
        <f ca="1"/>
      </c>
      <c r="CR273">
        <f ca="1"/>
      </c>
      <c r="CS273">
        <f ca="1"/>
      </c>
      <c r="CT273">
        <f ca="1"/>
      </c>
      <c r="CU273">
        <f ca="1"/>
      </c>
      <c r="CV273">
        <f ca="1"/>
      </c>
      <c r="CW273">
        <f ca="1"/>
      </c>
      <c r="CX273">
        <f ca="1"/>
      </c>
      <c r="CY273">
        <f ca="1"/>
      </c>
      <c r="CZ273">
        <f ca="1"/>
      </c>
      <c r="DA273">
        <f ca="1"/>
      </c>
      <c r="DB273">
        <f ca="1"/>
      </c>
      <c r="DC273">
        <f ca="1"/>
      </c>
      <c r="DD273">
        <f ca="1"/>
      </c>
      <c r="DE273">
        <f ca="1"/>
      </c>
      <c r="DF273">
        <f ca="1"/>
      </c>
      <c r="DG273">
        <f ca="1"/>
      </c>
      <c r="DH273">
        <f ca="1"/>
      </c>
      <c r="DI273">
        <f ca="1"/>
      </c>
      <c r="DJ273">
        <f ca="1"/>
      </c>
      <c r="DK273">
        <f ca="1"/>
      </c>
      <c r="DL273">
        <f ca="1"/>
      </c>
      <c r="DM273">
        <f ca="1"/>
      </c>
      <c r="DN273">
        <f ca="1"/>
      </c>
      <c r="DO273">
        <f ca="1"/>
      </c>
      <c r="DP273">
        <f ca="1"/>
      </c>
      <c r="DQ273">
        <f ca="1"/>
      </c>
      <c r="DR273">
        <f ca="1"/>
      </c>
      <c r="DS273">
        <f ca="1"/>
      </c>
      <c r="DT273">
        <f ca="1"/>
      </c>
      <c r="DU273">
        <f ca="1"/>
      </c>
      <c r="DV273">
        <f ca="1"/>
      </c>
      <c r="DW273">
        <f ca="1"/>
      </c>
      <c r="DX273">
        <f ca="1"/>
      </c>
      <c r="DY273">
        <f ca="1"/>
      </c>
      <c r="DZ273">
        <f ca="1"/>
      </c>
      <c r="EA273">
        <f ca="1"/>
      </c>
      <c r="EB273">
        <f ca="1"/>
      </c>
      <c r="EC273">
        <f ca="1"/>
      </c>
      <c r="ED273">
        <f ca="1"/>
      </c>
      <c r="EE273">
        <f ca="1"/>
      </c>
      <c r="EG273">
        <f ca="1"/>
      </c>
      <c r="EH273">
        <f ca="1"/>
      </c>
      <c r="EI273">
        <f ca="1"/>
      </c>
      <c r="EJ273">
        <f ca="1"/>
      </c>
      <c r="EK273">
        <f ca="1"/>
      </c>
      <c r="EL273">
        <f ca="1"/>
      </c>
      <c r="EM273">
        <f ca="1"/>
      </c>
      <c r="EN273">
        <f ca="1"/>
      </c>
      <c r="EO273">
        <f ca="1"/>
      </c>
      <c r="EP273">
        <f ca="1"/>
      </c>
      <c r="EQ273">
        <f ca="1"/>
      </c>
      <c r="ER273">
        <f ca="1"/>
      </c>
      <c r="ES273">
        <f ca="1"/>
      </c>
      <c r="ET273">
        <f ca="1"/>
      </c>
      <c r="EU273">
        <f ca="1"/>
      </c>
      <c r="EV273">
        <f ca="1"/>
      </c>
      <c r="EW273">
        <f ca="1"/>
      </c>
      <c r="EX273">
        <f ca="1"/>
      </c>
      <c r="EY273">
        <f ca="1"/>
      </c>
      <c r="EZ273">
        <f ca="1"/>
      </c>
      <c r="FA273">
        <f ca="1"/>
      </c>
      <c r="FB273">
        <f ca="1"/>
      </c>
      <c r="FC273">
        <f ca="1"/>
      </c>
      <c r="FD273">
        <f ca="1"/>
      </c>
      <c r="FE273">
        <f ca="1"/>
      </c>
      <c r="FF273">
        <f ca="1"/>
      </c>
      <c r="FG273">
        <f ca="1"/>
      </c>
      <c r="FH273">
        <f ca="1"/>
      </c>
      <c r="FI273">
        <f ca="1"/>
      </c>
      <c r="FJ273">
        <f ca="1"/>
      </c>
      <c r="FK273">
        <f ca="1"/>
      </c>
      <c r="FL273">
        <f ca="1"/>
      </c>
      <c r="FM273">
        <f ca="1"/>
      </c>
      <c r="FN273">
        <f ca="1"/>
      </c>
      <c r="FO273">
        <f ca="1"/>
      </c>
      <c r="FP273">
        <f ca="1"/>
      </c>
      <c r="FQ273">
        <f ca="1"/>
      </c>
      <c r="FR273">
        <f ca="1"/>
      </c>
      <c r="FS273">
        <f ca="1"/>
      </c>
      <c r="FT273">
        <f ca="1"/>
      </c>
      <c r="FU273">
        <f ca="1"/>
      </c>
      <c r="FV273">
        <f ca="1"/>
      </c>
      <c r="FW273">
        <f ca="1"/>
      </c>
      <c r="FX273">
        <f ca="1"/>
      </c>
      <c r="FY273">
        <f ca="1"/>
      </c>
      <c r="FZ273">
        <f ca="1"/>
      </c>
      <c r="GA273">
        <f ca="1"/>
      </c>
      <c r="GM273" s="7"/>
    </row>
    <row r="274" spans="41:195" x14ac:dyDescent="0.55000000000000004">
      <c r="AO274">
        <f ca="1"/>
      </c>
      <c r="AP274">
        <f ca="1"/>
      </c>
      <c r="AQ274">
        <f ca="1"/>
      </c>
      <c r="AR274">
        <f ca="1"/>
      </c>
      <c r="AS274">
        <f ca="1"/>
      </c>
      <c r="AT274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AZ274">
        <f ca="1"/>
      </c>
      <c r="BA274">
        <f ca="1"/>
      </c>
      <c r="BB274">
        <f ca="1"/>
      </c>
      <c r="BC274">
        <f ca="1"/>
      </c>
      <c r="BD274">
        <f ca="1"/>
      </c>
      <c r="BE274">
        <f ca="1"/>
      </c>
      <c r="BF274">
        <f ca="1"/>
      </c>
      <c r="BG274">
        <f ca="1"/>
      </c>
      <c r="BH274">
        <f ca="1"/>
      </c>
      <c r="BI274">
        <f ca="1"/>
      </c>
      <c r="BJ274">
        <f ca="1"/>
      </c>
      <c r="BK274">
        <f ca="1"/>
      </c>
      <c r="BL274">
        <f ca="1"/>
      </c>
      <c r="BM274">
        <f ca="1"/>
      </c>
      <c r="BN274">
        <f ca="1"/>
      </c>
      <c r="BO274">
        <f ca="1"/>
      </c>
      <c r="BP274">
        <f ca="1"/>
      </c>
      <c r="BQ274">
        <f ca="1"/>
      </c>
      <c r="BR274">
        <f ca="1"/>
      </c>
      <c r="BS274">
        <f ca="1"/>
      </c>
      <c r="BT274">
        <f ca="1"/>
      </c>
      <c r="BU274">
        <f ca="1"/>
      </c>
      <c r="BV274">
        <f ca="1"/>
      </c>
      <c r="BW274">
        <f ca="1"/>
      </c>
      <c r="BX274">
        <f ca="1"/>
      </c>
      <c r="BY274">
        <f ca="1"/>
      </c>
      <c r="BZ274">
        <f ca="1"/>
      </c>
      <c r="CA274">
        <f ca="1"/>
      </c>
      <c r="CB274">
        <f ca="1"/>
      </c>
      <c r="CC274">
        <f ca="1"/>
      </c>
      <c r="CD274">
        <f ca="1"/>
      </c>
      <c r="CE274">
        <f ca="1"/>
      </c>
      <c r="CF274">
        <f ca="1"/>
      </c>
      <c r="CG274">
        <f ca="1"/>
      </c>
      <c r="CH274">
        <f ca="1"/>
      </c>
      <c r="CI274">
        <f ca="1"/>
      </c>
      <c r="CK274">
        <f ca="1"/>
      </c>
      <c r="CL274">
        <f ca="1"/>
      </c>
      <c r="CM274">
        <f ca="1"/>
      </c>
      <c r="CN274">
        <f ca="1"/>
      </c>
      <c r="CO274">
        <f ca="1"/>
      </c>
      <c r="CP274">
        <f ca="1"/>
      </c>
      <c r="CQ274">
        <f ca="1"/>
      </c>
      <c r="CR274">
        <f ca="1"/>
      </c>
      <c r="CS274">
        <f ca="1"/>
      </c>
      <c r="CT274">
        <f ca="1"/>
      </c>
      <c r="CU274">
        <f ca="1"/>
      </c>
      <c r="CV274">
        <f ca="1"/>
      </c>
      <c r="CW274">
        <f ca="1"/>
      </c>
      <c r="CX274">
        <f ca="1"/>
      </c>
      <c r="CY274">
        <f ca="1"/>
      </c>
      <c r="CZ274">
        <f ca="1"/>
      </c>
      <c r="DA274">
        <f ca="1"/>
      </c>
      <c r="DB274">
        <f ca="1"/>
      </c>
      <c r="DC274">
        <f ca="1"/>
      </c>
      <c r="DD274">
        <f ca="1"/>
      </c>
      <c r="DE274">
        <f ca="1"/>
      </c>
      <c r="DF274">
        <f ca="1"/>
      </c>
      <c r="DG274">
        <f ca="1"/>
      </c>
      <c r="DH274">
        <f ca="1"/>
      </c>
      <c r="DI274">
        <f ca="1"/>
      </c>
      <c r="DJ274">
        <f ca="1"/>
      </c>
      <c r="DK274">
        <f ca="1"/>
      </c>
      <c r="DL274">
        <f ca="1"/>
      </c>
      <c r="DM274">
        <f ca="1"/>
      </c>
      <c r="DN274">
        <f ca="1"/>
      </c>
      <c r="DO274">
        <f ca="1"/>
      </c>
      <c r="DP274">
        <f ca="1"/>
      </c>
      <c r="DQ274">
        <f ca="1"/>
      </c>
      <c r="DR274">
        <f ca="1"/>
      </c>
      <c r="DS274">
        <f ca="1"/>
      </c>
      <c r="DT274">
        <f ca="1"/>
      </c>
      <c r="DU274">
        <f ca="1"/>
      </c>
      <c r="DV274">
        <f ca="1"/>
      </c>
      <c r="DW274">
        <f ca="1"/>
      </c>
      <c r="DX274">
        <f ca="1"/>
      </c>
      <c r="DY274">
        <f ca="1"/>
      </c>
      <c r="DZ274">
        <f ca="1"/>
      </c>
      <c r="EA274">
        <f ca="1"/>
      </c>
      <c r="EB274">
        <f ca="1"/>
      </c>
      <c r="EC274">
        <f ca="1"/>
      </c>
      <c r="ED274">
        <f ca="1"/>
      </c>
      <c r="EE274">
        <f ca="1"/>
      </c>
      <c r="EG274">
        <f ca="1"/>
      </c>
      <c r="EH274">
        <f ca="1"/>
      </c>
      <c r="EI274">
        <f ca="1"/>
      </c>
      <c r="EJ274">
        <f ca="1"/>
      </c>
      <c r="EK274">
        <f ca="1"/>
      </c>
      <c r="EL274">
        <f ca="1"/>
      </c>
      <c r="EM274">
        <f ca="1"/>
      </c>
      <c r="EN274">
        <f ca="1"/>
      </c>
      <c r="EO274">
        <f ca="1"/>
      </c>
      <c r="EP274">
        <f ca="1"/>
      </c>
      <c r="EQ274">
        <f ca="1"/>
      </c>
      <c r="ER274">
        <f ca="1"/>
      </c>
      <c r="ES274">
        <f ca="1"/>
      </c>
      <c r="ET274">
        <f ca="1"/>
      </c>
      <c r="EU274">
        <f ca="1"/>
      </c>
      <c r="EV274">
        <f ca="1"/>
      </c>
      <c r="EW274">
        <f ca="1"/>
      </c>
      <c r="EX274">
        <f ca="1"/>
      </c>
      <c r="EY274">
        <f ca="1"/>
      </c>
      <c r="EZ274">
        <f ca="1"/>
      </c>
      <c r="FA274">
        <f ca="1"/>
      </c>
      <c r="FB274">
        <f ca="1"/>
      </c>
      <c r="FC274">
        <f ca="1"/>
      </c>
      <c r="FD274">
        <f ca="1"/>
      </c>
      <c r="FE274">
        <f ca="1"/>
      </c>
      <c r="FF274">
        <f ca="1"/>
      </c>
      <c r="FG274">
        <f ca="1"/>
      </c>
      <c r="FH274">
        <f ca="1"/>
      </c>
      <c r="FI274">
        <f ca="1"/>
      </c>
      <c r="FJ274">
        <f ca="1"/>
      </c>
      <c r="FK274">
        <f ca="1"/>
      </c>
      <c r="FL274">
        <f ca="1"/>
      </c>
      <c r="FM274">
        <f ca="1"/>
      </c>
      <c r="FN274">
        <f ca="1"/>
      </c>
      <c r="FO274">
        <f ca="1"/>
      </c>
      <c r="FP274">
        <f ca="1"/>
      </c>
      <c r="FQ274">
        <f ca="1"/>
      </c>
      <c r="FR274">
        <f ca="1"/>
      </c>
      <c r="FS274">
        <f ca="1"/>
      </c>
      <c r="FT274">
        <f ca="1"/>
      </c>
      <c r="FU274">
        <f ca="1"/>
      </c>
      <c r="FV274">
        <f ca="1"/>
      </c>
      <c r="FW274">
        <f ca="1"/>
      </c>
      <c r="FX274">
        <f ca="1"/>
      </c>
      <c r="FY274">
        <f ca="1"/>
      </c>
      <c r="FZ274">
        <f ca="1"/>
      </c>
      <c r="GA274">
        <f ca="1"/>
      </c>
      <c r="GM274" s="7"/>
    </row>
    <row r="275" spans="41:195" x14ac:dyDescent="0.55000000000000004">
      <c r="AO275">
        <f ca="1"/>
      </c>
      <c r="AP275">
        <f ca="1"/>
      </c>
      <c r="AQ275">
        <f ca="1"/>
      </c>
      <c r="AR275">
        <f ca="1"/>
      </c>
      <c r="AS275">
        <f ca="1"/>
      </c>
      <c r="AT275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AZ275">
        <f ca="1"/>
      </c>
      <c r="BA275">
        <f ca="1"/>
      </c>
      <c r="BB275">
        <f ca="1"/>
      </c>
      <c r="BC275">
        <f ca="1"/>
      </c>
      <c r="BD275">
        <f ca="1"/>
      </c>
      <c r="BE275">
        <f ca="1"/>
      </c>
      <c r="BF275">
        <f ca="1"/>
      </c>
      <c r="BG275">
        <f ca="1"/>
      </c>
      <c r="BH275">
        <f ca="1"/>
      </c>
      <c r="BI275">
        <f ca="1"/>
      </c>
      <c r="BJ275">
        <f ca="1"/>
      </c>
      <c r="BK275">
        <f ca="1"/>
      </c>
      <c r="BL275">
        <f ca="1"/>
      </c>
      <c r="BM275">
        <f ca="1"/>
      </c>
      <c r="BN275">
        <f ca="1"/>
      </c>
      <c r="BO275">
        <f ca="1"/>
      </c>
      <c r="BP275">
        <f ca="1"/>
      </c>
      <c r="BQ275">
        <f ca="1"/>
      </c>
      <c r="BR275">
        <f ca="1"/>
      </c>
      <c r="BS275">
        <f ca="1"/>
      </c>
      <c r="BT275">
        <f ca="1"/>
      </c>
      <c r="BU275">
        <f ca="1"/>
      </c>
      <c r="BV275">
        <f ca="1"/>
      </c>
      <c r="BW275">
        <f ca="1"/>
      </c>
      <c r="BX275">
        <f ca="1"/>
      </c>
      <c r="BY275">
        <f ca="1"/>
      </c>
      <c r="BZ275">
        <f ca="1"/>
      </c>
      <c r="CA275">
        <f ca="1"/>
      </c>
      <c r="CB275">
        <f ca="1"/>
      </c>
      <c r="CC275">
        <f ca="1"/>
      </c>
      <c r="CD275">
        <f ca="1"/>
      </c>
      <c r="CE275">
        <f ca="1"/>
      </c>
      <c r="CF275">
        <f ca="1"/>
      </c>
      <c r="CG275">
        <f ca="1"/>
      </c>
      <c r="CH275">
        <f ca="1"/>
      </c>
      <c r="CI275">
        <f ca="1"/>
      </c>
      <c r="CK275">
        <f ca="1"/>
      </c>
      <c r="CL275">
        <f ca="1"/>
      </c>
      <c r="CM275">
        <f ca="1"/>
      </c>
      <c r="CN275">
        <f ca="1"/>
      </c>
      <c r="CO275">
        <f ca="1"/>
      </c>
      <c r="CP275">
        <f ca="1"/>
      </c>
      <c r="CQ275">
        <f ca="1"/>
      </c>
      <c r="CR275">
        <f ca="1"/>
      </c>
      <c r="CS275">
        <f ca="1"/>
      </c>
      <c r="CT275">
        <f ca="1"/>
      </c>
      <c r="CU275">
        <f ca="1"/>
      </c>
      <c r="CV275">
        <f ca="1"/>
      </c>
      <c r="CW275">
        <f ca="1"/>
      </c>
      <c r="CX275">
        <f ca="1"/>
      </c>
      <c r="CY275">
        <f ca="1"/>
      </c>
      <c r="CZ275">
        <f ca="1"/>
      </c>
      <c r="DA275">
        <f ca="1"/>
      </c>
      <c r="DB275">
        <f ca="1"/>
      </c>
      <c r="DC275">
        <f ca="1"/>
      </c>
      <c r="DD275">
        <f ca="1"/>
      </c>
      <c r="DE275">
        <f ca="1"/>
      </c>
      <c r="DF275">
        <f ca="1"/>
      </c>
      <c r="DG275">
        <f ca="1"/>
      </c>
      <c r="DH275">
        <f ca="1"/>
      </c>
      <c r="DI275">
        <f ca="1"/>
      </c>
      <c r="DJ275">
        <f ca="1"/>
      </c>
      <c r="DK275">
        <f ca="1"/>
      </c>
      <c r="DL275">
        <f ca="1"/>
      </c>
      <c r="DM275">
        <f ca="1"/>
      </c>
      <c r="DN275">
        <f ca="1"/>
      </c>
      <c r="DO275">
        <f ca="1"/>
      </c>
      <c r="DP275">
        <f ca="1"/>
      </c>
      <c r="DQ275">
        <f ca="1"/>
      </c>
      <c r="DR275">
        <f ca="1"/>
      </c>
      <c r="DS275">
        <f ca="1"/>
      </c>
      <c r="DT275">
        <f ca="1"/>
      </c>
      <c r="DU275">
        <f ca="1"/>
      </c>
      <c r="DV275">
        <f ca="1"/>
      </c>
      <c r="DW275">
        <f ca="1"/>
      </c>
      <c r="DX275">
        <f ca="1"/>
      </c>
      <c r="DY275">
        <f ca="1"/>
      </c>
      <c r="DZ275">
        <f ca="1"/>
      </c>
      <c r="EA275">
        <f ca="1"/>
      </c>
      <c r="EB275">
        <f ca="1"/>
      </c>
      <c r="EC275">
        <f ca="1"/>
      </c>
      <c r="ED275">
        <f ca="1"/>
      </c>
      <c r="EE275">
        <f ca="1"/>
      </c>
      <c r="EG275">
        <f ca="1"/>
      </c>
      <c r="EH275">
        <f ca="1"/>
      </c>
      <c r="EI275">
        <f ca="1"/>
      </c>
      <c r="EJ275">
        <f ca="1"/>
      </c>
      <c r="EK275">
        <f ca="1"/>
      </c>
      <c r="EL275">
        <f ca="1"/>
      </c>
      <c r="EM275">
        <f ca="1"/>
      </c>
      <c r="EN275">
        <f ca="1"/>
      </c>
      <c r="EO275">
        <f ca="1"/>
      </c>
      <c r="EP275">
        <f ca="1"/>
      </c>
      <c r="EQ275">
        <f ca="1"/>
      </c>
      <c r="ER275">
        <f ca="1"/>
      </c>
      <c r="ES275">
        <f ca="1"/>
      </c>
      <c r="ET275">
        <f ca="1"/>
      </c>
      <c r="EU275">
        <f ca="1"/>
      </c>
      <c r="EV275">
        <f ca="1"/>
      </c>
      <c r="EW275">
        <f ca="1"/>
      </c>
      <c r="EX275">
        <f ca="1"/>
      </c>
      <c r="EY275">
        <f ca="1"/>
      </c>
      <c r="EZ275">
        <f ca="1"/>
      </c>
      <c r="FA275">
        <f ca="1"/>
      </c>
      <c r="FB275">
        <f ca="1"/>
      </c>
      <c r="FC275">
        <f ca="1"/>
      </c>
      <c r="FD275">
        <f ca="1"/>
      </c>
      <c r="FE275">
        <f ca="1"/>
      </c>
      <c r="FF275">
        <f ca="1"/>
      </c>
      <c r="FG275">
        <f ca="1"/>
      </c>
      <c r="FH275">
        <f ca="1"/>
      </c>
      <c r="FI275">
        <f ca="1"/>
      </c>
      <c r="FJ275">
        <f ca="1"/>
      </c>
      <c r="FK275">
        <f ca="1"/>
      </c>
      <c r="FL275">
        <f ca="1"/>
      </c>
      <c r="FM275">
        <f ca="1"/>
      </c>
      <c r="FN275">
        <f ca="1"/>
      </c>
      <c r="FO275">
        <f ca="1"/>
      </c>
      <c r="FP275">
        <f ca="1"/>
      </c>
      <c r="FQ275">
        <f ca="1"/>
      </c>
      <c r="FR275">
        <f ca="1"/>
      </c>
      <c r="FS275">
        <f ca="1"/>
      </c>
      <c r="FT275">
        <f ca="1"/>
      </c>
      <c r="FU275">
        <f ca="1"/>
      </c>
      <c r="FV275">
        <f ca="1"/>
      </c>
      <c r="FW275">
        <f ca="1"/>
      </c>
      <c r="FX275">
        <f ca="1"/>
      </c>
      <c r="FY275">
        <f ca="1"/>
      </c>
      <c r="FZ275">
        <f ca="1"/>
      </c>
      <c r="GA275">
        <f ca="1"/>
      </c>
      <c r="GM275" s="7"/>
    </row>
    <row r="276" spans="41:195" x14ac:dyDescent="0.55000000000000004">
      <c r="AO276">
        <f ca="1"/>
      </c>
      <c r="AP276">
        <f ca="1"/>
      </c>
      <c r="AQ276">
        <f ca="1"/>
      </c>
      <c r="AR276">
        <f ca="1"/>
      </c>
      <c r="AS276">
        <f ca="1"/>
      </c>
      <c r="AT276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AZ276">
        <f ca="1"/>
      </c>
      <c r="BA276">
        <f ca="1"/>
      </c>
      <c r="BB276">
        <f ca="1"/>
      </c>
      <c r="BC276">
        <f ca="1"/>
      </c>
      <c r="BD276">
        <f ca="1"/>
      </c>
      <c r="BE276">
        <f ca="1"/>
      </c>
      <c r="BF276">
        <f ca="1"/>
      </c>
      <c r="BG276">
        <f ca="1"/>
      </c>
      <c r="BH276">
        <f ca="1"/>
      </c>
      <c r="BI276">
        <f ca="1"/>
      </c>
      <c r="BJ276">
        <f ca="1"/>
      </c>
      <c r="BK276">
        <f ca="1"/>
      </c>
      <c r="BL276">
        <f ca="1"/>
      </c>
      <c r="BM276">
        <f ca="1"/>
      </c>
      <c r="BN276">
        <f ca="1"/>
      </c>
      <c r="BO276">
        <f ca="1"/>
      </c>
      <c r="BP276">
        <f ca="1"/>
      </c>
      <c r="BQ276">
        <f ca="1"/>
      </c>
      <c r="BR276">
        <f ca="1"/>
      </c>
      <c r="BS276">
        <f ca="1"/>
      </c>
      <c r="BT276">
        <f ca="1"/>
      </c>
      <c r="BU276">
        <f ca="1"/>
      </c>
      <c r="BV276">
        <f ca="1"/>
      </c>
      <c r="BW276">
        <f ca="1"/>
      </c>
      <c r="BX276">
        <f ca="1"/>
      </c>
      <c r="BY276">
        <f ca="1"/>
      </c>
      <c r="BZ276">
        <f ca="1"/>
      </c>
      <c r="CA276">
        <f ca="1"/>
      </c>
      <c r="CB276">
        <f ca="1"/>
      </c>
      <c r="CC276">
        <f ca="1"/>
      </c>
      <c r="CD276">
        <f ca="1"/>
      </c>
      <c r="CE276">
        <f ca="1"/>
      </c>
      <c r="CF276">
        <f ca="1"/>
      </c>
      <c r="CG276">
        <f ca="1"/>
      </c>
      <c r="CH276">
        <f ca="1"/>
      </c>
      <c r="CI276">
        <f ca="1"/>
      </c>
      <c r="CK276">
        <f ca="1"/>
      </c>
      <c r="CL276">
        <f ca="1"/>
      </c>
      <c r="CM276">
        <f ca="1"/>
      </c>
      <c r="CN276">
        <f ca="1"/>
      </c>
      <c r="CO276">
        <f ca="1"/>
      </c>
      <c r="CP276">
        <f ca="1"/>
      </c>
      <c r="CQ276">
        <f ca="1"/>
      </c>
      <c r="CR276">
        <f ca="1"/>
      </c>
      <c r="CS276">
        <f ca="1"/>
      </c>
      <c r="CT276">
        <f ca="1"/>
      </c>
      <c r="CU276">
        <f ca="1"/>
      </c>
      <c r="CV276">
        <f ca="1"/>
      </c>
      <c r="CW276">
        <f ca="1"/>
      </c>
      <c r="CX276">
        <f ca="1"/>
      </c>
      <c r="CY276">
        <f ca="1"/>
      </c>
      <c r="CZ276">
        <f ca="1"/>
      </c>
      <c r="DA276">
        <f ca="1"/>
      </c>
      <c r="DB276">
        <f ca="1"/>
      </c>
      <c r="DC276">
        <f ca="1"/>
      </c>
      <c r="DD276">
        <f ca="1"/>
      </c>
      <c r="DE276">
        <f ca="1"/>
      </c>
      <c r="DF276">
        <f ca="1"/>
      </c>
      <c r="DG276">
        <f ca="1"/>
      </c>
      <c r="DH276">
        <f ca="1"/>
      </c>
      <c r="DI276">
        <f ca="1"/>
      </c>
      <c r="DJ276">
        <f ca="1"/>
      </c>
      <c r="DK276">
        <f ca="1"/>
      </c>
      <c r="DL276">
        <f ca="1"/>
      </c>
      <c r="DM276">
        <f ca="1"/>
      </c>
      <c r="DN276">
        <f ca="1"/>
      </c>
      <c r="DO276">
        <f ca="1"/>
      </c>
      <c r="DP276">
        <f ca="1"/>
      </c>
      <c r="DQ276">
        <f ca="1"/>
      </c>
      <c r="DR276">
        <f ca="1"/>
      </c>
      <c r="DS276">
        <f ca="1"/>
      </c>
      <c r="DT276">
        <f ca="1"/>
      </c>
      <c r="DU276">
        <f ca="1"/>
      </c>
      <c r="DV276">
        <f ca="1"/>
      </c>
      <c r="DW276">
        <f ca="1"/>
      </c>
      <c r="DX276">
        <f ca="1"/>
      </c>
      <c r="DY276">
        <f ca="1"/>
      </c>
      <c r="DZ276">
        <f ca="1"/>
      </c>
      <c r="EA276">
        <f ca="1"/>
      </c>
      <c r="EB276">
        <f ca="1"/>
      </c>
      <c r="EC276">
        <f ca="1"/>
      </c>
      <c r="ED276">
        <f ca="1"/>
      </c>
      <c r="EE276">
        <f ca="1"/>
      </c>
      <c r="EG276">
        <f ca="1"/>
      </c>
      <c r="EH276">
        <f ca="1"/>
      </c>
      <c r="EI276">
        <f ca="1"/>
      </c>
      <c r="EJ276">
        <f ca="1"/>
      </c>
      <c r="EK276">
        <f ca="1"/>
      </c>
      <c r="EL276">
        <f ca="1"/>
      </c>
      <c r="EM276">
        <f ca="1"/>
      </c>
      <c r="EN276">
        <f ca="1"/>
      </c>
      <c r="EO276">
        <f ca="1"/>
      </c>
      <c r="EP276">
        <f ca="1"/>
      </c>
      <c r="EQ276">
        <f ca="1"/>
      </c>
      <c r="ER276">
        <f ca="1"/>
      </c>
      <c r="ES276">
        <f ca="1"/>
      </c>
      <c r="ET276">
        <f ca="1"/>
      </c>
      <c r="EU276">
        <f ca="1"/>
      </c>
      <c r="EV276">
        <f ca="1"/>
      </c>
      <c r="EW276">
        <f ca="1"/>
      </c>
      <c r="EX276">
        <f ca="1"/>
      </c>
      <c r="EY276">
        <f ca="1"/>
      </c>
      <c r="EZ276">
        <f ca="1"/>
      </c>
      <c r="FA276">
        <f ca="1"/>
      </c>
      <c r="FB276">
        <f ca="1"/>
      </c>
      <c r="FC276">
        <f ca="1"/>
      </c>
      <c r="FD276">
        <f ca="1"/>
      </c>
      <c r="FE276">
        <f ca="1"/>
      </c>
      <c r="FF276">
        <f ca="1"/>
      </c>
      <c r="FG276">
        <f ca="1"/>
      </c>
      <c r="FH276">
        <f ca="1"/>
      </c>
      <c r="FI276">
        <f ca="1"/>
      </c>
      <c r="FJ276">
        <f ca="1"/>
      </c>
      <c r="FK276">
        <f ca="1"/>
      </c>
      <c r="FL276">
        <f ca="1"/>
      </c>
      <c r="FM276">
        <f ca="1"/>
      </c>
      <c r="FN276">
        <f ca="1"/>
      </c>
      <c r="FO276">
        <f ca="1"/>
      </c>
      <c r="FP276">
        <f ca="1"/>
      </c>
      <c r="FQ276">
        <f ca="1"/>
      </c>
      <c r="FR276">
        <f ca="1"/>
      </c>
      <c r="FS276">
        <f ca="1"/>
      </c>
      <c r="FT276">
        <f ca="1"/>
      </c>
      <c r="FU276">
        <f ca="1"/>
      </c>
      <c r="FV276">
        <f ca="1"/>
      </c>
      <c r="FW276">
        <f ca="1"/>
      </c>
      <c r="FX276">
        <f ca="1"/>
      </c>
      <c r="FY276">
        <f ca="1"/>
      </c>
      <c r="FZ276">
        <f ca="1"/>
      </c>
      <c r="GA276">
        <f ca="1"/>
      </c>
      <c r="GM276" s="7"/>
    </row>
    <row r="277" spans="41:195" x14ac:dyDescent="0.55000000000000004">
      <c r="AO277">
        <f ca="1"/>
      </c>
      <c r="AP277">
        <f ca="1"/>
      </c>
      <c r="AQ277">
        <f ca="1"/>
      </c>
      <c r="AR277">
        <f ca="1"/>
      </c>
      <c r="AS277">
        <f ca="1"/>
      </c>
      <c r="AT27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AZ277">
        <f ca="1"/>
      </c>
      <c r="BA277">
        <f ca="1"/>
      </c>
      <c r="BB277">
        <f ca="1"/>
      </c>
      <c r="BC277">
        <f ca="1"/>
      </c>
      <c r="BD277">
        <f ca="1"/>
      </c>
      <c r="BE277">
        <f ca="1"/>
      </c>
      <c r="BF277">
        <f ca="1"/>
      </c>
      <c r="BG277">
        <f ca="1"/>
      </c>
      <c r="BH277">
        <f ca="1"/>
      </c>
      <c r="BI277">
        <f ca="1"/>
      </c>
      <c r="BJ277">
        <f ca="1"/>
      </c>
      <c r="BK277">
        <f ca="1"/>
      </c>
      <c r="BL277">
        <f ca="1"/>
      </c>
      <c r="BM277">
        <f ca="1"/>
      </c>
      <c r="BN277">
        <f ca="1"/>
      </c>
      <c r="BO277">
        <f ca="1"/>
      </c>
      <c r="BP277">
        <f ca="1"/>
      </c>
      <c r="BQ277">
        <f ca="1"/>
      </c>
      <c r="BR277">
        <f ca="1"/>
      </c>
      <c r="BS277">
        <f ca="1"/>
      </c>
      <c r="BT277">
        <f ca="1"/>
      </c>
      <c r="BU277">
        <f ca="1"/>
      </c>
      <c r="BV277">
        <f ca="1"/>
      </c>
      <c r="BW277">
        <f ca="1"/>
      </c>
      <c r="BX277">
        <f ca="1"/>
      </c>
      <c r="BY277">
        <f ca="1"/>
      </c>
      <c r="BZ277">
        <f ca="1"/>
      </c>
      <c r="CA277">
        <f ca="1"/>
      </c>
      <c r="CB277">
        <f ca="1"/>
      </c>
      <c r="CC277">
        <f ca="1"/>
      </c>
      <c r="CD277">
        <f ca="1"/>
      </c>
      <c r="CE277">
        <f ca="1"/>
      </c>
      <c r="CF277">
        <f ca="1"/>
      </c>
      <c r="CG277">
        <f ca="1"/>
      </c>
      <c r="CH277">
        <f ca="1"/>
      </c>
      <c r="CI277">
        <f ca="1"/>
      </c>
      <c r="CK277">
        <f ca="1"/>
      </c>
      <c r="CL277">
        <f ca="1"/>
      </c>
      <c r="CM277">
        <f ca="1"/>
      </c>
      <c r="CN277">
        <f ca="1"/>
      </c>
      <c r="CO277">
        <f ca="1"/>
      </c>
      <c r="CP277">
        <f ca="1"/>
      </c>
      <c r="CQ277">
        <f ca="1"/>
      </c>
      <c r="CR277">
        <f ca="1"/>
      </c>
      <c r="CS277">
        <f ca="1"/>
      </c>
      <c r="CT277">
        <f ca="1"/>
      </c>
      <c r="CU277">
        <f ca="1"/>
      </c>
      <c r="CV277">
        <f ca="1"/>
      </c>
      <c r="CW277">
        <f ca="1"/>
      </c>
      <c r="CX277">
        <f ca="1"/>
      </c>
      <c r="CY277">
        <f ca="1"/>
      </c>
      <c r="CZ277">
        <f ca="1"/>
      </c>
      <c r="DA277">
        <f ca="1"/>
      </c>
      <c r="DB277">
        <f ca="1"/>
      </c>
      <c r="DC277">
        <f ca="1"/>
      </c>
      <c r="DD277">
        <f ca="1"/>
      </c>
      <c r="DE277">
        <f ca="1"/>
      </c>
      <c r="DF277">
        <f ca="1"/>
      </c>
      <c r="DG277">
        <f ca="1"/>
      </c>
      <c r="DH277">
        <f ca="1"/>
      </c>
      <c r="DI277">
        <f ca="1"/>
      </c>
      <c r="DJ277">
        <f ca="1"/>
      </c>
      <c r="DK277">
        <f ca="1"/>
      </c>
      <c r="DL277">
        <f ca="1"/>
      </c>
      <c r="DM277">
        <f ca="1"/>
      </c>
      <c r="DN277">
        <f ca="1"/>
      </c>
      <c r="DO277">
        <f ca="1"/>
      </c>
      <c r="DP277">
        <f ca="1"/>
      </c>
      <c r="DQ277">
        <f ca="1"/>
      </c>
      <c r="DR277">
        <f ca="1"/>
      </c>
      <c r="DS277">
        <f ca="1"/>
      </c>
      <c r="DT277">
        <f ca="1"/>
      </c>
      <c r="DU277">
        <f ca="1"/>
      </c>
      <c r="DV277">
        <f ca="1"/>
      </c>
      <c r="DW277">
        <f ca="1"/>
      </c>
      <c r="DX277">
        <f ca="1"/>
      </c>
      <c r="DY277">
        <f ca="1"/>
      </c>
      <c r="DZ277">
        <f ca="1"/>
      </c>
      <c r="EA277">
        <f ca="1"/>
      </c>
      <c r="EB277">
        <f ca="1"/>
      </c>
      <c r="EC277">
        <f ca="1"/>
      </c>
      <c r="ED277">
        <f ca="1"/>
      </c>
      <c r="EE277">
        <f ca="1"/>
      </c>
      <c r="EG277">
        <f ca="1"/>
      </c>
      <c r="EH277">
        <f ca="1"/>
      </c>
      <c r="EI277">
        <f ca="1"/>
      </c>
      <c r="EJ277">
        <f ca="1"/>
      </c>
      <c r="EK277">
        <f ca="1"/>
      </c>
      <c r="EL277">
        <f ca="1"/>
      </c>
      <c r="EM277">
        <f ca="1"/>
      </c>
      <c r="EN277">
        <f ca="1"/>
      </c>
      <c r="EO277">
        <f ca="1"/>
      </c>
      <c r="EP277">
        <f ca="1"/>
      </c>
      <c r="EQ277">
        <f ca="1"/>
      </c>
      <c r="ER277">
        <f ca="1"/>
      </c>
      <c r="ES277">
        <f ca="1"/>
      </c>
      <c r="ET277">
        <f ca="1"/>
      </c>
      <c r="EU277">
        <f ca="1"/>
      </c>
      <c r="EV277">
        <f ca="1"/>
      </c>
      <c r="EW277">
        <f ca="1"/>
      </c>
      <c r="EX277">
        <f ca="1"/>
      </c>
      <c r="EY277">
        <f ca="1"/>
      </c>
      <c r="EZ277">
        <f ca="1"/>
      </c>
      <c r="FA277">
        <f ca="1"/>
      </c>
      <c r="FB277">
        <f ca="1"/>
      </c>
      <c r="FC277">
        <f ca="1"/>
      </c>
      <c r="FD277">
        <f ca="1"/>
      </c>
      <c r="FE277">
        <f ca="1"/>
      </c>
      <c r="FF277">
        <f ca="1"/>
      </c>
      <c r="FG277">
        <f ca="1"/>
      </c>
      <c r="FH277">
        <f ca="1"/>
      </c>
      <c r="FI277">
        <f ca="1"/>
      </c>
      <c r="FJ277">
        <f ca="1"/>
      </c>
      <c r="FK277">
        <f ca="1"/>
      </c>
      <c r="FL277">
        <f ca="1"/>
      </c>
      <c r="FM277">
        <f ca="1"/>
      </c>
      <c r="FN277">
        <f ca="1"/>
      </c>
      <c r="FO277">
        <f ca="1"/>
      </c>
      <c r="FP277">
        <f ca="1"/>
      </c>
      <c r="FQ277">
        <f ca="1"/>
      </c>
      <c r="FR277">
        <f ca="1"/>
      </c>
      <c r="FS277">
        <f ca="1"/>
      </c>
      <c r="FT277">
        <f ca="1"/>
      </c>
      <c r="FU277">
        <f ca="1"/>
      </c>
      <c r="FV277">
        <f ca="1"/>
      </c>
      <c r="FW277">
        <f ca="1"/>
      </c>
      <c r="FX277">
        <f ca="1"/>
      </c>
      <c r="FY277">
        <f ca="1"/>
      </c>
      <c r="FZ277">
        <f ca="1"/>
      </c>
      <c r="GA277">
        <f ca="1"/>
      </c>
      <c r="GM277" s="7"/>
    </row>
    <row r="278" spans="41:195" x14ac:dyDescent="0.55000000000000004">
      <c r="AO278">
        <f ca="1"/>
      </c>
      <c r="AP278">
        <f ca="1"/>
      </c>
      <c r="AQ278">
        <f ca="1"/>
      </c>
      <c r="AR278">
        <f ca="1"/>
      </c>
      <c r="AS278">
        <f ca="1"/>
      </c>
      <c r="AT278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AZ278">
        <f ca="1"/>
      </c>
      <c r="BA278">
        <f ca="1"/>
      </c>
      <c r="BB278">
        <f ca="1"/>
      </c>
      <c r="BC278">
        <f ca="1"/>
      </c>
      <c r="BD278">
        <f ca="1"/>
      </c>
      <c r="BE278">
        <f ca="1"/>
      </c>
      <c r="BF278">
        <f ca="1"/>
      </c>
      <c r="BG278">
        <f ca="1"/>
      </c>
      <c r="BH278">
        <f ca="1"/>
      </c>
      <c r="BI278">
        <f ca="1"/>
      </c>
      <c r="BJ278">
        <f ca="1"/>
      </c>
      <c r="BK278">
        <f ca="1"/>
      </c>
      <c r="BL278">
        <f ca="1"/>
      </c>
      <c r="BM278">
        <f ca="1"/>
      </c>
      <c r="BN278">
        <f ca="1"/>
      </c>
      <c r="BO278">
        <f ca="1"/>
      </c>
      <c r="BP278">
        <f ca="1"/>
      </c>
      <c r="BQ278">
        <f ca="1"/>
      </c>
      <c r="BR278">
        <f ca="1"/>
      </c>
      <c r="BS278">
        <f ca="1"/>
      </c>
      <c r="BT278">
        <f ca="1"/>
      </c>
      <c r="BU278">
        <f ca="1"/>
      </c>
      <c r="BV278">
        <f ca="1"/>
      </c>
      <c r="BW278">
        <f ca="1"/>
      </c>
      <c r="BX278">
        <f ca="1"/>
      </c>
      <c r="BY278">
        <f ca="1"/>
      </c>
      <c r="BZ278">
        <f ca="1"/>
      </c>
      <c r="CA278">
        <f ca="1"/>
      </c>
      <c r="CB278">
        <f ca="1"/>
      </c>
      <c r="CC278">
        <f ca="1"/>
      </c>
      <c r="CD278">
        <f ca="1"/>
      </c>
      <c r="CE278">
        <f ca="1"/>
      </c>
      <c r="CF278">
        <f ca="1"/>
      </c>
      <c r="CG278">
        <f ca="1"/>
      </c>
      <c r="CH278">
        <f ca="1"/>
      </c>
      <c r="CI278">
        <f ca="1"/>
      </c>
      <c r="CK278">
        <f ca="1"/>
      </c>
      <c r="CL278">
        <f ca="1"/>
      </c>
      <c r="CM278">
        <f ca="1"/>
      </c>
      <c r="CN278">
        <f ca="1"/>
      </c>
      <c r="CO278">
        <f ca="1"/>
      </c>
      <c r="CP278">
        <f ca="1"/>
      </c>
      <c r="CQ278">
        <f ca="1"/>
      </c>
      <c r="CR278">
        <f ca="1"/>
      </c>
      <c r="CS278">
        <f ca="1"/>
      </c>
      <c r="CT278">
        <f ca="1"/>
      </c>
      <c r="CU278">
        <f ca="1"/>
      </c>
      <c r="CV278">
        <f ca="1"/>
      </c>
      <c r="CW278">
        <f ca="1"/>
      </c>
      <c r="CX278">
        <f ca="1"/>
      </c>
      <c r="CY278">
        <f ca="1"/>
      </c>
      <c r="CZ278">
        <f ca="1"/>
      </c>
      <c r="DA278">
        <f ca="1"/>
      </c>
      <c r="DB278">
        <f ca="1"/>
      </c>
      <c r="DC278">
        <f ca="1"/>
      </c>
      <c r="DD278">
        <f ca="1"/>
      </c>
      <c r="DE278">
        <f ca="1"/>
      </c>
      <c r="DF278">
        <f ca="1"/>
      </c>
      <c r="DG278">
        <f ca="1"/>
      </c>
      <c r="DH278">
        <f ca="1"/>
      </c>
      <c r="DI278">
        <f ca="1"/>
      </c>
      <c r="DJ278">
        <f ca="1"/>
      </c>
      <c r="DK278">
        <f ca="1"/>
      </c>
      <c r="DL278">
        <f ca="1"/>
      </c>
      <c r="DM278">
        <f ca="1"/>
      </c>
      <c r="DN278">
        <f ca="1"/>
      </c>
      <c r="DO278">
        <f ca="1"/>
      </c>
      <c r="DP278">
        <f ca="1"/>
      </c>
      <c r="DQ278">
        <f ca="1"/>
      </c>
      <c r="DR278">
        <f ca="1"/>
      </c>
      <c r="DS278">
        <f ca="1"/>
      </c>
      <c r="DT278">
        <f ca="1"/>
      </c>
      <c r="DU278">
        <f ca="1"/>
      </c>
      <c r="DV278">
        <f ca="1"/>
      </c>
      <c r="DW278">
        <f ca="1"/>
      </c>
      <c r="DX278">
        <f ca="1"/>
      </c>
      <c r="DY278">
        <f ca="1"/>
      </c>
      <c r="DZ278">
        <f ca="1"/>
      </c>
      <c r="EA278">
        <f ca="1"/>
      </c>
      <c r="EB278">
        <f ca="1"/>
      </c>
      <c r="EC278">
        <f ca="1"/>
      </c>
      <c r="ED278">
        <f ca="1"/>
      </c>
      <c r="EE278">
        <f ca="1"/>
      </c>
      <c r="EG278">
        <f ca="1"/>
      </c>
      <c r="EH278">
        <f ca="1"/>
      </c>
      <c r="EI278">
        <f ca="1"/>
      </c>
      <c r="EJ278">
        <f ca="1"/>
      </c>
      <c r="EK278">
        <f ca="1"/>
      </c>
      <c r="EL278">
        <f ca="1"/>
      </c>
      <c r="EM278">
        <f ca="1"/>
      </c>
      <c r="EN278">
        <f ca="1"/>
      </c>
      <c r="EO278">
        <f ca="1"/>
      </c>
      <c r="EP278">
        <f ca="1"/>
      </c>
      <c r="EQ278">
        <f ca="1"/>
      </c>
      <c r="ER278">
        <f ca="1"/>
      </c>
      <c r="ES278">
        <f ca="1"/>
      </c>
      <c r="ET278">
        <f ca="1"/>
      </c>
      <c r="EU278">
        <f ca="1"/>
      </c>
      <c r="EV278">
        <f ca="1"/>
      </c>
      <c r="EW278">
        <f ca="1"/>
      </c>
      <c r="EX278">
        <f ca="1"/>
      </c>
      <c r="EY278">
        <f ca="1"/>
      </c>
      <c r="EZ278">
        <f ca="1"/>
      </c>
      <c r="FA278">
        <f ca="1"/>
      </c>
      <c r="FB278">
        <f ca="1"/>
      </c>
      <c r="FC278">
        <f ca="1"/>
      </c>
      <c r="FD278">
        <f ca="1"/>
      </c>
      <c r="FE278">
        <f ca="1"/>
      </c>
      <c r="FF278">
        <f ca="1"/>
      </c>
      <c r="FG278">
        <f ca="1"/>
      </c>
      <c r="FH278">
        <f ca="1"/>
      </c>
      <c r="FI278">
        <f ca="1"/>
      </c>
      <c r="FJ278">
        <f ca="1"/>
      </c>
      <c r="FK278">
        <f ca="1"/>
      </c>
      <c r="FL278">
        <f ca="1"/>
      </c>
      <c r="FM278">
        <f ca="1"/>
      </c>
      <c r="FN278">
        <f ca="1"/>
      </c>
      <c r="FO278">
        <f ca="1"/>
      </c>
      <c r="FP278">
        <f ca="1"/>
      </c>
      <c r="FQ278">
        <f ca="1"/>
      </c>
      <c r="FR278">
        <f ca="1"/>
      </c>
      <c r="FS278">
        <f ca="1"/>
      </c>
      <c r="FT278">
        <f ca="1"/>
      </c>
      <c r="FU278">
        <f ca="1"/>
      </c>
      <c r="FV278">
        <f ca="1"/>
      </c>
      <c r="FW278">
        <f ca="1"/>
      </c>
      <c r="FX278">
        <f ca="1"/>
      </c>
      <c r="FY278">
        <f ca="1"/>
      </c>
      <c r="FZ278">
        <f ca="1"/>
      </c>
      <c r="GA278">
        <f ca="1"/>
      </c>
      <c r="GM278" s="7"/>
    </row>
    <row r="279" spans="41:195" x14ac:dyDescent="0.55000000000000004">
      <c r="AO279">
        <f ca="1"/>
      </c>
      <c r="AP279">
        <f ca="1"/>
      </c>
      <c r="AQ279">
        <f ca="1"/>
      </c>
      <c r="AR279">
        <f ca="1"/>
      </c>
      <c r="AS279">
        <f ca="1"/>
      </c>
      <c r="AT279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AZ279">
        <f ca="1"/>
      </c>
      <c r="BA279">
        <f ca="1"/>
      </c>
      <c r="BB279">
        <f ca="1"/>
      </c>
      <c r="BC279">
        <f ca="1"/>
      </c>
      <c r="BD279">
        <f ca="1"/>
      </c>
      <c r="BE279">
        <f ca="1"/>
      </c>
      <c r="BF279">
        <f ca="1"/>
      </c>
      <c r="BG279">
        <f ca="1"/>
      </c>
      <c r="BH279">
        <f ca="1"/>
      </c>
      <c r="BI279">
        <f ca="1"/>
      </c>
      <c r="BJ279">
        <f ca="1"/>
      </c>
      <c r="BK279">
        <f ca="1"/>
      </c>
      <c r="BL279">
        <f ca="1"/>
      </c>
      <c r="BM279">
        <f ca="1"/>
      </c>
      <c r="BN279">
        <f ca="1"/>
      </c>
      <c r="BO279">
        <f ca="1"/>
      </c>
      <c r="BP279">
        <f ca="1"/>
      </c>
      <c r="BQ279">
        <f ca="1"/>
      </c>
      <c r="BR279">
        <f ca="1"/>
      </c>
      <c r="BS279">
        <f ca="1"/>
      </c>
      <c r="BT279">
        <f ca="1"/>
      </c>
      <c r="BU279">
        <f ca="1"/>
      </c>
      <c r="BV279">
        <f ca="1"/>
      </c>
      <c r="BW279">
        <f ca="1"/>
      </c>
      <c r="BX279">
        <f ca="1"/>
      </c>
      <c r="BY279">
        <f ca="1"/>
      </c>
      <c r="BZ279">
        <f ca="1"/>
      </c>
      <c r="CA279">
        <f ca="1"/>
      </c>
      <c r="CB279">
        <f ca="1"/>
      </c>
      <c r="CC279">
        <f ca="1"/>
      </c>
      <c r="CD279">
        <f ca="1"/>
      </c>
      <c r="CE279">
        <f ca="1"/>
      </c>
      <c r="CF279">
        <f ca="1"/>
      </c>
      <c r="CG279">
        <f ca="1"/>
      </c>
      <c r="CH279">
        <f ca="1"/>
      </c>
      <c r="CI279">
        <f ca="1"/>
      </c>
      <c r="CK279">
        <f ca="1"/>
      </c>
      <c r="CL279">
        <f ca="1"/>
      </c>
      <c r="CM279">
        <f ca="1"/>
      </c>
      <c r="CN279">
        <f ca="1"/>
      </c>
      <c r="CO279">
        <f ca="1"/>
      </c>
      <c r="CP279">
        <f ca="1"/>
      </c>
      <c r="CQ279">
        <f ca="1"/>
      </c>
      <c r="CR279">
        <f ca="1"/>
      </c>
      <c r="CS279">
        <f ca="1"/>
      </c>
      <c r="CT279">
        <f ca="1"/>
      </c>
      <c r="CU279">
        <f ca="1"/>
      </c>
      <c r="CV279">
        <f ca="1"/>
      </c>
      <c r="CW279">
        <f ca="1"/>
      </c>
      <c r="CX279">
        <f ca="1"/>
      </c>
      <c r="CY279">
        <f ca="1"/>
      </c>
      <c r="CZ279">
        <f ca="1"/>
      </c>
      <c r="DA279">
        <f ca="1"/>
      </c>
      <c r="DB279">
        <f ca="1"/>
      </c>
      <c r="DC279">
        <f ca="1"/>
      </c>
      <c r="DD279">
        <f ca="1"/>
      </c>
      <c r="DE279">
        <f ca="1"/>
      </c>
      <c r="DF279">
        <f ca="1"/>
      </c>
      <c r="DG279">
        <f ca="1"/>
      </c>
      <c r="DH279">
        <f ca="1"/>
      </c>
      <c r="DI279">
        <f ca="1"/>
      </c>
      <c r="DJ279">
        <f ca="1"/>
      </c>
      <c r="DK279">
        <f ca="1"/>
      </c>
      <c r="DL279">
        <f ca="1"/>
      </c>
      <c r="DM279">
        <f ca="1"/>
      </c>
      <c r="DN279">
        <f ca="1"/>
      </c>
      <c r="DO279">
        <f ca="1"/>
      </c>
      <c r="DP279">
        <f ca="1"/>
      </c>
      <c r="DQ279">
        <f ca="1"/>
      </c>
      <c r="DR279">
        <f ca="1"/>
      </c>
      <c r="DS279">
        <f ca="1"/>
      </c>
      <c r="DT279">
        <f ca="1"/>
      </c>
      <c r="DU279">
        <f ca="1"/>
      </c>
      <c r="DV279">
        <f ca="1"/>
      </c>
      <c r="DW279">
        <f ca="1"/>
      </c>
      <c r="DX279">
        <f ca="1"/>
      </c>
      <c r="DY279">
        <f ca="1"/>
      </c>
      <c r="DZ279">
        <f ca="1"/>
      </c>
      <c r="EA279">
        <f ca="1"/>
      </c>
      <c r="EB279">
        <f ca="1"/>
      </c>
      <c r="EC279">
        <f ca="1"/>
      </c>
      <c r="ED279">
        <f ca="1"/>
      </c>
      <c r="EE279">
        <f ca="1"/>
      </c>
      <c r="EG279">
        <f ca="1"/>
      </c>
      <c r="EH279">
        <f ca="1"/>
      </c>
      <c r="EI279">
        <f ca="1"/>
      </c>
      <c r="EJ279">
        <f ca="1"/>
      </c>
      <c r="EK279">
        <f ca="1"/>
      </c>
      <c r="EL279">
        <f ca="1"/>
      </c>
      <c r="EM279">
        <f ca="1"/>
      </c>
      <c r="EN279">
        <f ca="1"/>
      </c>
      <c r="EO279">
        <f ca="1"/>
      </c>
      <c r="EP279">
        <f ca="1"/>
      </c>
      <c r="EQ279">
        <f ca="1"/>
      </c>
      <c r="ER279">
        <f ca="1"/>
      </c>
      <c r="ES279">
        <f ca="1"/>
      </c>
      <c r="ET279">
        <f ca="1"/>
      </c>
      <c r="EU279">
        <f ca="1"/>
      </c>
      <c r="EV279">
        <f ca="1"/>
      </c>
      <c r="EW279">
        <f ca="1"/>
      </c>
      <c r="EX279">
        <f ca="1"/>
      </c>
      <c r="EY279">
        <f ca="1"/>
      </c>
      <c r="EZ279">
        <f ca="1"/>
      </c>
      <c r="FA279">
        <f ca="1"/>
      </c>
      <c r="FB279">
        <f ca="1"/>
      </c>
      <c r="FC279">
        <f ca="1"/>
      </c>
      <c r="FD279">
        <f ca="1"/>
      </c>
      <c r="FE279">
        <f ca="1"/>
      </c>
      <c r="FF279">
        <f ca="1"/>
      </c>
      <c r="FG279">
        <f ca="1"/>
      </c>
      <c r="FH279">
        <f ca="1"/>
      </c>
      <c r="FI279">
        <f ca="1"/>
      </c>
      <c r="FJ279">
        <f ca="1"/>
      </c>
      <c r="FK279">
        <f ca="1"/>
      </c>
      <c r="FL279">
        <f ca="1"/>
      </c>
      <c r="FM279">
        <f ca="1"/>
      </c>
      <c r="FN279">
        <f ca="1"/>
      </c>
      <c r="FO279">
        <f ca="1"/>
      </c>
      <c r="FP279">
        <f ca="1"/>
      </c>
      <c r="FQ279">
        <f ca="1"/>
      </c>
      <c r="FR279">
        <f ca="1"/>
      </c>
      <c r="FS279">
        <f ca="1"/>
      </c>
      <c r="FT279">
        <f ca="1"/>
      </c>
      <c r="FU279">
        <f ca="1"/>
      </c>
      <c r="FV279">
        <f ca="1"/>
      </c>
      <c r="FW279">
        <f ca="1"/>
      </c>
      <c r="FX279">
        <f ca="1"/>
      </c>
      <c r="FY279">
        <f ca="1"/>
      </c>
      <c r="FZ279">
        <f ca="1"/>
      </c>
      <c r="GA279">
        <f ca="1"/>
      </c>
      <c r="GM279" s="7"/>
    </row>
    <row r="280" spans="41:195" x14ac:dyDescent="0.55000000000000004">
      <c r="AO280">
        <f ca="1"/>
      </c>
      <c r="AP280">
        <f ca="1"/>
      </c>
      <c r="AQ280">
        <f ca="1"/>
      </c>
      <c r="AR280">
        <f ca="1"/>
      </c>
      <c r="AS280">
        <f ca="1"/>
      </c>
      <c r="AT280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AZ280">
        <f ca="1"/>
      </c>
      <c r="BA280">
        <f ca="1"/>
      </c>
      <c r="BB280">
        <f ca="1"/>
      </c>
      <c r="BC280">
        <f ca="1"/>
      </c>
      <c r="BD280">
        <f ca="1"/>
      </c>
      <c r="BE280">
        <f ca="1"/>
      </c>
      <c r="BF280">
        <f ca="1"/>
      </c>
      <c r="BG280">
        <f ca="1"/>
      </c>
      <c r="BH280">
        <f ca="1"/>
      </c>
      <c r="BI280">
        <f ca="1"/>
      </c>
      <c r="BJ280">
        <f ca="1"/>
      </c>
      <c r="BK280">
        <f ca="1"/>
      </c>
      <c r="BL280">
        <f ca="1"/>
      </c>
      <c r="BM280">
        <f ca="1"/>
      </c>
      <c r="BN280">
        <f ca="1"/>
      </c>
      <c r="BO280">
        <f ca="1"/>
      </c>
      <c r="BP280">
        <f ca="1"/>
      </c>
      <c r="BQ280">
        <f ca="1"/>
      </c>
      <c r="BR280">
        <f ca="1"/>
      </c>
      <c r="BS280">
        <f ca="1"/>
      </c>
      <c r="BT280">
        <f ca="1"/>
      </c>
      <c r="BU280">
        <f ca="1"/>
      </c>
      <c r="BV280">
        <f ca="1"/>
      </c>
      <c r="BW280">
        <f ca="1"/>
      </c>
      <c r="BX280">
        <f ca="1"/>
      </c>
      <c r="BY280">
        <f ca="1"/>
      </c>
      <c r="BZ280">
        <f ca="1"/>
      </c>
      <c r="CA280">
        <f ca="1"/>
      </c>
      <c r="CB280">
        <f ca="1"/>
      </c>
      <c r="CC280">
        <f ca="1"/>
      </c>
      <c r="CD280">
        <f ca="1"/>
      </c>
      <c r="CE280">
        <f ca="1"/>
      </c>
      <c r="CF280">
        <f ca="1"/>
      </c>
      <c r="CG280">
        <f ca="1"/>
      </c>
      <c r="CH280">
        <f ca="1"/>
      </c>
      <c r="CI280">
        <f ca="1"/>
      </c>
      <c r="CK280">
        <f ca="1"/>
      </c>
      <c r="CL280">
        <f ca="1"/>
      </c>
      <c r="CM280">
        <f ca="1"/>
      </c>
      <c r="CN280">
        <f ca="1"/>
      </c>
      <c r="CO280">
        <f ca="1"/>
      </c>
      <c r="CP280">
        <f ca="1"/>
      </c>
      <c r="CQ280">
        <f ca="1"/>
      </c>
      <c r="CR280">
        <f ca="1"/>
      </c>
      <c r="CS280">
        <f ca="1"/>
      </c>
      <c r="CT280">
        <f ca="1"/>
      </c>
      <c r="CU280">
        <f ca="1"/>
      </c>
      <c r="CV280">
        <f ca="1"/>
      </c>
      <c r="CW280">
        <f ca="1"/>
      </c>
      <c r="CX280">
        <f ca="1"/>
      </c>
      <c r="CY280">
        <f ca="1"/>
      </c>
      <c r="CZ280">
        <f ca="1"/>
      </c>
      <c r="DA280">
        <f ca="1"/>
      </c>
      <c r="DB280">
        <f ca="1"/>
      </c>
      <c r="DC280">
        <f ca="1"/>
      </c>
      <c r="DD280">
        <f ca="1"/>
      </c>
      <c r="DE280">
        <f ca="1"/>
      </c>
      <c r="DF280">
        <f ca="1"/>
      </c>
      <c r="DG280">
        <f ca="1"/>
      </c>
      <c r="DH280">
        <f ca="1"/>
      </c>
      <c r="DI280">
        <f ca="1"/>
      </c>
      <c r="DJ280">
        <f ca="1"/>
      </c>
      <c r="DK280">
        <f ca="1"/>
      </c>
      <c r="DL280">
        <f ca="1"/>
      </c>
      <c r="DM280">
        <f ca="1"/>
      </c>
      <c r="DN280">
        <f ca="1"/>
      </c>
      <c r="DO280">
        <f ca="1"/>
      </c>
      <c r="DP280">
        <f ca="1"/>
      </c>
      <c r="DQ280">
        <f ca="1"/>
      </c>
      <c r="DR280">
        <f ca="1"/>
      </c>
      <c r="DS280">
        <f ca="1"/>
      </c>
      <c r="DT280">
        <f ca="1"/>
      </c>
      <c r="DU280">
        <f ca="1"/>
      </c>
      <c r="DV280">
        <f ca="1"/>
      </c>
      <c r="DW280">
        <f ca="1"/>
      </c>
      <c r="DX280">
        <f ca="1"/>
      </c>
      <c r="DY280">
        <f ca="1"/>
      </c>
      <c r="DZ280">
        <f ca="1"/>
      </c>
      <c r="EA280">
        <f ca="1"/>
      </c>
      <c r="EB280">
        <f ca="1"/>
      </c>
      <c r="EC280">
        <f ca="1"/>
      </c>
      <c r="ED280">
        <f ca="1"/>
      </c>
      <c r="EE280">
        <f ca="1"/>
      </c>
      <c r="EG280">
        <f ca="1"/>
      </c>
      <c r="EH280">
        <f ca="1"/>
      </c>
      <c r="EI280">
        <f ca="1"/>
      </c>
      <c r="EJ280">
        <f ca="1"/>
      </c>
      <c r="EK280">
        <f ca="1"/>
      </c>
      <c r="EL280">
        <f ca="1"/>
      </c>
      <c r="EM280">
        <f ca="1"/>
      </c>
      <c r="EN280">
        <f ca="1"/>
      </c>
      <c r="EO280">
        <f ca="1"/>
      </c>
      <c r="EP280">
        <f ca="1"/>
      </c>
      <c r="EQ280">
        <f ca="1"/>
      </c>
      <c r="ER280">
        <f ca="1"/>
      </c>
      <c r="ES280">
        <f ca="1"/>
      </c>
      <c r="ET280">
        <f ca="1"/>
      </c>
      <c r="EU280">
        <f ca="1"/>
      </c>
      <c r="EV280">
        <f ca="1"/>
      </c>
      <c r="EW280">
        <f ca="1"/>
      </c>
      <c r="EX280">
        <f ca="1"/>
      </c>
      <c r="EY280">
        <f ca="1"/>
      </c>
      <c r="EZ280">
        <f ca="1"/>
      </c>
      <c r="FA280">
        <f ca="1"/>
      </c>
      <c r="FB280">
        <f ca="1"/>
      </c>
      <c r="FC280">
        <f ca="1"/>
      </c>
      <c r="FD280">
        <f ca="1"/>
      </c>
      <c r="FE280">
        <f ca="1"/>
      </c>
      <c r="FF280">
        <f ca="1"/>
      </c>
      <c r="FG280">
        <f ca="1"/>
      </c>
      <c r="FH280">
        <f ca="1"/>
      </c>
      <c r="FI280">
        <f ca="1"/>
      </c>
      <c r="FJ280">
        <f ca="1"/>
      </c>
      <c r="FK280">
        <f ca="1"/>
      </c>
      <c r="FL280">
        <f ca="1"/>
      </c>
      <c r="FM280">
        <f ca="1"/>
      </c>
      <c r="FN280">
        <f ca="1"/>
      </c>
      <c r="FO280">
        <f ca="1"/>
      </c>
      <c r="FP280">
        <f ca="1"/>
      </c>
      <c r="FQ280">
        <f ca="1"/>
      </c>
      <c r="FR280">
        <f ca="1"/>
      </c>
      <c r="FS280">
        <f ca="1"/>
      </c>
      <c r="FT280">
        <f ca="1"/>
      </c>
      <c r="FU280">
        <f ca="1"/>
      </c>
      <c r="FV280">
        <f ca="1"/>
      </c>
      <c r="FW280">
        <f ca="1"/>
      </c>
      <c r="FX280">
        <f ca="1"/>
      </c>
      <c r="FY280">
        <f ca="1"/>
      </c>
      <c r="FZ280">
        <f ca="1"/>
      </c>
      <c r="GA280">
        <f ca="1"/>
      </c>
      <c r="GM280" s="7"/>
    </row>
    <row r="281" spans="41:195" x14ac:dyDescent="0.55000000000000004">
      <c r="AO281">
        <f ca="1"/>
      </c>
      <c r="AP281">
        <f ca="1"/>
      </c>
      <c r="AQ281">
        <f ca="1"/>
      </c>
      <c r="AR281">
        <f ca="1"/>
      </c>
      <c r="AS281">
        <f ca="1"/>
      </c>
      <c r="AT281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AZ281">
        <f ca="1"/>
      </c>
      <c r="BA281">
        <f ca="1"/>
      </c>
      <c r="BB281">
        <f ca="1"/>
      </c>
      <c r="BC281">
        <f ca="1"/>
      </c>
      <c r="BD281">
        <f ca="1"/>
      </c>
      <c r="BE281">
        <f ca="1"/>
      </c>
      <c r="BF281">
        <f ca="1"/>
      </c>
      <c r="BG281">
        <f ca="1"/>
      </c>
      <c r="BH281">
        <f ca="1"/>
      </c>
      <c r="BI281">
        <f ca="1"/>
      </c>
      <c r="BJ281">
        <f ca="1"/>
      </c>
      <c r="BK281">
        <f ca="1"/>
      </c>
      <c r="BL281">
        <f ca="1"/>
      </c>
      <c r="BM281">
        <f ca="1"/>
      </c>
      <c r="BN281">
        <f ca="1"/>
      </c>
      <c r="BO281">
        <f ca="1"/>
      </c>
      <c r="BP281">
        <f ca="1"/>
      </c>
      <c r="BQ281">
        <f ca="1"/>
      </c>
      <c r="BR281">
        <f ca="1"/>
      </c>
      <c r="BS281">
        <f ca="1"/>
      </c>
      <c r="BT281">
        <f ca="1"/>
      </c>
      <c r="BU281">
        <f ca="1"/>
      </c>
      <c r="BV281">
        <f ca="1"/>
      </c>
      <c r="BW281">
        <f ca="1"/>
      </c>
      <c r="BX281">
        <f ca="1"/>
      </c>
      <c r="BY281">
        <f ca="1"/>
      </c>
      <c r="BZ281">
        <f ca="1"/>
      </c>
      <c r="CA281">
        <f ca="1"/>
      </c>
      <c r="CB281">
        <f ca="1"/>
      </c>
      <c r="CC281">
        <f ca="1"/>
      </c>
      <c r="CD281">
        <f ca="1"/>
      </c>
      <c r="CE281">
        <f ca="1"/>
      </c>
      <c r="CF281">
        <f ca="1"/>
      </c>
      <c r="CG281">
        <f ca="1"/>
      </c>
      <c r="CH281">
        <f ca="1"/>
      </c>
      <c r="CI281">
        <f ca="1"/>
      </c>
      <c r="CK281">
        <f ca="1"/>
      </c>
      <c r="CL281">
        <f ca="1"/>
      </c>
      <c r="CM281">
        <f ca="1"/>
      </c>
      <c r="CN281">
        <f ca="1"/>
      </c>
      <c r="CO281">
        <f ca="1"/>
      </c>
      <c r="CP281">
        <f ca="1"/>
      </c>
      <c r="CQ281">
        <f ca="1"/>
      </c>
      <c r="CR281">
        <f ca="1"/>
      </c>
      <c r="CS281">
        <f ca="1"/>
      </c>
      <c r="CT281">
        <f ca="1"/>
      </c>
      <c r="CU281">
        <f ca="1"/>
      </c>
      <c r="CV281">
        <f ca="1"/>
      </c>
      <c r="CW281">
        <f ca="1"/>
      </c>
      <c r="CX281">
        <f ca="1"/>
      </c>
      <c r="CY281">
        <f ca="1"/>
      </c>
      <c r="CZ281">
        <f ca="1"/>
      </c>
      <c r="DA281">
        <f ca="1"/>
      </c>
      <c r="DB281">
        <f ca="1"/>
      </c>
      <c r="DC281">
        <f ca="1"/>
      </c>
      <c r="DD281">
        <f ca="1"/>
      </c>
      <c r="DE281">
        <f ca="1"/>
      </c>
      <c r="DF281">
        <f ca="1"/>
      </c>
      <c r="DG281">
        <f ca="1"/>
      </c>
      <c r="DH281">
        <f ca="1"/>
      </c>
      <c r="DI281">
        <f ca="1"/>
      </c>
      <c r="DJ281">
        <f ca="1"/>
      </c>
      <c r="DK281">
        <f ca="1"/>
      </c>
      <c r="DL281">
        <f ca="1"/>
      </c>
      <c r="DM281">
        <f ca="1"/>
      </c>
      <c r="DN281">
        <f ca="1"/>
      </c>
      <c r="DO281">
        <f ca="1"/>
      </c>
      <c r="DP281">
        <f ca="1"/>
      </c>
      <c r="DQ281">
        <f ca="1"/>
      </c>
      <c r="DR281">
        <f ca="1"/>
      </c>
      <c r="DS281">
        <f ca="1"/>
      </c>
      <c r="DT281">
        <f ca="1"/>
      </c>
      <c r="DU281">
        <f ca="1"/>
      </c>
      <c r="DV281">
        <f ca="1"/>
      </c>
      <c r="DW281">
        <f ca="1"/>
      </c>
      <c r="DX281">
        <f ca="1"/>
      </c>
      <c r="DY281">
        <f ca="1"/>
      </c>
      <c r="DZ281">
        <f ca="1"/>
      </c>
      <c r="EA281">
        <f ca="1"/>
      </c>
      <c r="EB281">
        <f ca="1"/>
      </c>
      <c r="EC281">
        <f ca="1"/>
      </c>
      <c r="ED281">
        <f ca="1"/>
      </c>
      <c r="EE281">
        <f ca="1"/>
      </c>
      <c r="EG281">
        <f ca="1"/>
      </c>
      <c r="EH281">
        <f ca="1"/>
      </c>
      <c r="EI281">
        <f ca="1"/>
      </c>
      <c r="EJ281">
        <f ca="1"/>
      </c>
      <c r="EK281">
        <f ca="1"/>
      </c>
      <c r="EL281">
        <f ca="1"/>
      </c>
      <c r="EM281">
        <f ca="1"/>
      </c>
      <c r="EN281">
        <f ca="1"/>
      </c>
      <c r="EO281">
        <f ca="1"/>
      </c>
      <c r="EP281">
        <f ca="1"/>
      </c>
      <c r="EQ281">
        <f ca="1"/>
      </c>
      <c r="ER281">
        <f ca="1"/>
      </c>
      <c r="ES281">
        <f ca="1"/>
      </c>
      <c r="ET281">
        <f ca="1"/>
      </c>
      <c r="EU281">
        <f ca="1"/>
      </c>
      <c r="EV281">
        <f ca="1"/>
      </c>
      <c r="EW281">
        <f ca="1"/>
      </c>
      <c r="EX281">
        <f ca="1"/>
      </c>
      <c r="EY281">
        <f ca="1"/>
      </c>
      <c r="EZ281">
        <f ca="1"/>
      </c>
      <c r="FA281">
        <f ca="1"/>
      </c>
      <c r="FB281">
        <f ca="1"/>
      </c>
      <c r="FC281">
        <f ca="1"/>
      </c>
      <c r="FD281">
        <f ca="1"/>
      </c>
      <c r="FE281">
        <f ca="1"/>
      </c>
      <c r="FF281">
        <f ca="1"/>
      </c>
      <c r="FG281">
        <f ca="1"/>
      </c>
      <c r="FH281">
        <f ca="1"/>
      </c>
      <c r="FI281">
        <f ca="1"/>
      </c>
      <c r="FJ281">
        <f ca="1"/>
      </c>
      <c r="FK281">
        <f ca="1"/>
      </c>
      <c r="FL281">
        <f ca="1"/>
      </c>
      <c r="FM281">
        <f ca="1"/>
      </c>
      <c r="FN281">
        <f ca="1"/>
      </c>
      <c r="FO281">
        <f ca="1"/>
      </c>
      <c r="FP281">
        <f ca="1"/>
      </c>
      <c r="FQ281">
        <f ca="1"/>
      </c>
      <c r="FR281">
        <f ca="1"/>
      </c>
      <c r="FS281">
        <f ca="1"/>
      </c>
      <c r="FT281">
        <f ca="1"/>
      </c>
      <c r="FU281">
        <f ca="1"/>
      </c>
      <c r="FV281">
        <f ca="1"/>
      </c>
      <c r="FW281">
        <f ca="1"/>
      </c>
      <c r="FX281">
        <f ca="1"/>
      </c>
      <c r="FY281">
        <f ca="1"/>
      </c>
      <c r="FZ281">
        <f ca="1"/>
      </c>
      <c r="GA281">
        <f ca="1"/>
      </c>
      <c r="GM281" s="7"/>
    </row>
    <row r="282" spans="41:195" x14ac:dyDescent="0.55000000000000004">
      <c r="AO282">
        <f ca="1"/>
      </c>
      <c r="AP282">
        <f ca="1"/>
      </c>
      <c r="AQ282">
        <f ca="1"/>
      </c>
      <c r="AR282">
        <f ca="1"/>
      </c>
      <c r="AS282">
        <f ca="1"/>
      </c>
      <c r="AT282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AZ282">
        <f ca="1"/>
      </c>
      <c r="BA282">
        <f ca="1"/>
      </c>
      <c r="BB282">
        <f ca="1"/>
      </c>
      <c r="BC282">
        <f ca="1"/>
      </c>
      <c r="BD282">
        <f ca="1"/>
      </c>
      <c r="BE282">
        <f ca="1"/>
      </c>
      <c r="BF282">
        <f ca="1"/>
      </c>
      <c r="BG282">
        <f ca="1"/>
      </c>
      <c r="BH282">
        <f ca="1"/>
      </c>
      <c r="BI282">
        <f ca="1"/>
      </c>
      <c r="BJ282">
        <f ca="1"/>
      </c>
      <c r="BK282">
        <f ca="1"/>
      </c>
      <c r="BL282">
        <f ca="1"/>
      </c>
      <c r="BM282">
        <f ca="1"/>
      </c>
      <c r="BN282">
        <f ca="1"/>
      </c>
      <c r="BO282">
        <f ca="1"/>
      </c>
      <c r="BP282">
        <f ca="1"/>
      </c>
      <c r="BQ282">
        <f ca="1"/>
      </c>
      <c r="BR282">
        <f ca="1"/>
      </c>
      <c r="BS282">
        <f ca="1"/>
      </c>
      <c r="BT282">
        <f ca="1"/>
      </c>
      <c r="BU282">
        <f ca="1"/>
      </c>
      <c r="BV282">
        <f ca="1"/>
      </c>
      <c r="BW282">
        <f ca="1"/>
      </c>
      <c r="BX282">
        <f ca="1"/>
      </c>
      <c r="BY282">
        <f ca="1"/>
      </c>
      <c r="BZ282">
        <f ca="1"/>
      </c>
      <c r="CA282">
        <f ca="1"/>
      </c>
      <c r="CB282">
        <f ca="1"/>
      </c>
      <c r="CC282">
        <f ca="1"/>
      </c>
      <c r="CD282">
        <f ca="1"/>
      </c>
      <c r="CE282">
        <f ca="1"/>
      </c>
      <c r="CF282">
        <f ca="1"/>
      </c>
      <c r="CG282">
        <f ca="1"/>
      </c>
      <c r="CH282">
        <f ca="1"/>
      </c>
      <c r="CI282">
        <f ca="1"/>
      </c>
      <c r="CK282">
        <f ca="1"/>
      </c>
      <c r="CL282">
        <f ca="1"/>
      </c>
      <c r="CM282">
        <f ca="1"/>
      </c>
      <c r="CN282">
        <f ca="1"/>
      </c>
      <c r="CO282">
        <f ca="1"/>
      </c>
      <c r="CP282">
        <f ca="1"/>
      </c>
      <c r="CQ282">
        <f ca="1"/>
      </c>
      <c r="CR282">
        <f ca="1"/>
      </c>
      <c r="CS282">
        <f ca="1"/>
      </c>
      <c r="CT282">
        <f ca="1"/>
      </c>
      <c r="CU282">
        <f ca="1"/>
      </c>
      <c r="CV282">
        <f ca="1"/>
      </c>
      <c r="CW282">
        <f ca="1"/>
      </c>
      <c r="CX282">
        <f ca="1"/>
      </c>
      <c r="CY282">
        <f ca="1"/>
      </c>
      <c r="CZ282">
        <f ca="1"/>
      </c>
      <c r="DA282">
        <f ca="1"/>
      </c>
      <c r="DB282">
        <f ca="1"/>
      </c>
      <c r="DC282">
        <f ca="1"/>
      </c>
      <c r="DD282">
        <f ca="1"/>
      </c>
      <c r="DE282">
        <f ca="1"/>
      </c>
      <c r="DF282">
        <f ca="1"/>
      </c>
      <c r="DG282">
        <f ca="1"/>
      </c>
      <c r="DH282">
        <f ca="1"/>
      </c>
      <c r="DI282">
        <f ca="1"/>
      </c>
      <c r="DJ282">
        <f ca="1"/>
      </c>
      <c r="DK282">
        <f ca="1"/>
      </c>
      <c r="DL282">
        <f ca="1"/>
      </c>
      <c r="DM282">
        <f ca="1"/>
      </c>
      <c r="DN282">
        <f ca="1"/>
      </c>
      <c r="DO282">
        <f ca="1"/>
      </c>
      <c r="DP282">
        <f ca="1"/>
      </c>
      <c r="DQ282">
        <f ca="1"/>
      </c>
      <c r="DR282">
        <f ca="1"/>
      </c>
      <c r="DS282">
        <f ca="1"/>
      </c>
      <c r="DT282">
        <f ca="1"/>
      </c>
      <c r="DU282">
        <f ca="1"/>
      </c>
      <c r="DV282">
        <f ca="1"/>
      </c>
      <c r="DW282">
        <f ca="1"/>
      </c>
      <c r="DX282">
        <f ca="1"/>
      </c>
      <c r="DY282">
        <f ca="1"/>
      </c>
      <c r="DZ282">
        <f ca="1"/>
      </c>
      <c r="EA282">
        <f ca="1"/>
      </c>
      <c r="EB282">
        <f ca="1"/>
      </c>
      <c r="EC282">
        <f ca="1"/>
      </c>
      <c r="ED282">
        <f ca="1"/>
      </c>
      <c r="EE282">
        <f ca="1"/>
      </c>
      <c r="EG282">
        <f ca="1"/>
      </c>
      <c r="EH282">
        <f ca="1"/>
      </c>
      <c r="EI282">
        <f ca="1"/>
      </c>
      <c r="EJ282">
        <f ca="1"/>
      </c>
      <c r="EK282">
        <f ca="1"/>
      </c>
      <c r="EL282">
        <f ca="1"/>
      </c>
      <c r="EM282">
        <f ca="1"/>
      </c>
      <c r="EN282">
        <f ca="1"/>
      </c>
      <c r="EO282">
        <f ca="1"/>
      </c>
      <c r="EP282">
        <f ca="1"/>
      </c>
      <c r="EQ282">
        <f ca="1"/>
      </c>
      <c r="ER282">
        <f ca="1"/>
      </c>
      <c r="ES282">
        <f ca="1"/>
      </c>
      <c r="ET282">
        <f ca="1"/>
      </c>
      <c r="EU282">
        <f ca="1"/>
      </c>
      <c r="EV282">
        <f ca="1"/>
      </c>
      <c r="EW282">
        <f ca="1"/>
      </c>
      <c r="EX282">
        <f ca="1"/>
      </c>
      <c r="EY282">
        <f ca="1"/>
      </c>
      <c r="EZ282">
        <f ca="1"/>
      </c>
      <c r="FA282">
        <f ca="1"/>
      </c>
      <c r="FB282">
        <f ca="1"/>
      </c>
      <c r="FC282">
        <f ca="1"/>
      </c>
      <c r="FD282">
        <f ca="1"/>
      </c>
      <c r="FE282">
        <f ca="1"/>
      </c>
      <c r="FF282">
        <f ca="1"/>
      </c>
      <c r="FG282">
        <f ca="1"/>
      </c>
      <c r="FH282">
        <f ca="1"/>
      </c>
      <c r="FI282">
        <f ca="1"/>
      </c>
      <c r="FJ282">
        <f ca="1"/>
      </c>
      <c r="FK282">
        <f ca="1"/>
      </c>
      <c r="FL282">
        <f ca="1"/>
      </c>
      <c r="FM282">
        <f ca="1"/>
      </c>
      <c r="FN282">
        <f ca="1"/>
      </c>
      <c r="FO282">
        <f ca="1"/>
      </c>
      <c r="FP282">
        <f ca="1"/>
      </c>
      <c r="FQ282">
        <f ca="1"/>
      </c>
      <c r="FR282">
        <f ca="1"/>
      </c>
      <c r="FS282">
        <f ca="1"/>
      </c>
      <c r="FT282">
        <f ca="1"/>
      </c>
      <c r="FU282">
        <f ca="1"/>
      </c>
      <c r="FV282">
        <f ca="1"/>
      </c>
      <c r="FW282">
        <f ca="1"/>
      </c>
      <c r="FX282">
        <f ca="1"/>
      </c>
      <c r="FY282">
        <f ca="1"/>
      </c>
      <c r="FZ282">
        <f ca="1"/>
      </c>
      <c r="GA282">
        <f ca="1"/>
      </c>
      <c r="GM282" s="7"/>
    </row>
    <row r="283" spans="41:195" x14ac:dyDescent="0.55000000000000004">
      <c r="AO283">
        <f ca="1"/>
      </c>
      <c r="AP283">
        <f ca="1"/>
      </c>
      <c r="AQ283">
        <f ca="1"/>
      </c>
      <c r="AR283">
        <f ca="1"/>
      </c>
      <c r="AS283">
        <f ca="1"/>
      </c>
      <c r="AT283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AZ283">
        <f ca="1"/>
      </c>
      <c r="BA283">
        <f ca="1"/>
      </c>
      <c r="BB283">
        <f ca="1"/>
      </c>
      <c r="BC283">
        <f ca="1"/>
      </c>
      <c r="BD283">
        <f ca="1"/>
      </c>
      <c r="BE283">
        <f ca="1"/>
      </c>
      <c r="BF283">
        <f ca="1"/>
      </c>
      <c r="BG283">
        <f ca="1"/>
      </c>
      <c r="BH283">
        <f ca="1"/>
      </c>
      <c r="BI283">
        <f ca="1"/>
      </c>
      <c r="BJ283">
        <f ca="1"/>
      </c>
      <c r="BK283">
        <f ca="1"/>
      </c>
      <c r="BL283">
        <f ca="1"/>
      </c>
      <c r="BM283">
        <f ca="1"/>
      </c>
      <c r="BN283">
        <f ca="1"/>
      </c>
      <c r="BO283">
        <f ca="1"/>
      </c>
      <c r="BP283">
        <f ca="1"/>
      </c>
      <c r="BQ283">
        <f ca="1"/>
      </c>
      <c r="BR283">
        <f ca="1"/>
      </c>
      <c r="BS283">
        <f ca="1"/>
      </c>
      <c r="BT283">
        <f ca="1"/>
      </c>
      <c r="BU283">
        <f ca="1"/>
      </c>
      <c r="BV283">
        <f ca="1"/>
      </c>
      <c r="BW283">
        <f ca="1"/>
      </c>
      <c r="BX283">
        <f ca="1"/>
      </c>
      <c r="BY283">
        <f ca="1"/>
      </c>
      <c r="BZ283">
        <f ca="1"/>
      </c>
      <c r="CA283">
        <f ca="1"/>
      </c>
      <c r="CB283">
        <f ca="1"/>
      </c>
      <c r="CC283">
        <f ca="1"/>
      </c>
      <c r="CD283">
        <f ca="1"/>
      </c>
      <c r="CE283">
        <f ca="1"/>
      </c>
      <c r="CF283">
        <f ca="1"/>
      </c>
      <c r="CG283">
        <f ca="1"/>
      </c>
      <c r="CH283">
        <f ca="1"/>
      </c>
      <c r="CI283">
        <f ca="1"/>
      </c>
      <c r="CK283">
        <f ca="1"/>
      </c>
      <c r="CL283">
        <f ca="1"/>
      </c>
      <c r="CM283">
        <f ca="1"/>
      </c>
      <c r="CN283">
        <f ca="1"/>
      </c>
      <c r="CO283">
        <f ca="1"/>
      </c>
      <c r="CP283">
        <f ca="1"/>
      </c>
      <c r="CQ283">
        <f ca="1"/>
      </c>
      <c r="CR283">
        <f ca="1"/>
      </c>
      <c r="CS283">
        <f ca="1"/>
      </c>
      <c r="CT283">
        <f ca="1"/>
      </c>
      <c r="CU283">
        <f ca="1"/>
      </c>
      <c r="CV283">
        <f ca="1"/>
      </c>
      <c r="CW283">
        <f ca="1"/>
      </c>
      <c r="CX283">
        <f ca="1"/>
      </c>
      <c r="CY283">
        <f ca="1"/>
      </c>
      <c r="CZ283">
        <f ca="1"/>
      </c>
      <c r="DA283">
        <f ca="1"/>
      </c>
      <c r="DB283">
        <f ca="1"/>
      </c>
      <c r="DC283">
        <f ca="1"/>
      </c>
      <c r="DD283">
        <f ca="1"/>
      </c>
      <c r="DE283">
        <f ca="1"/>
      </c>
      <c r="DF283">
        <f ca="1"/>
      </c>
      <c r="DG283">
        <f ca="1"/>
      </c>
      <c r="DH283">
        <f ca="1"/>
      </c>
      <c r="DI283">
        <f ca="1"/>
      </c>
      <c r="DJ283">
        <f ca="1"/>
      </c>
      <c r="DK283">
        <f ca="1"/>
      </c>
      <c r="DL283">
        <f ca="1"/>
      </c>
      <c r="DM283">
        <f ca="1"/>
      </c>
      <c r="DN283">
        <f ca="1"/>
      </c>
      <c r="DO283">
        <f ca="1"/>
      </c>
      <c r="DP283">
        <f ca="1"/>
      </c>
      <c r="DQ283">
        <f ca="1"/>
      </c>
      <c r="DR283">
        <f ca="1"/>
      </c>
      <c r="DS283">
        <f ca="1"/>
      </c>
      <c r="DT283">
        <f ca="1"/>
      </c>
      <c r="DU283">
        <f ca="1"/>
      </c>
      <c r="DV283">
        <f ca="1"/>
      </c>
      <c r="DW283">
        <f ca="1"/>
      </c>
      <c r="DX283">
        <f ca="1"/>
      </c>
      <c r="DY283">
        <f ca="1"/>
      </c>
      <c r="DZ283">
        <f ca="1"/>
      </c>
      <c r="EA283">
        <f ca="1"/>
      </c>
      <c r="EB283">
        <f ca="1"/>
      </c>
      <c r="EC283">
        <f ca="1"/>
      </c>
      <c r="ED283">
        <f ca="1"/>
      </c>
      <c r="EE283">
        <f ca="1"/>
      </c>
      <c r="EG283">
        <f ca="1"/>
      </c>
      <c r="EH283">
        <f ca="1"/>
      </c>
      <c r="EI283">
        <f ca="1"/>
      </c>
      <c r="EJ283">
        <f ca="1"/>
      </c>
      <c r="EK283">
        <f ca="1"/>
      </c>
      <c r="EL283">
        <f ca="1"/>
      </c>
      <c r="EM283">
        <f ca="1"/>
      </c>
      <c r="EN283">
        <f ca="1"/>
      </c>
      <c r="EO283">
        <f ca="1"/>
      </c>
      <c r="EP283">
        <f ca="1"/>
      </c>
      <c r="EQ283">
        <f ca="1"/>
      </c>
      <c r="ER283">
        <f ca="1"/>
      </c>
      <c r="ES283">
        <f ca="1"/>
      </c>
      <c r="ET283">
        <f ca="1"/>
      </c>
      <c r="EU283">
        <f ca="1"/>
      </c>
      <c r="EV283">
        <f ca="1"/>
      </c>
      <c r="EW283">
        <f ca="1"/>
      </c>
      <c r="EX283">
        <f ca="1"/>
      </c>
      <c r="EY283">
        <f ca="1"/>
      </c>
      <c r="EZ283">
        <f ca="1"/>
      </c>
      <c r="FA283">
        <f ca="1"/>
      </c>
      <c r="FB283">
        <f ca="1"/>
      </c>
      <c r="FC283">
        <f ca="1"/>
      </c>
      <c r="FD283">
        <f ca="1"/>
      </c>
      <c r="FE283">
        <f ca="1"/>
      </c>
      <c r="FF283">
        <f ca="1"/>
      </c>
      <c r="FG283">
        <f ca="1"/>
      </c>
      <c r="FH283">
        <f ca="1"/>
      </c>
      <c r="FI283">
        <f ca="1"/>
      </c>
      <c r="FJ283">
        <f ca="1"/>
      </c>
      <c r="FK283">
        <f ca="1"/>
      </c>
      <c r="FL283">
        <f ca="1"/>
      </c>
      <c r="FM283">
        <f ca="1"/>
      </c>
      <c r="FN283">
        <f ca="1"/>
      </c>
      <c r="FO283">
        <f ca="1"/>
      </c>
      <c r="FP283">
        <f ca="1"/>
      </c>
      <c r="FQ283">
        <f ca="1"/>
      </c>
      <c r="FR283">
        <f ca="1"/>
      </c>
      <c r="FS283">
        <f ca="1"/>
      </c>
      <c r="FT283">
        <f ca="1"/>
      </c>
      <c r="FU283">
        <f ca="1"/>
      </c>
      <c r="FV283">
        <f ca="1"/>
      </c>
      <c r="FW283">
        <f ca="1"/>
      </c>
      <c r="FX283">
        <f ca="1"/>
      </c>
      <c r="FY283">
        <f ca="1"/>
      </c>
      <c r="FZ283">
        <f ca="1"/>
      </c>
      <c r="GA283">
        <f ca="1"/>
      </c>
      <c r="GM283" s="7"/>
    </row>
    <row r="284" spans="41:195" x14ac:dyDescent="0.55000000000000004">
      <c r="AO284">
        <f ca="1"/>
      </c>
      <c r="AP284">
        <f ca="1"/>
      </c>
      <c r="AQ284">
        <f ca="1"/>
      </c>
      <c r="AR284">
        <f ca="1"/>
      </c>
      <c r="AS284">
        <f ca="1"/>
      </c>
      <c r="AT284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AZ284">
        <f ca="1"/>
      </c>
      <c r="BA284">
        <f ca="1"/>
      </c>
      <c r="BB284">
        <f ca="1"/>
      </c>
      <c r="BC284">
        <f ca="1"/>
      </c>
      <c r="BD284">
        <f ca="1"/>
      </c>
      <c r="BE284">
        <f ca="1"/>
      </c>
      <c r="BF284">
        <f ca="1"/>
      </c>
      <c r="BG284">
        <f ca="1"/>
      </c>
      <c r="BH284">
        <f ca="1"/>
      </c>
      <c r="BI284">
        <f ca="1"/>
      </c>
      <c r="BJ284">
        <f ca="1"/>
      </c>
      <c r="BK284">
        <f ca="1"/>
      </c>
      <c r="BL284">
        <f ca="1"/>
      </c>
      <c r="BM284">
        <f ca="1"/>
      </c>
      <c r="BN284">
        <f ca="1"/>
      </c>
      <c r="BO284">
        <f ca="1"/>
      </c>
      <c r="BP284">
        <f ca="1"/>
      </c>
      <c r="BQ284">
        <f ca="1"/>
      </c>
      <c r="BR284">
        <f ca="1"/>
      </c>
      <c r="BS284">
        <f ca="1"/>
      </c>
      <c r="BT284">
        <f ca="1"/>
      </c>
      <c r="BU284">
        <f ca="1"/>
      </c>
      <c r="BV284">
        <f ca="1"/>
      </c>
      <c r="BW284">
        <f ca="1"/>
      </c>
      <c r="BX284">
        <f ca="1"/>
      </c>
      <c r="BY284">
        <f ca="1"/>
      </c>
      <c r="BZ284">
        <f ca="1"/>
      </c>
      <c r="CA284">
        <f ca="1"/>
      </c>
      <c r="CB284">
        <f ca="1"/>
      </c>
      <c r="CC284">
        <f ca="1"/>
      </c>
      <c r="CD284">
        <f ca="1"/>
      </c>
      <c r="CE284">
        <f ca="1"/>
      </c>
      <c r="CF284">
        <f ca="1"/>
      </c>
      <c r="CG284">
        <f ca="1"/>
      </c>
      <c r="CH284">
        <f ca="1"/>
      </c>
      <c r="CI284">
        <f ca="1"/>
      </c>
      <c r="CK284">
        <f ca="1"/>
      </c>
      <c r="CL284">
        <f ca="1"/>
      </c>
      <c r="CM284">
        <f ca="1"/>
      </c>
      <c r="CN284">
        <f ca="1"/>
      </c>
      <c r="CO284">
        <f ca="1"/>
      </c>
      <c r="CP284">
        <f ca="1"/>
      </c>
      <c r="CQ284">
        <f ca="1"/>
      </c>
      <c r="CR284">
        <f ca="1"/>
      </c>
      <c r="CS284">
        <f ca="1"/>
      </c>
      <c r="CT284">
        <f ca="1"/>
      </c>
      <c r="CU284">
        <f ca="1"/>
      </c>
      <c r="CV284">
        <f ca="1"/>
      </c>
      <c r="CW284">
        <f ca="1"/>
      </c>
      <c r="CX284">
        <f ca="1"/>
      </c>
      <c r="CY284">
        <f ca="1"/>
      </c>
      <c r="CZ284">
        <f ca="1"/>
      </c>
      <c r="DA284">
        <f ca="1"/>
      </c>
      <c r="DB284">
        <f ca="1"/>
      </c>
      <c r="DC284">
        <f ca="1"/>
      </c>
      <c r="DD284">
        <f ca="1"/>
      </c>
      <c r="DE284">
        <f ca="1"/>
      </c>
      <c r="DF284">
        <f ca="1"/>
      </c>
      <c r="DG284">
        <f ca="1"/>
      </c>
      <c r="DH284">
        <f ca="1"/>
      </c>
      <c r="DI284">
        <f ca="1"/>
      </c>
      <c r="DJ284">
        <f ca="1"/>
      </c>
      <c r="DK284">
        <f ca="1"/>
      </c>
      <c r="DL284">
        <f ca="1"/>
      </c>
      <c r="DM284">
        <f ca="1"/>
      </c>
      <c r="DN284">
        <f ca="1"/>
      </c>
      <c r="DO284">
        <f ca="1"/>
      </c>
      <c r="DP284">
        <f ca="1"/>
      </c>
      <c r="DQ284">
        <f ca="1"/>
      </c>
      <c r="DR284">
        <f ca="1"/>
      </c>
      <c r="DS284">
        <f ca="1"/>
      </c>
      <c r="DT284">
        <f ca="1"/>
      </c>
      <c r="DU284">
        <f ca="1"/>
      </c>
      <c r="DV284">
        <f ca="1"/>
      </c>
      <c r="DW284">
        <f ca="1"/>
      </c>
      <c r="DX284">
        <f ca="1"/>
      </c>
      <c r="DY284">
        <f ca="1"/>
      </c>
      <c r="DZ284">
        <f ca="1"/>
      </c>
      <c r="EA284">
        <f ca="1"/>
      </c>
      <c r="EB284">
        <f ca="1"/>
      </c>
      <c r="EC284">
        <f ca="1"/>
      </c>
      <c r="ED284">
        <f ca="1"/>
      </c>
      <c r="EE284">
        <f ca="1"/>
      </c>
      <c r="EG284">
        <f ca="1"/>
      </c>
      <c r="EH284">
        <f ca="1"/>
      </c>
      <c r="EI284">
        <f ca="1"/>
      </c>
      <c r="EJ284">
        <f ca="1"/>
      </c>
      <c r="EK284">
        <f ca="1"/>
      </c>
      <c r="EL284">
        <f ca="1"/>
      </c>
      <c r="EM284">
        <f ca="1"/>
      </c>
      <c r="EN284">
        <f ca="1"/>
      </c>
      <c r="EO284">
        <f ca="1"/>
      </c>
      <c r="EP284">
        <f ca="1"/>
      </c>
      <c r="EQ284">
        <f ca="1"/>
      </c>
      <c r="ER284">
        <f ca="1"/>
      </c>
      <c r="ES284">
        <f ca="1"/>
      </c>
      <c r="ET284">
        <f ca="1"/>
      </c>
      <c r="EU284">
        <f ca="1"/>
      </c>
      <c r="EV284">
        <f ca="1"/>
      </c>
      <c r="EW284">
        <f ca="1"/>
      </c>
      <c r="EX284">
        <f ca="1"/>
      </c>
      <c r="EY284">
        <f ca="1"/>
      </c>
      <c r="EZ284">
        <f ca="1"/>
      </c>
      <c r="FA284">
        <f ca="1"/>
      </c>
      <c r="FB284">
        <f ca="1"/>
      </c>
      <c r="FC284">
        <f ca="1"/>
      </c>
      <c r="FD284">
        <f ca="1"/>
      </c>
      <c r="FE284">
        <f ca="1"/>
      </c>
      <c r="FF284">
        <f ca="1"/>
      </c>
      <c r="FG284">
        <f ca="1"/>
      </c>
      <c r="FH284">
        <f ca="1"/>
      </c>
      <c r="FI284">
        <f ca="1"/>
      </c>
      <c r="FJ284">
        <f ca="1"/>
      </c>
      <c r="FK284">
        <f ca="1"/>
      </c>
      <c r="FL284">
        <f ca="1"/>
      </c>
      <c r="FM284">
        <f ca="1"/>
      </c>
      <c r="FN284">
        <f ca="1"/>
      </c>
      <c r="FO284">
        <f ca="1"/>
      </c>
      <c r="FP284">
        <f ca="1"/>
      </c>
      <c r="FQ284">
        <f ca="1"/>
      </c>
      <c r="FR284">
        <f ca="1"/>
      </c>
      <c r="FS284">
        <f ca="1"/>
      </c>
      <c r="FT284">
        <f ca="1"/>
      </c>
      <c r="FU284">
        <f ca="1"/>
      </c>
      <c r="FV284">
        <f ca="1"/>
      </c>
      <c r="FW284">
        <f ca="1"/>
      </c>
      <c r="FX284">
        <f ca="1"/>
      </c>
      <c r="FY284">
        <f ca="1"/>
      </c>
      <c r="FZ284">
        <f ca="1"/>
      </c>
      <c r="GA284">
        <f ca="1"/>
      </c>
      <c r="GM284" s="7"/>
    </row>
    <row r="285" spans="41:195" x14ac:dyDescent="0.55000000000000004">
      <c r="AO285">
        <f ca="1"/>
      </c>
      <c r="AP285">
        <f ca="1"/>
      </c>
      <c r="AQ285">
        <f ca="1"/>
      </c>
      <c r="AR285">
        <f ca="1"/>
      </c>
      <c r="AS285">
        <f ca="1"/>
      </c>
      <c r="AT285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AZ285">
        <f ca="1"/>
      </c>
      <c r="BA285">
        <f ca="1"/>
      </c>
      <c r="BB285">
        <f ca="1"/>
      </c>
      <c r="BC285">
        <f ca="1"/>
      </c>
      <c r="BD285">
        <f ca="1"/>
      </c>
      <c r="BE285">
        <f ca="1"/>
      </c>
      <c r="BF285">
        <f ca="1"/>
      </c>
      <c r="BG285">
        <f ca="1"/>
      </c>
      <c r="BH285">
        <f ca="1"/>
      </c>
      <c r="BI285">
        <f ca="1"/>
      </c>
      <c r="BJ285">
        <f ca="1"/>
      </c>
      <c r="BK285">
        <f ca="1"/>
      </c>
      <c r="BL285">
        <f ca="1"/>
      </c>
      <c r="BM285">
        <f ca="1"/>
      </c>
      <c r="BN285">
        <f ca="1"/>
      </c>
      <c r="BO285">
        <f ca="1"/>
      </c>
      <c r="BP285">
        <f ca="1"/>
      </c>
      <c r="BQ285">
        <f ca="1"/>
      </c>
      <c r="BR285">
        <f ca="1"/>
      </c>
      <c r="BS285">
        <f ca="1"/>
      </c>
      <c r="BT285">
        <f ca="1"/>
      </c>
      <c r="BU285">
        <f ca="1"/>
      </c>
      <c r="BV285">
        <f ca="1"/>
      </c>
      <c r="BW285">
        <f ca="1"/>
      </c>
      <c r="BX285">
        <f ca="1"/>
      </c>
      <c r="BY285">
        <f ca="1"/>
      </c>
      <c r="BZ285">
        <f ca="1"/>
      </c>
      <c r="CA285">
        <f ca="1"/>
      </c>
      <c r="CB285">
        <f ca="1"/>
      </c>
      <c r="CC285">
        <f ca="1"/>
      </c>
      <c r="CD285">
        <f ca="1"/>
      </c>
      <c r="CE285">
        <f ca="1"/>
      </c>
      <c r="CF285">
        <f ca="1"/>
      </c>
      <c r="CG285">
        <f ca="1"/>
      </c>
      <c r="CH285">
        <f ca="1"/>
      </c>
      <c r="CI285">
        <f ca="1"/>
      </c>
      <c r="CK285">
        <f ca="1"/>
      </c>
      <c r="CL285">
        <f ca="1"/>
      </c>
      <c r="CM285">
        <f ca="1"/>
      </c>
      <c r="CN285">
        <f ca="1"/>
      </c>
      <c r="CO285">
        <f ca="1"/>
      </c>
      <c r="CP285">
        <f ca="1"/>
      </c>
      <c r="CQ285">
        <f ca="1"/>
      </c>
      <c r="CR285">
        <f ca="1"/>
      </c>
      <c r="CS285">
        <f ca="1"/>
      </c>
      <c r="CT285">
        <f ca="1"/>
      </c>
      <c r="CU285">
        <f ca="1"/>
      </c>
      <c r="CV285">
        <f ca="1"/>
      </c>
      <c r="CW285">
        <f ca="1"/>
      </c>
      <c r="CX285">
        <f ca="1"/>
      </c>
      <c r="CY285">
        <f ca="1"/>
      </c>
      <c r="CZ285">
        <f ca="1"/>
      </c>
      <c r="DA285">
        <f ca="1"/>
      </c>
      <c r="DB285">
        <f ca="1"/>
      </c>
      <c r="DC285">
        <f ca="1"/>
      </c>
      <c r="DD285">
        <f ca="1"/>
      </c>
      <c r="DE285">
        <f ca="1"/>
      </c>
      <c r="DF285">
        <f ca="1"/>
      </c>
      <c r="DG285">
        <f ca="1"/>
      </c>
      <c r="DH285">
        <f ca="1"/>
      </c>
      <c r="DI285">
        <f ca="1"/>
      </c>
      <c r="DJ285">
        <f ca="1"/>
      </c>
      <c r="DK285">
        <f ca="1"/>
      </c>
      <c r="DL285">
        <f ca="1"/>
      </c>
      <c r="DM285">
        <f ca="1"/>
      </c>
      <c r="DN285">
        <f ca="1"/>
      </c>
      <c r="DO285">
        <f ca="1"/>
      </c>
      <c r="DP285">
        <f ca="1"/>
      </c>
      <c r="DQ285">
        <f ca="1"/>
      </c>
      <c r="DR285">
        <f ca="1"/>
      </c>
      <c r="DS285">
        <f ca="1"/>
      </c>
      <c r="DT285">
        <f ca="1"/>
      </c>
      <c r="DU285">
        <f ca="1"/>
      </c>
      <c r="DV285">
        <f ca="1"/>
      </c>
      <c r="DW285">
        <f ca="1"/>
      </c>
      <c r="DX285">
        <f ca="1"/>
      </c>
      <c r="DY285">
        <f ca="1"/>
      </c>
      <c r="DZ285">
        <f ca="1"/>
      </c>
      <c r="EA285">
        <f ca="1"/>
      </c>
      <c r="EB285">
        <f ca="1"/>
      </c>
      <c r="EC285">
        <f ca="1"/>
      </c>
      <c r="ED285">
        <f ca="1"/>
      </c>
      <c r="EE285">
        <f ca="1"/>
      </c>
      <c r="EG285">
        <f ca="1"/>
      </c>
      <c r="EH285">
        <f ca="1"/>
      </c>
      <c r="EI285">
        <f ca="1"/>
      </c>
      <c r="EJ285">
        <f ca="1"/>
      </c>
      <c r="EK285">
        <f ca="1"/>
      </c>
      <c r="EL285">
        <f ca="1"/>
      </c>
      <c r="EM285">
        <f ca="1"/>
      </c>
      <c r="EN285">
        <f ca="1"/>
      </c>
      <c r="EO285">
        <f ca="1"/>
      </c>
      <c r="EP285">
        <f ca="1"/>
      </c>
      <c r="EQ285">
        <f ca="1"/>
      </c>
      <c r="ER285">
        <f ca="1"/>
      </c>
      <c r="ES285">
        <f ca="1"/>
      </c>
      <c r="ET285">
        <f ca="1"/>
      </c>
      <c r="EU285">
        <f ca="1"/>
      </c>
      <c r="EV285">
        <f ca="1"/>
      </c>
      <c r="EW285">
        <f ca="1"/>
      </c>
      <c r="EX285">
        <f ca="1"/>
      </c>
      <c r="EY285">
        <f ca="1"/>
      </c>
      <c r="EZ285">
        <f ca="1"/>
      </c>
      <c r="FA285">
        <f ca="1"/>
      </c>
      <c r="FB285">
        <f ca="1"/>
      </c>
      <c r="FC285">
        <f ca="1"/>
      </c>
      <c r="FD285">
        <f ca="1"/>
      </c>
      <c r="FE285">
        <f ca="1"/>
      </c>
      <c r="FF285">
        <f ca="1"/>
      </c>
      <c r="FG285">
        <f ca="1"/>
      </c>
      <c r="FH285">
        <f ca="1"/>
      </c>
      <c r="FI285">
        <f ca="1"/>
      </c>
      <c r="FJ285">
        <f ca="1"/>
      </c>
      <c r="FK285">
        <f ca="1"/>
      </c>
      <c r="FL285">
        <f ca="1"/>
      </c>
      <c r="FM285">
        <f ca="1"/>
      </c>
      <c r="FN285">
        <f ca="1"/>
      </c>
      <c r="FO285">
        <f ca="1"/>
      </c>
      <c r="FP285">
        <f ca="1"/>
      </c>
      <c r="FQ285">
        <f ca="1"/>
      </c>
      <c r="FR285">
        <f ca="1"/>
      </c>
      <c r="FS285">
        <f ca="1"/>
      </c>
      <c r="FT285">
        <f ca="1"/>
      </c>
      <c r="FU285">
        <f ca="1"/>
      </c>
      <c r="FV285">
        <f ca="1"/>
      </c>
      <c r="FW285">
        <f ca="1"/>
      </c>
      <c r="FX285">
        <f ca="1"/>
      </c>
      <c r="FY285">
        <f ca="1"/>
      </c>
      <c r="FZ285">
        <f ca="1"/>
      </c>
      <c r="GA285">
        <f ca="1"/>
      </c>
      <c r="GM285" s="7"/>
    </row>
    <row r="286" spans="41:195" x14ac:dyDescent="0.55000000000000004">
      <c r="AO286">
        <f ca="1"/>
      </c>
      <c r="AP286">
        <f ca="1"/>
      </c>
      <c r="AQ286">
        <f ca="1"/>
      </c>
      <c r="AR286">
        <f ca="1"/>
      </c>
      <c r="AS286">
        <f ca="1"/>
      </c>
      <c r="AT286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AZ286">
        <f ca="1"/>
      </c>
      <c r="BA286">
        <f ca="1"/>
      </c>
      <c r="BB286">
        <f ca="1"/>
      </c>
      <c r="BC286">
        <f ca="1"/>
      </c>
      <c r="BD286">
        <f ca="1"/>
      </c>
      <c r="BE286">
        <f ca="1"/>
      </c>
      <c r="BF286">
        <f ca="1"/>
      </c>
      <c r="BG286">
        <f ca="1"/>
      </c>
      <c r="BH286">
        <f ca="1"/>
      </c>
      <c r="BI286">
        <f ca="1"/>
      </c>
      <c r="BJ286">
        <f ca="1"/>
      </c>
      <c r="BK286">
        <f ca="1"/>
      </c>
      <c r="BL286">
        <f ca="1"/>
      </c>
      <c r="BM286">
        <f ca="1"/>
      </c>
      <c r="BN286">
        <f ca="1"/>
      </c>
      <c r="BO286">
        <f ca="1"/>
      </c>
      <c r="BP286">
        <f ca="1"/>
      </c>
      <c r="BQ286">
        <f ca="1"/>
      </c>
      <c r="BR286">
        <f ca="1"/>
      </c>
      <c r="BS286">
        <f ca="1"/>
      </c>
      <c r="BT286">
        <f ca="1"/>
      </c>
      <c r="BU286">
        <f ca="1"/>
      </c>
      <c r="BV286">
        <f ca="1"/>
      </c>
      <c r="BW286">
        <f ca="1"/>
      </c>
      <c r="BX286">
        <f ca="1"/>
      </c>
      <c r="BY286">
        <f ca="1"/>
      </c>
      <c r="BZ286">
        <f ca="1"/>
      </c>
      <c r="CA286">
        <f ca="1"/>
      </c>
      <c r="CB286">
        <f ca="1"/>
      </c>
      <c r="CC286">
        <f ca="1"/>
      </c>
      <c r="CD286">
        <f ca="1"/>
      </c>
      <c r="CE286">
        <f ca="1"/>
      </c>
      <c r="CF286">
        <f ca="1"/>
      </c>
      <c r="CG286">
        <f ca="1"/>
      </c>
      <c r="CH286">
        <f ca="1"/>
      </c>
      <c r="CI286">
        <f ca="1"/>
      </c>
      <c r="CK286">
        <f ca="1"/>
      </c>
      <c r="CL286">
        <f ca="1"/>
      </c>
      <c r="CM286">
        <f ca="1"/>
      </c>
      <c r="CN286">
        <f ca="1"/>
      </c>
      <c r="CO286">
        <f ca="1"/>
      </c>
      <c r="CP286">
        <f ca="1"/>
      </c>
      <c r="CQ286">
        <f ca="1"/>
      </c>
      <c r="CR286">
        <f ca="1"/>
      </c>
      <c r="CS286">
        <f ca="1"/>
      </c>
      <c r="CT286">
        <f ca="1"/>
      </c>
      <c r="CU286">
        <f ca="1"/>
      </c>
      <c r="CV286">
        <f ca="1"/>
      </c>
      <c r="CW286">
        <f ca="1"/>
      </c>
      <c r="CX286">
        <f ca="1"/>
      </c>
      <c r="CY286">
        <f ca="1"/>
      </c>
      <c r="CZ286">
        <f ca="1"/>
      </c>
      <c r="DA286">
        <f ca="1"/>
      </c>
      <c r="DB286">
        <f ca="1"/>
      </c>
      <c r="DC286">
        <f ca="1"/>
      </c>
      <c r="DD286">
        <f ca="1"/>
      </c>
      <c r="DE286">
        <f ca="1"/>
      </c>
      <c r="DF286">
        <f ca="1"/>
      </c>
      <c r="DG286">
        <f ca="1"/>
      </c>
      <c r="DH286">
        <f ca="1"/>
      </c>
      <c r="DI286">
        <f ca="1"/>
      </c>
      <c r="DJ286">
        <f ca="1"/>
      </c>
      <c r="DK286">
        <f ca="1"/>
      </c>
      <c r="DL286">
        <f ca="1"/>
      </c>
      <c r="DM286">
        <f ca="1"/>
      </c>
      <c r="DN286">
        <f ca="1"/>
      </c>
      <c r="DO286">
        <f ca="1"/>
      </c>
      <c r="DP286">
        <f ca="1"/>
      </c>
      <c r="DQ286">
        <f ca="1"/>
      </c>
      <c r="DR286">
        <f ca="1"/>
      </c>
      <c r="DS286">
        <f ca="1"/>
      </c>
      <c r="DT286">
        <f ca="1"/>
      </c>
      <c r="DU286">
        <f ca="1"/>
      </c>
      <c r="DV286">
        <f ca="1"/>
      </c>
      <c r="DW286">
        <f ca="1"/>
      </c>
      <c r="DX286">
        <f ca="1"/>
      </c>
      <c r="DY286">
        <f ca="1"/>
      </c>
      <c r="DZ286">
        <f ca="1"/>
      </c>
      <c r="EA286">
        <f ca="1"/>
      </c>
      <c r="EB286">
        <f ca="1"/>
      </c>
      <c r="EC286">
        <f ca="1"/>
      </c>
      <c r="ED286">
        <f ca="1"/>
      </c>
      <c r="EE286">
        <f ca="1"/>
      </c>
      <c r="EG286">
        <f ca="1"/>
      </c>
      <c r="EH286">
        <f ca="1"/>
      </c>
      <c r="EI286">
        <f ca="1"/>
      </c>
      <c r="EJ286">
        <f ca="1"/>
      </c>
      <c r="EK286">
        <f ca="1"/>
      </c>
      <c r="EL286">
        <f ca="1"/>
      </c>
      <c r="EM286">
        <f ca="1"/>
      </c>
      <c r="EN286">
        <f ca="1"/>
      </c>
      <c r="EO286">
        <f ca="1"/>
      </c>
      <c r="EP286">
        <f ca="1"/>
      </c>
      <c r="EQ286">
        <f ca="1"/>
      </c>
      <c r="ER286">
        <f ca="1"/>
      </c>
      <c r="ES286">
        <f ca="1"/>
      </c>
      <c r="ET286">
        <f ca="1"/>
      </c>
      <c r="EU286">
        <f ca="1"/>
      </c>
      <c r="EV286">
        <f ca="1"/>
      </c>
      <c r="EW286">
        <f ca="1"/>
      </c>
      <c r="EX286">
        <f ca="1"/>
      </c>
      <c r="EY286">
        <f ca="1"/>
      </c>
      <c r="EZ286">
        <f ca="1"/>
      </c>
      <c r="FA286">
        <f ca="1"/>
      </c>
      <c r="FB286">
        <f ca="1"/>
      </c>
      <c r="FC286">
        <f ca="1"/>
      </c>
      <c r="FD286">
        <f ca="1"/>
      </c>
      <c r="FE286">
        <f ca="1"/>
      </c>
      <c r="FF286">
        <f ca="1"/>
      </c>
      <c r="FG286">
        <f ca="1"/>
      </c>
      <c r="FH286">
        <f ca="1"/>
      </c>
      <c r="FI286">
        <f ca="1"/>
      </c>
      <c r="FJ286">
        <f ca="1"/>
      </c>
      <c r="FK286">
        <f ca="1"/>
      </c>
      <c r="FL286">
        <f ca="1"/>
      </c>
      <c r="FM286">
        <f ca="1"/>
      </c>
      <c r="FN286">
        <f ca="1"/>
      </c>
      <c r="FO286">
        <f ca="1"/>
      </c>
      <c r="FP286">
        <f ca="1"/>
      </c>
      <c r="FQ286">
        <f ca="1"/>
      </c>
      <c r="FR286">
        <f ca="1"/>
      </c>
      <c r="FS286">
        <f ca="1"/>
      </c>
      <c r="FT286">
        <f ca="1"/>
      </c>
      <c r="FU286">
        <f ca="1"/>
      </c>
      <c r="FV286">
        <f ca="1"/>
      </c>
      <c r="FW286">
        <f ca="1"/>
      </c>
      <c r="FX286">
        <f ca="1"/>
      </c>
      <c r="FY286">
        <f ca="1"/>
      </c>
      <c r="FZ286">
        <f ca="1"/>
      </c>
      <c r="GA286">
        <f ca="1"/>
      </c>
      <c r="GM286" s="7"/>
    </row>
    <row r="287" spans="41:195" x14ac:dyDescent="0.55000000000000004">
      <c r="AO287">
        <f ca="1"/>
      </c>
      <c r="AP287">
        <f ca="1"/>
      </c>
      <c r="AQ287">
        <f ca="1"/>
      </c>
      <c r="AR287">
        <f ca="1"/>
      </c>
      <c r="AS287">
        <f ca="1"/>
      </c>
      <c r="AT28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AZ287">
        <f ca="1"/>
      </c>
      <c r="BA287">
        <f ca="1"/>
      </c>
      <c r="BB287">
        <f ca="1"/>
      </c>
      <c r="BC287">
        <f ca="1"/>
      </c>
      <c r="BD287">
        <f ca="1"/>
      </c>
      <c r="BE287">
        <f ca="1"/>
      </c>
      <c r="BF287">
        <f ca="1"/>
      </c>
      <c r="BG287">
        <f ca="1"/>
      </c>
      <c r="BH287">
        <f ca="1"/>
      </c>
      <c r="BI287">
        <f ca="1"/>
      </c>
      <c r="BJ287">
        <f ca="1"/>
      </c>
      <c r="BK287">
        <f ca="1"/>
      </c>
      <c r="BL287">
        <f ca="1"/>
      </c>
      <c r="BM287">
        <f ca="1"/>
      </c>
      <c r="BN287">
        <f ca="1"/>
      </c>
      <c r="BO287">
        <f ca="1"/>
      </c>
      <c r="BP287">
        <f ca="1"/>
      </c>
      <c r="BQ287">
        <f ca="1"/>
      </c>
      <c r="BR287">
        <f ca="1"/>
      </c>
      <c r="BS287">
        <f ca="1"/>
      </c>
      <c r="BT287">
        <f ca="1"/>
      </c>
      <c r="BU287">
        <f ca="1"/>
      </c>
      <c r="BV287">
        <f ca="1"/>
      </c>
      <c r="BW287">
        <f ca="1"/>
      </c>
      <c r="BX287">
        <f ca="1"/>
      </c>
      <c r="BY287">
        <f ca="1"/>
      </c>
      <c r="BZ287">
        <f ca="1"/>
      </c>
      <c r="CA287">
        <f ca="1"/>
      </c>
      <c r="CB287">
        <f ca="1"/>
      </c>
      <c r="CC287">
        <f ca="1"/>
      </c>
      <c r="CD287">
        <f ca="1"/>
      </c>
      <c r="CE287">
        <f ca="1"/>
      </c>
      <c r="CF287">
        <f ca="1"/>
      </c>
      <c r="CG287">
        <f ca="1"/>
      </c>
      <c r="CH287">
        <f ca="1"/>
      </c>
      <c r="CI287">
        <f ca="1"/>
      </c>
      <c r="CK287">
        <f ca="1"/>
      </c>
      <c r="CL287">
        <f ca="1"/>
      </c>
      <c r="CM287">
        <f ca="1"/>
      </c>
      <c r="CN287">
        <f ca="1"/>
      </c>
      <c r="CO287">
        <f ca="1"/>
      </c>
      <c r="CP287">
        <f ca="1"/>
      </c>
      <c r="CQ287">
        <f ca="1"/>
      </c>
      <c r="CR287">
        <f ca="1"/>
      </c>
      <c r="CS287">
        <f ca="1"/>
      </c>
      <c r="CT287">
        <f ca="1"/>
      </c>
      <c r="CU287">
        <f ca="1"/>
      </c>
      <c r="CV287">
        <f ca="1"/>
      </c>
      <c r="CW287">
        <f ca="1"/>
      </c>
      <c r="CX287">
        <f ca="1"/>
      </c>
      <c r="CY287">
        <f ca="1"/>
      </c>
      <c r="CZ287">
        <f ca="1"/>
      </c>
      <c r="DA287">
        <f ca="1"/>
      </c>
      <c r="DB287">
        <f ca="1"/>
      </c>
      <c r="DC287">
        <f ca="1"/>
      </c>
      <c r="DD287">
        <f ca="1"/>
      </c>
      <c r="DE287">
        <f ca="1"/>
      </c>
      <c r="DF287">
        <f ca="1"/>
      </c>
      <c r="DG287">
        <f ca="1"/>
      </c>
      <c r="DH287">
        <f ca="1"/>
      </c>
      <c r="DI287">
        <f ca="1"/>
      </c>
      <c r="DJ287">
        <f ca="1"/>
      </c>
      <c r="DK287">
        <f ca="1"/>
      </c>
      <c r="DL287">
        <f ca="1"/>
      </c>
      <c r="DM287">
        <f ca="1"/>
      </c>
      <c r="DN287">
        <f ca="1"/>
      </c>
      <c r="DO287">
        <f ca="1"/>
      </c>
      <c r="DP287">
        <f ca="1"/>
      </c>
      <c r="DQ287">
        <f ca="1"/>
      </c>
      <c r="DR287">
        <f ca="1"/>
      </c>
      <c r="DS287">
        <f ca="1"/>
      </c>
      <c r="DT287">
        <f ca="1"/>
      </c>
      <c r="DU287">
        <f ca="1"/>
      </c>
      <c r="DV287">
        <f ca="1"/>
      </c>
      <c r="DW287">
        <f ca="1"/>
      </c>
      <c r="DX287">
        <f ca="1"/>
      </c>
      <c r="DY287">
        <f ca="1"/>
      </c>
      <c r="DZ287">
        <f ca="1"/>
      </c>
      <c r="EA287">
        <f ca="1"/>
      </c>
      <c r="EB287">
        <f ca="1"/>
      </c>
      <c r="EC287">
        <f ca="1"/>
      </c>
      <c r="ED287">
        <f ca="1"/>
      </c>
      <c r="EE287">
        <f ca="1"/>
      </c>
      <c r="EG287">
        <f ca="1"/>
      </c>
      <c r="EH287">
        <f ca="1"/>
      </c>
      <c r="EI287">
        <f ca="1"/>
      </c>
      <c r="EJ287">
        <f ca="1"/>
      </c>
      <c r="EK287">
        <f ca="1"/>
      </c>
      <c r="EL287">
        <f ca="1"/>
      </c>
      <c r="EM287">
        <f ca="1"/>
      </c>
      <c r="EN287">
        <f ca="1"/>
      </c>
      <c r="EO287">
        <f ca="1"/>
      </c>
      <c r="EP287">
        <f ca="1"/>
      </c>
      <c r="EQ287">
        <f ca="1"/>
      </c>
      <c r="ER287">
        <f ca="1"/>
      </c>
      <c r="ES287">
        <f ca="1"/>
      </c>
      <c r="ET287">
        <f ca="1"/>
      </c>
      <c r="EU287">
        <f ca="1"/>
      </c>
      <c r="EV287">
        <f ca="1"/>
      </c>
      <c r="EW287">
        <f ca="1"/>
      </c>
      <c r="EX287">
        <f ca="1"/>
      </c>
      <c r="EY287">
        <f ca="1"/>
      </c>
      <c r="EZ287">
        <f ca="1"/>
      </c>
      <c r="FA287">
        <f ca="1"/>
      </c>
      <c r="FB287">
        <f ca="1"/>
      </c>
      <c r="FC287">
        <f ca="1"/>
      </c>
      <c r="FD287">
        <f ca="1"/>
      </c>
      <c r="FE287">
        <f ca="1"/>
      </c>
      <c r="FF287">
        <f ca="1"/>
      </c>
      <c r="FG287">
        <f ca="1"/>
      </c>
      <c r="FH287">
        <f ca="1"/>
      </c>
      <c r="FI287">
        <f ca="1"/>
      </c>
      <c r="FJ287">
        <f ca="1"/>
      </c>
      <c r="FK287">
        <f ca="1"/>
      </c>
      <c r="FL287">
        <f ca="1"/>
      </c>
      <c r="FM287">
        <f ca="1"/>
      </c>
      <c r="FN287">
        <f ca="1"/>
      </c>
      <c r="FO287">
        <f ca="1"/>
      </c>
      <c r="FP287">
        <f ca="1"/>
      </c>
      <c r="FQ287">
        <f ca="1"/>
      </c>
      <c r="FR287">
        <f ca="1"/>
      </c>
      <c r="FS287">
        <f ca="1"/>
      </c>
      <c r="FT287">
        <f ca="1"/>
      </c>
      <c r="FU287">
        <f ca="1"/>
      </c>
      <c r="FV287">
        <f ca="1"/>
      </c>
      <c r="FW287">
        <f ca="1"/>
      </c>
      <c r="FX287">
        <f ca="1"/>
      </c>
      <c r="FY287">
        <f ca="1"/>
      </c>
      <c r="FZ287">
        <f ca="1"/>
      </c>
      <c r="GA287">
        <f ca="1"/>
      </c>
      <c r="GM287" s="7"/>
    </row>
    <row r="288" spans="41:195" x14ac:dyDescent="0.55000000000000004">
      <c r="AO288">
        <f ca="1"/>
      </c>
      <c r="AP288">
        <f ca="1"/>
      </c>
      <c r="AQ288">
        <f ca="1"/>
      </c>
      <c r="AR288">
        <f ca="1"/>
      </c>
      <c r="AS288">
        <f ca="1"/>
      </c>
      <c r="AT288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AZ288">
        <f ca="1"/>
      </c>
      <c r="BA288">
        <f ca="1"/>
      </c>
      <c r="BB288">
        <f ca="1"/>
      </c>
      <c r="BC288">
        <f ca="1"/>
      </c>
      <c r="BD288">
        <f ca="1"/>
      </c>
      <c r="BE288">
        <f ca="1"/>
      </c>
      <c r="BF288">
        <f ca="1"/>
      </c>
      <c r="BG288">
        <f ca="1"/>
      </c>
      <c r="BH288">
        <f ca="1"/>
      </c>
      <c r="BI288">
        <f ca="1"/>
      </c>
      <c r="BJ288">
        <f ca="1"/>
      </c>
      <c r="BK288">
        <f ca="1"/>
      </c>
      <c r="BL288">
        <f ca="1"/>
      </c>
      <c r="BM288">
        <f ca="1"/>
      </c>
      <c r="BN288">
        <f ca="1"/>
      </c>
      <c r="BO288">
        <f ca="1"/>
      </c>
      <c r="BP288">
        <f ca="1"/>
      </c>
      <c r="BQ288">
        <f ca="1"/>
      </c>
      <c r="BR288">
        <f ca="1"/>
      </c>
      <c r="BS288">
        <f ca="1"/>
      </c>
      <c r="BT288">
        <f ca="1"/>
      </c>
      <c r="BU288">
        <f ca="1"/>
      </c>
      <c r="BV288">
        <f ca="1"/>
      </c>
      <c r="BW288">
        <f ca="1"/>
      </c>
      <c r="BX288">
        <f ca="1"/>
      </c>
      <c r="BY288">
        <f ca="1"/>
      </c>
      <c r="BZ288">
        <f ca="1"/>
      </c>
      <c r="CA288">
        <f ca="1"/>
      </c>
      <c r="CB288">
        <f ca="1"/>
      </c>
      <c r="CC288">
        <f ca="1"/>
      </c>
      <c r="CD288">
        <f ca="1"/>
      </c>
      <c r="CE288">
        <f ca="1"/>
      </c>
      <c r="CF288">
        <f ca="1"/>
      </c>
      <c r="CG288">
        <f ca="1"/>
      </c>
      <c r="CH288">
        <f ca="1"/>
      </c>
      <c r="CI288">
        <f ca="1"/>
      </c>
      <c r="CK288">
        <f ca="1"/>
      </c>
      <c r="CL288">
        <f ca="1"/>
      </c>
      <c r="CM288">
        <f ca="1"/>
      </c>
      <c r="CN288">
        <f ca="1"/>
      </c>
      <c r="CO288">
        <f ca="1"/>
      </c>
      <c r="CP288">
        <f ca="1"/>
      </c>
      <c r="CQ288">
        <f ca="1"/>
      </c>
      <c r="CR288">
        <f ca="1"/>
      </c>
      <c r="CS288">
        <f ca="1"/>
      </c>
      <c r="CT288">
        <f ca="1"/>
      </c>
      <c r="CU288">
        <f ca="1"/>
      </c>
      <c r="CV288">
        <f ca="1"/>
      </c>
      <c r="CW288">
        <f ca="1"/>
      </c>
      <c r="CX288">
        <f ca="1"/>
      </c>
      <c r="CY288">
        <f ca="1"/>
      </c>
      <c r="CZ288">
        <f ca="1"/>
      </c>
      <c r="DA288">
        <f ca="1"/>
      </c>
      <c r="DB288">
        <f ca="1"/>
      </c>
      <c r="DC288">
        <f ca="1"/>
      </c>
      <c r="DD288">
        <f ca="1"/>
      </c>
      <c r="DE288">
        <f ca="1"/>
      </c>
      <c r="DF288">
        <f ca="1"/>
      </c>
      <c r="DG288">
        <f ca="1"/>
      </c>
      <c r="DH288">
        <f ca="1"/>
      </c>
      <c r="DI288">
        <f ca="1"/>
      </c>
      <c r="DJ288">
        <f ca="1"/>
      </c>
      <c r="DK288">
        <f ca="1"/>
      </c>
      <c r="DL288">
        <f ca="1"/>
      </c>
      <c r="DM288">
        <f ca="1"/>
      </c>
      <c r="DN288">
        <f ca="1"/>
      </c>
      <c r="DO288">
        <f ca="1"/>
      </c>
      <c r="DP288">
        <f ca="1"/>
      </c>
      <c r="DQ288">
        <f ca="1"/>
      </c>
      <c r="DR288">
        <f ca="1"/>
      </c>
      <c r="DS288">
        <f ca="1"/>
      </c>
      <c r="DT288">
        <f ca="1"/>
      </c>
      <c r="DU288">
        <f ca="1"/>
      </c>
      <c r="DV288">
        <f ca="1"/>
      </c>
      <c r="DW288">
        <f ca="1"/>
      </c>
      <c r="DX288">
        <f ca="1"/>
      </c>
      <c r="DY288">
        <f ca="1"/>
      </c>
      <c r="DZ288">
        <f ca="1"/>
      </c>
      <c r="EA288">
        <f ca="1"/>
      </c>
      <c r="EB288">
        <f ca="1"/>
      </c>
      <c r="EC288">
        <f ca="1"/>
      </c>
      <c r="ED288">
        <f ca="1"/>
      </c>
      <c r="EE288">
        <f ca="1"/>
      </c>
      <c r="EG288">
        <f ca="1"/>
      </c>
      <c r="EH288">
        <f ca="1"/>
      </c>
      <c r="EI288">
        <f ca="1"/>
      </c>
      <c r="EJ288">
        <f ca="1"/>
      </c>
      <c r="EK288">
        <f ca="1"/>
      </c>
      <c r="EL288">
        <f ca="1"/>
      </c>
      <c r="EM288">
        <f ca="1"/>
      </c>
      <c r="EN288">
        <f ca="1"/>
      </c>
      <c r="EO288">
        <f ca="1"/>
      </c>
      <c r="EP288">
        <f ca="1"/>
      </c>
      <c r="EQ288">
        <f ca="1"/>
      </c>
      <c r="ER288">
        <f ca="1"/>
      </c>
      <c r="ES288">
        <f ca="1"/>
      </c>
      <c r="ET288">
        <f ca="1"/>
      </c>
      <c r="EU288">
        <f ca="1"/>
      </c>
      <c r="EV288">
        <f ca="1"/>
      </c>
      <c r="EW288">
        <f ca="1"/>
      </c>
      <c r="EX288">
        <f ca="1"/>
      </c>
      <c r="EY288">
        <f ca="1"/>
      </c>
      <c r="EZ288">
        <f ca="1"/>
      </c>
      <c r="FA288">
        <f ca="1"/>
      </c>
      <c r="FB288">
        <f ca="1"/>
      </c>
      <c r="FC288">
        <f ca="1"/>
      </c>
      <c r="FD288">
        <f ca="1"/>
      </c>
      <c r="FE288">
        <f ca="1"/>
      </c>
      <c r="FF288">
        <f ca="1"/>
      </c>
      <c r="FG288">
        <f ca="1"/>
      </c>
      <c r="FH288">
        <f ca="1"/>
      </c>
      <c r="FI288">
        <f ca="1"/>
      </c>
      <c r="FJ288">
        <f ca="1"/>
      </c>
      <c r="FK288">
        <f ca="1"/>
      </c>
      <c r="FL288">
        <f ca="1"/>
      </c>
      <c r="FM288">
        <f ca="1"/>
      </c>
      <c r="FN288">
        <f ca="1"/>
      </c>
      <c r="FO288">
        <f ca="1"/>
      </c>
      <c r="FP288">
        <f ca="1"/>
      </c>
      <c r="FQ288">
        <f ca="1"/>
      </c>
      <c r="FR288">
        <f ca="1"/>
      </c>
      <c r="FS288">
        <f ca="1"/>
      </c>
      <c r="FT288">
        <f ca="1"/>
      </c>
      <c r="FU288">
        <f ca="1"/>
      </c>
      <c r="FV288">
        <f ca="1"/>
      </c>
      <c r="FW288">
        <f ca="1"/>
      </c>
      <c r="FX288">
        <f ca="1"/>
      </c>
      <c r="FY288">
        <f ca="1"/>
      </c>
      <c r="FZ288">
        <f ca="1"/>
      </c>
      <c r="GA288">
        <f ca="1"/>
      </c>
      <c r="GM288" s="7"/>
    </row>
    <row r="289" spans="41:195" x14ac:dyDescent="0.55000000000000004">
      <c r="AO289">
        <f ca="1"/>
      </c>
      <c r="AP289">
        <f ca="1"/>
      </c>
      <c r="AQ289">
        <f ca="1"/>
      </c>
      <c r="AR289">
        <f ca="1"/>
      </c>
      <c r="AS289">
        <f ca="1"/>
      </c>
      <c r="AT289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AZ289">
        <f ca="1"/>
      </c>
      <c r="BA289">
        <f ca="1"/>
      </c>
      <c r="BB289">
        <f ca="1"/>
      </c>
      <c r="BC289">
        <f ca="1"/>
      </c>
      <c r="BD289">
        <f ca="1"/>
      </c>
      <c r="BE289">
        <f ca="1"/>
      </c>
      <c r="BF289">
        <f ca="1"/>
      </c>
      <c r="BG289">
        <f ca="1"/>
      </c>
      <c r="BH289">
        <f ca="1"/>
      </c>
      <c r="BI289">
        <f ca="1"/>
      </c>
      <c r="BJ289">
        <f ca="1"/>
      </c>
      <c r="BK289">
        <f ca="1"/>
      </c>
      <c r="BL289">
        <f ca="1"/>
      </c>
      <c r="BM289">
        <f ca="1"/>
      </c>
      <c r="BN289">
        <f ca="1"/>
      </c>
      <c r="BO289">
        <f ca="1"/>
      </c>
      <c r="BP289">
        <f ca="1"/>
      </c>
      <c r="BQ289">
        <f ca="1"/>
      </c>
      <c r="BR289">
        <f ca="1"/>
      </c>
      <c r="BS289">
        <f ca="1"/>
      </c>
      <c r="BT289">
        <f ca="1"/>
      </c>
      <c r="BU289">
        <f ca="1"/>
      </c>
      <c r="BV289">
        <f ca="1"/>
      </c>
      <c r="BW289">
        <f ca="1"/>
      </c>
      <c r="BX289">
        <f ca="1"/>
      </c>
      <c r="BY289">
        <f ca="1"/>
      </c>
      <c r="BZ289">
        <f ca="1"/>
      </c>
      <c r="CA289">
        <f ca="1"/>
      </c>
      <c r="CB289">
        <f ca="1"/>
      </c>
      <c r="CC289">
        <f ca="1"/>
      </c>
      <c r="CD289">
        <f ca="1"/>
      </c>
      <c r="CE289">
        <f ca="1"/>
      </c>
      <c r="CF289">
        <f ca="1"/>
      </c>
      <c r="CG289">
        <f ca="1"/>
      </c>
      <c r="CH289">
        <f ca="1"/>
      </c>
      <c r="CI289">
        <f ca="1"/>
      </c>
      <c r="CK289">
        <f ca="1"/>
      </c>
      <c r="CL289">
        <f ca="1"/>
      </c>
      <c r="CM289">
        <f ca="1"/>
      </c>
      <c r="CN289">
        <f ca="1"/>
      </c>
      <c r="CO289">
        <f ca="1"/>
      </c>
      <c r="CP289">
        <f ca="1"/>
      </c>
      <c r="CQ289">
        <f ca="1"/>
      </c>
      <c r="CR289">
        <f ca="1"/>
      </c>
      <c r="CS289">
        <f ca="1"/>
      </c>
      <c r="CT289">
        <f ca="1"/>
      </c>
      <c r="CU289">
        <f ca="1"/>
      </c>
      <c r="CV289">
        <f ca="1"/>
      </c>
      <c r="CW289">
        <f ca="1"/>
      </c>
      <c r="CX289">
        <f ca="1"/>
      </c>
      <c r="CY289">
        <f ca="1"/>
      </c>
      <c r="CZ289">
        <f ca="1"/>
      </c>
      <c r="DA289">
        <f ca="1"/>
      </c>
      <c r="DB289">
        <f ca="1"/>
      </c>
      <c r="DC289">
        <f ca="1"/>
      </c>
      <c r="DD289">
        <f ca="1"/>
      </c>
      <c r="DE289">
        <f ca="1"/>
      </c>
      <c r="DF289">
        <f ca="1"/>
      </c>
      <c r="DG289">
        <f ca="1"/>
      </c>
      <c r="DH289">
        <f ca="1"/>
      </c>
      <c r="DI289">
        <f ca="1"/>
      </c>
      <c r="DJ289">
        <f ca="1"/>
      </c>
      <c r="DK289">
        <f ca="1"/>
      </c>
      <c r="DL289">
        <f ca="1"/>
      </c>
      <c r="DM289">
        <f ca="1"/>
      </c>
      <c r="DN289">
        <f ca="1"/>
      </c>
      <c r="DO289">
        <f ca="1"/>
      </c>
      <c r="DP289">
        <f ca="1"/>
      </c>
      <c r="DQ289">
        <f ca="1"/>
      </c>
      <c r="DR289">
        <f ca="1"/>
      </c>
      <c r="DS289">
        <f ca="1"/>
      </c>
      <c r="DT289">
        <f ca="1"/>
      </c>
      <c r="DU289">
        <f ca="1"/>
      </c>
      <c r="DV289">
        <f ca="1"/>
      </c>
      <c r="DW289">
        <f ca="1"/>
      </c>
      <c r="DX289">
        <f ca="1"/>
      </c>
      <c r="DY289">
        <f ca="1"/>
      </c>
      <c r="DZ289">
        <f ca="1"/>
      </c>
      <c r="EA289">
        <f ca="1"/>
      </c>
      <c r="EB289">
        <f ca="1"/>
      </c>
      <c r="EC289">
        <f ca="1"/>
      </c>
      <c r="ED289">
        <f ca="1"/>
      </c>
      <c r="EE289">
        <f ca="1"/>
      </c>
      <c r="EG289">
        <f ca="1"/>
      </c>
      <c r="EH289">
        <f ca="1"/>
      </c>
      <c r="EI289">
        <f ca="1"/>
      </c>
      <c r="EJ289">
        <f ca="1"/>
      </c>
      <c r="EK289">
        <f ca="1"/>
      </c>
      <c r="EL289">
        <f ca="1"/>
      </c>
      <c r="EM289">
        <f ca="1"/>
      </c>
      <c r="EN289">
        <f ca="1"/>
      </c>
      <c r="EO289">
        <f ca="1"/>
      </c>
      <c r="EP289">
        <f ca="1"/>
      </c>
      <c r="EQ289">
        <f ca="1"/>
      </c>
      <c r="ER289">
        <f ca="1"/>
      </c>
      <c r="ES289">
        <f ca="1"/>
      </c>
      <c r="ET289">
        <f ca="1"/>
      </c>
      <c r="EU289">
        <f ca="1"/>
      </c>
      <c r="EV289">
        <f ca="1"/>
      </c>
      <c r="EW289">
        <f ca="1"/>
      </c>
      <c r="EX289">
        <f ca="1"/>
      </c>
      <c r="EY289">
        <f ca="1"/>
      </c>
      <c r="EZ289">
        <f ca="1"/>
      </c>
      <c r="FA289">
        <f ca="1"/>
      </c>
      <c r="FB289">
        <f ca="1"/>
      </c>
      <c r="FC289">
        <f ca="1"/>
      </c>
      <c r="FD289">
        <f ca="1"/>
      </c>
      <c r="FE289">
        <f ca="1"/>
      </c>
      <c r="FF289">
        <f ca="1"/>
      </c>
      <c r="FG289">
        <f ca="1"/>
      </c>
      <c r="FH289">
        <f ca="1"/>
      </c>
      <c r="FI289">
        <f ca="1"/>
      </c>
      <c r="FJ289">
        <f ca="1"/>
      </c>
      <c r="FK289">
        <f ca="1"/>
      </c>
      <c r="FL289">
        <f ca="1"/>
      </c>
      <c r="FM289">
        <f ca="1"/>
      </c>
      <c r="FN289">
        <f ca="1"/>
      </c>
      <c r="FO289">
        <f ca="1"/>
      </c>
      <c r="FP289">
        <f ca="1"/>
      </c>
      <c r="FQ289">
        <f ca="1"/>
      </c>
      <c r="FR289">
        <f ca="1"/>
      </c>
      <c r="FS289">
        <f ca="1"/>
      </c>
      <c r="FT289">
        <f ca="1"/>
      </c>
      <c r="FU289">
        <f ca="1"/>
      </c>
      <c r="FV289">
        <f ca="1"/>
      </c>
      <c r="FW289">
        <f ca="1"/>
      </c>
      <c r="FX289">
        <f ca="1"/>
      </c>
      <c r="FY289">
        <f ca="1"/>
      </c>
      <c r="FZ289">
        <f ca="1"/>
      </c>
      <c r="GA289">
        <f ca="1"/>
      </c>
      <c r="GM289" s="7"/>
    </row>
    <row r="290" spans="41:195" x14ac:dyDescent="0.55000000000000004">
      <c r="AO290">
        <f ca="1"/>
      </c>
      <c r="AP290">
        <f ca="1"/>
      </c>
      <c r="AQ290">
        <f ca="1"/>
      </c>
      <c r="AR290">
        <f ca="1"/>
      </c>
      <c r="AS290">
        <f ca="1"/>
      </c>
      <c r="AT290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AZ290">
        <f ca="1"/>
      </c>
      <c r="BA290">
        <f ca="1"/>
      </c>
      <c r="BB290">
        <f ca="1"/>
      </c>
      <c r="BC290">
        <f ca="1"/>
      </c>
      <c r="BD290">
        <f ca="1"/>
      </c>
      <c r="BE290">
        <f ca="1"/>
      </c>
      <c r="BF290">
        <f ca="1"/>
      </c>
      <c r="BG290">
        <f ca="1"/>
      </c>
      <c r="BH290">
        <f ca="1"/>
      </c>
      <c r="BI290">
        <f ca="1"/>
      </c>
      <c r="BJ290">
        <f ca="1"/>
      </c>
      <c r="BK290">
        <f ca="1"/>
      </c>
      <c r="BL290">
        <f ca="1"/>
      </c>
      <c r="BM290">
        <f ca="1"/>
      </c>
      <c r="BN290">
        <f ca="1"/>
      </c>
      <c r="BO290">
        <f ca="1"/>
      </c>
      <c r="BP290">
        <f ca="1"/>
      </c>
      <c r="BQ290">
        <f ca="1"/>
      </c>
      <c r="BR290">
        <f ca="1"/>
      </c>
      <c r="BS290">
        <f ca="1"/>
      </c>
      <c r="BT290">
        <f ca="1"/>
      </c>
      <c r="BU290">
        <f ca="1"/>
      </c>
      <c r="BV290">
        <f ca="1"/>
      </c>
      <c r="BW290">
        <f ca="1"/>
      </c>
      <c r="BX290">
        <f ca="1"/>
      </c>
      <c r="BY290">
        <f ca="1"/>
      </c>
      <c r="BZ290">
        <f ca="1"/>
      </c>
      <c r="CA290">
        <f ca="1"/>
      </c>
      <c r="CB290">
        <f ca="1"/>
      </c>
      <c r="CC290">
        <f ca="1"/>
      </c>
      <c r="CD290">
        <f ca="1"/>
      </c>
      <c r="CE290">
        <f ca="1"/>
      </c>
      <c r="CF290">
        <f ca="1"/>
      </c>
      <c r="CG290">
        <f ca="1"/>
      </c>
      <c r="CH290">
        <f ca="1"/>
      </c>
      <c r="CI290">
        <f ca="1"/>
      </c>
      <c r="CK290">
        <f ca="1"/>
      </c>
      <c r="CL290">
        <f ca="1"/>
      </c>
      <c r="CM290">
        <f ca="1"/>
      </c>
      <c r="CN290">
        <f ca="1"/>
      </c>
      <c r="CO290">
        <f ca="1"/>
      </c>
      <c r="CP290">
        <f ca="1"/>
      </c>
      <c r="CQ290">
        <f ca="1"/>
      </c>
      <c r="CR290">
        <f ca="1"/>
      </c>
      <c r="CS290">
        <f ca="1"/>
      </c>
      <c r="CT290">
        <f ca="1"/>
      </c>
      <c r="CU290">
        <f ca="1"/>
      </c>
      <c r="CV290">
        <f ca="1"/>
      </c>
      <c r="CW290">
        <f ca="1"/>
      </c>
      <c r="CX290">
        <f ca="1"/>
      </c>
      <c r="CY290">
        <f ca="1"/>
      </c>
      <c r="CZ290">
        <f ca="1"/>
      </c>
      <c r="DA290">
        <f ca="1"/>
      </c>
      <c r="DB290">
        <f ca="1"/>
      </c>
      <c r="DC290">
        <f ca="1"/>
      </c>
      <c r="DD290">
        <f ca="1"/>
      </c>
      <c r="DE290">
        <f ca="1"/>
      </c>
      <c r="DF290">
        <f ca="1"/>
      </c>
      <c r="DG290">
        <f ca="1"/>
      </c>
      <c r="DH290">
        <f ca="1"/>
      </c>
      <c r="DI290">
        <f ca="1"/>
      </c>
      <c r="DJ290">
        <f ca="1"/>
      </c>
      <c r="DK290">
        <f ca="1"/>
      </c>
      <c r="DL290">
        <f ca="1"/>
      </c>
      <c r="DM290">
        <f ca="1"/>
      </c>
      <c r="DN290">
        <f ca="1"/>
      </c>
      <c r="DO290">
        <f ca="1"/>
      </c>
      <c r="DP290">
        <f ca="1"/>
      </c>
      <c r="DQ290">
        <f ca="1"/>
      </c>
      <c r="DR290">
        <f ca="1"/>
      </c>
      <c r="DS290">
        <f ca="1"/>
      </c>
      <c r="DT290">
        <f ca="1"/>
      </c>
      <c r="DU290">
        <f ca="1"/>
      </c>
      <c r="DV290">
        <f ca="1"/>
      </c>
      <c r="DW290">
        <f ca="1"/>
      </c>
      <c r="DX290">
        <f ca="1"/>
      </c>
      <c r="DY290">
        <f ca="1"/>
      </c>
      <c r="DZ290">
        <f ca="1"/>
      </c>
      <c r="EA290">
        <f ca="1"/>
      </c>
      <c r="EB290">
        <f ca="1"/>
      </c>
      <c r="EC290">
        <f ca="1"/>
      </c>
      <c r="ED290">
        <f ca="1"/>
      </c>
      <c r="EE290">
        <f ca="1"/>
      </c>
      <c r="EG290">
        <f ca="1"/>
      </c>
      <c r="EH290">
        <f ca="1"/>
      </c>
      <c r="EI290">
        <f ca="1"/>
      </c>
      <c r="EJ290">
        <f ca="1"/>
      </c>
      <c r="EK290">
        <f ca="1"/>
      </c>
      <c r="EL290">
        <f ca="1"/>
      </c>
      <c r="EM290">
        <f ca="1"/>
      </c>
      <c r="EN290">
        <f ca="1"/>
      </c>
      <c r="EO290">
        <f ca="1"/>
      </c>
      <c r="EP290">
        <f ca="1"/>
      </c>
      <c r="EQ290">
        <f ca="1"/>
      </c>
      <c r="ER290">
        <f ca="1"/>
      </c>
      <c r="ES290">
        <f ca="1"/>
      </c>
      <c r="ET290">
        <f ca="1"/>
      </c>
      <c r="EU290">
        <f ca="1"/>
      </c>
      <c r="EV290">
        <f ca="1"/>
      </c>
      <c r="EW290">
        <f ca="1"/>
      </c>
      <c r="EX290">
        <f ca="1"/>
      </c>
      <c r="EY290">
        <f ca="1"/>
      </c>
      <c r="EZ290">
        <f ca="1"/>
      </c>
      <c r="FA290">
        <f ca="1"/>
      </c>
      <c r="FB290">
        <f ca="1"/>
      </c>
      <c r="FC290">
        <f ca="1"/>
      </c>
      <c r="FD290">
        <f ca="1"/>
      </c>
      <c r="FE290">
        <f ca="1"/>
      </c>
      <c r="FF290">
        <f ca="1"/>
      </c>
      <c r="FG290">
        <f ca="1"/>
      </c>
      <c r="FH290">
        <f ca="1"/>
      </c>
      <c r="FI290">
        <f ca="1"/>
      </c>
      <c r="FJ290">
        <f ca="1"/>
      </c>
      <c r="FK290">
        <f ca="1"/>
      </c>
      <c r="FL290">
        <f ca="1"/>
      </c>
      <c r="FM290">
        <f ca="1"/>
      </c>
      <c r="FN290">
        <f ca="1"/>
      </c>
      <c r="FO290">
        <f ca="1"/>
      </c>
      <c r="FP290">
        <f ca="1"/>
      </c>
      <c r="FQ290">
        <f ca="1"/>
      </c>
      <c r="FR290">
        <f ca="1"/>
      </c>
      <c r="FS290">
        <f ca="1"/>
      </c>
      <c r="FT290">
        <f ca="1"/>
      </c>
      <c r="FU290">
        <f ca="1"/>
      </c>
      <c r="FV290">
        <f ca="1"/>
      </c>
      <c r="FW290">
        <f ca="1"/>
      </c>
      <c r="FX290">
        <f ca="1"/>
      </c>
      <c r="FY290">
        <f ca="1"/>
      </c>
      <c r="FZ290">
        <f ca="1"/>
      </c>
      <c r="GA290">
        <f ca="1"/>
      </c>
      <c r="GM290" s="7"/>
    </row>
    <row r="291" spans="41:195" x14ac:dyDescent="0.55000000000000004">
      <c r="AO291">
        <f ca="1"/>
      </c>
      <c r="AP291">
        <f ca="1"/>
      </c>
      <c r="AQ291">
        <f ca="1"/>
      </c>
      <c r="AR291">
        <f ca="1"/>
      </c>
      <c r="AS291">
        <f ca="1"/>
      </c>
      <c r="AT291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AZ291">
        <f ca="1"/>
      </c>
      <c r="BA291">
        <f ca="1"/>
      </c>
      <c r="BB291">
        <f ca="1"/>
      </c>
      <c r="BC291">
        <f ca="1"/>
      </c>
      <c r="BD291">
        <f ca="1"/>
      </c>
      <c r="BE291">
        <f ca="1"/>
      </c>
      <c r="BF291">
        <f ca="1"/>
      </c>
      <c r="BG291">
        <f ca="1"/>
      </c>
      <c r="BH291">
        <f ca="1"/>
      </c>
      <c r="BI291">
        <f ca="1"/>
      </c>
      <c r="BJ291">
        <f ca="1"/>
      </c>
      <c r="BK291">
        <f ca="1"/>
      </c>
      <c r="BL291">
        <f ca="1"/>
      </c>
      <c r="BM291">
        <f ca="1"/>
      </c>
      <c r="BN291">
        <f ca="1"/>
      </c>
      <c r="BO291">
        <f ca="1"/>
      </c>
      <c r="BP291">
        <f ca="1"/>
      </c>
      <c r="BQ291">
        <f ca="1"/>
      </c>
      <c r="BR291">
        <f ca="1"/>
      </c>
      <c r="BS291">
        <f ca="1"/>
      </c>
      <c r="BT291">
        <f ca="1"/>
      </c>
      <c r="BU291">
        <f ca="1"/>
      </c>
      <c r="BV291">
        <f ca="1"/>
      </c>
      <c r="BW291">
        <f ca="1"/>
      </c>
      <c r="BX291">
        <f ca="1"/>
      </c>
      <c r="BY291">
        <f ca="1"/>
      </c>
      <c r="BZ291">
        <f ca="1"/>
      </c>
      <c r="CA291">
        <f ca="1"/>
      </c>
      <c r="CB291">
        <f ca="1"/>
      </c>
      <c r="CC291">
        <f ca="1"/>
      </c>
      <c r="CD291">
        <f ca="1"/>
      </c>
      <c r="CE291">
        <f ca="1"/>
      </c>
      <c r="CF291">
        <f ca="1"/>
      </c>
      <c r="CG291">
        <f ca="1"/>
      </c>
      <c r="CH291">
        <f ca="1"/>
      </c>
      <c r="CI291">
        <f ca="1"/>
      </c>
      <c r="CK291">
        <f ca="1"/>
      </c>
      <c r="CL291">
        <f ca="1"/>
      </c>
      <c r="CM291">
        <f ca="1"/>
      </c>
      <c r="CN291">
        <f ca="1"/>
      </c>
      <c r="CO291">
        <f ca="1"/>
      </c>
      <c r="CP291">
        <f ca="1"/>
      </c>
      <c r="CQ291">
        <f ca="1"/>
      </c>
      <c r="CR291">
        <f ca="1"/>
      </c>
      <c r="CS291">
        <f ca="1"/>
      </c>
      <c r="CT291">
        <f ca="1"/>
      </c>
      <c r="CU291">
        <f ca="1"/>
      </c>
      <c r="CV291">
        <f ca="1"/>
      </c>
      <c r="CW291">
        <f ca="1"/>
      </c>
      <c r="CX291">
        <f ca="1"/>
      </c>
      <c r="CY291">
        <f ca="1"/>
      </c>
      <c r="CZ291">
        <f ca="1"/>
      </c>
      <c r="DA291">
        <f ca="1"/>
      </c>
      <c r="DB291">
        <f ca="1"/>
      </c>
      <c r="DC291">
        <f ca="1"/>
      </c>
      <c r="DD291">
        <f ca="1"/>
      </c>
      <c r="DE291">
        <f ca="1"/>
      </c>
      <c r="DF291">
        <f ca="1"/>
      </c>
      <c r="DG291">
        <f ca="1"/>
      </c>
      <c r="DH291">
        <f ca="1"/>
      </c>
      <c r="DI291">
        <f ca="1"/>
      </c>
      <c r="DJ291">
        <f ca="1"/>
      </c>
      <c r="DK291">
        <f ca="1"/>
      </c>
      <c r="DL291">
        <f ca="1"/>
      </c>
      <c r="DM291">
        <f ca="1"/>
      </c>
      <c r="DN291">
        <f ca="1"/>
      </c>
      <c r="DO291">
        <f ca="1"/>
      </c>
      <c r="DP291">
        <f ca="1"/>
      </c>
      <c r="DQ291">
        <f ca="1"/>
      </c>
      <c r="DR291">
        <f ca="1"/>
      </c>
      <c r="DS291">
        <f ca="1"/>
      </c>
      <c r="DT291">
        <f ca="1"/>
      </c>
      <c r="DU291">
        <f ca="1"/>
      </c>
      <c r="DV291">
        <f ca="1"/>
      </c>
      <c r="DW291">
        <f ca="1"/>
      </c>
      <c r="DX291">
        <f ca="1"/>
      </c>
      <c r="DY291">
        <f ca="1"/>
      </c>
      <c r="DZ291">
        <f ca="1"/>
      </c>
      <c r="EA291">
        <f ca="1"/>
      </c>
      <c r="EB291">
        <f ca="1"/>
      </c>
      <c r="EC291">
        <f ca="1"/>
      </c>
      <c r="ED291">
        <f ca="1"/>
      </c>
      <c r="EE291">
        <f ca="1"/>
      </c>
      <c r="EG291">
        <f ca="1"/>
      </c>
      <c r="EH291">
        <f ca="1"/>
      </c>
      <c r="EI291">
        <f ca="1"/>
      </c>
      <c r="EJ291">
        <f ca="1"/>
      </c>
      <c r="EK291">
        <f ca="1"/>
      </c>
      <c r="EL291">
        <f ca="1"/>
      </c>
      <c r="EM291">
        <f ca="1"/>
      </c>
      <c r="EN291">
        <f ca="1"/>
      </c>
      <c r="EO291">
        <f ca="1"/>
      </c>
      <c r="EP291">
        <f ca="1"/>
      </c>
      <c r="EQ291">
        <f ca="1"/>
      </c>
      <c r="ER291">
        <f ca="1"/>
      </c>
      <c r="ES291">
        <f ca="1"/>
      </c>
      <c r="ET291">
        <f ca="1"/>
      </c>
      <c r="EU291">
        <f ca="1"/>
      </c>
      <c r="EV291">
        <f ca="1"/>
      </c>
      <c r="EW291">
        <f ca="1"/>
      </c>
      <c r="EX291">
        <f ca="1"/>
      </c>
      <c r="EY291">
        <f ca="1"/>
      </c>
      <c r="EZ291">
        <f ca="1"/>
      </c>
      <c r="FA291">
        <f ca="1"/>
      </c>
      <c r="FB291">
        <f ca="1"/>
      </c>
      <c r="FC291">
        <f ca="1"/>
      </c>
      <c r="FD291">
        <f ca="1"/>
      </c>
      <c r="FE291">
        <f ca="1"/>
      </c>
      <c r="FF291">
        <f ca="1"/>
      </c>
      <c r="FG291">
        <f ca="1"/>
      </c>
      <c r="FH291">
        <f ca="1"/>
      </c>
      <c r="FI291">
        <f ca="1"/>
      </c>
      <c r="FJ291">
        <f ca="1"/>
      </c>
      <c r="FK291">
        <f ca="1"/>
      </c>
      <c r="FL291">
        <f ca="1"/>
      </c>
      <c r="FM291">
        <f ca="1"/>
      </c>
      <c r="FN291">
        <f ca="1"/>
      </c>
      <c r="FO291">
        <f ca="1"/>
      </c>
      <c r="FP291">
        <f ca="1"/>
      </c>
      <c r="FQ291">
        <f ca="1"/>
      </c>
      <c r="FR291">
        <f ca="1"/>
      </c>
      <c r="FS291">
        <f ca="1"/>
      </c>
      <c r="FT291">
        <f ca="1"/>
      </c>
      <c r="FU291">
        <f ca="1"/>
      </c>
      <c r="FV291">
        <f ca="1"/>
      </c>
      <c r="FW291">
        <f ca="1"/>
      </c>
      <c r="FX291">
        <f ca="1"/>
      </c>
      <c r="FY291">
        <f ca="1"/>
      </c>
      <c r="FZ291">
        <f ca="1"/>
      </c>
      <c r="GA291">
        <f ca="1"/>
      </c>
      <c r="GM291" s="7"/>
    </row>
    <row r="292" spans="41:195" x14ac:dyDescent="0.55000000000000004">
      <c r="AO292">
        <f ca="1"/>
      </c>
      <c r="AP292">
        <f ca="1"/>
      </c>
      <c r="AQ292">
        <f ca="1"/>
      </c>
      <c r="AR292">
        <f ca="1"/>
      </c>
      <c r="AS292">
        <f ca="1"/>
      </c>
      <c r="AT292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AZ292">
        <f ca="1"/>
      </c>
      <c r="BA292">
        <f ca="1"/>
      </c>
      <c r="BB292">
        <f ca="1"/>
      </c>
      <c r="BC292">
        <f ca="1"/>
      </c>
      <c r="BD292">
        <f ca="1"/>
      </c>
      <c r="BE292">
        <f ca="1"/>
      </c>
      <c r="BF292">
        <f ca="1"/>
      </c>
      <c r="BG292">
        <f ca="1"/>
      </c>
      <c r="BH292">
        <f ca="1"/>
      </c>
      <c r="BI292">
        <f ca="1"/>
      </c>
      <c r="BJ292">
        <f ca="1"/>
      </c>
      <c r="BK292">
        <f ca="1"/>
      </c>
      <c r="BL292">
        <f ca="1"/>
      </c>
      <c r="BM292">
        <f ca="1"/>
      </c>
      <c r="BN292">
        <f ca="1"/>
      </c>
      <c r="BO292">
        <f ca="1"/>
      </c>
      <c r="BP292">
        <f ca="1"/>
      </c>
      <c r="BQ292">
        <f ca="1"/>
      </c>
      <c r="BR292">
        <f ca="1"/>
      </c>
      <c r="BS292">
        <f ca="1"/>
      </c>
      <c r="BT292">
        <f ca="1"/>
      </c>
      <c r="BU292">
        <f ca="1"/>
      </c>
      <c r="BV292">
        <f ca="1"/>
      </c>
      <c r="BW292">
        <f ca="1"/>
      </c>
      <c r="BX292">
        <f ca="1"/>
      </c>
      <c r="BY292">
        <f ca="1"/>
      </c>
      <c r="BZ292">
        <f ca="1"/>
      </c>
      <c r="CA292">
        <f ca="1"/>
      </c>
      <c r="CB292">
        <f ca="1"/>
      </c>
      <c r="CC292">
        <f ca="1"/>
      </c>
      <c r="CD292">
        <f ca="1"/>
      </c>
      <c r="CE292">
        <f ca="1"/>
      </c>
      <c r="CF292">
        <f ca="1"/>
      </c>
      <c r="CG292">
        <f ca="1"/>
      </c>
      <c r="CH292">
        <f ca="1"/>
      </c>
      <c r="CI292">
        <f ca="1"/>
      </c>
      <c r="CK292">
        <f ca="1"/>
      </c>
      <c r="CL292">
        <f ca="1"/>
      </c>
      <c r="CM292">
        <f ca="1"/>
      </c>
      <c r="CN292">
        <f ca="1"/>
      </c>
      <c r="CO292">
        <f ca="1"/>
      </c>
      <c r="CP292">
        <f ca="1"/>
      </c>
      <c r="CQ292">
        <f ca="1"/>
      </c>
      <c r="CR292">
        <f ca="1"/>
      </c>
      <c r="CS292">
        <f ca="1"/>
      </c>
      <c r="CT292">
        <f ca="1"/>
      </c>
      <c r="CU292">
        <f ca="1"/>
      </c>
      <c r="CV292">
        <f ca="1"/>
      </c>
      <c r="CW292">
        <f ca="1"/>
      </c>
      <c r="CX292">
        <f ca="1"/>
      </c>
      <c r="CY292">
        <f ca="1"/>
      </c>
      <c r="CZ292">
        <f ca="1"/>
      </c>
      <c r="DA292">
        <f ca="1"/>
      </c>
      <c r="DB292">
        <f ca="1"/>
      </c>
      <c r="DC292">
        <f ca="1"/>
      </c>
      <c r="DD292">
        <f ca="1"/>
      </c>
      <c r="DE292">
        <f ca="1"/>
      </c>
      <c r="DF292">
        <f ca="1"/>
      </c>
      <c r="DG292">
        <f ca="1"/>
      </c>
      <c r="DH292">
        <f ca="1"/>
      </c>
      <c r="DI292">
        <f ca="1"/>
      </c>
      <c r="DJ292">
        <f ca="1"/>
      </c>
      <c r="DK292">
        <f ca="1"/>
      </c>
      <c r="DL292">
        <f ca="1"/>
      </c>
      <c r="DM292">
        <f ca="1"/>
      </c>
      <c r="DN292">
        <f ca="1"/>
      </c>
      <c r="DO292">
        <f ca="1"/>
      </c>
      <c r="DP292">
        <f ca="1"/>
      </c>
      <c r="DQ292">
        <f ca="1"/>
      </c>
      <c r="DR292">
        <f ca="1"/>
      </c>
      <c r="DS292">
        <f ca="1"/>
      </c>
      <c r="DT292">
        <f ca="1"/>
      </c>
      <c r="DU292">
        <f ca="1"/>
      </c>
      <c r="DV292">
        <f ca="1"/>
      </c>
      <c r="DW292">
        <f ca="1"/>
      </c>
      <c r="DX292">
        <f ca="1"/>
      </c>
      <c r="DY292">
        <f ca="1"/>
      </c>
      <c r="DZ292">
        <f ca="1"/>
      </c>
      <c r="EA292">
        <f ca="1"/>
      </c>
      <c r="EB292">
        <f ca="1"/>
      </c>
      <c r="EC292">
        <f ca="1"/>
      </c>
      <c r="ED292">
        <f ca="1"/>
      </c>
      <c r="EE292">
        <f ca="1"/>
      </c>
      <c r="EG292">
        <f ca="1"/>
      </c>
      <c r="EH292">
        <f ca="1"/>
      </c>
      <c r="EI292">
        <f ca="1"/>
      </c>
      <c r="EJ292">
        <f ca="1"/>
      </c>
      <c r="EK292">
        <f ca="1"/>
      </c>
      <c r="EL292">
        <f ca="1"/>
      </c>
      <c r="EM292">
        <f ca="1"/>
      </c>
      <c r="EN292">
        <f ca="1"/>
      </c>
      <c r="EO292">
        <f ca="1"/>
      </c>
      <c r="EP292">
        <f ca="1"/>
      </c>
      <c r="EQ292">
        <f ca="1"/>
      </c>
      <c r="ER292">
        <f ca="1"/>
      </c>
      <c r="ES292">
        <f ca="1"/>
      </c>
      <c r="ET292">
        <f ca="1"/>
      </c>
      <c r="EU292">
        <f ca="1"/>
      </c>
      <c r="EV292">
        <f ca="1"/>
      </c>
      <c r="EW292">
        <f ca="1"/>
      </c>
      <c r="EX292">
        <f ca="1"/>
      </c>
      <c r="EY292">
        <f ca="1"/>
      </c>
      <c r="EZ292">
        <f ca="1"/>
      </c>
      <c r="FA292">
        <f ca="1"/>
      </c>
      <c r="FB292">
        <f ca="1"/>
      </c>
      <c r="FC292">
        <f ca="1"/>
      </c>
      <c r="FD292">
        <f ca="1"/>
      </c>
      <c r="FE292">
        <f ca="1"/>
      </c>
      <c r="FF292">
        <f ca="1"/>
      </c>
      <c r="FG292">
        <f ca="1"/>
      </c>
      <c r="FH292">
        <f ca="1"/>
      </c>
      <c r="FI292">
        <f ca="1"/>
      </c>
      <c r="FJ292">
        <f ca="1"/>
      </c>
      <c r="FK292">
        <f ca="1"/>
      </c>
      <c r="FL292">
        <f ca="1"/>
      </c>
      <c r="FM292">
        <f ca="1"/>
      </c>
      <c r="FN292">
        <f ca="1"/>
      </c>
      <c r="FO292">
        <f ca="1"/>
      </c>
      <c r="FP292">
        <f ca="1"/>
      </c>
      <c r="FQ292">
        <f ca="1"/>
      </c>
      <c r="FR292">
        <f ca="1"/>
      </c>
      <c r="FS292">
        <f ca="1"/>
      </c>
      <c r="FT292">
        <f ca="1"/>
      </c>
      <c r="FU292">
        <f ca="1"/>
      </c>
      <c r="FV292">
        <f ca="1"/>
      </c>
      <c r="FW292">
        <f ca="1"/>
      </c>
      <c r="FX292">
        <f ca="1"/>
      </c>
      <c r="FY292">
        <f ca="1"/>
      </c>
      <c r="FZ292">
        <f ca="1"/>
      </c>
      <c r="GA292">
        <f ca="1"/>
      </c>
      <c r="GM292" s="7"/>
    </row>
    <row r="293" spans="41:195" x14ac:dyDescent="0.55000000000000004">
      <c r="AO293">
        <f ca="1"/>
      </c>
      <c r="AP293">
        <f ca="1"/>
      </c>
      <c r="AQ293">
        <f ca="1"/>
      </c>
      <c r="AR293">
        <f ca="1"/>
      </c>
      <c r="AS293">
        <f ca="1"/>
      </c>
      <c r="AT293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AZ293">
        <f ca="1"/>
      </c>
      <c r="BA293">
        <f ca="1"/>
      </c>
      <c r="BB293">
        <f ca="1"/>
      </c>
      <c r="BC293">
        <f ca="1"/>
      </c>
      <c r="BD293">
        <f ca="1"/>
      </c>
      <c r="BE293">
        <f ca="1"/>
      </c>
      <c r="BF293">
        <f ca="1"/>
      </c>
      <c r="BG293">
        <f ca="1"/>
      </c>
      <c r="BH293">
        <f ca="1"/>
      </c>
      <c r="BI293">
        <f ca="1"/>
      </c>
      <c r="BJ293">
        <f ca="1"/>
      </c>
      <c r="BK293">
        <f ca="1"/>
      </c>
      <c r="BL293">
        <f ca="1"/>
      </c>
      <c r="BM293">
        <f ca="1"/>
      </c>
      <c r="BN293">
        <f ca="1"/>
      </c>
      <c r="BO293">
        <f ca="1"/>
      </c>
      <c r="BP293">
        <f ca="1"/>
      </c>
      <c r="BQ293">
        <f ca="1"/>
      </c>
      <c r="BR293">
        <f ca="1"/>
      </c>
      <c r="BS293">
        <f ca="1"/>
      </c>
      <c r="BT293">
        <f ca="1"/>
      </c>
      <c r="BU293">
        <f ca="1"/>
      </c>
      <c r="BV293">
        <f ca="1"/>
      </c>
      <c r="BW293">
        <f ca="1"/>
      </c>
      <c r="BX293">
        <f ca="1"/>
      </c>
      <c r="BY293">
        <f ca="1"/>
      </c>
      <c r="BZ293">
        <f ca="1"/>
      </c>
      <c r="CA293">
        <f ca="1"/>
      </c>
      <c r="CB293">
        <f ca="1"/>
      </c>
      <c r="CC293">
        <f ca="1"/>
      </c>
      <c r="CD293">
        <f ca="1"/>
      </c>
      <c r="CE293">
        <f ca="1"/>
      </c>
      <c r="CF293">
        <f ca="1"/>
      </c>
      <c r="CG293">
        <f ca="1"/>
      </c>
      <c r="CH293">
        <f ca="1"/>
      </c>
      <c r="CI293">
        <f ca="1"/>
      </c>
      <c r="CK293">
        <f ca="1"/>
      </c>
      <c r="CL293">
        <f ca="1"/>
      </c>
      <c r="CM293">
        <f ca="1"/>
      </c>
      <c r="CN293">
        <f ca="1"/>
      </c>
      <c r="CO293">
        <f ca="1"/>
      </c>
      <c r="CP293">
        <f ca="1"/>
      </c>
      <c r="CQ293">
        <f ca="1"/>
      </c>
      <c r="CR293">
        <f ca="1"/>
      </c>
      <c r="CS293">
        <f ca="1"/>
      </c>
      <c r="CT293">
        <f ca="1"/>
      </c>
      <c r="CU293">
        <f ca="1"/>
      </c>
      <c r="CV293">
        <f ca="1"/>
      </c>
      <c r="CW293">
        <f ca="1"/>
      </c>
      <c r="CX293">
        <f ca="1"/>
      </c>
      <c r="CY293">
        <f ca="1"/>
      </c>
      <c r="CZ293">
        <f ca="1"/>
      </c>
      <c r="DA293">
        <f ca="1"/>
      </c>
      <c r="DB293">
        <f ca="1"/>
      </c>
      <c r="DC293">
        <f ca="1"/>
      </c>
      <c r="DD293">
        <f ca="1"/>
      </c>
      <c r="DE293">
        <f ca="1"/>
      </c>
      <c r="DF293">
        <f ca="1"/>
      </c>
      <c r="DG293">
        <f ca="1"/>
      </c>
      <c r="DH293">
        <f ca="1"/>
      </c>
      <c r="DI293">
        <f ca="1"/>
      </c>
      <c r="DJ293">
        <f ca="1"/>
      </c>
      <c r="DK293">
        <f ca="1"/>
      </c>
      <c r="DL293">
        <f ca="1"/>
      </c>
      <c r="DM293">
        <f ca="1"/>
      </c>
      <c r="DN293">
        <f ca="1"/>
      </c>
      <c r="DO293">
        <f ca="1"/>
      </c>
      <c r="DP293">
        <f ca="1"/>
      </c>
      <c r="DQ293">
        <f ca="1"/>
      </c>
      <c r="DR293">
        <f ca="1"/>
      </c>
      <c r="DS293">
        <f ca="1"/>
      </c>
      <c r="DT293">
        <f ca="1"/>
      </c>
      <c r="DU293">
        <f ca="1"/>
      </c>
      <c r="DV293">
        <f ca="1"/>
      </c>
      <c r="DW293">
        <f ca="1"/>
      </c>
      <c r="DX293">
        <f ca="1"/>
      </c>
      <c r="DY293">
        <f ca="1"/>
      </c>
      <c r="DZ293">
        <f ca="1"/>
      </c>
      <c r="EA293">
        <f ca="1"/>
      </c>
      <c r="EB293">
        <f ca="1"/>
      </c>
      <c r="EC293">
        <f ca="1"/>
      </c>
      <c r="ED293">
        <f ca="1"/>
      </c>
      <c r="EE293">
        <f ca="1"/>
      </c>
      <c r="EG293">
        <f ca="1"/>
      </c>
      <c r="EH293">
        <f ca="1"/>
      </c>
      <c r="EI293">
        <f ca="1"/>
      </c>
      <c r="EJ293">
        <f ca="1"/>
      </c>
      <c r="EK293">
        <f ca="1"/>
      </c>
      <c r="EL293">
        <f ca="1"/>
      </c>
      <c r="EM293">
        <f ca="1"/>
      </c>
      <c r="EN293">
        <f ca="1"/>
      </c>
      <c r="EO293">
        <f ca="1"/>
      </c>
      <c r="EP293">
        <f ca="1"/>
      </c>
      <c r="EQ293">
        <f ca="1"/>
      </c>
      <c r="ER293">
        <f ca="1"/>
      </c>
      <c r="ES293">
        <f ca="1"/>
      </c>
      <c r="ET293">
        <f ca="1"/>
      </c>
      <c r="EU293">
        <f ca="1"/>
      </c>
      <c r="EV293">
        <f ca="1"/>
      </c>
      <c r="EW293">
        <f ca="1"/>
      </c>
      <c r="EX293">
        <f ca="1"/>
      </c>
      <c r="EY293">
        <f ca="1"/>
      </c>
      <c r="EZ293">
        <f ca="1"/>
      </c>
      <c r="FA293">
        <f ca="1"/>
      </c>
      <c r="FB293">
        <f ca="1"/>
      </c>
      <c r="FC293">
        <f ca="1"/>
      </c>
      <c r="FD293">
        <f ca="1"/>
      </c>
      <c r="FE293">
        <f ca="1"/>
      </c>
      <c r="FF293">
        <f ca="1"/>
      </c>
      <c r="FG293">
        <f ca="1"/>
      </c>
      <c r="FH293">
        <f ca="1"/>
      </c>
      <c r="FI293">
        <f ca="1"/>
      </c>
      <c r="FJ293">
        <f ca="1"/>
      </c>
      <c r="FK293">
        <f ca="1"/>
      </c>
      <c r="FL293">
        <f ca="1"/>
      </c>
      <c r="FM293">
        <f ca="1"/>
      </c>
      <c r="FN293">
        <f ca="1"/>
      </c>
      <c r="FO293">
        <f ca="1"/>
      </c>
      <c r="FP293">
        <f ca="1"/>
      </c>
      <c r="FQ293">
        <f ca="1"/>
      </c>
      <c r="FR293">
        <f ca="1"/>
      </c>
      <c r="FS293">
        <f ca="1"/>
      </c>
      <c r="FT293">
        <f ca="1"/>
      </c>
      <c r="FU293">
        <f ca="1"/>
      </c>
      <c r="FV293">
        <f ca="1"/>
      </c>
      <c r="FW293">
        <f ca="1"/>
      </c>
      <c r="FX293">
        <f ca="1"/>
      </c>
      <c r="FY293">
        <f ca="1"/>
      </c>
      <c r="FZ293">
        <f ca="1"/>
      </c>
      <c r="GA293">
        <f ca="1"/>
      </c>
      <c r="GM293" s="7"/>
    </row>
    <row r="294" spans="41:195" x14ac:dyDescent="0.55000000000000004">
      <c r="AO294">
        <f ca="1"/>
      </c>
      <c r="AP294">
        <f ca="1"/>
      </c>
      <c r="AQ294">
        <f ca="1"/>
      </c>
      <c r="AR294">
        <f ca="1"/>
      </c>
      <c r="AS294">
        <f ca="1"/>
      </c>
      <c r="AT294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AZ294">
        <f ca="1"/>
      </c>
      <c r="BA294">
        <f ca="1"/>
      </c>
      <c r="BB294">
        <f ca="1"/>
      </c>
      <c r="BC294">
        <f ca="1"/>
      </c>
      <c r="BD294">
        <f ca="1"/>
      </c>
      <c r="BE294">
        <f ca="1"/>
      </c>
      <c r="BF294">
        <f ca="1"/>
      </c>
      <c r="BG294">
        <f ca="1"/>
      </c>
      <c r="BH294">
        <f ca="1"/>
      </c>
      <c r="BI294">
        <f ca="1"/>
      </c>
      <c r="BJ294">
        <f ca="1"/>
      </c>
      <c r="BK294">
        <f ca="1"/>
      </c>
      <c r="BL294">
        <f ca="1"/>
      </c>
      <c r="BM294">
        <f ca="1"/>
      </c>
      <c r="BN294">
        <f ca="1"/>
      </c>
      <c r="BO294">
        <f ca="1"/>
      </c>
      <c r="BP294">
        <f ca="1"/>
      </c>
      <c r="BQ294">
        <f ca="1"/>
      </c>
      <c r="BR294">
        <f ca="1"/>
      </c>
      <c r="BS294">
        <f ca="1"/>
      </c>
      <c r="BT294">
        <f ca="1"/>
      </c>
      <c r="BU294">
        <f ca="1"/>
      </c>
      <c r="BV294">
        <f ca="1"/>
      </c>
      <c r="BW294">
        <f ca="1"/>
      </c>
      <c r="BX294">
        <f ca="1"/>
      </c>
      <c r="BY294">
        <f ca="1"/>
      </c>
      <c r="BZ294">
        <f ca="1"/>
      </c>
      <c r="CA294">
        <f ca="1"/>
      </c>
      <c r="CB294">
        <f ca="1"/>
      </c>
      <c r="CC294">
        <f ca="1"/>
      </c>
      <c r="CD294">
        <f ca="1"/>
      </c>
      <c r="CE294">
        <f ca="1"/>
      </c>
      <c r="CF294">
        <f ca="1"/>
      </c>
      <c r="CG294">
        <f ca="1"/>
      </c>
      <c r="CH294">
        <f ca="1"/>
      </c>
      <c r="CI294">
        <f ca="1"/>
      </c>
      <c r="CK294">
        <f ca="1"/>
      </c>
      <c r="CL294">
        <f ca="1"/>
      </c>
      <c r="CM294">
        <f ca="1"/>
      </c>
      <c r="CN294">
        <f ca="1"/>
      </c>
      <c r="CO294">
        <f ca="1"/>
      </c>
      <c r="CP294">
        <f ca="1"/>
      </c>
      <c r="CQ294">
        <f ca="1"/>
      </c>
      <c r="CR294">
        <f ca="1"/>
      </c>
      <c r="CS294">
        <f ca="1"/>
      </c>
      <c r="CT294">
        <f ca="1"/>
      </c>
      <c r="CU294">
        <f ca="1"/>
      </c>
      <c r="CV294">
        <f ca="1"/>
      </c>
      <c r="CW294">
        <f ca="1"/>
      </c>
      <c r="CX294">
        <f ca="1"/>
      </c>
      <c r="CY294">
        <f ca="1"/>
      </c>
      <c r="CZ294">
        <f ca="1"/>
      </c>
      <c r="DA294">
        <f ca="1"/>
      </c>
      <c r="DB294">
        <f ca="1"/>
      </c>
      <c r="DC294">
        <f ca="1"/>
      </c>
      <c r="DD294">
        <f ca="1"/>
      </c>
      <c r="DE294">
        <f ca="1"/>
      </c>
      <c r="DF294">
        <f ca="1"/>
      </c>
      <c r="DG294">
        <f ca="1"/>
      </c>
      <c r="DH294">
        <f ca="1"/>
      </c>
      <c r="DI294">
        <f ca="1"/>
      </c>
      <c r="DJ294">
        <f ca="1"/>
      </c>
      <c r="DK294">
        <f ca="1"/>
      </c>
      <c r="DL294">
        <f ca="1"/>
      </c>
      <c r="DM294">
        <f ca="1"/>
      </c>
      <c r="DN294">
        <f ca="1"/>
      </c>
      <c r="DO294">
        <f ca="1"/>
      </c>
      <c r="DP294">
        <f ca="1"/>
      </c>
      <c r="DQ294">
        <f ca="1"/>
      </c>
      <c r="DR294">
        <f ca="1"/>
      </c>
      <c r="DS294">
        <f ca="1"/>
      </c>
      <c r="DT294">
        <f ca="1"/>
      </c>
      <c r="DU294">
        <f ca="1"/>
      </c>
      <c r="DV294">
        <f ca="1"/>
      </c>
      <c r="DW294">
        <f ca="1"/>
      </c>
      <c r="DX294">
        <f ca="1"/>
      </c>
      <c r="DY294">
        <f ca="1"/>
      </c>
      <c r="DZ294">
        <f ca="1"/>
      </c>
      <c r="EA294">
        <f ca="1"/>
      </c>
      <c r="EB294">
        <f ca="1"/>
      </c>
      <c r="EC294">
        <f ca="1"/>
      </c>
      <c r="ED294">
        <f ca="1"/>
      </c>
      <c r="EE294">
        <f ca="1"/>
      </c>
      <c r="EG294">
        <f ca="1"/>
      </c>
      <c r="EH294">
        <f ca="1"/>
      </c>
      <c r="EI294">
        <f ca="1"/>
      </c>
      <c r="EJ294">
        <f ca="1"/>
      </c>
      <c r="EK294">
        <f ca="1"/>
      </c>
      <c r="EL294">
        <f ca="1"/>
      </c>
      <c r="EM294">
        <f ca="1"/>
      </c>
      <c r="EN294">
        <f ca="1"/>
      </c>
      <c r="EO294">
        <f ca="1"/>
      </c>
      <c r="EP294">
        <f ca="1"/>
      </c>
      <c r="EQ294">
        <f ca="1"/>
      </c>
      <c r="ER294">
        <f ca="1"/>
      </c>
      <c r="ES294">
        <f ca="1"/>
      </c>
      <c r="ET294">
        <f ca="1"/>
      </c>
      <c r="EU294">
        <f ca="1"/>
      </c>
      <c r="EV294">
        <f ca="1"/>
      </c>
      <c r="EW294">
        <f ca="1"/>
      </c>
      <c r="EX294">
        <f ca="1"/>
      </c>
      <c r="EY294">
        <f ca="1"/>
      </c>
      <c r="EZ294">
        <f ca="1"/>
      </c>
      <c r="FA294">
        <f ca="1"/>
      </c>
      <c r="FB294">
        <f ca="1"/>
      </c>
      <c r="FC294">
        <f ca="1"/>
      </c>
      <c r="FD294">
        <f ca="1"/>
      </c>
      <c r="FE294">
        <f ca="1"/>
      </c>
      <c r="FF294">
        <f ca="1"/>
      </c>
      <c r="FG294">
        <f ca="1"/>
      </c>
      <c r="FH294">
        <f ca="1"/>
      </c>
      <c r="FI294">
        <f ca="1"/>
      </c>
      <c r="FJ294">
        <f ca="1"/>
      </c>
      <c r="FK294">
        <f ca="1"/>
      </c>
      <c r="FL294">
        <f ca="1"/>
      </c>
      <c r="FM294">
        <f ca="1"/>
      </c>
      <c r="FN294">
        <f ca="1"/>
      </c>
      <c r="FO294">
        <f ca="1"/>
      </c>
      <c r="FP294">
        <f ca="1"/>
      </c>
      <c r="FQ294">
        <f ca="1"/>
      </c>
      <c r="FR294">
        <f ca="1"/>
      </c>
      <c r="FS294">
        <f ca="1"/>
      </c>
      <c r="FT294">
        <f ca="1"/>
      </c>
      <c r="FU294">
        <f ca="1"/>
      </c>
      <c r="FV294">
        <f ca="1"/>
      </c>
      <c r="FW294">
        <f ca="1"/>
      </c>
      <c r="FX294">
        <f ca="1"/>
      </c>
      <c r="FY294">
        <f ca="1"/>
      </c>
      <c r="FZ294">
        <f ca="1"/>
      </c>
      <c r="GA294">
        <f ca="1"/>
      </c>
      <c r="GM294" s="7"/>
    </row>
    <row r="295" spans="41:195" x14ac:dyDescent="0.55000000000000004">
      <c r="AO295">
        <f ca="1"/>
      </c>
      <c r="AP295">
        <f ca="1"/>
      </c>
      <c r="AQ295">
        <f ca="1"/>
      </c>
      <c r="AR295">
        <f ca="1"/>
      </c>
      <c r="AS295">
        <f ca="1"/>
      </c>
      <c r="AT295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AZ295">
        <f ca="1"/>
      </c>
      <c r="BA295">
        <f ca="1"/>
      </c>
      <c r="BB295">
        <f ca="1"/>
      </c>
      <c r="BC295">
        <f ca="1"/>
      </c>
      <c r="BD295">
        <f ca="1"/>
      </c>
      <c r="BE295">
        <f ca="1"/>
      </c>
      <c r="BF295">
        <f ca="1"/>
      </c>
      <c r="BG295">
        <f ca="1"/>
      </c>
      <c r="BH295">
        <f ca="1"/>
      </c>
      <c r="BI295">
        <f ca="1"/>
      </c>
      <c r="BJ295">
        <f ca="1"/>
      </c>
      <c r="BK295">
        <f ca="1"/>
      </c>
      <c r="BL295">
        <f ca="1"/>
      </c>
      <c r="BM295">
        <f ca="1"/>
      </c>
      <c r="BN295">
        <f ca="1"/>
      </c>
      <c r="BO295">
        <f ca="1"/>
      </c>
      <c r="BP295">
        <f ca="1"/>
      </c>
      <c r="BQ295">
        <f ca="1"/>
      </c>
      <c r="BR295">
        <f ca="1"/>
      </c>
      <c r="BS295">
        <f ca="1"/>
      </c>
      <c r="BT295">
        <f ca="1"/>
      </c>
      <c r="BU295">
        <f ca="1"/>
      </c>
      <c r="BV295">
        <f ca="1"/>
      </c>
      <c r="BW295">
        <f ca="1"/>
      </c>
      <c r="BX295">
        <f ca="1"/>
      </c>
      <c r="BY295">
        <f ca="1"/>
      </c>
      <c r="BZ295">
        <f ca="1"/>
      </c>
      <c r="CA295">
        <f ca="1"/>
      </c>
      <c r="CB295">
        <f ca="1"/>
      </c>
      <c r="CC295">
        <f ca="1"/>
      </c>
      <c r="CD295">
        <f ca="1"/>
      </c>
      <c r="CE295">
        <f ca="1"/>
      </c>
      <c r="CF295">
        <f ca="1"/>
      </c>
      <c r="CG295">
        <f ca="1"/>
      </c>
      <c r="CH295">
        <f ca="1"/>
      </c>
      <c r="CI295">
        <f ca="1"/>
      </c>
      <c r="CK295">
        <f ca="1"/>
      </c>
      <c r="CL295">
        <f ca="1"/>
      </c>
      <c r="CM295">
        <f ca="1"/>
      </c>
      <c r="CN295">
        <f ca="1"/>
      </c>
      <c r="CO295">
        <f ca="1"/>
      </c>
      <c r="CP295">
        <f ca="1"/>
      </c>
      <c r="CQ295">
        <f ca="1"/>
      </c>
      <c r="CR295">
        <f ca="1"/>
      </c>
      <c r="CS295">
        <f ca="1"/>
      </c>
      <c r="CT295">
        <f ca="1"/>
      </c>
      <c r="CU295">
        <f ca="1"/>
      </c>
      <c r="CV295">
        <f ca="1"/>
      </c>
      <c r="CW295">
        <f ca="1"/>
      </c>
      <c r="CX295">
        <f ca="1"/>
      </c>
      <c r="CY295">
        <f ca="1"/>
      </c>
      <c r="CZ295">
        <f ca="1"/>
      </c>
      <c r="DA295">
        <f ca="1"/>
      </c>
      <c r="DB295">
        <f ca="1"/>
      </c>
      <c r="DC295">
        <f ca="1"/>
      </c>
      <c r="DD295">
        <f ca="1"/>
      </c>
      <c r="DE295">
        <f ca="1"/>
      </c>
      <c r="DF295">
        <f ca="1"/>
      </c>
      <c r="DG295">
        <f ca="1"/>
      </c>
      <c r="DH295">
        <f ca="1"/>
      </c>
      <c r="DI295">
        <f ca="1"/>
      </c>
      <c r="DJ295">
        <f ca="1"/>
      </c>
      <c r="DK295">
        <f ca="1"/>
      </c>
      <c r="DL295">
        <f ca="1"/>
      </c>
      <c r="DM295">
        <f ca="1"/>
      </c>
      <c r="DN295">
        <f ca="1"/>
      </c>
      <c r="DO295">
        <f ca="1"/>
      </c>
      <c r="DP295">
        <f ca="1"/>
      </c>
      <c r="DQ295">
        <f ca="1"/>
      </c>
      <c r="DR295">
        <f ca="1"/>
      </c>
      <c r="DS295">
        <f ca="1"/>
      </c>
      <c r="DT295">
        <f ca="1"/>
      </c>
      <c r="DU295">
        <f ca="1"/>
      </c>
      <c r="DV295">
        <f ca="1"/>
      </c>
      <c r="DW295">
        <f ca="1"/>
      </c>
      <c r="DX295">
        <f ca="1"/>
      </c>
      <c r="DY295">
        <f ca="1"/>
      </c>
      <c r="DZ295">
        <f ca="1"/>
      </c>
      <c r="EA295">
        <f ca="1"/>
      </c>
      <c r="EB295">
        <f ca="1"/>
      </c>
      <c r="EC295">
        <f ca="1"/>
      </c>
      <c r="ED295">
        <f ca="1"/>
      </c>
      <c r="EE295">
        <f ca="1"/>
      </c>
      <c r="EG295">
        <f ca="1"/>
      </c>
      <c r="EH295">
        <f ca="1"/>
      </c>
      <c r="EI295">
        <f ca="1"/>
      </c>
      <c r="EJ295">
        <f ca="1"/>
      </c>
      <c r="EK295">
        <f ca="1"/>
      </c>
      <c r="EL295">
        <f ca="1"/>
      </c>
      <c r="EM295">
        <f ca="1"/>
      </c>
      <c r="EN295">
        <f ca="1"/>
      </c>
      <c r="EO295">
        <f ca="1"/>
      </c>
      <c r="EP295">
        <f ca="1"/>
      </c>
      <c r="EQ295">
        <f ca="1"/>
      </c>
      <c r="ER295">
        <f ca="1"/>
      </c>
      <c r="ES295">
        <f ca="1"/>
      </c>
      <c r="ET295">
        <f ca="1"/>
      </c>
      <c r="EU295">
        <f ca="1"/>
      </c>
      <c r="EV295">
        <f ca="1"/>
      </c>
      <c r="EW295">
        <f ca="1"/>
      </c>
      <c r="EX295">
        <f ca="1"/>
      </c>
      <c r="EY295">
        <f ca="1"/>
      </c>
      <c r="EZ295">
        <f ca="1"/>
      </c>
      <c r="FA295">
        <f ca="1"/>
      </c>
      <c r="FB295">
        <f ca="1"/>
      </c>
      <c r="FC295">
        <f ca="1"/>
      </c>
      <c r="FD295">
        <f ca="1"/>
      </c>
      <c r="FE295">
        <f ca="1"/>
      </c>
      <c r="FF295">
        <f ca="1"/>
      </c>
      <c r="FG295">
        <f ca="1"/>
      </c>
      <c r="FH295">
        <f ca="1"/>
      </c>
      <c r="FI295">
        <f ca="1"/>
      </c>
      <c r="FJ295">
        <f ca="1"/>
      </c>
      <c r="FK295">
        <f ca="1"/>
      </c>
      <c r="FL295">
        <f ca="1"/>
      </c>
      <c r="FM295">
        <f ca="1"/>
      </c>
      <c r="FN295">
        <f ca="1"/>
      </c>
      <c r="FO295">
        <f ca="1"/>
      </c>
      <c r="FP295">
        <f ca="1"/>
      </c>
      <c r="FQ295">
        <f ca="1"/>
      </c>
      <c r="FR295">
        <f ca="1"/>
      </c>
      <c r="FS295">
        <f ca="1"/>
      </c>
      <c r="FT295">
        <f ca="1"/>
      </c>
      <c r="FU295">
        <f ca="1"/>
      </c>
      <c r="FV295">
        <f ca="1"/>
      </c>
      <c r="FW295">
        <f ca="1"/>
      </c>
      <c r="FX295">
        <f ca="1"/>
      </c>
      <c r="FY295">
        <f ca="1"/>
      </c>
      <c r="FZ295">
        <f ca="1"/>
      </c>
      <c r="GA295">
        <f ca="1"/>
      </c>
      <c r="GM295" s="7"/>
    </row>
    <row r="296" spans="41:195" x14ac:dyDescent="0.55000000000000004">
      <c r="AO296">
        <f ca="1"/>
      </c>
      <c r="AP296">
        <f ca="1"/>
      </c>
      <c r="AQ296">
        <f ca="1"/>
      </c>
      <c r="AR296">
        <f ca="1"/>
      </c>
      <c r="AS296">
        <f ca="1"/>
      </c>
      <c r="AT296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AZ296">
        <f ca="1"/>
      </c>
      <c r="BA296">
        <f ca="1"/>
      </c>
      <c r="BB296">
        <f ca="1"/>
      </c>
      <c r="BC296">
        <f ca="1"/>
      </c>
      <c r="BD296">
        <f ca="1"/>
      </c>
      <c r="BE296">
        <f ca="1"/>
      </c>
      <c r="BF296">
        <f ca="1"/>
      </c>
      <c r="BG296">
        <f ca="1"/>
      </c>
      <c r="BH296">
        <f ca="1"/>
      </c>
      <c r="BI296">
        <f ca="1"/>
      </c>
      <c r="BJ296">
        <f ca="1"/>
      </c>
      <c r="BK296">
        <f ca="1"/>
      </c>
      <c r="BL296">
        <f ca="1"/>
      </c>
      <c r="BM296">
        <f ca="1"/>
      </c>
      <c r="BN296">
        <f ca="1"/>
      </c>
      <c r="BO296">
        <f ca="1"/>
      </c>
      <c r="BP296">
        <f ca="1"/>
      </c>
      <c r="BQ296">
        <f ca="1"/>
      </c>
      <c r="BR296">
        <f ca="1"/>
      </c>
      <c r="BS296">
        <f ca="1"/>
      </c>
      <c r="BT296">
        <f ca="1"/>
      </c>
      <c r="BU296">
        <f ca="1"/>
      </c>
      <c r="BV296">
        <f ca="1"/>
      </c>
      <c r="BW296">
        <f ca="1"/>
      </c>
      <c r="BX296">
        <f ca="1"/>
      </c>
      <c r="BY296">
        <f ca="1"/>
      </c>
      <c r="BZ296">
        <f ca="1"/>
      </c>
      <c r="CA296">
        <f ca="1"/>
      </c>
      <c r="CB296">
        <f ca="1"/>
      </c>
      <c r="CC296">
        <f ca="1"/>
      </c>
      <c r="CD296">
        <f ca="1"/>
      </c>
      <c r="CE296">
        <f ca="1"/>
      </c>
      <c r="CF296">
        <f ca="1"/>
      </c>
      <c r="CG296">
        <f ca="1"/>
      </c>
      <c r="CH296">
        <f ca="1"/>
      </c>
      <c r="CI296">
        <f ca="1"/>
      </c>
      <c r="CK296">
        <f ca="1"/>
      </c>
      <c r="CL296">
        <f ca="1"/>
      </c>
      <c r="CM296">
        <f ca="1"/>
      </c>
      <c r="CN296">
        <f ca="1"/>
      </c>
      <c r="CO296">
        <f ca="1"/>
      </c>
      <c r="CP296">
        <f ca="1"/>
      </c>
      <c r="CQ296">
        <f ca="1"/>
      </c>
      <c r="CR296">
        <f ca="1"/>
      </c>
      <c r="CS296">
        <f ca="1"/>
      </c>
      <c r="CT296">
        <f ca="1"/>
      </c>
      <c r="CU296">
        <f ca="1"/>
      </c>
      <c r="CV296">
        <f ca="1"/>
      </c>
      <c r="CW296">
        <f ca="1"/>
      </c>
      <c r="CX296">
        <f ca="1"/>
      </c>
      <c r="CY296">
        <f ca="1"/>
      </c>
      <c r="CZ296">
        <f ca="1"/>
      </c>
      <c r="DA296">
        <f ca="1"/>
      </c>
      <c r="DB296">
        <f ca="1"/>
      </c>
      <c r="DC296">
        <f ca="1"/>
      </c>
      <c r="DD296">
        <f ca="1"/>
      </c>
      <c r="DE296">
        <f ca="1"/>
      </c>
      <c r="DF296">
        <f ca="1"/>
      </c>
      <c r="DG296">
        <f ca="1"/>
      </c>
      <c r="DH296">
        <f ca="1"/>
      </c>
      <c r="DI296">
        <f ca="1"/>
      </c>
      <c r="DJ296">
        <f ca="1"/>
      </c>
      <c r="DK296">
        <f ca="1"/>
      </c>
      <c r="DL296">
        <f ca="1"/>
      </c>
      <c r="DM296">
        <f ca="1"/>
      </c>
      <c r="DN296">
        <f ca="1"/>
      </c>
      <c r="DO296">
        <f ca="1"/>
      </c>
      <c r="DP296">
        <f ca="1"/>
      </c>
      <c r="DQ296">
        <f ca="1"/>
      </c>
      <c r="DR296">
        <f ca="1"/>
      </c>
      <c r="DS296">
        <f ca="1"/>
      </c>
      <c r="DT296">
        <f ca="1"/>
      </c>
      <c r="DU296">
        <f ca="1"/>
      </c>
      <c r="DV296">
        <f ca="1"/>
      </c>
      <c r="DW296">
        <f ca="1"/>
      </c>
      <c r="DX296">
        <f ca="1"/>
      </c>
      <c r="DY296">
        <f ca="1"/>
      </c>
      <c r="DZ296">
        <f ca="1"/>
      </c>
      <c r="EA296">
        <f ca="1"/>
      </c>
      <c r="EB296">
        <f ca="1"/>
      </c>
      <c r="EC296">
        <f ca="1"/>
      </c>
      <c r="ED296">
        <f ca="1"/>
      </c>
      <c r="EE296">
        <f ca="1"/>
      </c>
      <c r="EG296">
        <f ca="1"/>
      </c>
      <c r="EH296">
        <f ca="1"/>
      </c>
      <c r="EI296">
        <f ca="1"/>
      </c>
      <c r="EJ296">
        <f ca="1"/>
      </c>
      <c r="EK296">
        <f ca="1"/>
      </c>
      <c r="EL296">
        <f ca="1"/>
      </c>
      <c r="EM296">
        <f ca="1"/>
      </c>
      <c r="EN296">
        <f ca="1"/>
      </c>
      <c r="EO296">
        <f ca="1"/>
      </c>
      <c r="EP296">
        <f ca="1"/>
      </c>
      <c r="EQ296">
        <f ca="1"/>
      </c>
      <c r="ER296">
        <f ca="1"/>
      </c>
      <c r="ES296">
        <f ca="1"/>
      </c>
      <c r="ET296">
        <f ca="1"/>
      </c>
      <c r="EU296">
        <f ca="1"/>
      </c>
      <c r="EV296">
        <f ca="1"/>
      </c>
      <c r="EW296">
        <f ca="1"/>
      </c>
      <c r="EX296">
        <f ca="1"/>
      </c>
      <c r="EY296">
        <f ca="1"/>
      </c>
      <c r="EZ296">
        <f ca="1"/>
      </c>
      <c r="FA296">
        <f ca="1"/>
      </c>
      <c r="FB296">
        <f ca="1"/>
      </c>
      <c r="FC296">
        <f ca="1"/>
      </c>
      <c r="FD296">
        <f ca="1"/>
      </c>
      <c r="FE296">
        <f ca="1"/>
      </c>
      <c r="FF296">
        <f ca="1"/>
      </c>
      <c r="FG296">
        <f ca="1"/>
      </c>
      <c r="FH296">
        <f ca="1"/>
      </c>
      <c r="FI296">
        <f ca="1"/>
      </c>
      <c r="FJ296">
        <f ca="1"/>
      </c>
      <c r="FK296">
        <f ca="1"/>
      </c>
      <c r="FL296">
        <f ca="1"/>
      </c>
      <c r="FM296">
        <f ca="1"/>
      </c>
      <c r="FN296">
        <f ca="1"/>
      </c>
      <c r="FO296">
        <f ca="1"/>
      </c>
      <c r="FP296">
        <f ca="1"/>
      </c>
      <c r="FQ296">
        <f ca="1"/>
      </c>
      <c r="FR296">
        <f ca="1"/>
      </c>
      <c r="FS296">
        <f ca="1"/>
      </c>
      <c r="FT296">
        <f ca="1"/>
      </c>
      <c r="FU296">
        <f ca="1"/>
      </c>
      <c r="FV296">
        <f ca="1"/>
      </c>
      <c r="FW296">
        <f ca="1"/>
      </c>
      <c r="FX296">
        <f ca="1"/>
      </c>
      <c r="FY296">
        <f ca="1"/>
      </c>
      <c r="FZ296">
        <f ca="1"/>
      </c>
      <c r="GA296">
        <f ca="1"/>
      </c>
      <c r="GM296" s="7"/>
    </row>
    <row r="297" spans="41:195" x14ac:dyDescent="0.55000000000000004">
      <c r="AO297">
        <f ca="1"/>
      </c>
      <c r="AP297">
        <f ca="1"/>
      </c>
      <c r="AQ297">
        <f ca="1"/>
      </c>
      <c r="AR297">
        <f ca="1"/>
      </c>
      <c r="AS297">
        <f ca="1"/>
      </c>
      <c r="AT29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AZ297">
        <f ca="1"/>
      </c>
      <c r="BA297">
        <f ca="1"/>
      </c>
      <c r="BB297">
        <f ca="1"/>
      </c>
      <c r="BC297">
        <f ca="1"/>
      </c>
      <c r="BD297">
        <f ca="1"/>
      </c>
      <c r="BE297">
        <f ca="1"/>
      </c>
      <c r="BF297">
        <f ca="1"/>
      </c>
      <c r="BG297">
        <f ca="1"/>
      </c>
      <c r="BH297">
        <f ca="1"/>
      </c>
      <c r="BI297">
        <f ca="1"/>
      </c>
      <c r="BJ297">
        <f ca="1"/>
      </c>
      <c r="BK297">
        <f ca="1"/>
      </c>
      <c r="BL297">
        <f ca="1"/>
      </c>
      <c r="BM297">
        <f ca="1"/>
      </c>
      <c r="BN297">
        <f ca="1"/>
      </c>
      <c r="BO297">
        <f ca="1"/>
      </c>
      <c r="BP297">
        <f ca="1"/>
      </c>
      <c r="BQ297">
        <f ca="1"/>
      </c>
      <c r="BR297">
        <f ca="1"/>
      </c>
      <c r="BS297">
        <f ca="1"/>
      </c>
      <c r="BT297">
        <f ca="1"/>
      </c>
      <c r="BU297">
        <f ca="1"/>
      </c>
      <c r="BV297">
        <f ca="1"/>
      </c>
      <c r="BW297">
        <f ca="1"/>
      </c>
      <c r="BX297">
        <f ca="1"/>
      </c>
      <c r="BY297">
        <f ca="1"/>
      </c>
      <c r="BZ297">
        <f ca="1"/>
      </c>
      <c r="CA297">
        <f ca="1"/>
      </c>
      <c r="CB297">
        <f ca="1"/>
      </c>
      <c r="CC297">
        <f ca="1"/>
      </c>
      <c r="CD297">
        <f ca="1"/>
      </c>
      <c r="CE297">
        <f ca="1"/>
      </c>
      <c r="CF297">
        <f ca="1"/>
      </c>
      <c r="CG297">
        <f ca="1"/>
      </c>
      <c r="CH297">
        <f ca="1"/>
      </c>
      <c r="CI297">
        <f ca="1"/>
      </c>
      <c r="CK297">
        <f ca="1"/>
      </c>
      <c r="CL297">
        <f ca="1"/>
      </c>
      <c r="CM297">
        <f ca="1"/>
      </c>
      <c r="CN297">
        <f ca="1"/>
      </c>
      <c r="CO297">
        <f ca="1"/>
      </c>
      <c r="CP297">
        <f ca="1"/>
      </c>
      <c r="CQ297">
        <f ca="1"/>
      </c>
      <c r="CR297">
        <f ca="1"/>
      </c>
      <c r="CS297">
        <f ca="1"/>
      </c>
      <c r="CT297">
        <f ca="1"/>
      </c>
      <c r="CU297">
        <f ca="1"/>
      </c>
      <c r="CV297">
        <f ca="1"/>
      </c>
      <c r="CW297">
        <f ca="1"/>
      </c>
      <c r="CX297">
        <f ca="1"/>
      </c>
      <c r="CY297">
        <f ca="1"/>
      </c>
      <c r="CZ297">
        <f ca="1"/>
      </c>
      <c r="DA297">
        <f ca="1"/>
      </c>
      <c r="DB297">
        <f ca="1"/>
      </c>
      <c r="DC297">
        <f ca="1"/>
      </c>
      <c r="DD297">
        <f ca="1"/>
      </c>
      <c r="DE297">
        <f ca="1"/>
      </c>
      <c r="DF297">
        <f ca="1"/>
      </c>
      <c r="DG297">
        <f ca="1"/>
      </c>
      <c r="DH297">
        <f ca="1"/>
      </c>
      <c r="DI297">
        <f ca="1"/>
      </c>
      <c r="DJ297">
        <f ca="1"/>
      </c>
      <c r="DK297">
        <f ca="1"/>
      </c>
      <c r="DL297">
        <f ca="1"/>
      </c>
      <c r="DM297">
        <f ca="1"/>
      </c>
      <c r="DN297">
        <f ca="1"/>
      </c>
      <c r="DO297">
        <f ca="1"/>
      </c>
      <c r="DP297">
        <f ca="1"/>
      </c>
      <c r="DQ297">
        <f ca="1"/>
      </c>
      <c r="DR297">
        <f ca="1"/>
      </c>
      <c r="DS297">
        <f ca="1"/>
      </c>
      <c r="DT297">
        <f ca="1"/>
      </c>
      <c r="DU297">
        <f ca="1"/>
      </c>
      <c r="DV297">
        <f ca="1"/>
      </c>
      <c r="DW297">
        <f ca="1"/>
      </c>
      <c r="DX297">
        <f ca="1"/>
      </c>
      <c r="DY297">
        <f ca="1"/>
      </c>
      <c r="DZ297">
        <f ca="1"/>
      </c>
      <c r="EA297">
        <f ca="1"/>
      </c>
      <c r="EB297">
        <f ca="1"/>
      </c>
      <c r="EC297">
        <f ca="1"/>
      </c>
      <c r="ED297">
        <f ca="1"/>
      </c>
      <c r="EE297">
        <f ca="1"/>
      </c>
      <c r="EG297">
        <f ca="1"/>
      </c>
      <c r="EH297">
        <f ca="1"/>
      </c>
      <c r="EI297">
        <f ca="1"/>
      </c>
      <c r="EJ297">
        <f ca="1"/>
      </c>
      <c r="EK297">
        <f ca="1"/>
      </c>
      <c r="EL297">
        <f ca="1"/>
      </c>
      <c r="EM297">
        <f ca="1"/>
      </c>
      <c r="EN297">
        <f ca="1"/>
      </c>
      <c r="EO297">
        <f ca="1"/>
      </c>
      <c r="EP297">
        <f ca="1"/>
      </c>
      <c r="EQ297">
        <f ca="1"/>
      </c>
      <c r="ER297">
        <f ca="1"/>
      </c>
      <c r="ES297">
        <f ca="1"/>
      </c>
      <c r="ET297">
        <f ca="1"/>
      </c>
      <c r="EU297">
        <f ca="1"/>
      </c>
      <c r="EV297">
        <f ca="1"/>
      </c>
      <c r="EW297">
        <f ca="1"/>
      </c>
      <c r="EX297">
        <f ca="1"/>
      </c>
      <c r="EY297">
        <f ca="1"/>
      </c>
      <c r="EZ297">
        <f ca="1"/>
      </c>
      <c r="FA297">
        <f ca="1"/>
      </c>
      <c r="FB297">
        <f ca="1"/>
      </c>
      <c r="FC297">
        <f ca="1"/>
      </c>
      <c r="FD297">
        <f ca="1"/>
      </c>
      <c r="FE297">
        <f ca="1"/>
      </c>
      <c r="FF297">
        <f ca="1"/>
      </c>
      <c r="FG297">
        <f ca="1"/>
      </c>
      <c r="FH297">
        <f ca="1"/>
      </c>
      <c r="FI297">
        <f ca="1"/>
      </c>
      <c r="FJ297">
        <f ca="1"/>
      </c>
      <c r="FK297">
        <f ca="1"/>
      </c>
      <c r="FL297">
        <f ca="1"/>
      </c>
      <c r="FM297">
        <f ca="1"/>
      </c>
      <c r="FN297">
        <f ca="1"/>
      </c>
      <c r="FO297">
        <f ca="1"/>
      </c>
      <c r="FP297">
        <f ca="1"/>
      </c>
      <c r="FQ297">
        <f ca="1"/>
      </c>
      <c r="FR297">
        <f ca="1"/>
      </c>
      <c r="FS297">
        <f ca="1"/>
      </c>
      <c r="FT297">
        <f ca="1"/>
      </c>
      <c r="FU297">
        <f ca="1"/>
      </c>
      <c r="FV297">
        <f ca="1"/>
      </c>
      <c r="FW297">
        <f ca="1"/>
      </c>
      <c r="FX297">
        <f ca="1"/>
      </c>
      <c r="FY297">
        <f ca="1"/>
      </c>
      <c r="FZ297">
        <f ca="1"/>
      </c>
      <c r="GA297">
        <f ca="1"/>
      </c>
      <c r="GM297" s="7"/>
    </row>
    <row r="298" spans="41:195" x14ac:dyDescent="0.55000000000000004">
      <c r="AO298">
        <f ca="1"/>
      </c>
      <c r="AP298">
        <f ca="1"/>
      </c>
      <c r="AQ298">
        <f ca="1"/>
      </c>
      <c r="AR298">
        <f ca="1"/>
      </c>
      <c r="AS298">
        <f ca="1"/>
      </c>
      <c r="AT298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AZ298">
        <f ca="1"/>
      </c>
      <c r="BA298">
        <f ca="1"/>
      </c>
      <c r="BB298">
        <f ca="1"/>
      </c>
      <c r="BC298">
        <f ca="1"/>
      </c>
      <c r="BD298">
        <f ca="1"/>
      </c>
      <c r="BE298">
        <f ca="1"/>
      </c>
      <c r="BF298">
        <f ca="1"/>
      </c>
      <c r="BG298">
        <f ca="1"/>
      </c>
      <c r="BH298">
        <f ca="1"/>
      </c>
      <c r="BI298">
        <f ca="1"/>
      </c>
      <c r="BJ298">
        <f ca="1"/>
      </c>
      <c r="BK298">
        <f ca="1"/>
      </c>
      <c r="BL298">
        <f ca="1"/>
      </c>
      <c r="BM298">
        <f ca="1"/>
      </c>
      <c r="BN298">
        <f ca="1"/>
      </c>
      <c r="BO298">
        <f ca="1"/>
      </c>
      <c r="BP298">
        <f ca="1"/>
      </c>
      <c r="BQ298">
        <f ca="1"/>
      </c>
      <c r="BR298">
        <f ca="1"/>
      </c>
      <c r="BS298">
        <f ca="1"/>
      </c>
      <c r="BT298">
        <f ca="1"/>
      </c>
      <c r="BU298">
        <f ca="1"/>
      </c>
      <c r="BV298">
        <f ca="1"/>
      </c>
      <c r="BW298">
        <f ca="1"/>
      </c>
      <c r="BX298">
        <f ca="1"/>
      </c>
      <c r="BY298">
        <f ca="1"/>
      </c>
      <c r="BZ298">
        <f ca="1"/>
      </c>
      <c r="CA298">
        <f ca="1"/>
      </c>
      <c r="CB298">
        <f ca="1"/>
      </c>
      <c r="CC298">
        <f ca="1"/>
      </c>
      <c r="CD298">
        <f ca="1"/>
      </c>
      <c r="CE298">
        <f ca="1"/>
      </c>
      <c r="CF298">
        <f ca="1"/>
      </c>
      <c r="CG298">
        <f ca="1"/>
      </c>
      <c r="CH298">
        <f ca="1"/>
      </c>
      <c r="CI298">
        <f ca="1"/>
      </c>
      <c r="CK298">
        <f ca="1"/>
      </c>
      <c r="CL298">
        <f ca="1"/>
      </c>
      <c r="CM298">
        <f ca="1"/>
      </c>
      <c r="CN298">
        <f ca="1"/>
      </c>
      <c r="CO298">
        <f ca="1"/>
      </c>
      <c r="CP298">
        <f ca="1"/>
      </c>
      <c r="CQ298">
        <f ca="1"/>
      </c>
      <c r="CR298">
        <f ca="1"/>
      </c>
      <c r="CS298">
        <f ca="1"/>
      </c>
      <c r="CT298">
        <f ca="1"/>
      </c>
      <c r="CU298">
        <f ca="1"/>
      </c>
      <c r="CV298">
        <f ca="1"/>
      </c>
      <c r="CW298">
        <f ca="1"/>
      </c>
      <c r="CX298">
        <f ca="1"/>
      </c>
      <c r="CY298">
        <f ca="1"/>
      </c>
      <c r="CZ298">
        <f ca="1"/>
      </c>
      <c r="DA298">
        <f ca="1"/>
      </c>
      <c r="DB298">
        <f ca="1"/>
      </c>
      <c r="DC298">
        <f ca="1"/>
      </c>
      <c r="DD298">
        <f ca="1"/>
      </c>
      <c r="DE298">
        <f ca="1"/>
      </c>
      <c r="DF298">
        <f ca="1"/>
      </c>
      <c r="DG298">
        <f ca="1"/>
      </c>
      <c r="DH298">
        <f ca="1"/>
      </c>
      <c r="DI298">
        <f ca="1"/>
      </c>
      <c r="DJ298">
        <f ca="1"/>
      </c>
      <c r="DK298">
        <f ca="1"/>
      </c>
      <c r="DL298">
        <f ca="1"/>
      </c>
      <c r="DM298">
        <f ca="1"/>
      </c>
      <c r="DN298">
        <f ca="1"/>
      </c>
      <c r="DO298">
        <f ca="1"/>
      </c>
      <c r="DP298">
        <f ca="1"/>
      </c>
      <c r="DQ298">
        <f ca="1"/>
      </c>
      <c r="DR298">
        <f ca="1"/>
      </c>
      <c r="DS298">
        <f ca="1"/>
      </c>
      <c r="DT298">
        <f ca="1"/>
      </c>
      <c r="DU298">
        <f ca="1"/>
      </c>
      <c r="DV298">
        <f ca="1"/>
      </c>
      <c r="DW298">
        <f ca="1"/>
      </c>
      <c r="DX298">
        <f ca="1"/>
      </c>
      <c r="DY298">
        <f ca="1"/>
      </c>
      <c r="DZ298">
        <f ca="1"/>
      </c>
      <c r="EA298">
        <f ca="1"/>
      </c>
      <c r="EB298">
        <f ca="1"/>
      </c>
      <c r="EC298">
        <f ca="1"/>
      </c>
      <c r="ED298">
        <f ca="1"/>
      </c>
      <c r="EE298">
        <f ca="1"/>
      </c>
      <c r="EG298">
        <f ca="1"/>
      </c>
      <c r="EH298">
        <f ca="1"/>
      </c>
      <c r="EI298">
        <f ca="1"/>
      </c>
      <c r="EJ298">
        <f ca="1"/>
      </c>
      <c r="EK298">
        <f ca="1"/>
      </c>
      <c r="EL298">
        <f ca="1"/>
      </c>
      <c r="EM298">
        <f ca="1"/>
      </c>
      <c r="EN298">
        <f ca="1"/>
      </c>
      <c r="EO298">
        <f ca="1"/>
      </c>
      <c r="EP298">
        <f ca="1"/>
      </c>
      <c r="EQ298">
        <f ca="1"/>
      </c>
      <c r="ER298">
        <f ca="1"/>
      </c>
      <c r="ES298">
        <f ca="1"/>
      </c>
      <c r="ET298">
        <f ca="1"/>
      </c>
      <c r="EU298">
        <f ca="1"/>
      </c>
      <c r="EV298">
        <f ca="1"/>
      </c>
      <c r="EW298">
        <f ca="1"/>
      </c>
      <c r="EX298">
        <f ca="1"/>
      </c>
      <c r="EY298">
        <f ca="1"/>
      </c>
      <c r="EZ298">
        <f ca="1"/>
      </c>
      <c r="FA298">
        <f ca="1"/>
      </c>
      <c r="FB298">
        <f ca="1"/>
      </c>
      <c r="FC298">
        <f ca="1"/>
      </c>
      <c r="FD298">
        <f ca="1"/>
      </c>
      <c r="FE298">
        <f ca="1"/>
      </c>
      <c r="FF298">
        <f ca="1"/>
      </c>
      <c r="FG298">
        <f ca="1"/>
      </c>
      <c r="FH298">
        <f ca="1"/>
      </c>
      <c r="FI298">
        <f ca="1"/>
      </c>
      <c r="FJ298">
        <f ca="1"/>
      </c>
      <c r="FK298">
        <f ca="1"/>
      </c>
      <c r="FL298">
        <f ca="1"/>
      </c>
      <c r="FM298">
        <f ca="1"/>
      </c>
      <c r="FN298">
        <f ca="1"/>
      </c>
      <c r="FO298">
        <f ca="1"/>
      </c>
      <c r="FP298">
        <f ca="1"/>
      </c>
      <c r="FQ298">
        <f ca="1"/>
      </c>
      <c r="FR298">
        <f ca="1"/>
      </c>
      <c r="FS298">
        <f ca="1"/>
      </c>
      <c r="FT298">
        <f ca="1"/>
      </c>
      <c r="FU298">
        <f ca="1"/>
      </c>
      <c r="FV298">
        <f ca="1"/>
      </c>
      <c r="FW298">
        <f ca="1"/>
      </c>
      <c r="FX298">
        <f ca="1"/>
      </c>
      <c r="FY298">
        <f ca="1"/>
      </c>
      <c r="FZ298">
        <f ca="1"/>
      </c>
      <c r="GA298">
        <f ca="1"/>
      </c>
      <c r="GM298" s="7"/>
    </row>
    <row r="299" spans="41:195" x14ac:dyDescent="0.55000000000000004">
      <c r="AO299">
        <f ca="1"/>
      </c>
      <c r="AP299">
        <f ca="1"/>
      </c>
      <c r="AQ299">
        <f ca="1"/>
      </c>
      <c r="AR299">
        <f ca="1"/>
      </c>
      <c r="AS299">
        <f ca="1"/>
      </c>
      <c r="AT299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AZ299">
        <f ca="1"/>
      </c>
      <c r="BA299">
        <f ca="1"/>
      </c>
      <c r="BB299">
        <f ca="1"/>
      </c>
      <c r="BC299">
        <f ca="1"/>
      </c>
      <c r="BD299">
        <f ca="1"/>
      </c>
      <c r="BE299">
        <f ca="1"/>
      </c>
      <c r="BF299">
        <f ca="1"/>
      </c>
      <c r="BG299">
        <f ca="1"/>
      </c>
      <c r="BH299">
        <f ca="1"/>
      </c>
      <c r="BI299">
        <f ca="1"/>
      </c>
      <c r="BJ299">
        <f ca="1"/>
      </c>
      <c r="BK299">
        <f ca="1"/>
      </c>
      <c r="BL299">
        <f ca="1"/>
      </c>
      <c r="BM299">
        <f ca="1"/>
      </c>
      <c r="BN299">
        <f ca="1"/>
      </c>
      <c r="BO299">
        <f ca="1"/>
      </c>
      <c r="BP299">
        <f ca="1"/>
      </c>
      <c r="BQ299">
        <f ca="1"/>
      </c>
      <c r="BR299">
        <f ca="1"/>
      </c>
      <c r="BS299">
        <f ca="1"/>
      </c>
      <c r="BT299">
        <f ca="1"/>
      </c>
      <c r="BU299">
        <f ca="1"/>
      </c>
      <c r="BV299">
        <f ca="1"/>
      </c>
      <c r="BW299">
        <f ca="1"/>
      </c>
      <c r="BX299">
        <f ca="1"/>
      </c>
      <c r="BY299">
        <f ca="1"/>
      </c>
      <c r="BZ299">
        <f ca="1"/>
      </c>
      <c r="CA299">
        <f ca="1"/>
      </c>
      <c r="CB299">
        <f ca="1"/>
      </c>
      <c r="CC299">
        <f ca="1"/>
      </c>
      <c r="CD299">
        <f ca="1"/>
      </c>
      <c r="CE299">
        <f ca="1"/>
      </c>
      <c r="CF299">
        <f ca="1"/>
      </c>
      <c r="CG299">
        <f ca="1"/>
      </c>
      <c r="CH299">
        <f ca="1"/>
      </c>
      <c r="CI299">
        <f ca="1"/>
      </c>
      <c r="CK299">
        <f ca="1"/>
      </c>
      <c r="CL299">
        <f ca="1"/>
      </c>
      <c r="CM299">
        <f ca="1"/>
      </c>
      <c r="CN299">
        <f ca="1"/>
      </c>
      <c r="CO299">
        <f ca="1"/>
      </c>
      <c r="CP299">
        <f ca="1"/>
      </c>
      <c r="CQ299">
        <f ca="1"/>
      </c>
      <c r="CR299">
        <f ca="1"/>
      </c>
      <c r="CS299">
        <f ca="1"/>
      </c>
      <c r="CT299">
        <f ca="1"/>
      </c>
      <c r="CU299">
        <f ca="1"/>
      </c>
      <c r="CV299">
        <f ca="1"/>
      </c>
      <c r="CW299">
        <f ca="1"/>
      </c>
      <c r="CX299">
        <f ca="1"/>
      </c>
      <c r="CY299">
        <f ca="1"/>
      </c>
      <c r="CZ299">
        <f ca="1"/>
      </c>
      <c r="DA299">
        <f ca="1"/>
      </c>
      <c r="DB299">
        <f ca="1"/>
      </c>
      <c r="DC299">
        <f ca="1"/>
      </c>
      <c r="DD299">
        <f ca="1"/>
      </c>
      <c r="DE299">
        <f ca="1"/>
      </c>
      <c r="DF299">
        <f ca="1"/>
      </c>
      <c r="DG299">
        <f ca="1"/>
      </c>
      <c r="DH299">
        <f ca="1"/>
      </c>
      <c r="DI299">
        <f ca="1"/>
      </c>
      <c r="DJ299">
        <f ca="1"/>
      </c>
      <c r="DK299">
        <f ca="1"/>
      </c>
      <c r="DL299">
        <f ca="1"/>
      </c>
      <c r="DM299">
        <f ca="1"/>
      </c>
      <c r="DN299">
        <f ca="1"/>
      </c>
      <c r="DO299">
        <f ca="1"/>
      </c>
      <c r="DP299">
        <f ca="1"/>
      </c>
      <c r="DQ299">
        <f ca="1"/>
      </c>
      <c r="DR299">
        <f ca="1"/>
      </c>
      <c r="DS299">
        <f ca="1"/>
      </c>
      <c r="DT299">
        <f ca="1"/>
      </c>
      <c r="DU299">
        <f ca="1"/>
      </c>
      <c r="DV299">
        <f ca="1"/>
      </c>
      <c r="DW299">
        <f ca="1"/>
      </c>
      <c r="DX299">
        <f ca="1"/>
      </c>
      <c r="DY299">
        <f ca="1"/>
      </c>
      <c r="DZ299">
        <f ca="1"/>
      </c>
      <c r="EA299">
        <f ca="1"/>
      </c>
      <c r="EB299">
        <f ca="1"/>
      </c>
      <c r="EC299">
        <f ca="1"/>
      </c>
      <c r="ED299">
        <f ca="1"/>
      </c>
      <c r="EE299">
        <f ca="1"/>
      </c>
      <c r="EG299">
        <f ca="1"/>
      </c>
      <c r="EH299">
        <f ca="1"/>
      </c>
      <c r="EI299">
        <f ca="1"/>
      </c>
      <c r="EJ299">
        <f ca="1"/>
      </c>
      <c r="EK299">
        <f ca="1"/>
      </c>
      <c r="EL299">
        <f ca="1"/>
      </c>
      <c r="EM299">
        <f ca="1"/>
      </c>
      <c r="EN299">
        <f ca="1"/>
      </c>
      <c r="EO299">
        <f ca="1"/>
      </c>
      <c r="EP299">
        <f ca="1"/>
      </c>
      <c r="EQ299">
        <f ca="1"/>
      </c>
      <c r="ER299">
        <f ca="1"/>
      </c>
      <c r="ES299">
        <f ca="1"/>
      </c>
      <c r="ET299">
        <f ca="1"/>
      </c>
      <c r="EU299">
        <f ca="1"/>
      </c>
      <c r="EV299">
        <f ca="1"/>
      </c>
      <c r="EW299">
        <f ca="1"/>
      </c>
      <c r="EX299">
        <f ca="1"/>
      </c>
      <c r="EY299">
        <f ca="1"/>
      </c>
      <c r="EZ299">
        <f ca="1"/>
      </c>
      <c r="FA299">
        <f ca="1"/>
      </c>
      <c r="FB299">
        <f ca="1"/>
      </c>
      <c r="FC299">
        <f ca="1"/>
      </c>
      <c r="FD299">
        <f ca="1"/>
      </c>
      <c r="FE299">
        <f ca="1"/>
      </c>
      <c r="FF299">
        <f ca="1"/>
      </c>
      <c r="FG299">
        <f ca="1"/>
      </c>
      <c r="FH299">
        <f ca="1"/>
      </c>
      <c r="FI299">
        <f ca="1"/>
      </c>
      <c r="FJ299">
        <f ca="1"/>
      </c>
      <c r="FK299">
        <f ca="1"/>
      </c>
      <c r="FL299">
        <f ca="1"/>
      </c>
      <c r="FM299">
        <f ca="1"/>
      </c>
      <c r="FN299">
        <f ca="1"/>
      </c>
      <c r="FO299">
        <f ca="1"/>
      </c>
      <c r="FP299">
        <f ca="1"/>
      </c>
      <c r="FQ299">
        <f ca="1"/>
      </c>
      <c r="FR299">
        <f ca="1"/>
      </c>
      <c r="FS299">
        <f ca="1"/>
      </c>
      <c r="FT299">
        <f ca="1"/>
      </c>
      <c r="FU299">
        <f ca="1"/>
      </c>
      <c r="FV299">
        <f ca="1"/>
      </c>
      <c r="FW299">
        <f ca="1"/>
      </c>
      <c r="FX299">
        <f ca="1"/>
      </c>
      <c r="FY299">
        <f ca="1"/>
      </c>
      <c r="FZ299">
        <f ca="1"/>
      </c>
      <c r="GA299">
        <f ca="1"/>
      </c>
      <c r="GM299" s="7"/>
    </row>
    <row r="300" spans="41:195" x14ac:dyDescent="0.55000000000000004">
      <c r="AO300">
        <f ca="1"/>
      </c>
      <c r="AP300">
        <f ca="1"/>
      </c>
      <c r="AQ300">
        <f ca="1"/>
      </c>
      <c r="AR300">
        <f ca="1"/>
      </c>
      <c r="AS300">
        <f ca="1"/>
      </c>
      <c r="AT300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AZ300">
        <f ca="1"/>
      </c>
      <c r="BA300">
        <f ca="1"/>
      </c>
      <c r="BB300">
        <f ca="1"/>
      </c>
      <c r="BC300">
        <f ca="1"/>
      </c>
      <c r="BD300">
        <f ca="1"/>
      </c>
      <c r="BE300">
        <f ca="1"/>
      </c>
      <c r="BF300">
        <f ca="1"/>
      </c>
      <c r="BG300">
        <f ca="1"/>
      </c>
      <c r="BH300">
        <f ca="1"/>
      </c>
      <c r="BI300">
        <f ca="1"/>
      </c>
      <c r="BJ300">
        <f ca="1"/>
      </c>
      <c r="BK300">
        <f ca="1"/>
      </c>
      <c r="BL300">
        <f ca="1"/>
      </c>
      <c r="BM300">
        <f ca="1"/>
      </c>
      <c r="BN300">
        <f ca="1"/>
      </c>
      <c r="BO300">
        <f ca="1"/>
      </c>
      <c r="BP300">
        <f ca="1"/>
      </c>
      <c r="BQ300">
        <f ca="1"/>
      </c>
      <c r="BR300">
        <f ca="1"/>
      </c>
      <c r="BS300">
        <f ca="1"/>
      </c>
      <c r="BT300">
        <f ca="1"/>
      </c>
      <c r="BU300">
        <f ca="1"/>
      </c>
      <c r="BV300">
        <f ca="1"/>
      </c>
      <c r="BW300">
        <f ca="1"/>
      </c>
      <c r="BX300">
        <f ca="1"/>
      </c>
      <c r="BY300">
        <f ca="1"/>
      </c>
      <c r="BZ300">
        <f ca="1"/>
      </c>
      <c r="CA300">
        <f ca="1"/>
      </c>
      <c r="CB300">
        <f ca="1"/>
      </c>
      <c r="CC300">
        <f ca="1"/>
      </c>
      <c r="CD300">
        <f ca="1"/>
      </c>
      <c r="CE300">
        <f ca="1"/>
      </c>
      <c r="CF300">
        <f ca="1"/>
      </c>
      <c r="CG300">
        <f ca="1"/>
      </c>
      <c r="CH300">
        <f ca="1"/>
      </c>
      <c r="CI300">
        <f ca="1"/>
      </c>
      <c r="CK300">
        <f ca="1"/>
      </c>
      <c r="CL300">
        <f ca="1"/>
      </c>
      <c r="CM300">
        <f ca="1"/>
      </c>
      <c r="CN300">
        <f ca="1"/>
      </c>
      <c r="CO300">
        <f ca="1"/>
      </c>
      <c r="CP300">
        <f ca="1"/>
      </c>
      <c r="CQ300">
        <f ca="1"/>
      </c>
      <c r="CR300">
        <f ca="1"/>
      </c>
      <c r="CS300">
        <f ca="1"/>
      </c>
      <c r="CT300">
        <f ca="1"/>
      </c>
      <c r="CU300">
        <f ca="1"/>
      </c>
      <c r="CV300">
        <f ca="1"/>
      </c>
      <c r="CW300">
        <f ca="1"/>
      </c>
      <c r="CX300">
        <f ca="1"/>
      </c>
      <c r="CY300">
        <f ca="1"/>
      </c>
      <c r="CZ300">
        <f ca="1"/>
      </c>
      <c r="DA300">
        <f ca="1"/>
      </c>
      <c r="DB300">
        <f ca="1"/>
      </c>
      <c r="DC300">
        <f ca="1"/>
      </c>
      <c r="DD300">
        <f ca="1"/>
      </c>
      <c r="DE300">
        <f ca="1"/>
      </c>
      <c r="DF300">
        <f ca="1"/>
      </c>
      <c r="DG300">
        <f ca="1"/>
      </c>
      <c r="DH300">
        <f ca="1"/>
      </c>
      <c r="DI300">
        <f ca="1"/>
      </c>
      <c r="DJ300">
        <f ca="1"/>
      </c>
      <c r="DK300">
        <f ca="1"/>
      </c>
      <c r="DL300">
        <f ca="1"/>
      </c>
      <c r="DM300">
        <f ca="1"/>
      </c>
      <c r="DN300">
        <f ca="1"/>
      </c>
      <c r="DO300">
        <f ca="1"/>
      </c>
      <c r="DP300">
        <f ca="1"/>
      </c>
      <c r="DQ300">
        <f ca="1"/>
      </c>
      <c r="DR300">
        <f ca="1"/>
      </c>
      <c r="DS300">
        <f ca="1"/>
      </c>
      <c r="DT300">
        <f ca="1"/>
      </c>
      <c r="DU300">
        <f ca="1"/>
      </c>
      <c r="DV300">
        <f ca="1"/>
      </c>
      <c r="DW300">
        <f ca="1"/>
      </c>
      <c r="DX300">
        <f ca="1"/>
      </c>
      <c r="DY300">
        <f ca="1"/>
      </c>
      <c r="DZ300">
        <f ca="1"/>
      </c>
      <c r="EA300">
        <f ca="1"/>
      </c>
      <c r="EB300">
        <f ca="1"/>
      </c>
      <c r="EC300">
        <f ca="1"/>
      </c>
      <c r="ED300">
        <f ca="1"/>
      </c>
      <c r="EE300">
        <f ca="1"/>
      </c>
      <c r="EG300">
        <f ca="1"/>
      </c>
      <c r="EH300">
        <f ca="1"/>
      </c>
      <c r="EI300">
        <f ca="1"/>
      </c>
      <c r="EJ300">
        <f ca="1"/>
      </c>
      <c r="EK300">
        <f ca="1"/>
      </c>
      <c r="EL300">
        <f ca="1"/>
      </c>
      <c r="EM300">
        <f ca="1"/>
      </c>
      <c r="EN300">
        <f ca="1"/>
      </c>
      <c r="EO300">
        <f ca="1"/>
      </c>
      <c r="EP300">
        <f ca="1"/>
      </c>
      <c r="EQ300">
        <f ca="1"/>
      </c>
      <c r="ER300">
        <f ca="1"/>
      </c>
      <c r="ES300">
        <f ca="1"/>
      </c>
      <c r="ET300">
        <f ca="1"/>
      </c>
      <c r="EU300">
        <f ca="1"/>
      </c>
      <c r="EV300">
        <f ca="1"/>
      </c>
      <c r="EW300">
        <f ca="1"/>
      </c>
      <c r="EX300">
        <f ca="1"/>
      </c>
      <c r="EY300">
        <f ca="1"/>
      </c>
      <c r="EZ300">
        <f ca="1"/>
      </c>
      <c r="FA300">
        <f ca="1"/>
      </c>
      <c r="FB300">
        <f ca="1"/>
      </c>
      <c r="FC300">
        <f ca="1"/>
      </c>
      <c r="FD300">
        <f ca="1"/>
      </c>
      <c r="FE300">
        <f ca="1"/>
      </c>
      <c r="FF300">
        <f ca="1"/>
      </c>
      <c r="FG300">
        <f ca="1"/>
      </c>
      <c r="FH300">
        <f ca="1"/>
      </c>
      <c r="FI300">
        <f ca="1"/>
      </c>
      <c r="FJ300">
        <f ca="1"/>
      </c>
      <c r="FK300">
        <f ca="1"/>
      </c>
      <c r="FL300">
        <f ca="1"/>
      </c>
      <c r="FM300">
        <f ca="1"/>
      </c>
      <c r="FN300">
        <f ca="1"/>
      </c>
      <c r="FO300">
        <f ca="1"/>
      </c>
      <c r="FP300">
        <f ca="1"/>
      </c>
      <c r="FQ300">
        <f ca="1"/>
      </c>
      <c r="FR300">
        <f ca="1"/>
      </c>
      <c r="FS300">
        <f ca="1"/>
      </c>
      <c r="FT300">
        <f ca="1"/>
      </c>
      <c r="FU300">
        <f ca="1"/>
      </c>
      <c r="FV300">
        <f ca="1"/>
      </c>
      <c r="FW300">
        <f ca="1"/>
      </c>
      <c r="FX300">
        <f ca="1"/>
      </c>
      <c r="FY300">
        <f ca="1"/>
      </c>
      <c r="FZ300">
        <f ca="1"/>
      </c>
      <c r="GA300">
        <f ca="1"/>
      </c>
      <c r="GM300" s="7"/>
    </row>
    <row r="301" spans="41:195" x14ac:dyDescent="0.55000000000000004">
      <c r="AO301">
        <f ca="1"/>
      </c>
      <c r="AP301">
        <f ca="1"/>
      </c>
      <c r="AQ301">
        <f ca="1"/>
      </c>
      <c r="AR301">
        <f ca="1"/>
      </c>
      <c r="AS301">
        <f ca="1"/>
      </c>
      <c r="AT301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AZ301">
        <f ca="1"/>
      </c>
      <c r="BA301">
        <f ca="1"/>
      </c>
      <c r="BB301">
        <f ca="1"/>
      </c>
      <c r="BC301">
        <f ca="1"/>
      </c>
      <c r="BD301">
        <f ca="1"/>
      </c>
      <c r="BE301">
        <f ca="1"/>
      </c>
      <c r="BF301">
        <f ca="1"/>
      </c>
      <c r="BG301">
        <f ca="1"/>
      </c>
      <c r="BH301">
        <f ca="1"/>
      </c>
      <c r="BI301">
        <f ca="1"/>
      </c>
      <c r="BJ301">
        <f ca="1"/>
      </c>
      <c r="BK301">
        <f ca="1"/>
      </c>
      <c r="BL301">
        <f ca="1"/>
      </c>
      <c r="BM301">
        <f ca="1"/>
      </c>
      <c r="BN301">
        <f ca="1"/>
      </c>
      <c r="BO301">
        <f ca="1"/>
      </c>
      <c r="BP301">
        <f ca="1"/>
      </c>
      <c r="BQ301">
        <f ca="1"/>
      </c>
      <c r="BR301">
        <f ca="1"/>
      </c>
      <c r="BS301">
        <f ca="1"/>
      </c>
      <c r="BT301">
        <f ca="1"/>
      </c>
      <c r="BU301">
        <f ca="1"/>
      </c>
      <c r="BV301">
        <f ca="1"/>
      </c>
      <c r="BW301">
        <f ca="1"/>
      </c>
      <c r="BX301">
        <f ca="1"/>
      </c>
      <c r="BY301">
        <f ca="1"/>
      </c>
      <c r="BZ301">
        <f ca="1"/>
      </c>
      <c r="CA301">
        <f ca="1"/>
      </c>
      <c r="CB301">
        <f ca="1"/>
      </c>
      <c r="CC301">
        <f ca="1"/>
      </c>
      <c r="CD301">
        <f ca="1"/>
      </c>
      <c r="CE301">
        <f ca="1"/>
      </c>
      <c r="CF301">
        <f ca="1"/>
      </c>
      <c r="CG301">
        <f ca="1"/>
      </c>
      <c r="CH301">
        <f ca="1"/>
      </c>
      <c r="CI301">
        <f ca="1"/>
      </c>
      <c r="CK301">
        <f ca="1"/>
      </c>
      <c r="CL301">
        <f ca="1"/>
      </c>
      <c r="CM301">
        <f ca="1"/>
      </c>
      <c r="CN301">
        <f ca="1"/>
      </c>
      <c r="CO301">
        <f ca="1"/>
      </c>
      <c r="CP301">
        <f ca="1"/>
      </c>
      <c r="CQ301">
        <f ca="1"/>
      </c>
      <c r="CR301">
        <f ca="1"/>
      </c>
      <c r="CS301">
        <f ca="1"/>
      </c>
      <c r="CT301">
        <f ca="1"/>
      </c>
      <c r="CU301">
        <f ca="1"/>
      </c>
      <c r="CV301">
        <f ca="1"/>
      </c>
      <c r="CW301">
        <f ca="1"/>
      </c>
      <c r="CX301">
        <f ca="1"/>
      </c>
      <c r="CY301">
        <f ca="1"/>
      </c>
      <c r="CZ301">
        <f ca="1"/>
      </c>
      <c r="DA301">
        <f ca="1"/>
      </c>
      <c r="DB301">
        <f ca="1"/>
      </c>
      <c r="DC301">
        <f ca="1"/>
      </c>
      <c r="DD301">
        <f ca="1"/>
      </c>
      <c r="DE301">
        <f ca="1"/>
      </c>
      <c r="DF301">
        <f ca="1"/>
      </c>
      <c r="DG301">
        <f ca="1"/>
      </c>
      <c r="DH301">
        <f ca="1"/>
      </c>
      <c r="DI301">
        <f ca="1"/>
      </c>
      <c r="DJ301">
        <f ca="1"/>
      </c>
      <c r="DK301">
        <f ca="1"/>
      </c>
      <c r="DL301">
        <f ca="1"/>
      </c>
      <c r="DM301">
        <f ca="1"/>
      </c>
      <c r="DN301">
        <f ca="1"/>
      </c>
      <c r="DO301">
        <f ca="1"/>
      </c>
      <c r="DP301">
        <f ca="1"/>
      </c>
      <c r="DQ301">
        <f ca="1"/>
      </c>
      <c r="DR301">
        <f ca="1"/>
      </c>
      <c r="DS301">
        <f ca="1"/>
      </c>
      <c r="DT301">
        <f ca="1"/>
      </c>
      <c r="DU301">
        <f ca="1"/>
      </c>
      <c r="DV301">
        <f ca="1"/>
      </c>
      <c r="DW301">
        <f ca="1"/>
      </c>
      <c r="DX301">
        <f ca="1"/>
      </c>
      <c r="DY301">
        <f ca="1"/>
      </c>
      <c r="DZ301">
        <f ca="1"/>
      </c>
      <c r="EA301">
        <f ca="1"/>
      </c>
      <c r="EB301">
        <f ca="1"/>
      </c>
      <c r="EC301">
        <f ca="1"/>
      </c>
      <c r="ED301">
        <f ca="1"/>
      </c>
      <c r="EE301">
        <f ca="1"/>
      </c>
      <c r="EG301">
        <f ca="1"/>
      </c>
      <c r="EH301">
        <f ca="1"/>
      </c>
      <c r="EI301">
        <f ca="1"/>
      </c>
      <c r="EJ301">
        <f ca="1"/>
      </c>
      <c r="EK301">
        <f ca="1"/>
      </c>
      <c r="EL301">
        <f ca="1"/>
      </c>
      <c r="EM301">
        <f ca="1"/>
      </c>
      <c r="EN301">
        <f ca="1"/>
      </c>
      <c r="EO301">
        <f ca="1"/>
      </c>
      <c r="EP301">
        <f ca="1"/>
      </c>
      <c r="EQ301">
        <f ca="1"/>
      </c>
      <c r="ER301">
        <f ca="1"/>
      </c>
      <c r="ES301">
        <f ca="1"/>
      </c>
      <c r="ET301">
        <f ca="1"/>
      </c>
      <c r="EU301">
        <f ca="1"/>
      </c>
      <c r="EV301">
        <f ca="1"/>
      </c>
      <c r="EW301">
        <f ca="1"/>
      </c>
      <c r="EX301">
        <f ca="1"/>
      </c>
      <c r="EY301">
        <f ca="1"/>
      </c>
      <c r="EZ301">
        <f ca="1"/>
      </c>
      <c r="FA301">
        <f ca="1"/>
      </c>
      <c r="FB301">
        <f ca="1"/>
      </c>
      <c r="FC301">
        <f ca="1"/>
      </c>
      <c r="FD301">
        <f ca="1"/>
      </c>
      <c r="FE301">
        <f ca="1"/>
      </c>
      <c r="FF301">
        <f ca="1"/>
      </c>
      <c r="FG301">
        <f ca="1"/>
      </c>
      <c r="FH301">
        <f ca="1"/>
      </c>
      <c r="FI301">
        <f ca="1"/>
      </c>
      <c r="FJ301">
        <f ca="1"/>
      </c>
      <c r="FK301">
        <f ca="1"/>
      </c>
      <c r="FL301">
        <f ca="1"/>
      </c>
      <c r="FM301">
        <f ca="1"/>
      </c>
      <c r="FN301">
        <f ca="1"/>
      </c>
      <c r="FO301">
        <f ca="1"/>
      </c>
      <c r="FP301">
        <f ca="1"/>
      </c>
      <c r="FQ301">
        <f ca="1"/>
      </c>
      <c r="FR301">
        <f ca="1"/>
      </c>
      <c r="FS301">
        <f ca="1"/>
      </c>
      <c r="FT301">
        <f ca="1"/>
      </c>
      <c r="FU301">
        <f ca="1"/>
      </c>
      <c r="FV301">
        <f ca="1"/>
      </c>
      <c r="FW301">
        <f ca="1"/>
      </c>
      <c r="FX301">
        <f ca="1"/>
      </c>
      <c r="FY301">
        <f ca="1"/>
      </c>
      <c r="FZ301">
        <f ca="1"/>
      </c>
      <c r="GA301">
        <f ca="1"/>
      </c>
      <c r="GM301" s="7"/>
    </row>
    <row r="302" spans="41:195" x14ac:dyDescent="0.55000000000000004">
      <c r="AO302">
        <f ca="1"/>
      </c>
      <c r="AP302">
        <f ca="1"/>
      </c>
      <c r="AQ302">
        <f ca="1"/>
      </c>
      <c r="AR302">
        <f ca="1"/>
      </c>
      <c r="AS302">
        <f ca="1"/>
      </c>
      <c r="AT302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AZ302">
        <f ca="1"/>
      </c>
      <c r="BA302">
        <f ca="1"/>
      </c>
      <c r="BB302">
        <f ca="1"/>
      </c>
      <c r="BC302">
        <f ca="1"/>
      </c>
      <c r="BD302">
        <f ca="1"/>
      </c>
      <c r="BE302">
        <f ca="1"/>
      </c>
      <c r="BF302">
        <f ca="1"/>
      </c>
      <c r="BG302">
        <f ca="1"/>
      </c>
      <c r="BH302">
        <f ca="1"/>
      </c>
      <c r="BI302">
        <f ca="1"/>
      </c>
      <c r="BJ302">
        <f ca="1"/>
      </c>
      <c r="BK302">
        <f ca="1"/>
      </c>
      <c r="BL302">
        <f ca="1"/>
      </c>
      <c r="BM302">
        <f ca="1"/>
      </c>
      <c r="BN302">
        <f ca="1"/>
      </c>
      <c r="BO302">
        <f ca="1"/>
      </c>
      <c r="BP302">
        <f ca="1"/>
      </c>
      <c r="BQ302">
        <f ca="1"/>
      </c>
      <c r="BR302">
        <f ca="1"/>
      </c>
      <c r="BS302">
        <f ca="1"/>
      </c>
      <c r="BT302">
        <f ca="1"/>
      </c>
      <c r="BU302">
        <f ca="1"/>
      </c>
      <c r="BV302">
        <f ca="1"/>
      </c>
      <c r="BW302">
        <f ca="1"/>
      </c>
      <c r="BX302">
        <f ca="1"/>
      </c>
      <c r="BY302">
        <f ca="1"/>
      </c>
      <c r="BZ302">
        <f ca="1"/>
      </c>
      <c r="CA302">
        <f ca="1"/>
      </c>
      <c r="CB302">
        <f ca="1"/>
      </c>
      <c r="CC302">
        <f ca="1"/>
      </c>
      <c r="CD302">
        <f ca="1"/>
      </c>
      <c r="CE302">
        <f ca="1"/>
      </c>
      <c r="CF302">
        <f ca="1"/>
      </c>
      <c r="CG302">
        <f ca="1"/>
      </c>
      <c r="CH302">
        <f ca="1"/>
      </c>
      <c r="CI302">
        <f ca="1"/>
      </c>
      <c r="CK302">
        <f ca="1"/>
      </c>
      <c r="CL302">
        <f ca="1"/>
      </c>
      <c r="CM302">
        <f ca="1"/>
      </c>
      <c r="CN302">
        <f ca="1"/>
      </c>
      <c r="CO302">
        <f ca="1"/>
      </c>
      <c r="CP302">
        <f ca="1"/>
      </c>
      <c r="CQ302">
        <f ca="1"/>
      </c>
      <c r="CR302">
        <f ca="1"/>
      </c>
      <c r="CS302">
        <f ca="1"/>
      </c>
      <c r="CT302">
        <f ca="1"/>
      </c>
      <c r="CU302">
        <f ca="1"/>
      </c>
      <c r="CV302">
        <f ca="1"/>
      </c>
      <c r="CW302">
        <f ca="1"/>
      </c>
      <c r="CX302">
        <f ca="1"/>
      </c>
      <c r="CY302">
        <f ca="1"/>
      </c>
      <c r="CZ302">
        <f ca="1"/>
      </c>
      <c r="DA302">
        <f ca="1"/>
      </c>
      <c r="DB302">
        <f ca="1"/>
      </c>
      <c r="DC302">
        <f ca="1"/>
      </c>
      <c r="DD302">
        <f ca="1"/>
      </c>
      <c r="DE302">
        <f ca="1"/>
      </c>
      <c r="DF302">
        <f ca="1"/>
      </c>
      <c r="DG302">
        <f ca="1"/>
      </c>
      <c r="DH302">
        <f ca="1"/>
      </c>
      <c r="DI302">
        <f ca="1"/>
      </c>
      <c r="DJ302">
        <f ca="1"/>
      </c>
      <c r="DK302">
        <f ca="1"/>
      </c>
      <c r="DL302">
        <f ca="1"/>
      </c>
      <c r="DM302">
        <f ca="1"/>
      </c>
      <c r="DN302">
        <f ca="1"/>
      </c>
      <c r="DO302">
        <f ca="1"/>
      </c>
      <c r="DP302">
        <f ca="1"/>
      </c>
      <c r="DQ302">
        <f ca="1"/>
      </c>
      <c r="DR302">
        <f ca="1"/>
      </c>
      <c r="DS302">
        <f ca="1"/>
      </c>
      <c r="DT302">
        <f ca="1"/>
      </c>
      <c r="DU302">
        <f ca="1"/>
      </c>
      <c r="DV302">
        <f ca="1"/>
      </c>
      <c r="DW302">
        <f ca="1"/>
      </c>
      <c r="DX302">
        <f ca="1"/>
      </c>
      <c r="DY302">
        <f ca="1"/>
      </c>
      <c r="DZ302">
        <f ca="1"/>
      </c>
      <c r="EA302">
        <f ca="1"/>
      </c>
      <c r="EB302">
        <f ca="1"/>
      </c>
      <c r="EC302">
        <f ca="1"/>
      </c>
      <c r="ED302">
        <f ca="1"/>
      </c>
      <c r="EE302">
        <f ca="1"/>
      </c>
      <c r="EG302">
        <f ca="1"/>
      </c>
      <c r="EH302">
        <f ca="1"/>
      </c>
      <c r="EI302">
        <f ca="1"/>
      </c>
      <c r="EJ302">
        <f ca="1"/>
      </c>
      <c r="EK302">
        <f ca="1"/>
      </c>
      <c r="EL302">
        <f ca="1"/>
      </c>
      <c r="EM302">
        <f ca="1"/>
      </c>
      <c r="EN302">
        <f ca="1"/>
      </c>
      <c r="EO302">
        <f ca="1"/>
      </c>
      <c r="EP302">
        <f ca="1"/>
      </c>
      <c r="EQ302">
        <f ca="1"/>
      </c>
      <c r="ER302">
        <f ca="1"/>
      </c>
      <c r="ES302">
        <f ca="1"/>
      </c>
      <c r="ET302">
        <f ca="1"/>
      </c>
      <c r="EU302">
        <f ca="1"/>
      </c>
      <c r="EV302">
        <f ca="1"/>
      </c>
      <c r="EW302">
        <f ca="1"/>
      </c>
      <c r="EX302">
        <f ca="1"/>
      </c>
      <c r="EY302">
        <f ca="1"/>
      </c>
      <c r="EZ302">
        <f ca="1"/>
      </c>
      <c r="FA302">
        <f ca="1"/>
      </c>
      <c r="FB302">
        <f ca="1"/>
      </c>
      <c r="FC302">
        <f ca="1"/>
      </c>
      <c r="FD302">
        <f ca="1"/>
      </c>
      <c r="FE302">
        <f ca="1"/>
      </c>
      <c r="FF302">
        <f ca="1"/>
      </c>
      <c r="FG302">
        <f ca="1"/>
      </c>
      <c r="FH302">
        <f ca="1"/>
      </c>
      <c r="FI302">
        <f ca="1"/>
      </c>
      <c r="FJ302">
        <f ca="1"/>
      </c>
      <c r="FK302">
        <f ca="1"/>
      </c>
      <c r="FL302">
        <f ca="1"/>
      </c>
      <c r="FM302">
        <f ca="1"/>
      </c>
      <c r="FN302">
        <f ca="1"/>
      </c>
      <c r="FO302">
        <f ca="1"/>
      </c>
      <c r="FP302">
        <f ca="1"/>
      </c>
      <c r="FQ302">
        <f ca="1"/>
      </c>
      <c r="FR302">
        <f ca="1"/>
      </c>
      <c r="FS302">
        <f ca="1"/>
      </c>
      <c r="FT302">
        <f ca="1"/>
      </c>
      <c r="FU302">
        <f ca="1"/>
      </c>
      <c r="FV302">
        <f ca="1"/>
      </c>
      <c r="FW302">
        <f ca="1"/>
      </c>
      <c r="FX302">
        <f ca="1"/>
      </c>
      <c r="FY302">
        <f ca="1"/>
      </c>
      <c r="FZ302">
        <f ca="1"/>
      </c>
      <c r="GA302">
        <f ca="1"/>
      </c>
      <c r="GM302" s="7"/>
    </row>
    <row r="303" spans="41:195" x14ac:dyDescent="0.55000000000000004">
      <c r="AO303">
        <f ca="1"/>
      </c>
      <c r="AP303">
        <f ca="1"/>
      </c>
      <c r="AQ303">
        <f ca="1"/>
      </c>
      <c r="AR303">
        <f ca="1"/>
      </c>
      <c r="AS303">
        <f ca="1"/>
      </c>
      <c r="AT303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AZ303">
        <f ca="1"/>
      </c>
      <c r="BA303">
        <f ca="1"/>
      </c>
      <c r="BB303">
        <f ca="1"/>
      </c>
      <c r="BC303">
        <f ca="1"/>
      </c>
      <c r="BD303">
        <f ca="1"/>
      </c>
      <c r="BE303">
        <f ca="1"/>
      </c>
      <c r="BF303">
        <f ca="1"/>
      </c>
      <c r="BG303">
        <f ca="1"/>
      </c>
      <c r="BH303">
        <f ca="1"/>
      </c>
      <c r="BI303">
        <f ca="1"/>
      </c>
      <c r="BJ303">
        <f ca="1"/>
      </c>
      <c r="BK303">
        <f ca="1"/>
      </c>
      <c r="BL303">
        <f ca="1"/>
      </c>
      <c r="BM303">
        <f ca="1"/>
      </c>
      <c r="BN303">
        <f ca="1"/>
      </c>
      <c r="BO303">
        <f ca="1"/>
      </c>
      <c r="BP303">
        <f ca="1"/>
      </c>
      <c r="BQ303">
        <f ca="1"/>
      </c>
      <c r="BR303">
        <f ca="1"/>
      </c>
      <c r="BS303">
        <f ca="1"/>
      </c>
      <c r="BT303">
        <f ca="1"/>
      </c>
      <c r="BU303">
        <f ca="1"/>
      </c>
      <c r="BV303">
        <f ca="1"/>
      </c>
      <c r="BW303">
        <f ca="1"/>
      </c>
      <c r="BX303">
        <f ca="1"/>
      </c>
      <c r="BY303">
        <f ca="1"/>
      </c>
      <c r="BZ303">
        <f ca="1"/>
      </c>
      <c r="CA303">
        <f ca="1"/>
      </c>
      <c r="CB303">
        <f ca="1"/>
      </c>
      <c r="CC303">
        <f ca="1"/>
      </c>
      <c r="CD303">
        <f ca="1"/>
      </c>
      <c r="CE303">
        <f ca="1"/>
      </c>
      <c r="CF303">
        <f ca="1"/>
      </c>
      <c r="CG303">
        <f ca="1"/>
      </c>
      <c r="CH303">
        <f ca="1"/>
      </c>
      <c r="CI303">
        <f ca="1"/>
      </c>
      <c r="CK303">
        <f ca="1"/>
      </c>
      <c r="CL303">
        <f ca="1"/>
      </c>
      <c r="CM303">
        <f ca="1"/>
      </c>
      <c r="CN303">
        <f ca="1"/>
      </c>
      <c r="CO303">
        <f ca="1"/>
      </c>
      <c r="CP303">
        <f ca="1"/>
      </c>
      <c r="CQ303">
        <f ca="1"/>
      </c>
      <c r="CR303">
        <f ca="1"/>
      </c>
      <c r="CS303">
        <f ca="1"/>
      </c>
      <c r="CT303">
        <f ca="1"/>
      </c>
      <c r="CU303">
        <f ca="1"/>
      </c>
      <c r="CV303">
        <f ca="1"/>
      </c>
      <c r="CW303">
        <f ca="1"/>
      </c>
      <c r="CX303">
        <f ca="1"/>
      </c>
      <c r="CY303">
        <f ca="1"/>
      </c>
      <c r="CZ303">
        <f ca="1"/>
      </c>
      <c r="DA303">
        <f ca="1"/>
      </c>
      <c r="DB303">
        <f ca="1"/>
      </c>
      <c r="DC303">
        <f ca="1"/>
      </c>
      <c r="DD303">
        <f ca="1"/>
      </c>
      <c r="DE303">
        <f ca="1"/>
      </c>
      <c r="DF303">
        <f ca="1"/>
      </c>
      <c r="DG303">
        <f ca="1"/>
      </c>
      <c r="DH303">
        <f ca="1"/>
      </c>
      <c r="DI303">
        <f ca="1"/>
      </c>
      <c r="DJ303">
        <f ca="1"/>
      </c>
      <c r="DK303">
        <f ca="1"/>
      </c>
      <c r="DL303">
        <f ca="1"/>
      </c>
      <c r="DM303">
        <f ca="1"/>
      </c>
      <c r="DN303">
        <f ca="1"/>
      </c>
      <c r="DO303">
        <f ca="1"/>
      </c>
      <c r="DP303">
        <f ca="1"/>
      </c>
      <c r="DQ303">
        <f ca="1"/>
      </c>
      <c r="DR303">
        <f ca="1"/>
      </c>
      <c r="DS303">
        <f ca="1"/>
      </c>
      <c r="DT303">
        <f ca="1"/>
      </c>
      <c r="DU303">
        <f ca="1"/>
      </c>
      <c r="DV303">
        <f ca="1"/>
      </c>
      <c r="DW303">
        <f ca="1"/>
      </c>
      <c r="DX303">
        <f ca="1"/>
      </c>
      <c r="DY303">
        <f ca="1"/>
      </c>
      <c r="DZ303">
        <f ca="1"/>
      </c>
      <c r="EA303">
        <f ca="1"/>
      </c>
      <c r="EB303">
        <f ca="1"/>
      </c>
      <c r="EC303">
        <f ca="1"/>
      </c>
      <c r="ED303">
        <f ca="1"/>
      </c>
      <c r="EE303">
        <f ca="1"/>
      </c>
      <c r="EG303">
        <f ca="1"/>
      </c>
      <c r="EH303">
        <f ca="1"/>
      </c>
      <c r="EI303">
        <f ca="1"/>
      </c>
      <c r="EJ303">
        <f ca="1"/>
      </c>
      <c r="EK303">
        <f ca="1"/>
      </c>
      <c r="EL303">
        <f ca="1"/>
      </c>
      <c r="EM303">
        <f ca="1"/>
      </c>
      <c r="EN303">
        <f ca="1"/>
      </c>
      <c r="EO303">
        <f ca="1"/>
      </c>
      <c r="EP303">
        <f ca="1"/>
      </c>
      <c r="EQ303">
        <f ca="1"/>
      </c>
      <c r="ER303">
        <f ca="1"/>
      </c>
      <c r="ES303">
        <f ca="1"/>
      </c>
      <c r="ET303">
        <f ca="1"/>
      </c>
      <c r="EU303">
        <f ca="1"/>
      </c>
      <c r="EV303">
        <f ca="1"/>
      </c>
      <c r="EW303">
        <f ca="1"/>
      </c>
      <c r="EX303">
        <f ca="1"/>
      </c>
      <c r="EY303">
        <f ca="1"/>
      </c>
      <c r="EZ303">
        <f ca="1"/>
      </c>
      <c r="FA303">
        <f ca="1"/>
      </c>
      <c r="FB303">
        <f ca="1"/>
      </c>
      <c r="FC303">
        <f ca="1"/>
      </c>
      <c r="FD303">
        <f ca="1"/>
      </c>
      <c r="FE303">
        <f ca="1"/>
      </c>
      <c r="FF303">
        <f ca="1"/>
      </c>
      <c r="FG303">
        <f ca="1"/>
      </c>
      <c r="FH303">
        <f ca="1"/>
      </c>
      <c r="FI303">
        <f ca="1"/>
      </c>
      <c r="FJ303">
        <f ca="1"/>
      </c>
      <c r="FK303">
        <f ca="1"/>
      </c>
      <c r="FL303">
        <f ca="1"/>
      </c>
      <c r="FM303">
        <f ca="1"/>
      </c>
      <c r="FN303">
        <f ca="1"/>
      </c>
      <c r="FO303">
        <f ca="1"/>
      </c>
      <c r="FP303">
        <f ca="1"/>
      </c>
      <c r="FQ303">
        <f ca="1"/>
      </c>
      <c r="FR303">
        <f ca="1"/>
      </c>
      <c r="FS303">
        <f ca="1"/>
      </c>
      <c r="FT303">
        <f ca="1"/>
      </c>
      <c r="FU303">
        <f ca="1"/>
      </c>
      <c r="FV303">
        <f ca="1"/>
      </c>
      <c r="FW303">
        <f ca="1"/>
      </c>
      <c r="FX303">
        <f ca="1"/>
      </c>
      <c r="FY303">
        <f ca="1"/>
      </c>
      <c r="FZ303">
        <f ca="1"/>
      </c>
      <c r="GA303">
        <f ca="1"/>
      </c>
      <c r="GM303" s="7"/>
    </row>
    <row r="304" spans="41:195" x14ac:dyDescent="0.55000000000000004">
      <c r="AO304">
        <f ca="1"/>
      </c>
      <c r="AP304">
        <f ca="1"/>
      </c>
      <c r="AQ304">
        <f ca="1"/>
      </c>
      <c r="AR304">
        <f ca="1"/>
      </c>
      <c r="AS304">
        <f ca="1"/>
      </c>
      <c r="AT304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AZ304">
        <f ca="1"/>
      </c>
      <c r="BA304">
        <f ca="1"/>
      </c>
      <c r="BB304">
        <f ca="1"/>
      </c>
      <c r="BC304">
        <f ca="1"/>
      </c>
      <c r="BD304">
        <f ca="1"/>
      </c>
      <c r="BE304">
        <f ca="1"/>
      </c>
      <c r="BF304">
        <f ca="1"/>
      </c>
      <c r="BG304">
        <f ca="1"/>
      </c>
      <c r="BH304">
        <f ca="1"/>
      </c>
      <c r="BI304">
        <f ca="1"/>
      </c>
      <c r="BJ304">
        <f ca="1"/>
      </c>
      <c r="BK304">
        <f ca="1"/>
      </c>
      <c r="BL304">
        <f ca="1"/>
      </c>
      <c r="BM304">
        <f ca="1"/>
      </c>
      <c r="BN304">
        <f ca="1"/>
      </c>
      <c r="BO304">
        <f ca="1"/>
      </c>
      <c r="BP304">
        <f ca="1"/>
      </c>
      <c r="BQ304">
        <f ca="1"/>
      </c>
      <c r="BR304">
        <f ca="1"/>
      </c>
      <c r="BS304">
        <f ca="1"/>
      </c>
      <c r="BT304">
        <f ca="1"/>
      </c>
      <c r="BU304">
        <f ca="1"/>
      </c>
      <c r="BV304">
        <f ca="1"/>
      </c>
      <c r="BW304">
        <f ca="1"/>
      </c>
      <c r="BX304">
        <f ca="1"/>
      </c>
      <c r="BY304">
        <f ca="1"/>
      </c>
      <c r="BZ304">
        <f ca="1"/>
      </c>
      <c r="CA304">
        <f ca="1"/>
      </c>
      <c r="CB304">
        <f ca="1"/>
      </c>
      <c r="CC304">
        <f ca="1"/>
      </c>
      <c r="CD304">
        <f ca="1"/>
      </c>
      <c r="CE304">
        <f ca="1"/>
      </c>
      <c r="CF304">
        <f ca="1"/>
      </c>
      <c r="CG304">
        <f ca="1"/>
      </c>
      <c r="CH304">
        <f ca="1"/>
      </c>
      <c r="CI304">
        <f ca="1"/>
      </c>
      <c r="CK304">
        <f ca="1"/>
      </c>
      <c r="CL304">
        <f ca="1"/>
      </c>
      <c r="CM304">
        <f ca="1"/>
      </c>
      <c r="CN304">
        <f ca="1"/>
      </c>
      <c r="CO304">
        <f ca="1"/>
      </c>
      <c r="CP304">
        <f ca="1"/>
      </c>
      <c r="CQ304">
        <f ca="1"/>
      </c>
      <c r="CR304">
        <f ca="1"/>
      </c>
      <c r="CS304">
        <f ca="1"/>
      </c>
      <c r="CT304">
        <f ca="1"/>
      </c>
      <c r="CU304">
        <f ca="1"/>
      </c>
      <c r="CV304">
        <f ca="1"/>
      </c>
      <c r="CW304">
        <f ca="1"/>
      </c>
      <c r="CX304">
        <f ca="1"/>
      </c>
      <c r="CY304">
        <f ca="1"/>
      </c>
      <c r="CZ304">
        <f ca="1"/>
      </c>
      <c r="DA304">
        <f ca="1"/>
      </c>
      <c r="DB304">
        <f ca="1"/>
      </c>
      <c r="DC304">
        <f ca="1"/>
      </c>
      <c r="DD304">
        <f ca="1"/>
      </c>
      <c r="DE304">
        <f ca="1"/>
      </c>
      <c r="DF304">
        <f ca="1"/>
      </c>
      <c r="DG304">
        <f ca="1"/>
      </c>
      <c r="DH304">
        <f ca="1"/>
      </c>
      <c r="DI304">
        <f ca="1"/>
      </c>
      <c r="DJ304">
        <f ca="1"/>
      </c>
      <c r="DK304">
        <f ca="1"/>
      </c>
      <c r="DL304">
        <f ca="1"/>
      </c>
      <c r="DM304">
        <f ca="1"/>
      </c>
      <c r="DN304">
        <f ca="1"/>
      </c>
      <c r="DO304">
        <f ca="1"/>
      </c>
      <c r="DP304">
        <f ca="1"/>
      </c>
      <c r="DQ304">
        <f ca="1"/>
      </c>
      <c r="DR304">
        <f ca="1"/>
      </c>
      <c r="DS304">
        <f ca="1"/>
      </c>
      <c r="DT304">
        <f ca="1"/>
      </c>
      <c r="DU304">
        <f ca="1"/>
      </c>
      <c r="DV304">
        <f ca="1"/>
      </c>
      <c r="DW304">
        <f ca="1"/>
      </c>
      <c r="DX304">
        <f ca="1"/>
      </c>
      <c r="DY304">
        <f ca="1"/>
      </c>
      <c r="DZ304">
        <f ca="1"/>
      </c>
      <c r="EA304">
        <f ca="1"/>
      </c>
      <c r="EB304">
        <f ca="1"/>
      </c>
      <c r="EC304">
        <f ca="1"/>
      </c>
      <c r="ED304">
        <f ca="1"/>
      </c>
      <c r="EE304">
        <f ca="1"/>
      </c>
      <c r="EG304">
        <f ca="1"/>
      </c>
      <c r="EH304">
        <f ca="1"/>
      </c>
      <c r="EI304">
        <f ca="1"/>
      </c>
      <c r="EJ304">
        <f ca="1"/>
      </c>
      <c r="EK304">
        <f ca="1"/>
      </c>
      <c r="EL304">
        <f ca="1"/>
      </c>
      <c r="EM304">
        <f ca="1"/>
      </c>
      <c r="EN304">
        <f ca="1"/>
      </c>
      <c r="EO304">
        <f ca="1"/>
      </c>
      <c r="EP304">
        <f ca="1"/>
      </c>
      <c r="EQ304">
        <f ca="1"/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FS304">
        <f ca="1"/>
      </c>
      <c r="FT304">
        <f ca="1"/>
      </c>
      <c r="FU304">
        <f ca="1"/>
      </c>
      <c r="FV304">
        <f ca="1"/>
      </c>
      <c r="FW304">
        <f ca="1"/>
      </c>
      <c r="FX304">
        <f ca="1"/>
      </c>
      <c r="FY304">
        <f ca="1"/>
      </c>
      <c r="FZ304">
        <f ca="1"/>
      </c>
      <c r="GA304">
        <f ca="1"/>
      </c>
      <c r="GM304" s="7"/>
    </row>
    <row r="305" spans="41:195" x14ac:dyDescent="0.55000000000000004">
      <c r="AO305">
        <f ca="1"/>
      </c>
      <c r="AP305">
        <f ca="1"/>
      </c>
      <c r="AQ305">
        <f ca="1"/>
      </c>
      <c r="AR305">
        <f ca="1"/>
      </c>
      <c r="AS305">
        <f ca="1"/>
      </c>
      <c r="AT305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AZ305">
        <f ca="1"/>
      </c>
      <c r="BA305">
        <f ca="1"/>
      </c>
      <c r="BB305">
        <f ca="1"/>
      </c>
      <c r="BC305">
        <f ca="1"/>
      </c>
      <c r="BD305">
        <f ca="1"/>
      </c>
      <c r="BE305">
        <f ca="1"/>
      </c>
      <c r="BF305">
        <f ca="1"/>
      </c>
      <c r="BG305">
        <f ca="1"/>
      </c>
      <c r="BH305">
        <f ca="1"/>
      </c>
      <c r="BI305">
        <f ca="1"/>
      </c>
      <c r="BJ305">
        <f ca="1"/>
      </c>
      <c r="BK305">
        <f ca="1"/>
      </c>
      <c r="BL305">
        <f ca="1"/>
      </c>
      <c r="BM305">
        <f ca="1"/>
      </c>
      <c r="BN305">
        <f ca="1"/>
      </c>
      <c r="BO305">
        <f ca="1"/>
      </c>
      <c r="BP305">
        <f ca="1"/>
      </c>
      <c r="BQ305">
        <f ca="1"/>
      </c>
      <c r="BR305">
        <f ca="1"/>
      </c>
      <c r="BS305">
        <f ca="1"/>
      </c>
      <c r="BT305">
        <f ca="1"/>
      </c>
      <c r="BU305">
        <f ca="1"/>
      </c>
      <c r="BV305">
        <f ca="1"/>
      </c>
      <c r="BW305">
        <f ca="1"/>
      </c>
      <c r="BX305">
        <f ca="1"/>
      </c>
      <c r="BY305">
        <f ca="1"/>
      </c>
      <c r="BZ305">
        <f ca="1"/>
      </c>
      <c r="CA305">
        <f ca="1"/>
      </c>
      <c r="CB305">
        <f ca="1"/>
      </c>
      <c r="CC305">
        <f ca="1"/>
      </c>
      <c r="CD305">
        <f ca="1"/>
      </c>
      <c r="CE305">
        <f ca="1"/>
      </c>
      <c r="CF305">
        <f ca="1"/>
      </c>
      <c r="CG305">
        <f ca="1"/>
      </c>
      <c r="CH305">
        <f ca="1"/>
      </c>
      <c r="CI305">
        <f ca="1"/>
      </c>
      <c r="CK305">
        <f ca="1"/>
      </c>
      <c r="CL305">
        <f ca="1"/>
      </c>
      <c r="CM305">
        <f ca="1"/>
      </c>
      <c r="CN305">
        <f ca="1"/>
      </c>
      <c r="CO305">
        <f ca="1"/>
      </c>
      <c r="CP305">
        <f ca="1"/>
      </c>
      <c r="CQ305">
        <f ca="1"/>
      </c>
      <c r="CR305">
        <f ca="1"/>
      </c>
      <c r="CS305">
        <f ca="1"/>
      </c>
      <c r="CT305">
        <f ca="1"/>
      </c>
      <c r="CU305">
        <f ca="1"/>
      </c>
      <c r="CV305">
        <f ca="1"/>
      </c>
      <c r="CW305">
        <f ca="1"/>
      </c>
      <c r="CX305">
        <f ca="1"/>
      </c>
      <c r="CY305">
        <f ca="1"/>
      </c>
      <c r="CZ305">
        <f ca="1"/>
      </c>
      <c r="DA305">
        <f ca="1"/>
      </c>
      <c r="DB305">
        <f ca="1"/>
      </c>
      <c r="DC305">
        <f ca="1"/>
      </c>
      <c r="DD305">
        <f ca="1"/>
      </c>
      <c r="DE305">
        <f ca="1"/>
      </c>
      <c r="DF305">
        <f ca="1"/>
      </c>
      <c r="DG305">
        <f ca="1"/>
      </c>
      <c r="DH305">
        <f ca="1"/>
      </c>
      <c r="DI305">
        <f ca="1"/>
      </c>
      <c r="DJ305">
        <f ca="1"/>
      </c>
      <c r="DK305">
        <f ca="1"/>
      </c>
      <c r="DL305">
        <f ca="1"/>
      </c>
      <c r="DM305">
        <f ca="1"/>
      </c>
      <c r="DN305">
        <f ca="1"/>
      </c>
      <c r="DO305">
        <f ca="1"/>
      </c>
      <c r="DP305">
        <f ca="1"/>
      </c>
      <c r="DQ305">
        <f ca="1"/>
      </c>
      <c r="DR305">
        <f ca="1"/>
      </c>
      <c r="DS305">
        <f ca="1"/>
      </c>
      <c r="DT305">
        <f ca="1"/>
      </c>
      <c r="DU305">
        <f ca="1"/>
      </c>
      <c r="DV305">
        <f ca="1"/>
      </c>
      <c r="DW305">
        <f ca="1"/>
      </c>
      <c r="DX305">
        <f ca="1"/>
      </c>
      <c r="DY305">
        <f ca="1"/>
      </c>
      <c r="DZ305">
        <f ca="1"/>
      </c>
      <c r="EA305">
        <f ca="1"/>
      </c>
      <c r="EB305">
        <f ca="1"/>
      </c>
      <c r="EC305">
        <f ca="1"/>
      </c>
      <c r="ED305">
        <f ca="1"/>
      </c>
      <c r="EE305">
        <f ca="1"/>
      </c>
      <c r="EG305">
        <f ca="1"/>
      </c>
      <c r="EH305">
        <f ca="1"/>
      </c>
      <c r="EI305">
        <f ca="1"/>
      </c>
      <c r="EJ305">
        <f ca="1"/>
      </c>
      <c r="EK305">
        <f ca="1"/>
      </c>
      <c r="EL305">
        <f ca="1"/>
      </c>
      <c r="EM305">
        <f ca="1"/>
      </c>
      <c r="EN305">
        <f ca="1"/>
      </c>
      <c r="EO305">
        <f ca="1"/>
      </c>
      <c r="EP305">
        <f ca="1"/>
      </c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FS305">
        <f ca="1"/>
      </c>
      <c r="FT305">
        <f ca="1"/>
      </c>
      <c r="FU305">
        <f ca="1"/>
      </c>
      <c r="FV305">
        <f ca="1"/>
      </c>
      <c r="FW305">
        <f ca="1"/>
      </c>
      <c r="FX305">
        <f ca="1"/>
      </c>
      <c r="FY305">
        <f ca="1"/>
      </c>
      <c r="FZ305">
        <f ca="1"/>
      </c>
      <c r="GA305">
        <f ca="1"/>
      </c>
      <c r="GM305" s="7"/>
    </row>
    <row r="306" spans="41:195" x14ac:dyDescent="0.55000000000000004">
      <c r="AO306">
        <f ca="1"/>
      </c>
      <c r="AP306">
        <f ca="1"/>
      </c>
      <c r="AQ306">
        <f ca="1"/>
      </c>
      <c r="AR306">
        <f ca="1"/>
      </c>
      <c r="AS306">
        <f ca="1"/>
      </c>
      <c r="AT306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AZ306">
        <f ca="1"/>
      </c>
      <c r="BA306">
        <f ca="1"/>
      </c>
      <c r="BB306">
        <f ca="1"/>
      </c>
      <c r="BC306">
        <f ca="1"/>
      </c>
      <c r="BD306">
        <f ca="1"/>
      </c>
      <c r="BE306">
        <f ca="1"/>
      </c>
      <c r="BF306">
        <f ca="1"/>
      </c>
      <c r="BG306">
        <f ca="1"/>
      </c>
      <c r="BH306">
        <f ca="1"/>
      </c>
      <c r="BI306">
        <f ca="1"/>
      </c>
      <c r="BJ306">
        <f ca="1"/>
      </c>
      <c r="BK306">
        <f ca="1"/>
      </c>
      <c r="BL306">
        <f ca="1"/>
      </c>
      <c r="BM306">
        <f ca="1"/>
      </c>
      <c r="BN306">
        <f ca="1"/>
      </c>
      <c r="BO306">
        <f ca="1"/>
      </c>
      <c r="BP306">
        <f ca="1"/>
      </c>
      <c r="BQ306">
        <f ca="1"/>
      </c>
      <c r="BR306">
        <f ca="1"/>
      </c>
      <c r="BS306">
        <f ca="1"/>
      </c>
      <c r="BT306">
        <f ca="1"/>
      </c>
      <c r="BU306">
        <f ca="1"/>
      </c>
      <c r="BV306">
        <f ca="1"/>
      </c>
      <c r="BW306">
        <f ca="1"/>
      </c>
      <c r="BX306">
        <f ca="1"/>
      </c>
      <c r="BY306">
        <f ca="1"/>
      </c>
      <c r="BZ306">
        <f ca="1"/>
      </c>
      <c r="CA306">
        <f ca="1"/>
      </c>
      <c r="CB306">
        <f ca="1"/>
      </c>
      <c r="CC306">
        <f ca="1"/>
      </c>
      <c r="CD306">
        <f ca="1"/>
      </c>
      <c r="CE306">
        <f ca="1"/>
      </c>
      <c r="CF306">
        <f ca="1"/>
      </c>
      <c r="CG306">
        <f ca="1"/>
      </c>
      <c r="CH306">
        <f ca="1"/>
      </c>
      <c r="CI306">
        <f ca="1"/>
      </c>
      <c r="CK306">
        <f ca="1"/>
      </c>
      <c r="CL306">
        <f ca="1"/>
      </c>
      <c r="CM306">
        <f ca="1"/>
      </c>
      <c r="CN306">
        <f ca="1"/>
      </c>
      <c r="CO306">
        <f ca="1"/>
      </c>
      <c r="CP306">
        <f ca="1"/>
      </c>
      <c r="CQ306">
        <f ca="1"/>
      </c>
      <c r="CR306">
        <f ca="1"/>
      </c>
      <c r="CS306">
        <f ca="1"/>
      </c>
      <c r="CT306">
        <f ca="1"/>
      </c>
      <c r="CU306">
        <f ca="1"/>
      </c>
      <c r="CV306">
        <f ca="1"/>
      </c>
      <c r="CW306">
        <f ca="1"/>
      </c>
      <c r="CX306">
        <f ca="1"/>
      </c>
      <c r="CY306">
        <f ca="1"/>
      </c>
      <c r="CZ306">
        <f ca="1"/>
      </c>
      <c r="DA306">
        <f ca="1"/>
      </c>
      <c r="DB306">
        <f ca="1"/>
      </c>
      <c r="DC306">
        <f ca="1"/>
      </c>
      <c r="DD306">
        <f ca="1"/>
      </c>
      <c r="DE306">
        <f ca="1"/>
      </c>
      <c r="DF306">
        <f ca="1"/>
      </c>
      <c r="DG306">
        <f ca="1"/>
      </c>
      <c r="DH306">
        <f ca="1"/>
      </c>
      <c r="DI306">
        <f ca="1"/>
      </c>
      <c r="DJ306">
        <f ca="1"/>
      </c>
      <c r="DK306">
        <f ca="1"/>
      </c>
      <c r="DL306">
        <f ca="1"/>
      </c>
      <c r="DM306">
        <f ca="1"/>
      </c>
      <c r="DN306">
        <f ca="1"/>
      </c>
      <c r="DO306">
        <f ca="1"/>
      </c>
      <c r="DP306">
        <f ca="1"/>
      </c>
      <c r="DQ306">
        <f ca="1"/>
      </c>
      <c r="DR306">
        <f ca="1"/>
      </c>
      <c r="DS306">
        <f ca="1"/>
      </c>
      <c r="DT306">
        <f ca="1"/>
      </c>
      <c r="DU306">
        <f ca="1"/>
      </c>
      <c r="DV306">
        <f ca="1"/>
      </c>
      <c r="DW306">
        <f ca="1"/>
      </c>
      <c r="DX306">
        <f ca="1"/>
      </c>
      <c r="DY306">
        <f ca="1"/>
      </c>
      <c r="DZ306">
        <f ca="1"/>
      </c>
      <c r="EA306">
        <f ca="1"/>
      </c>
      <c r="EB306">
        <f ca="1"/>
      </c>
      <c r="EC306">
        <f ca="1"/>
      </c>
      <c r="ED306">
        <f ca="1"/>
      </c>
      <c r="EE306">
        <f ca="1"/>
      </c>
      <c r="EG306">
        <f ca="1"/>
      </c>
      <c r="EH306">
        <f ca="1"/>
      </c>
      <c r="EI306">
        <f ca="1"/>
      </c>
      <c r="EJ306">
        <f ca="1"/>
      </c>
      <c r="EK306">
        <f ca="1"/>
      </c>
      <c r="EL306">
        <f ca="1"/>
      </c>
      <c r="EM306">
        <f ca="1"/>
      </c>
      <c r="EN306">
        <f ca="1"/>
      </c>
      <c r="EO306">
        <f ca="1"/>
      </c>
      <c r="EP306">
        <f ca="1"/>
      </c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FS306">
        <f ca="1"/>
      </c>
      <c r="FT306">
        <f ca="1"/>
      </c>
      <c r="FU306">
        <f ca="1"/>
      </c>
      <c r="FV306">
        <f ca="1"/>
      </c>
      <c r="FW306">
        <f ca="1"/>
      </c>
      <c r="FX306">
        <f ca="1"/>
      </c>
      <c r="FY306">
        <f ca="1"/>
      </c>
      <c r="FZ306">
        <f ca="1"/>
      </c>
      <c r="GA306">
        <f ca="1"/>
      </c>
      <c r="GM306" s="7"/>
    </row>
    <row r="307" spans="41:195" x14ac:dyDescent="0.55000000000000004">
      <c r="AO307">
        <f ca="1"/>
      </c>
      <c r="AP307">
        <f ca="1"/>
      </c>
      <c r="AQ307">
        <f ca="1"/>
      </c>
      <c r="AR307">
        <f ca="1"/>
      </c>
      <c r="AS307">
        <f ca="1"/>
      </c>
      <c r="AT30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AZ307">
        <f ca="1"/>
      </c>
      <c r="BA307">
        <f ca="1"/>
      </c>
      <c r="BB307">
        <f ca="1"/>
      </c>
      <c r="BC307">
        <f ca="1"/>
      </c>
      <c r="BD307">
        <f ca="1"/>
      </c>
      <c r="BE307">
        <f ca="1"/>
      </c>
      <c r="BF307">
        <f ca="1"/>
      </c>
      <c r="BG307">
        <f ca="1"/>
      </c>
      <c r="BH307">
        <f ca="1"/>
      </c>
      <c r="BI307">
        <f ca="1"/>
      </c>
      <c r="BJ307">
        <f ca="1"/>
      </c>
      <c r="BK307">
        <f ca="1"/>
      </c>
      <c r="BL307">
        <f ca="1"/>
      </c>
      <c r="BM307">
        <f ca="1"/>
      </c>
      <c r="BN307">
        <f ca="1"/>
      </c>
      <c r="BO307">
        <f ca="1"/>
      </c>
      <c r="BP307">
        <f ca="1"/>
      </c>
      <c r="BQ307">
        <f ca="1"/>
      </c>
      <c r="BR307">
        <f ca="1"/>
      </c>
      <c r="BS307">
        <f ca="1"/>
      </c>
      <c r="BT307">
        <f ca="1"/>
      </c>
      <c r="BU307">
        <f ca="1"/>
      </c>
      <c r="BV307">
        <f ca="1"/>
      </c>
      <c r="BW307">
        <f ca="1"/>
      </c>
      <c r="BX307">
        <f ca="1"/>
      </c>
      <c r="BY307">
        <f ca="1"/>
      </c>
      <c r="BZ307">
        <f ca="1"/>
      </c>
      <c r="CA307">
        <f ca="1"/>
      </c>
      <c r="CB307">
        <f ca="1"/>
      </c>
      <c r="CC307">
        <f ca="1"/>
      </c>
      <c r="CD307">
        <f ca="1"/>
      </c>
      <c r="CE307">
        <f ca="1"/>
      </c>
      <c r="CF307">
        <f ca="1"/>
      </c>
      <c r="CG307">
        <f ca="1"/>
      </c>
      <c r="CH307">
        <f ca="1"/>
      </c>
      <c r="CI307">
        <f ca="1"/>
      </c>
      <c r="CK307">
        <f ca="1"/>
      </c>
      <c r="CL307">
        <f ca="1"/>
      </c>
      <c r="CM307">
        <f ca="1"/>
      </c>
      <c r="CN307">
        <f ca="1"/>
      </c>
      <c r="CO307">
        <f ca="1"/>
      </c>
      <c r="CP307">
        <f ca="1"/>
      </c>
      <c r="CQ307">
        <f ca="1"/>
      </c>
      <c r="CR307">
        <f ca="1"/>
      </c>
      <c r="CS307">
        <f ca="1"/>
      </c>
      <c r="CT307">
        <f ca="1"/>
      </c>
      <c r="CU307">
        <f ca="1"/>
      </c>
      <c r="CV307">
        <f ca="1"/>
      </c>
      <c r="CW307">
        <f ca="1"/>
      </c>
      <c r="CX307">
        <f ca="1"/>
      </c>
      <c r="CY307">
        <f ca="1"/>
      </c>
      <c r="CZ307">
        <f ca="1"/>
      </c>
      <c r="DA307">
        <f ca="1"/>
      </c>
      <c r="DB307">
        <f ca="1"/>
      </c>
      <c r="DC307">
        <f ca="1"/>
      </c>
      <c r="DD307">
        <f ca="1"/>
      </c>
      <c r="DE307">
        <f ca="1"/>
      </c>
      <c r="DF307">
        <f ca="1"/>
      </c>
      <c r="DG307">
        <f ca="1"/>
      </c>
      <c r="DH307">
        <f ca="1"/>
      </c>
      <c r="DI307">
        <f ca="1"/>
      </c>
      <c r="DJ307">
        <f ca="1"/>
      </c>
      <c r="DK307">
        <f ca="1"/>
      </c>
      <c r="DL307">
        <f ca="1"/>
      </c>
      <c r="DM307">
        <f ca="1"/>
      </c>
      <c r="DN307">
        <f ca="1"/>
      </c>
      <c r="DO307">
        <f ca="1"/>
      </c>
      <c r="DP307">
        <f ca="1"/>
      </c>
      <c r="DQ307">
        <f ca="1"/>
      </c>
      <c r="DR307">
        <f ca="1"/>
      </c>
      <c r="DS307">
        <f ca="1"/>
      </c>
      <c r="DT307">
        <f ca="1"/>
      </c>
      <c r="DU307">
        <f ca="1"/>
      </c>
      <c r="DV307">
        <f ca="1"/>
      </c>
      <c r="DW307">
        <f ca="1"/>
      </c>
      <c r="DX307">
        <f ca="1"/>
      </c>
      <c r="DY307">
        <f ca="1"/>
      </c>
      <c r="DZ307">
        <f ca="1"/>
      </c>
      <c r="EA307">
        <f ca="1"/>
      </c>
      <c r="EB307">
        <f ca="1"/>
      </c>
      <c r="EC307">
        <f ca="1"/>
      </c>
      <c r="ED307">
        <f ca="1"/>
      </c>
      <c r="EE307">
        <f ca="1"/>
      </c>
      <c r="EG307">
        <f ca="1"/>
      </c>
      <c r="EH307">
        <f ca="1"/>
      </c>
      <c r="EI307">
        <f ca="1"/>
      </c>
      <c r="EJ307">
        <f ca="1"/>
      </c>
      <c r="EK307">
        <f ca="1"/>
      </c>
      <c r="EL307">
        <f ca="1"/>
      </c>
      <c r="EM307">
        <f ca="1"/>
      </c>
      <c r="EN307">
        <f ca="1"/>
      </c>
      <c r="EO307">
        <f ca="1"/>
      </c>
      <c r="EP307">
        <f ca="1"/>
      </c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FS307">
        <f ca="1"/>
      </c>
      <c r="FT307">
        <f ca="1"/>
      </c>
      <c r="FU307">
        <f ca="1"/>
      </c>
      <c r="FV307">
        <f ca="1"/>
      </c>
      <c r="FW307">
        <f ca="1"/>
      </c>
      <c r="FX307">
        <f ca="1"/>
      </c>
      <c r="FY307">
        <f ca="1"/>
      </c>
      <c r="FZ307">
        <f ca="1"/>
      </c>
      <c r="GA307">
        <f ca="1"/>
      </c>
      <c r="GM307" s="7"/>
    </row>
    <row r="308" spans="41:195" x14ac:dyDescent="0.55000000000000004">
      <c r="AO308">
        <f ca="1"/>
      </c>
      <c r="AP308">
        <f ca="1"/>
      </c>
      <c r="AQ308">
        <f ca="1"/>
      </c>
      <c r="AR308">
        <f ca="1"/>
      </c>
      <c r="AS308">
        <f ca="1"/>
      </c>
      <c r="AT308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AZ308">
        <f ca="1"/>
      </c>
      <c r="BA308">
        <f ca="1"/>
      </c>
      <c r="BB308">
        <f ca="1"/>
      </c>
      <c r="BC308">
        <f ca="1"/>
      </c>
      <c r="BD308">
        <f ca="1"/>
      </c>
      <c r="BE308">
        <f ca="1"/>
      </c>
      <c r="BF308">
        <f ca="1"/>
      </c>
      <c r="BG308">
        <f ca="1"/>
      </c>
      <c r="BH308">
        <f ca="1"/>
      </c>
      <c r="BI308">
        <f ca="1"/>
      </c>
      <c r="BJ308">
        <f ca="1"/>
      </c>
      <c r="BK308">
        <f ca="1"/>
      </c>
      <c r="BL308">
        <f ca="1"/>
      </c>
      <c r="BM308">
        <f ca="1"/>
      </c>
      <c r="BN308">
        <f ca="1"/>
      </c>
      <c r="BO308">
        <f ca="1"/>
      </c>
      <c r="BP308">
        <f ca="1"/>
      </c>
      <c r="BQ308">
        <f ca="1"/>
      </c>
      <c r="BR308">
        <f ca="1"/>
      </c>
      <c r="BS308">
        <f ca="1"/>
      </c>
      <c r="BT308">
        <f ca="1"/>
      </c>
      <c r="BU308">
        <f ca="1"/>
      </c>
      <c r="BV308">
        <f ca="1"/>
      </c>
      <c r="BW308">
        <f ca="1"/>
      </c>
      <c r="BX308">
        <f ca="1"/>
      </c>
      <c r="BY308">
        <f ca="1"/>
      </c>
      <c r="BZ308">
        <f ca="1"/>
      </c>
      <c r="CA308">
        <f ca="1"/>
      </c>
      <c r="CB308">
        <f ca="1"/>
      </c>
      <c r="CC308">
        <f ca="1"/>
      </c>
      <c r="CD308">
        <f ca="1"/>
      </c>
      <c r="CE308">
        <f ca="1"/>
      </c>
      <c r="CF308">
        <f ca="1"/>
      </c>
      <c r="CG308">
        <f ca="1"/>
      </c>
      <c r="CH308">
        <f ca="1"/>
      </c>
      <c r="CI308">
        <f ca="1"/>
      </c>
      <c r="CK308">
        <f ca="1"/>
      </c>
      <c r="CL308">
        <f ca="1"/>
      </c>
      <c r="CM308">
        <f ca="1"/>
      </c>
      <c r="CN308">
        <f ca="1"/>
      </c>
      <c r="CO308">
        <f ca="1"/>
      </c>
      <c r="CP308">
        <f ca="1"/>
      </c>
      <c r="CQ308">
        <f ca="1"/>
      </c>
      <c r="CR308">
        <f ca="1"/>
      </c>
      <c r="CS308">
        <f ca="1"/>
      </c>
      <c r="CT308">
        <f ca="1"/>
      </c>
      <c r="CU308">
        <f ca="1"/>
      </c>
      <c r="CV308">
        <f ca="1"/>
      </c>
      <c r="CW308">
        <f ca="1"/>
      </c>
      <c r="CX308">
        <f ca="1"/>
      </c>
      <c r="CY308">
        <f ca="1"/>
      </c>
      <c r="CZ308">
        <f ca="1"/>
      </c>
      <c r="DA308">
        <f ca="1"/>
      </c>
      <c r="DB308">
        <f ca="1"/>
      </c>
      <c r="DC308">
        <f ca="1"/>
      </c>
      <c r="DD308">
        <f ca="1"/>
      </c>
      <c r="DE308">
        <f ca="1"/>
      </c>
      <c r="DF308">
        <f ca="1"/>
      </c>
      <c r="DG308">
        <f ca="1"/>
      </c>
      <c r="DH308">
        <f ca="1"/>
      </c>
      <c r="DI308">
        <f ca="1"/>
      </c>
      <c r="DJ308">
        <f ca="1"/>
      </c>
      <c r="DK308">
        <f ca="1"/>
      </c>
      <c r="DL308">
        <f ca="1"/>
      </c>
      <c r="DM308">
        <f ca="1"/>
      </c>
      <c r="DN308">
        <f ca="1"/>
      </c>
      <c r="DO308">
        <f ca="1"/>
      </c>
      <c r="DP308">
        <f ca="1"/>
      </c>
      <c r="DQ308">
        <f ca="1"/>
      </c>
      <c r="DR308">
        <f ca="1"/>
      </c>
      <c r="DS308">
        <f ca="1"/>
      </c>
      <c r="DT308">
        <f ca="1"/>
      </c>
      <c r="DU308">
        <f ca="1"/>
      </c>
      <c r="DV308">
        <f ca="1"/>
      </c>
      <c r="DW308">
        <f ca="1"/>
      </c>
      <c r="DX308">
        <f ca="1"/>
      </c>
      <c r="DY308">
        <f ca="1"/>
      </c>
      <c r="DZ308">
        <f ca="1"/>
      </c>
      <c r="EA308">
        <f ca="1"/>
      </c>
      <c r="EB308">
        <f ca="1"/>
      </c>
      <c r="EC308">
        <f ca="1"/>
      </c>
      <c r="ED308">
        <f ca="1"/>
      </c>
      <c r="EE308">
        <f ca="1"/>
      </c>
      <c r="EG308">
        <f ca="1"/>
      </c>
      <c r="EH308">
        <f ca="1"/>
      </c>
      <c r="EI308">
        <f ca="1"/>
      </c>
      <c r="EJ308">
        <f ca="1"/>
      </c>
      <c r="EK308">
        <f ca="1"/>
      </c>
      <c r="EL308">
        <f ca="1"/>
      </c>
      <c r="EM308">
        <f ca="1"/>
      </c>
      <c r="EN308">
        <f ca="1"/>
      </c>
      <c r="EO308">
        <f ca="1"/>
      </c>
      <c r="EP308">
        <f ca="1"/>
      </c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FS308">
        <f ca="1"/>
      </c>
      <c r="FT308">
        <f ca="1"/>
      </c>
      <c r="FU308">
        <f ca="1"/>
      </c>
      <c r="FV308">
        <f ca="1"/>
      </c>
      <c r="FW308">
        <f ca="1"/>
      </c>
      <c r="FX308">
        <f ca="1"/>
      </c>
      <c r="FY308">
        <f ca="1"/>
      </c>
      <c r="FZ308">
        <f ca="1"/>
      </c>
      <c r="GA308">
        <f ca="1"/>
      </c>
      <c r="GM308" s="7"/>
    </row>
    <row r="309" spans="41:195" x14ac:dyDescent="0.55000000000000004">
      <c r="AO309">
        <f ca="1"/>
      </c>
      <c r="AP309">
        <f ca="1"/>
      </c>
      <c r="AQ309">
        <f ca="1"/>
      </c>
      <c r="AR309">
        <f ca="1"/>
      </c>
      <c r="AS309">
        <f ca="1"/>
      </c>
      <c r="AT309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AZ309">
        <f ca="1"/>
      </c>
      <c r="BA309">
        <f ca="1"/>
      </c>
      <c r="BB309">
        <f ca="1"/>
      </c>
      <c r="BC309">
        <f ca="1"/>
      </c>
      <c r="BD309">
        <f ca="1"/>
      </c>
      <c r="BE309">
        <f ca="1"/>
      </c>
      <c r="BF309">
        <f ca="1"/>
      </c>
      <c r="BG309">
        <f ca="1"/>
      </c>
      <c r="BH309">
        <f ca="1"/>
      </c>
      <c r="BI309">
        <f ca="1"/>
      </c>
      <c r="BJ309">
        <f ca="1"/>
      </c>
      <c r="BK309">
        <f ca="1"/>
      </c>
      <c r="BL309">
        <f ca="1"/>
      </c>
      <c r="BM309">
        <f ca="1"/>
      </c>
      <c r="BN309">
        <f ca="1"/>
      </c>
      <c r="BO309">
        <f ca="1"/>
      </c>
      <c r="BP309">
        <f ca="1"/>
      </c>
      <c r="BQ309">
        <f ca="1"/>
      </c>
      <c r="BR309">
        <f ca="1"/>
      </c>
      <c r="BS309">
        <f ca="1"/>
      </c>
      <c r="BT309">
        <f ca="1"/>
      </c>
      <c r="BU309">
        <f ca="1"/>
      </c>
      <c r="BV309">
        <f ca="1"/>
      </c>
      <c r="BW309">
        <f ca="1"/>
      </c>
      <c r="BX309">
        <f ca="1"/>
      </c>
      <c r="BY309">
        <f ca="1"/>
      </c>
      <c r="BZ309">
        <f ca="1"/>
      </c>
      <c r="CA309">
        <f ca="1"/>
      </c>
      <c r="CB309">
        <f ca="1"/>
      </c>
      <c r="CC309">
        <f ca="1"/>
      </c>
      <c r="CD309">
        <f ca="1"/>
      </c>
      <c r="CE309">
        <f ca="1"/>
      </c>
      <c r="CF309">
        <f ca="1"/>
      </c>
      <c r="CG309">
        <f ca="1"/>
      </c>
      <c r="CH309">
        <f ca="1"/>
      </c>
      <c r="CI309">
        <f ca="1"/>
      </c>
      <c r="CK309">
        <f ca="1"/>
      </c>
      <c r="CL309">
        <f ca="1"/>
      </c>
      <c r="CM309">
        <f ca="1"/>
      </c>
      <c r="CN309">
        <f ca="1"/>
      </c>
      <c r="CO309">
        <f ca="1"/>
      </c>
      <c r="CP309">
        <f ca="1"/>
      </c>
      <c r="CQ309">
        <f ca="1"/>
      </c>
      <c r="CR309">
        <f ca="1"/>
      </c>
      <c r="CS309">
        <f ca="1"/>
      </c>
      <c r="CT309">
        <f ca="1"/>
      </c>
      <c r="CU309">
        <f ca="1"/>
      </c>
      <c r="CV309">
        <f ca="1"/>
      </c>
      <c r="CW309">
        <f ca="1"/>
      </c>
      <c r="CX309">
        <f ca="1"/>
      </c>
      <c r="CY309">
        <f ca="1"/>
      </c>
      <c r="CZ309">
        <f ca="1"/>
      </c>
      <c r="DA309">
        <f ca="1"/>
      </c>
      <c r="DB309">
        <f ca="1"/>
      </c>
      <c r="DC309">
        <f ca="1"/>
      </c>
      <c r="DD309">
        <f ca="1"/>
      </c>
      <c r="DE309">
        <f ca="1"/>
      </c>
      <c r="DF309">
        <f ca="1"/>
      </c>
      <c r="DG309">
        <f ca="1"/>
      </c>
      <c r="DH309">
        <f ca="1"/>
      </c>
      <c r="DI309">
        <f ca="1"/>
      </c>
      <c r="DJ309">
        <f ca="1"/>
      </c>
      <c r="DK309">
        <f ca="1"/>
      </c>
      <c r="DL309">
        <f ca="1"/>
      </c>
      <c r="DM309">
        <f ca="1"/>
      </c>
      <c r="DN309">
        <f ca="1"/>
      </c>
      <c r="DO309">
        <f ca="1"/>
      </c>
      <c r="DP309">
        <f ca="1"/>
      </c>
      <c r="DQ309">
        <f ca="1"/>
      </c>
      <c r="DR309">
        <f ca="1"/>
      </c>
      <c r="DS309">
        <f ca="1"/>
      </c>
      <c r="DT309">
        <f ca="1"/>
      </c>
      <c r="DU309">
        <f ca="1"/>
      </c>
      <c r="DV309">
        <f ca="1"/>
      </c>
      <c r="DW309">
        <f ca="1"/>
      </c>
      <c r="DX309">
        <f ca="1"/>
      </c>
      <c r="DY309">
        <f ca="1"/>
      </c>
      <c r="DZ309">
        <f ca="1"/>
      </c>
      <c r="EA309">
        <f ca="1"/>
      </c>
      <c r="EB309">
        <f ca="1"/>
      </c>
      <c r="EC309">
        <f ca="1"/>
      </c>
      <c r="ED309">
        <f ca="1"/>
      </c>
      <c r="EE309">
        <f ca="1"/>
      </c>
      <c r="EG309">
        <f ca="1"/>
      </c>
      <c r="EH309">
        <f ca="1"/>
      </c>
      <c r="EI309">
        <f ca="1"/>
      </c>
      <c r="EJ309">
        <f ca="1"/>
      </c>
      <c r="EK309">
        <f ca="1"/>
      </c>
      <c r="EL309">
        <f ca="1"/>
      </c>
      <c r="EM309">
        <f ca="1"/>
      </c>
      <c r="EN309">
        <f ca="1"/>
      </c>
      <c r="EO309">
        <f ca="1"/>
      </c>
      <c r="EP309">
        <f ca="1"/>
      </c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FS309">
        <f ca="1"/>
      </c>
      <c r="FT309">
        <f ca="1"/>
      </c>
      <c r="FU309">
        <f ca="1"/>
      </c>
      <c r="FV309">
        <f ca="1"/>
      </c>
      <c r="FW309">
        <f ca="1"/>
      </c>
      <c r="FX309">
        <f ca="1"/>
      </c>
      <c r="FY309">
        <f ca="1"/>
      </c>
      <c r="FZ309">
        <f ca="1"/>
      </c>
      <c r="GA309">
        <f ca="1"/>
      </c>
      <c r="GM309" s="7"/>
    </row>
    <row r="310" spans="41:195" x14ac:dyDescent="0.55000000000000004">
      <c r="AO310">
        <f ca="1"/>
      </c>
      <c r="AP310">
        <f ca="1"/>
      </c>
      <c r="AQ310">
        <f ca="1"/>
      </c>
      <c r="AR310">
        <f ca="1"/>
      </c>
      <c r="AS310">
        <f ca="1"/>
      </c>
      <c r="AT310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AZ310">
        <f ca="1"/>
      </c>
      <c r="BA310">
        <f ca="1"/>
      </c>
      <c r="BB310">
        <f ca="1"/>
      </c>
      <c r="BC310">
        <f ca="1"/>
      </c>
      <c r="BD310">
        <f ca="1"/>
      </c>
      <c r="BE310">
        <f ca="1"/>
      </c>
      <c r="BF310">
        <f ca="1"/>
      </c>
      <c r="BG310">
        <f ca="1"/>
      </c>
      <c r="BH310">
        <f ca="1"/>
      </c>
      <c r="BI310">
        <f ca="1"/>
      </c>
      <c r="BJ310">
        <f ca="1"/>
      </c>
      <c r="BK310">
        <f ca="1"/>
      </c>
      <c r="BL310">
        <f ca="1"/>
      </c>
      <c r="BM310">
        <f ca="1"/>
      </c>
      <c r="BN310">
        <f ca="1"/>
      </c>
      <c r="BO310">
        <f ca="1"/>
      </c>
      <c r="BP310">
        <f ca="1"/>
      </c>
      <c r="BQ310">
        <f ca="1"/>
      </c>
      <c r="BR310">
        <f ca="1"/>
      </c>
      <c r="BS310">
        <f ca="1"/>
      </c>
      <c r="BT310">
        <f ca="1"/>
      </c>
      <c r="BU310">
        <f ca="1"/>
      </c>
      <c r="BV310">
        <f ca="1"/>
      </c>
      <c r="BW310">
        <f ca="1"/>
      </c>
      <c r="BX310">
        <f ca="1"/>
      </c>
      <c r="BY310">
        <f ca="1"/>
      </c>
      <c r="BZ310">
        <f ca="1"/>
      </c>
      <c r="CA310">
        <f ca="1"/>
      </c>
      <c r="CB310">
        <f ca="1"/>
      </c>
      <c r="CC310">
        <f ca="1"/>
      </c>
      <c r="CD310">
        <f ca="1"/>
      </c>
      <c r="CE310">
        <f ca="1"/>
      </c>
      <c r="CF310">
        <f ca="1"/>
      </c>
      <c r="CG310">
        <f ca="1"/>
      </c>
      <c r="CH310">
        <f ca="1"/>
      </c>
      <c r="CI310">
        <f ca="1"/>
      </c>
      <c r="CK310">
        <f ca="1"/>
      </c>
      <c r="CL310">
        <f ca="1"/>
      </c>
      <c r="CM310">
        <f ca="1"/>
      </c>
      <c r="CN310">
        <f ca="1"/>
      </c>
      <c r="CO310">
        <f ca="1"/>
      </c>
      <c r="CP310">
        <f ca="1"/>
      </c>
      <c r="CQ310">
        <f ca="1"/>
      </c>
      <c r="CR310">
        <f ca="1"/>
      </c>
      <c r="CS310">
        <f ca="1"/>
      </c>
      <c r="CT310">
        <f ca="1"/>
      </c>
      <c r="CU310">
        <f ca="1"/>
      </c>
      <c r="CV310">
        <f ca="1"/>
      </c>
      <c r="CW310">
        <f ca="1"/>
      </c>
      <c r="CX310">
        <f ca="1"/>
      </c>
      <c r="CY310">
        <f ca="1"/>
      </c>
      <c r="CZ310">
        <f ca="1"/>
      </c>
      <c r="DA310">
        <f ca="1"/>
      </c>
      <c r="DB310">
        <f ca="1"/>
      </c>
      <c r="DC310">
        <f ca="1"/>
      </c>
      <c r="DD310">
        <f ca="1"/>
      </c>
      <c r="DE310">
        <f ca="1"/>
      </c>
      <c r="DF310">
        <f ca="1"/>
      </c>
      <c r="DG310">
        <f ca="1"/>
      </c>
      <c r="DH310">
        <f ca="1"/>
      </c>
      <c r="DI310">
        <f ca="1"/>
      </c>
      <c r="DJ310">
        <f ca="1"/>
      </c>
      <c r="DK310">
        <f ca="1"/>
      </c>
      <c r="DL310">
        <f ca="1"/>
      </c>
      <c r="DM310">
        <f ca="1"/>
      </c>
      <c r="DN310">
        <f ca="1"/>
      </c>
      <c r="DO310">
        <f ca="1"/>
      </c>
      <c r="DP310">
        <f ca="1"/>
      </c>
      <c r="DQ310">
        <f ca="1"/>
      </c>
      <c r="DR310">
        <f ca="1"/>
      </c>
      <c r="DS310">
        <f ca="1"/>
      </c>
      <c r="DT310">
        <f ca="1"/>
      </c>
      <c r="DU310">
        <f ca="1"/>
      </c>
      <c r="DV310">
        <f ca="1"/>
      </c>
      <c r="DW310">
        <f ca="1"/>
      </c>
      <c r="DX310">
        <f ca="1"/>
      </c>
      <c r="DY310">
        <f ca="1"/>
      </c>
      <c r="DZ310">
        <f ca="1"/>
      </c>
      <c r="EA310">
        <f ca="1"/>
      </c>
      <c r="EB310">
        <f ca="1"/>
      </c>
      <c r="EC310">
        <f ca="1"/>
      </c>
      <c r="ED310">
        <f ca="1"/>
      </c>
      <c r="EE310">
        <f ca="1"/>
      </c>
      <c r="EG310">
        <f ca="1"/>
      </c>
      <c r="EH310">
        <f ca="1"/>
      </c>
      <c r="EI310">
        <f ca="1"/>
      </c>
      <c r="EJ310">
        <f ca="1"/>
      </c>
      <c r="EK310">
        <f ca="1"/>
      </c>
      <c r="EL310">
        <f ca="1"/>
      </c>
      <c r="EM310">
        <f ca="1"/>
      </c>
      <c r="EN310">
        <f ca="1"/>
      </c>
      <c r="EO310">
        <f ca="1"/>
      </c>
      <c r="EP310">
        <f ca="1"/>
      </c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FS310">
        <f ca="1"/>
      </c>
      <c r="FT310">
        <f ca="1"/>
      </c>
      <c r="FU310">
        <f ca="1"/>
      </c>
      <c r="FV310">
        <f ca="1"/>
      </c>
      <c r="FW310">
        <f ca="1"/>
      </c>
      <c r="FX310">
        <f ca="1"/>
      </c>
      <c r="FY310">
        <f ca="1"/>
      </c>
      <c r="FZ310">
        <f ca="1"/>
      </c>
      <c r="GA310">
        <f ca="1"/>
      </c>
      <c r="GM310" s="7"/>
    </row>
    <row r="311" spans="41:195" x14ac:dyDescent="0.55000000000000004">
      <c r="AO311">
        <f ca="1"/>
      </c>
      <c r="AP311">
        <f ca="1"/>
      </c>
      <c r="AQ311">
        <f ca="1"/>
      </c>
      <c r="AR311">
        <f ca="1"/>
      </c>
      <c r="AS311">
        <f ca="1"/>
      </c>
      <c r="AT311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AZ311">
        <f ca="1"/>
      </c>
      <c r="BA311">
        <f ca="1"/>
      </c>
      <c r="BB311">
        <f ca="1"/>
      </c>
      <c r="BC311">
        <f ca="1"/>
      </c>
      <c r="BD311">
        <f ca="1"/>
      </c>
      <c r="BE311">
        <f ca="1"/>
      </c>
      <c r="BF311">
        <f ca="1"/>
      </c>
      <c r="BG311">
        <f ca="1"/>
      </c>
      <c r="BH311">
        <f ca="1"/>
      </c>
      <c r="BI311">
        <f ca="1"/>
      </c>
      <c r="BJ311">
        <f ca="1"/>
      </c>
      <c r="BK311">
        <f ca="1"/>
      </c>
      <c r="BL311">
        <f ca="1"/>
      </c>
      <c r="BM311">
        <f ca="1"/>
      </c>
      <c r="BN311">
        <f ca="1"/>
      </c>
      <c r="BO311">
        <f ca="1"/>
      </c>
      <c r="BP311">
        <f ca="1"/>
      </c>
      <c r="BQ311">
        <f ca="1"/>
      </c>
      <c r="BR311">
        <f ca="1"/>
      </c>
      <c r="BS311">
        <f ca="1"/>
      </c>
      <c r="BT311">
        <f ca="1"/>
      </c>
      <c r="BU311">
        <f ca="1"/>
      </c>
      <c r="BV311">
        <f ca="1"/>
      </c>
      <c r="BW311">
        <f ca="1"/>
      </c>
      <c r="BX311">
        <f ca="1"/>
      </c>
      <c r="BY311">
        <f ca="1"/>
      </c>
      <c r="BZ311">
        <f ca="1"/>
      </c>
      <c r="CA311">
        <f ca="1"/>
      </c>
      <c r="CB311">
        <f ca="1"/>
      </c>
      <c r="CC311">
        <f ca="1"/>
      </c>
      <c r="CD311">
        <f ca="1"/>
      </c>
      <c r="CE311">
        <f ca="1"/>
      </c>
      <c r="CF311">
        <f ca="1"/>
      </c>
      <c r="CG311">
        <f ca="1"/>
      </c>
      <c r="CH311">
        <f ca="1"/>
      </c>
      <c r="CI311">
        <f ca="1"/>
      </c>
      <c r="CK311">
        <f ca="1"/>
      </c>
      <c r="CL311">
        <f ca="1"/>
      </c>
      <c r="CM311">
        <f ca="1"/>
      </c>
      <c r="CN311">
        <f ca="1"/>
      </c>
      <c r="CO311">
        <f ca="1"/>
      </c>
      <c r="CP311">
        <f ca="1"/>
      </c>
      <c r="CQ311">
        <f ca="1"/>
      </c>
      <c r="CR311">
        <f ca="1"/>
      </c>
      <c r="CS311">
        <f ca="1"/>
      </c>
      <c r="CT311">
        <f ca="1"/>
      </c>
      <c r="CU311">
        <f ca="1"/>
      </c>
      <c r="CV311">
        <f ca="1"/>
      </c>
      <c r="CW311">
        <f ca="1"/>
      </c>
      <c r="CX311">
        <f ca="1"/>
      </c>
      <c r="CY311">
        <f ca="1"/>
      </c>
      <c r="CZ311">
        <f ca="1"/>
      </c>
      <c r="DA311">
        <f ca="1"/>
      </c>
      <c r="DB311">
        <f ca="1"/>
      </c>
      <c r="DC311">
        <f ca="1"/>
      </c>
      <c r="DD311">
        <f ca="1"/>
      </c>
      <c r="DE311">
        <f ca="1"/>
      </c>
      <c r="DF311">
        <f ca="1"/>
      </c>
      <c r="DG311">
        <f ca="1"/>
      </c>
      <c r="DH311">
        <f ca="1"/>
      </c>
      <c r="DI311">
        <f ca="1"/>
      </c>
      <c r="DJ311">
        <f ca="1"/>
      </c>
      <c r="DK311">
        <f ca="1"/>
      </c>
      <c r="DL311">
        <f ca="1"/>
      </c>
      <c r="DM311">
        <f ca="1"/>
      </c>
      <c r="DN311">
        <f ca="1"/>
      </c>
      <c r="DO311">
        <f ca="1"/>
      </c>
      <c r="DP311">
        <f ca="1"/>
      </c>
      <c r="DQ311">
        <f ca="1"/>
      </c>
      <c r="DR311">
        <f ca="1"/>
      </c>
      <c r="DS311">
        <f ca="1"/>
      </c>
      <c r="DT311">
        <f ca="1"/>
      </c>
      <c r="DU311">
        <f ca="1"/>
      </c>
      <c r="DV311">
        <f ca="1"/>
      </c>
      <c r="DW311">
        <f ca="1"/>
      </c>
      <c r="DX311">
        <f ca="1"/>
      </c>
      <c r="DY311">
        <f ca="1"/>
      </c>
      <c r="DZ311">
        <f ca="1"/>
      </c>
      <c r="EA311">
        <f ca="1"/>
      </c>
      <c r="EB311">
        <f ca="1"/>
      </c>
      <c r="EC311">
        <f ca="1"/>
      </c>
      <c r="ED311">
        <f ca="1"/>
      </c>
      <c r="EE311">
        <f ca="1"/>
      </c>
      <c r="EG311">
        <f ca="1"/>
      </c>
      <c r="EH311">
        <f ca="1"/>
      </c>
      <c r="EI311">
        <f ca="1"/>
      </c>
      <c r="EJ311">
        <f ca="1"/>
      </c>
      <c r="EK311">
        <f ca="1"/>
      </c>
      <c r="EL311">
        <f ca="1"/>
      </c>
      <c r="EM311">
        <f ca="1"/>
      </c>
      <c r="EN311">
        <f ca="1"/>
      </c>
      <c r="EO311">
        <f ca="1"/>
      </c>
      <c r="EP311">
        <f ca="1"/>
      </c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FS311">
        <f ca="1"/>
      </c>
      <c r="FT311">
        <f ca="1"/>
      </c>
      <c r="FU311">
        <f ca="1"/>
      </c>
      <c r="FV311">
        <f ca="1"/>
      </c>
      <c r="FW311">
        <f ca="1"/>
      </c>
      <c r="FX311">
        <f ca="1"/>
      </c>
      <c r="FY311">
        <f ca="1"/>
      </c>
      <c r="FZ311">
        <f ca="1"/>
      </c>
      <c r="GA311">
        <f ca="1"/>
      </c>
      <c r="GM311" s="7"/>
    </row>
    <row r="312" spans="41:195" x14ac:dyDescent="0.55000000000000004">
      <c r="AO312">
        <f ca="1"/>
      </c>
      <c r="AP312">
        <f ca="1"/>
      </c>
      <c r="AQ312">
        <f ca="1"/>
      </c>
      <c r="AR312">
        <f ca="1"/>
      </c>
      <c r="AS312">
        <f ca="1"/>
      </c>
      <c r="AT312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AZ312">
        <f ca="1"/>
      </c>
      <c r="BA312">
        <f ca="1"/>
      </c>
      <c r="BB312">
        <f ca="1"/>
      </c>
      <c r="BC312">
        <f ca="1"/>
      </c>
      <c r="BD312">
        <f ca="1"/>
      </c>
      <c r="BE312">
        <f ca="1"/>
      </c>
      <c r="BF312">
        <f ca="1"/>
      </c>
      <c r="BG312">
        <f ca="1"/>
      </c>
      <c r="BH312">
        <f ca="1"/>
      </c>
      <c r="BI312">
        <f ca="1"/>
      </c>
      <c r="BJ312">
        <f ca="1"/>
      </c>
      <c r="BK312">
        <f ca="1"/>
      </c>
      <c r="BL312">
        <f ca="1"/>
      </c>
      <c r="BM312">
        <f ca="1"/>
      </c>
      <c r="BN312">
        <f ca="1"/>
      </c>
      <c r="BO312">
        <f ca="1"/>
      </c>
      <c r="BP312">
        <f ca="1"/>
      </c>
      <c r="BQ312">
        <f ca="1"/>
      </c>
      <c r="BR312">
        <f ca="1"/>
      </c>
      <c r="BS312">
        <f ca="1"/>
      </c>
      <c r="BT312">
        <f ca="1"/>
      </c>
      <c r="BU312">
        <f ca="1"/>
      </c>
      <c r="BV312">
        <f ca="1"/>
      </c>
      <c r="BW312">
        <f ca="1"/>
      </c>
      <c r="BX312">
        <f ca="1"/>
      </c>
      <c r="BY312">
        <f ca="1"/>
      </c>
      <c r="BZ312">
        <f ca="1"/>
      </c>
      <c r="CA312">
        <f ca="1"/>
      </c>
      <c r="CB312">
        <f ca="1"/>
      </c>
      <c r="CC312">
        <f ca="1"/>
      </c>
      <c r="CD312">
        <f ca="1"/>
      </c>
      <c r="CE312">
        <f ca="1"/>
      </c>
      <c r="CF312">
        <f ca="1"/>
      </c>
      <c r="CG312">
        <f ca="1"/>
      </c>
      <c r="CH312">
        <f ca="1"/>
      </c>
      <c r="CI312">
        <f ca="1"/>
      </c>
      <c r="CK312">
        <f ca="1"/>
      </c>
      <c r="CL312">
        <f ca="1"/>
      </c>
      <c r="CM312">
        <f ca="1"/>
      </c>
      <c r="CN312">
        <f ca="1"/>
      </c>
      <c r="CO312">
        <f ca="1"/>
      </c>
      <c r="CP312">
        <f ca="1"/>
      </c>
      <c r="CQ312">
        <f ca="1"/>
      </c>
      <c r="CR312">
        <f ca="1"/>
      </c>
      <c r="CS312">
        <f ca="1"/>
      </c>
      <c r="CT312">
        <f ca="1"/>
      </c>
      <c r="CU312">
        <f ca="1"/>
      </c>
      <c r="CV312">
        <f ca="1"/>
      </c>
      <c r="CW312">
        <f ca="1"/>
      </c>
      <c r="CX312">
        <f ca="1"/>
      </c>
      <c r="CY312">
        <f ca="1"/>
      </c>
      <c r="CZ312">
        <f ca="1"/>
      </c>
      <c r="DA312">
        <f ca="1"/>
      </c>
      <c r="DB312">
        <f ca="1"/>
      </c>
      <c r="DC312">
        <f ca="1"/>
      </c>
      <c r="DD312">
        <f ca="1"/>
      </c>
      <c r="DE312">
        <f ca="1"/>
      </c>
      <c r="DF312">
        <f ca="1"/>
      </c>
      <c r="DG312">
        <f ca="1"/>
      </c>
      <c r="DH312">
        <f ca="1"/>
      </c>
      <c r="DI312">
        <f ca="1"/>
      </c>
      <c r="DJ312">
        <f ca="1"/>
      </c>
      <c r="DK312">
        <f ca="1"/>
      </c>
      <c r="DL312">
        <f ca="1"/>
      </c>
      <c r="DM312">
        <f ca="1"/>
      </c>
      <c r="DN312">
        <f ca="1"/>
      </c>
      <c r="DO312">
        <f ca="1"/>
      </c>
      <c r="DP312">
        <f ca="1"/>
      </c>
      <c r="DQ312">
        <f ca="1"/>
      </c>
      <c r="DR312">
        <f ca="1"/>
      </c>
      <c r="DS312">
        <f ca="1"/>
      </c>
      <c r="DT312">
        <f ca="1"/>
      </c>
      <c r="DU312">
        <f ca="1"/>
      </c>
      <c r="DV312">
        <f ca="1"/>
      </c>
      <c r="DW312">
        <f ca="1"/>
      </c>
      <c r="DX312">
        <f ca="1"/>
      </c>
      <c r="DY312">
        <f ca="1"/>
      </c>
      <c r="DZ312">
        <f ca="1"/>
      </c>
      <c r="EA312">
        <f ca="1"/>
      </c>
      <c r="EB312">
        <f ca="1"/>
      </c>
      <c r="EC312">
        <f ca="1"/>
      </c>
      <c r="ED312">
        <f ca="1"/>
      </c>
      <c r="EE312">
        <f ca="1"/>
      </c>
      <c r="EG312">
        <f ca="1"/>
      </c>
      <c r="EH312">
        <f ca="1"/>
      </c>
      <c r="EI312">
        <f ca="1"/>
      </c>
      <c r="EJ312">
        <f ca="1"/>
      </c>
      <c r="EK312">
        <f ca="1"/>
      </c>
      <c r="EL312">
        <f ca="1"/>
      </c>
      <c r="EM312">
        <f ca="1"/>
      </c>
      <c r="EN312">
        <f ca="1"/>
      </c>
      <c r="EO312">
        <f ca="1"/>
      </c>
      <c r="EP312">
        <f ca="1"/>
      </c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FS312">
        <f ca="1"/>
      </c>
      <c r="FT312">
        <f ca="1"/>
      </c>
      <c r="FU312">
        <f ca="1"/>
      </c>
      <c r="FV312">
        <f ca="1"/>
      </c>
      <c r="FW312">
        <f ca="1"/>
      </c>
      <c r="FX312">
        <f ca="1"/>
      </c>
      <c r="FY312">
        <f ca="1"/>
      </c>
      <c r="FZ312">
        <f ca="1"/>
      </c>
      <c r="GA312">
        <f ca="1"/>
      </c>
      <c r="GM312" s="7"/>
    </row>
    <row r="313" spans="41:195" x14ac:dyDescent="0.55000000000000004">
      <c r="AO313">
        <f ca="1"/>
      </c>
      <c r="AP313">
        <f ca="1"/>
      </c>
      <c r="AQ313">
        <f ca="1"/>
      </c>
      <c r="AR313">
        <f ca="1"/>
      </c>
      <c r="AS313">
        <f ca="1"/>
      </c>
      <c r="AT313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AZ313">
        <f ca="1"/>
      </c>
      <c r="BA313">
        <f ca="1"/>
      </c>
      <c r="BB313">
        <f ca="1"/>
      </c>
      <c r="BC313">
        <f ca="1"/>
      </c>
      <c r="BD313">
        <f ca="1"/>
      </c>
      <c r="BE313">
        <f ca="1"/>
      </c>
      <c r="BF313">
        <f ca="1"/>
      </c>
      <c r="BG313">
        <f ca="1"/>
      </c>
      <c r="BH313">
        <f ca="1"/>
      </c>
      <c r="BI313">
        <f ca="1"/>
      </c>
      <c r="BJ313">
        <f ca="1"/>
      </c>
      <c r="BK313">
        <f ca="1"/>
      </c>
      <c r="BL313">
        <f ca="1"/>
      </c>
      <c r="BM313">
        <f ca="1"/>
      </c>
      <c r="BN313">
        <f ca="1"/>
      </c>
      <c r="BO313">
        <f ca="1"/>
      </c>
      <c r="BP313">
        <f ca="1"/>
      </c>
      <c r="BQ313">
        <f ca="1"/>
      </c>
      <c r="BR313">
        <f ca="1"/>
      </c>
      <c r="BS313">
        <f ca="1"/>
      </c>
      <c r="BT313">
        <f ca="1"/>
      </c>
      <c r="BU313">
        <f ca="1"/>
      </c>
      <c r="BV313">
        <f ca="1"/>
      </c>
      <c r="BW313">
        <f ca="1"/>
      </c>
      <c r="BX313">
        <f ca="1"/>
      </c>
      <c r="BY313">
        <f ca="1"/>
      </c>
      <c r="BZ313">
        <f ca="1"/>
      </c>
      <c r="CA313">
        <f ca="1"/>
      </c>
      <c r="CB313">
        <f ca="1"/>
      </c>
      <c r="CC313">
        <f ca="1"/>
      </c>
      <c r="CD313">
        <f ca="1"/>
      </c>
      <c r="CE313">
        <f ca="1"/>
      </c>
      <c r="CF313">
        <f ca="1"/>
      </c>
      <c r="CG313">
        <f ca="1"/>
      </c>
      <c r="CH313">
        <f ca="1"/>
      </c>
      <c r="CI313">
        <f ca="1"/>
      </c>
      <c r="CK313">
        <f ca="1"/>
      </c>
      <c r="CL313">
        <f ca="1"/>
      </c>
      <c r="CM313">
        <f ca="1"/>
      </c>
      <c r="CN313">
        <f ca="1"/>
      </c>
      <c r="CO313">
        <f ca="1"/>
      </c>
      <c r="CP313">
        <f ca="1"/>
      </c>
      <c r="CQ313">
        <f ca="1"/>
      </c>
      <c r="CR313">
        <f ca="1"/>
      </c>
      <c r="CS313">
        <f ca="1"/>
      </c>
      <c r="CT313">
        <f ca="1"/>
      </c>
      <c r="CU313">
        <f ca="1"/>
      </c>
      <c r="CV313">
        <f ca="1"/>
      </c>
      <c r="CW313">
        <f ca="1"/>
      </c>
      <c r="CX313">
        <f ca="1"/>
      </c>
      <c r="CY313">
        <f ca="1"/>
      </c>
      <c r="CZ313">
        <f ca="1"/>
      </c>
      <c r="DA313">
        <f ca="1"/>
      </c>
      <c r="DB313">
        <f ca="1"/>
      </c>
      <c r="DC313">
        <f ca="1"/>
      </c>
      <c r="DD313">
        <f ca="1"/>
      </c>
      <c r="DE313">
        <f ca="1"/>
      </c>
      <c r="DF313">
        <f ca="1"/>
      </c>
      <c r="DG313">
        <f ca="1"/>
      </c>
      <c r="DH313">
        <f ca="1"/>
      </c>
      <c r="DI313">
        <f ca="1"/>
      </c>
      <c r="DJ313">
        <f ca="1"/>
      </c>
      <c r="DK313">
        <f ca="1"/>
      </c>
      <c r="DL313">
        <f ca="1"/>
      </c>
      <c r="DM313">
        <f ca="1"/>
      </c>
      <c r="DN313">
        <f ca="1"/>
      </c>
      <c r="DO313">
        <f ca="1"/>
      </c>
      <c r="DP313">
        <f ca="1"/>
      </c>
      <c r="DQ313">
        <f ca="1"/>
      </c>
      <c r="DR313">
        <f ca="1"/>
      </c>
      <c r="DS313">
        <f ca="1"/>
      </c>
      <c r="DT313">
        <f ca="1"/>
      </c>
      <c r="DU313">
        <f ca="1"/>
      </c>
      <c r="DV313">
        <f ca="1"/>
      </c>
      <c r="DW313">
        <f ca="1"/>
      </c>
      <c r="DX313">
        <f ca="1"/>
      </c>
      <c r="DY313">
        <f ca="1"/>
      </c>
      <c r="DZ313">
        <f ca="1"/>
      </c>
      <c r="EA313">
        <f ca="1"/>
      </c>
      <c r="EB313">
        <f ca="1"/>
      </c>
      <c r="EC313">
        <f ca="1"/>
      </c>
      <c r="ED313">
        <f ca="1"/>
      </c>
      <c r="EE313">
        <f ca="1"/>
      </c>
      <c r="EG313">
        <f ca="1"/>
      </c>
      <c r="EH313">
        <f ca="1"/>
      </c>
      <c r="EI313">
        <f ca="1"/>
      </c>
      <c r="EJ313">
        <f ca="1"/>
      </c>
      <c r="EK313">
        <f ca="1"/>
      </c>
      <c r="EL313">
        <f ca="1"/>
      </c>
      <c r="EM313">
        <f ca="1"/>
      </c>
      <c r="EN313">
        <f ca="1"/>
      </c>
      <c r="EO313">
        <f ca="1"/>
      </c>
      <c r="EP313">
        <f ca="1"/>
      </c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FS313">
        <f ca="1"/>
      </c>
      <c r="FT313">
        <f ca="1"/>
      </c>
      <c r="FU313">
        <f ca="1"/>
      </c>
      <c r="FV313">
        <f ca="1"/>
      </c>
      <c r="FW313">
        <f ca="1"/>
      </c>
      <c r="FX313">
        <f ca="1"/>
      </c>
      <c r="FY313">
        <f ca="1"/>
      </c>
      <c r="FZ313">
        <f ca="1"/>
      </c>
      <c r="GA313">
        <f ca="1"/>
      </c>
      <c r="GM313" s="7"/>
    </row>
    <row r="314" spans="41:195" x14ac:dyDescent="0.55000000000000004">
      <c r="AO314">
        <f ca="1"/>
      </c>
      <c r="AP314">
        <f ca="1"/>
      </c>
      <c r="AQ314">
        <f ca="1"/>
      </c>
      <c r="AR314">
        <f ca="1"/>
      </c>
      <c r="AS314">
        <f ca="1"/>
      </c>
      <c r="AT314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AZ314">
        <f ca="1"/>
      </c>
      <c r="BA314">
        <f ca="1"/>
      </c>
      <c r="BB314">
        <f ca="1"/>
      </c>
      <c r="BC314">
        <f ca="1"/>
      </c>
      <c r="BD314">
        <f ca="1"/>
      </c>
      <c r="BE314">
        <f ca="1"/>
      </c>
      <c r="BF314">
        <f ca="1"/>
      </c>
      <c r="BG314">
        <f ca="1"/>
      </c>
      <c r="BH314">
        <f ca="1"/>
      </c>
      <c r="BI314">
        <f ca="1"/>
      </c>
      <c r="BJ314">
        <f ca="1"/>
      </c>
      <c r="BK314">
        <f ca="1"/>
      </c>
      <c r="BL314">
        <f ca="1"/>
      </c>
      <c r="BM314">
        <f ca="1"/>
      </c>
      <c r="BN314">
        <f ca="1"/>
      </c>
      <c r="BO314">
        <f ca="1"/>
      </c>
      <c r="BP314">
        <f ca="1"/>
      </c>
      <c r="BQ314">
        <f ca="1"/>
      </c>
      <c r="BR314">
        <f ca="1"/>
      </c>
      <c r="BS314">
        <f ca="1"/>
      </c>
      <c r="BT314">
        <f ca="1"/>
      </c>
      <c r="BU314">
        <f ca="1"/>
      </c>
      <c r="BV314">
        <f ca="1"/>
      </c>
      <c r="BW314">
        <f ca="1"/>
      </c>
      <c r="BX314">
        <f ca="1"/>
      </c>
      <c r="BY314">
        <f ca="1"/>
      </c>
      <c r="BZ314">
        <f ca="1"/>
      </c>
      <c r="CA314">
        <f ca="1"/>
      </c>
      <c r="CB314">
        <f ca="1"/>
      </c>
      <c r="CC314">
        <f ca="1"/>
      </c>
      <c r="CD314">
        <f ca="1"/>
      </c>
      <c r="CE314">
        <f ca="1"/>
      </c>
      <c r="CF314">
        <f ca="1"/>
      </c>
      <c r="CG314">
        <f ca="1"/>
      </c>
      <c r="CH314">
        <f ca="1"/>
      </c>
      <c r="CI314">
        <f ca="1"/>
      </c>
      <c r="CK314">
        <f ca="1"/>
      </c>
      <c r="CL314">
        <f ca="1"/>
      </c>
      <c r="CM314">
        <f ca="1"/>
      </c>
      <c r="CN314">
        <f ca="1"/>
      </c>
      <c r="CO314">
        <f ca="1"/>
      </c>
      <c r="CP314">
        <f ca="1"/>
      </c>
      <c r="CQ314">
        <f ca="1"/>
      </c>
      <c r="CR314">
        <f ca="1"/>
      </c>
      <c r="CS314">
        <f ca="1"/>
      </c>
      <c r="CT314">
        <f ca="1"/>
      </c>
      <c r="CU314">
        <f ca="1"/>
      </c>
      <c r="CV314">
        <f ca="1"/>
      </c>
      <c r="CW314">
        <f ca="1"/>
      </c>
      <c r="CX314">
        <f ca="1"/>
      </c>
      <c r="CY314">
        <f ca="1"/>
      </c>
      <c r="CZ314">
        <f ca="1"/>
      </c>
      <c r="DA314">
        <f ca="1"/>
      </c>
      <c r="DB314">
        <f ca="1"/>
      </c>
      <c r="DC314">
        <f ca="1"/>
      </c>
      <c r="DD314">
        <f ca="1"/>
      </c>
      <c r="DE314">
        <f ca="1"/>
      </c>
      <c r="DF314">
        <f ca="1"/>
      </c>
      <c r="DG314">
        <f ca="1"/>
      </c>
      <c r="DH314">
        <f ca="1"/>
      </c>
      <c r="DI314">
        <f ca="1"/>
      </c>
      <c r="DJ314">
        <f ca="1"/>
      </c>
      <c r="DK314">
        <f ca="1"/>
      </c>
      <c r="DL314">
        <f ca="1"/>
      </c>
      <c r="DM314">
        <f ca="1"/>
      </c>
      <c r="DN314">
        <f ca="1"/>
      </c>
      <c r="DO314">
        <f ca="1"/>
      </c>
      <c r="DP314">
        <f ca="1"/>
      </c>
      <c r="DQ314">
        <f ca="1"/>
      </c>
      <c r="DR314">
        <f ca="1"/>
      </c>
      <c r="DS314">
        <f ca="1"/>
      </c>
      <c r="DT314">
        <f ca="1"/>
      </c>
      <c r="DU314">
        <f ca="1"/>
      </c>
      <c r="DV314">
        <f ca="1"/>
      </c>
      <c r="DW314">
        <f ca="1"/>
      </c>
      <c r="DX314">
        <f ca="1"/>
      </c>
      <c r="DY314">
        <f ca="1"/>
      </c>
      <c r="DZ314">
        <f ca="1"/>
      </c>
      <c r="EA314">
        <f ca="1"/>
      </c>
      <c r="EB314">
        <f ca="1"/>
      </c>
      <c r="EC314">
        <f ca="1"/>
      </c>
      <c r="ED314">
        <f ca="1"/>
      </c>
      <c r="EE314">
        <f ca="1"/>
      </c>
      <c r="EG314">
        <f ca="1"/>
      </c>
      <c r="EH314">
        <f ca="1"/>
      </c>
      <c r="EI314">
        <f ca="1"/>
      </c>
      <c r="EJ314">
        <f ca="1"/>
      </c>
      <c r="EK314">
        <f ca="1"/>
      </c>
      <c r="EL314">
        <f ca="1"/>
      </c>
      <c r="EM314">
        <f ca="1"/>
      </c>
      <c r="EN314">
        <f ca="1"/>
      </c>
      <c r="EO314">
        <f ca="1"/>
      </c>
      <c r="EP314">
        <f ca="1"/>
      </c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FS314">
        <f ca="1"/>
      </c>
      <c r="FT314">
        <f ca="1"/>
      </c>
      <c r="FU314">
        <f ca="1"/>
      </c>
      <c r="FV314">
        <f ca="1"/>
      </c>
      <c r="FW314">
        <f ca="1"/>
      </c>
      <c r="FX314">
        <f ca="1"/>
      </c>
      <c r="FY314">
        <f ca="1"/>
      </c>
      <c r="FZ314">
        <f ca="1"/>
      </c>
      <c r="GA314">
        <f ca="1"/>
      </c>
      <c r="GM314" s="7"/>
    </row>
    <row r="315" spans="41:195" x14ac:dyDescent="0.55000000000000004">
      <c r="AO315">
        <f ca="1"/>
      </c>
      <c r="AP315">
        <f ca="1"/>
      </c>
      <c r="AQ315">
        <f ca="1"/>
      </c>
      <c r="AR315">
        <f ca="1"/>
      </c>
      <c r="AS315">
        <f ca="1"/>
      </c>
      <c r="AT315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AZ315">
        <f ca="1"/>
      </c>
      <c r="BA315">
        <f ca="1"/>
      </c>
      <c r="BB315">
        <f ca="1"/>
      </c>
      <c r="BC315">
        <f ca="1"/>
      </c>
      <c r="BD315">
        <f ca="1"/>
      </c>
      <c r="BE315">
        <f ca="1"/>
      </c>
      <c r="BF315">
        <f ca="1"/>
      </c>
      <c r="BG315">
        <f ca="1"/>
      </c>
      <c r="BH315">
        <f ca="1"/>
      </c>
      <c r="BI315">
        <f ca="1"/>
      </c>
      <c r="BJ315">
        <f ca="1"/>
      </c>
      <c r="BK315">
        <f ca="1"/>
      </c>
      <c r="BL315">
        <f ca="1"/>
      </c>
      <c r="BM315">
        <f ca="1"/>
      </c>
      <c r="BN315">
        <f ca="1"/>
      </c>
      <c r="BO315">
        <f ca="1"/>
      </c>
      <c r="BP315">
        <f ca="1"/>
      </c>
      <c r="BQ315">
        <f ca="1"/>
      </c>
      <c r="BR315">
        <f ca="1"/>
      </c>
      <c r="BS315">
        <f ca="1"/>
      </c>
      <c r="BT315">
        <f ca="1"/>
      </c>
      <c r="BU315">
        <f ca="1"/>
      </c>
      <c r="BV315">
        <f ca="1"/>
      </c>
      <c r="BW315">
        <f ca="1"/>
      </c>
      <c r="BX315">
        <f ca="1"/>
      </c>
      <c r="BY315">
        <f ca="1"/>
      </c>
      <c r="BZ315">
        <f ca="1"/>
      </c>
      <c r="CA315">
        <f ca="1"/>
      </c>
      <c r="CB315">
        <f ca="1"/>
      </c>
      <c r="CC315">
        <f ca="1"/>
      </c>
      <c r="CD315">
        <f ca="1"/>
      </c>
      <c r="CE315">
        <f ca="1"/>
      </c>
      <c r="CF315">
        <f ca="1"/>
      </c>
      <c r="CG315">
        <f ca="1"/>
      </c>
      <c r="CH315">
        <f ca="1"/>
      </c>
      <c r="CI315">
        <f ca="1"/>
      </c>
      <c r="CK315">
        <f ca="1"/>
      </c>
      <c r="CL315">
        <f ca="1"/>
      </c>
      <c r="CM315">
        <f ca="1"/>
      </c>
      <c r="CN315">
        <f ca="1"/>
      </c>
      <c r="CO315">
        <f ca="1"/>
      </c>
      <c r="CP315">
        <f ca="1"/>
      </c>
      <c r="CQ315">
        <f ca="1"/>
      </c>
      <c r="CR315">
        <f ca="1"/>
      </c>
      <c r="CS315">
        <f ca="1"/>
      </c>
      <c r="CT315">
        <f ca="1"/>
      </c>
      <c r="CU315">
        <f ca="1"/>
      </c>
      <c r="CV315">
        <f ca="1"/>
      </c>
      <c r="CW315">
        <f ca="1"/>
      </c>
      <c r="CX315">
        <f ca="1"/>
      </c>
      <c r="CY315">
        <f ca="1"/>
      </c>
      <c r="CZ315">
        <f ca="1"/>
      </c>
      <c r="DA315">
        <f ca="1"/>
      </c>
      <c r="DB315">
        <f ca="1"/>
      </c>
      <c r="DC315">
        <f ca="1"/>
      </c>
      <c r="DD315">
        <f ca="1"/>
      </c>
      <c r="DE315">
        <f ca="1"/>
      </c>
      <c r="DF315">
        <f ca="1"/>
      </c>
      <c r="DG315">
        <f ca="1"/>
      </c>
      <c r="DH315">
        <f ca="1"/>
      </c>
      <c r="DI315">
        <f ca="1"/>
      </c>
      <c r="DJ315">
        <f ca="1"/>
      </c>
      <c r="DK315">
        <f ca="1"/>
      </c>
      <c r="DL315">
        <f ca="1"/>
      </c>
      <c r="DM315">
        <f ca="1"/>
      </c>
      <c r="DN315">
        <f ca="1"/>
      </c>
      <c r="DO315">
        <f ca="1"/>
      </c>
      <c r="DP315">
        <f ca="1"/>
      </c>
      <c r="DQ315">
        <f ca="1"/>
      </c>
      <c r="DR315">
        <f ca="1"/>
      </c>
      <c r="DS315">
        <f ca="1"/>
      </c>
      <c r="DT315">
        <f ca="1"/>
      </c>
      <c r="DU315">
        <f ca="1"/>
      </c>
      <c r="DV315">
        <f ca="1"/>
      </c>
      <c r="DW315">
        <f ca="1"/>
      </c>
      <c r="DX315">
        <f ca="1"/>
      </c>
      <c r="DY315">
        <f ca="1"/>
      </c>
      <c r="DZ315">
        <f ca="1"/>
      </c>
      <c r="EA315">
        <f ca="1"/>
      </c>
      <c r="EB315">
        <f ca="1"/>
      </c>
      <c r="EC315">
        <f ca="1"/>
      </c>
      <c r="ED315">
        <f ca="1"/>
      </c>
      <c r="EE315">
        <f ca="1"/>
      </c>
      <c r="EG315">
        <f ca="1"/>
      </c>
      <c r="EH315">
        <f ca="1"/>
      </c>
      <c r="EI315">
        <f ca="1"/>
      </c>
      <c r="EJ315">
        <f ca="1"/>
      </c>
      <c r="EK315">
        <f ca="1"/>
      </c>
      <c r="EL315">
        <f ca="1"/>
      </c>
      <c r="EM315">
        <f ca="1"/>
      </c>
      <c r="EN315">
        <f ca="1"/>
      </c>
      <c r="EO315">
        <f ca="1"/>
      </c>
      <c r="EP315">
        <f ca="1"/>
      </c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FS315">
        <f ca="1"/>
      </c>
      <c r="FT315">
        <f ca="1"/>
      </c>
      <c r="FU315">
        <f ca="1"/>
      </c>
      <c r="FV315">
        <f ca="1"/>
      </c>
      <c r="FW315">
        <f ca="1"/>
      </c>
      <c r="FX315">
        <f ca="1"/>
      </c>
      <c r="FY315">
        <f ca="1"/>
      </c>
      <c r="FZ315">
        <f ca="1"/>
      </c>
      <c r="GA315">
        <f ca="1"/>
      </c>
      <c r="GM315" s="7"/>
    </row>
    <row r="316" spans="41:195" x14ac:dyDescent="0.55000000000000004">
      <c r="AO316">
        <f ca="1"/>
      </c>
      <c r="AP316">
        <f ca="1"/>
      </c>
      <c r="AQ316">
        <f ca="1"/>
      </c>
      <c r="AR316">
        <f ca="1"/>
      </c>
      <c r="AS316">
        <f ca="1"/>
      </c>
      <c r="AT316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AZ316">
        <f ca="1"/>
      </c>
      <c r="BA316">
        <f ca="1"/>
      </c>
      <c r="BB316">
        <f ca="1"/>
      </c>
      <c r="BC316">
        <f ca="1"/>
      </c>
      <c r="BD316">
        <f ca="1"/>
      </c>
      <c r="BE316">
        <f ca="1"/>
      </c>
      <c r="BF316">
        <f ca="1"/>
      </c>
      <c r="BG316">
        <f ca="1"/>
      </c>
      <c r="BH316">
        <f ca="1"/>
      </c>
      <c r="BI316">
        <f ca="1"/>
      </c>
      <c r="BJ316">
        <f ca="1"/>
      </c>
      <c r="BK316">
        <f ca="1"/>
      </c>
      <c r="BL316">
        <f ca="1"/>
      </c>
      <c r="BM316">
        <f ca="1"/>
      </c>
      <c r="BN316">
        <f ca="1"/>
      </c>
      <c r="BO316">
        <f ca="1"/>
      </c>
      <c r="BP316">
        <f ca="1"/>
      </c>
      <c r="BQ316">
        <f ca="1"/>
      </c>
      <c r="BR316">
        <f ca="1"/>
      </c>
      <c r="BS316">
        <f ca="1"/>
      </c>
      <c r="BT316">
        <f ca="1"/>
      </c>
      <c r="BU316">
        <f ca="1"/>
      </c>
      <c r="BV316">
        <f ca="1"/>
      </c>
      <c r="BW316">
        <f ca="1"/>
      </c>
      <c r="BX316">
        <f ca="1"/>
      </c>
      <c r="BY316">
        <f ca="1"/>
      </c>
      <c r="BZ316">
        <f ca="1"/>
      </c>
      <c r="CA316">
        <f ca="1"/>
      </c>
      <c r="CB316">
        <f ca="1"/>
      </c>
      <c r="CC316">
        <f ca="1"/>
      </c>
      <c r="CD316">
        <f ca="1"/>
      </c>
      <c r="CE316">
        <f ca="1"/>
      </c>
      <c r="CF316">
        <f ca="1"/>
      </c>
      <c r="CG316">
        <f ca="1"/>
      </c>
      <c r="CH316">
        <f ca="1"/>
      </c>
      <c r="CI316">
        <f ca="1"/>
      </c>
      <c r="CK316">
        <f ca="1"/>
      </c>
      <c r="CL316">
        <f ca="1"/>
      </c>
      <c r="CM316">
        <f ca="1"/>
      </c>
      <c r="CN316">
        <f ca="1"/>
      </c>
      <c r="CO316">
        <f ca="1"/>
      </c>
      <c r="CP316">
        <f ca="1"/>
      </c>
      <c r="CQ316">
        <f ca="1"/>
      </c>
      <c r="CR316">
        <f ca="1"/>
      </c>
      <c r="CS316">
        <f ca="1"/>
      </c>
      <c r="CT316">
        <f ca="1"/>
      </c>
      <c r="CU316">
        <f ca="1"/>
      </c>
      <c r="CV316">
        <f ca="1"/>
      </c>
      <c r="CW316">
        <f ca="1"/>
      </c>
      <c r="CX316">
        <f ca="1"/>
      </c>
      <c r="CY316">
        <f ca="1"/>
      </c>
      <c r="CZ316">
        <f ca="1"/>
      </c>
      <c r="DA316">
        <f ca="1"/>
      </c>
      <c r="DB316">
        <f ca="1"/>
      </c>
      <c r="DC316">
        <f ca="1"/>
      </c>
      <c r="DD316">
        <f ca="1"/>
      </c>
      <c r="DE316">
        <f ca="1"/>
      </c>
      <c r="DF316">
        <f ca="1"/>
      </c>
      <c r="DG316">
        <f ca="1"/>
      </c>
      <c r="DH316">
        <f ca="1"/>
      </c>
      <c r="DI316">
        <f ca="1"/>
      </c>
      <c r="DJ316">
        <f ca="1"/>
      </c>
      <c r="DK316">
        <f ca="1"/>
      </c>
      <c r="DL316">
        <f ca="1"/>
      </c>
      <c r="DM316">
        <f ca="1"/>
      </c>
      <c r="DN316">
        <f ca="1"/>
      </c>
      <c r="DO316">
        <f ca="1"/>
      </c>
      <c r="DP316">
        <f ca="1"/>
      </c>
      <c r="DQ316">
        <f ca="1"/>
      </c>
      <c r="DR316">
        <f ca="1"/>
      </c>
      <c r="DS316">
        <f ca="1"/>
      </c>
      <c r="DT316">
        <f ca="1"/>
      </c>
      <c r="DU316">
        <f ca="1"/>
      </c>
      <c r="DV316">
        <f ca="1"/>
      </c>
      <c r="DW316">
        <f ca="1"/>
      </c>
      <c r="DX316">
        <f ca="1"/>
      </c>
      <c r="DY316">
        <f ca="1"/>
      </c>
      <c r="DZ316">
        <f ca="1"/>
      </c>
      <c r="EA316">
        <f ca="1"/>
      </c>
      <c r="EB316">
        <f ca="1"/>
      </c>
      <c r="EC316">
        <f ca="1"/>
      </c>
      <c r="ED316">
        <f ca="1"/>
      </c>
      <c r="EE316">
        <f ca="1"/>
      </c>
      <c r="EG316">
        <f ca="1"/>
      </c>
      <c r="EH316">
        <f ca="1"/>
      </c>
      <c r="EI316">
        <f ca="1"/>
      </c>
      <c r="EJ316">
        <f ca="1"/>
      </c>
      <c r="EK316">
        <f ca="1"/>
      </c>
      <c r="EL316">
        <f ca="1"/>
      </c>
      <c r="EM316">
        <f ca="1"/>
      </c>
      <c r="EN316">
        <f ca="1"/>
      </c>
      <c r="EO316">
        <f ca="1"/>
      </c>
      <c r="EP316">
        <f ca="1"/>
      </c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FS316">
        <f ca="1"/>
      </c>
      <c r="FT316">
        <f ca="1"/>
      </c>
      <c r="FU316">
        <f ca="1"/>
      </c>
      <c r="FV316">
        <f ca="1"/>
      </c>
      <c r="FW316">
        <f ca="1"/>
      </c>
      <c r="FX316">
        <f ca="1"/>
      </c>
      <c r="FY316">
        <f ca="1"/>
      </c>
      <c r="FZ316">
        <f ca="1"/>
      </c>
      <c r="GA316">
        <f ca="1"/>
      </c>
      <c r="GM316" s="7"/>
    </row>
    <row r="317" spans="41:195" x14ac:dyDescent="0.55000000000000004">
      <c r="AO317">
        <f ca="1"/>
      </c>
      <c r="AP317">
        <f ca="1"/>
      </c>
      <c r="AQ317">
        <f ca="1"/>
      </c>
      <c r="AR317">
        <f ca="1"/>
      </c>
      <c r="AS317">
        <f ca="1"/>
      </c>
      <c r="AT31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AZ317">
        <f ca="1"/>
      </c>
      <c r="BA317">
        <f ca="1"/>
      </c>
      <c r="BB317">
        <f ca="1"/>
      </c>
      <c r="BC317">
        <f ca="1"/>
      </c>
      <c r="BD317">
        <f ca="1"/>
      </c>
      <c r="BE317">
        <f ca="1"/>
      </c>
      <c r="BF317">
        <f ca="1"/>
      </c>
      <c r="BG317">
        <f ca="1"/>
      </c>
      <c r="BH317">
        <f ca="1"/>
      </c>
      <c r="BI317">
        <f ca="1"/>
      </c>
      <c r="BJ317">
        <f ca="1"/>
      </c>
      <c r="BK317">
        <f ca="1"/>
      </c>
      <c r="BL317">
        <f ca="1"/>
      </c>
      <c r="BM317">
        <f ca="1"/>
      </c>
      <c r="BN317">
        <f ca="1"/>
      </c>
      <c r="BO317">
        <f ca="1"/>
      </c>
      <c r="BP317">
        <f ca="1"/>
      </c>
      <c r="BQ317">
        <f ca="1"/>
      </c>
      <c r="BR317">
        <f ca="1"/>
      </c>
      <c r="BS317">
        <f ca="1"/>
      </c>
      <c r="BT317">
        <f ca="1"/>
      </c>
      <c r="BU317">
        <f ca="1"/>
      </c>
      <c r="BV317">
        <f ca="1"/>
      </c>
      <c r="BW317">
        <f ca="1"/>
      </c>
      <c r="BX317">
        <f ca="1"/>
      </c>
      <c r="BY317">
        <f ca="1"/>
      </c>
      <c r="BZ317">
        <f ca="1"/>
      </c>
      <c r="CA317">
        <f ca="1"/>
      </c>
      <c r="CB317">
        <f ca="1"/>
      </c>
      <c r="CC317">
        <f ca="1"/>
      </c>
      <c r="CD317">
        <f ca="1"/>
      </c>
      <c r="CE317">
        <f ca="1"/>
      </c>
      <c r="CF317">
        <f ca="1"/>
      </c>
      <c r="CG317">
        <f ca="1"/>
      </c>
      <c r="CH317">
        <f ca="1"/>
      </c>
      <c r="CI317">
        <f ca="1"/>
      </c>
      <c r="CK317">
        <f ca="1"/>
      </c>
      <c r="CL317">
        <f ca="1"/>
      </c>
      <c r="CM317">
        <f ca="1"/>
      </c>
      <c r="CN317">
        <f ca="1"/>
      </c>
      <c r="CO317">
        <f ca="1"/>
      </c>
      <c r="CP317">
        <f ca="1"/>
      </c>
      <c r="CQ317">
        <f ca="1"/>
      </c>
      <c r="CR317">
        <f ca="1"/>
      </c>
      <c r="CS317">
        <f ca="1"/>
      </c>
      <c r="CT317">
        <f ca="1"/>
      </c>
      <c r="CU317">
        <f ca="1"/>
      </c>
      <c r="CV317">
        <f ca="1"/>
      </c>
      <c r="CW317">
        <f ca="1"/>
      </c>
      <c r="CX317">
        <f ca="1"/>
      </c>
      <c r="CY317">
        <f ca="1"/>
      </c>
      <c r="CZ317">
        <f ca="1"/>
      </c>
      <c r="DA317">
        <f ca="1"/>
      </c>
      <c r="DB317">
        <f ca="1"/>
      </c>
      <c r="DC317">
        <f ca="1"/>
      </c>
      <c r="DD317">
        <f ca="1"/>
      </c>
      <c r="DE317">
        <f ca="1"/>
      </c>
      <c r="DF317">
        <f ca="1"/>
      </c>
      <c r="DG317">
        <f ca="1"/>
      </c>
      <c r="DH317">
        <f ca="1"/>
      </c>
      <c r="DI317">
        <f ca="1"/>
      </c>
      <c r="DJ317">
        <f ca="1"/>
      </c>
      <c r="DK317">
        <f ca="1"/>
      </c>
      <c r="DL317">
        <f ca="1"/>
      </c>
      <c r="DM317">
        <f ca="1"/>
      </c>
      <c r="DN317">
        <f ca="1"/>
      </c>
      <c r="DO317">
        <f ca="1"/>
      </c>
      <c r="DP317">
        <f ca="1"/>
      </c>
      <c r="DQ317">
        <f ca="1"/>
      </c>
      <c r="DR317">
        <f ca="1"/>
      </c>
      <c r="DS317">
        <f ca="1"/>
      </c>
      <c r="DT317">
        <f ca="1"/>
      </c>
      <c r="DU317">
        <f ca="1"/>
      </c>
      <c r="DV317">
        <f ca="1"/>
      </c>
      <c r="DW317">
        <f ca="1"/>
      </c>
      <c r="DX317">
        <f ca="1"/>
      </c>
      <c r="DY317">
        <f ca="1"/>
      </c>
      <c r="DZ317">
        <f ca="1"/>
      </c>
      <c r="EA317">
        <f ca="1"/>
      </c>
      <c r="EB317">
        <f ca="1"/>
      </c>
      <c r="EC317">
        <f ca="1"/>
      </c>
      <c r="ED317">
        <f ca="1"/>
      </c>
      <c r="EE317">
        <f ca="1"/>
      </c>
      <c r="EG317">
        <f ca="1"/>
      </c>
      <c r="EH317">
        <f ca="1"/>
      </c>
      <c r="EI317">
        <f ca="1"/>
      </c>
      <c r="EJ317">
        <f ca="1"/>
      </c>
      <c r="EK317">
        <f ca="1"/>
      </c>
      <c r="EL317">
        <f ca="1"/>
      </c>
      <c r="EM317">
        <f ca="1"/>
      </c>
      <c r="EN317">
        <f ca="1"/>
      </c>
      <c r="EO317">
        <f ca="1"/>
      </c>
      <c r="EP317">
        <f ca="1"/>
      </c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FS317">
        <f ca="1"/>
      </c>
      <c r="FT317">
        <f ca="1"/>
      </c>
      <c r="FU317">
        <f ca="1"/>
      </c>
      <c r="FV317">
        <f ca="1"/>
      </c>
      <c r="FW317">
        <f ca="1"/>
      </c>
      <c r="FX317">
        <f ca="1"/>
      </c>
      <c r="FY317">
        <f ca="1"/>
      </c>
      <c r="FZ317">
        <f ca="1"/>
      </c>
      <c r="GA317">
        <f ca="1"/>
      </c>
      <c r="GM317" s="7"/>
    </row>
    <row r="318" spans="41:195" x14ac:dyDescent="0.55000000000000004">
      <c r="AO318">
        <f ca="1"/>
      </c>
      <c r="AP318">
        <f ca="1"/>
      </c>
      <c r="AQ318">
        <f ca="1"/>
      </c>
      <c r="AR318">
        <f ca="1"/>
      </c>
      <c r="AS318">
        <f ca="1"/>
      </c>
      <c r="AT318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AZ318">
        <f ca="1"/>
      </c>
      <c r="BA318">
        <f ca="1"/>
      </c>
      <c r="BB318">
        <f ca="1"/>
      </c>
      <c r="BC318">
        <f ca="1"/>
      </c>
      <c r="BD318">
        <f ca="1"/>
      </c>
      <c r="BE318">
        <f ca="1"/>
      </c>
      <c r="BF318">
        <f ca="1"/>
      </c>
      <c r="BG318">
        <f ca="1"/>
      </c>
      <c r="BH318">
        <f ca="1"/>
      </c>
      <c r="BI318">
        <f ca="1"/>
      </c>
      <c r="BJ318">
        <f ca="1"/>
      </c>
      <c r="BK318">
        <f ca="1"/>
      </c>
      <c r="BL318">
        <f ca="1"/>
      </c>
      <c r="BM318">
        <f ca="1"/>
      </c>
      <c r="BN318">
        <f ca="1"/>
      </c>
      <c r="BO318">
        <f ca="1"/>
      </c>
      <c r="BP318">
        <f ca="1"/>
      </c>
      <c r="BQ318">
        <f ca="1"/>
      </c>
      <c r="BR318">
        <f ca="1"/>
      </c>
      <c r="BS318">
        <f ca="1"/>
      </c>
      <c r="BT318">
        <f ca="1"/>
      </c>
      <c r="BU318">
        <f ca="1"/>
      </c>
      <c r="BV318">
        <f ca="1"/>
      </c>
      <c r="BW318">
        <f ca="1"/>
      </c>
      <c r="BX318">
        <f ca="1"/>
      </c>
      <c r="BY318">
        <f ca="1"/>
      </c>
      <c r="BZ318">
        <f ca="1"/>
      </c>
      <c r="CA318">
        <f ca="1"/>
      </c>
      <c r="CB318">
        <f ca="1"/>
      </c>
      <c r="CC318">
        <f ca="1"/>
      </c>
      <c r="CD318">
        <f ca="1"/>
      </c>
      <c r="CE318">
        <f ca="1"/>
      </c>
      <c r="CF318">
        <f ca="1"/>
      </c>
      <c r="CG318">
        <f ca="1"/>
      </c>
      <c r="CH318">
        <f ca="1"/>
      </c>
      <c r="CI318">
        <f ca="1"/>
      </c>
      <c r="CK318">
        <f ca="1"/>
      </c>
      <c r="CL318">
        <f ca="1"/>
      </c>
      <c r="CM318">
        <f ca="1"/>
      </c>
      <c r="CN318">
        <f ca="1"/>
      </c>
      <c r="CO318">
        <f ca="1"/>
      </c>
      <c r="CP318">
        <f ca="1"/>
      </c>
      <c r="CQ318">
        <f ca="1"/>
      </c>
      <c r="CR318">
        <f ca="1"/>
      </c>
      <c r="CS318">
        <f ca="1"/>
      </c>
      <c r="CT318">
        <f ca="1"/>
      </c>
      <c r="CU318">
        <f ca="1"/>
      </c>
      <c r="CV318">
        <f ca="1"/>
      </c>
      <c r="CW318">
        <f ca="1"/>
      </c>
      <c r="CX318">
        <f ca="1"/>
      </c>
      <c r="CY318">
        <f ca="1"/>
      </c>
      <c r="CZ318">
        <f ca="1"/>
      </c>
      <c r="DA318">
        <f ca="1"/>
      </c>
      <c r="DB318">
        <f ca="1"/>
      </c>
      <c r="DC318">
        <f ca="1"/>
      </c>
      <c r="DD318">
        <f ca="1"/>
      </c>
      <c r="DE318">
        <f ca="1"/>
      </c>
      <c r="DF318">
        <f ca="1"/>
      </c>
      <c r="DG318">
        <f ca="1"/>
      </c>
      <c r="DH318">
        <f ca="1"/>
      </c>
      <c r="DI318">
        <f ca="1"/>
      </c>
      <c r="DJ318">
        <f ca="1"/>
      </c>
      <c r="DK318">
        <f ca="1"/>
      </c>
      <c r="DL318">
        <f ca="1"/>
      </c>
      <c r="DM318">
        <f ca="1"/>
      </c>
      <c r="DN318">
        <f ca="1"/>
      </c>
      <c r="DO318">
        <f ca="1"/>
      </c>
      <c r="DP318">
        <f ca="1"/>
      </c>
      <c r="DQ318">
        <f ca="1"/>
      </c>
      <c r="DR318">
        <f ca="1"/>
      </c>
      <c r="DS318">
        <f ca="1"/>
      </c>
      <c r="DT318">
        <f ca="1"/>
      </c>
      <c r="DU318">
        <f ca="1"/>
      </c>
      <c r="DV318">
        <f ca="1"/>
      </c>
      <c r="DW318">
        <f ca="1"/>
      </c>
      <c r="DX318">
        <f ca="1"/>
      </c>
      <c r="DY318">
        <f ca="1"/>
      </c>
      <c r="DZ318">
        <f ca="1"/>
      </c>
      <c r="EA318">
        <f ca="1"/>
      </c>
      <c r="EB318">
        <f ca="1"/>
      </c>
      <c r="EC318">
        <f ca="1"/>
      </c>
      <c r="ED318">
        <f ca="1"/>
      </c>
      <c r="EE318">
        <f ca="1"/>
      </c>
      <c r="EG318">
        <f ca="1"/>
      </c>
      <c r="EH318">
        <f ca="1"/>
      </c>
      <c r="EI318">
        <f ca="1"/>
      </c>
      <c r="EJ318">
        <f ca="1"/>
      </c>
      <c r="EK318">
        <f ca="1"/>
      </c>
      <c r="EL318">
        <f ca="1"/>
      </c>
      <c r="EM318">
        <f ca="1"/>
      </c>
      <c r="EN318">
        <f ca="1"/>
      </c>
      <c r="EO318">
        <f ca="1"/>
      </c>
      <c r="EP318">
        <f ca="1"/>
      </c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FS318">
        <f ca="1"/>
      </c>
      <c r="FT318">
        <f ca="1"/>
      </c>
      <c r="FU318">
        <f ca="1"/>
      </c>
      <c r="FV318">
        <f ca="1"/>
      </c>
      <c r="FW318">
        <f ca="1"/>
      </c>
      <c r="FX318">
        <f ca="1"/>
      </c>
      <c r="FY318">
        <f ca="1"/>
      </c>
      <c r="FZ318">
        <f ca="1"/>
      </c>
      <c r="GA318">
        <f ca="1"/>
      </c>
      <c r="GM318" s="7"/>
    </row>
    <row r="319" spans="41:195" x14ac:dyDescent="0.55000000000000004">
      <c r="AO319">
        <f ca="1"/>
      </c>
      <c r="AP319">
        <f ca="1"/>
      </c>
      <c r="AQ319">
        <f ca="1"/>
      </c>
      <c r="AR319">
        <f ca="1"/>
      </c>
      <c r="AS319">
        <f ca="1"/>
      </c>
      <c r="AT319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AZ319">
        <f ca="1"/>
      </c>
      <c r="BA319">
        <f ca="1"/>
      </c>
      <c r="BB319">
        <f ca="1"/>
      </c>
      <c r="BC319">
        <f ca="1"/>
      </c>
      <c r="BD319">
        <f ca="1"/>
      </c>
      <c r="BE319">
        <f ca="1"/>
      </c>
      <c r="BF319">
        <f ca="1"/>
      </c>
      <c r="BG319">
        <f ca="1"/>
      </c>
      <c r="BH319">
        <f ca="1"/>
      </c>
      <c r="BI319">
        <f ca="1"/>
      </c>
      <c r="BJ319">
        <f ca="1"/>
      </c>
      <c r="BK319">
        <f ca="1"/>
      </c>
      <c r="BL319">
        <f ca="1"/>
      </c>
      <c r="BM319">
        <f ca="1"/>
      </c>
      <c r="BN319">
        <f ca="1"/>
      </c>
      <c r="BO319">
        <f ca="1"/>
      </c>
      <c r="BP319">
        <f ca="1"/>
      </c>
      <c r="BQ319">
        <f ca="1"/>
      </c>
      <c r="BR319">
        <f ca="1"/>
      </c>
      <c r="BS319">
        <f ca="1"/>
      </c>
      <c r="BT319">
        <f ca="1"/>
      </c>
      <c r="BU319">
        <f ca="1"/>
      </c>
      <c r="BV319">
        <f ca="1"/>
      </c>
      <c r="BW319">
        <f ca="1"/>
      </c>
      <c r="BX319">
        <f ca="1"/>
      </c>
      <c r="BY319">
        <f ca="1"/>
      </c>
      <c r="BZ319">
        <f ca="1"/>
      </c>
      <c r="CA319">
        <f ca="1"/>
      </c>
      <c r="CB319">
        <f ca="1"/>
      </c>
      <c r="CC319">
        <f ca="1"/>
      </c>
      <c r="CD319">
        <f ca="1"/>
      </c>
      <c r="CE319">
        <f ca="1"/>
      </c>
      <c r="CF319">
        <f ca="1"/>
      </c>
      <c r="CG319">
        <f ca="1"/>
      </c>
      <c r="CH319">
        <f ca="1"/>
      </c>
      <c r="CI319">
        <f ca="1"/>
      </c>
      <c r="CK319">
        <f ca="1"/>
      </c>
      <c r="CL319">
        <f ca="1"/>
      </c>
      <c r="CM319">
        <f ca="1"/>
      </c>
      <c r="CN319">
        <f ca="1"/>
      </c>
      <c r="CO319">
        <f ca="1"/>
      </c>
      <c r="CP319">
        <f ca="1"/>
      </c>
      <c r="CQ319">
        <f ca="1"/>
      </c>
      <c r="CR319">
        <f ca="1"/>
      </c>
      <c r="CS319">
        <f ca="1"/>
      </c>
      <c r="CT319">
        <f ca="1"/>
      </c>
      <c r="CU319">
        <f ca="1"/>
      </c>
      <c r="CV319">
        <f ca="1"/>
      </c>
      <c r="CW319">
        <f ca="1"/>
      </c>
      <c r="CX319">
        <f ca="1"/>
      </c>
      <c r="CY319">
        <f ca="1"/>
      </c>
      <c r="CZ319">
        <f ca="1"/>
      </c>
      <c r="DA319">
        <f ca="1"/>
      </c>
      <c r="DB319">
        <f ca="1"/>
      </c>
      <c r="DC319">
        <f ca="1"/>
      </c>
      <c r="DD319">
        <f ca="1"/>
      </c>
      <c r="DE319">
        <f ca="1"/>
      </c>
      <c r="DF319">
        <f ca="1"/>
      </c>
      <c r="DG319">
        <f ca="1"/>
      </c>
      <c r="DH319">
        <f ca="1"/>
      </c>
      <c r="DI319">
        <f ca="1"/>
      </c>
      <c r="DJ319">
        <f ca="1"/>
      </c>
      <c r="DK319">
        <f ca="1"/>
      </c>
      <c r="DL319">
        <f ca="1"/>
      </c>
      <c r="DM319">
        <f ca="1"/>
      </c>
      <c r="DN319">
        <f ca="1"/>
      </c>
      <c r="DO319">
        <f ca="1"/>
      </c>
      <c r="DP319">
        <f ca="1"/>
      </c>
      <c r="DQ319">
        <f ca="1"/>
      </c>
      <c r="DR319">
        <f ca="1"/>
      </c>
      <c r="DS319">
        <f ca="1"/>
      </c>
      <c r="DT319">
        <f ca="1"/>
      </c>
      <c r="DU319">
        <f ca="1"/>
      </c>
      <c r="DV319">
        <f ca="1"/>
      </c>
      <c r="DW319">
        <f ca="1"/>
      </c>
      <c r="DX319">
        <f ca="1"/>
      </c>
      <c r="DY319">
        <f ca="1"/>
      </c>
      <c r="DZ319">
        <f ca="1"/>
      </c>
      <c r="EA319">
        <f ca="1"/>
      </c>
      <c r="EB319">
        <f ca="1"/>
      </c>
      <c r="EC319">
        <f ca="1"/>
      </c>
      <c r="ED319">
        <f ca="1"/>
      </c>
      <c r="EE319">
        <f ca="1"/>
      </c>
      <c r="EG319">
        <f ca="1"/>
      </c>
      <c r="EH319">
        <f ca="1"/>
      </c>
      <c r="EI319">
        <f ca="1"/>
      </c>
      <c r="EJ319">
        <f ca="1"/>
      </c>
      <c r="EK319">
        <f ca="1"/>
      </c>
      <c r="EL319">
        <f ca="1"/>
      </c>
      <c r="EM319">
        <f ca="1"/>
      </c>
      <c r="EN319">
        <f ca="1"/>
      </c>
      <c r="EO319">
        <f ca="1"/>
      </c>
      <c r="EP319">
        <f ca="1"/>
      </c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FS319">
        <f ca="1"/>
      </c>
      <c r="FT319">
        <f ca="1"/>
      </c>
      <c r="FU319">
        <f ca="1"/>
      </c>
      <c r="FV319">
        <f ca="1"/>
      </c>
      <c r="FW319">
        <f ca="1"/>
      </c>
      <c r="FX319">
        <f ca="1"/>
      </c>
      <c r="FY319">
        <f ca="1"/>
      </c>
      <c r="FZ319">
        <f ca="1"/>
      </c>
      <c r="GA319">
        <f ca="1"/>
      </c>
      <c r="GM319" s="7"/>
    </row>
    <row r="320" spans="41:195" x14ac:dyDescent="0.55000000000000004">
      <c r="AO320">
        <f ca="1"/>
      </c>
      <c r="AP320">
        <f ca="1"/>
      </c>
      <c r="AQ320">
        <f ca="1"/>
      </c>
      <c r="AR320">
        <f ca="1"/>
      </c>
      <c r="AS320">
        <f ca="1"/>
      </c>
      <c r="AT320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AZ320">
        <f ca="1"/>
      </c>
      <c r="BA320">
        <f ca="1"/>
      </c>
      <c r="BB320">
        <f ca="1"/>
      </c>
      <c r="BC320">
        <f ca="1"/>
      </c>
      <c r="BD320">
        <f ca="1"/>
      </c>
      <c r="BE320">
        <f ca="1"/>
      </c>
      <c r="BF320">
        <f ca="1"/>
      </c>
      <c r="BG320">
        <f ca="1"/>
      </c>
      <c r="BH320">
        <f ca="1"/>
      </c>
      <c r="BI320">
        <f ca="1"/>
      </c>
      <c r="BJ320">
        <f ca="1"/>
      </c>
      <c r="BK320">
        <f ca="1"/>
      </c>
      <c r="BL320">
        <f ca="1"/>
      </c>
      <c r="BM320">
        <f ca="1"/>
      </c>
      <c r="BN320">
        <f ca="1"/>
      </c>
      <c r="BO320">
        <f ca="1"/>
      </c>
      <c r="BP320">
        <f ca="1"/>
      </c>
      <c r="BQ320">
        <f ca="1"/>
      </c>
      <c r="BR320">
        <f ca="1"/>
      </c>
      <c r="BS320">
        <f ca="1"/>
      </c>
      <c r="BT320">
        <f ca="1"/>
      </c>
      <c r="BU320">
        <f ca="1"/>
      </c>
      <c r="BV320">
        <f ca="1"/>
      </c>
      <c r="BW320">
        <f ca="1"/>
      </c>
      <c r="BX320">
        <f ca="1"/>
      </c>
      <c r="BY320">
        <f ca="1"/>
      </c>
      <c r="BZ320">
        <f ca="1"/>
      </c>
      <c r="CA320">
        <f ca="1"/>
      </c>
      <c r="CB320">
        <f ca="1"/>
      </c>
      <c r="CC320">
        <f ca="1"/>
      </c>
      <c r="CD320">
        <f ca="1"/>
      </c>
      <c r="CE320">
        <f ca="1"/>
      </c>
      <c r="CF320">
        <f ca="1"/>
      </c>
      <c r="CG320">
        <f ca="1"/>
      </c>
      <c r="CH320">
        <f ca="1"/>
      </c>
      <c r="CI320">
        <f ca="1"/>
      </c>
      <c r="CK320">
        <f ca="1"/>
      </c>
      <c r="CL320">
        <f ca="1"/>
      </c>
      <c r="CM320">
        <f ca="1"/>
      </c>
      <c r="CN320">
        <f ca="1"/>
      </c>
      <c r="CO320">
        <f ca="1"/>
      </c>
      <c r="CP320">
        <f ca="1"/>
      </c>
      <c r="CQ320">
        <f ca="1"/>
      </c>
      <c r="CR320">
        <f ca="1"/>
      </c>
      <c r="CS320">
        <f ca="1"/>
      </c>
      <c r="CT320">
        <f ca="1"/>
      </c>
      <c r="CU320">
        <f ca="1"/>
      </c>
      <c r="CV320">
        <f ca="1"/>
      </c>
      <c r="CW320">
        <f ca="1"/>
      </c>
      <c r="CX320">
        <f ca="1"/>
      </c>
      <c r="CY320">
        <f ca="1"/>
      </c>
      <c r="CZ320">
        <f ca="1"/>
      </c>
      <c r="DA320">
        <f ca="1"/>
      </c>
      <c r="DB320">
        <f ca="1"/>
      </c>
      <c r="DC320">
        <f ca="1"/>
      </c>
      <c r="DD320">
        <f ca="1"/>
      </c>
      <c r="DE320">
        <f ca="1"/>
      </c>
      <c r="DF320">
        <f ca="1"/>
      </c>
      <c r="DG320">
        <f ca="1"/>
      </c>
      <c r="DH320">
        <f ca="1"/>
      </c>
      <c r="DI320">
        <f ca="1"/>
      </c>
      <c r="DJ320">
        <f ca="1"/>
      </c>
      <c r="DK320">
        <f ca="1"/>
      </c>
      <c r="DL320">
        <f ca="1"/>
      </c>
      <c r="DM320">
        <f ca="1"/>
      </c>
      <c r="DN320">
        <f ca="1"/>
      </c>
      <c r="DO320">
        <f ca="1"/>
      </c>
      <c r="DP320">
        <f ca="1"/>
      </c>
      <c r="DQ320">
        <f ca="1"/>
      </c>
      <c r="DR320">
        <f ca="1"/>
      </c>
      <c r="DS320">
        <f ca="1"/>
      </c>
      <c r="DT320">
        <f ca="1"/>
      </c>
      <c r="DU320">
        <f ca="1"/>
      </c>
      <c r="DV320">
        <f ca="1"/>
      </c>
      <c r="DW320">
        <f ca="1"/>
      </c>
      <c r="DX320">
        <f ca="1"/>
      </c>
      <c r="DY320">
        <f ca="1"/>
      </c>
      <c r="DZ320">
        <f ca="1"/>
      </c>
      <c r="EA320">
        <f ca="1"/>
      </c>
      <c r="EB320">
        <f ca="1"/>
      </c>
      <c r="EC320">
        <f ca="1"/>
      </c>
      <c r="ED320">
        <f ca="1"/>
      </c>
      <c r="EE320">
        <f ca="1"/>
      </c>
      <c r="EG320">
        <f ca="1"/>
      </c>
      <c r="EH320">
        <f ca="1"/>
      </c>
      <c r="EI320">
        <f ca="1"/>
      </c>
      <c r="EJ320">
        <f ca="1"/>
      </c>
      <c r="EK320">
        <f ca="1"/>
      </c>
      <c r="EL320">
        <f ca="1"/>
      </c>
      <c r="EM320">
        <f ca="1"/>
      </c>
      <c r="EN320">
        <f ca="1"/>
      </c>
      <c r="EO320">
        <f ca="1"/>
      </c>
      <c r="EP320">
        <f ca="1"/>
      </c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FS320">
        <f ca="1"/>
      </c>
      <c r="FT320">
        <f ca="1"/>
      </c>
      <c r="FU320">
        <f ca="1"/>
      </c>
      <c r="FV320">
        <f ca="1"/>
      </c>
      <c r="FW320">
        <f ca="1"/>
      </c>
      <c r="FX320">
        <f ca="1"/>
      </c>
      <c r="FY320">
        <f ca="1"/>
      </c>
      <c r="FZ320">
        <f ca="1"/>
      </c>
      <c r="GA320">
        <f ca="1"/>
      </c>
      <c r="GM320" s="7"/>
    </row>
    <row r="321" spans="41:195" x14ac:dyDescent="0.55000000000000004">
      <c r="AO321">
        <f ca="1"/>
      </c>
      <c r="AP321">
        <f ca="1"/>
      </c>
      <c r="AQ321">
        <f ca="1"/>
      </c>
      <c r="AR321">
        <f ca="1"/>
      </c>
      <c r="AS321">
        <f ca="1"/>
      </c>
      <c r="AT321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AZ321">
        <f ca="1"/>
      </c>
      <c r="BA321">
        <f ca="1"/>
      </c>
      <c r="BB321">
        <f ca="1"/>
      </c>
      <c r="BC321">
        <f ca="1"/>
      </c>
      <c r="BD321">
        <f ca="1"/>
      </c>
      <c r="BE321">
        <f ca="1"/>
      </c>
      <c r="BF321">
        <f ca="1"/>
      </c>
      <c r="BG321">
        <f ca="1"/>
      </c>
      <c r="BH321">
        <f ca="1"/>
      </c>
      <c r="BI321">
        <f ca="1"/>
      </c>
      <c r="BJ321">
        <f ca="1"/>
      </c>
      <c r="BK321">
        <f ca="1"/>
      </c>
      <c r="BL321">
        <f ca="1"/>
      </c>
      <c r="BM321">
        <f ca="1"/>
      </c>
      <c r="BN321">
        <f ca="1"/>
      </c>
      <c r="BO321">
        <f ca="1"/>
      </c>
      <c r="BP321">
        <f ca="1"/>
      </c>
      <c r="BQ321">
        <f ca="1"/>
      </c>
      <c r="BR321">
        <f ca="1"/>
      </c>
      <c r="BS321">
        <f ca="1"/>
      </c>
      <c r="BT321">
        <f ca="1"/>
      </c>
      <c r="BU321">
        <f ca="1"/>
      </c>
      <c r="BV321">
        <f ca="1"/>
      </c>
      <c r="BW321">
        <f ca="1"/>
      </c>
      <c r="BX321">
        <f ca="1"/>
      </c>
      <c r="BY321">
        <f ca="1"/>
      </c>
      <c r="BZ321">
        <f ca="1"/>
      </c>
      <c r="CA321">
        <f ca="1"/>
      </c>
      <c r="CB321">
        <f ca="1"/>
      </c>
      <c r="CC321">
        <f ca="1"/>
      </c>
      <c r="CD321">
        <f ca="1"/>
      </c>
      <c r="CE321">
        <f ca="1"/>
      </c>
      <c r="CF321">
        <f ca="1"/>
      </c>
      <c r="CG321">
        <f ca="1"/>
      </c>
      <c r="CH321">
        <f ca="1"/>
      </c>
      <c r="CI321">
        <f ca="1"/>
      </c>
      <c r="CK321">
        <f ca="1"/>
      </c>
      <c r="CL321">
        <f ca="1"/>
      </c>
      <c r="CM321">
        <f ca="1"/>
      </c>
      <c r="CN321">
        <f ca="1"/>
      </c>
      <c r="CO321">
        <f ca="1"/>
      </c>
      <c r="CP321">
        <f ca="1"/>
      </c>
      <c r="CQ321">
        <f ca="1"/>
      </c>
      <c r="CR321">
        <f ca="1"/>
      </c>
      <c r="CS321">
        <f ca="1"/>
      </c>
      <c r="CT321">
        <f ca="1"/>
      </c>
      <c r="CU321">
        <f ca="1"/>
      </c>
      <c r="CV321">
        <f ca="1"/>
      </c>
      <c r="CW321">
        <f ca="1"/>
      </c>
      <c r="CX321">
        <f ca="1"/>
      </c>
      <c r="CY321">
        <f ca="1"/>
      </c>
      <c r="CZ321">
        <f ca="1"/>
      </c>
      <c r="DA321">
        <f ca="1"/>
      </c>
      <c r="DB321">
        <f ca="1"/>
      </c>
      <c r="DC321">
        <f ca="1"/>
      </c>
      <c r="DD321">
        <f ca="1"/>
      </c>
      <c r="DE321">
        <f ca="1"/>
      </c>
      <c r="DF321">
        <f ca="1"/>
      </c>
      <c r="DG321">
        <f ca="1"/>
      </c>
      <c r="DH321">
        <f ca="1"/>
      </c>
      <c r="DI321">
        <f ca="1"/>
      </c>
      <c r="DJ321">
        <f ca="1"/>
      </c>
      <c r="DK321">
        <f ca="1"/>
      </c>
      <c r="DL321">
        <f ca="1"/>
      </c>
      <c r="DM321">
        <f ca="1"/>
      </c>
      <c r="DN321">
        <f ca="1"/>
      </c>
      <c r="DO321">
        <f ca="1"/>
      </c>
      <c r="DP321">
        <f ca="1"/>
      </c>
      <c r="DQ321">
        <f ca="1"/>
      </c>
      <c r="DR321">
        <f ca="1"/>
      </c>
      <c r="DS321">
        <f ca="1"/>
      </c>
      <c r="DT321">
        <f ca="1"/>
      </c>
      <c r="DU321">
        <f ca="1"/>
      </c>
      <c r="DV321">
        <f ca="1"/>
      </c>
      <c r="DW321">
        <f ca="1"/>
      </c>
      <c r="DX321">
        <f ca="1"/>
      </c>
      <c r="DY321">
        <f ca="1"/>
      </c>
      <c r="DZ321">
        <f ca="1"/>
      </c>
      <c r="EA321">
        <f ca="1"/>
      </c>
      <c r="EB321">
        <f ca="1"/>
      </c>
      <c r="EC321">
        <f ca="1"/>
      </c>
      <c r="ED321">
        <f ca="1"/>
      </c>
      <c r="EE321">
        <f ca="1"/>
      </c>
      <c r="EG321">
        <f ca="1"/>
      </c>
      <c r="EH321">
        <f ca="1"/>
      </c>
      <c r="EI321">
        <f ca="1"/>
      </c>
      <c r="EJ321">
        <f ca="1"/>
      </c>
      <c r="EK321">
        <f ca="1"/>
      </c>
      <c r="EL321">
        <f ca="1"/>
      </c>
      <c r="EM321">
        <f ca="1"/>
      </c>
      <c r="EN321">
        <f ca="1"/>
      </c>
      <c r="EO321">
        <f ca="1"/>
      </c>
      <c r="EP321">
        <f ca="1"/>
      </c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FS321">
        <f ca="1"/>
      </c>
      <c r="FT321">
        <f ca="1"/>
      </c>
      <c r="FU321">
        <f ca="1"/>
      </c>
      <c r="FV321">
        <f ca="1"/>
      </c>
      <c r="FW321">
        <f ca="1"/>
      </c>
      <c r="FX321">
        <f ca="1"/>
      </c>
      <c r="FY321">
        <f ca="1"/>
      </c>
      <c r="FZ321">
        <f ca="1"/>
      </c>
      <c r="GA321">
        <f ca="1"/>
      </c>
      <c r="GM321" s="7"/>
    </row>
    <row r="322" spans="41:195" x14ac:dyDescent="0.55000000000000004">
      <c r="AO322">
        <f ca="1"/>
      </c>
      <c r="AP322">
        <f ca="1"/>
      </c>
      <c r="AQ322">
        <f ca="1"/>
      </c>
      <c r="AR322">
        <f ca="1"/>
      </c>
      <c r="AS322">
        <f ca="1"/>
      </c>
      <c r="AT322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AZ322">
        <f ca="1"/>
      </c>
      <c r="BA322">
        <f ca="1"/>
      </c>
      <c r="BB322">
        <f ca="1"/>
      </c>
      <c r="BC322">
        <f ca="1"/>
      </c>
      <c r="BD322">
        <f ca="1"/>
      </c>
      <c r="BE322">
        <f ca="1"/>
      </c>
      <c r="BF322">
        <f ca="1"/>
      </c>
      <c r="BG322">
        <f ca="1"/>
      </c>
      <c r="BH322">
        <f ca="1"/>
      </c>
      <c r="BI322">
        <f ca="1"/>
      </c>
      <c r="BJ322">
        <f ca="1"/>
      </c>
      <c r="BK322">
        <f ca="1"/>
      </c>
      <c r="BL322">
        <f ca="1"/>
      </c>
      <c r="BM322">
        <f ca="1"/>
      </c>
      <c r="BN322">
        <f ca="1"/>
      </c>
      <c r="BO322">
        <f ca="1"/>
      </c>
      <c r="BP322">
        <f ca="1"/>
      </c>
      <c r="BQ322">
        <f ca="1"/>
      </c>
      <c r="BR322">
        <f ca="1"/>
      </c>
      <c r="BS322">
        <f ca="1"/>
      </c>
      <c r="BT322">
        <f ca="1"/>
      </c>
      <c r="BU322">
        <f ca="1"/>
      </c>
      <c r="BV322">
        <f ca="1"/>
      </c>
      <c r="BW322">
        <f ca="1"/>
      </c>
      <c r="BX322">
        <f ca="1"/>
      </c>
      <c r="BY322">
        <f ca="1"/>
      </c>
      <c r="BZ322">
        <f ca="1"/>
      </c>
      <c r="CA322">
        <f ca="1"/>
      </c>
      <c r="CB322">
        <f ca="1"/>
      </c>
      <c r="CC322">
        <f ca="1"/>
      </c>
      <c r="CD322">
        <f ca="1"/>
      </c>
      <c r="CE322">
        <f ca="1"/>
      </c>
      <c r="CF322">
        <f ca="1"/>
      </c>
      <c r="CG322">
        <f ca="1"/>
      </c>
      <c r="CH322">
        <f ca="1"/>
      </c>
      <c r="CI322">
        <f ca="1"/>
      </c>
      <c r="CK322">
        <f ca="1"/>
      </c>
      <c r="CL322">
        <f ca="1"/>
      </c>
      <c r="CM322">
        <f ca="1"/>
      </c>
      <c r="CN322">
        <f ca="1"/>
      </c>
      <c r="CO322">
        <f ca="1"/>
      </c>
      <c r="CP322">
        <f ca="1"/>
      </c>
      <c r="CQ322">
        <f ca="1"/>
      </c>
      <c r="CR322">
        <f ca="1"/>
      </c>
      <c r="CS322">
        <f ca="1"/>
      </c>
      <c r="CT322">
        <f ca="1"/>
      </c>
      <c r="CU322">
        <f ca="1"/>
      </c>
      <c r="CV322">
        <f ca="1"/>
      </c>
      <c r="CW322">
        <f ca="1"/>
      </c>
      <c r="CX322">
        <f ca="1"/>
      </c>
      <c r="CY322">
        <f ca="1"/>
      </c>
      <c r="CZ322">
        <f ca="1"/>
      </c>
      <c r="DA322">
        <f ca="1"/>
      </c>
      <c r="DB322">
        <f ca="1"/>
      </c>
      <c r="DC322">
        <f ca="1"/>
      </c>
      <c r="DD322">
        <f ca="1"/>
      </c>
      <c r="DE322">
        <f ca="1"/>
      </c>
      <c r="DF322">
        <f ca="1"/>
      </c>
      <c r="DG322">
        <f ca="1"/>
      </c>
      <c r="DH322">
        <f ca="1"/>
      </c>
      <c r="DI322">
        <f ca="1"/>
      </c>
      <c r="DJ322">
        <f ca="1"/>
      </c>
      <c r="DK322">
        <f ca="1"/>
      </c>
      <c r="DL322">
        <f ca="1"/>
      </c>
      <c r="DM322">
        <f ca="1"/>
      </c>
      <c r="DN322">
        <f ca="1"/>
      </c>
      <c r="DO322">
        <f ca="1"/>
      </c>
      <c r="DP322">
        <f ca="1"/>
      </c>
      <c r="DQ322">
        <f ca="1"/>
      </c>
      <c r="DR322">
        <f ca="1"/>
      </c>
      <c r="DS322">
        <f ca="1"/>
      </c>
      <c r="DT322">
        <f ca="1"/>
      </c>
      <c r="DU322">
        <f ca="1"/>
      </c>
      <c r="DV322">
        <f ca="1"/>
      </c>
      <c r="DW322">
        <f ca="1"/>
      </c>
      <c r="DX322">
        <f ca="1"/>
      </c>
      <c r="DY322">
        <f ca="1"/>
      </c>
      <c r="DZ322">
        <f ca="1"/>
      </c>
      <c r="EA322">
        <f ca="1"/>
      </c>
      <c r="EB322">
        <f ca="1"/>
      </c>
      <c r="EC322">
        <f ca="1"/>
      </c>
      <c r="ED322">
        <f ca="1"/>
      </c>
      <c r="EE322">
        <f ca="1"/>
      </c>
      <c r="EG322">
        <f ca="1"/>
      </c>
      <c r="EH322">
        <f ca="1"/>
      </c>
      <c r="EI322">
        <f ca="1"/>
      </c>
      <c r="EJ322">
        <f ca="1"/>
      </c>
      <c r="EK322">
        <f ca="1"/>
      </c>
      <c r="EL322">
        <f ca="1"/>
      </c>
      <c r="EM322">
        <f ca="1"/>
      </c>
      <c r="EN322">
        <f ca="1"/>
      </c>
      <c r="EO322">
        <f ca="1"/>
      </c>
      <c r="EP322">
        <f ca="1"/>
      </c>
      <c r="EQ322">
        <f ca="1"/>
      </c>
      <c r="ER322">
        <f ca="1"/>
      </c>
      <c r="ES322">
        <f ca="1"/>
      </c>
      <c r="ET322">
        <f ca="1"/>
      </c>
      <c r="EU322">
        <f ca="1"/>
      </c>
      <c r="EV322">
        <f ca="1"/>
      </c>
      <c r="EW322">
        <f ca="1"/>
      </c>
      <c r="EX322">
        <f ca="1"/>
      </c>
      <c r="EY322">
        <f ca="1"/>
      </c>
      <c r="EZ322">
        <f ca="1"/>
      </c>
      <c r="FA322">
        <f ca="1"/>
      </c>
      <c r="FB322">
        <f ca="1"/>
      </c>
      <c r="FC322">
        <f ca="1"/>
      </c>
      <c r="FD322">
        <f ca="1"/>
      </c>
      <c r="FE322">
        <f ca="1"/>
      </c>
      <c r="FF322">
        <f ca="1"/>
      </c>
      <c r="FG322">
        <f ca="1"/>
      </c>
      <c r="FH322">
        <f ca="1"/>
      </c>
      <c r="FI322">
        <f ca="1"/>
      </c>
      <c r="FJ322">
        <f ca="1"/>
      </c>
      <c r="FK322">
        <f ca="1"/>
      </c>
      <c r="FL322">
        <f ca="1"/>
      </c>
      <c r="FM322">
        <f ca="1"/>
      </c>
      <c r="FN322">
        <f ca="1"/>
      </c>
      <c r="FO322">
        <f ca="1"/>
      </c>
      <c r="FP322">
        <f ca="1"/>
      </c>
      <c r="FQ322">
        <f ca="1"/>
      </c>
      <c r="FR322">
        <f ca="1"/>
      </c>
      <c r="FS322">
        <f ca="1"/>
      </c>
      <c r="FT322">
        <f ca="1"/>
      </c>
      <c r="FU322">
        <f ca="1"/>
      </c>
      <c r="FV322">
        <f ca="1"/>
      </c>
      <c r="FW322">
        <f ca="1"/>
      </c>
      <c r="FX322">
        <f ca="1"/>
      </c>
      <c r="FY322">
        <f ca="1"/>
      </c>
      <c r="FZ322">
        <f ca="1"/>
      </c>
      <c r="GA322">
        <f ca="1"/>
      </c>
      <c r="GM322" s="7"/>
    </row>
    <row r="323" spans="41:195" x14ac:dyDescent="0.55000000000000004">
      <c r="AO323">
        <f ca="1"/>
      </c>
      <c r="AP323">
        <f ca="1"/>
      </c>
      <c r="AQ323">
        <f ca="1"/>
      </c>
      <c r="AR323">
        <f ca="1"/>
      </c>
      <c r="AS323">
        <f ca="1"/>
      </c>
      <c r="AT323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AZ323">
        <f ca="1"/>
      </c>
      <c r="BA323">
        <f ca="1"/>
      </c>
      <c r="BB323">
        <f ca="1"/>
      </c>
      <c r="BC323">
        <f ca="1"/>
      </c>
      <c r="BD323">
        <f ca="1"/>
      </c>
      <c r="BE323">
        <f ca="1"/>
      </c>
      <c r="BF323">
        <f ca="1"/>
      </c>
      <c r="BG323">
        <f ca="1"/>
      </c>
      <c r="BH323">
        <f ca="1"/>
      </c>
      <c r="BI323">
        <f ca="1"/>
      </c>
      <c r="BJ323">
        <f ca="1"/>
      </c>
      <c r="BK323">
        <f ca="1"/>
      </c>
      <c r="BL323">
        <f ca="1"/>
      </c>
      <c r="BM323">
        <f ca="1"/>
      </c>
      <c r="BN323">
        <f ca="1"/>
      </c>
      <c r="BO323">
        <f ca="1"/>
      </c>
      <c r="BP323">
        <f ca="1"/>
      </c>
      <c r="BQ323">
        <f ca="1"/>
      </c>
      <c r="BR323">
        <f ca="1"/>
      </c>
      <c r="BS323">
        <f ca="1"/>
      </c>
      <c r="BT323">
        <f ca="1"/>
      </c>
      <c r="BU323">
        <f ca="1"/>
      </c>
      <c r="BV323">
        <f ca="1"/>
      </c>
      <c r="BW323">
        <f ca="1"/>
      </c>
      <c r="BX323">
        <f ca="1"/>
      </c>
      <c r="BY323">
        <f ca="1"/>
      </c>
      <c r="BZ323">
        <f ca="1"/>
      </c>
      <c r="CA323">
        <f ca="1"/>
      </c>
      <c r="CB323">
        <f ca="1"/>
      </c>
      <c r="CC323">
        <f ca="1"/>
      </c>
      <c r="CD323">
        <f ca="1"/>
      </c>
      <c r="CE323">
        <f ca="1"/>
      </c>
      <c r="CF323">
        <f ca="1"/>
      </c>
      <c r="CG323">
        <f ca="1"/>
      </c>
      <c r="CH323">
        <f ca="1"/>
      </c>
      <c r="CI323">
        <f ca="1"/>
      </c>
      <c r="CK323">
        <f ca="1"/>
      </c>
      <c r="CL323">
        <f ca="1"/>
      </c>
      <c r="CM323">
        <f ca="1"/>
      </c>
      <c r="CN323">
        <f ca="1"/>
      </c>
      <c r="CO323">
        <f ca="1"/>
      </c>
      <c r="CP323">
        <f ca="1"/>
      </c>
      <c r="CQ323">
        <f ca="1"/>
      </c>
      <c r="CR323">
        <f ca="1"/>
      </c>
      <c r="CS323">
        <f ca="1"/>
      </c>
      <c r="CT323">
        <f ca="1"/>
      </c>
      <c r="CU323">
        <f ca="1"/>
      </c>
      <c r="CV323">
        <f ca="1"/>
      </c>
      <c r="CW323">
        <f ca="1"/>
      </c>
      <c r="CX323">
        <f ca="1"/>
      </c>
      <c r="CY323">
        <f ca="1"/>
      </c>
      <c r="CZ323">
        <f ca="1"/>
      </c>
      <c r="DA323">
        <f ca="1"/>
      </c>
      <c r="DB323">
        <f ca="1"/>
      </c>
      <c r="DC323">
        <f ca="1"/>
      </c>
      <c r="DD323">
        <f ca="1"/>
      </c>
      <c r="DE323">
        <f ca="1"/>
      </c>
      <c r="DF323">
        <f ca="1"/>
      </c>
      <c r="DG323">
        <f ca="1"/>
      </c>
      <c r="DH323">
        <f ca="1"/>
      </c>
      <c r="DI323">
        <f ca="1"/>
      </c>
      <c r="DJ323">
        <f ca="1"/>
      </c>
      <c r="DK323">
        <f ca="1"/>
      </c>
      <c r="DL323">
        <f ca="1"/>
      </c>
      <c r="DM323">
        <f ca="1"/>
      </c>
      <c r="DN323">
        <f ca="1"/>
      </c>
      <c r="DO323">
        <f ca="1"/>
      </c>
      <c r="DP323">
        <f ca="1"/>
      </c>
      <c r="DQ323">
        <f ca="1"/>
      </c>
      <c r="DR323">
        <f ca="1"/>
      </c>
      <c r="DS323">
        <f ca="1"/>
      </c>
      <c r="DT323">
        <f ca="1"/>
      </c>
      <c r="DU323">
        <f ca="1"/>
      </c>
      <c r="DV323">
        <f ca="1"/>
      </c>
      <c r="DW323">
        <f ca="1"/>
      </c>
      <c r="DX323">
        <f ca="1"/>
      </c>
      <c r="DY323">
        <f ca="1"/>
      </c>
      <c r="DZ323">
        <f ca="1"/>
      </c>
      <c r="EA323">
        <f ca="1"/>
      </c>
      <c r="EB323">
        <f ca="1"/>
      </c>
      <c r="EC323">
        <f ca="1"/>
      </c>
      <c r="ED323">
        <f ca="1"/>
      </c>
      <c r="EE323">
        <f ca="1"/>
      </c>
      <c r="EG323">
        <f ca="1"/>
      </c>
      <c r="EH323">
        <f ca="1"/>
      </c>
      <c r="EI323">
        <f ca="1"/>
      </c>
      <c r="EJ323">
        <f ca="1"/>
      </c>
      <c r="EK323">
        <f ca="1"/>
      </c>
      <c r="EL323">
        <f ca="1"/>
      </c>
      <c r="EM323">
        <f ca="1"/>
      </c>
      <c r="EN323">
        <f ca="1"/>
      </c>
      <c r="EO323">
        <f ca="1"/>
      </c>
      <c r="EP323">
        <f ca="1"/>
      </c>
      <c r="EQ323">
        <f ca="1"/>
      </c>
      <c r="ER323">
        <f ca="1"/>
      </c>
      <c r="ES323">
        <f ca="1"/>
      </c>
      <c r="ET323">
        <f ca="1"/>
      </c>
      <c r="EU323">
        <f ca="1"/>
      </c>
      <c r="EV323">
        <f ca="1"/>
      </c>
      <c r="EW323">
        <f ca="1"/>
      </c>
      <c r="EX323">
        <f ca="1"/>
      </c>
      <c r="EY323">
        <f ca="1"/>
      </c>
      <c r="EZ323">
        <f ca="1"/>
      </c>
      <c r="FA323">
        <f ca="1"/>
      </c>
      <c r="FB323">
        <f ca="1"/>
      </c>
      <c r="FC323">
        <f ca="1"/>
      </c>
      <c r="FD323">
        <f ca="1"/>
      </c>
      <c r="FE323">
        <f ca="1"/>
      </c>
      <c r="FF323">
        <f ca="1"/>
      </c>
      <c r="FG323">
        <f ca="1"/>
      </c>
      <c r="FH323">
        <f ca="1"/>
      </c>
      <c r="FI323">
        <f ca="1"/>
      </c>
      <c r="FJ323">
        <f ca="1"/>
      </c>
      <c r="FK323">
        <f ca="1"/>
      </c>
      <c r="FL323">
        <f ca="1"/>
      </c>
      <c r="FM323">
        <f ca="1"/>
      </c>
      <c r="FN323">
        <f ca="1"/>
      </c>
      <c r="FO323">
        <f ca="1"/>
      </c>
      <c r="FP323">
        <f ca="1"/>
      </c>
      <c r="FQ323">
        <f ca="1"/>
      </c>
      <c r="FR323">
        <f ca="1"/>
      </c>
      <c r="FS323">
        <f ca="1"/>
      </c>
      <c r="FT323">
        <f ca="1"/>
      </c>
      <c r="FU323">
        <f ca="1"/>
      </c>
      <c r="FV323">
        <f ca="1"/>
      </c>
      <c r="FW323">
        <f ca="1"/>
      </c>
      <c r="FX323">
        <f ca="1"/>
      </c>
      <c r="FY323">
        <f ca="1"/>
      </c>
      <c r="FZ323">
        <f ca="1"/>
      </c>
      <c r="GA323">
        <f ca="1"/>
      </c>
      <c r="GM323" s="7"/>
    </row>
    <row r="324" spans="41:195" x14ac:dyDescent="0.55000000000000004">
      <c r="AO324">
        <f ca="1"/>
      </c>
      <c r="AP324">
        <f ca="1"/>
      </c>
      <c r="AQ324">
        <f ca="1"/>
      </c>
      <c r="AR324">
        <f ca="1"/>
      </c>
      <c r="AS324">
        <f ca="1"/>
      </c>
      <c r="AT324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AZ324">
        <f ca="1"/>
      </c>
      <c r="BA324">
        <f ca="1"/>
      </c>
      <c r="BB324">
        <f ca="1"/>
      </c>
      <c r="BC324">
        <f ca="1"/>
      </c>
      <c r="BD324">
        <f ca="1"/>
      </c>
      <c r="BE324">
        <f ca="1"/>
      </c>
      <c r="BF324">
        <f ca="1"/>
      </c>
      <c r="BG324">
        <f ca="1"/>
      </c>
      <c r="BH324">
        <f ca="1"/>
      </c>
      <c r="BI324">
        <f ca="1"/>
      </c>
      <c r="BJ324">
        <f ca="1"/>
      </c>
      <c r="BK324">
        <f ca="1"/>
      </c>
      <c r="BL324">
        <f ca="1"/>
      </c>
      <c r="BM324">
        <f ca="1"/>
      </c>
      <c r="BN324">
        <f ca="1"/>
      </c>
      <c r="BO324">
        <f ca="1"/>
      </c>
      <c r="BP324">
        <f ca="1"/>
      </c>
      <c r="BQ324">
        <f ca="1"/>
      </c>
      <c r="BR324">
        <f ca="1"/>
      </c>
      <c r="BS324">
        <f ca="1"/>
      </c>
      <c r="BT324">
        <f ca="1"/>
      </c>
      <c r="BU324">
        <f ca="1"/>
      </c>
      <c r="BV324">
        <f ca="1"/>
      </c>
      <c r="BW324">
        <f ca="1"/>
      </c>
      <c r="BX324">
        <f ca="1"/>
      </c>
      <c r="BY324">
        <f ca="1"/>
      </c>
      <c r="BZ324">
        <f ca="1"/>
      </c>
      <c r="CA324">
        <f ca="1"/>
      </c>
      <c r="CB324">
        <f ca="1"/>
      </c>
      <c r="CC324">
        <f ca="1"/>
      </c>
      <c r="CD324">
        <f ca="1"/>
      </c>
      <c r="CE324">
        <f ca="1"/>
      </c>
      <c r="CF324">
        <f ca="1"/>
      </c>
      <c r="CG324">
        <f ca="1"/>
      </c>
      <c r="CH324">
        <f ca="1"/>
      </c>
      <c r="CI324">
        <f ca="1"/>
      </c>
      <c r="CK324">
        <f ca="1"/>
      </c>
      <c r="CL324">
        <f ca="1"/>
      </c>
      <c r="CM324">
        <f ca="1"/>
      </c>
      <c r="CN324">
        <f ca="1"/>
      </c>
      <c r="CO324">
        <f ca="1"/>
      </c>
      <c r="CP324">
        <f ca="1"/>
      </c>
      <c r="CQ324">
        <f ca="1"/>
      </c>
      <c r="CR324">
        <f ca="1"/>
      </c>
      <c r="CS324">
        <f ca="1"/>
      </c>
      <c r="CT324">
        <f ca="1"/>
      </c>
      <c r="CU324">
        <f ca="1"/>
      </c>
      <c r="CV324">
        <f ca="1"/>
      </c>
      <c r="CW324">
        <f ca="1"/>
      </c>
      <c r="CX324">
        <f ca="1"/>
      </c>
      <c r="CY324">
        <f ca="1"/>
      </c>
      <c r="CZ324">
        <f ca="1"/>
      </c>
      <c r="DA324">
        <f ca="1"/>
      </c>
      <c r="DB324">
        <f ca="1"/>
      </c>
      <c r="DC324">
        <f ca="1"/>
      </c>
      <c r="DD324">
        <f ca="1"/>
      </c>
      <c r="DE324">
        <f ca="1"/>
      </c>
      <c r="DF324">
        <f ca="1"/>
      </c>
      <c r="DG324">
        <f ca="1"/>
      </c>
      <c r="DH324">
        <f ca="1"/>
      </c>
      <c r="DI324">
        <f ca="1"/>
      </c>
      <c r="DJ324">
        <f ca="1"/>
      </c>
      <c r="DK324">
        <f ca="1"/>
      </c>
      <c r="DL324">
        <f ca="1"/>
      </c>
      <c r="DM324">
        <f ca="1"/>
      </c>
      <c r="DN324">
        <f ca="1"/>
      </c>
      <c r="DO324">
        <f ca="1"/>
      </c>
      <c r="DP324">
        <f ca="1"/>
      </c>
      <c r="DQ324">
        <f ca="1"/>
      </c>
      <c r="DR324">
        <f ca="1"/>
      </c>
      <c r="DS324">
        <f ca="1"/>
      </c>
      <c r="DT324">
        <f ca="1"/>
      </c>
      <c r="DU324">
        <f ca="1"/>
      </c>
      <c r="DV324">
        <f ca="1"/>
      </c>
      <c r="DW324">
        <f ca="1"/>
      </c>
      <c r="DX324">
        <f ca="1"/>
      </c>
      <c r="DY324">
        <f ca="1"/>
      </c>
      <c r="DZ324">
        <f ca="1"/>
      </c>
      <c r="EA324">
        <f ca="1"/>
      </c>
      <c r="EB324">
        <f ca="1"/>
      </c>
      <c r="EC324">
        <f ca="1"/>
      </c>
      <c r="ED324">
        <f ca="1"/>
      </c>
      <c r="EE324">
        <f ca="1"/>
      </c>
      <c r="EG324">
        <f ca="1"/>
      </c>
      <c r="EH324">
        <f ca="1"/>
      </c>
      <c r="EI324">
        <f ca="1"/>
      </c>
      <c r="EJ324">
        <f ca="1"/>
      </c>
      <c r="EK324">
        <f ca="1"/>
      </c>
      <c r="EL324">
        <f ca="1"/>
      </c>
      <c r="EM324">
        <f ca="1"/>
      </c>
      <c r="EN324">
        <f ca="1"/>
      </c>
      <c r="EO324">
        <f ca="1"/>
      </c>
      <c r="EP324">
        <f ca="1"/>
      </c>
      <c r="EQ324">
        <f ca="1"/>
      </c>
      <c r="ER324">
        <f ca="1"/>
      </c>
      <c r="ES324">
        <f ca="1"/>
      </c>
      <c r="ET324">
        <f ca="1"/>
      </c>
      <c r="EU324">
        <f ca="1"/>
      </c>
      <c r="EV324">
        <f ca="1"/>
      </c>
      <c r="EW324">
        <f ca="1"/>
      </c>
      <c r="EX324">
        <f ca="1"/>
      </c>
      <c r="EY324">
        <f ca="1"/>
      </c>
      <c r="EZ324">
        <f ca="1"/>
      </c>
      <c r="FA324">
        <f ca="1"/>
      </c>
      <c r="FB324">
        <f ca="1"/>
      </c>
      <c r="FC324">
        <f ca="1"/>
      </c>
      <c r="FD324">
        <f ca="1"/>
      </c>
      <c r="FE324">
        <f ca="1"/>
      </c>
      <c r="FF324">
        <f ca="1"/>
      </c>
      <c r="FG324">
        <f ca="1"/>
      </c>
      <c r="FH324">
        <f ca="1"/>
      </c>
      <c r="FI324">
        <f ca="1"/>
      </c>
      <c r="FJ324">
        <f ca="1"/>
      </c>
      <c r="FK324">
        <f ca="1"/>
      </c>
      <c r="FL324">
        <f ca="1"/>
      </c>
      <c r="FM324">
        <f ca="1"/>
      </c>
      <c r="FN324">
        <f ca="1"/>
      </c>
      <c r="FO324">
        <f ca="1"/>
      </c>
      <c r="FP324">
        <f ca="1"/>
      </c>
      <c r="FQ324">
        <f ca="1"/>
      </c>
      <c r="FR324">
        <f ca="1"/>
      </c>
      <c r="FS324">
        <f ca="1"/>
      </c>
      <c r="FT324">
        <f ca="1"/>
      </c>
      <c r="FU324">
        <f ca="1"/>
      </c>
      <c r="FV324">
        <f ca="1"/>
      </c>
      <c r="FW324">
        <f ca="1"/>
      </c>
      <c r="FX324">
        <f ca="1"/>
      </c>
      <c r="FY324">
        <f ca="1"/>
      </c>
      <c r="FZ324">
        <f ca="1"/>
      </c>
      <c r="GA324">
        <f ca="1"/>
      </c>
      <c r="GM324" s="7"/>
    </row>
    <row r="325" spans="41:195" x14ac:dyDescent="0.55000000000000004">
      <c r="AO325">
        <f ca="1"/>
      </c>
      <c r="AP325">
        <f ca="1"/>
      </c>
      <c r="AQ325">
        <f ca="1"/>
      </c>
      <c r="AR325">
        <f ca="1"/>
      </c>
      <c r="AS325">
        <f ca="1"/>
      </c>
      <c r="AT325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AZ325">
        <f ca="1"/>
      </c>
      <c r="BA325">
        <f ca="1"/>
      </c>
      <c r="BB325">
        <f ca="1"/>
      </c>
      <c r="BC325">
        <f ca="1"/>
      </c>
      <c r="BD325">
        <f ca="1"/>
      </c>
      <c r="BE325">
        <f ca="1"/>
      </c>
      <c r="BF325">
        <f ca="1"/>
      </c>
      <c r="BG325">
        <f ca="1"/>
      </c>
      <c r="BH325">
        <f ca="1"/>
      </c>
      <c r="BI325">
        <f ca="1"/>
      </c>
      <c r="BJ325">
        <f ca="1"/>
      </c>
      <c r="BK325">
        <f ca="1"/>
      </c>
      <c r="BL325">
        <f ca="1"/>
      </c>
      <c r="BM325">
        <f ca="1"/>
      </c>
      <c r="BN325">
        <f ca="1"/>
      </c>
      <c r="BO325">
        <f ca="1"/>
      </c>
      <c r="BP325">
        <f ca="1"/>
      </c>
      <c r="BQ325">
        <f ca="1"/>
      </c>
      <c r="BR325">
        <f ca="1"/>
      </c>
      <c r="BS325">
        <f ca="1"/>
      </c>
      <c r="BT325">
        <f ca="1"/>
      </c>
      <c r="BU325">
        <f ca="1"/>
      </c>
      <c r="BV325">
        <f ca="1"/>
      </c>
      <c r="BW325">
        <f ca="1"/>
      </c>
      <c r="BX325">
        <f ca="1"/>
      </c>
      <c r="BY325">
        <f ca="1"/>
      </c>
      <c r="BZ325">
        <f ca="1"/>
      </c>
      <c r="CA325">
        <f ca="1"/>
      </c>
      <c r="CB325">
        <f ca="1"/>
      </c>
      <c r="CC325">
        <f ca="1"/>
      </c>
      <c r="CD325">
        <f ca="1"/>
      </c>
      <c r="CE325">
        <f ca="1"/>
      </c>
      <c r="CF325">
        <f ca="1"/>
      </c>
      <c r="CG325">
        <f ca="1"/>
      </c>
      <c r="CH325">
        <f ca="1"/>
      </c>
      <c r="CI325">
        <f ca="1"/>
      </c>
      <c r="CK325">
        <f ca="1"/>
      </c>
      <c r="CL325">
        <f ca="1"/>
      </c>
      <c r="CM325">
        <f ca="1"/>
      </c>
      <c r="CN325">
        <f ca="1"/>
      </c>
      <c r="CO325">
        <f ca="1"/>
      </c>
      <c r="CP325">
        <f ca="1"/>
      </c>
      <c r="CQ325">
        <f ca="1"/>
      </c>
      <c r="CR325">
        <f ca="1"/>
      </c>
      <c r="CS325">
        <f ca="1"/>
      </c>
      <c r="CT325">
        <f ca="1"/>
      </c>
      <c r="CU325">
        <f ca="1"/>
      </c>
      <c r="CV325">
        <f ca="1"/>
      </c>
      <c r="CW325">
        <f ca="1"/>
      </c>
      <c r="CX325">
        <f ca="1"/>
      </c>
      <c r="CY325">
        <f ca="1"/>
      </c>
      <c r="CZ325">
        <f ca="1"/>
      </c>
      <c r="DA325">
        <f ca="1"/>
      </c>
      <c r="DB325">
        <f ca="1"/>
      </c>
      <c r="DC325">
        <f ca="1"/>
      </c>
      <c r="DD325">
        <f ca="1"/>
      </c>
      <c r="DE325">
        <f ca="1"/>
      </c>
      <c r="DF325">
        <f ca="1"/>
      </c>
      <c r="DG325">
        <f ca="1"/>
      </c>
      <c r="DH325">
        <f ca="1"/>
      </c>
      <c r="DI325">
        <f ca="1"/>
      </c>
      <c r="DJ325">
        <f ca="1"/>
      </c>
      <c r="DK325">
        <f ca="1"/>
      </c>
      <c r="DL325">
        <f ca="1"/>
      </c>
      <c r="DM325">
        <f ca="1"/>
      </c>
      <c r="DN325">
        <f ca="1"/>
      </c>
      <c r="DO325">
        <f ca="1"/>
      </c>
      <c r="DP325">
        <f ca="1"/>
      </c>
      <c r="DQ325">
        <f ca="1"/>
      </c>
      <c r="DR325">
        <f ca="1"/>
      </c>
      <c r="DS325">
        <f ca="1"/>
      </c>
      <c r="DT325">
        <f ca="1"/>
      </c>
      <c r="DU325">
        <f ca="1"/>
      </c>
      <c r="DV325">
        <f ca="1"/>
      </c>
      <c r="DW325">
        <f ca="1"/>
      </c>
      <c r="DX325">
        <f ca="1"/>
      </c>
      <c r="DY325">
        <f ca="1"/>
      </c>
      <c r="DZ325">
        <f ca="1"/>
      </c>
      <c r="EA325">
        <f ca="1"/>
      </c>
      <c r="EB325">
        <f ca="1"/>
      </c>
      <c r="EC325">
        <f ca="1"/>
      </c>
      <c r="ED325">
        <f ca="1"/>
      </c>
      <c r="EE325">
        <f ca="1"/>
      </c>
      <c r="EG325">
        <f ca="1"/>
      </c>
      <c r="EH325">
        <f ca="1"/>
      </c>
      <c r="EI325">
        <f ca="1"/>
      </c>
      <c r="EJ325">
        <f ca="1"/>
      </c>
      <c r="EK325">
        <f ca="1"/>
      </c>
      <c r="EL325">
        <f ca="1"/>
      </c>
      <c r="EM325">
        <f ca="1"/>
      </c>
      <c r="EN325">
        <f ca="1"/>
      </c>
      <c r="EO325">
        <f ca="1"/>
      </c>
      <c r="EP325">
        <f ca="1"/>
      </c>
      <c r="EQ325">
        <f ca="1"/>
      </c>
      <c r="ER325">
        <f ca="1"/>
      </c>
      <c r="ES325">
        <f ca="1"/>
      </c>
      <c r="ET325">
        <f ca="1"/>
      </c>
      <c r="EU325">
        <f ca="1"/>
      </c>
      <c r="EV325">
        <f ca="1"/>
      </c>
      <c r="EW325">
        <f ca="1"/>
      </c>
      <c r="EX325">
        <f ca="1"/>
      </c>
      <c r="EY325">
        <f ca="1"/>
      </c>
      <c r="EZ325">
        <f ca="1"/>
      </c>
      <c r="FA325">
        <f ca="1"/>
      </c>
      <c r="FB325">
        <f ca="1"/>
      </c>
      <c r="FC325">
        <f ca="1"/>
      </c>
      <c r="FD325">
        <f ca="1"/>
      </c>
      <c r="FE325">
        <f ca="1"/>
      </c>
      <c r="FF325">
        <f ca="1"/>
      </c>
      <c r="FG325">
        <f ca="1"/>
      </c>
      <c r="FH325">
        <f ca="1"/>
      </c>
      <c r="FI325">
        <f ca="1"/>
      </c>
      <c r="FJ325">
        <f ca="1"/>
      </c>
      <c r="FK325">
        <f ca="1"/>
      </c>
      <c r="FL325">
        <f ca="1"/>
      </c>
      <c r="FM325">
        <f ca="1"/>
      </c>
      <c r="FN325">
        <f ca="1"/>
      </c>
      <c r="FO325">
        <f ca="1"/>
      </c>
      <c r="FP325">
        <f ca="1"/>
      </c>
      <c r="FQ325">
        <f ca="1"/>
      </c>
      <c r="FR325">
        <f ca="1"/>
      </c>
      <c r="FS325">
        <f ca="1"/>
      </c>
      <c r="FT325">
        <f ca="1"/>
      </c>
      <c r="FU325">
        <f ca="1"/>
      </c>
      <c r="FV325">
        <f ca="1"/>
      </c>
      <c r="FW325">
        <f ca="1"/>
      </c>
      <c r="FX325">
        <f ca="1"/>
      </c>
      <c r="FY325">
        <f ca="1"/>
      </c>
      <c r="FZ325">
        <f ca="1"/>
      </c>
      <c r="GA325">
        <f ca="1"/>
      </c>
      <c r="GM325" s="7"/>
    </row>
    <row r="326" spans="41:195" x14ac:dyDescent="0.55000000000000004">
      <c r="AO326">
        <f ca="1"/>
      </c>
      <c r="AP326">
        <f ca="1"/>
      </c>
      <c r="AQ326">
        <f ca="1"/>
      </c>
      <c r="AR326">
        <f ca="1"/>
      </c>
      <c r="AS326">
        <f ca="1"/>
      </c>
      <c r="AT326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AZ326">
        <f ca="1"/>
      </c>
      <c r="BA326">
        <f ca="1"/>
      </c>
      <c r="BB326">
        <f ca="1"/>
      </c>
      <c r="BC326">
        <f ca="1"/>
      </c>
      <c r="BD326">
        <f ca="1"/>
      </c>
      <c r="BE326">
        <f ca="1"/>
      </c>
      <c r="BF326">
        <f ca="1"/>
      </c>
      <c r="BG326">
        <f ca="1"/>
      </c>
      <c r="BH326">
        <f ca="1"/>
      </c>
      <c r="BI326">
        <f ca="1"/>
      </c>
      <c r="BJ326">
        <f ca="1"/>
      </c>
      <c r="BK326">
        <f ca="1"/>
      </c>
      <c r="BL326">
        <f ca="1"/>
      </c>
      <c r="BM326">
        <f ca="1"/>
      </c>
      <c r="BN326">
        <f ca="1"/>
      </c>
      <c r="BO326">
        <f ca="1"/>
      </c>
      <c r="BP326">
        <f ca="1"/>
      </c>
      <c r="BQ326">
        <f ca="1"/>
      </c>
      <c r="BR326">
        <f ca="1"/>
      </c>
      <c r="BS326">
        <f ca="1"/>
      </c>
      <c r="BT326">
        <f ca="1"/>
      </c>
      <c r="BU326">
        <f ca="1"/>
      </c>
      <c r="BV326">
        <f ca="1"/>
      </c>
      <c r="BW326">
        <f ca="1"/>
      </c>
      <c r="BX326">
        <f ca="1"/>
      </c>
      <c r="BY326">
        <f ca="1"/>
      </c>
      <c r="BZ326">
        <f ca="1"/>
      </c>
      <c r="CA326">
        <f ca="1"/>
      </c>
      <c r="CB326">
        <f ca="1"/>
      </c>
      <c r="CC326">
        <f ca="1"/>
      </c>
      <c r="CD326">
        <f ca="1"/>
      </c>
      <c r="CE326">
        <f ca="1"/>
      </c>
      <c r="CF326">
        <f ca="1"/>
      </c>
      <c r="CG326">
        <f ca="1"/>
      </c>
      <c r="CH326">
        <f ca="1"/>
      </c>
      <c r="CI326">
        <f ca="1"/>
      </c>
      <c r="CK326">
        <f ca="1"/>
      </c>
      <c r="CL326">
        <f ca="1"/>
      </c>
      <c r="CM326">
        <f ca="1"/>
      </c>
      <c r="CN326">
        <f ca="1"/>
      </c>
      <c r="CO326">
        <f ca="1"/>
      </c>
      <c r="CP326">
        <f ca="1"/>
      </c>
      <c r="CQ326">
        <f ca="1"/>
      </c>
      <c r="CR326">
        <f ca="1"/>
      </c>
      <c r="CS326">
        <f ca="1"/>
      </c>
      <c r="CT326">
        <f ca="1"/>
      </c>
      <c r="CU326">
        <f ca="1"/>
      </c>
      <c r="CV326">
        <f ca="1"/>
      </c>
      <c r="CW326">
        <f ca="1"/>
      </c>
      <c r="CX326">
        <f ca="1"/>
      </c>
      <c r="CY326">
        <f ca="1"/>
      </c>
      <c r="CZ326">
        <f ca="1"/>
      </c>
      <c r="DA326">
        <f ca="1"/>
      </c>
      <c r="DB326">
        <f ca="1"/>
      </c>
      <c r="DC326">
        <f ca="1"/>
      </c>
      <c r="DD326">
        <f ca="1"/>
      </c>
      <c r="DE326">
        <f ca="1"/>
      </c>
      <c r="DF326">
        <f ca="1"/>
      </c>
      <c r="DG326">
        <f ca="1"/>
      </c>
      <c r="DH326">
        <f ca="1"/>
      </c>
      <c r="DI326">
        <f ca="1"/>
      </c>
      <c r="DJ326">
        <f ca="1"/>
      </c>
      <c r="DK326">
        <f ca="1"/>
      </c>
      <c r="DL326">
        <f ca="1"/>
      </c>
      <c r="DM326">
        <f ca="1"/>
      </c>
      <c r="DN326">
        <f ca="1"/>
      </c>
      <c r="DO326">
        <f ca="1"/>
      </c>
      <c r="DP326">
        <f ca="1"/>
      </c>
      <c r="DQ326">
        <f ca="1"/>
      </c>
      <c r="DR326">
        <f ca="1"/>
      </c>
      <c r="DS326">
        <f ca="1"/>
      </c>
      <c r="DT326">
        <f ca="1"/>
      </c>
      <c r="DU326">
        <f ca="1"/>
      </c>
      <c r="DV326">
        <f ca="1"/>
      </c>
      <c r="DW326">
        <f ca="1"/>
      </c>
      <c r="DX326">
        <f ca="1"/>
      </c>
      <c r="DY326">
        <f ca="1"/>
      </c>
      <c r="DZ326">
        <f ca="1"/>
      </c>
      <c r="EA326">
        <f ca="1"/>
      </c>
      <c r="EB326">
        <f ca="1"/>
      </c>
      <c r="EC326">
        <f ca="1"/>
      </c>
      <c r="ED326">
        <f ca="1"/>
      </c>
      <c r="EE326">
        <f ca="1"/>
      </c>
      <c r="EG326">
        <f ca="1"/>
      </c>
      <c r="EH326">
        <f ca="1"/>
      </c>
      <c r="EI326">
        <f ca="1"/>
      </c>
      <c r="EJ326">
        <f ca="1"/>
      </c>
      <c r="EK326">
        <f ca="1"/>
      </c>
      <c r="EL326">
        <f ca="1"/>
      </c>
      <c r="EM326">
        <f ca="1"/>
      </c>
      <c r="EN326">
        <f ca="1"/>
      </c>
      <c r="EO326">
        <f ca="1"/>
      </c>
      <c r="EP326">
        <f ca="1"/>
      </c>
      <c r="EQ326">
        <f ca="1"/>
      </c>
      <c r="ER326">
        <f ca="1"/>
      </c>
      <c r="ES326">
        <f ca="1"/>
      </c>
      <c r="ET326">
        <f ca="1"/>
      </c>
      <c r="EU326">
        <f ca="1"/>
      </c>
      <c r="EV326">
        <f ca="1"/>
      </c>
      <c r="EW326">
        <f ca="1"/>
      </c>
      <c r="EX326">
        <f ca="1"/>
      </c>
      <c r="EY326">
        <f ca="1"/>
      </c>
      <c r="EZ326">
        <f ca="1"/>
      </c>
      <c r="FA326">
        <f ca="1"/>
      </c>
      <c r="FB326">
        <f ca="1"/>
      </c>
      <c r="FC326">
        <f ca="1"/>
      </c>
      <c r="FD326">
        <f ca="1"/>
      </c>
      <c r="FE326">
        <f ca="1"/>
      </c>
      <c r="FF326">
        <f ca="1"/>
      </c>
      <c r="FG326">
        <f ca="1"/>
      </c>
      <c r="FH326">
        <f ca="1"/>
      </c>
      <c r="FI326">
        <f ca="1"/>
      </c>
      <c r="FJ326">
        <f ca="1"/>
      </c>
      <c r="FK326">
        <f ca="1"/>
      </c>
      <c r="FL326">
        <f ca="1"/>
      </c>
      <c r="FM326">
        <f ca="1"/>
      </c>
      <c r="FN326">
        <f ca="1"/>
      </c>
      <c r="FO326">
        <f ca="1"/>
      </c>
      <c r="FP326">
        <f ca="1"/>
      </c>
      <c r="FQ326">
        <f ca="1"/>
      </c>
      <c r="FR326">
        <f ca="1"/>
      </c>
      <c r="FS326">
        <f ca="1"/>
      </c>
      <c r="FT326">
        <f ca="1"/>
      </c>
      <c r="FU326">
        <f ca="1"/>
      </c>
      <c r="FV326">
        <f ca="1"/>
      </c>
      <c r="FW326">
        <f ca="1"/>
      </c>
      <c r="FX326">
        <f ca="1"/>
      </c>
      <c r="FY326">
        <f ca="1"/>
      </c>
      <c r="FZ326">
        <f ca="1"/>
      </c>
      <c r="GA326">
        <f ca="1"/>
      </c>
      <c r="GM326" s="7"/>
    </row>
    <row r="327" spans="41:195" x14ac:dyDescent="0.55000000000000004">
      <c r="AO327">
        <f ca="1"/>
      </c>
      <c r="AP327">
        <f ca="1"/>
      </c>
      <c r="AQ327">
        <f ca="1"/>
      </c>
      <c r="AR327">
        <f ca="1"/>
      </c>
      <c r="AS327">
        <f ca="1"/>
      </c>
      <c r="AT32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AZ327">
        <f ca="1"/>
      </c>
      <c r="BA327">
        <f ca="1"/>
      </c>
      <c r="BB327">
        <f ca="1"/>
      </c>
      <c r="BC327">
        <f ca="1"/>
      </c>
      <c r="BD327">
        <f ca="1"/>
      </c>
      <c r="BE327">
        <f ca="1"/>
      </c>
      <c r="BF327">
        <f ca="1"/>
      </c>
      <c r="BG327">
        <f ca="1"/>
      </c>
      <c r="BH327">
        <f ca="1"/>
      </c>
      <c r="BI327">
        <f ca="1"/>
      </c>
      <c r="BJ327">
        <f ca="1"/>
      </c>
      <c r="BK327">
        <f ca="1"/>
      </c>
      <c r="BL327">
        <f ca="1"/>
      </c>
      <c r="BM327">
        <f ca="1"/>
      </c>
      <c r="BN327">
        <f ca="1"/>
      </c>
      <c r="BO327">
        <f ca="1"/>
      </c>
      <c r="BP327">
        <f ca="1"/>
      </c>
      <c r="BQ327">
        <f ca="1"/>
      </c>
      <c r="BR327">
        <f ca="1"/>
      </c>
      <c r="BS327">
        <f ca="1"/>
      </c>
      <c r="BT327">
        <f ca="1"/>
      </c>
      <c r="BU327">
        <f ca="1"/>
      </c>
      <c r="BV327">
        <f ca="1"/>
      </c>
      <c r="BW327">
        <f ca="1"/>
      </c>
      <c r="BX327">
        <f ca="1"/>
      </c>
      <c r="BY327">
        <f ca="1"/>
      </c>
      <c r="BZ327">
        <f ca="1"/>
      </c>
      <c r="CA327">
        <f ca="1"/>
      </c>
      <c r="CB327">
        <f ca="1"/>
      </c>
      <c r="CC327">
        <f ca="1"/>
      </c>
      <c r="CD327">
        <f ca="1"/>
      </c>
      <c r="CE327">
        <f ca="1"/>
      </c>
      <c r="CF327">
        <f ca="1"/>
      </c>
      <c r="CG327">
        <f ca="1"/>
      </c>
      <c r="CH327">
        <f ca="1"/>
      </c>
      <c r="CI327">
        <f ca="1"/>
      </c>
      <c r="CK327">
        <f ca="1"/>
      </c>
      <c r="CL327">
        <f ca="1"/>
      </c>
      <c r="CM327">
        <f ca="1"/>
      </c>
      <c r="CN327">
        <f ca="1"/>
      </c>
      <c r="CO327">
        <f ca="1"/>
      </c>
      <c r="CP327">
        <f ca="1"/>
      </c>
      <c r="CQ327">
        <f ca="1"/>
      </c>
      <c r="CR327">
        <f ca="1"/>
      </c>
      <c r="CS327">
        <f ca="1"/>
      </c>
      <c r="CT327">
        <f ca="1"/>
      </c>
      <c r="CU327">
        <f ca="1"/>
      </c>
      <c r="CV327">
        <f ca="1"/>
      </c>
      <c r="CW327">
        <f ca="1"/>
      </c>
      <c r="CX327">
        <f ca="1"/>
      </c>
      <c r="CY327">
        <f ca="1"/>
      </c>
      <c r="CZ327">
        <f ca="1"/>
      </c>
      <c r="DA327">
        <f ca="1"/>
      </c>
      <c r="DB327">
        <f ca="1"/>
      </c>
      <c r="DC327">
        <f ca="1"/>
      </c>
      <c r="DD327">
        <f ca="1"/>
      </c>
      <c r="DE327">
        <f ca="1"/>
      </c>
      <c r="DF327">
        <f ca="1"/>
      </c>
      <c r="DG327">
        <f ca="1"/>
      </c>
      <c r="DH327">
        <f ca="1"/>
      </c>
      <c r="DI327">
        <f ca="1"/>
      </c>
      <c r="DJ327">
        <f ca="1"/>
      </c>
      <c r="DK327">
        <f ca="1"/>
      </c>
      <c r="DL327">
        <f ca="1"/>
      </c>
      <c r="DM327">
        <f ca="1"/>
      </c>
      <c r="DN327">
        <f ca="1"/>
      </c>
      <c r="DO327">
        <f ca="1"/>
      </c>
      <c r="DP327">
        <f ca="1"/>
      </c>
      <c r="DQ327">
        <f ca="1"/>
      </c>
      <c r="DR327">
        <f ca="1"/>
      </c>
      <c r="DS327">
        <f ca="1"/>
      </c>
      <c r="DT327">
        <f ca="1"/>
      </c>
      <c r="DU327">
        <f ca="1"/>
      </c>
      <c r="DV327">
        <f ca="1"/>
      </c>
      <c r="DW327">
        <f ca="1"/>
      </c>
      <c r="DX327">
        <f ca="1"/>
      </c>
      <c r="DY327">
        <f ca="1"/>
      </c>
      <c r="DZ327">
        <f ca="1"/>
      </c>
      <c r="EA327">
        <f ca="1"/>
      </c>
      <c r="EB327">
        <f ca="1"/>
      </c>
      <c r="EC327">
        <f ca="1"/>
      </c>
      <c r="ED327">
        <f ca="1"/>
      </c>
      <c r="EE327">
        <f ca="1"/>
      </c>
      <c r="EG327">
        <f ca="1"/>
      </c>
      <c r="EH327">
        <f ca="1"/>
      </c>
      <c r="EI327">
        <f ca="1"/>
      </c>
      <c r="EJ327">
        <f ca="1"/>
      </c>
      <c r="EK327">
        <f ca="1"/>
      </c>
      <c r="EL327">
        <f ca="1"/>
      </c>
      <c r="EM327">
        <f ca="1"/>
      </c>
      <c r="EN327">
        <f ca="1"/>
      </c>
      <c r="EO327">
        <f ca="1"/>
      </c>
      <c r="EP327">
        <f ca="1"/>
      </c>
      <c r="EQ327">
        <f ca="1"/>
      </c>
      <c r="ER327">
        <f ca="1"/>
      </c>
      <c r="ES327">
        <f ca="1"/>
      </c>
      <c r="ET327">
        <f ca="1"/>
      </c>
      <c r="EU327">
        <f ca="1"/>
      </c>
      <c r="EV327">
        <f ca="1"/>
      </c>
      <c r="EW327">
        <f ca="1"/>
      </c>
      <c r="EX327">
        <f ca="1"/>
      </c>
      <c r="EY327">
        <f ca="1"/>
      </c>
      <c r="EZ327">
        <f ca="1"/>
      </c>
      <c r="FA327">
        <f ca="1"/>
      </c>
      <c r="FB327">
        <f ca="1"/>
      </c>
      <c r="FC327">
        <f ca="1"/>
      </c>
      <c r="FD327">
        <f ca="1"/>
      </c>
      <c r="FE327">
        <f ca="1"/>
      </c>
      <c r="FF327">
        <f ca="1"/>
      </c>
      <c r="FG327">
        <f ca="1"/>
      </c>
      <c r="FH327">
        <f ca="1"/>
      </c>
      <c r="FI327">
        <f ca="1"/>
      </c>
      <c r="FJ327">
        <f ca="1"/>
      </c>
      <c r="FK327">
        <f ca="1"/>
      </c>
      <c r="FL327">
        <f ca="1"/>
      </c>
      <c r="FM327">
        <f ca="1"/>
      </c>
      <c r="FN327">
        <f ca="1"/>
      </c>
      <c r="FO327">
        <f ca="1"/>
      </c>
      <c r="FP327">
        <f ca="1"/>
      </c>
      <c r="FQ327">
        <f ca="1"/>
      </c>
      <c r="FR327">
        <f ca="1"/>
      </c>
      <c r="FS327">
        <f ca="1"/>
      </c>
      <c r="FT327">
        <f ca="1"/>
      </c>
      <c r="FU327">
        <f ca="1"/>
      </c>
      <c r="FV327">
        <f ca="1"/>
      </c>
      <c r="FW327">
        <f ca="1"/>
      </c>
      <c r="FX327">
        <f ca="1"/>
      </c>
      <c r="FY327">
        <f ca="1"/>
      </c>
      <c r="FZ327">
        <f ca="1"/>
      </c>
      <c r="GA327">
        <f ca="1"/>
      </c>
      <c r="GM327" s="7"/>
    </row>
    <row r="328" spans="41:195" x14ac:dyDescent="0.55000000000000004">
      <c r="AO328">
        <f ca="1"/>
      </c>
      <c r="AP328">
        <f ca="1"/>
      </c>
      <c r="AQ328">
        <f ca="1"/>
      </c>
      <c r="AR328">
        <f ca="1"/>
      </c>
      <c r="AS328">
        <f ca="1"/>
      </c>
      <c r="AT328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AZ328">
        <f ca="1"/>
      </c>
      <c r="BA328">
        <f ca="1"/>
      </c>
      <c r="BB328">
        <f ca="1"/>
      </c>
      <c r="BC328">
        <f ca="1"/>
      </c>
      <c r="BD328">
        <f ca="1"/>
      </c>
      <c r="BE328">
        <f ca="1"/>
      </c>
      <c r="BF328">
        <f ca="1"/>
      </c>
      <c r="BG328">
        <f ca="1"/>
      </c>
      <c r="BH328">
        <f ca="1"/>
      </c>
      <c r="BI328">
        <f ca="1"/>
      </c>
      <c r="BJ328">
        <f ca="1"/>
      </c>
      <c r="BK328">
        <f ca="1"/>
      </c>
      <c r="BL328">
        <f ca="1"/>
      </c>
      <c r="BM328">
        <f ca="1"/>
      </c>
      <c r="BN328">
        <f ca="1"/>
      </c>
      <c r="BO328">
        <f ca="1"/>
      </c>
      <c r="BP328">
        <f ca="1"/>
      </c>
      <c r="BQ328">
        <f ca="1"/>
      </c>
      <c r="BR328">
        <f ca="1"/>
      </c>
      <c r="BS328">
        <f ca="1"/>
      </c>
      <c r="BT328">
        <f ca="1"/>
      </c>
      <c r="BU328">
        <f ca="1"/>
      </c>
      <c r="BV328">
        <f ca="1"/>
      </c>
      <c r="BW328">
        <f ca="1"/>
      </c>
      <c r="BX328">
        <f ca="1"/>
      </c>
      <c r="BY328">
        <f ca="1"/>
      </c>
      <c r="BZ328">
        <f ca="1"/>
      </c>
      <c r="CA328">
        <f ca="1"/>
      </c>
      <c r="CB328">
        <f ca="1"/>
      </c>
      <c r="CC328">
        <f ca="1"/>
      </c>
      <c r="CD328">
        <f ca="1"/>
      </c>
      <c r="CE328">
        <f ca="1"/>
      </c>
      <c r="CF328">
        <f ca="1"/>
      </c>
      <c r="CG328">
        <f ca="1"/>
      </c>
      <c r="CH328">
        <f ca="1"/>
      </c>
      <c r="CI328">
        <f ca="1"/>
      </c>
      <c r="CK328">
        <f ca="1"/>
      </c>
      <c r="CL328">
        <f ca="1"/>
      </c>
      <c r="CM328">
        <f ca="1"/>
      </c>
      <c r="CN328">
        <f ca="1"/>
      </c>
      <c r="CO328">
        <f ca="1"/>
      </c>
      <c r="CP328">
        <f ca="1"/>
      </c>
      <c r="CQ328">
        <f ca="1"/>
      </c>
      <c r="CR328">
        <f ca="1"/>
      </c>
      <c r="CS328">
        <f ca="1"/>
      </c>
      <c r="CT328">
        <f ca="1"/>
      </c>
      <c r="CU328">
        <f ca="1"/>
      </c>
      <c r="CV328">
        <f ca="1"/>
      </c>
      <c r="CW328">
        <f ca="1"/>
      </c>
      <c r="CX328">
        <f ca="1"/>
      </c>
      <c r="CY328">
        <f ca="1"/>
      </c>
      <c r="CZ328">
        <f ca="1"/>
      </c>
      <c r="DA328">
        <f ca="1"/>
      </c>
      <c r="DB328">
        <f ca="1"/>
      </c>
      <c r="DC328">
        <f ca="1"/>
      </c>
      <c r="DD328">
        <f ca="1"/>
      </c>
      <c r="DE328">
        <f ca="1"/>
      </c>
      <c r="DF328">
        <f ca="1"/>
      </c>
      <c r="DG328">
        <f ca="1"/>
      </c>
      <c r="DH328">
        <f ca="1"/>
      </c>
      <c r="DI328">
        <f ca="1"/>
      </c>
      <c r="DJ328">
        <f ca="1"/>
      </c>
      <c r="DK328">
        <f ca="1"/>
      </c>
      <c r="DL328">
        <f ca="1"/>
      </c>
      <c r="DM328">
        <f ca="1"/>
      </c>
      <c r="DN328">
        <f ca="1"/>
      </c>
      <c r="DO328">
        <f ca="1"/>
      </c>
      <c r="DP328">
        <f ca="1"/>
      </c>
      <c r="DQ328">
        <f ca="1"/>
      </c>
      <c r="DR328">
        <f ca="1"/>
      </c>
      <c r="DS328">
        <f ca="1"/>
      </c>
      <c r="DT328">
        <f ca="1"/>
      </c>
      <c r="DU328">
        <f ca="1"/>
      </c>
      <c r="DV328">
        <f ca="1"/>
      </c>
      <c r="DW328">
        <f ca="1"/>
      </c>
      <c r="DX328">
        <f ca="1"/>
      </c>
      <c r="DY328">
        <f ca="1"/>
      </c>
      <c r="DZ328">
        <f ca="1"/>
      </c>
      <c r="EA328">
        <f ca="1"/>
      </c>
      <c r="EB328">
        <f ca="1"/>
      </c>
      <c r="EC328">
        <f ca="1"/>
      </c>
      <c r="ED328">
        <f ca="1"/>
      </c>
      <c r="EE328">
        <f ca="1"/>
      </c>
      <c r="EG328">
        <f ca="1"/>
      </c>
      <c r="EH328">
        <f ca="1"/>
      </c>
      <c r="EI328">
        <f ca="1"/>
      </c>
      <c r="EJ328">
        <f ca="1"/>
      </c>
      <c r="EK328">
        <f ca="1"/>
      </c>
      <c r="EL328">
        <f ca="1"/>
      </c>
      <c r="EM328">
        <f ca="1"/>
      </c>
      <c r="EN328">
        <f ca="1"/>
      </c>
      <c r="EO328">
        <f ca="1"/>
      </c>
      <c r="EP328">
        <f ca="1"/>
      </c>
      <c r="EQ328">
        <f ca="1"/>
      </c>
      <c r="ER328">
        <f ca="1"/>
      </c>
      <c r="ES328">
        <f ca="1"/>
      </c>
      <c r="ET328">
        <f ca="1"/>
      </c>
      <c r="EU328">
        <f ca="1"/>
      </c>
      <c r="EV328">
        <f ca="1"/>
      </c>
      <c r="EW328">
        <f ca="1"/>
      </c>
      <c r="EX328">
        <f ca="1"/>
      </c>
      <c r="EY328">
        <f ca="1"/>
      </c>
      <c r="EZ328">
        <f ca="1"/>
      </c>
      <c r="FA328">
        <f ca="1"/>
      </c>
      <c r="FB328">
        <f ca="1"/>
      </c>
      <c r="FC328">
        <f ca="1"/>
      </c>
      <c r="FD328">
        <f ca="1"/>
      </c>
      <c r="FE328">
        <f ca="1"/>
      </c>
      <c r="FF328">
        <f ca="1"/>
      </c>
      <c r="FG328">
        <f ca="1"/>
      </c>
      <c r="FH328">
        <f ca="1"/>
      </c>
      <c r="FI328">
        <f ca="1"/>
      </c>
      <c r="FJ328">
        <f ca="1"/>
      </c>
      <c r="FK328">
        <f ca="1"/>
      </c>
      <c r="FL328">
        <f ca="1"/>
      </c>
      <c r="FM328">
        <f ca="1"/>
      </c>
      <c r="FN328">
        <f ca="1"/>
      </c>
      <c r="FO328">
        <f ca="1"/>
      </c>
      <c r="FP328">
        <f ca="1"/>
      </c>
      <c r="FQ328">
        <f ca="1"/>
      </c>
      <c r="FR328">
        <f ca="1"/>
      </c>
      <c r="FS328">
        <f ca="1"/>
      </c>
      <c r="FT328">
        <f ca="1"/>
      </c>
      <c r="FU328">
        <f ca="1"/>
      </c>
      <c r="FV328">
        <f ca="1"/>
      </c>
      <c r="FW328">
        <f ca="1"/>
      </c>
      <c r="FX328">
        <f ca="1"/>
      </c>
      <c r="FY328">
        <f ca="1"/>
      </c>
      <c r="FZ328">
        <f ca="1"/>
      </c>
      <c r="GA328">
        <f ca="1"/>
      </c>
      <c r="GM328" s="7"/>
    </row>
    <row r="329" spans="41:195" x14ac:dyDescent="0.55000000000000004">
      <c r="AO329">
        <f ca="1"/>
      </c>
      <c r="AP329">
        <f ca="1"/>
      </c>
      <c r="AQ329">
        <f ca="1"/>
      </c>
      <c r="AR329">
        <f ca="1"/>
      </c>
      <c r="AS329">
        <f ca="1"/>
      </c>
      <c r="AT329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AZ329">
        <f ca="1"/>
      </c>
      <c r="BA329">
        <f ca="1"/>
      </c>
      <c r="BB329">
        <f ca="1"/>
      </c>
      <c r="BC329">
        <f ca="1"/>
      </c>
      <c r="BD329">
        <f ca="1"/>
      </c>
      <c r="BE329">
        <f ca="1"/>
      </c>
      <c r="BF329">
        <f ca="1"/>
      </c>
      <c r="BG329">
        <f ca="1"/>
      </c>
      <c r="BH329">
        <f ca="1"/>
      </c>
      <c r="BI329">
        <f ca="1"/>
      </c>
      <c r="BJ329">
        <f ca="1"/>
      </c>
      <c r="BK329">
        <f ca="1"/>
      </c>
      <c r="BL329">
        <f ca="1"/>
      </c>
      <c r="BM329">
        <f ca="1"/>
      </c>
      <c r="BN329">
        <f ca="1"/>
      </c>
      <c r="BO329">
        <f ca="1"/>
      </c>
      <c r="BP329">
        <f ca="1"/>
      </c>
      <c r="BQ329">
        <f ca="1"/>
      </c>
      <c r="BR329">
        <f ca="1"/>
      </c>
      <c r="BS329">
        <f ca="1"/>
      </c>
      <c r="BT329">
        <f ca="1"/>
      </c>
      <c r="BU329">
        <f ca="1"/>
      </c>
      <c r="BV329">
        <f ca="1"/>
      </c>
      <c r="BW329">
        <f ca="1"/>
      </c>
      <c r="BX329">
        <f ca="1"/>
      </c>
      <c r="BY329">
        <f ca="1"/>
      </c>
      <c r="BZ329">
        <f ca="1"/>
      </c>
      <c r="CA329">
        <f ca="1"/>
      </c>
      <c r="CB329">
        <f ca="1"/>
      </c>
      <c r="CC329">
        <f ca="1"/>
      </c>
      <c r="CD329">
        <f ca="1"/>
      </c>
      <c r="CE329">
        <f ca="1"/>
      </c>
      <c r="CF329">
        <f ca="1"/>
      </c>
      <c r="CG329">
        <f ca="1"/>
      </c>
      <c r="CH329">
        <f ca="1"/>
      </c>
      <c r="CI329">
        <f ca="1"/>
      </c>
      <c r="CK329">
        <f ca="1"/>
      </c>
      <c r="CL329">
        <f ca="1"/>
      </c>
      <c r="CM329">
        <f ca="1"/>
      </c>
      <c r="CN329">
        <f ca="1"/>
      </c>
      <c r="CO329">
        <f ca="1"/>
      </c>
      <c r="CP329">
        <f ca="1"/>
      </c>
      <c r="CQ329">
        <f ca="1"/>
      </c>
      <c r="CR329">
        <f ca="1"/>
      </c>
      <c r="CS329">
        <f ca="1"/>
      </c>
      <c r="CT329">
        <f ca="1"/>
      </c>
      <c r="CU329">
        <f ca="1"/>
      </c>
      <c r="CV329">
        <f ca="1"/>
      </c>
      <c r="CW329">
        <f ca="1"/>
      </c>
      <c r="CX329">
        <f ca="1"/>
      </c>
      <c r="CY329">
        <f ca="1"/>
      </c>
      <c r="CZ329">
        <f ca="1"/>
      </c>
      <c r="DA329">
        <f ca="1"/>
      </c>
      <c r="DB329">
        <f ca="1"/>
      </c>
      <c r="DC329">
        <f ca="1"/>
      </c>
      <c r="DD329">
        <f ca="1"/>
      </c>
      <c r="DE329">
        <f ca="1"/>
      </c>
      <c r="DF329">
        <f ca="1"/>
      </c>
      <c r="DG329">
        <f ca="1"/>
      </c>
      <c r="DH329">
        <f ca="1"/>
      </c>
      <c r="DI329">
        <f ca="1"/>
      </c>
      <c r="DJ329">
        <f ca="1"/>
      </c>
      <c r="DK329">
        <f ca="1"/>
      </c>
      <c r="DL329">
        <f ca="1"/>
      </c>
      <c r="DM329">
        <f ca="1"/>
      </c>
      <c r="DN329">
        <f ca="1"/>
      </c>
      <c r="DO329">
        <f ca="1"/>
      </c>
      <c r="DP329">
        <f ca="1"/>
      </c>
      <c r="DQ329">
        <f ca="1"/>
      </c>
      <c r="DR329">
        <f ca="1"/>
      </c>
      <c r="DS329">
        <f ca="1"/>
      </c>
      <c r="DT329">
        <f ca="1"/>
      </c>
      <c r="DU329">
        <f ca="1"/>
      </c>
      <c r="DV329">
        <f ca="1"/>
      </c>
      <c r="DW329">
        <f ca="1"/>
      </c>
      <c r="DX329">
        <f ca="1"/>
      </c>
      <c r="DY329">
        <f ca="1"/>
      </c>
      <c r="DZ329">
        <f ca="1"/>
      </c>
      <c r="EA329">
        <f ca="1"/>
      </c>
      <c r="EB329">
        <f ca="1"/>
      </c>
      <c r="EC329">
        <f ca="1"/>
      </c>
      <c r="ED329">
        <f ca="1"/>
      </c>
      <c r="EE329">
        <f ca="1"/>
      </c>
      <c r="EG329">
        <f ca="1"/>
      </c>
      <c r="EH329">
        <f ca="1"/>
      </c>
      <c r="EI329">
        <f ca="1"/>
      </c>
      <c r="EJ329">
        <f ca="1"/>
      </c>
      <c r="EK329">
        <f ca="1"/>
      </c>
      <c r="EL329">
        <f ca="1"/>
      </c>
      <c r="EM329">
        <f ca="1"/>
      </c>
      <c r="EN329">
        <f ca="1"/>
      </c>
      <c r="EO329">
        <f ca="1"/>
      </c>
      <c r="EP329">
        <f ca="1"/>
      </c>
      <c r="EQ329">
        <f ca="1"/>
      </c>
      <c r="ER329">
        <f ca="1"/>
      </c>
      <c r="ES329">
        <f ca="1"/>
      </c>
      <c r="ET329">
        <f ca="1"/>
      </c>
      <c r="EU329">
        <f ca="1"/>
      </c>
      <c r="EV329">
        <f ca="1"/>
      </c>
      <c r="EW329">
        <f ca="1"/>
      </c>
      <c r="EX329">
        <f ca="1"/>
      </c>
      <c r="EY329">
        <f ca="1"/>
      </c>
      <c r="EZ329">
        <f ca="1"/>
      </c>
      <c r="FA329">
        <f ca="1"/>
      </c>
      <c r="FB329">
        <f ca="1"/>
      </c>
      <c r="FC329">
        <f ca="1"/>
      </c>
      <c r="FD329">
        <f ca="1"/>
      </c>
      <c r="FE329">
        <f ca="1"/>
      </c>
      <c r="FF329">
        <f ca="1"/>
      </c>
      <c r="FG329">
        <f ca="1"/>
      </c>
      <c r="FH329">
        <f ca="1"/>
      </c>
      <c r="FI329">
        <f ca="1"/>
      </c>
      <c r="FJ329">
        <f ca="1"/>
      </c>
      <c r="FK329">
        <f ca="1"/>
      </c>
      <c r="FL329">
        <f ca="1"/>
      </c>
      <c r="FM329">
        <f ca="1"/>
      </c>
      <c r="FN329">
        <f ca="1"/>
      </c>
      <c r="FO329">
        <f ca="1"/>
      </c>
      <c r="FP329">
        <f ca="1"/>
      </c>
      <c r="FQ329">
        <f ca="1"/>
      </c>
      <c r="FR329">
        <f ca="1"/>
      </c>
      <c r="FS329">
        <f ca="1"/>
      </c>
      <c r="FT329">
        <f ca="1"/>
      </c>
      <c r="FU329">
        <f ca="1"/>
      </c>
      <c r="FV329">
        <f ca="1"/>
      </c>
      <c r="FW329">
        <f ca="1"/>
      </c>
      <c r="FX329">
        <f ca="1"/>
      </c>
      <c r="FY329">
        <f ca="1"/>
      </c>
      <c r="FZ329">
        <f ca="1"/>
      </c>
      <c r="GA329">
        <f ca="1"/>
      </c>
      <c r="GM329" s="7"/>
    </row>
    <row r="330" spans="41:195" x14ac:dyDescent="0.55000000000000004">
      <c r="AO330">
        <f ca="1"/>
      </c>
      <c r="AP330">
        <f ca="1"/>
      </c>
      <c r="AQ330">
        <f ca="1"/>
      </c>
      <c r="AR330">
        <f ca="1"/>
      </c>
      <c r="AS330">
        <f ca="1"/>
      </c>
      <c r="AT330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AZ330">
        <f ca="1"/>
      </c>
      <c r="BA330">
        <f ca="1"/>
      </c>
      <c r="BB330">
        <f ca="1"/>
      </c>
      <c r="BC330">
        <f ca="1"/>
      </c>
      <c r="BD330">
        <f ca="1"/>
      </c>
      <c r="BE330">
        <f ca="1"/>
      </c>
      <c r="BF330">
        <f ca="1"/>
      </c>
      <c r="BG330">
        <f ca="1"/>
      </c>
      <c r="BH330">
        <f ca="1"/>
      </c>
      <c r="BI330">
        <f ca="1"/>
      </c>
      <c r="BJ330">
        <f ca="1"/>
      </c>
      <c r="BK330">
        <f ca="1"/>
      </c>
      <c r="BL330">
        <f ca="1"/>
      </c>
      <c r="BM330">
        <f ca="1"/>
      </c>
      <c r="BN330">
        <f ca="1"/>
      </c>
      <c r="BO330">
        <f ca="1"/>
      </c>
      <c r="BP330">
        <f ca="1"/>
      </c>
      <c r="BQ330">
        <f ca="1"/>
      </c>
      <c r="BR330">
        <f ca="1"/>
      </c>
      <c r="BS330">
        <f ca="1"/>
      </c>
      <c r="BT330">
        <f ca="1"/>
      </c>
      <c r="BU330">
        <f ca="1"/>
      </c>
      <c r="BV330">
        <f ca="1"/>
      </c>
      <c r="BW330">
        <f ca="1"/>
      </c>
      <c r="BX330">
        <f ca="1"/>
      </c>
      <c r="BY330">
        <f ca="1"/>
      </c>
      <c r="BZ330">
        <f ca="1"/>
      </c>
      <c r="CA330">
        <f ca="1"/>
      </c>
      <c r="CB330">
        <f ca="1"/>
      </c>
      <c r="CC330">
        <f ca="1"/>
      </c>
      <c r="CD330">
        <f ca="1"/>
      </c>
      <c r="CE330">
        <f ca="1"/>
      </c>
      <c r="CF330">
        <f ca="1"/>
      </c>
      <c r="CG330">
        <f ca="1"/>
      </c>
      <c r="CH330">
        <f ca="1"/>
      </c>
      <c r="CI330">
        <f ca="1"/>
      </c>
      <c r="CK330">
        <f ca="1"/>
      </c>
      <c r="CL330">
        <f ca="1"/>
      </c>
      <c r="CM330">
        <f ca="1"/>
      </c>
      <c r="CN330">
        <f ca="1"/>
      </c>
      <c r="CO330">
        <f ca="1"/>
      </c>
      <c r="CP330">
        <f ca="1"/>
      </c>
      <c r="CQ330">
        <f ca="1"/>
      </c>
      <c r="CR330">
        <f ca="1"/>
      </c>
      <c r="CS330">
        <f ca="1"/>
      </c>
      <c r="CT330">
        <f ca="1"/>
      </c>
      <c r="CU330">
        <f ca="1"/>
      </c>
      <c r="CV330">
        <f ca="1"/>
      </c>
      <c r="CW330">
        <f ca="1"/>
      </c>
      <c r="CX330">
        <f ca="1"/>
      </c>
      <c r="CY330">
        <f ca="1"/>
      </c>
      <c r="CZ330">
        <f ca="1"/>
      </c>
      <c r="DA330">
        <f ca="1"/>
      </c>
      <c r="DB330">
        <f ca="1"/>
      </c>
      <c r="DC330">
        <f ca="1"/>
      </c>
      <c r="DD330">
        <f ca="1"/>
      </c>
      <c r="DE330">
        <f ca="1"/>
      </c>
      <c r="DF330">
        <f ca="1"/>
      </c>
      <c r="DG330">
        <f ca="1"/>
      </c>
      <c r="DH330">
        <f ca="1"/>
      </c>
      <c r="DI330">
        <f ca="1"/>
      </c>
      <c r="DJ330">
        <f ca="1"/>
      </c>
      <c r="DK330">
        <f ca="1"/>
      </c>
      <c r="DL330">
        <f ca="1"/>
      </c>
      <c r="DM330">
        <f ca="1"/>
      </c>
      <c r="DN330">
        <f ca="1"/>
      </c>
      <c r="DO330">
        <f ca="1"/>
      </c>
      <c r="DP330">
        <f ca="1"/>
      </c>
      <c r="DQ330">
        <f ca="1"/>
      </c>
      <c r="DR330">
        <f ca="1"/>
      </c>
      <c r="DS330">
        <f ca="1"/>
      </c>
      <c r="DT330">
        <f ca="1"/>
      </c>
      <c r="DU330">
        <f ca="1"/>
      </c>
      <c r="DV330">
        <f ca="1"/>
      </c>
      <c r="DW330">
        <f ca="1"/>
      </c>
      <c r="DX330">
        <f ca="1"/>
      </c>
      <c r="DY330">
        <f ca="1"/>
      </c>
      <c r="DZ330">
        <f ca="1"/>
      </c>
      <c r="EA330">
        <f ca="1"/>
      </c>
      <c r="EB330">
        <f ca="1"/>
      </c>
      <c r="EC330">
        <f ca="1"/>
      </c>
      <c r="ED330">
        <f ca="1"/>
      </c>
      <c r="EE330">
        <f ca="1"/>
      </c>
      <c r="EG330">
        <f ca="1"/>
      </c>
      <c r="EH330">
        <f ca="1"/>
      </c>
      <c r="EI330">
        <f ca="1"/>
      </c>
      <c r="EJ330">
        <f ca="1"/>
      </c>
      <c r="EK330">
        <f ca="1"/>
      </c>
      <c r="EL330">
        <f ca="1"/>
      </c>
      <c r="EM330">
        <f ca="1"/>
      </c>
      <c r="EN330">
        <f ca="1"/>
      </c>
      <c r="EO330">
        <f ca="1"/>
      </c>
      <c r="EP330">
        <f ca="1"/>
      </c>
      <c r="EQ330">
        <f ca="1"/>
      </c>
      <c r="ER330">
        <f ca="1"/>
      </c>
      <c r="ES330">
        <f ca="1"/>
      </c>
      <c r="ET330">
        <f ca="1"/>
      </c>
      <c r="EU330">
        <f ca="1"/>
      </c>
      <c r="EV330">
        <f ca="1"/>
      </c>
      <c r="EW330">
        <f ca="1"/>
      </c>
      <c r="EX330">
        <f ca="1"/>
      </c>
      <c r="EY330">
        <f ca="1"/>
      </c>
      <c r="EZ330">
        <f ca="1"/>
      </c>
      <c r="FA330">
        <f ca="1"/>
      </c>
      <c r="FB330">
        <f ca="1"/>
      </c>
      <c r="FC330">
        <f ca="1"/>
      </c>
      <c r="FD330">
        <f ca="1"/>
      </c>
      <c r="FE330">
        <f ca="1"/>
      </c>
      <c r="FF330">
        <f ca="1"/>
      </c>
      <c r="FG330">
        <f ca="1"/>
      </c>
      <c r="FH330">
        <f ca="1"/>
      </c>
      <c r="FI330">
        <f ca="1"/>
      </c>
      <c r="FJ330">
        <f ca="1"/>
      </c>
      <c r="FK330">
        <f ca="1"/>
      </c>
      <c r="FL330">
        <f ca="1"/>
      </c>
      <c r="FM330">
        <f ca="1"/>
      </c>
      <c r="FN330">
        <f ca="1"/>
      </c>
      <c r="FO330">
        <f ca="1"/>
      </c>
      <c r="FP330">
        <f ca="1"/>
      </c>
      <c r="FQ330">
        <f ca="1"/>
      </c>
      <c r="FR330">
        <f ca="1"/>
      </c>
      <c r="FS330">
        <f ca="1"/>
      </c>
      <c r="FT330">
        <f ca="1"/>
      </c>
      <c r="FU330">
        <f ca="1"/>
      </c>
      <c r="FV330">
        <f ca="1"/>
      </c>
      <c r="FW330">
        <f ca="1"/>
      </c>
      <c r="FX330">
        <f ca="1"/>
      </c>
      <c r="FY330">
        <f ca="1"/>
      </c>
      <c r="FZ330">
        <f ca="1"/>
      </c>
      <c r="GA330">
        <f ca="1"/>
      </c>
      <c r="GM330" s="7"/>
    </row>
    <row r="331" spans="41:195" x14ac:dyDescent="0.55000000000000004">
      <c r="AO331">
        <f ca="1"/>
      </c>
      <c r="AP331">
        <f ca="1"/>
      </c>
      <c r="AQ331">
        <f ca="1"/>
      </c>
      <c r="AR331">
        <f ca="1"/>
      </c>
      <c r="AS331">
        <f ca="1"/>
      </c>
      <c r="AT331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AZ331">
        <f ca="1"/>
      </c>
      <c r="BA331">
        <f ca="1"/>
      </c>
      <c r="BB331">
        <f ca="1"/>
      </c>
      <c r="BC331">
        <f ca="1"/>
      </c>
      <c r="BD331">
        <f ca="1"/>
      </c>
      <c r="BE331">
        <f ca="1"/>
      </c>
      <c r="BF331">
        <f ca="1"/>
      </c>
      <c r="BG331">
        <f ca="1"/>
      </c>
      <c r="BH331">
        <f ca="1"/>
      </c>
      <c r="BI331">
        <f ca="1"/>
      </c>
      <c r="BJ331">
        <f ca="1"/>
      </c>
      <c r="BK331">
        <f ca="1"/>
      </c>
      <c r="BL331">
        <f ca="1"/>
      </c>
      <c r="BM331">
        <f ca="1"/>
      </c>
      <c r="BN331">
        <f ca="1"/>
      </c>
      <c r="BO331">
        <f ca="1"/>
      </c>
      <c r="BP331">
        <f ca="1"/>
      </c>
      <c r="BQ331">
        <f ca="1"/>
      </c>
      <c r="BR331">
        <f ca="1"/>
      </c>
      <c r="BS331">
        <f ca="1"/>
      </c>
      <c r="BT331">
        <f ca="1"/>
      </c>
      <c r="BU331">
        <f ca="1"/>
      </c>
      <c r="BV331">
        <f ca="1"/>
      </c>
      <c r="BW331">
        <f ca="1"/>
      </c>
      <c r="BX331">
        <f ca="1"/>
      </c>
      <c r="BY331">
        <f ca="1"/>
      </c>
      <c r="BZ331">
        <f ca="1"/>
      </c>
      <c r="CA331">
        <f ca="1"/>
      </c>
      <c r="CB331">
        <f ca="1"/>
      </c>
      <c r="CC331">
        <f ca="1"/>
      </c>
      <c r="CD331">
        <f ca="1"/>
      </c>
      <c r="CE331">
        <f ca="1"/>
      </c>
      <c r="CF331">
        <f ca="1"/>
      </c>
      <c r="CG331">
        <f ca="1"/>
      </c>
      <c r="CH331">
        <f ca="1"/>
      </c>
      <c r="CI331">
        <f ca="1"/>
      </c>
      <c r="CK331">
        <f ca="1"/>
      </c>
      <c r="CL331">
        <f ca="1"/>
      </c>
      <c r="CM331">
        <f ca="1"/>
      </c>
      <c r="CN331">
        <f ca="1"/>
      </c>
      <c r="CO331">
        <f ca="1"/>
      </c>
      <c r="CP331">
        <f ca="1"/>
      </c>
      <c r="CQ331">
        <f ca="1"/>
      </c>
      <c r="CR331">
        <f ca="1"/>
      </c>
      <c r="CS331">
        <f ca="1"/>
      </c>
      <c r="CT331">
        <f ca="1"/>
      </c>
      <c r="CU331">
        <f ca="1"/>
      </c>
      <c r="CV331">
        <f ca="1"/>
      </c>
      <c r="CW331">
        <f ca="1"/>
      </c>
      <c r="CX331">
        <f ca="1"/>
      </c>
      <c r="CY331">
        <f ca="1"/>
      </c>
      <c r="CZ331">
        <f ca="1"/>
      </c>
      <c r="DA331">
        <f ca="1"/>
      </c>
      <c r="DB331">
        <f ca="1"/>
      </c>
      <c r="DC331">
        <f ca="1"/>
      </c>
      <c r="DD331">
        <f ca="1"/>
      </c>
      <c r="DE331">
        <f ca="1"/>
      </c>
      <c r="DF331">
        <f ca="1"/>
      </c>
      <c r="DG331">
        <f ca="1"/>
      </c>
      <c r="DH331">
        <f ca="1"/>
      </c>
      <c r="DI331">
        <f ca="1"/>
      </c>
      <c r="DJ331">
        <f ca="1"/>
      </c>
      <c r="DK331">
        <f ca="1"/>
      </c>
      <c r="DL331">
        <f ca="1"/>
      </c>
      <c r="DM331">
        <f ca="1"/>
      </c>
      <c r="DN331">
        <f ca="1"/>
      </c>
      <c r="DO331">
        <f ca="1"/>
      </c>
      <c r="DP331">
        <f ca="1"/>
      </c>
      <c r="DQ331">
        <f ca="1"/>
      </c>
      <c r="DR331">
        <f ca="1"/>
      </c>
      <c r="DS331">
        <f ca="1"/>
      </c>
      <c r="DT331">
        <f ca="1"/>
      </c>
      <c r="DU331">
        <f ca="1"/>
      </c>
      <c r="DV331">
        <f ca="1"/>
      </c>
      <c r="DW331">
        <f ca="1"/>
      </c>
      <c r="DX331">
        <f ca="1"/>
      </c>
      <c r="DY331">
        <f ca="1"/>
      </c>
      <c r="DZ331">
        <f ca="1"/>
      </c>
      <c r="EA331">
        <f ca="1"/>
      </c>
      <c r="EB331">
        <f ca="1"/>
      </c>
      <c r="EC331">
        <f ca="1"/>
      </c>
      <c r="ED331">
        <f ca="1"/>
      </c>
      <c r="EE331">
        <f ca="1"/>
      </c>
      <c r="EG331">
        <f ca="1"/>
      </c>
      <c r="EH331">
        <f ca="1"/>
      </c>
      <c r="EI331">
        <f ca="1"/>
      </c>
      <c r="EJ331">
        <f ca="1"/>
      </c>
      <c r="EK331">
        <f ca="1"/>
      </c>
      <c r="EL331">
        <f ca="1"/>
      </c>
      <c r="EM331">
        <f ca="1"/>
      </c>
      <c r="EN331">
        <f ca="1"/>
      </c>
      <c r="EO331">
        <f ca="1"/>
      </c>
      <c r="EP331">
        <f ca="1"/>
      </c>
      <c r="EQ331">
        <f ca="1"/>
      </c>
      <c r="ER331">
        <f ca="1"/>
      </c>
      <c r="ES331">
        <f ca="1"/>
      </c>
      <c r="ET331">
        <f ca="1"/>
      </c>
      <c r="EU331">
        <f ca="1"/>
      </c>
      <c r="EV331">
        <f ca="1"/>
      </c>
      <c r="EW331">
        <f ca="1"/>
      </c>
      <c r="EX331">
        <f ca="1"/>
      </c>
      <c r="EY331">
        <f ca="1"/>
      </c>
      <c r="EZ331">
        <f ca="1"/>
      </c>
      <c r="FA331">
        <f ca="1"/>
      </c>
      <c r="FB331">
        <f ca="1"/>
      </c>
      <c r="FC331">
        <f ca="1"/>
      </c>
      <c r="FD331">
        <f ca="1"/>
      </c>
      <c r="FE331">
        <f ca="1"/>
      </c>
      <c r="FF331">
        <f ca="1"/>
      </c>
      <c r="FG331">
        <f ca="1"/>
      </c>
      <c r="FH331">
        <f ca="1"/>
      </c>
      <c r="FI331">
        <f ca="1"/>
      </c>
      <c r="FJ331">
        <f ca="1"/>
      </c>
      <c r="FK331">
        <f ca="1"/>
      </c>
      <c r="FL331">
        <f ca="1"/>
      </c>
      <c r="FM331">
        <f ca="1"/>
      </c>
      <c r="FN331">
        <f ca="1"/>
      </c>
      <c r="FO331">
        <f ca="1"/>
      </c>
      <c r="FP331">
        <f ca="1"/>
      </c>
      <c r="FQ331">
        <f ca="1"/>
      </c>
      <c r="FR331">
        <f ca="1"/>
      </c>
      <c r="FS331">
        <f ca="1"/>
      </c>
      <c r="FT331">
        <f ca="1"/>
      </c>
      <c r="FU331">
        <f ca="1"/>
      </c>
      <c r="FV331">
        <f ca="1"/>
      </c>
      <c r="FW331">
        <f ca="1"/>
      </c>
      <c r="FX331">
        <f ca="1"/>
      </c>
      <c r="FY331">
        <f ca="1"/>
      </c>
      <c r="FZ331">
        <f ca="1"/>
      </c>
      <c r="GA331">
        <f ca="1"/>
      </c>
      <c r="GM331" s="7"/>
    </row>
    <row r="332" spans="41:195" x14ac:dyDescent="0.55000000000000004">
      <c r="AO332">
        <f ca="1"/>
      </c>
      <c r="AP332">
        <f ca="1"/>
      </c>
      <c r="AQ332">
        <f ca="1"/>
      </c>
      <c r="AR332">
        <f ca="1"/>
      </c>
      <c r="AS332">
        <f ca="1"/>
      </c>
      <c r="AT332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AZ332">
        <f ca="1"/>
      </c>
      <c r="BA332">
        <f ca="1"/>
      </c>
      <c r="BB332">
        <f ca="1"/>
      </c>
      <c r="BC332">
        <f ca="1"/>
      </c>
      <c r="BD332">
        <f ca="1"/>
      </c>
      <c r="BE332">
        <f ca="1"/>
      </c>
      <c r="BF332">
        <f ca="1"/>
      </c>
      <c r="BG332">
        <f ca="1"/>
      </c>
      <c r="BH332">
        <f ca="1"/>
      </c>
      <c r="BI332">
        <f ca="1"/>
      </c>
      <c r="BJ332">
        <f ca="1"/>
      </c>
      <c r="BK332">
        <f ca="1"/>
      </c>
      <c r="BL332">
        <f ca="1"/>
      </c>
      <c r="BM332">
        <f ca="1"/>
      </c>
      <c r="BN332">
        <f ca="1"/>
      </c>
      <c r="BO332">
        <f ca="1"/>
      </c>
      <c r="BP332">
        <f ca="1"/>
      </c>
      <c r="BQ332">
        <f ca="1"/>
      </c>
      <c r="BR332">
        <f ca="1"/>
      </c>
      <c r="BS332">
        <f ca="1"/>
      </c>
      <c r="BT332">
        <f ca="1"/>
      </c>
      <c r="BU332">
        <f ca="1"/>
      </c>
      <c r="BV332">
        <f ca="1"/>
      </c>
      <c r="BW332">
        <f ca="1"/>
      </c>
      <c r="BX332">
        <f ca="1"/>
      </c>
      <c r="BY332">
        <f ca="1"/>
      </c>
      <c r="BZ332">
        <f ca="1"/>
      </c>
      <c r="CA332">
        <f ca="1"/>
      </c>
      <c r="CB332">
        <f ca="1"/>
      </c>
      <c r="CC332">
        <f ca="1"/>
      </c>
      <c r="CD332">
        <f ca="1"/>
      </c>
      <c r="CE332">
        <f ca="1"/>
      </c>
      <c r="CF332">
        <f ca="1"/>
      </c>
      <c r="CG332">
        <f ca="1"/>
      </c>
      <c r="CH332">
        <f ca="1"/>
      </c>
      <c r="CI332">
        <f ca="1"/>
      </c>
      <c r="CK332">
        <f ca="1"/>
      </c>
      <c r="CL332">
        <f ca="1"/>
      </c>
      <c r="CM332">
        <f ca="1"/>
      </c>
      <c r="CN332">
        <f ca="1"/>
      </c>
      <c r="CO332">
        <f ca="1"/>
      </c>
      <c r="CP332">
        <f ca="1"/>
      </c>
      <c r="CQ332">
        <f ca="1"/>
      </c>
      <c r="CR332">
        <f ca="1"/>
      </c>
      <c r="CS332">
        <f ca="1"/>
      </c>
      <c r="CT332">
        <f ca="1"/>
      </c>
      <c r="CU332">
        <f ca="1"/>
      </c>
      <c r="CV332">
        <f ca="1"/>
      </c>
      <c r="CW332">
        <f ca="1"/>
      </c>
      <c r="CX332">
        <f ca="1"/>
      </c>
      <c r="CY332">
        <f ca="1"/>
      </c>
      <c r="CZ332">
        <f ca="1"/>
      </c>
      <c r="DA332">
        <f ca="1"/>
      </c>
      <c r="DB332">
        <f ca="1"/>
      </c>
      <c r="DC332">
        <f ca="1"/>
      </c>
      <c r="DD332">
        <f ca="1"/>
      </c>
      <c r="DE332">
        <f ca="1"/>
      </c>
      <c r="DF332">
        <f ca="1"/>
      </c>
      <c r="DG332">
        <f ca="1"/>
      </c>
      <c r="DH332">
        <f ca="1"/>
      </c>
      <c r="DI332">
        <f ca="1"/>
      </c>
      <c r="DJ332">
        <f ca="1"/>
      </c>
      <c r="DK332">
        <f ca="1"/>
      </c>
      <c r="DL332">
        <f ca="1"/>
      </c>
      <c r="DM332">
        <f ca="1"/>
      </c>
      <c r="DN332">
        <f ca="1"/>
      </c>
      <c r="DO332">
        <f ca="1"/>
      </c>
      <c r="DP332">
        <f ca="1"/>
      </c>
      <c r="DQ332">
        <f ca="1"/>
      </c>
      <c r="DR332">
        <f ca="1"/>
      </c>
      <c r="DS332">
        <f ca="1"/>
      </c>
      <c r="DT332">
        <f ca="1"/>
      </c>
      <c r="DU332">
        <f ca="1"/>
      </c>
      <c r="DV332">
        <f ca="1"/>
      </c>
      <c r="DW332">
        <f ca="1"/>
      </c>
      <c r="DX332">
        <f ca="1"/>
      </c>
      <c r="DY332">
        <f ca="1"/>
      </c>
      <c r="DZ332">
        <f ca="1"/>
      </c>
      <c r="EA332">
        <f ca="1"/>
      </c>
      <c r="EB332">
        <f ca="1"/>
      </c>
      <c r="EC332">
        <f ca="1"/>
      </c>
      <c r="ED332">
        <f ca="1"/>
      </c>
      <c r="EE332">
        <f ca="1"/>
      </c>
      <c r="EG332">
        <f ca="1"/>
      </c>
      <c r="EH332">
        <f ca="1"/>
      </c>
      <c r="EI332">
        <f ca="1"/>
      </c>
      <c r="EJ332">
        <f ca="1"/>
      </c>
      <c r="EK332">
        <f ca="1"/>
      </c>
      <c r="EL332">
        <f ca="1"/>
      </c>
      <c r="EM332">
        <f ca="1"/>
      </c>
      <c r="EN332">
        <f ca="1"/>
      </c>
      <c r="EO332">
        <f ca="1"/>
      </c>
      <c r="EP332">
        <f ca="1"/>
      </c>
      <c r="EQ332">
        <f ca="1"/>
      </c>
      <c r="ER332">
        <f ca="1"/>
      </c>
      <c r="ES332">
        <f ca="1"/>
      </c>
      <c r="ET332">
        <f ca="1"/>
      </c>
      <c r="EU332">
        <f ca="1"/>
      </c>
      <c r="EV332">
        <f ca="1"/>
      </c>
      <c r="EW332">
        <f ca="1"/>
      </c>
      <c r="EX332">
        <f ca="1"/>
      </c>
      <c r="EY332">
        <f ca="1"/>
      </c>
      <c r="EZ332">
        <f ca="1"/>
      </c>
      <c r="FA332">
        <f ca="1"/>
      </c>
      <c r="FB332">
        <f ca="1"/>
      </c>
      <c r="FC332">
        <f ca="1"/>
      </c>
      <c r="FD332">
        <f ca="1"/>
      </c>
      <c r="FE332">
        <f ca="1"/>
      </c>
      <c r="FF332">
        <f ca="1"/>
      </c>
      <c r="FG332">
        <f ca="1"/>
      </c>
      <c r="FH332">
        <f ca="1"/>
      </c>
      <c r="FI332">
        <f ca="1"/>
      </c>
      <c r="FJ332">
        <f ca="1"/>
      </c>
      <c r="FK332">
        <f ca="1"/>
      </c>
      <c r="FL332">
        <f ca="1"/>
      </c>
      <c r="FM332">
        <f ca="1"/>
      </c>
      <c r="FN332">
        <f ca="1"/>
      </c>
      <c r="FO332">
        <f ca="1"/>
      </c>
      <c r="FP332">
        <f ca="1"/>
      </c>
      <c r="FQ332">
        <f ca="1"/>
      </c>
      <c r="FR332">
        <f ca="1"/>
      </c>
      <c r="FS332">
        <f ca="1"/>
      </c>
      <c r="FT332">
        <f ca="1"/>
      </c>
      <c r="FU332">
        <f ca="1"/>
      </c>
      <c r="FV332">
        <f ca="1"/>
      </c>
      <c r="FW332">
        <f ca="1"/>
      </c>
      <c r="FX332">
        <f ca="1"/>
      </c>
      <c r="FY332">
        <f ca="1"/>
      </c>
      <c r="FZ332">
        <f ca="1"/>
      </c>
      <c r="GA332">
        <f ca="1"/>
      </c>
      <c r="GM332" s="7"/>
    </row>
    <row r="333" spans="41:195" x14ac:dyDescent="0.55000000000000004">
      <c r="AO333">
        <f ca="1"/>
      </c>
      <c r="AP333">
        <f ca="1"/>
      </c>
      <c r="AQ333">
        <f ca="1"/>
      </c>
      <c r="AR333">
        <f ca="1"/>
      </c>
      <c r="AS333">
        <f ca="1"/>
      </c>
      <c r="AT333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AZ333">
        <f ca="1"/>
      </c>
      <c r="BA333">
        <f ca="1"/>
      </c>
      <c r="BB333">
        <f ca="1"/>
      </c>
      <c r="BC333">
        <f ca="1"/>
      </c>
      <c r="BD333">
        <f ca="1"/>
      </c>
      <c r="BE333">
        <f ca="1"/>
      </c>
      <c r="BF333">
        <f ca="1"/>
      </c>
      <c r="BG333">
        <f ca="1"/>
      </c>
      <c r="BH333">
        <f ca="1"/>
      </c>
      <c r="BI333">
        <f ca="1"/>
      </c>
      <c r="BJ333">
        <f ca="1"/>
      </c>
      <c r="BK333">
        <f ca="1"/>
      </c>
      <c r="BL333">
        <f ca="1"/>
      </c>
      <c r="BM333">
        <f ca="1"/>
      </c>
      <c r="BN333">
        <f ca="1"/>
      </c>
      <c r="BO333">
        <f ca="1"/>
      </c>
      <c r="BP333">
        <f ca="1"/>
      </c>
      <c r="BQ333">
        <f ca="1"/>
      </c>
      <c r="BR333">
        <f ca="1"/>
      </c>
      <c r="BS333">
        <f ca="1"/>
      </c>
      <c r="BT333">
        <f ca="1"/>
      </c>
      <c r="BU333">
        <f ca="1"/>
      </c>
      <c r="BV333">
        <f ca="1"/>
      </c>
      <c r="BW333">
        <f ca="1"/>
      </c>
      <c r="BX333">
        <f ca="1"/>
      </c>
      <c r="BY333">
        <f ca="1"/>
      </c>
      <c r="BZ333">
        <f ca="1"/>
      </c>
      <c r="CA333">
        <f ca="1"/>
      </c>
      <c r="CB333">
        <f ca="1"/>
      </c>
      <c r="CC333">
        <f ca="1"/>
      </c>
      <c r="CD333">
        <f ca="1"/>
      </c>
      <c r="CE333">
        <f ca="1"/>
      </c>
      <c r="CF333">
        <f ca="1"/>
      </c>
      <c r="CG333">
        <f ca="1"/>
      </c>
      <c r="CH333">
        <f ca="1"/>
      </c>
      <c r="CI333">
        <f ca="1"/>
      </c>
      <c r="CK333">
        <f ca="1"/>
      </c>
      <c r="CL333">
        <f ca="1"/>
      </c>
      <c r="CM333">
        <f ca="1"/>
      </c>
      <c r="CN333">
        <f ca="1"/>
      </c>
      <c r="CO333">
        <f ca="1"/>
      </c>
      <c r="CP333">
        <f ca="1"/>
      </c>
      <c r="CQ333">
        <f ca="1"/>
      </c>
      <c r="CR333">
        <f ca="1"/>
      </c>
      <c r="CS333">
        <f ca="1"/>
      </c>
      <c r="CT333">
        <f ca="1"/>
      </c>
      <c r="CU333">
        <f ca="1"/>
      </c>
      <c r="CV333">
        <f ca="1"/>
      </c>
      <c r="CW333">
        <f ca="1"/>
      </c>
      <c r="CX333">
        <f ca="1"/>
      </c>
      <c r="CY333">
        <f ca="1"/>
      </c>
      <c r="CZ333">
        <f ca="1"/>
      </c>
      <c r="DA333">
        <f ca="1"/>
      </c>
      <c r="DB333">
        <f ca="1"/>
      </c>
      <c r="DC333">
        <f ca="1"/>
      </c>
      <c r="DD333">
        <f ca="1"/>
      </c>
      <c r="DE333">
        <f ca="1"/>
      </c>
      <c r="DF333">
        <f ca="1"/>
      </c>
      <c r="DG333">
        <f ca="1"/>
      </c>
      <c r="DH333">
        <f ca="1"/>
      </c>
      <c r="DI333">
        <f ca="1"/>
      </c>
      <c r="DJ333">
        <f ca="1"/>
      </c>
      <c r="DK333">
        <f ca="1"/>
      </c>
      <c r="DL333">
        <f ca="1"/>
      </c>
      <c r="DM333">
        <f ca="1"/>
      </c>
      <c r="DN333">
        <f ca="1"/>
      </c>
      <c r="DO333">
        <f ca="1"/>
      </c>
      <c r="DP333">
        <f ca="1"/>
      </c>
      <c r="DQ333">
        <f ca="1"/>
      </c>
      <c r="DR333">
        <f ca="1"/>
      </c>
      <c r="DS333">
        <f ca="1"/>
      </c>
      <c r="DT333">
        <f ca="1"/>
      </c>
      <c r="DU333">
        <f ca="1"/>
      </c>
      <c r="DV333">
        <f ca="1"/>
      </c>
      <c r="DW333">
        <f ca="1"/>
      </c>
      <c r="DX333">
        <f ca="1"/>
      </c>
      <c r="DY333">
        <f ca="1"/>
      </c>
      <c r="DZ333">
        <f ca="1"/>
      </c>
      <c r="EA333">
        <f ca="1"/>
      </c>
      <c r="EB333">
        <f ca="1"/>
      </c>
      <c r="EC333">
        <f ca="1"/>
      </c>
      <c r="ED333">
        <f ca="1"/>
      </c>
      <c r="EE333">
        <f ca="1"/>
      </c>
      <c r="EG333">
        <f ca="1"/>
      </c>
      <c r="EH333">
        <f ca="1"/>
      </c>
      <c r="EI333">
        <f ca="1"/>
      </c>
      <c r="EJ333">
        <f ca="1"/>
      </c>
      <c r="EK333">
        <f ca="1"/>
      </c>
      <c r="EL333">
        <f ca="1"/>
      </c>
      <c r="EM333">
        <f ca="1"/>
      </c>
      <c r="EN333">
        <f ca="1"/>
      </c>
      <c r="EO333">
        <f ca="1"/>
      </c>
      <c r="EP333">
        <f ca="1"/>
      </c>
      <c r="EQ333">
        <f ca="1"/>
      </c>
      <c r="ER333">
        <f ca="1"/>
      </c>
      <c r="ES333">
        <f ca="1"/>
      </c>
      <c r="ET333">
        <f ca="1"/>
      </c>
      <c r="EU333">
        <f ca="1"/>
      </c>
      <c r="EV333">
        <f ca="1"/>
      </c>
      <c r="EW333">
        <f ca="1"/>
      </c>
      <c r="EX333">
        <f ca="1"/>
      </c>
      <c r="EY333">
        <f ca="1"/>
      </c>
      <c r="EZ333">
        <f ca="1"/>
      </c>
      <c r="FA333">
        <f ca="1"/>
      </c>
      <c r="FB333">
        <f ca="1"/>
      </c>
      <c r="FC333">
        <f ca="1"/>
      </c>
      <c r="FD333">
        <f ca="1"/>
      </c>
      <c r="FE333">
        <f ca="1"/>
      </c>
      <c r="FF333">
        <f ca="1"/>
      </c>
      <c r="FG333">
        <f ca="1"/>
      </c>
      <c r="FH333">
        <f ca="1"/>
      </c>
      <c r="FI333">
        <f ca="1"/>
      </c>
      <c r="FJ333">
        <f ca="1"/>
      </c>
      <c r="FK333">
        <f ca="1"/>
      </c>
      <c r="FL333">
        <f ca="1"/>
      </c>
      <c r="FM333">
        <f ca="1"/>
      </c>
      <c r="FN333">
        <f ca="1"/>
      </c>
      <c r="FO333">
        <f ca="1"/>
      </c>
      <c r="FP333">
        <f ca="1"/>
      </c>
      <c r="FQ333">
        <f ca="1"/>
      </c>
      <c r="FR333">
        <f ca="1"/>
      </c>
      <c r="FS333">
        <f ca="1"/>
      </c>
      <c r="FT333">
        <f ca="1"/>
      </c>
      <c r="FU333">
        <f ca="1"/>
      </c>
      <c r="FV333">
        <f ca="1"/>
      </c>
      <c r="FW333">
        <f ca="1"/>
      </c>
      <c r="FX333">
        <f ca="1"/>
      </c>
      <c r="FY333">
        <f ca="1"/>
      </c>
      <c r="FZ333">
        <f ca="1"/>
      </c>
      <c r="GA333">
        <f ca="1"/>
      </c>
      <c r="GM333" s="7"/>
    </row>
    <row r="334" spans="41:195" x14ac:dyDescent="0.55000000000000004">
      <c r="AO334">
        <f ca="1"/>
      </c>
      <c r="AP334">
        <f ca="1"/>
      </c>
      <c r="AQ334">
        <f ca="1"/>
      </c>
      <c r="AR334">
        <f ca="1"/>
      </c>
      <c r="AS334">
        <f ca="1"/>
      </c>
      <c r="AT334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AZ334">
        <f ca="1"/>
      </c>
      <c r="BA334">
        <f ca="1"/>
      </c>
      <c r="BB334">
        <f ca="1"/>
      </c>
      <c r="BC334">
        <f ca="1"/>
      </c>
      <c r="BD334">
        <f ca="1"/>
      </c>
      <c r="BE334">
        <f ca="1"/>
      </c>
      <c r="BF334">
        <f ca="1"/>
      </c>
      <c r="BG334">
        <f ca="1"/>
      </c>
      <c r="BH334">
        <f ca="1"/>
      </c>
      <c r="BI334">
        <f ca="1"/>
      </c>
      <c r="BJ334">
        <f ca="1"/>
      </c>
      <c r="BK334">
        <f ca="1"/>
      </c>
      <c r="BL334">
        <f ca="1"/>
      </c>
      <c r="BM334">
        <f ca="1"/>
      </c>
      <c r="BN334">
        <f ca="1"/>
      </c>
      <c r="BO334">
        <f ca="1"/>
      </c>
      <c r="BP334">
        <f ca="1"/>
      </c>
      <c r="BQ334">
        <f ca="1"/>
      </c>
      <c r="BR334">
        <f ca="1"/>
      </c>
      <c r="BS334">
        <f ca="1"/>
      </c>
      <c r="BT334">
        <f ca="1"/>
      </c>
      <c r="BU334">
        <f ca="1"/>
      </c>
      <c r="BV334">
        <f ca="1"/>
      </c>
      <c r="BW334">
        <f ca="1"/>
      </c>
      <c r="BX334">
        <f ca="1"/>
      </c>
      <c r="BY334">
        <f ca="1"/>
      </c>
      <c r="BZ334">
        <f ca="1"/>
      </c>
      <c r="CA334">
        <f ca="1"/>
      </c>
      <c r="CB334">
        <f ca="1"/>
      </c>
      <c r="CC334">
        <f ca="1"/>
      </c>
      <c r="CD334">
        <f ca="1"/>
      </c>
      <c r="CE334">
        <f ca="1"/>
      </c>
      <c r="CF334">
        <f ca="1"/>
      </c>
      <c r="CG334">
        <f ca="1"/>
      </c>
      <c r="CH334">
        <f ca="1"/>
      </c>
      <c r="CI334">
        <f ca="1"/>
      </c>
      <c r="CK334">
        <f ca="1"/>
      </c>
      <c r="CL334">
        <f ca="1"/>
      </c>
      <c r="CM334">
        <f ca="1"/>
      </c>
      <c r="CN334">
        <f ca="1"/>
      </c>
      <c r="CO334">
        <f ca="1"/>
      </c>
      <c r="CP334">
        <f ca="1"/>
      </c>
      <c r="CQ334">
        <f ca="1"/>
      </c>
      <c r="CR334">
        <f ca="1"/>
      </c>
      <c r="CS334">
        <f ca="1"/>
      </c>
      <c r="CT334">
        <f ca="1"/>
      </c>
      <c r="CU334">
        <f ca="1"/>
      </c>
      <c r="CV334">
        <f ca="1"/>
      </c>
      <c r="CW334">
        <f ca="1"/>
      </c>
      <c r="CX334">
        <f ca="1"/>
      </c>
      <c r="CY334">
        <f ca="1"/>
      </c>
      <c r="CZ334">
        <f ca="1"/>
      </c>
      <c r="DA334">
        <f ca="1"/>
      </c>
      <c r="DB334">
        <f ca="1"/>
      </c>
      <c r="DC334">
        <f ca="1"/>
      </c>
      <c r="DD334">
        <f ca="1"/>
      </c>
      <c r="DE334">
        <f ca="1"/>
      </c>
      <c r="DF334">
        <f ca="1"/>
      </c>
      <c r="DG334">
        <f ca="1"/>
      </c>
      <c r="DH334">
        <f ca="1"/>
      </c>
      <c r="DI334">
        <f ca="1"/>
      </c>
      <c r="DJ334">
        <f ca="1"/>
      </c>
      <c r="DK334">
        <f ca="1"/>
      </c>
      <c r="DL334">
        <f ca="1"/>
      </c>
      <c r="DM334">
        <f ca="1"/>
      </c>
      <c r="DN334">
        <f ca="1"/>
      </c>
      <c r="DO334">
        <f ca="1"/>
      </c>
      <c r="DP334">
        <f ca="1"/>
      </c>
      <c r="DQ334">
        <f ca="1"/>
      </c>
      <c r="DR334">
        <f ca="1"/>
      </c>
      <c r="DS334">
        <f ca="1"/>
      </c>
      <c r="DT334">
        <f ca="1"/>
      </c>
      <c r="DU334">
        <f ca="1"/>
      </c>
      <c r="DV334">
        <f ca="1"/>
      </c>
      <c r="DW334">
        <f ca="1"/>
      </c>
      <c r="DX334">
        <f ca="1"/>
      </c>
      <c r="DY334">
        <f ca="1"/>
      </c>
      <c r="DZ334">
        <f ca="1"/>
      </c>
      <c r="EA334">
        <f ca="1"/>
      </c>
      <c r="EB334">
        <f ca="1"/>
      </c>
      <c r="EC334">
        <f ca="1"/>
      </c>
      <c r="ED334">
        <f ca="1"/>
      </c>
      <c r="EE334">
        <f ca="1"/>
      </c>
      <c r="EG334">
        <f ca="1"/>
      </c>
      <c r="EH334">
        <f ca="1"/>
      </c>
      <c r="EI334">
        <f ca="1"/>
      </c>
      <c r="EJ334">
        <f ca="1"/>
      </c>
      <c r="EK334">
        <f ca="1"/>
      </c>
      <c r="EL334">
        <f ca="1"/>
      </c>
      <c r="EM334">
        <f ca="1"/>
      </c>
      <c r="EN334">
        <f ca="1"/>
      </c>
      <c r="EO334">
        <f ca="1"/>
      </c>
      <c r="EP334">
        <f ca="1"/>
      </c>
      <c r="EQ334">
        <f ca="1"/>
      </c>
      <c r="ER334">
        <f ca="1"/>
      </c>
      <c r="ES334">
        <f ca="1"/>
      </c>
      <c r="ET334">
        <f ca="1"/>
      </c>
      <c r="EU334">
        <f ca="1"/>
      </c>
      <c r="EV334">
        <f ca="1"/>
      </c>
      <c r="EW334">
        <f ca="1"/>
      </c>
      <c r="EX334">
        <f ca="1"/>
      </c>
      <c r="EY334">
        <f ca="1"/>
      </c>
      <c r="EZ334">
        <f ca="1"/>
      </c>
      <c r="FA334">
        <f ca="1"/>
      </c>
      <c r="FB334">
        <f ca="1"/>
      </c>
      <c r="FC334">
        <f ca="1"/>
      </c>
      <c r="FD334">
        <f ca="1"/>
      </c>
      <c r="FE334">
        <f ca="1"/>
      </c>
      <c r="FF334">
        <f ca="1"/>
      </c>
      <c r="FG334">
        <f ca="1"/>
      </c>
      <c r="FH334">
        <f ca="1"/>
      </c>
      <c r="FI334">
        <f ca="1"/>
      </c>
      <c r="FJ334">
        <f ca="1"/>
      </c>
      <c r="FK334">
        <f ca="1"/>
      </c>
      <c r="FL334">
        <f ca="1"/>
      </c>
      <c r="FM334">
        <f ca="1"/>
      </c>
      <c r="FN334">
        <f ca="1"/>
      </c>
      <c r="FO334">
        <f ca="1"/>
      </c>
      <c r="FP334">
        <f ca="1"/>
      </c>
      <c r="FQ334">
        <f ca="1"/>
      </c>
      <c r="FR334">
        <f ca="1"/>
      </c>
      <c r="FS334">
        <f ca="1"/>
      </c>
      <c r="FT334">
        <f ca="1"/>
      </c>
      <c r="FU334">
        <f ca="1"/>
      </c>
      <c r="FV334">
        <f ca="1"/>
      </c>
      <c r="FW334">
        <f ca="1"/>
      </c>
      <c r="FX334">
        <f ca="1"/>
      </c>
      <c r="FY334">
        <f ca="1"/>
      </c>
      <c r="FZ334">
        <f ca="1"/>
      </c>
      <c r="GA334">
        <f ca="1"/>
      </c>
      <c r="GM334" s="7"/>
    </row>
    <row r="335" spans="41:195" x14ac:dyDescent="0.55000000000000004">
      <c r="AO335">
        <f ca="1"/>
      </c>
      <c r="AP335">
        <f ca="1"/>
      </c>
      <c r="AQ335">
        <f ca="1"/>
      </c>
      <c r="AR335">
        <f ca="1"/>
      </c>
      <c r="AS335">
        <f ca="1"/>
      </c>
      <c r="AT335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AZ335">
        <f ca="1"/>
      </c>
      <c r="BA335">
        <f ca="1"/>
      </c>
      <c r="BB335">
        <f ca="1"/>
      </c>
      <c r="BC335">
        <f ca="1"/>
      </c>
      <c r="BD335">
        <f ca="1"/>
      </c>
      <c r="BE335">
        <f ca="1"/>
      </c>
      <c r="BF335">
        <f ca="1"/>
      </c>
      <c r="BG335">
        <f ca="1"/>
      </c>
      <c r="BH335">
        <f ca="1"/>
      </c>
      <c r="BI335">
        <f ca="1"/>
      </c>
      <c r="BJ335">
        <f ca="1"/>
      </c>
      <c r="BK335">
        <f ca="1"/>
      </c>
      <c r="BL335">
        <f ca="1"/>
      </c>
      <c r="BM335">
        <f ca="1"/>
      </c>
      <c r="BN335">
        <f ca="1"/>
      </c>
      <c r="BO335">
        <f ca="1"/>
      </c>
      <c r="BP335">
        <f ca="1"/>
      </c>
      <c r="BQ335">
        <f ca="1"/>
      </c>
      <c r="BR335">
        <f ca="1"/>
      </c>
      <c r="BS335">
        <f ca="1"/>
      </c>
      <c r="BT335">
        <f ca="1"/>
      </c>
      <c r="BU335">
        <f ca="1"/>
      </c>
      <c r="BV335">
        <f ca="1"/>
      </c>
      <c r="BW335">
        <f ca="1"/>
      </c>
      <c r="BX335">
        <f ca="1"/>
      </c>
      <c r="BY335">
        <f ca="1"/>
      </c>
      <c r="BZ335">
        <f ca="1"/>
      </c>
      <c r="CA335">
        <f ca="1"/>
      </c>
      <c r="CB335">
        <f ca="1"/>
      </c>
      <c r="CC335">
        <f ca="1"/>
      </c>
      <c r="CD335">
        <f ca="1"/>
      </c>
      <c r="CE335">
        <f ca="1"/>
      </c>
      <c r="CF335">
        <f ca="1"/>
      </c>
      <c r="CG335">
        <f ca="1"/>
      </c>
      <c r="CH335">
        <f ca="1"/>
      </c>
      <c r="CI335">
        <f ca="1"/>
      </c>
      <c r="CK335">
        <f ca="1"/>
      </c>
      <c r="CL335">
        <f ca="1"/>
      </c>
      <c r="CM335">
        <f ca="1"/>
      </c>
      <c r="CN335">
        <f ca="1"/>
      </c>
      <c r="CO335">
        <f ca="1"/>
      </c>
      <c r="CP335">
        <f ca="1"/>
      </c>
      <c r="CQ335">
        <f ca="1"/>
      </c>
      <c r="CR335">
        <f ca="1"/>
      </c>
      <c r="CS335">
        <f ca="1"/>
      </c>
      <c r="CT335">
        <f ca="1"/>
      </c>
      <c r="CU335">
        <f ca="1"/>
      </c>
      <c r="CV335">
        <f ca="1"/>
      </c>
      <c r="CW335">
        <f ca="1"/>
      </c>
      <c r="CX335">
        <f ca="1"/>
      </c>
      <c r="CY335">
        <f ca="1"/>
      </c>
      <c r="CZ335">
        <f ca="1"/>
      </c>
      <c r="DA335">
        <f ca="1"/>
      </c>
      <c r="DB335">
        <f ca="1"/>
      </c>
      <c r="DC335">
        <f ca="1"/>
      </c>
      <c r="DD335">
        <f ca="1"/>
      </c>
      <c r="DE335">
        <f ca="1"/>
      </c>
      <c r="DF335">
        <f ca="1"/>
      </c>
      <c r="DG335">
        <f ca="1"/>
      </c>
      <c r="DH335">
        <f ca="1"/>
      </c>
      <c r="DI335">
        <f ca="1"/>
      </c>
      <c r="DJ335">
        <f ca="1"/>
      </c>
      <c r="DK335">
        <f ca="1"/>
      </c>
      <c r="DL335">
        <f ca="1"/>
      </c>
      <c r="DM335">
        <f ca="1"/>
      </c>
      <c r="DN335">
        <f ca="1"/>
      </c>
      <c r="DO335">
        <f ca="1"/>
      </c>
      <c r="DP335">
        <f ca="1"/>
      </c>
      <c r="DQ335">
        <f ca="1"/>
      </c>
      <c r="DR335">
        <f ca="1"/>
      </c>
      <c r="DS335">
        <f ca="1"/>
      </c>
      <c r="DT335">
        <f ca="1"/>
      </c>
      <c r="DU335">
        <f ca="1"/>
      </c>
      <c r="DV335">
        <f ca="1"/>
      </c>
      <c r="DW335">
        <f ca="1"/>
      </c>
      <c r="DX335">
        <f ca="1"/>
      </c>
      <c r="DY335">
        <f ca="1"/>
      </c>
      <c r="DZ335">
        <f ca="1"/>
      </c>
      <c r="EA335">
        <f ca="1"/>
      </c>
      <c r="EB335">
        <f ca="1"/>
      </c>
      <c r="EC335">
        <f ca="1"/>
      </c>
      <c r="ED335">
        <f ca="1"/>
      </c>
      <c r="EE335">
        <f ca="1"/>
      </c>
      <c r="EG335">
        <f ca="1"/>
      </c>
      <c r="EH335">
        <f ca="1"/>
      </c>
      <c r="EI335">
        <f ca="1"/>
      </c>
      <c r="EJ335">
        <f ca="1"/>
      </c>
      <c r="EK335">
        <f ca="1"/>
      </c>
      <c r="EL335">
        <f ca="1"/>
      </c>
      <c r="EM335">
        <f ca="1"/>
      </c>
      <c r="EN335">
        <f ca="1"/>
      </c>
      <c r="EO335">
        <f ca="1"/>
      </c>
      <c r="EP335">
        <f ca="1"/>
      </c>
      <c r="EQ335">
        <f ca="1"/>
      </c>
      <c r="ER335">
        <f ca="1"/>
      </c>
      <c r="ES335">
        <f ca="1"/>
      </c>
      <c r="ET335">
        <f ca="1"/>
      </c>
      <c r="EU335">
        <f ca="1"/>
      </c>
      <c r="EV335">
        <f ca="1"/>
      </c>
      <c r="EW335">
        <f ca="1"/>
      </c>
      <c r="EX335">
        <f ca="1"/>
      </c>
      <c r="EY335">
        <f ca="1"/>
      </c>
      <c r="EZ335">
        <f ca="1"/>
      </c>
      <c r="FA335">
        <f ca="1"/>
      </c>
      <c r="FB335">
        <f ca="1"/>
      </c>
      <c r="FC335">
        <f ca="1"/>
      </c>
      <c r="FD335">
        <f ca="1"/>
      </c>
      <c r="FE335">
        <f ca="1"/>
      </c>
      <c r="FF335">
        <f ca="1"/>
      </c>
      <c r="FG335">
        <f ca="1"/>
      </c>
      <c r="FH335">
        <f ca="1"/>
      </c>
      <c r="FI335">
        <f ca="1"/>
      </c>
      <c r="FJ335">
        <f ca="1"/>
      </c>
      <c r="FK335">
        <f ca="1"/>
      </c>
      <c r="FL335">
        <f ca="1"/>
      </c>
      <c r="FM335">
        <f ca="1"/>
      </c>
      <c r="FN335">
        <f ca="1"/>
      </c>
      <c r="FO335">
        <f ca="1"/>
      </c>
      <c r="FP335">
        <f ca="1"/>
      </c>
      <c r="FQ335">
        <f ca="1"/>
      </c>
      <c r="FR335">
        <f ca="1"/>
      </c>
      <c r="FS335">
        <f ca="1"/>
      </c>
      <c r="FT335">
        <f ca="1"/>
      </c>
      <c r="FU335">
        <f ca="1"/>
      </c>
      <c r="FV335">
        <f ca="1"/>
      </c>
      <c r="FW335">
        <f ca="1"/>
      </c>
      <c r="FX335">
        <f ca="1"/>
      </c>
      <c r="FY335">
        <f ca="1"/>
      </c>
      <c r="FZ335">
        <f ca="1"/>
      </c>
      <c r="GA335">
        <f ca="1"/>
      </c>
      <c r="GM335" s="7"/>
    </row>
    <row r="336" spans="41:195" x14ac:dyDescent="0.55000000000000004">
      <c r="AO336">
        <f ca="1"/>
      </c>
      <c r="AP336">
        <f ca="1"/>
      </c>
      <c r="AQ336">
        <f ca="1"/>
      </c>
      <c r="AR336">
        <f ca="1"/>
      </c>
      <c r="AS336">
        <f ca="1"/>
      </c>
      <c r="AT336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AZ336">
        <f ca="1"/>
      </c>
      <c r="BA336">
        <f ca="1"/>
      </c>
      <c r="BB336">
        <f ca="1"/>
      </c>
      <c r="BC336">
        <f ca="1"/>
      </c>
      <c r="BD336">
        <f ca="1"/>
      </c>
      <c r="BE336">
        <f ca="1"/>
      </c>
      <c r="BF336">
        <f ca="1"/>
      </c>
      <c r="BG336">
        <f ca="1"/>
      </c>
      <c r="BH336">
        <f ca="1"/>
      </c>
      <c r="BI336">
        <f ca="1"/>
      </c>
      <c r="BJ336">
        <f ca="1"/>
      </c>
      <c r="BK336">
        <f ca="1"/>
      </c>
      <c r="BL336">
        <f ca="1"/>
      </c>
      <c r="BM336">
        <f ca="1"/>
      </c>
      <c r="BN336">
        <f ca="1"/>
      </c>
      <c r="BO336">
        <f ca="1"/>
      </c>
      <c r="BP336">
        <f ca="1"/>
      </c>
      <c r="BQ336">
        <f ca="1"/>
      </c>
      <c r="BR336">
        <f ca="1"/>
      </c>
      <c r="BS336">
        <f ca="1"/>
      </c>
      <c r="BT336">
        <f ca="1"/>
      </c>
      <c r="BU336">
        <f ca="1"/>
      </c>
      <c r="BV336">
        <f ca="1"/>
      </c>
      <c r="BW336">
        <f ca="1"/>
      </c>
      <c r="BX336">
        <f ca="1"/>
      </c>
      <c r="BY336">
        <f ca="1"/>
      </c>
      <c r="BZ336">
        <f ca="1"/>
      </c>
      <c r="CA336">
        <f ca="1"/>
      </c>
      <c r="CB336">
        <f ca="1"/>
      </c>
      <c r="CC336">
        <f ca="1"/>
      </c>
      <c r="CD336">
        <f ca="1"/>
      </c>
      <c r="CE336">
        <f ca="1"/>
      </c>
      <c r="CF336">
        <f ca="1"/>
      </c>
      <c r="CG336">
        <f ca="1"/>
      </c>
      <c r="CH336">
        <f ca="1"/>
      </c>
      <c r="CI336">
        <f ca="1"/>
      </c>
      <c r="CK336">
        <f ca="1"/>
      </c>
      <c r="CL336">
        <f ca="1"/>
      </c>
      <c r="CM336">
        <f ca="1"/>
      </c>
      <c r="CN336">
        <f ca="1"/>
      </c>
      <c r="CO336">
        <f ca="1"/>
      </c>
      <c r="CP336">
        <f ca="1"/>
      </c>
      <c r="CQ336">
        <f ca="1"/>
      </c>
      <c r="CR336">
        <f ca="1"/>
      </c>
      <c r="CS336">
        <f ca="1"/>
      </c>
      <c r="CT336">
        <f ca="1"/>
      </c>
      <c r="CU336">
        <f ca="1"/>
      </c>
      <c r="CV336">
        <f ca="1"/>
      </c>
      <c r="CW336">
        <f ca="1"/>
      </c>
      <c r="CX336">
        <f ca="1"/>
      </c>
      <c r="CY336">
        <f ca="1"/>
      </c>
      <c r="CZ336">
        <f ca="1"/>
      </c>
      <c r="DA336">
        <f ca="1"/>
      </c>
      <c r="DB336">
        <f ca="1"/>
      </c>
      <c r="DC336">
        <f ca="1"/>
      </c>
      <c r="DD336">
        <f ca="1"/>
      </c>
      <c r="DE336">
        <f ca="1"/>
      </c>
      <c r="DF336">
        <f ca="1"/>
      </c>
      <c r="DG336">
        <f ca="1"/>
      </c>
      <c r="DH336">
        <f ca="1"/>
      </c>
      <c r="DI336">
        <f ca="1"/>
      </c>
      <c r="DJ336">
        <f ca="1"/>
      </c>
      <c r="DK336">
        <f ca="1"/>
      </c>
      <c r="DL336">
        <f ca="1"/>
      </c>
      <c r="DM336">
        <f ca="1"/>
      </c>
      <c r="DN336">
        <f ca="1"/>
      </c>
      <c r="DO336">
        <f ca="1"/>
      </c>
      <c r="DP336">
        <f ca="1"/>
      </c>
      <c r="DQ336">
        <f ca="1"/>
      </c>
      <c r="DR336">
        <f ca="1"/>
      </c>
      <c r="DS336">
        <f ca="1"/>
      </c>
      <c r="DT336">
        <f ca="1"/>
      </c>
      <c r="DU336">
        <f ca="1"/>
      </c>
      <c r="DV336">
        <f ca="1"/>
      </c>
      <c r="DW336">
        <f ca="1"/>
      </c>
      <c r="DX336">
        <f ca="1"/>
      </c>
      <c r="DY336">
        <f ca="1"/>
      </c>
      <c r="DZ336">
        <f ca="1"/>
      </c>
      <c r="EA336">
        <f ca="1"/>
      </c>
      <c r="EB336">
        <f ca="1"/>
      </c>
      <c r="EC336">
        <f ca="1"/>
      </c>
      <c r="ED336">
        <f ca="1"/>
      </c>
      <c r="EE336">
        <f ca="1"/>
      </c>
      <c r="EG336">
        <f ca="1"/>
      </c>
      <c r="EH336">
        <f ca="1"/>
      </c>
      <c r="EI336">
        <f ca="1"/>
      </c>
      <c r="EJ336">
        <f ca="1"/>
      </c>
      <c r="EK336">
        <f ca="1"/>
      </c>
      <c r="EL336">
        <f ca="1"/>
      </c>
      <c r="EM336">
        <f ca="1"/>
      </c>
      <c r="EN336">
        <f ca="1"/>
      </c>
      <c r="EO336">
        <f ca="1"/>
      </c>
      <c r="EP336">
        <f ca="1"/>
      </c>
      <c r="EQ336">
        <f ca="1"/>
      </c>
      <c r="ER336">
        <f ca="1"/>
      </c>
      <c r="ES336">
        <f ca="1"/>
      </c>
      <c r="ET336">
        <f ca="1"/>
      </c>
      <c r="EU336">
        <f ca="1"/>
      </c>
      <c r="EV336">
        <f ca="1"/>
      </c>
      <c r="EW336">
        <f ca="1"/>
      </c>
      <c r="EX336">
        <f ca="1"/>
      </c>
      <c r="EY336">
        <f ca="1"/>
      </c>
      <c r="EZ336">
        <f ca="1"/>
      </c>
      <c r="FA336">
        <f ca="1"/>
      </c>
      <c r="FB336">
        <f ca="1"/>
      </c>
      <c r="FC336">
        <f ca="1"/>
      </c>
      <c r="FD336">
        <f ca="1"/>
      </c>
      <c r="FE336">
        <f ca="1"/>
      </c>
      <c r="FF336">
        <f ca="1"/>
      </c>
      <c r="FG336">
        <f ca="1"/>
      </c>
      <c r="FH336">
        <f ca="1"/>
      </c>
      <c r="FI336">
        <f ca="1"/>
      </c>
      <c r="FJ336">
        <f ca="1"/>
      </c>
      <c r="FK336">
        <f ca="1"/>
      </c>
      <c r="FL336">
        <f ca="1"/>
      </c>
      <c r="FM336">
        <f ca="1"/>
      </c>
      <c r="FN336">
        <f ca="1"/>
      </c>
      <c r="FO336">
        <f ca="1"/>
      </c>
      <c r="FP336">
        <f ca="1"/>
      </c>
      <c r="FQ336">
        <f ca="1"/>
      </c>
      <c r="FR336">
        <f ca="1"/>
      </c>
      <c r="FS336">
        <f ca="1"/>
      </c>
      <c r="FT336">
        <f ca="1"/>
      </c>
      <c r="FU336">
        <f ca="1"/>
      </c>
      <c r="FV336">
        <f ca="1"/>
      </c>
      <c r="FW336">
        <f ca="1"/>
      </c>
      <c r="FX336">
        <f ca="1"/>
      </c>
      <c r="FY336">
        <f ca="1"/>
      </c>
      <c r="FZ336">
        <f ca="1"/>
      </c>
      <c r="GA336">
        <f ca="1"/>
      </c>
      <c r="GM336" s="7"/>
    </row>
    <row r="337" spans="41:195" x14ac:dyDescent="0.55000000000000004">
      <c r="AO337">
        <f ca="1"/>
      </c>
      <c r="AP337">
        <f ca="1"/>
      </c>
      <c r="AQ337">
        <f ca="1"/>
      </c>
      <c r="AR337">
        <f ca="1"/>
      </c>
      <c r="AS337">
        <f ca="1"/>
      </c>
      <c r="AT33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AZ337">
        <f ca="1"/>
      </c>
      <c r="BA337">
        <f ca="1"/>
      </c>
      <c r="BB337">
        <f ca="1"/>
      </c>
      <c r="BC337">
        <f ca="1"/>
      </c>
      <c r="BD337">
        <f ca="1"/>
      </c>
      <c r="BE337">
        <f ca="1"/>
      </c>
      <c r="BF337">
        <f ca="1"/>
      </c>
      <c r="BG337">
        <f ca="1"/>
      </c>
      <c r="BH337">
        <f ca="1"/>
      </c>
      <c r="BI337">
        <f ca="1"/>
      </c>
      <c r="BJ337">
        <f ca="1"/>
      </c>
      <c r="BK337">
        <f ca="1"/>
      </c>
      <c r="BL337">
        <f ca="1"/>
      </c>
      <c r="BM337">
        <f ca="1"/>
      </c>
      <c r="BN337">
        <f ca="1"/>
      </c>
      <c r="BO337">
        <f ca="1"/>
      </c>
      <c r="BP337">
        <f ca="1"/>
      </c>
      <c r="BQ337">
        <f ca="1"/>
      </c>
      <c r="BR337">
        <f ca="1"/>
      </c>
      <c r="BS337">
        <f ca="1"/>
      </c>
      <c r="BT337">
        <f ca="1"/>
      </c>
      <c r="BU337">
        <f ca="1"/>
      </c>
      <c r="BV337">
        <f ca="1"/>
      </c>
      <c r="BW337">
        <f ca="1"/>
      </c>
      <c r="BX337">
        <f ca="1"/>
      </c>
      <c r="BY337">
        <f ca="1"/>
      </c>
      <c r="BZ337">
        <f ca="1"/>
      </c>
      <c r="CA337">
        <f ca="1"/>
      </c>
      <c r="CB337">
        <f ca="1"/>
      </c>
      <c r="CC337">
        <f ca="1"/>
      </c>
      <c r="CD337">
        <f ca="1"/>
      </c>
      <c r="CE337">
        <f ca="1"/>
      </c>
      <c r="CF337">
        <f ca="1"/>
      </c>
      <c r="CG337">
        <f ca="1"/>
      </c>
      <c r="CH337">
        <f ca="1"/>
      </c>
      <c r="CI337">
        <f ca="1"/>
      </c>
      <c r="CK337">
        <f ca="1"/>
      </c>
      <c r="CL337">
        <f ca="1"/>
      </c>
      <c r="CM337">
        <f ca="1"/>
      </c>
      <c r="CN337">
        <f ca="1"/>
      </c>
      <c r="CO337">
        <f ca="1"/>
      </c>
      <c r="CP337">
        <f ca="1"/>
      </c>
      <c r="CQ337">
        <f ca="1"/>
      </c>
      <c r="CR337">
        <f ca="1"/>
      </c>
      <c r="CS337">
        <f ca="1"/>
      </c>
      <c r="CT337">
        <f ca="1"/>
      </c>
      <c r="CU337">
        <f ca="1"/>
      </c>
      <c r="CV337">
        <f ca="1"/>
      </c>
      <c r="CW337">
        <f ca="1"/>
      </c>
      <c r="CX337">
        <f ca="1"/>
      </c>
      <c r="CY337">
        <f ca="1"/>
      </c>
      <c r="CZ337">
        <f ca="1"/>
      </c>
      <c r="DA337">
        <f ca="1"/>
      </c>
      <c r="DB337">
        <f ca="1"/>
      </c>
      <c r="DC337">
        <f ca="1"/>
      </c>
      <c r="DD337">
        <f ca="1"/>
      </c>
      <c r="DE337">
        <f ca="1"/>
      </c>
      <c r="DF337">
        <f ca="1"/>
      </c>
      <c r="DG337">
        <f ca="1"/>
      </c>
      <c r="DH337">
        <f ca="1"/>
      </c>
      <c r="DI337">
        <f ca="1"/>
      </c>
      <c r="DJ337">
        <f ca="1"/>
      </c>
      <c r="DK337">
        <f ca="1"/>
      </c>
      <c r="DL337">
        <f ca="1"/>
      </c>
      <c r="DM337">
        <f ca="1"/>
      </c>
      <c r="DN337">
        <f ca="1"/>
      </c>
      <c r="DO337">
        <f ca="1"/>
      </c>
      <c r="DP337">
        <f ca="1"/>
      </c>
      <c r="DQ337">
        <f ca="1"/>
      </c>
      <c r="DR337">
        <f ca="1"/>
      </c>
      <c r="DS337">
        <f ca="1"/>
      </c>
      <c r="DT337">
        <f ca="1"/>
      </c>
      <c r="DU337">
        <f ca="1"/>
      </c>
      <c r="DV337">
        <f ca="1"/>
      </c>
      <c r="DW337">
        <f ca="1"/>
      </c>
      <c r="DX337">
        <f ca="1"/>
      </c>
      <c r="DY337">
        <f ca="1"/>
      </c>
      <c r="DZ337">
        <f ca="1"/>
      </c>
      <c r="EA337">
        <f ca="1"/>
      </c>
      <c r="EB337">
        <f ca="1"/>
      </c>
      <c r="EC337">
        <f ca="1"/>
      </c>
      <c r="ED337">
        <f ca="1"/>
      </c>
      <c r="EE337">
        <f ca="1"/>
      </c>
      <c r="EG337">
        <f ca="1"/>
      </c>
      <c r="EH337">
        <f ca="1"/>
      </c>
      <c r="EI337">
        <f ca="1"/>
      </c>
      <c r="EJ337">
        <f ca="1"/>
      </c>
      <c r="EK337">
        <f ca="1"/>
      </c>
      <c r="EL337">
        <f ca="1"/>
      </c>
      <c r="EM337">
        <f ca="1"/>
      </c>
      <c r="EN337">
        <f ca="1"/>
      </c>
      <c r="EO337">
        <f ca="1"/>
      </c>
      <c r="EP337">
        <f ca="1"/>
      </c>
      <c r="EQ337">
        <f ca="1"/>
      </c>
      <c r="ER337">
        <f ca="1"/>
      </c>
      <c r="ES337">
        <f ca="1"/>
      </c>
      <c r="ET337">
        <f ca="1"/>
      </c>
      <c r="EU337">
        <f ca="1"/>
      </c>
      <c r="EV337">
        <f ca="1"/>
      </c>
      <c r="EW337">
        <f ca="1"/>
      </c>
      <c r="EX337">
        <f ca="1"/>
      </c>
      <c r="EY337">
        <f ca="1"/>
      </c>
      <c r="EZ337">
        <f ca="1"/>
      </c>
      <c r="FA337">
        <f ca="1"/>
      </c>
      <c r="FB337">
        <f ca="1"/>
      </c>
      <c r="FC337">
        <f ca="1"/>
      </c>
      <c r="FD337">
        <f ca="1"/>
      </c>
      <c r="FE337">
        <f ca="1"/>
      </c>
      <c r="FF337">
        <f ca="1"/>
      </c>
      <c r="FG337">
        <f ca="1"/>
      </c>
      <c r="FH337">
        <f ca="1"/>
      </c>
      <c r="FI337">
        <f ca="1"/>
      </c>
      <c r="FJ337">
        <f ca="1"/>
      </c>
      <c r="FK337">
        <f ca="1"/>
      </c>
      <c r="FL337">
        <f ca="1"/>
      </c>
      <c r="FM337">
        <f ca="1"/>
      </c>
      <c r="FN337">
        <f ca="1"/>
      </c>
      <c r="FO337">
        <f ca="1"/>
      </c>
      <c r="FP337">
        <f ca="1"/>
      </c>
      <c r="FQ337">
        <f ca="1"/>
      </c>
      <c r="FR337">
        <f ca="1"/>
      </c>
      <c r="FS337">
        <f ca="1"/>
      </c>
      <c r="FT337">
        <f ca="1"/>
      </c>
      <c r="FU337">
        <f ca="1"/>
      </c>
      <c r="FV337">
        <f ca="1"/>
      </c>
      <c r="FW337">
        <f ca="1"/>
      </c>
      <c r="FX337">
        <f ca="1"/>
      </c>
      <c r="FY337">
        <f ca="1"/>
      </c>
      <c r="FZ337">
        <f ca="1"/>
      </c>
      <c r="GA337">
        <f ca="1"/>
      </c>
      <c r="GM337" s="7"/>
    </row>
    <row r="338" spans="41:195" x14ac:dyDescent="0.55000000000000004">
      <c r="AO338">
        <f ca="1"/>
      </c>
      <c r="AP338">
        <f ca="1"/>
      </c>
      <c r="AQ338">
        <f ca="1"/>
      </c>
      <c r="AR338">
        <f ca="1"/>
      </c>
      <c r="AS338">
        <f ca="1"/>
      </c>
      <c r="AT338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AZ338">
        <f ca="1"/>
      </c>
      <c r="BA338">
        <f ca="1"/>
      </c>
      <c r="BB338">
        <f ca="1"/>
      </c>
      <c r="BC338">
        <f ca="1"/>
      </c>
      <c r="BD338">
        <f ca="1"/>
      </c>
      <c r="BE338">
        <f ca="1"/>
      </c>
      <c r="BF338">
        <f ca="1"/>
      </c>
      <c r="BG338">
        <f ca="1"/>
      </c>
      <c r="BH338">
        <f ca="1"/>
      </c>
      <c r="BI338">
        <f ca="1"/>
      </c>
      <c r="BJ338">
        <f ca="1"/>
      </c>
      <c r="BK338">
        <f ca="1"/>
      </c>
      <c r="BL338">
        <f ca="1"/>
      </c>
      <c r="BM338">
        <f ca="1"/>
      </c>
      <c r="BN338">
        <f ca="1"/>
      </c>
      <c r="BO338">
        <f ca="1"/>
      </c>
      <c r="BP338">
        <f ca="1"/>
      </c>
      <c r="BQ338">
        <f ca="1"/>
      </c>
      <c r="BR338">
        <f ca="1"/>
      </c>
      <c r="BS338">
        <f ca="1"/>
      </c>
      <c r="BT338">
        <f ca="1"/>
      </c>
      <c r="BU338">
        <f ca="1"/>
      </c>
      <c r="BV338">
        <f ca="1"/>
      </c>
      <c r="BW338">
        <f ca="1"/>
      </c>
      <c r="BX338">
        <f ca="1"/>
      </c>
      <c r="BY338">
        <f ca="1"/>
      </c>
      <c r="BZ338">
        <f ca="1"/>
      </c>
      <c r="CA338">
        <f ca="1"/>
      </c>
      <c r="CB338">
        <f ca="1"/>
      </c>
      <c r="CC338">
        <f ca="1"/>
      </c>
      <c r="CD338">
        <f ca="1"/>
      </c>
      <c r="CE338">
        <f ca="1"/>
      </c>
      <c r="CF338">
        <f ca="1"/>
      </c>
      <c r="CG338">
        <f ca="1"/>
      </c>
      <c r="CH338">
        <f ca="1"/>
      </c>
      <c r="CI338">
        <f ca="1"/>
      </c>
      <c r="CK338">
        <f ca="1"/>
      </c>
      <c r="CL338">
        <f ca="1"/>
      </c>
      <c r="CM338">
        <f ca="1"/>
      </c>
      <c r="CN338">
        <f ca="1"/>
      </c>
      <c r="CO338">
        <f ca="1"/>
      </c>
      <c r="CP338">
        <f ca="1"/>
      </c>
      <c r="CQ338">
        <f ca="1"/>
      </c>
      <c r="CR338">
        <f ca="1"/>
      </c>
      <c r="CS338">
        <f ca="1"/>
      </c>
      <c r="CT338">
        <f ca="1"/>
      </c>
      <c r="CU338">
        <f ca="1"/>
      </c>
      <c r="CV338">
        <f ca="1"/>
      </c>
      <c r="CW338">
        <f ca="1"/>
      </c>
      <c r="CX338">
        <f ca="1"/>
      </c>
      <c r="CY338">
        <f ca="1"/>
      </c>
      <c r="CZ338">
        <f ca="1"/>
      </c>
      <c r="DA338">
        <f ca="1"/>
      </c>
      <c r="DB338">
        <f ca="1"/>
      </c>
      <c r="DC338">
        <f ca="1"/>
      </c>
      <c r="DD338">
        <f ca="1"/>
      </c>
      <c r="DE338">
        <f ca="1"/>
      </c>
      <c r="DF338">
        <f ca="1"/>
      </c>
      <c r="DG338">
        <f ca="1"/>
      </c>
      <c r="DH338">
        <f ca="1"/>
      </c>
      <c r="DI338">
        <f ca="1"/>
      </c>
      <c r="DJ338">
        <f ca="1"/>
      </c>
      <c r="DK338">
        <f ca="1"/>
      </c>
      <c r="DL338">
        <f ca="1"/>
      </c>
      <c r="DM338">
        <f ca="1"/>
      </c>
      <c r="DN338">
        <f ca="1"/>
      </c>
      <c r="DO338">
        <f ca="1"/>
      </c>
      <c r="DP338">
        <f ca="1"/>
      </c>
      <c r="DQ338">
        <f ca="1"/>
      </c>
      <c r="DR338">
        <f ca="1"/>
      </c>
      <c r="DS338">
        <f ca="1"/>
      </c>
      <c r="DT338">
        <f ca="1"/>
      </c>
      <c r="DU338">
        <f ca="1"/>
      </c>
      <c r="DV338">
        <f ca="1"/>
      </c>
      <c r="DW338">
        <f ca="1"/>
      </c>
      <c r="DX338">
        <f ca="1"/>
      </c>
      <c r="DY338">
        <f ca="1"/>
      </c>
      <c r="DZ338">
        <f ca="1"/>
      </c>
      <c r="EA338">
        <f ca="1"/>
      </c>
      <c r="EB338">
        <f ca="1"/>
      </c>
      <c r="EC338">
        <f ca="1"/>
      </c>
      <c r="ED338">
        <f ca="1"/>
      </c>
      <c r="EE338">
        <f ca="1"/>
      </c>
      <c r="EG338">
        <f ca="1"/>
      </c>
      <c r="EH338">
        <f ca="1"/>
      </c>
      <c r="EI338">
        <f ca="1"/>
      </c>
      <c r="EJ338">
        <f ca="1"/>
      </c>
      <c r="EK338">
        <f ca="1"/>
      </c>
      <c r="EL338">
        <f ca="1"/>
      </c>
      <c r="EM338">
        <f ca="1"/>
      </c>
      <c r="EN338">
        <f ca="1"/>
      </c>
      <c r="EO338">
        <f ca="1"/>
      </c>
      <c r="EP338">
        <f ca="1"/>
      </c>
      <c r="EQ338">
        <f ca="1"/>
      </c>
      <c r="ER338">
        <f ca="1"/>
      </c>
      <c r="ES338">
        <f ca="1"/>
      </c>
      <c r="ET338">
        <f ca="1"/>
      </c>
      <c r="EU338">
        <f ca="1"/>
      </c>
      <c r="EV338">
        <f ca="1"/>
      </c>
      <c r="EW338">
        <f ca="1"/>
      </c>
      <c r="EX338">
        <f ca="1"/>
      </c>
      <c r="EY338">
        <f ca="1"/>
      </c>
      <c r="EZ338">
        <f ca="1"/>
      </c>
      <c r="FA338">
        <f ca="1"/>
      </c>
      <c r="FB338">
        <f ca="1"/>
      </c>
      <c r="FC338">
        <f ca="1"/>
      </c>
      <c r="FD338">
        <f ca="1"/>
      </c>
      <c r="FE338">
        <f ca="1"/>
      </c>
      <c r="FF338">
        <f ca="1"/>
      </c>
      <c r="FG338">
        <f ca="1"/>
      </c>
      <c r="FH338">
        <f ca="1"/>
      </c>
      <c r="FI338">
        <f ca="1"/>
      </c>
      <c r="FJ338">
        <f ca="1"/>
      </c>
      <c r="FK338">
        <f ca="1"/>
      </c>
      <c r="FL338">
        <f ca="1"/>
      </c>
      <c r="FM338">
        <f ca="1"/>
      </c>
      <c r="FN338">
        <f ca="1"/>
      </c>
      <c r="FO338">
        <f ca="1"/>
      </c>
      <c r="FP338">
        <f ca="1"/>
      </c>
      <c r="FQ338">
        <f ca="1"/>
      </c>
      <c r="FR338">
        <f ca="1"/>
      </c>
      <c r="FS338">
        <f ca="1"/>
      </c>
      <c r="FT338">
        <f ca="1"/>
      </c>
      <c r="FU338">
        <f ca="1"/>
      </c>
      <c r="FV338">
        <f ca="1"/>
      </c>
      <c r="FW338">
        <f ca="1"/>
      </c>
      <c r="FX338">
        <f ca="1"/>
      </c>
      <c r="FY338">
        <f ca="1"/>
      </c>
      <c r="FZ338">
        <f ca="1"/>
      </c>
      <c r="GA338">
        <f ca="1"/>
      </c>
      <c r="GM338" s="7"/>
    </row>
    <row r="339" spans="41:195" x14ac:dyDescent="0.55000000000000004">
      <c r="AO339">
        <f ca="1"/>
      </c>
      <c r="AP339">
        <f ca="1"/>
      </c>
      <c r="AQ339">
        <f ca="1"/>
      </c>
      <c r="AR339">
        <f ca="1"/>
      </c>
      <c r="AS339">
        <f ca="1"/>
      </c>
      <c r="AT339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AZ339">
        <f ca="1"/>
      </c>
      <c r="BA339">
        <f ca="1"/>
      </c>
      <c r="BB339">
        <f ca="1"/>
      </c>
      <c r="BC339">
        <f ca="1"/>
      </c>
      <c r="BD339">
        <f ca="1"/>
      </c>
      <c r="BE339">
        <f ca="1"/>
      </c>
      <c r="BF339">
        <f ca="1"/>
      </c>
      <c r="BG339">
        <f ca="1"/>
      </c>
      <c r="BH339">
        <f ca="1"/>
      </c>
      <c r="BI339">
        <f ca="1"/>
      </c>
      <c r="BJ339">
        <f ca="1"/>
      </c>
      <c r="BK339">
        <f ca="1"/>
      </c>
      <c r="BL339">
        <f ca="1"/>
      </c>
      <c r="BM339">
        <f ca="1"/>
      </c>
      <c r="BN339">
        <f ca="1"/>
      </c>
      <c r="BO339">
        <f ca="1"/>
      </c>
      <c r="BP339">
        <f ca="1"/>
      </c>
      <c r="BQ339">
        <f ca="1"/>
      </c>
      <c r="BR339">
        <f ca="1"/>
      </c>
      <c r="BS339">
        <f ca="1"/>
      </c>
      <c r="BT339">
        <f ca="1"/>
      </c>
      <c r="BU339">
        <f ca="1"/>
      </c>
      <c r="BV339">
        <f ca="1"/>
      </c>
      <c r="BW339">
        <f ca="1"/>
      </c>
      <c r="BX339">
        <f ca="1"/>
      </c>
      <c r="BY339">
        <f ca="1"/>
      </c>
      <c r="BZ339">
        <f ca="1"/>
      </c>
      <c r="CA339">
        <f ca="1"/>
      </c>
      <c r="CB339">
        <f ca="1"/>
      </c>
      <c r="CC339">
        <f ca="1"/>
      </c>
      <c r="CD339">
        <f ca="1"/>
      </c>
      <c r="CE339">
        <f ca="1"/>
      </c>
      <c r="CF339">
        <f ca="1"/>
      </c>
      <c r="CG339">
        <f ca="1"/>
      </c>
      <c r="CH339">
        <f ca="1"/>
      </c>
      <c r="CI339">
        <f ca="1"/>
      </c>
      <c r="CK339">
        <f ca="1"/>
      </c>
      <c r="CL339">
        <f ca="1"/>
      </c>
      <c r="CM339">
        <f ca="1"/>
      </c>
      <c r="CN339">
        <f ca="1"/>
      </c>
      <c r="CO339">
        <f ca="1"/>
      </c>
      <c r="CP339">
        <f ca="1"/>
      </c>
      <c r="CQ339">
        <f ca="1"/>
      </c>
      <c r="CR339">
        <f ca="1"/>
      </c>
      <c r="CS339">
        <f ca="1"/>
      </c>
      <c r="CT339">
        <f ca="1"/>
      </c>
      <c r="CU339">
        <f ca="1"/>
      </c>
      <c r="CV339">
        <f ca="1"/>
      </c>
      <c r="CW339">
        <f ca="1"/>
      </c>
      <c r="CX339">
        <f ca="1"/>
      </c>
      <c r="CY339">
        <f ca="1"/>
      </c>
      <c r="CZ339">
        <f ca="1"/>
      </c>
      <c r="DA339">
        <f ca="1"/>
      </c>
      <c r="DB339">
        <f ca="1"/>
      </c>
      <c r="DC339">
        <f ca="1"/>
      </c>
      <c r="DD339">
        <f ca="1"/>
      </c>
      <c r="DE339">
        <f ca="1"/>
      </c>
      <c r="DF339">
        <f ca="1"/>
      </c>
      <c r="DG339">
        <f ca="1"/>
      </c>
      <c r="DH339">
        <f ca="1"/>
      </c>
      <c r="DI339">
        <f ca="1"/>
      </c>
      <c r="DJ339">
        <f ca="1"/>
      </c>
      <c r="DK339">
        <f ca="1"/>
      </c>
      <c r="DL339">
        <f ca="1"/>
      </c>
      <c r="DM339">
        <f ca="1"/>
      </c>
      <c r="DN339">
        <f ca="1"/>
      </c>
      <c r="DO339">
        <f ca="1"/>
      </c>
      <c r="DP339">
        <f ca="1"/>
      </c>
      <c r="DQ339">
        <f ca="1"/>
      </c>
      <c r="DR339">
        <f ca="1"/>
      </c>
      <c r="DS339">
        <f ca="1"/>
      </c>
      <c r="DT339">
        <f ca="1"/>
      </c>
      <c r="DU339">
        <f ca="1"/>
      </c>
      <c r="DV339">
        <f ca="1"/>
      </c>
      <c r="DW339">
        <f ca="1"/>
      </c>
      <c r="DX339">
        <f ca="1"/>
      </c>
      <c r="DY339">
        <f ca="1"/>
      </c>
      <c r="DZ339">
        <f ca="1"/>
      </c>
      <c r="EA339">
        <f ca="1"/>
      </c>
      <c r="EB339">
        <f ca="1"/>
      </c>
      <c r="EC339">
        <f ca="1"/>
      </c>
      <c r="ED339">
        <f ca="1"/>
      </c>
      <c r="EE339">
        <f ca="1"/>
      </c>
      <c r="EG339">
        <f ca="1"/>
      </c>
      <c r="EH339">
        <f ca="1"/>
      </c>
      <c r="EI339">
        <f ca="1"/>
      </c>
      <c r="EJ339">
        <f ca="1"/>
      </c>
      <c r="EK339">
        <f ca="1"/>
      </c>
      <c r="EL339">
        <f ca="1"/>
      </c>
      <c r="EM339">
        <f ca="1"/>
      </c>
      <c r="EN339">
        <f ca="1"/>
      </c>
      <c r="EO339">
        <f ca="1"/>
      </c>
      <c r="EP339">
        <f ca="1"/>
      </c>
      <c r="EQ339">
        <f ca="1"/>
      </c>
      <c r="ER339">
        <f ca="1"/>
      </c>
      <c r="ES339">
        <f ca="1"/>
      </c>
      <c r="ET339">
        <f ca="1"/>
      </c>
      <c r="EU339">
        <f ca="1"/>
      </c>
      <c r="EV339">
        <f ca="1"/>
      </c>
      <c r="EW339">
        <f ca="1"/>
      </c>
      <c r="EX339">
        <f ca="1"/>
      </c>
      <c r="EY339">
        <f ca="1"/>
      </c>
      <c r="EZ339">
        <f ca="1"/>
      </c>
      <c r="FA339">
        <f ca="1"/>
      </c>
      <c r="FB339">
        <f ca="1"/>
      </c>
      <c r="FC339">
        <f ca="1"/>
      </c>
      <c r="FD339">
        <f ca="1"/>
      </c>
      <c r="FE339">
        <f ca="1"/>
      </c>
      <c r="FF339">
        <f ca="1"/>
      </c>
      <c r="FG339">
        <f ca="1"/>
      </c>
      <c r="FH339">
        <f ca="1"/>
      </c>
      <c r="FI339">
        <f ca="1"/>
      </c>
      <c r="FJ339">
        <f ca="1"/>
      </c>
      <c r="FK339">
        <f ca="1"/>
      </c>
      <c r="FL339">
        <f ca="1"/>
      </c>
      <c r="FM339">
        <f ca="1"/>
      </c>
      <c r="FN339">
        <f ca="1"/>
      </c>
      <c r="FO339">
        <f ca="1"/>
      </c>
      <c r="FP339">
        <f ca="1"/>
      </c>
      <c r="FQ339">
        <f ca="1"/>
      </c>
      <c r="FR339">
        <f ca="1"/>
      </c>
      <c r="FS339">
        <f ca="1"/>
      </c>
      <c r="FT339">
        <f ca="1"/>
      </c>
      <c r="FU339">
        <f ca="1"/>
      </c>
      <c r="FV339">
        <f ca="1"/>
      </c>
      <c r="FW339">
        <f ca="1"/>
      </c>
      <c r="FX339">
        <f ca="1"/>
      </c>
      <c r="FY339">
        <f ca="1"/>
      </c>
      <c r="FZ339">
        <f ca="1"/>
      </c>
      <c r="GA339">
        <f ca="1"/>
      </c>
      <c r="GM339" s="7"/>
    </row>
    <row r="340" spans="41:195" x14ac:dyDescent="0.55000000000000004">
      <c r="AO340">
        <f ca="1"/>
      </c>
      <c r="AP340">
        <f ca="1"/>
      </c>
      <c r="AQ340">
        <f ca="1"/>
      </c>
      <c r="AR340">
        <f ca="1"/>
      </c>
      <c r="AS340">
        <f ca="1"/>
      </c>
      <c r="AT340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AZ340">
        <f ca="1"/>
      </c>
      <c r="BA340">
        <f ca="1"/>
      </c>
      <c r="BB340">
        <f ca="1"/>
      </c>
      <c r="BC340">
        <f ca="1"/>
      </c>
      <c r="BD340">
        <f ca="1"/>
      </c>
      <c r="BE340">
        <f ca="1"/>
      </c>
      <c r="BF340">
        <f ca="1"/>
      </c>
      <c r="BG340">
        <f ca="1"/>
      </c>
      <c r="BH340">
        <f ca="1"/>
      </c>
      <c r="BI340">
        <f ca="1"/>
      </c>
      <c r="BJ340">
        <f ca="1"/>
      </c>
      <c r="BK340">
        <f ca="1"/>
      </c>
      <c r="BL340">
        <f ca="1"/>
      </c>
      <c r="BM340">
        <f ca="1"/>
      </c>
      <c r="BN340">
        <f ca="1"/>
      </c>
      <c r="BO340">
        <f ca="1"/>
      </c>
      <c r="BP340">
        <f ca="1"/>
      </c>
      <c r="BQ340">
        <f ca="1"/>
      </c>
      <c r="BR340">
        <f ca="1"/>
      </c>
      <c r="BS340">
        <f ca="1"/>
      </c>
      <c r="BT340">
        <f ca="1"/>
      </c>
      <c r="BU340">
        <f ca="1"/>
      </c>
      <c r="BV340">
        <f ca="1"/>
      </c>
      <c r="BW340">
        <f ca="1"/>
      </c>
      <c r="BX340">
        <f ca="1"/>
      </c>
      <c r="BY340">
        <f ca="1"/>
      </c>
      <c r="BZ340">
        <f ca="1"/>
      </c>
      <c r="CA340">
        <f ca="1"/>
      </c>
      <c r="CB340">
        <f ca="1"/>
      </c>
      <c r="CC340">
        <f ca="1"/>
      </c>
      <c r="CD340">
        <f ca="1"/>
      </c>
      <c r="CE340">
        <f ca="1"/>
      </c>
      <c r="CF340">
        <f ca="1"/>
      </c>
      <c r="CG340">
        <f ca="1"/>
      </c>
      <c r="CH340">
        <f ca="1"/>
      </c>
      <c r="CI340">
        <f ca="1"/>
      </c>
      <c r="CK340">
        <f ca="1"/>
      </c>
      <c r="CL340">
        <f ca="1"/>
      </c>
      <c r="CM340">
        <f ca="1"/>
      </c>
      <c r="CN340">
        <f ca="1"/>
      </c>
      <c r="CO340">
        <f ca="1"/>
      </c>
      <c r="CP340">
        <f ca="1"/>
      </c>
      <c r="CQ340">
        <f ca="1"/>
      </c>
      <c r="CR340">
        <f ca="1"/>
      </c>
      <c r="CS340">
        <f ca="1"/>
      </c>
      <c r="CT340">
        <f ca="1"/>
      </c>
      <c r="CU340">
        <f ca="1"/>
      </c>
      <c r="CV340">
        <f ca="1"/>
      </c>
      <c r="CW340">
        <f ca="1"/>
      </c>
      <c r="CX340">
        <f ca="1"/>
      </c>
      <c r="CY340">
        <f ca="1"/>
      </c>
      <c r="CZ340">
        <f ca="1"/>
      </c>
      <c r="DA340">
        <f ca="1"/>
      </c>
      <c r="DB340">
        <f ca="1"/>
      </c>
      <c r="DC340">
        <f ca="1"/>
      </c>
      <c r="DD340">
        <f ca="1"/>
      </c>
      <c r="DE340">
        <f ca="1"/>
      </c>
      <c r="DF340">
        <f ca="1"/>
      </c>
      <c r="DG340">
        <f ca="1"/>
      </c>
      <c r="DH340">
        <f ca="1"/>
      </c>
      <c r="DI340">
        <f ca="1"/>
      </c>
      <c r="DJ340">
        <f ca="1"/>
      </c>
      <c r="DK340">
        <f ca="1"/>
      </c>
      <c r="DL340">
        <f ca="1"/>
      </c>
      <c r="DM340">
        <f ca="1"/>
      </c>
      <c r="DN340">
        <f ca="1"/>
      </c>
      <c r="DO340">
        <f ca="1"/>
      </c>
      <c r="DP340">
        <f ca="1"/>
      </c>
      <c r="DQ340">
        <f ca="1"/>
      </c>
      <c r="DR340">
        <f ca="1"/>
      </c>
      <c r="DS340">
        <f ca="1"/>
      </c>
      <c r="DT340">
        <f ca="1"/>
      </c>
      <c r="DU340">
        <f ca="1"/>
      </c>
      <c r="DV340">
        <f ca="1"/>
      </c>
      <c r="DW340">
        <f ca="1"/>
      </c>
      <c r="DX340">
        <f ca="1"/>
      </c>
      <c r="DY340">
        <f ca="1"/>
      </c>
      <c r="DZ340">
        <f ca="1"/>
      </c>
      <c r="EA340">
        <f ca="1"/>
      </c>
      <c r="EB340">
        <f ca="1"/>
      </c>
      <c r="EC340">
        <f ca="1"/>
      </c>
      <c r="ED340">
        <f ca="1"/>
      </c>
      <c r="EE340">
        <f ca="1"/>
      </c>
      <c r="EG340">
        <f ca="1"/>
      </c>
      <c r="EH340">
        <f ca="1"/>
      </c>
      <c r="EI340">
        <f ca="1"/>
      </c>
      <c r="EJ340">
        <f ca="1"/>
      </c>
      <c r="EK340">
        <f ca="1"/>
      </c>
      <c r="EL340">
        <f ca="1"/>
      </c>
      <c r="EM340">
        <f ca="1"/>
      </c>
      <c r="EN340">
        <f ca="1"/>
      </c>
      <c r="EO340">
        <f ca="1"/>
      </c>
      <c r="EP340">
        <f ca="1"/>
      </c>
      <c r="EQ340">
        <f ca="1"/>
      </c>
      <c r="ER340">
        <f ca="1"/>
      </c>
      <c r="ES340">
        <f ca="1"/>
      </c>
      <c r="ET340">
        <f ca="1"/>
      </c>
      <c r="EU340">
        <f ca="1"/>
      </c>
      <c r="EV340">
        <f ca="1"/>
      </c>
      <c r="EW340">
        <f ca="1"/>
      </c>
      <c r="EX340">
        <f ca="1"/>
      </c>
      <c r="EY340">
        <f ca="1"/>
      </c>
      <c r="EZ340">
        <f ca="1"/>
      </c>
      <c r="FA340">
        <f ca="1"/>
      </c>
      <c r="FB340">
        <f ca="1"/>
      </c>
      <c r="FC340">
        <f ca="1"/>
      </c>
      <c r="FD340">
        <f ca="1"/>
      </c>
      <c r="FE340">
        <f ca="1"/>
      </c>
      <c r="FF340">
        <f ca="1"/>
      </c>
      <c r="FG340">
        <f ca="1"/>
      </c>
      <c r="FH340">
        <f ca="1"/>
      </c>
      <c r="FI340">
        <f ca="1"/>
      </c>
      <c r="FJ340">
        <f ca="1"/>
      </c>
      <c r="FK340">
        <f ca="1"/>
      </c>
      <c r="FL340">
        <f ca="1"/>
      </c>
      <c r="FM340">
        <f ca="1"/>
      </c>
      <c r="FN340">
        <f ca="1"/>
      </c>
      <c r="FO340">
        <f ca="1"/>
      </c>
      <c r="FP340">
        <f ca="1"/>
      </c>
      <c r="FQ340">
        <f ca="1"/>
      </c>
      <c r="FR340">
        <f ca="1"/>
      </c>
      <c r="FS340">
        <f ca="1"/>
      </c>
      <c r="FT340">
        <f ca="1"/>
      </c>
      <c r="FU340">
        <f ca="1"/>
      </c>
      <c r="FV340">
        <f ca="1"/>
      </c>
      <c r="FW340">
        <f ca="1"/>
      </c>
      <c r="FX340">
        <f ca="1"/>
      </c>
      <c r="FY340">
        <f ca="1"/>
      </c>
      <c r="FZ340">
        <f ca="1"/>
      </c>
      <c r="GA340">
        <f ca="1"/>
      </c>
      <c r="GM340" s="7"/>
    </row>
    <row r="341" spans="41:195" x14ac:dyDescent="0.55000000000000004">
      <c r="AO341">
        <f ca="1"/>
      </c>
      <c r="AP341">
        <f ca="1"/>
      </c>
      <c r="AQ341">
        <f ca="1"/>
      </c>
      <c r="AR341">
        <f ca="1"/>
      </c>
      <c r="AS341">
        <f ca="1"/>
      </c>
      <c r="AT341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AZ341">
        <f ca="1"/>
      </c>
      <c r="BA341">
        <f ca="1"/>
      </c>
      <c r="BB341">
        <f ca="1"/>
      </c>
      <c r="BC341">
        <f ca="1"/>
      </c>
      <c r="BD341">
        <f ca="1"/>
      </c>
      <c r="BE341">
        <f ca="1"/>
      </c>
      <c r="BF341">
        <f ca="1"/>
      </c>
      <c r="BG341">
        <f ca="1"/>
      </c>
      <c r="BH341">
        <f ca="1"/>
      </c>
      <c r="BI341">
        <f ca="1"/>
      </c>
      <c r="BJ341">
        <f ca="1"/>
      </c>
      <c r="BK341">
        <f ca="1"/>
      </c>
      <c r="BL341">
        <f ca="1"/>
      </c>
      <c r="BM341">
        <f ca="1"/>
      </c>
      <c r="BN341">
        <f ca="1"/>
      </c>
      <c r="BO341">
        <f ca="1"/>
      </c>
      <c r="BP341">
        <f ca="1"/>
      </c>
      <c r="BQ341">
        <f ca="1"/>
      </c>
      <c r="BR341">
        <f ca="1"/>
      </c>
      <c r="BS341">
        <f ca="1"/>
      </c>
      <c r="BT341">
        <f ca="1"/>
      </c>
      <c r="BU341">
        <f ca="1"/>
      </c>
      <c r="BV341">
        <f ca="1"/>
      </c>
      <c r="BW341">
        <f ca="1"/>
      </c>
      <c r="BX341">
        <f ca="1"/>
      </c>
      <c r="BY341">
        <f ca="1"/>
      </c>
      <c r="BZ341">
        <f ca="1"/>
      </c>
      <c r="CA341">
        <f ca="1"/>
      </c>
      <c r="CB341">
        <f ca="1"/>
      </c>
      <c r="CC341">
        <f ca="1"/>
      </c>
      <c r="CD341">
        <f ca="1"/>
      </c>
      <c r="CE341">
        <f ca="1"/>
      </c>
      <c r="CF341">
        <f ca="1"/>
      </c>
      <c r="CG341">
        <f ca="1"/>
      </c>
      <c r="CH341">
        <f ca="1"/>
      </c>
      <c r="CI341">
        <f ca="1"/>
      </c>
      <c r="CK341">
        <f ca="1"/>
      </c>
      <c r="CL341">
        <f ca="1"/>
      </c>
      <c r="CM341">
        <f ca="1"/>
      </c>
      <c r="CN341">
        <f ca="1"/>
      </c>
      <c r="CO341">
        <f ca="1"/>
      </c>
      <c r="CP341">
        <f ca="1"/>
      </c>
      <c r="CQ341">
        <f ca="1"/>
      </c>
      <c r="CR341">
        <f ca="1"/>
      </c>
      <c r="CS341">
        <f ca="1"/>
      </c>
      <c r="CT341">
        <f ca="1"/>
      </c>
      <c r="CU341">
        <f ca="1"/>
      </c>
      <c r="CV341">
        <f ca="1"/>
      </c>
      <c r="CW341">
        <f ca="1"/>
      </c>
      <c r="CX341">
        <f ca="1"/>
      </c>
      <c r="CY341">
        <f ca="1"/>
      </c>
      <c r="CZ341">
        <f ca="1"/>
      </c>
      <c r="DA341">
        <f ca="1"/>
      </c>
      <c r="DB341">
        <f ca="1"/>
      </c>
      <c r="DC341">
        <f ca="1"/>
      </c>
      <c r="DD341">
        <f ca="1"/>
      </c>
      <c r="DE341">
        <f ca="1"/>
      </c>
      <c r="DF341">
        <f ca="1"/>
      </c>
      <c r="DG341">
        <f ca="1"/>
      </c>
      <c r="DH341">
        <f ca="1"/>
      </c>
      <c r="DI341">
        <f ca="1"/>
      </c>
      <c r="DJ341">
        <f ca="1"/>
      </c>
      <c r="DK341">
        <f ca="1"/>
      </c>
      <c r="DL341">
        <f ca="1"/>
      </c>
      <c r="DM341">
        <f ca="1"/>
      </c>
      <c r="DN341">
        <f ca="1"/>
      </c>
      <c r="DO341">
        <f ca="1"/>
      </c>
      <c r="DP341">
        <f ca="1"/>
      </c>
      <c r="DQ341">
        <f ca="1"/>
      </c>
      <c r="DR341">
        <f ca="1"/>
      </c>
      <c r="DS341">
        <f ca="1"/>
      </c>
      <c r="DT341">
        <f ca="1"/>
      </c>
      <c r="DU341">
        <f ca="1"/>
      </c>
      <c r="DV341">
        <f ca="1"/>
      </c>
      <c r="DW341">
        <f ca="1"/>
      </c>
      <c r="DX341">
        <f ca="1"/>
      </c>
      <c r="DY341">
        <f ca="1"/>
      </c>
      <c r="DZ341">
        <f ca="1"/>
      </c>
      <c r="EA341">
        <f ca="1"/>
      </c>
      <c r="EB341">
        <f ca="1"/>
      </c>
      <c r="EC341">
        <f ca="1"/>
      </c>
      <c r="ED341">
        <f ca="1"/>
      </c>
      <c r="EE341">
        <f ca="1"/>
      </c>
      <c r="EG341">
        <f ca="1"/>
      </c>
      <c r="EH341">
        <f ca="1"/>
      </c>
      <c r="EI341">
        <f ca="1"/>
      </c>
      <c r="EJ341">
        <f ca="1"/>
      </c>
      <c r="EK341">
        <f ca="1"/>
      </c>
      <c r="EL341">
        <f ca="1"/>
      </c>
      <c r="EM341">
        <f ca="1"/>
      </c>
      <c r="EN341">
        <f ca="1"/>
      </c>
      <c r="EO341">
        <f ca="1"/>
      </c>
      <c r="EP341">
        <f ca="1"/>
      </c>
      <c r="EQ341">
        <f ca="1"/>
      </c>
      <c r="ER341">
        <f ca="1"/>
      </c>
      <c r="ES341">
        <f ca="1"/>
      </c>
      <c r="ET341">
        <f ca="1"/>
      </c>
      <c r="EU341">
        <f ca="1"/>
      </c>
      <c r="EV341">
        <f ca="1"/>
      </c>
      <c r="EW341">
        <f ca="1"/>
      </c>
      <c r="EX341">
        <f ca="1"/>
      </c>
      <c r="EY341">
        <f ca="1"/>
      </c>
      <c r="EZ341">
        <f ca="1"/>
      </c>
      <c r="FA341">
        <f ca="1"/>
      </c>
      <c r="FB341">
        <f ca="1"/>
      </c>
      <c r="FC341">
        <f ca="1"/>
      </c>
      <c r="FD341">
        <f ca="1"/>
      </c>
      <c r="FE341">
        <f ca="1"/>
      </c>
      <c r="FF341">
        <f ca="1"/>
      </c>
      <c r="FG341">
        <f ca="1"/>
      </c>
      <c r="FH341">
        <f ca="1"/>
      </c>
      <c r="FI341">
        <f ca="1"/>
      </c>
      <c r="FJ341">
        <f ca="1"/>
      </c>
      <c r="FK341">
        <f ca="1"/>
      </c>
      <c r="FL341">
        <f ca="1"/>
      </c>
      <c r="FM341">
        <f ca="1"/>
      </c>
      <c r="FN341">
        <f ca="1"/>
      </c>
      <c r="FO341">
        <f ca="1"/>
      </c>
      <c r="FP341">
        <f ca="1"/>
      </c>
      <c r="FQ341">
        <f ca="1"/>
      </c>
      <c r="FR341">
        <f ca="1"/>
      </c>
      <c r="FS341">
        <f ca="1"/>
      </c>
      <c r="FT341">
        <f ca="1"/>
      </c>
      <c r="FU341">
        <f ca="1"/>
      </c>
      <c r="FV341">
        <f ca="1"/>
      </c>
      <c r="FW341">
        <f ca="1"/>
      </c>
      <c r="FX341">
        <f ca="1"/>
      </c>
      <c r="FY341">
        <f ca="1"/>
      </c>
      <c r="FZ341">
        <f ca="1"/>
      </c>
      <c r="GA341">
        <f ca="1"/>
      </c>
      <c r="GM341" s="7"/>
    </row>
    <row r="342" spans="41:195" x14ac:dyDescent="0.55000000000000004">
      <c r="AO342">
        <f ca="1"/>
      </c>
      <c r="AP342">
        <f ca="1"/>
      </c>
      <c r="AQ342">
        <f ca="1"/>
      </c>
      <c r="AR342">
        <f ca="1"/>
      </c>
      <c r="AS342">
        <f ca="1"/>
      </c>
      <c r="AT342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AZ342">
        <f ca="1"/>
      </c>
      <c r="BA342">
        <f ca="1"/>
      </c>
      <c r="BB342">
        <f ca="1"/>
      </c>
      <c r="BC342">
        <f ca="1"/>
      </c>
      <c r="BD342">
        <f ca="1"/>
      </c>
      <c r="BE342">
        <f ca="1"/>
      </c>
      <c r="BF342">
        <f ca="1"/>
      </c>
      <c r="BG342">
        <f ca="1"/>
      </c>
      <c r="BH342">
        <f ca="1"/>
      </c>
      <c r="BI342">
        <f ca="1"/>
      </c>
      <c r="BJ342">
        <f ca="1"/>
      </c>
      <c r="BK342">
        <f ca="1"/>
      </c>
      <c r="BL342">
        <f ca="1"/>
      </c>
      <c r="BM342">
        <f ca="1"/>
      </c>
      <c r="BN342">
        <f ca="1"/>
      </c>
      <c r="BO342">
        <f ca="1"/>
      </c>
      <c r="BP342">
        <f ca="1"/>
      </c>
      <c r="BQ342">
        <f ca="1"/>
      </c>
      <c r="BR342">
        <f ca="1"/>
      </c>
      <c r="BS342">
        <f ca="1"/>
      </c>
      <c r="BT342">
        <f ca="1"/>
      </c>
      <c r="BU342">
        <f ca="1"/>
      </c>
      <c r="BV342">
        <f ca="1"/>
      </c>
      <c r="BW342">
        <f ca="1"/>
      </c>
      <c r="BX342">
        <f ca="1"/>
      </c>
      <c r="BY342">
        <f ca="1"/>
      </c>
      <c r="BZ342">
        <f ca="1"/>
      </c>
      <c r="CA342">
        <f ca="1"/>
      </c>
      <c r="CB342">
        <f ca="1"/>
      </c>
      <c r="CC342">
        <f ca="1"/>
      </c>
      <c r="CD342">
        <f ca="1"/>
      </c>
      <c r="CE342">
        <f ca="1"/>
      </c>
      <c r="CF342">
        <f ca="1"/>
      </c>
      <c r="CG342">
        <f ca="1"/>
      </c>
      <c r="CH342">
        <f ca="1"/>
      </c>
      <c r="CI342">
        <f ca="1"/>
      </c>
      <c r="CK342">
        <f ca="1"/>
      </c>
      <c r="CL342">
        <f ca="1"/>
      </c>
      <c r="CM342">
        <f ca="1"/>
      </c>
      <c r="CN342">
        <f ca="1"/>
      </c>
      <c r="CO342">
        <f ca="1"/>
      </c>
      <c r="CP342">
        <f ca="1"/>
      </c>
      <c r="CQ342">
        <f ca="1"/>
      </c>
      <c r="CR342">
        <f ca="1"/>
      </c>
      <c r="CS342">
        <f ca="1"/>
      </c>
      <c r="CT342">
        <f ca="1"/>
      </c>
      <c r="CU342">
        <f ca="1"/>
      </c>
      <c r="CV342">
        <f ca="1"/>
      </c>
      <c r="CW342">
        <f ca="1"/>
      </c>
      <c r="CX342">
        <f ca="1"/>
      </c>
      <c r="CY342">
        <f ca="1"/>
      </c>
      <c r="CZ342">
        <f ca="1"/>
      </c>
      <c r="DA342">
        <f ca="1"/>
      </c>
      <c r="DB342">
        <f ca="1"/>
      </c>
      <c r="DC342">
        <f ca="1"/>
      </c>
      <c r="DD342">
        <f ca="1"/>
      </c>
      <c r="DE342">
        <f ca="1"/>
      </c>
      <c r="DF342">
        <f ca="1"/>
      </c>
      <c r="DG342">
        <f ca="1"/>
      </c>
      <c r="DH342">
        <f ca="1"/>
      </c>
      <c r="DI342">
        <f ca="1"/>
      </c>
      <c r="DJ342">
        <f ca="1"/>
      </c>
      <c r="DK342">
        <f ca="1"/>
      </c>
      <c r="DL342">
        <f ca="1"/>
      </c>
      <c r="DM342">
        <f ca="1"/>
      </c>
      <c r="DN342">
        <f ca="1"/>
      </c>
      <c r="DO342">
        <f ca="1"/>
      </c>
      <c r="DP342">
        <f ca="1"/>
      </c>
      <c r="DQ342">
        <f ca="1"/>
      </c>
      <c r="DR342">
        <f ca="1"/>
      </c>
      <c r="DS342">
        <f ca="1"/>
      </c>
      <c r="DT342">
        <f ca="1"/>
      </c>
      <c r="DU342">
        <f ca="1"/>
      </c>
      <c r="DV342">
        <f ca="1"/>
      </c>
      <c r="DW342">
        <f ca="1"/>
      </c>
      <c r="DX342">
        <f ca="1"/>
      </c>
      <c r="DY342">
        <f ca="1"/>
      </c>
      <c r="DZ342">
        <f ca="1"/>
      </c>
      <c r="EA342">
        <f ca="1"/>
      </c>
      <c r="EB342">
        <f ca="1"/>
      </c>
      <c r="EC342">
        <f ca="1"/>
      </c>
      <c r="ED342">
        <f ca="1"/>
      </c>
      <c r="EE342">
        <f ca="1"/>
      </c>
      <c r="EG342">
        <f ca="1"/>
      </c>
      <c r="EH342">
        <f ca="1"/>
      </c>
      <c r="EI342">
        <f ca="1"/>
      </c>
      <c r="EJ342">
        <f ca="1"/>
      </c>
      <c r="EK342">
        <f ca="1"/>
      </c>
      <c r="EL342">
        <f ca="1"/>
      </c>
      <c r="EM342">
        <f ca="1"/>
      </c>
      <c r="EN342">
        <f ca="1"/>
      </c>
      <c r="EO342">
        <f ca="1"/>
      </c>
      <c r="EP342">
        <f ca="1"/>
      </c>
      <c r="EQ342">
        <f ca="1"/>
      </c>
      <c r="ER342">
        <f ca="1"/>
      </c>
      <c r="ES342">
        <f ca="1"/>
      </c>
      <c r="ET342">
        <f ca="1"/>
      </c>
      <c r="EU342">
        <f ca="1"/>
      </c>
      <c r="EV342">
        <f ca="1"/>
      </c>
      <c r="EW342">
        <f ca="1"/>
      </c>
      <c r="EX342">
        <f ca="1"/>
      </c>
      <c r="EY342">
        <f ca="1"/>
      </c>
      <c r="EZ342">
        <f ca="1"/>
      </c>
      <c r="FA342">
        <f ca="1"/>
      </c>
      <c r="FB342">
        <f ca="1"/>
      </c>
      <c r="FC342">
        <f ca="1"/>
      </c>
      <c r="FD342">
        <f ca="1"/>
      </c>
      <c r="FE342">
        <f ca="1"/>
      </c>
      <c r="FF342">
        <f ca="1"/>
      </c>
      <c r="FG342">
        <f ca="1"/>
      </c>
      <c r="FH342">
        <f ca="1"/>
      </c>
      <c r="FI342">
        <f ca="1"/>
      </c>
      <c r="FJ342">
        <f ca="1"/>
      </c>
      <c r="FK342">
        <f ca="1"/>
      </c>
      <c r="FL342">
        <f ca="1"/>
      </c>
      <c r="FM342">
        <f ca="1"/>
      </c>
      <c r="FN342">
        <f ca="1"/>
      </c>
      <c r="FO342">
        <f ca="1"/>
      </c>
      <c r="FP342">
        <f ca="1"/>
      </c>
      <c r="FQ342">
        <f ca="1"/>
      </c>
      <c r="FR342">
        <f ca="1"/>
      </c>
      <c r="FS342">
        <f ca="1"/>
      </c>
      <c r="FT342">
        <f ca="1"/>
      </c>
      <c r="FU342">
        <f ca="1"/>
      </c>
      <c r="FV342">
        <f ca="1"/>
      </c>
      <c r="FW342">
        <f ca="1"/>
      </c>
      <c r="FX342">
        <f ca="1"/>
      </c>
      <c r="FY342">
        <f ca="1"/>
      </c>
      <c r="FZ342">
        <f ca="1"/>
      </c>
      <c r="GA342">
        <f ca="1"/>
      </c>
      <c r="GM342" s="7"/>
    </row>
    <row r="343" spans="41:195" x14ac:dyDescent="0.55000000000000004">
      <c r="AO343">
        <f ca="1"/>
      </c>
      <c r="AP343">
        <f ca="1"/>
      </c>
      <c r="AQ343">
        <f ca="1"/>
      </c>
      <c r="AR343">
        <f ca="1"/>
      </c>
      <c r="AS343">
        <f ca="1"/>
      </c>
      <c r="AT343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AZ343">
        <f ca="1"/>
      </c>
      <c r="BA343">
        <f ca="1"/>
      </c>
      <c r="BB343">
        <f ca="1"/>
      </c>
      <c r="BC343">
        <f ca="1"/>
      </c>
      <c r="BD343">
        <f ca="1"/>
      </c>
      <c r="BE343">
        <f ca="1"/>
      </c>
      <c r="BF343">
        <f ca="1"/>
      </c>
      <c r="BG343">
        <f ca="1"/>
      </c>
      <c r="BH343">
        <f ca="1"/>
      </c>
      <c r="BI343">
        <f ca="1"/>
      </c>
      <c r="BJ343">
        <f ca="1"/>
      </c>
      <c r="BK343">
        <f ca="1"/>
      </c>
      <c r="BL343">
        <f ca="1"/>
      </c>
      <c r="BM343">
        <f ca="1"/>
      </c>
      <c r="BN343">
        <f ca="1"/>
      </c>
      <c r="BO343">
        <f ca="1"/>
      </c>
      <c r="BP343">
        <f ca="1"/>
      </c>
      <c r="BQ343">
        <f ca="1"/>
      </c>
      <c r="BR343">
        <f ca="1"/>
      </c>
      <c r="BS343">
        <f ca="1"/>
      </c>
      <c r="BT343">
        <f ca="1"/>
      </c>
      <c r="BU343">
        <f ca="1"/>
      </c>
      <c r="BV343">
        <f ca="1"/>
      </c>
      <c r="BW343">
        <f ca="1"/>
      </c>
      <c r="BX343">
        <f ca="1"/>
      </c>
      <c r="BY343">
        <f ca="1"/>
      </c>
      <c r="BZ343">
        <f ca="1"/>
      </c>
      <c r="CA343">
        <f ca="1"/>
      </c>
      <c r="CB343">
        <f ca="1"/>
      </c>
      <c r="CC343">
        <f ca="1"/>
      </c>
      <c r="CD343">
        <f ca="1"/>
      </c>
      <c r="CE343">
        <f ca="1"/>
      </c>
      <c r="CF343">
        <f ca="1"/>
      </c>
      <c r="CG343">
        <f ca="1"/>
      </c>
      <c r="CH343">
        <f ca="1"/>
      </c>
      <c r="CI343">
        <f ca="1"/>
      </c>
      <c r="CK343">
        <f ca="1"/>
      </c>
      <c r="CL343">
        <f ca="1"/>
      </c>
      <c r="CM343">
        <f ca="1"/>
      </c>
      <c r="CN343">
        <f ca="1"/>
      </c>
      <c r="CO343">
        <f ca="1"/>
      </c>
      <c r="CP343">
        <f ca="1"/>
      </c>
      <c r="CQ343">
        <f ca="1"/>
      </c>
      <c r="CR343">
        <f ca="1"/>
      </c>
      <c r="CS343">
        <f ca="1"/>
      </c>
      <c r="CT343">
        <f ca="1"/>
      </c>
      <c r="CU343">
        <f ca="1"/>
      </c>
      <c r="CV343">
        <f ca="1"/>
      </c>
      <c r="CW343">
        <f ca="1"/>
      </c>
      <c r="CX343">
        <f ca="1"/>
      </c>
      <c r="CY343">
        <f ca="1"/>
      </c>
      <c r="CZ343">
        <f ca="1"/>
      </c>
      <c r="DA343">
        <f ca="1"/>
      </c>
      <c r="DB343">
        <f ca="1"/>
      </c>
      <c r="DC343">
        <f ca="1"/>
      </c>
      <c r="DD343">
        <f ca="1"/>
      </c>
      <c r="DE343">
        <f ca="1"/>
      </c>
      <c r="DF343">
        <f ca="1"/>
      </c>
      <c r="DG343">
        <f ca="1"/>
      </c>
      <c r="DH343">
        <f ca="1"/>
      </c>
      <c r="DI343">
        <f ca="1"/>
      </c>
      <c r="DJ343">
        <f ca="1"/>
      </c>
      <c r="DK343">
        <f ca="1"/>
      </c>
      <c r="DL343">
        <f ca="1"/>
      </c>
      <c r="DM343">
        <f ca="1"/>
      </c>
      <c r="DN343">
        <f ca="1"/>
      </c>
      <c r="DO343">
        <f ca="1"/>
      </c>
      <c r="DP343">
        <f ca="1"/>
      </c>
      <c r="DQ343">
        <f ca="1"/>
      </c>
      <c r="DR343">
        <f ca="1"/>
      </c>
      <c r="DS343">
        <f ca="1"/>
      </c>
      <c r="DT343">
        <f ca="1"/>
      </c>
      <c r="DU343">
        <f ca="1"/>
      </c>
      <c r="DV343">
        <f ca="1"/>
      </c>
      <c r="DW343">
        <f ca="1"/>
      </c>
      <c r="DX343">
        <f ca="1"/>
      </c>
      <c r="DY343">
        <f ca="1"/>
      </c>
      <c r="DZ343">
        <f ca="1"/>
      </c>
      <c r="EA343">
        <f ca="1"/>
      </c>
      <c r="EB343">
        <f ca="1"/>
      </c>
      <c r="EC343">
        <f ca="1"/>
      </c>
      <c r="ED343">
        <f ca="1"/>
      </c>
      <c r="EE343">
        <f ca="1"/>
      </c>
      <c r="EG343">
        <f ca="1"/>
      </c>
      <c r="EH343">
        <f ca="1"/>
      </c>
      <c r="EI343">
        <f ca="1"/>
      </c>
      <c r="EJ343">
        <f ca="1"/>
      </c>
      <c r="EK343">
        <f ca="1"/>
      </c>
      <c r="EL343">
        <f ca="1"/>
      </c>
      <c r="EM343">
        <f ca="1"/>
      </c>
      <c r="EN343">
        <f ca="1"/>
      </c>
      <c r="EO343">
        <f ca="1"/>
      </c>
      <c r="EP343">
        <f ca="1"/>
      </c>
      <c r="EQ343">
        <f ca="1"/>
      </c>
      <c r="ER343">
        <f ca="1"/>
      </c>
      <c r="ES343">
        <f ca="1"/>
      </c>
      <c r="ET343">
        <f ca="1"/>
      </c>
      <c r="EU343">
        <f ca="1"/>
      </c>
      <c r="EV343">
        <f ca="1"/>
      </c>
      <c r="EW343">
        <f ca="1"/>
      </c>
      <c r="EX343">
        <f ca="1"/>
      </c>
      <c r="EY343">
        <f ca="1"/>
      </c>
      <c r="EZ343">
        <f ca="1"/>
      </c>
      <c r="FA343">
        <f ca="1"/>
      </c>
      <c r="FB343">
        <f ca="1"/>
      </c>
      <c r="FC343">
        <f ca="1"/>
      </c>
      <c r="FD343">
        <f ca="1"/>
      </c>
      <c r="FE343">
        <f ca="1"/>
      </c>
      <c r="FF343">
        <f ca="1"/>
      </c>
      <c r="FG343">
        <f ca="1"/>
      </c>
      <c r="FH343">
        <f ca="1"/>
      </c>
      <c r="FI343">
        <f ca="1"/>
      </c>
      <c r="FJ343">
        <f ca="1"/>
      </c>
      <c r="FK343">
        <f ca="1"/>
      </c>
      <c r="FL343">
        <f ca="1"/>
      </c>
      <c r="FM343">
        <f ca="1"/>
      </c>
      <c r="FN343">
        <f ca="1"/>
      </c>
      <c r="FO343">
        <f ca="1"/>
      </c>
      <c r="FP343">
        <f ca="1"/>
      </c>
      <c r="FQ343">
        <f ca="1"/>
      </c>
      <c r="FR343">
        <f ca="1"/>
      </c>
      <c r="FS343">
        <f ca="1"/>
      </c>
      <c r="FT343">
        <f ca="1"/>
      </c>
      <c r="FU343">
        <f ca="1"/>
      </c>
      <c r="FV343">
        <f ca="1"/>
      </c>
      <c r="FW343">
        <f ca="1"/>
      </c>
      <c r="FX343">
        <f ca="1"/>
      </c>
      <c r="FY343">
        <f ca="1"/>
      </c>
      <c r="FZ343">
        <f ca="1"/>
      </c>
      <c r="GA343">
        <f ca="1"/>
      </c>
      <c r="GM343" s="7"/>
    </row>
    <row r="344" spans="41:195" x14ac:dyDescent="0.55000000000000004">
      <c r="AO344">
        <f ca="1"/>
      </c>
      <c r="AP344">
        <f ca="1"/>
      </c>
      <c r="AQ344">
        <f ca="1"/>
      </c>
      <c r="AR344">
        <f ca="1"/>
      </c>
      <c r="AS344">
        <f ca="1"/>
      </c>
      <c r="AT344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AZ344">
        <f ca="1"/>
      </c>
      <c r="BA344">
        <f ca="1"/>
      </c>
      <c r="BB344">
        <f ca="1"/>
      </c>
      <c r="BC344">
        <f ca="1"/>
      </c>
      <c r="BD344">
        <f ca="1"/>
      </c>
      <c r="BE344">
        <f ca="1"/>
      </c>
      <c r="BF344">
        <f ca="1"/>
      </c>
      <c r="BG344">
        <f ca="1"/>
      </c>
      <c r="BH344">
        <f ca="1"/>
      </c>
      <c r="BI344">
        <f ca="1"/>
      </c>
      <c r="BJ344">
        <f ca="1"/>
      </c>
      <c r="BK344">
        <f ca="1"/>
      </c>
      <c r="BL344">
        <f ca="1"/>
      </c>
      <c r="BM344">
        <f ca="1"/>
      </c>
      <c r="BN344">
        <f ca="1"/>
      </c>
      <c r="BO344">
        <f ca="1"/>
      </c>
      <c r="BP344">
        <f ca="1"/>
      </c>
      <c r="BQ344">
        <f ca="1"/>
      </c>
      <c r="BR344">
        <f ca="1"/>
      </c>
      <c r="BS344">
        <f ca="1"/>
      </c>
      <c r="BT344">
        <f ca="1"/>
      </c>
      <c r="BU344">
        <f ca="1"/>
      </c>
      <c r="BV344">
        <f ca="1"/>
      </c>
      <c r="BW344">
        <f ca="1"/>
      </c>
      <c r="BX344">
        <f ca="1"/>
      </c>
      <c r="BY344">
        <f ca="1"/>
      </c>
      <c r="BZ344">
        <f ca="1"/>
      </c>
      <c r="CA344">
        <f ca="1"/>
      </c>
      <c r="CB344">
        <f ca="1"/>
      </c>
      <c r="CC344">
        <f ca="1"/>
      </c>
      <c r="CD344">
        <f ca="1"/>
      </c>
      <c r="CE344">
        <f ca="1"/>
      </c>
      <c r="CF344">
        <f ca="1"/>
      </c>
      <c r="CG344">
        <f ca="1"/>
      </c>
      <c r="CH344">
        <f ca="1"/>
      </c>
      <c r="CI344">
        <f ca="1"/>
      </c>
      <c r="CK344">
        <f ca="1"/>
      </c>
      <c r="CL344">
        <f ca="1"/>
      </c>
      <c r="CM344">
        <f ca="1"/>
      </c>
      <c r="CN344">
        <f ca="1"/>
      </c>
      <c r="CO344">
        <f ca="1"/>
      </c>
      <c r="CP344">
        <f ca="1"/>
      </c>
      <c r="CQ344">
        <f ca="1"/>
      </c>
      <c r="CR344">
        <f ca="1"/>
      </c>
      <c r="CS344">
        <f ca="1"/>
      </c>
      <c r="CT344">
        <f ca="1"/>
      </c>
      <c r="CU344">
        <f ca="1"/>
      </c>
      <c r="CV344">
        <f ca="1"/>
      </c>
      <c r="CW344">
        <f ca="1"/>
      </c>
      <c r="CX344">
        <f ca="1"/>
      </c>
      <c r="CY344">
        <f ca="1"/>
      </c>
      <c r="CZ344">
        <f ca="1"/>
      </c>
      <c r="DA344">
        <f ca="1"/>
      </c>
      <c r="DB344">
        <f ca="1"/>
      </c>
      <c r="DC344">
        <f ca="1"/>
      </c>
      <c r="DD344">
        <f ca="1"/>
      </c>
      <c r="DE344">
        <f ca="1"/>
      </c>
      <c r="DF344">
        <f ca="1"/>
      </c>
      <c r="DG344">
        <f ca="1"/>
      </c>
      <c r="DH344">
        <f ca="1"/>
      </c>
      <c r="DI344">
        <f ca="1"/>
      </c>
      <c r="DJ344">
        <f ca="1"/>
      </c>
      <c r="DK344">
        <f ca="1"/>
      </c>
      <c r="DL344">
        <f ca="1"/>
      </c>
      <c r="DM344">
        <f ca="1"/>
      </c>
      <c r="DN344">
        <f ca="1"/>
      </c>
      <c r="DO344">
        <f ca="1"/>
      </c>
      <c r="DP344">
        <f ca="1"/>
      </c>
      <c r="DQ344">
        <f ca="1"/>
      </c>
      <c r="DR344">
        <f ca="1"/>
      </c>
      <c r="DS344">
        <f ca="1"/>
      </c>
      <c r="DT344">
        <f ca="1"/>
      </c>
      <c r="DU344">
        <f ca="1"/>
      </c>
      <c r="DV344">
        <f ca="1"/>
      </c>
      <c r="DW344">
        <f ca="1"/>
      </c>
      <c r="DX344">
        <f ca="1"/>
      </c>
      <c r="DY344">
        <f ca="1"/>
      </c>
      <c r="DZ344">
        <f ca="1"/>
      </c>
      <c r="EA344">
        <f ca="1"/>
      </c>
      <c r="EB344">
        <f ca="1"/>
      </c>
      <c r="EC344">
        <f ca="1"/>
      </c>
      <c r="ED344">
        <f ca="1"/>
      </c>
      <c r="EE344">
        <f ca="1"/>
      </c>
      <c r="EG344">
        <f ca="1"/>
      </c>
      <c r="EH344">
        <f ca="1"/>
      </c>
      <c r="EI344">
        <f ca="1"/>
      </c>
      <c r="EJ344">
        <f ca="1"/>
      </c>
      <c r="EK344">
        <f ca="1"/>
      </c>
      <c r="EL344">
        <f ca="1"/>
      </c>
      <c r="EM344">
        <f ca="1"/>
      </c>
      <c r="EN344">
        <f ca="1"/>
      </c>
      <c r="EO344">
        <f ca="1"/>
      </c>
      <c r="EP344">
        <f ca="1"/>
      </c>
      <c r="EQ344">
        <f ca="1"/>
      </c>
      <c r="ER344">
        <f ca="1"/>
      </c>
      <c r="ES344">
        <f ca="1"/>
      </c>
      <c r="ET344">
        <f ca="1"/>
      </c>
      <c r="EU344">
        <f ca="1"/>
      </c>
      <c r="EV344">
        <f ca="1"/>
      </c>
      <c r="EW344">
        <f ca="1"/>
      </c>
      <c r="EX344">
        <f ca="1"/>
      </c>
      <c r="EY344">
        <f ca="1"/>
      </c>
      <c r="EZ344">
        <f ca="1"/>
      </c>
      <c r="FA344">
        <f ca="1"/>
      </c>
      <c r="FB344">
        <f ca="1"/>
      </c>
      <c r="FC344">
        <f ca="1"/>
      </c>
      <c r="FD344">
        <f ca="1"/>
      </c>
      <c r="FE344">
        <f ca="1"/>
      </c>
      <c r="FF344">
        <f ca="1"/>
      </c>
      <c r="FG344">
        <f ca="1"/>
      </c>
      <c r="FH344">
        <f ca="1"/>
      </c>
      <c r="FI344">
        <f ca="1"/>
      </c>
      <c r="FJ344">
        <f ca="1"/>
      </c>
      <c r="FK344">
        <f ca="1"/>
      </c>
      <c r="FL344">
        <f ca="1"/>
      </c>
      <c r="FM344">
        <f ca="1"/>
      </c>
      <c r="FN344">
        <f ca="1"/>
      </c>
      <c r="FO344">
        <f ca="1"/>
      </c>
      <c r="FP344">
        <f ca="1"/>
      </c>
      <c r="FQ344">
        <f ca="1"/>
      </c>
      <c r="FR344">
        <f ca="1"/>
      </c>
      <c r="FS344">
        <f ca="1"/>
      </c>
      <c r="FT344">
        <f ca="1"/>
      </c>
      <c r="FU344">
        <f ca="1"/>
      </c>
      <c r="FV344">
        <f ca="1"/>
      </c>
      <c r="FW344">
        <f ca="1"/>
      </c>
      <c r="FX344">
        <f ca="1"/>
      </c>
      <c r="FY344">
        <f ca="1"/>
      </c>
      <c r="FZ344">
        <f ca="1"/>
      </c>
      <c r="GA344">
        <f ca="1"/>
      </c>
      <c r="GM344" s="7"/>
    </row>
    <row r="345" spans="41:195" x14ac:dyDescent="0.55000000000000004">
      <c r="AO345">
        <f ca="1"/>
      </c>
      <c r="AP345">
        <f ca="1"/>
      </c>
      <c r="AQ345">
        <f ca="1"/>
      </c>
      <c r="AR345">
        <f ca="1"/>
      </c>
      <c r="AS345">
        <f ca="1"/>
      </c>
      <c r="AT345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AZ345">
        <f ca="1"/>
      </c>
      <c r="BA345">
        <f ca="1"/>
      </c>
      <c r="BB345">
        <f ca="1"/>
      </c>
      <c r="BC345">
        <f ca="1"/>
      </c>
      <c r="BD345">
        <f ca="1"/>
      </c>
      <c r="BE345">
        <f ca="1"/>
      </c>
      <c r="BF345">
        <f ca="1"/>
      </c>
      <c r="BG345">
        <f ca="1"/>
      </c>
      <c r="BH345">
        <f ca="1"/>
      </c>
      <c r="BI345">
        <f ca="1"/>
      </c>
      <c r="BJ345">
        <f ca="1"/>
      </c>
      <c r="BK345">
        <f ca="1"/>
      </c>
      <c r="BL345">
        <f ca="1"/>
      </c>
      <c r="BM345">
        <f ca="1"/>
      </c>
      <c r="BN345">
        <f ca="1"/>
      </c>
      <c r="BO345">
        <f ca="1"/>
      </c>
      <c r="BP345">
        <f ca="1"/>
      </c>
      <c r="BQ345">
        <f ca="1"/>
      </c>
      <c r="BR345">
        <f ca="1"/>
      </c>
      <c r="BS345">
        <f ca="1"/>
      </c>
      <c r="BT345">
        <f ca="1"/>
      </c>
      <c r="BU345">
        <f ca="1"/>
      </c>
      <c r="BV345">
        <f ca="1"/>
      </c>
      <c r="BW345">
        <f ca="1"/>
      </c>
      <c r="BX345">
        <f ca="1"/>
      </c>
      <c r="BY345">
        <f ca="1"/>
      </c>
      <c r="BZ345">
        <f ca="1"/>
      </c>
      <c r="CA345">
        <f ca="1"/>
      </c>
      <c r="CB345">
        <f ca="1"/>
      </c>
      <c r="CC345">
        <f ca="1"/>
      </c>
      <c r="CD345">
        <f ca="1"/>
      </c>
      <c r="CE345">
        <f ca="1"/>
      </c>
      <c r="CF345">
        <f ca="1"/>
      </c>
      <c r="CG345">
        <f ca="1"/>
      </c>
      <c r="CH345">
        <f ca="1"/>
      </c>
      <c r="CI345">
        <f ca="1"/>
      </c>
      <c r="CK345">
        <f ca="1"/>
      </c>
      <c r="CL345">
        <f ca="1"/>
      </c>
      <c r="CM345">
        <f ca="1"/>
      </c>
      <c r="CN345">
        <f ca="1"/>
      </c>
      <c r="CO345">
        <f ca="1"/>
      </c>
      <c r="CP345">
        <f ca="1"/>
      </c>
      <c r="CQ345">
        <f ca="1"/>
      </c>
      <c r="CR345">
        <f ca="1"/>
      </c>
      <c r="CS345">
        <f ca="1"/>
      </c>
      <c r="CT345">
        <f ca="1"/>
      </c>
      <c r="CU345">
        <f ca="1"/>
      </c>
      <c r="CV345">
        <f ca="1"/>
      </c>
      <c r="CW345">
        <f ca="1"/>
      </c>
      <c r="CX345">
        <f ca="1"/>
      </c>
      <c r="CY345">
        <f ca="1"/>
      </c>
      <c r="CZ345">
        <f ca="1"/>
      </c>
      <c r="DA345">
        <f ca="1"/>
      </c>
      <c r="DB345">
        <f ca="1"/>
      </c>
      <c r="DC345">
        <f ca="1"/>
      </c>
      <c r="DD345">
        <f ca="1"/>
      </c>
      <c r="DE345">
        <f ca="1"/>
      </c>
      <c r="DF345">
        <f ca="1"/>
      </c>
      <c r="DG345">
        <f ca="1"/>
      </c>
      <c r="DH345">
        <f ca="1"/>
      </c>
      <c r="DI345">
        <f ca="1"/>
      </c>
      <c r="DJ345">
        <f ca="1"/>
      </c>
      <c r="DK345">
        <f ca="1"/>
      </c>
      <c r="DL345">
        <f ca="1"/>
      </c>
      <c r="DM345">
        <f ca="1"/>
      </c>
      <c r="DN345">
        <f ca="1"/>
      </c>
      <c r="DO345">
        <f ca="1"/>
      </c>
      <c r="DP345">
        <f ca="1"/>
      </c>
      <c r="DQ345">
        <f ca="1"/>
      </c>
      <c r="DR345">
        <f ca="1"/>
      </c>
      <c r="DS345">
        <f ca="1"/>
      </c>
      <c r="DT345">
        <f ca="1"/>
      </c>
      <c r="DU345">
        <f ca="1"/>
      </c>
      <c r="DV345">
        <f ca="1"/>
      </c>
      <c r="DW345">
        <f ca="1"/>
      </c>
      <c r="DX345">
        <f ca="1"/>
      </c>
      <c r="DY345">
        <f ca="1"/>
      </c>
      <c r="DZ345">
        <f ca="1"/>
      </c>
      <c r="EA345">
        <f ca="1"/>
      </c>
      <c r="EB345">
        <f ca="1"/>
      </c>
      <c r="EC345">
        <f ca="1"/>
      </c>
      <c r="ED345">
        <f ca="1"/>
      </c>
      <c r="EE345">
        <f ca="1"/>
      </c>
      <c r="EG345">
        <f ca="1"/>
      </c>
      <c r="EH345">
        <f ca="1"/>
      </c>
      <c r="EI345">
        <f ca="1"/>
      </c>
      <c r="EJ345">
        <f ca="1"/>
      </c>
      <c r="EK345">
        <f ca="1"/>
      </c>
      <c r="EL345">
        <f ca="1"/>
      </c>
      <c r="EM345">
        <f ca="1"/>
      </c>
      <c r="EN345">
        <f ca="1"/>
      </c>
      <c r="EO345">
        <f ca="1"/>
      </c>
      <c r="EP345">
        <f ca="1"/>
      </c>
      <c r="EQ345">
        <f ca="1"/>
      </c>
      <c r="ER345">
        <f ca="1"/>
      </c>
      <c r="ES345">
        <f ca="1"/>
      </c>
      <c r="ET345">
        <f ca="1"/>
      </c>
      <c r="EU345">
        <f ca="1"/>
      </c>
      <c r="EV345">
        <f ca="1"/>
      </c>
      <c r="EW345">
        <f ca="1"/>
      </c>
      <c r="EX345">
        <f ca="1"/>
      </c>
      <c r="EY345">
        <f ca="1"/>
      </c>
      <c r="EZ345">
        <f ca="1"/>
      </c>
      <c r="FA345">
        <f ca="1"/>
      </c>
      <c r="FB345">
        <f ca="1"/>
      </c>
      <c r="FC345">
        <f ca="1"/>
      </c>
      <c r="FD345">
        <f ca="1"/>
      </c>
      <c r="FE345">
        <f ca="1"/>
      </c>
      <c r="FF345">
        <f ca="1"/>
      </c>
      <c r="FG345">
        <f ca="1"/>
      </c>
      <c r="FH345">
        <f ca="1"/>
      </c>
      <c r="FI345">
        <f ca="1"/>
      </c>
      <c r="FJ345">
        <f ca="1"/>
      </c>
      <c r="FK345">
        <f ca="1"/>
      </c>
      <c r="FL345">
        <f ca="1"/>
      </c>
      <c r="FM345">
        <f ca="1"/>
      </c>
      <c r="FN345">
        <f ca="1"/>
      </c>
      <c r="FO345">
        <f ca="1"/>
      </c>
      <c r="FP345">
        <f ca="1"/>
      </c>
      <c r="FQ345">
        <f ca="1"/>
      </c>
      <c r="FR345">
        <f ca="1"/>
      </c>
      <c r="FS345">
        <f ca="1"/>
      </c>
      <c r="FT345">
        <f ca="1"/>
      </c>
      <c r="FU345">
        <f ca="1"/>
      </c>
      <c r="FV345">
        <f ca="1"/>
      </c>
      <c r="FW345">
        <f ca="1"/>
      </c>
      <c r="FX345">
        <f ca="1"/>
      </c>
      <c r="FY345">
        <f ca="1"/>
      </c>
      <c r="FZ345">
        <f ca="1"/>
      </c>
      <c r="GA345">
        <f ca="1"/>
      </c>
      <c r="GM345" s="7"/>
    </row>
    <row r="346" spans="41:195" x14ac:dyDescent="0.55000000000000004">
      <c r="AO346">
        <f ca="1"/>
      </c>
      <c r="AP346">
        <f ca="1"/>
      </c>
      <c r="AQ346">
        <f ca="1"/>
      </c>
      <c r="AR346">
        <f ca="1"/>
      </c>
      <c r="AS346">
        <f ca="1"/>
      </c>
      <c r="AT346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AZ346">
        <f ca="1"/>
      </c>
      <c r="BA346">
        <f ca="1"/>
      </c>
      <c r="BB346">
        <f ca="1"/>
      </c>
      <c r="BC346">
        <f ca="1"/>
      </c>
      <c r="BD346">
        <f ca="1"/>
      </c>
      <c r="BE346">
        <f ca="1"/>
      </c>
      <c r="BF346">
        <f ca="1"/>
      </c>
      <c r="BG346">
        <f ca="1"/>
      </c>
      <c r="BH346">
        <f ca="1"/>
      </c>
      <c r="BI346">
        <f ca="1"/>
      </c>
      <c r="BJ346">
        <f ca="1"/>
      </c>
      <c r="BK346">
        <f ca="1"/>
      </c>
      <c r="BL346">
        <f ca="1"/>
      </c>
      <c r="BM346">
        <f ca="1"/>
      </c>
      <c r="BN346">
        <f ca="1"/>
      </c>
      <c r="BO346">
        <f ca="1"/>
      </c>
      <c r="BP346">
        <f ca="1"/>
      </c>
      <c r="BQ346">
        <f ca="1"/>
      </c>
      <c r="BR346">
        <f ca="1"/>
      </c>
      <c r="BS346">
        <f ca="1"/>
      </c>
      <c r="BT346">
        <f ca="1"/>
      </c>
      <c r="BU346">
        <f ca="1"/>
      </c>
      <c r="BV346">
        <f ca="1"/>
      </c>
      <c r="BW346">
        <f ca="1"/>
      </c>
      <c r="BX346">
        <f ca="1"/>
      </c>
      <c r="BY346">
        <f ca="1"/>
      </c>
      <c r="BZ346">
        <f ca="1"/>
      </c>
      <c r="CA346">
        <f ca="1"/>
      </c>
      <c r="CB346">
        <f ca="1"/>
      </c>
      <c r="CC346">
        <f ca="1"/>
      </c>
      <c r="CD346">
        <f ca="1"/>
      </c>
      <c r="CE346">
        <f ca="1"/>
      </c>
      <c r="CF346">
        <f ca="1"/>
      </c>
      <c r="CG346">
        <f ca="1"/>
      </c>
      <c r="CH346">
        <f ca="1"/>
      </c>
      <c r="CI346">
        <f ca="1"/>
      </c>
      <c r="CK346">
        <f ca="1"/>
      </c>
      <c r="CL346">
        <f ca="1"/>
      </c>
      <c r="CM346">
        <f ca="1"/>
      </c>
      <c r="CN346">
        <f ca="1"/>
      </c>
      <c r="CO346">
        <f ca="1"/>
      </c>
      <c r="CP346">
        <f ca="1"/>
      </c>
      <c r="CQ346">
        <f ca="1"/>
      </c>
      <c r="CR346">
        <f ca="1"/>
      </c>
      <c r="CS346">
        <f ca="1"/>
      </c>
      <c r="CT346">
        <f ca="1"/>
      </c>
      <c r="CU346">
        <f ca="1"/>
      </c>
      <c r="CV346">
        <f ca="1"/>
      </c>
      <c r="CW346">
        <f ca="1"/>
      </c>
      <c r="CX346">
        <f ca="1"/>
      </c>
      <c r="CY346">
        <f ca="1"/>
      </c>
      <c r="CZ346">
        <f ca="1"/>
      </c>
      <c r="DA346">
        <f ca="1"/>
      </c>
      <c r="DB346">
        <f ca="1"/>
      </c>
      <c r="DC346">
        <f ca="1"/>
      </c>
      <c r="DD346">
        <f ca="1"/>
      </c>
      <c r="DE346">
        <f ca="1"/>
      </c>
      <c r="DF346">
        <f ca="1"/>
      </c>
      <c r="DG346">
        <f ca="1"/>
      </c>
      <c r="DH346">
        <f ca="1"/>
      </c>
      <c r="DI346">
        <f ca="1"/>
      </c>
      <c r="DJ346">
        <f ca="1"/>
      </c>
      <c r="DK346">
        <f ca="1"/>
      </c>
      <c r="DL346">
        <f ca="1"/>
      </c>
      <c r="DM346">
        <f ca="1"/>
      </c>
      <c r="DN346">
        <f ca="1"/>
      </c>
      <c r="DO346">
        <f ca="1"/>
      </c>
      <c r="DP346">
        <f ca="1"/>
      </c>
      <c r="DQ346">
        <f ca="1"/>
      </c>
      <c r="DR346">
        <f ca="1"/>
      </c>
      <c r="DS346">
        <f ca="1"/>
      </c>
      <c r="DT346">
        <f ca="1"/>
      </c>
      <c r="DU346">
        <f ca="1"/>
      </c>
      <c r="DV346">
        <f ca="1"/>
      </c>
      <c r="DW346">
        <f ca="1"/>
      </c>
      <c r="DX346">
        <f ca="1"/>
      </c>
      <c r="DY346">
        <f ca="1"/>
      </c>
      <c r="DZ346">
        <f ca="1"/>
      </c>
      <c r="EA346">
        <f ca="1"/>
      </c>
      <c r="EB346">
        <f ca="1"/>
      </c>
      <c r="EC346">
        <f ca="1"/>
      </c>
      <c r="ED346">
        <f ca="1"/>
      </c>
      <c r="EE346">
        <f ca="1"/>
      </c>
      <c r="EG346">
        <f ca="1"/>
      </c>
      <c r="EH346">
        <f ca="1"/>
      </c>
      <c r="EI346">
        <f ca="1"/>
      </c>
      <c r="EJ346">
        <f ca="1"/>
      </c>
      <c r="EK346">
        <f ca="1"/>
      </c>
      <c r="EL346">
        <f ca="1"/>
      </c>
      <c r="EM346">
        <f ca="1"/>
      </c>
      <c r="EN346">
        <f ca="1"/>
      </c>
      <c r="EO346">
        <f ca="1"/>
      </c>
      <c r="EP346">
        <f ca="1"/>
      </c>
      <c r="EQ346">
        <f ca="1"/>
      </c>
      <c r="ER346">
        <f ca="1"/>
      </c>
      <c r="ES346">
        <f ca="1"/>
      </c>
      <c r="ET346">
        <f ca="1"/>
      </c>
      <c r="EU346">
        <f ca="1"/>
      </c>
      <c r="EV346">
        <f ca="1"/>
      </c>
      <c r="EW346">
        <f ca="1"/>
      </c>
      <c r="EX346">
        <f ca="1"/>
      </c>
      <c r="EY346">
        <f ca="1"/>
      </c>
      <c r="EZ346">
        <f ca="1"/>
      </c>
      <c r="FA346">
        <f ca="1"/>
      </c>
      <c r="FB346">
        <f ca="1"/>
      </c>
      <c r="FC346">
        <f ca="1"/>
      </c>
      <c r="FD346">
        <f ca="1"/>
      </c>
      <c r="FE346">
        <f ca="1"/>
      </c>
      <c r="FF346">
        <f ca="1"/>
      </c>
      <c r="FG346">
        <f ca="1"/>
      </c>
      <c r="FH346">
        <f ca="1"/>
      </c>
      <c r="FI346">
        <f ca="1"/>
      </c>
      <c r="FJ346">
        <f ca="1"/>
      </c>
      <c r="FK346">
        <f ca="1"/>
      </c>
      <c r="FL346">
        <f ca="1"/>
      </c>
      <c r="FM346">
        <f ca="1"/>
      </c>
      <c r="FN346">
        <f ca="1"/>
      </c>
      <c r="FO346">
        <f ca="1"/>
      </c>
      <c r="FP346">
        <f ca="1"/>
      </c>
      <c r="FQ346">
        <f ca="1"/>
      </c>
      <c r="FR346">
        <f ca="1"/>
      </c>
      <c r="FS346">
        <f ca="1"/>
      </c>
      <c r="FT346">
        <f ca="1"/>
      </c>
      <c r="FU346">
        <f ca="1"/>
      </c>
      <c r="FV346">
        <f ca="1"/>
      </c>
      <c r="FW346">
        <f ca="1"/>
      </c>
      <c r="FX346">
        <f ca="1"/>
      </c>
      <c r="FY346">
        <f ca="1"/>
      </c>
      <c r="FZ346">
        <f ca="1"/>
      </c>
      <c r="GA346">
        <f ca="1"/>
      </c>
      <c r="GM346" s="7"/>
    </row>
    <row r="347" spans="41:195" x14ac:dyDescent="0.55000000000000004">
      <c r="AO347">
        <f ca="1"/>
      </c>
      <c r="AP347">
        <f ca="1"/>
      </c>
      <c r="AQ347">
        <f ca="1"/>
      </c>
      <c r="AR347">
        <f ca="1"/>
      </c>
      <c r="AS347">
        <f ca="1"/>
      </c>
      <c r="AT34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AZ347">
        <f ca="1"/>
      </c>
      <c r="BA347">
        <f ca="1"/>
      </c>
      <c r="BB347">
        <f ca="1"/>
      </c>
      <c r="BC347">
        <f ca="1"/>
      </c>
      <c r="BD347">
        <f ca="1"/>
      </c>
      <c r="BE347">
        <f ca="1"/>
      </c>
      <c r="BF347">
        <f ca="1"/>
      </c>
      <c r="BG347">
        <f ca="1"/>
      </c>
      <c r="BH347">
        <f ca="1"/>
      </c>
      <c r="BI347">
        <f ca="1"/>
      </c>
      <c r="BJ347">
        <f ca="1"/>
      </c>
      <c r="BK347">
        <f ca="1"/>
      </c>
      <c r="BL347">
        <f ca="1"/>
      </c>
      <c r="BM347">
        <f ca="1"/>
      </c>
      <c r="BN347">
        <f ca="1"/>
      </c>
      <c r="BO347">
        <f ca="1"/>
      </c>
      <c r="BP347">
        <f ca="1"/>
      </c>
      <c r="BQ347">
        <f ca="1"/>
      </c>
      <c r="BR347">
        <f ca="1"/>
      </c>
      <c r="BS347">
        <f ca="1"/>
      </c>
      <c r="BT347">
        <f ca="1"/>
      </c>
      <c r="BU347">
        <f ca="1"/>
      </c>
      <c r="BV347">
        <f ca="1"/>
      </c>
      <c r="BW347">
        <f ca="1"/>
      </c>
      <c r="BX347">
        <f ca="1"/>
      </c>
      <c r="BY347">
        <f ca="1"/>
      </c>
      <c r="BZ347">
        <f ca="1"/>
      </c>
      <c r="CA347">
        <f ca="1"/>
      </c>
      <c r="CB347">
        <f ca="1"/>
      </c>
      <c r="CC347">
        <f ca="1"/>
      </c>
      <c r="CD347">
        <f ca="1"/>
      </c>
      <c r="CE347">
        <f ca="1"/>
      </c>
      <c r="CF347">
        <f ca="1"/>
      </c>
      <c r="CG347">
        <f ca="1"/>
      </c>
      <c r="CH347">
        <f ca="1"/>
      </c>
      <c r="CI347">
        <f ca="1"/>
      </c>
      <c r="CK347">
        <f ca="1"/>
      </c>
      <c r="CL347">
        <f ca="1"/>
      </c>
      <c r="CM347">
        <f ca="1"/>
      </c>
      <c r="CN347">
        <f ca="1"/>
      </c>
      <c r="CO347">
        <f ca="1"/>
      </c>
      <c r="CP347">
        <f ca="1"/>
      </c>
      <c r="CQ347">
        <f ca="1"/>
      </c>
      <c r="CR347">
        <f ca="1"/>
      </c>
      <c r="CS347">
        <f ca="1"/>
      </c>
      <c r="CT347">
        <f ca="1"/>
      </c>
      <c r="CU347">
        <f ca="1"/>
      </c>
      <c r="CV347">
        <f ca="1"/>
      </c>
      <c r="CW347">
        <f ca="1"/>
      </c>
      <c r="CX347">
        <f ca="1"/>
      </c>
      <c r="CY347">
        <f ca="1"/>
      </c>
      <c r="CZ347">
        <f ca="1"/>
      </c>
      <c r="DA347">
        <f ca="1"/>
      </c>
      <c r="DB347">
        <f ca="1"/>
      </c>
      <c r="DC347">
        <f ca="1"/>
      </c>
      <c r="DD347">
        <f ca="1"/>
      </c>
      <c r="DE347">
        <f ca="1"/>
      </c>
      <c r="DF347">
        <f ca="1"/>
      </c>
      <c r="DG347">
        <f ca="1"/>
      </c>
      <c r="DH347">
        <f ca="1"/>
      </c>
      <c r="DI347">
        <f ca="1"/>
      </c>
      <c r="DJ347">
        <f ca="1"/>
      </c>
      <c r="DK347">
        <f ca="1"/>
      </c>
      <c r="DL347">
        <f ca="1"/>
      </c>
      <c r="DM347">
        <f ca="1"/>
      </c>
      <c r="DN347">
        <f ca="1"/>
      </c>
      <c r="DO347">
        <f ca="1"/>
      </c>
      <c r="DP347">
        <f ca="1"/>
      </c>
      <c r="DQ347">
        <f ca="1"/>
      </c>
      <c r="DR347">
        <f ca="1"/>
      </c>
      <c r="DS347">
        <f ca="1"/>
      </c>
      <c r="DT347">
        <f ca="1"/>
      </c>
      <c r="DU347">
        <f ca="1"/>
      </c>
      <c r="DV347">
        <f ca="1"/>
      </c>
      <c r="DW347">
        <f ca="1"/>
      </c>
      <c r="DX347">
        <f ca="1"/>
      </c>
      <c r="DY347">
        <f ca="1"/>
      </c>
      <c r="DZ347">
        <f ca="1"/>
      </c>
      <c r="EA347">
        <f ca="1"/>
      </c>
      <c r="EB347">
        <f ca="1"/>
      </c>
      <c r="EC347">
        <f ca="1"/>
      </c>
      <c r="ED347">
        <f ca="1"/>
      </c>
      <c r="EE347">
        <f ca="1"/>
      </c>
      <c r="EG347">
        <f ca="1"/>
      </c>
      <c r="EH347">
        <f ca="1"/>
      </c>
      <c r="EI347">
        <f ca="1"/>
      </c>
      <c r="EJ347">
        <f ca="1"/>
      </c>
      <c r="EK347">
        <f ca="1"/>
      </c>
      <c r="EL347">
        <f ca="1"/>
      </c>
      <c r="EM347">
        <f ca="1"/>
      </c>
      <c r="EN347">
        <f ca="1"/>
      </c>
      <c r="EO347">
        <f ca="1"/>
      </c>
      <c r="EP347">
        <f ca="1"/>
      </c>
      <c r="EQ347">
        <f ca="1"/>
      </c>
      <c r="ER347">
        <f ca="1"/>
      </c>
      <c r="ES347">
        <f ca="1"/>
      </c>
      <c r="ET347">
        <f ca="1"/>
      </c>
      <c r="EU347">
        <f ca="1"/>
      </c>
      <c r="EV347">
        <f ca="1"/>
      </c>
      <c r="EW347">
        <f ca="1"/>
      </c>
      <c r="EX347">
        <f ca="1"/>
      </c>
      <c r="EY347">
        <f ca="1"/>
      </c>
      <c r="EZ347">
        <f ca="1"/>
      </c>
      <c r="FA347">
        <f ca="1"/>
      </c>
      <c r="FB347">
        <f ca="1"/>
      </c>
      <c r="FC347">
        <f ca="1"/>
      </c>
      <c r="FD347">
        <f ca="1"/>
      </c>
      <c r="FE347">
        <f ca="1"/>
      </c>
      <c r="FF347">
        <f ca="1"/>
      </c>
      <c r="FG347">
        <f ca="1"/>
      </c>
      <c r="FH347">
        <f ca="1"/>
      </c>
      <c r="FI347">
        <f ca="1"/>
      </c>
      <c r="FJ347">
        <f ca="1"/>
      </c>
      <c r="FK347">
        <f ca="1"/>
      </c>
      <c r="FL347">
        <f ca="1"/>
      </c>
      <c r="FM347">
        <f ca="1"/>
      </c>
      <c r="FN347">
        <f ca="1"/>
      </c>
      <c r="FO347">
        <f ca="1"/>
      </c>
      <c r="FP347">
        <f ca="1"/>
      </c>
      <c r="FQ347">
        <f ca="1"/>
      </c>
      <c r="FR347">
        <f ca="1"/>
      </c>
      <c r="FS347">
        <f ca="1"/>
      </c>
      <c r="FT347">
        <f ca="1"/>
      </c>
      <c r="FU347">
        <f ca="1"/>
      </c>
      <c r="FV347">
        <f ca="1"/>
      </c>
      <c r="FW347">
        <f ca="1"/>
      </c>
      <c r="FX347">
        <f ca="1"/>
      </c>
      <c r="FY347">
        <f ca="1"/>
      </c>
      <c r="FZ347">
        <f ca="1"/>
      </c>
      <c r="GA347">
        <f ca="1"/>
      </c>
      <c r="GM347" s="7"/>
    </row>
    <row r="348" spans="41:195" x14ac:dyDescent="0.55000000000000004">
      <c r="AO348">
        <f ca="1"/>
      </c>
      <c r="AP348">
        <f ca="1"/>
      </c>
      <c r="AQ348">
        <f ca="1"/>
      </c>
      <c r="AR348">
        <f ca="1"/>
      </c>
      <c r="AS348">
        <f ca="1"/>
      </c>
      <c r="AT348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AZ348">
        <f ca="1"/>
      </c>
      <c r="BA348">
        <f ca="1"/>
      </c>
      <c r="BB348">
        <f ca="1"/>
      </c>
      <c r="BC348">
        <f ca="1"/>
      </c>
      <c r="BD348">
        <f ca="1"/>
      </c>
      <c r="BE348">
        <f ca="1"/>
      </c>
      <c r="BF348">
        <f ca="1"/>
      </c>
      <c r="BG348">
        <f ca="1"/>
      </c>
      <c r="BH348">
        <f ca="1"/>
      </c>
      <c r="BI348">
        <f ca="1"/>
      </c>
      <c r="BJ348">
        <f ca="1"/>
      </c>
      <c r="BK348">
        <f ca="1"/>
      </c>
      <c r="BL348">
        <f ca="1"/>
      </c>
      <c r="BM348">
        <f ca="1"/>
      </c>
      <c r="BN348">
        <f ca="1"/>
      </c>
      <c r="BO348">
        <f ca="1"/>
      </c>
      <c r="BP348">
        <f ca="1"/>
      </c>
      <c r="BQ348">
        <f ca="1"/>
      </c>
      <c r="BR348">
        <f ca="1"/>
      </c>
      <c r="BS348">
        <f ca="1"/>
      </c>
      <c r="BT348">
        <f ca="1"/>
      </c>
      <c r="BU348">
        <f ca="1"/>
      </c>
      <c r="BV348">
        <f ca="1"/>
      </c>
      <c r="BW348">
        <f ca="1"/>
      </c>
      <c r="BX348">
        <f ca="1"/>
      </c>
      <c r="BY348">
        <f ca="1"/>
      </c>
      <c r="BZ348">
        <f ca="1"/>
      </c>
      <c r="CA348">
        <f ca="1"/>
      </c>
      <c r="CB348">
        <f ca="1"/>
      </c>
      <c r="CC348">
        <f ca="1"/>
      </c>
      <c r="CD348">
        <f ca="1"/>
      </c>
      <c r="CE348">
        <f ca="1"/>
      </c>
      <c r="CF348">
        <f ca="1"/>
      </c>
      <c r="CG348">
        <f ca="1"/>
      </c>
      <c r="CH348">
        <f ca="1"/>
      </c>
      <c r="CI348">
        <f ca="1"/>
      </c>
      <c r="CK348">
        <f ca="1"/>
      </c>
      <c r="CL348">
        <f ca="1"/>
      </c>
      <c r="CM348">
        <f ca="1"/>
      </c>
      <c r="CN348">
        <f ca="1"/>
      </c>
      <c r="CO348">
        <f ca="1"/>
      </c>
      <c r="CP348">
        <f ca="1"/>
      </c>
      <c r="CQ348">
        <f ca="1"/>
      </c>
      <c r="CR348">
        <f ca="1"/>
      </c>
      <c r="CS348">
        <f ca="1"/>
      </c>
      <c r="CT348">
        <f ca="1"/>
      </c>
      <c r="CU348">
        <f ca="1"/>
      </c>
      <c r="CV348">
        <f ca="1"/>
      </c>
      <c r="CW348">
        <f ca="1"/>
      </c>
      <c r="CX348">
        <f ca="1"/>
      </c>
      <c r="CY348">
        <f ca="1"/>
      </c>
      <c r="CZ348">
        <f ca="1"/>
      </c>
      <c r="DA348">
        <f ca="1"/>
      </c>
      <c r="DB348">
        <f ca="1"/>
      </c>
      <c r="DC348">
        <f ca="1"/>
      </c>
      <c r="DD348">
        <f ca="1"/>
      </c>
      <c r="DE348">
        <f ca="1"/>
      </c>
      <c r="DF348">
        <f ca="1"/>
      </c>
      <c r="DG348">
        <f ca="1"/>
      </c>
      <c r="DH348">
        <f ca="1"/>
      </c>
      <c r="DI348">
        <f ca="1"/>
      </c>
      <c r="DJ348">
        <f ca="1"/>
      </c>
      <c r="DK348">
        <f ca="1"/>
      </c>
      <c r="DL348">
        <f ca="1"/>
      </c>
      <c r="DM348">
        <f ca="1"/>
      </c>
      <c r="DN348">
        <f ca="1"/>
      </c>
      <c r="DO348">
        <f ca="1"/>
      </c>
      <c r="DP348">
        <f ca="1"/>
      </c>
      <c r="DQ348">
        <f ca="1"/>
      </c>
      <c r="DR348">
        <f ca="1"/>
      </c>
      <c r="DS348">
        <f ca="1"/>
      </c>
      <c r="DT348">
        <f ca="1"/>
      </c>
      <c r="DU348">
        <f ca="1"/>
      </c>
      <c r="DV348">
        <f ca="1"/>
      </c>
      <c r="DW348">
        <f ca="1"/>
      </c>
      <c r="DX348">
        <f ca="1"/>
      </c>
      <c r="DY348">
        <f ca="1"/>
      </c>
      <c r="DZ348">
        <f ca="1"/>
      </c>
      <c r="EA348">
        <f ca="1"/>
      </c>
      <c r="EB348">
        <f ca="1"/>
      </c>
      <c r="EC348">
        <f ca="1"/>
      </c>
      <c r="ED348">
        <f ca="1"/>
      </c>
      <c r="EE348">
        <f ca="1"/>
      </c>
      <c r="EG348">
        <f ca="1"/>
      </c>
      <c r="EH348">
        <f ca="1"/>
      </c>
      <c r="EI348">
        <f ca="1"/>
      </c>
      <c r="EJ348">
        <f ca="1"/>
      </c>
      <c r="EK348">
        <f ca="1"/>
      </c>
      <c r="EL348">
        <f ca="1"/>
      </c>
      <c r="EM348">
        <f ca="1"/>
      </c>
      <c r="EN348">
        <f ca="1"/>
      </c>
      <c r="EO348">
        <f ca="1"/>
      </c>
      <c r="EP348">
        <f ca="1"/>
      </c>
      <c r="EQ348">
        <f ca="1"/>
      </c>
      <c r="ER348">
        <f ca="1"/>
      </c>
      <c r="ES348">
        <f ca="1"/>
      </c>
      <c r="ET348">
        <f ca="1"/>
      </c>
      <c r="EU348">
        <f ca="1"/>
      </c>
      <c r="EV348">
        <f ca="1"/>
      </c>
      <c r="EW348">
        <f ca="1"/>
      </c>
      <c r="EX348">
        <f ca="1"/>
      </c>
      <c r="EY348">
        <f ca="1"/>
      </c>
      <c r="EZ348">
        <f ca="1"/>
      </c>
      <c r="FA348">
        <f ca="1"/>
      </c>
      <c r="FB348">
        <f ca="1"/>
      </c>
      <c r="FC348">
        <f ca="1"/>
      </c>
      <c r="FD348">
        <f ca="1"/>
      </c>
      <c r="FE348">
        <f ca="1"/>
      </c>
      <c r="FF348">
        <f ca="1"/>
      </c>
      <c r="FG348">
        <f ca="1"/>
      </c>
      <c r="FH348">
        <f ca="1"/>
      </c>
      <c r="FI348">
        <f ca="1"/>
      </c>
      <c r="FJ348">
        <f ca="1"/>
      </c>
      <c r="FK348">
        <f ca="1"/>
      </c>
      <c r="FL348">
        <f ca="1"/>
      </c>
      <c r="FM348">
        <f ca="1"/>
      </c>
      <c r="FN348">
        <f ca="1"/>
      </c>
      <c r="FO348">
        <f ca="1"/>
      </c>
      <c r="FP348">
        <f ca="1"/>
      </c>
      <c r="FQ348">
        <f ca="1"/>
      </c>
      <c r="FR348">
        <f ca="1"/>
      </c>
      <c r="FS348">
        <f ca="1"/>
      </c>
      <c r="FT348">
        <f ca="1"/>
      </c>
      <c r="FU348">
        <f ca="1"/>
      </c>
      <c r="FV348">
        <f ca="1"/>
      </c>
      <c r="FW348">
        <f ca="1"/>
      </c>
      <c r="FX348">
        <f ca="1"/>
      </c>
      <c r="FY348">
        <f ca="1"/>
      </c>
      <c r="FZ348">
        <f ca="1"/>
      </c>
      <c r="GA348">
        <f ca="1"/>
      </c>
      <c r="GM348" s="7"/>
    </row>
    <row r="349" spans="41:195" x14ac:dyDescent="0.55000000000000004">
      <c r="AO349">
        <f ca="1"/>
      </c>
      <c r="AP349">
        <f ca="1"/>
      </c>
      <c r="AQ349">
        <f ca="1"/>
      </c>
      <c r="AR349">
        <f ca="1"/>
      </c>
      <c r="AS349">
        <f ca="1"/>
      </c>
      <c r="AT349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AZ349">
        <f ca="1"/>
      </c>
      <c r="BA349">
        <f ca="1"/>
      </c>
      <c r="BB349">
        <f ca="1"/>
      </c>
      <c r="BC349">
        <f ca="1"/>
      </c>
      <c r="BD349">
        <f ca="1"/>
      </c>
      <c r="BE349">
        <f ca="1"/>
      </c>
      <c r="BF349">
        <f ca="1"/>
      </c>
      <c r="BG349">
        <f ca="1"/>
      </c>
      <c r="BH349">
        <f ca="1"/>
      </c>
      <c r="BI349">
        <f ca="1"/>
      </c>
      <c r="BJ349">
        <f ca="1"/>
      </c>
      <c r="BK349">
        <f ca="1"/>
      </c>
      <c r="BL349">
        <f ca="1"/>
      </c>
      <c r="BM349">
        <f ca="1"/>
      </c>
      <c r="BN349">
        <f ca="1"/>
      </c>
      <c r="BO349">
        <f ca="1"/>
      </c>
      <c r="BP349">
        <f ca="1"/>
      </c>
      <c r="BQ349">
        <f ca="1"/>
      </c>
      <c r="BR349">
        <f ca="1"/>
      </c>
      <c r="BS349">
        <f ca="1"/>
      </c>
      <c r="BT349">
        <f ca="1"/>
      </c>
      <c r="BU349">
        <f ca="1"/>
      </c>
      <c r="BV349">
        <f ca="1"/>
      </c>
      <c r="BW349">
        <f ca="1"/>
      </c>
      <c r="BX349">
        <f ca="1"/>
      </c>
      <c r="BY349">
        <f ca="1"/>
      </c>
      <c r="BZ349">
        <f ca="1"/>
      </c>
      <c r="CA349">
        <f ca="1"/>
      </c>
      <c r="CB349">
        <f ca="1"/>
      </c>
      <c r="CC349">
        <f ca="1"/>
      </c>
      <c r="CD349">
        <f ca="1"/>
      </c>
      <c r="CE349">
        <f ca="1"/>
      </c>
      <c r="CF349">
        <f ca="1"/>
      </c>
      <c r="CG349">
        <f ca="1"/>
      </c>
      <c r="CH349">
        <f ca="1"/>
      </c>
      <c r="CI349">
        <f ca="1"/>
      </c>
      <c r="CK349">
        <f ca="1"/>
      </c>
      <c r="CL349">
        <f ca="1"/>
      </c>
      <c r="CM349">
        <f ca="1"/>
      </c>
      <c r="CN349">
        <f ca="1"/>
      </c>
      <c r="CO349">
        <f ca="1"/>
      </c>
      <c r="CP349">
        <f ca="1"/>
      </c>
      <c r="CQ349">
        <f ca="1"/>
      </c>
      <c r="CR349">
        <f ca="1"/>
      </c>
      <c r="CS349">
        <f ca="1"/>
      </c>
      <c r="CT349">
        <f ca="1"/>
      </c>
      <c r="CU349">
        <f ca="1"/>
      </c>
      <c r="CV349">
        <f ca="1"/>
      </c>
      <c r="CW349">
        <f ca="1"/>
      </c>
      <c r="CX349">
        <f ca="1"/>
      </c>
      <c r="CY349">
        <f ca="1"/>
      </c>
      <c r="CZ349">
        <f ca="1"/>
      </c>
      <c r="DA349">
        <f ca="1"/>
      </c>
      <c r="DB349">
        <f ca="1"/>
      </c>
      <c r="DC349">
        <f ca="1"/>
      </c>
      <c r="DD349">
        <f ca="1"/>
      </c>
      <c r="DE349">
        <f ca="1"/>
      </c>
      <c r="DF349">
        <f ca="1"/>
      </c>
      <c r="DG349">
        <f ca="1"/>
      </c>
      <c r="DH349">
        <f ca="1"/>
      </c>
      <c r="DI349">
        <f ca="1"/>
      </c>
      <c r="DJ349">
        <f ca="1"/>
      </c>
      <c r="DK349">
        <f ca="1"/>
      </c>
      <c r="DL349">
        <f ca="1"/>
      </c>
      <c r="DM349">
        <f ca="1"/>
      </c>
      <c r="DN349">
        <f ca="1"/>
      </c>
      <c r="DO349">
        <f ca="1"/>
      </c>
      <c r="DP349">
        <f ca="1"/>
      </c>
      <c r="DQ349">
        <f ca="1"/>
      </c>
      <c r="DR349">
        <f ca="1"/>
      </c>
      <c r="DS349">
        <f ca="1"/>
      </c>
      <c r="DT349">
        <f ca="1"/>
      </c>
      <c r="DU349">
        <f ca="1"/>
      </c>
      <c r="DV349">
        <f ca="1"/>
      </c>
      <c r="DW349">
        <f ca="1"/>
      </c>
      <c r="DX349">
        <f ca="1"/>
      </c>
      <c r="DY349">
        <f ca="1"/>
      </c>
      <c r="DZ349">
        <f ca="1"/>
      </c>
      <c r="EA349">
        <f ca="1"/>
      </c>
      <c r="EB349">
        <f ca="1"/>
      </c>
      <c r="EC349">
        <f ca="1"/>
      </c>
      <c r="ED349">
        <f ca="1"/>
      </c>
      <c r="EE349">
        <f ca="1"/>
      </c>
      <c r="EG349">
        <f ca="1"/>
      </c>
      <c r="EH349">
        <f ca="1"/>
      </c>
      <c r="EI349">
        <f ca="1"/>
      </c>
      <c r="EJ349">
        <f ca="1"/>
      </c>
      <c r="EK349">
        <f ca="1"/>
      </c>
      <c r="EL349">
        <f ca="1"/>
      </c>
      <c r="EM349">
        <f ca="1"/>
      </c>
      <c r="EN349">
        <f ca="1"/>
      </c>
      <c r="EO349">
        <f ca="1"/>
      </c>
      <c r="EP349">
        <f ca="1"/>
      </c>
      <c r="EQ349">
        <f ca="1"/>
      </c>
      <c r="ER349">
        <f ca="1"/>
      </c>
      <c r="ES349">
        <f ca="1"/>
      </c>
      <c r="ET349">
        <f ca="1"/>
      </c>
      <c r="EU349">
        <f ca="1"/>
      </c>
      <c r="EV349">
        <f ca="1"/>
      </c>
      <c r="EW349">
        <f ca="1"/>
      </c>
      <c r="EX349">
        <f ca="1"/>
      </c>
      <c r="EY349">
        <f ca="1"/>
      </c>
      <c r="EZ349">
        <f ca="1"/>
      </c>
      <c r="FA349">
        <f ca="1"/>
      </c>
      <c r="FB349">
        <f ca="1"/>
      </c>
      <c r="FC349">
        <f ca="1"/>
      </c>
      <c r="FD349">
        <f ca="1"/>
      </c>
      <c r="FE349">
        <f ca="1"/>
      </c>
      <c r="FF349">
        <f ca="1"/>
      </c>
      <c r="FG349">
        <f ca="1"/>
      </c>
      <c r="FH349">
        <f ca="1"/>
      </c>
      <c r="FI349">
        <f ca="1"/>
      </c>
      <c r="FJ349">
        <f ca="1"/>
      </c>
      <c r="FK349">
        <f ca="1"/>
      </c>
      <c r="FL349">
        <f ca="1"/>
      </c>
      <c r="FM349">
        <f ca="1"/>
      </c>
      <c r="FN349">
        <f ca="1"/>
      </c>
      <c r="FO349">
        <f ca="1"/>
      </c>
      <c r="FP349">
        <f ca="1"/>
      </c>
      <c r="FQ349">
        <f ca="1"/>
      </c>
      <c r="FR349">
        <f ca="1"/>
      </c>
      <c r="FS349">
        <f ca="1"/>
      </c>
      <c r="FT349">
        <f ca="1"/>
      </c>
      <c r="FU349">
        <f ca="1"/>
      </c>
      <c r="FV349">
        <f ca="1"/>
      </c>
      <c r="FW349">
        <f ca="1"/>
      </c>
      <c r="FX349">
        <f ca="1"/>
      </c>
      <c r="FY349">
        <f ca="1"/>
      </c>
      <c r="FZ349">
        <f ca="1"/>
      </c>
      <c r="GA349">
        <f ca="1"/>
      </c>
      <c r="GM349" s="7"/>
    </row>
    <row r="350" spans="41:195" x14ac:dyDescent="0.55000000000000004">
      <c r="AO350">
        <f ca="1"/>
      </c>
      <c r="AP350">
        <f ca="1"/>
      </c>
      <c r="AQ350">
        <f ca="1"/>
      </c>
      <c r="AR350">
        <f ca="1"/>
      </c>
      <c r="AS350">
        <f ca="1"/>
      </c>
      <c r="AT350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AZ350">
        <f ca="1"/>
      </c>
      <c r="BA350">
        <f ca="1"/>
      </c>
      <c r="BB350">
        <f ca="1"/>
      </c>
      <c r="BC350">
        <f ca="1"/>
      </c>
      <c r="BD350">
        <f ca="1"/>
      </c>
      <c r="BE350">
        <f ca="1"/>
      </c>
      <c r="BF350">
        <f ca="1"/>
      </c>
      <c r="BG350">
        <f ca="1"/>
      </c>
      <c r="BH350">
        <f ca="1"/>
      </c>
      <c r="BI350">
        <f ca="1"/>
      </c>
      <c r="BJ350">
        <f ca="1"/>
      </c>
      <c r="BK350">
        <f ca="1"/>
      </c>
      <c r="BL350">
        <f ca="1"/>
      </c>
      <c r="BM350">
        <f ca="1"/>
      </c>
      <c r="BN350">
        <f ca="1"/>
      </c>
      <c r="BO350">
        <f ca="1"/>
      </c>
      <c r="BP350">
        <f ca="1"/>
      </c>
      <c r="BQ350">
        <f ca="1"/>
      </c>
      <c r="BR350">
        <f ca="1"/>
      </c>
      <c r="BS350">
        <f ca="1"/>
      </c>
      <c r="BT350">
        <f ca="1"/>
      </c>
      <c r="BU350">
        <f ca="1"/>
      </c>
      <c r="BV350">
        <f ca="1"/>
      </c>
      <c r="BW350">
        <f ca="1"/>
      </c>
      <c r="BX350">
        <f ca="1"/>
      </c>
      <c r="BY350">
        <f ca="1"/>
      </c>
      <c r="BZ350">
        <f ca="1"/>
      </c>
      <c r="CA350">
        <f ca="1"/>
      </c>
      <c r="CB350">
        <f ca="1"/>
      </c>
      <c r="CC350">
        <f ca="1"/>
      </c>
      <c r="CD350">
        <f ca="1"/>
      </c>
      <c r="CE350">
        <f ca="1"/>
      </c>
      <c r="CF350">
        <f ca="1"/>
      </c>
      <c r="CG350">
        <f ca="1"/>
      </c>
      <c r="CH350">
        <f ca="1"/>
      </c>
      <c r="CI350">
        <f ca="1"/>
      </c>
      <c r="CK350">
        <f ca="1"/>
      </c>
      <c r="CL350">
        <f ca="1"/>
      </c>
      <c r="CM350">
        <f ca="1"/>
      </c>
      <c r="CN350">
        <f ca="1"/>
      </c>
      <c r="CO350">
        <f ca="1"/>
      </c>
      <c r="CP350">
        <f ca="1"/>
      </c>
      <c r="CQ350">
        <f ca="1"/>
      </c>
      <c r="CR350">
        <f ca="1"/>
      </c>
      <c r="CS350">
        <f ca="1"/>
      </c>
      <c r="CT350">
        <f ca="1"/>
      </c>
      <c r="CU350">
        <f ca="1"/>
      </c>
      <c r="CV350">
        <f ca="1"/>
      </c>
      <c r="CW350">
        <f ca="1"/>
      </c>
      <c r="CX350">
        <f ca="1"/>
      </c>
      <c r="CY350">
        <f ca="1"/>
      </c>
      <c r="CZ350">
        <f ca="1"/>
      </c>
      <c r="DA350">
        <f ca="1"/>
      </c>
      <c r="DB350">
        <f ca="1"/>
      </c>
      <c r="DC350">
        <f ca="1"/>
      </c>
      <c r="DD350">
        <f ca="1"/>
      </c>
      <c r="DE350">
        <f ca="1"/>
      </c>
      <c r="DF350">
        <f ca="1"/>
      </c>
      <c r="DG350">
        <f ca="1"/>
      </c>
      <c r="DH350">
        <f ca="1"/>
      </c>
      <c r="DI350">
        <f ca="1"/>
      </c>
      <c r="DJ350">
        <f ca="1"/>
      </c>
      <c r="DK350">
        <f ca="1"/>
      </c>
      <c r="DL350">
        <f ca="1"/>
      </c>
      <c r="DM350">
        <f ca="1"/>
      </c>
      <c r="DN350">
        <f ca="1"/>
      </c>
      <c r="DO350">
        <f ca="1"/>
      </c>
      <c r="DP350">
        <f ca="1"/>
      </c>
      <c r="DQ350">
        <f ca="1"/>
      </c>
      <c r="DR350">
        <f ca="1"/>
      </c>
      <c r="DS350">
        <f ca="1"/>
      </c>
      <c r="DT350">
        <f ca="1"/>
      </c>
      <c r="DU350">
        <f ca="1"/>
      </c>
      <c r="DV350">
        <f ca="1"/>
      </c>
      <c r="DW350">
        <f ca="1"/>
      </c>
      <c r="DX350">
        <f ca="1"/>
      </c>
      <c r="DY350">
        <f ca="1"/>
      </c>
      <c r="DZ350">
        <f ca="1"/>
      </c>
      <c r="EA350">
        <f ca="1"/>
      </c>
      <c r="EB350">
        <f ca="1"/>
      </c>
      <c r="EC350">
        <f ca="1"/>
      </c>
      <c r="ED350">
        <f ca="1"/>
      </c>
      <c r="EE350">
        <f ca="1"/>
      </c>
      <c r="EG350">
        <f ca="1"/>
      </c>
      <c r="EH350">
        <f ca="1"/>
      </c>
      <c r="EI350">
        <f ca="1"/>
      </c>
      <c r="EJ350">
        <f ca="1"/>
      </c>
      <c r="EK350">
        <f ca="1"/>
      </c>
      <c r="EL350">
        <f ca="1"/>
      </c>
      <c r="EM350">
        <f ca="1"/>
      </c>
      <c r="EN350">
        <f ca="1"/>
      </c>
      <c r="EO350">
        <f ca="1"/>
      </c>
      <c r="EP350">
        <f ca="1"/>
      </c>
      <c r="EQ350">
        <f ca="1"/>
      </c>
      <c r="ER350">
        <f ca="1"/>
      </c>
      <c r="ES350">
        <f ca="1"/>
      </c>
      <c r="ET350">
        <f ca="1"/>
      </c>
      <c r="EU350">
        <f ca="1"/>
      </c>
      <c r="EV350">
        <f ca="1"/>
      </c>
      <c r="EW350">
        <f ca="1"/>
      </c>
      <c r="EX350">
        <f ca="1"/>
      </c>
      <c r="EY350">
        <f ca="1"/>
      </c>
      <c r="EZ350">
        <f ca="1"/>
      </c>
      <c r="FA350">
        <f ca="1"/>
      </c>
      <c r="FB350">
        <f ca="1"/>
      </c>
      <c r="FC350">
        <f ca="1"/>
      </c>
      <c r="FD350">
        <f ca="1"/>
      </c>
      <c r="FE350">
        <f ca="1"/>
      </c>
      <c r="FF350">
        <f ca="1"/>
      </c>
      <c r="FG350">
        <f ca="1"/>
      </c>
      <c r="FH350">
        <f ca="1"/>
      </c>
      <c r="FI350">
        <f ca="1"/>
      </c>
      <c r="FJ350">
        <f ca="1"/>
      </c>
      <c r="FK350">
        <f ca="1"/>
      </c>
      <c r="FL350">
        <f ca="1"/>
      </c>
      <c r="FM350">
        <f ca="1"/>
      </c>
      <c r="FN350">
        <f ca="1"/>
      </c>
      <c r="FO350">
        <f ca="1"/>
      </c>
      <c r="FP350">
        <f ca="1"/>
      </c>
      <c r="FQ350">
        <f ca="1"/>
      </c>
      <c r="FR350">
        <f ca="1"/>
      </c>
      <c r="FS350">
        <f ca="1"/>
      </c>
      <c r="FT350">
        <f ca="1"/>
      </c>
      <c r="FU350">
        <f ca="1"/>
      </c>
      <c r="FV350">
        <f ca="1"/>
      </c>
      <c r="FW350">
        <f ca="1"/>
      </c>
      <c r="FX350">
        <f ca="1"/>
      </c>
      <c r="FY350">
        <f ca="1"/>
      </c>
      <c r="FZ350">
        <f ca="1"/>
      </c>
      <c r="GA350">
        <f ca="1"/>
      </c>
      <c r="GM350" s="7"/>
    </row>
    <row r="351" spans="41:195" x14ac:dyDescent="0.55000000000000004">
      <c r="AO351">
        <f ca="1"/>
      </c>
      <c r="AP351">
        <f ca="1"/>
      </c>
      <c r="AQ351">
        <f ca="1"/>
      </c>
      <c r="AR351">
        <f ca="1"/>
      </c>
      <c r="AS351">
        <f ca="1"/>
      </c>
      <c r="AT351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AZ351">
        <f ca="1"/>
      </c>
      <c r="BA351">
        <f ca="1"/>
      </c>
      <c r="BB351">
        <f ca="1"/>
      </c>
      <c r="BC351">
        <f ca="1"/>
      </c>
      <c r="BD351">
        <f ca="1"/>
      </c>
      <c r="BE351">
        <f ca="1"/>
      </c>
      <c r="BF351">
        <f ca="1"/>
      </c>
      <c r="BG351">
        <f ca="1"/>
      </c>
      <c r="BH351">
        <f ca="1"/>
      </c>
      <c r="BI351">
        <f ca="1"/>
      </c>
      <c r="BJ351">
        <f ca="1"/>
      </c>
      <c r="BK351">
        <f ca="1"/>
      </c>
      <c r="BL351">
        <f ca="1"/>
      </c>
      <c r="BM351">
        <f ca="1"/>
      </c>
      <c r="BN351">
        <f ca="1"/>
      </c>
      <c r="BO351">
        <f ca="1"/>
      </c>
      <c r="BP351">
        <f ca="1"/>
      </c>
      <c r="BQ351">
        <f ca="1"/>
      </c>
      <c r="BR351">
        <f ca="1"/>
      </c>
      <c r="BS351">
        <f ca="1"/>
      </c>
      <c r="BT351">
        <f ca="1"/>
      </c>
      <c r="BU351">
        <f ca="1"/>
      </c>
      <c r="BV351">
        <f ca="1"/>
      </c>
      <c r="BW351">
        <f ca="1"/>
      </c>
      <c r="BX351">
        <f ca="1"/>
      </c>
      <c r="BY351">
        <f ca="1"/>
      </c>
      <c r="BZ351">
        <f ca="1"/>
      </c>
      <c r="CA351">
        <f ca="1"/>
      </c>
      <c r="CB351">
        <f ca="1"/>
      </c>
      <c r="CC351">
        <f ca="1"/>
      </c>
      <c r="CD351">
        <f ca="1"/>
      </c>
      <c r="CE351">
        <f ca="1"/>
      </c>
      <c r="CF351">
        <f ca="1"/>
      </c>
      <c r="CG351">
        <f ca="1"/>
      </c>
      <c r="CH351">
        <f ca="1"/>
      </c>
      <c r="CI351">
        <f ca="1"/>
      </c>
      <c r="CK351">
        <f ca="1"/>
      </c>
      <c r="CL351">
        <f ca="1"/>
      </c>
      <c r="CM351">
        <f ca="1"/>
      </c>
      <c r="CN351">
        <f ca="1"/>
      </c>
      <c r="CO351">
        <f ca="1"/>
      </c>
      <c r="CP351">
        <f ca="1"/>
      </c>
      <c r="CQ351">
        <f ca="1"/>
      </c>
      <c r="CR351">
        <f ca="1"/>
      </c>
      <c r="CS351">
        <f ca="1"/>
      </c>
      <c r="CT351">
        <f ca="1"/>
      </c>
      <c r="CU351">
        <f ca="1"/>
      </c>
      <c r="CV351">
        <f ca="1"/>
      </c>
      <c r="CW351">
        <f ca="1"/>
      </c>
      <c r="CX351">
        <f ca="1"/>
      </c>
      <c r="CY351">
        <f ca="1"/>
      </c>
      <c r="CZ351">
        <f ca="1"/>
      </c>
      <c r="DA351">
        <f ca="1"/>
      </c>
      <c r="DB351">
        <f ca="1"/>
      </c>
      <c r="DC351">
        <f ca="1"/>
      </c>
      <c r="DD351">
        <f ca="1"/>
      </c>
      <c r="DE351">
        <f ca="1"/>
      </c>
      <c r="DF351">
        <f ca="1"/>
      </c>
      <c r="DG351">
        <f ca="1"/>
      </c>
      <c r="DH351">
        <f ca="1"/>
      </c>
      <c r="DI351">
        <f ca="1"/>
      </c>
      <c r="DJ351">
        <f ca="1"/>
      </c>
      <c r="DK351">
        <f ca="1"/>
      </c>
      <c r="DL351">
        <f ca="1"/>
      </c>
      <c r="DM351">
        <f ca="1"/>
      </c>
      <c r="DN351">
        <f ca="1"/>
      </c>
      <c r="DO351">
        <f ca="1"/>
      </c>
      <c r="DP351">
        <f ca="1"/>
      </c>
      <c r="DQ351">
        <f ca="1"/>
      </c>
      <c r="DR351">
        <f ca="1"/>
      </c>
      <c r="DS351">
        <f ca="1"/>
      </c>
      <c r="DT351">
        <f ca="1"/>
      </c>
      <c r="DU351">
        <f ca="1"/>
      </c>
      <c r="DV351">
        <f ca="1"/>
      </c>
      <c r="DW351">
        <f ca="1"/>
      </c>
      <c r="DX351">
        <f ca="1"/>
      </c>
      <c r="DY351">
        <f ca="1"/>
      </c>
      <c r="DZ351">
        <f ca="1"/>
      </c>
      <c r="EA351">
        <f ca="1"/>
      </c>
      <c r="EB351">
        <f ca="1"/>
      </c>
      <c r="EC351">
        <f ca="1"/>
      </c>
      <c r="ED351">
        <f ca="1"/>
      </c>
      <c r="EE351">
        <f ca="1"/>
      </c>
      <c r="EG351">
        <f ca="1"/>
      </c>
      <c r="EH351">
        <f ca="1"/>
      </c>
      <c r="EI351">
        <f ca="1"/>
      </c>
      <c r="EJ351">
        <f ca="1"/>
      </c>
      <c r="EK351">
        <f ca="1"/>
      </c>
      <c r="EL351">
        <f ca="1"/>
      </c>
      <c r="EM351">
        <f ca="1"/>
      </c>
      <c r="EN351">
        <f ca="1"/>
      </c>
      <c r="EO351">
        <f ca="1"/>
      </c>
      <c r="EP351">
        <f ca="1"/>
      </c>
      <c r="EQ351">
        <f ca="1"/>
      </c>
      <c r="ER351">
        <f ca="1"/>
      </c>
      <c r="ES351">
        <f ca="1"/>
      </c>
      <c r="ET351">
        <f ca="1"/>
      </c>
      <c r="EU351">
        <f ca="1"/>
      </c>
      <c r="EV351">
        <f ca="1"/>
      </c>
      <c r="EW351">
        <f ca="1"/>
      </c>
      <c r="EX351">
        <f ca="1"/>
      </c>
      <c r="EY351">
        <f ca="1"/>
      </c>
      <c r="EZ351">
        <f ca="1"/>
      </c>
      <c r="FA351">
        <f ca="1"/>
      </c>
      <c r="FB351">
        <f ca="1"/>
      </c>
      <c r="FC351">
        <f ca="1"/>
      </c>
      <c r="FD351">
        <f ca="1"/>
      </c>
      <c r="FE351">
        <f ca="1"/>
      </c>
      <c r="FF351">
        <f ca="1"/>
      </c>
      <c r="FG351">
        <f ca="1"/>
      </c>
      <c r="FH351">
        <f ca="1"/>
      </c>
      <c r="FI351">
        <f ca="1"/>
      </c>
      <c r="FJ351">
        <f ca="1"/>
      </c>
      <c r="FK351">
        <f ca="1"/>
      </c>
      <c r="FL351">
        <f ca="1"/>
      </c>
      <c r="FM351">
        <f ca="1"/>
      </c>
      <c r="FN351">
        <f ca="1"/>
      </c>
      <c r="FO351">
        <f ca="1"/>
      </c>
      <c r="FP351">
        <f ca="1"/>
      </c>
      <c r="FQ351">
        <f ca="1"/>
      </c>
      <c r="FR351">
        <f ca="1"/>
      </c>
      <c r="FS351">
        <f ca="1"/>
      </c>
      <c r="FT351">
        <f ca="1"/>
      </c>
      <c r="FU351">
        <f ca="1"/>
      </c>
      <c r="FV351">
        <f ca="1"/>
      </c>
      <c r="FW351">
        <f ca="1"/>
      </c>
      <c r="FX351">
        <f ca="1"/>
      </c>
      <c r="FY351">
        <f ca="1"/>
      </c>
      <c r="FZ351">
        <f ca="1"/>
      </c>
      <c r="GA351">
        <f ca="1"/>
      </c>
      <c r="GM351" s="7"/>
    </row>
    <row r="352" spans="41:195" x14ac:dyDescent="0.55000000000000004">
      <c r="AO352">
        <f ca="1"/>
      </c>
      <c r="AP352">
        <f ca="1"/>
      </c>
      <c r="AQ352">
        <f ca="1"/>
      </c>
      <c r="AR352">
        <f ca="1"/>
      </c>
      <c r="AS352">
        <f ca="1"/>
      </c>
      <c r="AT352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AZ352">
        <f ca="1"/>
      </c>
      <c r="BA352">
        <f ca="1"/>
      </c>
      <c r="BB352">
        <f ca="1"/>
      </c>
      <c r="BC352">
        <f ca="1"/>
      </c>
      <c r="BD352">
        <f ca="1"/>
      </c>
      <c r="BE352">
        <f ca="1"/>
      </c>
      <c r="BF352">
        <f ca="1"/>
      </c>
      <c r="BG352">
        <f ca="1"/>
      </c>
      <c r="BH352">
        <f ca="1"/>
      </c>
      <c r="BI352">
        <f ca="1"/>
      </c>
      <c r="BJ352">
        <f ca="1"/>
      </c>
      <c r="BK352">
        <f ca="1"/>
      </c>
      <c r="BL352">
        <f ca="1"/>
      </c>
      <c r="BM352">
        <f ca="1"/>
      </c>
      <c r="BN352">
        <f ca="1"/>
      </c>
      <c r="BO352">
        <f ca="1"/>
      </c>
      <c r="BP352">
        <f ca="1"/>
      </c>
      <c r="BQ352">
        <f ca="1"/>
      </c>
      <c r="BR352">
        <f ca="1"/>
      </c>
      <c r="BS352">
        <f ca="1"/>
      </c>
      <c r="BT352">
        <f ca="1"/>
      </c>
      <c r="BU352">
        <f ca="1"/>
      </c>
      <c r="BV352">
        <f ca="1"/>
      </c>
      <c r="BW352">
        <f ca="1"/>
      </c>
      <c r="BX352">
        <f ca="1"/>
      </c>
      <c r="BY352">
        <f ca="1"/>
      </c>
      <c r="BZ352">
        <f ca="1"/>
      </c>
      <c r="CA352">
        <f ca="1"/>
      </c>
      <c r="CB352">
        <f ca="1"/>
      </c>
      <c r="CC352">
        <f ca="1"/>
      </c>
      <c r="CD352">
        <f ca="1"/>
      </c>
      <c r="CE352">
        <f ca="1"/>
      </c>
      <c r="CF352">
        <f ca="1"/>
      </c>
      <c r="CG352">
        <f ca="1"/>
      </c>
      <c r="CH352">
        <f ca="1"/>
      </c>
      <c r="CI352">
        <f ca="1"/>
      </c>
      <c r="CK352">
        <f ca="1"/>
      </c>
      <c r="CL352">
        <f ca="1"/>
      </c>
      <c r="CM352">
        <f ca="1"/>
      </c>
      <c r="CN352">
        <f ca="1"/>
      </c>
      <c r="CO352">
        <f ca="1"/>
      </c>
      <c r="CP352">
        <f ca="1"/>
      </c>
      <c r="CQ352">
        <f ca="1"/>
      </c>
      <c r="CR352">
        <f ca="1"/>
      </c>
      <c r="CS352">
        <f ca="1"/>
      </c>
      <c r="CT352">
        <f ca="1"/>
      </c>
      <c r="CU352">
        <f ca="1"/>
      </c>
      <c r="CV352">
        <f ca="1"/>
      </c>
      <c r="CW352">
        <f ca="1"/>
      </c>
      <c r="CX352">
        <f ca="1"/>
      </c>
      <c r="CY352">
        <f ca="1"/>
      </c>
      <c r="CZ352">
        <f ca="1"/>
      </c>
      <c r="DA352">
        <f ca="1"/>
      </c>
      <c r="DB352">
        <f ca="1"/>
      </c>
      <c r="DC352">
        <f ca="1"/>
      </c>
      <c r="DD352">
        <f ca="1"/>
      </c>
      <c r="DE352">
        <f ca="1"/>
      </c>
      <c r="DF352">
        <f ca="1"/>
      </c>
      <c r="DG352">
        <f ca="1"/>
      </c>
      <c r="DH352">
        <f ca="1"/>
      </c>
      <c r="DI352">
        <f ca="1"/>
      </c>
      <c r="DJ352">
        <f ca="1"/>
      </c>
      <c r="DK352">
        <f ca="1"/>
      </c>
      <c r="DL352">
        <f ca="1"/>
      </c>
      <c r="DM352">
        <f ca="1"/>
      </c>
      <c r="DN352">
        <f ca="1"/>
      </c>
      <c r="DO352">
        <f ca="1"/>
      </c>
      <c r="DP352">
        <f ca="1"/>
      </c>
      <c r="DQ352">
        <f ca="1"/>
      </c>
      <c r="DR352">
        <f ca="1"/>
      </c>
      <c r="DS352">
        <f ca="1"/>
      </c>
      <c r="DT352">
        <f ca="1"/>
      </c>
      <c r="DU352">
        <f ca="1"/>
      </c>
      <c r="DV352">
        <f ca="1"/>
      </c>
      <c r="DW352">
        <f ca="1"/>
      </c>
      <c r="DX352">
        <f ca="1"/>
      </c>
      <c r="DY352">
        <f ca="1"/>
      </c>
      <c r="DZ352">
        <f ca="1"/>
      </c>
      <c r="EA352">
        <f ca="1"/>
      </c>
      <c r="EB352">
        <f ca="1"/>
      </c>
      <c r="EC352">
        <f ca="1"/>
      </c>
      <c r="ED352">
        <f ca="1"/>
      </c>
      <c r="EE352">
        <f ca="1"/>
      </c>
      <c r="EG352">
        <f ca="1"/>
      </c>
      <c r="EH352">
        <f ca="1"/>
      </c>
      <c r="EI352">
        <f ca="1"/>
      </c>
      <c r="EJ352">
        <f ca="1"/>
      </c>
      <c r="EK352">
        <f ca="1"/>
      </c>
      <c r="EL352">
        <f ca="1"/>
      </c>
      <c r="EM352">
        <f ca="1"/>
      </c>
      <c r="EN352">
        <f ca="1"/>
      </c>
      <c r="EO352">
        <f ca="1"/>
      </c>
      <c r="EP352">
        <f ca="1"/>
      </c>
      <c r="EQ352">
        <f ca="1"/>
      </c>
      <c r="ER352">
        <f ca="1"/>
      </c>
      <c r="ES352">
        <f ca="1"/>
      </c>
      <c r="ET352">
        <f ca="1"/>
      </c>
      <c r="EU352">
        <f ca="1"/>
      </c>
      <c r="EV352">
        <f ca="1"/>
      </c>
      <c r="EW352">
        <f ca="1"/>
      </c>
      <c r="EX352">
        <f ca="1"/>
      </c>
      <c r="EY352">
        <f ca="1"/>
      </c>
      <c r="EZ352">
        <f ca="1"/>
      </c>
      <c r="FA352">
        <f ca="1"/>
      </c>
      <c r="FB352">
        <f ca="1"/>
      </c>
      <c r="FC352">
        <f ca="1"/>
      </c>
      <c r="FD352">
        <f ca="1"/>
      </c>
      <c r="FE352">
        <f ca="1"/>
      </c>
      <c r="FF352">
        <f ca="1"/>
      </c>
      <c r="FG352">
        <f ca="1"/>
      </c>
      <c r="FH352">
        <f ca="1"/>
      </c>
      <c r="FI352">
        <f ca="1"/>
      </c>
      <c r="FJ352">
        <f ca="1"/>
      </c>
      <c r="FK352">
        <f ca="1"/>
      </c>
      <c r="FL352">
        <f ca="1"/>
      </c>
      <c r="FM352">
        <f ca="1"/>
      </c>
      <c r="FN352">
        <f ca="1"/>
      </c>
      <c r="FO352">
        <f ca="1"/>
      </c>
      <c r="FP352">
        <f ca="1"/>
      </c>
      <c r="FQ352">
        <f ca="1"/>
      </c>
      <c r="FR352">
        <f ca="1"/>
      </c>
      <c r="FS352">
        <f ca="1"/>
      </c>
      <c r="FT352">
        <f ca="1"/>
      </c>
      <c r="FU352">
        <f ca="1"/>
      </c>
      <c r="FV352">
        <f ca="1"/>
      </c>
      <c r="FW352">
        <f ca="1"/>
      </c>
      <c r="FX352">
        <f ca="1"/>
      </c>
      <c r="FY352">
        <f ca="1"/>
      </c>
      <c r="FZ352">
        <f ca="1"/>
      </c>
      <c r="GA352">
        <f ca="1"/>
      </c>
      <c r="GM352" s="7"/>
    </row>
    <row r="353" spans="41:195" x14ac:dyDescent="0.55000000000000004">
      <c r="AO353">
        <f ca="1"/>
      </c>
      <c r="AP353">
        <f ca="1"/>
      </c>
      <c r="AQ353">
        <f ca="1"/>
      </c>
      <c r="AR353">
        <f ca="1"/>
      </c>
      <c r="AS353">
        <f ca="1"/>
      </c>
      <c r="AT353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AZ353">
        <f ca="1"/>
      </c>
      <c r="BA353">
        <f ca="1"/>
      </c>
      <c r="BB353">
        <f ca="1"/>
      </c>
      <c r="BC353">
        <f ca="1"/>
      </c>
      <c r="BD353">
        <f ca="1"/>
      </c>
      <c r="BE353">
        <f ca="1"/>
      </c>
      <c r="BF353">
        <f ca="1"/>
      </c>
      <c r="BG353">
        <f ca="1"/>
      </c>
      <c r="BH353">
        <f ca="1"/>
      </c>
      <c r="BI353">
        <f ca="1"/>
      </c>
      <c r="BJ353">
        <f ca="1"/>
      </c>
      <c r="BK353">
        <f ca="1"/>
      </c>
      <c r="BL353">
        <f ca="1"/>
      </c>
      <c r="BM353">
        <f ca="1"/>
      </c>
      <c r="BN353">
        <f ca="1"/>
      </c>
      <c r="BO353">
        <f ca="1"/>
      </c>
      <c r="BP353">
        <f ca="1"/>
      </c>
      <c r="BQ353">
        <f ca="1"/>
      </c>
      <c r="BR353">
        <f ca="1"/>
      </c>
      <c r="BS353">
        <f ca="1"/>
      </c>
      <c r="BT353">
        <f ca="1"/>
      </c>
      <c r="BU353">
        <f ca="1"/>
      </c>
      <c r="BV353">
        <f ca="1"/>
      </c>
      <c r="BW353">
        <f ca="1"/>
      </c>
      <c r="BX353">
        <f ca="1"/>
      </c>
      <c r="BY353">
        <f ca="1"/>
      </c>
      <c r="BZ353">
        <f ca="1"/>
      </c>
      <c r="CA353">
        <f ca="1"/>
      </c>
      <c r="CB353">
        <f ca="1"/>
      </c>
      <c r="CC353">
        <f ca="1"/>
      </c>
      <c r="CD353">
        <f ca="1"/>
      </c>
      <c r="CE353">
        <f ca="1"/>
      </c>
      <c r="CF353">
        <f ca="1"/>
      </c>
      <c r="CG353">
        <f ca="1"/>
      </c>
      <c r="CH353">
        <f ca="1"/>
      </c>
      <c r="CI353">
        <f ca="1"/>
      </c>
      <c r="CK353">
        <f ca="1"/>
      </c>
      <c r="CL353">
        <f ca="1"/>
      </c>
      <c r="CM353">
        <f ca="1"/>
      </c>
      <c r="CN353">
        <f ca="1"/>
      </c>
      <c r="CO353">
        <f ca="1"/>
      </c>
      <c r="CP353">
        <f ca="1"/>
      </c>
      <c r="CQ353">
        <f ca="1"/>
      </c>
      <c r="CR353">
        <f ca="1"/>
      </c>
      <c r="CS353">
        <f ca="1"/>
      </c>
      <c r="CT353">
        <f ca="1"/>
      </c>
      <c r="CU353">
        <f ca="1"/>
      </c>
      <c r="CV353">
        <f ca="1"/>
      </c>
      <c r="CW353">
        <f ca="1"/>
      </c>
      <c r="CX353">
        <f ca="1"/>
      </c>
      <c r="CY353">
        <f ca="1"/>
      </c>
      <c r="CZ353">
        <f ca="1"/>
      </c>
      <c r="DA353">
        <f ca="1"/>
      </c>
      <c r="DB353">
        <f ca="1"/>
      </c>
      <c r="DC353">
        <f ca="1"/>
      </c>
      <c r="DD353">
        <f ca="1"/>
      </c>
      <c r="DE353">
        <f ca="1"/>
      </c>
      <c r="DF353">
        <f ca="1"/>
      </c>
      <c r="DG353">
        <f ca="1"/>
      </c>
      <c r="DH353">
        <f ca="1"/>
      </c>
      <c r="DI353">
        <f ca="1"/>
      </c>
      <c r="DJ353">
        <f ca="1"/>
      </c>
      <c r="DK353">
        <f ca="1"/>
      </c>
      <c r="DL353">
        <f ca="1"/>
      </c>
      <c r="DM353">
        <f ca="1"/>
      </c>
      <c r="DN353">
        <f ca="1"/>
      </c>
      <c r="DO353">
        <f ca="1"/>
      </c>
      <c r="DP353">
        <f ca="1"/>
      </c>
      <c r="DQ353">
        <f ca="1"/>
      </c>
      <c r="DR353">
        <f ca="1"/>
      </c>
      <c r="DS353">
        <f ca="1"/>
      </c>
      <c r="DT353">
        <f ca="1"/>
      </c>
      <c r="DU353">
        <f ca="1"/>
      </c>
      <c r="DV353">
        <f ca="1"/>
      </c>
      <c r="DW353">
        <f ca="1"/>
      </c>
      <c r="DX353">
        <f ca="1"/>
      </c>
      <c r="DY353">
        <f ca="1"/>
      </c>
      <c r="DZ353">
        <f ca="1"/>
      </c>
      <c r="EA353">
        <f ca="1"/>
      </c>
      <c r="EB353">
        <f ca="1"/>
      </c>
      <c r="EC353">
        <f ca="1"/>
      </c>
      <c r="ED353">
        <f ca="1"/>
      </c>
      <c r="EE353">
        <f ca="1"/>
      </c>
      <c r="EG353">
        <f ca="1"/>
      </c>
      <c r="EH353">
        <f ca="1"/>
      </c>
      <c r="EI353">
        <f ca="1"/>
      </c>
      <c r="EJ353">
        <f ca="1"/>
      </c>
      <c r="EK353">
        <f ca="1"/>
      </c>
      <c r="EL353">
        <f ca="1"/>
      </c>
      <c r="EM353">
        <f ca="1"/>
      </c>
      <c r="EN353">
        <f ca="1"/>
      </c>
      <c r="EO353">
        <f ca="1"/>
      </c>
      <c r="EP353">
        <f ca="1"/>
      </c>
      <c r="EQ353">
        <f ca="1"/>
      </c>
      <c r="ER353">
        <f ca="1"/>
      </c>
      <c r="ES353">
        <f ca="1"/>
      </c>
      <c r="ET353">
        <f ca="1"/>
      </c>
      <c r="EU353">
        <f ca="1"/>
      </c>
      <c r="EV353">
        <f ca="1"/>
      </c>
      <c r="EW353">
        <f ca="1"/>
      </c>
      <c r="EX353">
        <f ca="1"/>
      </c>
      <c r="EY353">
        <f ca="1"/>
      </c>
      <c r="EZ353">
        <f ca="1"/>
      </c>
      <c r="FA353">
        <f ca="1"/>
      </c>
      <c r="FB353">
        <f ca="1"/>
      </c>
      <c r="FC353">
        <f ca="1"/>
      </c>
      <c r="FD353">
        <f ca="1"/>
      </c>
      <c r="FE353">
        <f ca="1"/>
      </c>
      <c r="FF353">
        <f ca="1"/>
      </c>
      <c r="FG353">
        <f ca="1"/>
      </c>
      <c r="FH353">
        <f ca="1"/>
      </c>
      <c r="FI353">
        <f ca="1"/>
      </c>
      <c r="FJ353">
        <f ca="1"/>
      </c>
      <c r="FK353">
        <f ca="1"/>
      </c>
      <c r="FL353">
        <f ca="1"/>
      </c>
      <c r="FM353">
        <f ca="1"/>
      </c>
      <c r="FN353">
        <f ca="1"/>
      </c>
      <c r="FO353">
        <f ca="1"/>
      </c>
      <c r="FP353">
        <f ca="1"/>
      </c>
      <c r="FQ353">
        <f ca="1"/>
      </c>
      <c r="FR353">
        <f ca="1"/>
      </c>
      <c r="FS353">
        <f ca="1"/>
      </c>
      <c r="FT353">
        <f ca="1"/>
      </c>
      <c r="FU353">
        <f ca="1"/>
      </c>
      <c r="FV353">
        <f ca="1"/>
      </c>
      <c r="FW353">
        <f ca="1"/>
      </c>
      <c r="FX353">
        <f ca="1"/>
      </c>
      <c r="FY353">
        <f ca="1"/>
      </c>
      <c r="FZ353">
        <f ca="1"/>
      </c>
      <c r="GA353">
        <f ca="1"/>
      </c>
      <c r="GM353" s="7"/>
    </row>
    <row r="354" spans="41:195" x14ac:dyDescent="0.55000000000000004">
      <c r="AO354">
        <f ca="1"/>
      </c>
      <c r="AP354">
        <f ca="1"/>
      </c>
      <c r="AQ354">
        <f ca="1"/>
      </c>
      <c r="AR354">
        <f ca="1"/>
      </c>
      <c r="AS354">
        <f ca="1"/>
      </c>
      <c r="AT354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AZ354">
        <f ca="1"/>
      </c>
      <c r="BA354">
        <f ca="1"/>
      </c>
      <c r="BB354">
        <f ca="1"/>
      </c>
      <c r="BC354">
        <f ca="1"/>
      </c>
      <c r="BD354">
        <f ca="1"/>
      </c>
      <c r="BE354">
        <f ca="1"/>
      </c>
      <c r="BF354">
        <f ca="1"/>
      </c>
      <c r="BG354">
        <f ca="1"/>
      </c>
      <c r="BH354">
        <f ca="1"/>
      </c>
      <c r="BI354">
        <f ca="1"/>
      </c>
      <c r="BJ354">
        <f ca="1"/>
      </c>
      <c r="BK354">
        <f ca="1"/>
      </c>
      <c r="BL354">
        <f ca="1"/>
      </c>
      <c r="BM354">
        <f ca="1"/>
      </c>
      <c r="BN354">
        <f ca="1"/>
      </c>
      <c r="BO354">
        <f ca="1"/>
      </c>
      <c r="BP354">
        <f ca="1"/>
      </c>
      <c r="BQ354">
        <f ca="1"/>
      </c>
      <c r="BR354">
        <f ca="1"/>
      </c>
      <c r="BS354">
        <f ca="1"/>
      </c>
      <c r="BT354">
        <f ca="1"/>
      </c>
      <c r="BU354">
        <f ca="1"/>
      </c>
      <c r="BV354">
        <f ca="1"/>
      </c>
      <c r="BW354">
        <f ca="1"/>
      </c>
      <c r="BX354">
        <f ca="1"/>
      </c>
      <c r="BY354">
        <f ca="1"/>
      </c>
      <c r="BZ354">
        <f ca="1"/>
      </c>
      <c r="CA354">
        <f ca="1"/>
      </c>
      <c r="CB354">
        <f ca="1"/>
      </c>
      <c r="CC354">
        <f ca="1"/>
      </c>
      <c r="CD354">
        <f ca="1"/>
      </c>
      <c r="CE354">
        <f ca="1"/>
      </c>
      <c r="CF354">
        <f ca="1"/>
      </c>
      <c r="CG354">
        <f ca="1"/>
      </c>
      <c r="CH354">
        <f ca="1"/>
      </c>
      <c r="CI354">
        <f ca="1"/>
      </c>
      <c r="CK354">
        <f ca="1"/>
      </c>
      <c r="CL354">
        <f ca="1"/>
      </c>
      <c r="CM354">
        <f ca="1"/>
      </c>
      <c r="CN354">
        <f ca="1"/>
      </c>
      <c r="CO354">
        <f ca="1"/>
      </c>
      <c r="CP354">
        <f ca="1"/>
      </c>
      <c r="CQ354">
        <f ca="1"/>
      </c>
      <c r="CR354">
        <f ca="1"/>
      </c>
      <c r="CS354">
        <f ca="1"/>
      </c>
      <c r="CT354">
        <f ca="1"/>
      </c>
      <c r="CU354">
        <f ca="1"/>
      </c>
      <c r="CV354">
        <f ca="1"/>
      </c>
      <c r="CW354">
        <f ca="1"/>
      </c>
      <c r="CX354">
        <f ca="1"/>
      </c>
      <c r="CY354">
        <f ca="1"/>
      </c>
      <c r="CZ354">
        <f ca="1"/>
      </c>
      <c r="DA354">
        <f ca="1"/>
      </c>
      <c r="DB354">
        <f ca="1"/>
      </c>
      <c r="DC354">
        <f ca="1"/>
      </c>
      <c r="DD354">
        <f ca="1"/>
      </c>
      <c r="DE354">
        <f ca="1"/>
      </c>
      <c r="DF354">
        <f ca="1"/>
      </c>
      <c r="DG354">
        <f ca="1"/>
      </c>
      <c r="DH354">
        <f ca="1"/>
      </c>
      <c r="DI354">
        <f ca="1"/>
      </c>
      <c r="DJ354">
        <f ca="1"/>
      </c>
      <c r="DK354">
        <f ca="1"/>
      </c>
      <c r="DL354">
        <f ca="1"/>
      </c>
      <c r="DM354">
        <f ca="1"/>
      </c>
      <c r="DN354">
        <f ca="1"/>
      </c>
      <c r="DO354">
        <f ca="1"/>
      </c>
      <c r="DP354">
        <f ca="1"/>
      </c>
      <c r="DQ354">
        <f ca="1"/>
      </c>
      <c r="DR354">
        <f ca="1"/>
      </c>
      <c r="DS354">
        <f ca="1"/>
      </c>
      <c r="DT354">
        <f ca="1"/>
      </c>
      <c r="DU354">
        <f ca="1"/>
      </c>
      <c r="DV354">
        <f ca="1"/>
      </c>
      <c r="DW354">
        <f ca="1"/>
      </c>
      <c r="DX354">
        <f ca="1"/>
      </c>
      <c r="DY354">
        <f ca="1"/>
      </c>
      <c r="DZ354">
        <f ca="1"/>
      </c>
      <c r="EA354">
        <f ca="1"/>
      </c>
      <c r="EB354">
        <f ca="1"/>
      </c>
      <c r="EC354">
        <f ca="1"/>
      </c>
      <c r="ED354">
        <f ca="1"/>
      </c>
      <c r="EE354">
        <f ca="1"/>
      </c>
      <c r="EG354">
        <f ca="1"/>
      </c>
      <c r="EH354">
        <f ca="1"/>
      </c>
      <c r="EI354">
        <f ca="1"/>
      </c>
      <c r="EJ354">
        <f ca="1"/>
      </c>
      <c r="EK354">
        <f ca="1"/>
      </c>
      <c r="EL354">
        <f ca="1"/>
      </c>
      <c r="EM354">
        <f ca="1"/>
      </c>
      <c r="EN354">
        <f ca="1"/>
      </c>
      <c r="EO354">
        <f ca="1"/>
      </c>
      <c r="EP354">
        <f ca="1"/>
      </c>
      <c r="EQ354">
        <f ca="1"/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FS354">
        <f ca="1"/>
      </c>
      <c r="FT354">
        <f ca="1"/>
      </c>
      <c r="FU354">
        <f ca="1"/>
      </c>
      <c r="FV354">
        <f ca="1"/>
      </c>
      <c r="FW354">
        <f ca="1"/>
      </c>
      <c r="FX354">
        <f ca="1"/>
      </c>
      <c r="FY354">
        <f ca="1"/>
      </c>
      <c r="FZ354">
        <f ca="1"/>
      </c>
      <c r="GA354">
        <f ca="1"/>
      </c>
      <c r="GM354" s="7"/>
    </row>
    <row r="355" spans="41:195" x14ac:dyDescent="0.55000000000000004">
      <c r="AO355">
        <f ca="1"/>
      </c>
      <c r="AP355">
        <f ca="1"/>
      </c>
      <c r="AQ355">
        <f ca="1"/>
      </c>
      <c r="AR355">
        <f ca="1"/>
      </c>
      <c r="AS355">
        <f ca="1"/>
      </c>
      <c r="AT355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AZ355">
        <f ca="1"/>
      </c>
      <c r="BA355">
        <f ca="1"/>
      </c>
      <c r="BB355">
        <f ca="1"/>
      </c>
      <c r="BC355">
        <f ca="1"/>
      </c>
      <c r="BD355">
        <f ca="1"/>
      </c>
      <c r="BE355">
        <f ca="1"/>
      </c>
      <c r="BF355">
        <f ca="1"/>
      </c>
      <c r="BG355">
        <f ca="1"/>
      </c>
      <c r="BH355">
        <f ca="1"/>
      </c>
      <c r="BI355">
        <f ca="1"/>
      </c>
      <c r="BJ355">
        <f ca="1"/>
      </c>
      <c r="BK355">
        <f ca="1"/>
      </c>
      <c r="BL355">
        <f ca="1"/>
      </c>
      <c r="BM355">
        <f ca="1"/>
      </c>
      <c r="BN355">
        <f ca="1"/>
      </c>
      <c r="BO355">
        <f ca="1"/>
      </c>
      <c r="BP355">
        <f ca="1"/>
      </c>
      <c r="BQ355">
        <f ca="1"/>
      </c>
      <c r="BR355">
        <f ca="1"/>
      </c>
      <c r="BS355">
        <f ca="1"/>
      </c>
      <c r="BT355">
        <f ca="1"/>
      </c>
      <c r="BU355">
        <f ca="1"/>
      </c>
      <c r="BV355">
        <f ca="1"/>
      </c>
      <c r="BW355">
        <f ca="1"/>
      </c>
      <c r="BX355">
        <f ca="1"/>
      </c>
      <c r="BY355">
        <f ca="1"/>
      </c>
      <c r="BZ355">
        <f ca="1"/>
      </c>
      <c r="CA355">
        <f ca="1"/>
      </c>
      <c r="CB355">
        <f ca="1"/>
      </c>
      <c r="CC355">
        <f ca="1"/>
      </c>
      <c r="CD355">
        <f ca="1"/>
      </c>
      <c r="CE355">
        <f ca="1"/>
      </c>
      <c r="CF355">
        <f ca="1"/>
      </c>
      <c r="CG355">
        <f ca="1"/>
      </c>
      <c r="CH355">
        <f ca="1"/>
      </c>
      <c r="CI355">
        <f ca="1"/>
      </c>
      <c r="CK355">
        <f ca="1"/>
      </c>
      <c r="CL355">
        <f ca="1"/>
      </c>
      <c r="CM355">
        <f ca="1"/>
      </c>
      <c r="CN355">
        <f ca="1"/>
      </c>
      <c r="CO355">
        <f ca="1"/>
      </c>
      <c r="CP355">
        <f ca="1"/>
      </c>
      <c r="CQ355">
        <f ca="1"/>
      </c>
      <c r="CR355">
        <f ca="1"/>
      </c>
      <c r="CS355">
        <f ca="1"/>
      </c>
      <c r="CT355">
        <f ca="1"/>
      </c>
      <c r="CU355">
        <f ca="1"/>
      </c>
      <c r="CV355">
        <f ca="1"/>
      </c>
      <c r="CW355">
        <f ca="1"/>
      </c>
      <c r="CX355">
        <f ca="1"/>
      </c>
      <c r="CY355">
        <f ca="1"/>
      </c>
      <c r="CZ355">
        <f ca="1"/>
      </c>
      <c r="DA355">
        <f ca="1"/>
      </c>
      <c r="DB355">
        <f ca="1"/>
      </c>
      <c r="DC355">
        <f ca="1"/>
      </c>
      <c r="DD355">
        <f ca="1"/>
      </c>
      <c r="DE355">
        <f ca="1"/>
      </c>
      <c r="DF355">
        <f ca="1"/>
      </c>
      <c r="DG355">
        <f ca="1"/>
      </c>
      <c r="DH355">
        <f ca="1"/>
      </c>
      <c r="DI355">
        <f ca="1"/>
      </c>
      <c r="DJ355">
        <f ca="1"/>
      </c>
      <c r="DK355">
        <f ca="1"/>
      </c>
      <c r="DL355">
        <f ca="1"/>
      </c>
      <c r="DM355">
        <f ca="1"/>
      </c>
      <c r="DN355">
        <f ca="1"/>
      </c>
      <c r="DO355">
        <f ca="1"/>
      </c>
      <c r="DP355">
        <f ca="1"/>
      </c>
      <c r="DQ355">
        <f ca="1"/>
      </c>
      <c r="DR355">
        <f ca="1"/>
      </c>
      <c r="DS355">
        <f ca="1"/>
      </c>
      <c r="DT355">
        <f ca="1"/>
      </c>
      <c r="DU355">
        <f ca="1"/>
      </c>
      <c r="DV355">
        <f ca="1"/>
      </c>
      <c r="DW355">
        <f ca="1"/>
      </c>
      <c r="DX355">
        <f ca="1"/>
      </c>
      <c r="DY355">
        <f ca="1"/>
      </c>
      <c r="DZ355">
        <f ca="1"/>
      </c>
      <c r="EA355">
        <f ca="1"/>
      </c>
      <c r="EB355">
        <f ca="1"/>
      </c>
      <c r="EC355">
        <f ca="1"/>
      </c>
      <c r="ED355">
        <f ca="1"/>
      </c>
      <c r="EE355">
        <f ca="1"/>
      </c>
      <c r="EG355">
        <f ca="1"/>
      </c>
      <c r="EH355">
        <f ca="1"/>
      </c>
      <c r="EI355">
        <f ca="1"/>
      </c>
      <c r="EJ355">
        <f ca="1"/>
      </c>
      <c r="EK355">
        <f ca="1"/>
      </c>
      <c r="EL355">
        <f ca="1"/>
      </c>
      <c r="EM355">
        <f ca="1"/>
      </c>
      <c r="EN355">
        <f ca="1"/>
      </c>
      <c r="EO355">
        <f ca="1"/>
      </c>
      <c r="EP355">
        <f ca="1"/>
      </c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FS355">
        <f ca="1"/>
      </c>
      <c r="FT355">
        <f ca="1"/>
      </c>
      <c r="FU355">
        <f ca="1"/>
      </c>
      <c r="FV355">
        <f ca="1"/>
      </c>
      <c r="FW355">
        <f ca="1"/>
      </c>
      <c r="FX355">
        <f ca="1"/>
      </c>
      <c r="FY355">
        <f ca="1"/>
      </c>
      <c r="FZ355">
        <f ca="1"/>
      </c>
      <c r="GA355">
        <f ca="1"/>
      </c>
      <c r="GM355" s="7"/>
    </row>
    <row r="356" spans="41:195" x14ac:dyDescent="0.55000000000000004">
      <c r="AO356">
        <f ca="1"/>
      </c>
      <c r="AP356">
        <f ca="1"/>
      </c>
      <c r="AQ356">
        <f ca="1"/>
      </c>
      <c r="AR356">
        <f ca="1"/>
      </c>
      <c r="AS356">
        <f ca="1"/>
      </c>
      <c r="AT356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AZ356">
        <f ca="1"/>
      </c>
      <c r="BA356">
        <f ca="1"/>
      </c>
      <c r="BB356">
        <f ca="1"/>
      </c>
      <c r="BC356">
        <f ca="1"/>
      </c>
      <c r="BD356">
        <f ca="1"/>
      </c>
      <c r="BE356">
        <f ca="1"/>
      </c>
      <c r="BF356">
        <f ca="1"/>
      </c>
      <c r="BG356">
        <f ca="1"/>
      </c>
      <c r="BH356">
        <f ca="1"/>
      </c>
      <c r="BI356">
        <f ca="1"/>
      </c>
      <c r="BJ356">
        <f ca="1"/>
      </c>
      <c r="BK356">
        <f ca="1"/>
      </c>
      <c r="BL356">
        <f ca="1"/>
      </c>
      <c r="BM356">
        <f ca="1"/>
      </c>
      <c r="BN356">
        <f ca="1"/>
      </c>
      <c r="BO356">
        <f ca="1"/>
      </c>
      <c r="BP356">
        <f ca="1"/>
      </c>
      <c r="BQ356">
        <f ca="1"/>
      </c>
      <c r="BR356">
        <f ca="1"/>
      </c>
      <c r="BS356">
        <f ca="1"/>
      </c>
      <c r="BT356">
        <f ca="1"/>
      </c>
      <c r="BU356">
        <f ca="1"/>
      </c>
      <c r="BV356">
        <f ca="1"/>
      </c>
      <c r="BW356">
        <f ca="1"/>
      </c>
      <c r="BX356">
        <f ca="1"/>
      </c>
      <c r="BY356">
        <f ca="1"/>
      </c>
      <c r="BZ356">
        <f ca="1"/>
      </c>
      <c r="CA356">
        <f ca="1"/>
      </c>
      <c r="CB356">
        <f ca="1"/>
      </c>
      <c r="CC356">
        <f ca="1"/>
      </c>
      <c r="CD356">
        <f ca="1"/>
      </c>
      <c r="CE356">
        <f ca="1"/>
      </c>
      <c r="CF356">
        <f ca="1"/>
      </c>
      <c r="CG356">
        <f ca="1"/>
      </c>
      <c r="CH356">
        <f ca="1"/>
      </c>
      <c r="CI356">
        <f ca="1"/>
      </c>
      <c r="CK356">
        <f ca="1"/>
      </c>
      <c r="CL356">
        <f ca="1"/>
      </c>
      <c r="CM356">
        <f ca="1"/>
      </c>
      <c r="CN356">
        <f ca="1"/>
      </c>
      <c r="CO356">
        <f ca="1"/>
      </c>
      <c r="CP356">
        <f ca="1"/>
      </c>
      <c r="CQ356">
        <f ca="1"/>
      </c>
      <c r="CR356">
        <f ca="1"/>
      </c>
      <c r="CS356">
        <f ca="1"/>
      </c>
      <c r="CT356">
        <f ca="1"/>
      </c>
      <c r="CU356">
        <f ca="1"/>
      </c>
      <c r="CV356">
        <f ca="1"/>
      </c>
      <c r="CW356">
        <f ca="1"/>
      </c>
      <c r="CX356">
        <f ca="1"/>
      </c>
      <c r="CY356">
        <f ca="1"/>
      </c>
      <c r="CZ356">
        <f ca="1"/>
      </c>
      <c r="DA356">
        <f ca="1"/>
      </c>
      <c r="DB356">
        <f ca="1"/>
      </c>
      <c r="DC356">
        <f ca="1"/>
      </c>
      <c r="DD356">
        <f ca="1"/>
      </c>
      <c r="DE356">
        <f ca="1"/>
      </c>
      <c r="DF356">
        <f ca="1"/>
      </c>
      <c r="DG356">
        <f ca="1"/>
      </c>
      <c r="DH356">
        <f ca="1"/>
      </c>
      <c r="DI356">
        <f ca="1"/>
      </c>
      <c r="DJ356">
        <f ca="1"/>
      </c>
      <c r="DK356">
        <f ca="1"/>
      </c>
      <c r="DL356">
        <f ca="1"/>
      </c>
      <c r="DM356">
        <f ca="1"/>
      </c>
      <c r="DN356">
        <f ca="1"/>
      </c>
      <c r="DO356">
        <f ca="1"/>
      </c>
      <c r="DP356">
        <f ca="1"/>
      </c>
      <c r="DQ356">
        <f ca="1"/>
      </c>
      <c r="DR356">
        <f ca="1"/>
      </c>
      <c r="DS356">
        <f ca="1"/>
      </c>
      <c r="DT356">
        <f ca="1"/>
      </c>
      <c r="DU356">
        <f ca="1"/>
      </c>
      <c r="DV356">
        <f ca="1"/>
      </c>
      <c r="DW356">
        <f ca="1"/>
      </c>
      <c r="DX356">
        <f ca="1"/>
      </c>
      <c r="DY356">
        <f ca="1"/>
      </c>
      <c r="DZ356">
        <f ca="1"/>
      </c>
      <c r="EA356">
        <f ca="1"/>
      </c>
      <c r="EB356">
        <f ca="1"/>
      </c>
      <c r="EC356">
        <f ca="1"/>
      </c>
      <c r="ED356">
        <f ca="1"/>
      </c>
      <c r="EE356">
        <f ca="1"/>
      </c>
      <c r="EG356">
        <f ca="1"/>
      </c>
      <c r="EH356">
        <f ca="1"/>
      </c>
      <c r="EI356">
        <f ca="1"/>
      </c>
      <c r="EJ356">
        <f ca="1"/>
      </c>
      <c r="EK356">
        <f ca="1"/>
      </c>
      <c r="EL356">
        <f ca="1"/>
      </c>
      <c r="EM356">
        <f ca="1"/>
      </c>
      <c r="EN356">
        <f ca="1"/>
      </c>
      <c r="EO356">
        <f ca="1"/>
      </c>
      <c r="EP356">
        <f ca="1"/>
      </c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FS356">
        <f ca="1"/>
      </c>
      <c r="FT356">
        <f ca="1"/>
      </c>
      <c r="FU356">
        <f ca="1"/>
      </c>
      <c r="FV356">
        <f ca="1"/>
      </c>
      <c r="FW356">
        <f ca="1"/>
      </c>
      <c r="FX356">
        <f ca="1"/>
      </c>
      <c r="FY356">
        <f ca="1"/>
      </c>
      <c r="FZ356">
        <f ca="1"/>
      </c>
      <c r="GA356">
        <f ca="1"/>
      </c>
      <c r="GM356" s="7"/>
    </row>
    <row r="357" spans="41:195" x14ac:dyDescent="0.55000000000000004">
      <c r="AO357">
        <f ca="1"/>
      </c>
      <c r="AP357">
        <f ca="1"/>
      </c>
      <c r="AQ357">
        <f ca="1"/>
      </c>
      <c r="AR357">
        <f ca="1"/>
      </c>
      <c r="AS357">
        <f ca="1"/>
      </c>
      <c r="AT35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AZ357">
        <f ca="1"/>
      </c>
      <c r="BA357">
        <f ca="1"/>
      </c>
      <c r="BB357">
        <f ca="1"/>
      </c>
      <c r="BC357">
        <f ca="1"/>
      </c>
      <c r="BD357">
        <f ca="1"/>
      </c>
      <c r="BE357">
        <f ca="1"/>
      </c>
      <c r="BF357">
        <f ca="1"/>
      </c>
      <c r="BG357">
        <f ca="1"/>
      </c>
      <c r="BH357">
        <f ca="1"/>
      </c>
      <c r="BI357">
        <f ca="1"/>
      </c>
      <c r="BJ357">
        <f ca="1"/>
      </c>
      <c r="BK357">
        <f ca="1"/>
      </c>
      <c r="BL357">
        <f ca="1"/>
      </c>
      <c r="BM357">
        <f ca="1"/>
      </c>
      <c r="BN357">
        <f ca="1"/>
      </c>
      <c r="BO357">
        <f ca="1"/>
      </c>
      <c r="BP357">
        <f ca="1"/>
      </c>
      <c r="BQ357">
        <f ca="1"/>
      </c>
      <c r="BR357">
        <f ca="1"/>
      </c>
      <c r="BS357">
        <f ca="1"/>
      </c>
      <c r="BT357">
        <f ca="1"/>
      </c>
      <c r="BU357">
        <f ca="1"/>
      </c>
      <c r="BV357">
        <f ca="1"/>
      </c>
      <c r="BW357">
        <f ca="1"/>
      </c>
      <c r="BX357">
        <f ca="1"/>
      </c>
      <c r="BY357">
        <f ca="1"/>
      </c>
      <c r="BZ357">
        <f ca="1"/>
      </c>
      <c r="CA357">
        <f ca="1"/>
      </c>
      <c r="CB357">
        <f ca="1"/>
      </c>
      <c r="CC357">
        <f ca="1"/>
      </c>
      <c r="CD357">
        <f ca="1"/>
      </c>
      <c r="CE357">
        <f ca="1"/>
      </c>
      <c r="CF357">
        <f ca="1"/>
      </c>
      <c r="CG357">
        <f ca="1"/>
      </c>
      <c r="CH357">
        <f ca="1"/>
      </c>
      <c r="CI357">
        <f ca="1"/>
      </c>
      <c r="CK357">
        <f ca="1"/>
      </c>
      <c r="CL357">
        <f ca="1"/>
      </c>
      <c r="CM357">
        <f ca="1"/>
      </c>
      <c r="CN357">
        <f ca="1"/>
      </c>
      <c r="CO357">
        <f ca="1"/>
      </c>
      <c r="CP357">
        <f ca="1"/>
      </c>
      <c r="CQ357">
        <f ca="1"/>
      </c>
      <c r="CR357">
        <f ca="1"/>
      </c>
      <c r="CS357">
        <f ca="1"/>
      </c>
      <c r="CT357">
        <f ca="1"/>
      </c>
      <c r="CU357">
        <f ca="1"/>
      </c>
      <c r="CV357">
        <f ca="1"/>
      </c>
      <c r="CW357">
        <f ca="1"/>
      </c>
      <c r="CX357">
        <f ca="1"/>
      </c>
      <c r="CY357">
        <f ca="1"/>
      </c>
      <c r="CZ357">
        <f ca="1"/>
      </c>
      <c r="DA357">
        <f ca="1"/>
      </c>
      <c r="DB357">
        <f ca="1"/>
      </c>
      <c r="DC357">
        <f ca="1"/>
      </c>
      <c r="DD357">
        <f ca="1"/>
      </c>
      <c r="DE357">
        <f ca="1"/>
      </c>
      <c r="DF357">
        <f ca="1"/>
      </c>
      <c r="DG357">
        <f ca="1"/>
      </c>
      <c r="DH357">
        <f ca="1"/>
      </c>
      <c r="DI357">
        <f ca="1"/>
      </c>
      <c r="DJ357">
        <f ca="1"/>
      </c>
      <c r="DK357">
        <f ca="1"/>
      </c>
      <c r="DL357">
        <f ca="1"/>
      </c>
      <c r="DM357">
        <f ca="1"/>
      </c>
      <c r="DN357">
        <f ca="1"/>
      </c>
      <c r="DO357">
        <f ca="1"/>
      </c>
      <c r="DP357">
        <f ca="1"/>
      </c>
      <c r="DQ357">
        <f ca="1"/>
      </c>
      <c r="DR357">
        <f ca="1"/>
      </c>
      <c r="DS357">
        <f ca="1"/>
      </c>
      <c r="DT357">
        <f ca="1"/>
      </c>
      <c r="DU357">
        <f ca="1"/>
      </c>
      <c r="DV357">
        <f ca="1"/>
      </c>
      <c r="DW357">
        <f ca="1"/>
      </c>
      <c r="DX357">
        <f ca="1"/>
      </c>
      <c r="DY357">
        <f ca="1"/>
      </c>
      <c r="DZ357">
        <f ca="1"/>
      </c>
      <c r="EA357">
        <f ca="1"/>
      </c>
      <c r="EB357">
        <f ca="1"/>
      </c>
      <c r="EC357">
        <f ca="1"/>
      </c>
      <c r="ED357">
        <f ca="1"/>
      </c>
      <c r="EE357">
        <f ca="1"/>
      </c>
      <c r="EG357">
        <f ca="1"/>
      </c>
      <c r="EH357">
        <f ca="1"/>
      </c>
      <c r="EI357">
        <f ca="1"/>
      </c>
      <c r="EJ357">
        <f ca="1"/>
      </c>
      <c r="EK357">
        <f ca="1"/>
      </c>
      <c r="EL357">
        <f ca="1"/>
      </c>
      <c r="EM357">
        <f ca="1"/>
      </c>
      <c r="EN357">
        <f ca="1"/>
      </c>
      <c r="EO357">
        <f ca="1"/>
      </c>
      <c r="EP357">
        <f ca="1"/>
      </c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FS357">
        <f ca="1"/>
      </c>
      <c r="FT357">
        <f ca="1"/>
      </c>
      <c r="FU357">
        <f ca="1"/>
      </c>
      <c r="FV357">
        <f ca="1"/>
      </c>
      <c r="FW357">
        <f ca="1"/>
      </c>
      <c r="FX357">
        <f ca="1"/>
      </c>
      <c r="FY357">
        <f ca="1"/>
      </c>
      <c r="FZ357">
        <f ca="1"/>
      </c>
      <c r="GA357">
        <f ca="1"/>
      </c>
      <c r="GM357" s="7"/>
    </row>
    <row r="358" spans="41:195" x14ac:dyDescent="0.55000000000000004">
      <c r="AO358">
        <f ca="1"/>
      </c>
      <c r="AP358">
        <f ca="1"/>
      </c>
      <c r="AQ358">
        <f ca="1"/>
      </c>
      <c r="AR358">
        <f ca="1"/>
      </c>
      <c r="AS358">
        <f ca="1"/>
      </c>
      <c r="AT358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AZ358">
        <f ca="1"/>
      </c>
      <c r="BA358">
        <f ca="1"/>
      </c>
      <c r="BB358">
        <f ca="1"/>
      </c>
      <c r="BC358">
        <f ca="1"/>
      </c>
      <c r="BD358">
        <f ca="1"/>
      </c>
      <c r="BE358">
        <f ca="1"/>
      </c>
      <c r="BF358">
        <f ca="1"/>
      </c>
      <c r="BG358">
        <f ca="1"/>
      </c>
      <c r="BH358">
        <f ca="1"/>
      </c>
      <c r="BI358">
        <f ca="1"/>
      </c>
      <c r="BJ358">
        <f ca="1"/>
      </c>
      <c r="BK358">
        <f ca="1"/>
      </c>
      <c r="BL358">
        <f ca="1"/>
      </c>
      <c r="BM358">
        <f ca="1"/>
      </c>
      <c r="BN358">
        <f ca="1"/>
      </c>
      <c r="BO358">
        <f ca="1"/>
      </c>
      <c r="BP358">
        <f ca="1"/>
      </c>
      <c r="BQ358">
        <f ca="1"/>
      </c>
      <c r="BR358">
        <f ca="1"/>
      </c>
      <c r="BS358">
        <f ca="1"/>
      </c>
      <c r="BT358">
        <f ca="1"/>
      </c>
      <c r="BU358">
        <f ca="1"/>
      </c>
      <c r="BV358">
        <f ca="1"/>
      </c>
      <c r="BW358">
        <f ca="1"/>
      </c>
      <c r="BX358">
        <f ca="1"/>
      </c>
      <c r="BY358">
        <f ca="1"/>
      </c>
      <c r="BZ358">
        <f ca="1"/>
      </c>
      <c r="CA358">
        <f ca="1"/>
      </c>
      <c r="CB358">
        <f ca="1"/>
      </c>
      <c r="CC358">
        <f ca="1"/>
      </c>
      <c r="CD358">
        <f ca="1"/>
      </c>
      <c r="CE358">
        <f ca="1"/>
      </c>
      <c r="CF358">
        <f ca="1"/>
      </c>
      <c r="CG358">
        <f ca="1"/>
      </c>
      <c r="CH358">
        <f ca="1"/>
      </c>
      <c r="CI358">
        <f ca="1"/>
      </c>
      <c r="CK358">
        <f ca="1"/>
      </c>
      <c r="CL358">
        <f ca="1"/>
      </c>
      <c r="CM358">
        <f ca="1"/>
      </c>
      <c r="CN358">
        <f ca="1"/>
      </c>
      <c r="CO358">
        <f ca="1"/>
      </c>
      <c r="CP358">
        <f ca="1"/>
      </c>
      <c r="CQ358">
        <f ca="1"/>
      </c>
      <c r="CR358">
        <f ca="1"/>
      </c>
      <c r="CS358">
        <f ca="1"/>
      </c>
      <c r="CT358">
        <f ca="1"/>
      </c>
      <c r="CU358">
        <f ca="1"/>
      </c>
      <c r="CV358">
        <f ca="1"/>
      </c>
      <c r="CW358">
        <f ca="1"/>
      </c>
      <c r="CX358">
        <f ca="1"/>
      </c>
      <c r="CY358">
        <f ca="1"/>
      </c>
      <c r="CZ358">
        <f ca="1"/>
      </c>
      <c r="DA358">
        <f ca="1"/>
      </c>
      <c r="DB358">
        <f ca="1"/>
      </c>
      <c r="DC358">
        <f ca="1"/>
      </c>
      <c r="DD358">
        <f ca="1"/>
      </c>
      <c r="DE358">
        <f ca="1"/>
      </c>
      <c r="DF358">
        <f ca="1"/>
      </c>
      <c r="DG358">
        <f ca="1"/>
      </c>
      <c r="DH358">
        <f ca="1"/>
      </c>
      <c r="DI358">
        <f ca="1"/>
      </c>
      <c r="DJ358">
        <f ca="1"/>
      </c>
      <c r="DK358">
        <f ca="1"/>
      </c>
      <c r="DL358">
        <f ca="1"/>
      </c>
      <c r="DM358">
        <f ca="1"/>
      </c>
      <c r="DN358">
        <f ca="1"/>
      </c>
      <c r="DO358">
        <f ca="1"/>
      </c>
      <c r="DP358">
        <f ca="1"/>
      </c>
      <c r="DQ358">
        <f ca="1"/>
      </c>
      <c r="DR358">
        <f ca="1"/>
      </c>
      <c r="DS358">
        <f ca="1"/>
      </c>
      <c r="DT358">
        <f ca="1"/>
      </c>
      <c r="DU358">
        <f ca="1"/>
      </c>
      <c r="DV358">
        <f ca="1"/>
      </c>
      <c r="DW358">
        <f ca="1"/>
      </c>
      <c r="DX358">
        <f ca="1"/>
      </c>
      <c r="DY358">
        <f ca="1"/>
      </c>
      <c r="DZ358">
        <f ca="1"/>
      </c>
      <c r="EA358">
        <f ca="1"/>
      </c>
      <c r="EB358">
        <f ca="1"/>
      </c>
      <c r="EC358">
        <f ca="1"/>
      </c>
      <c r="ED358">
        <f ca="1"/>
      </c>
      <c r="EE358">
        <f ca="1"/>
      </c>
      <c r="EG358">
        <f ca="1"/>
      </c>
      <c r="EH358">
        <f ca="1"/>
      </c>
      <c r="EI358">
        <f ca="1"/>
      </c>
      <c r="EJ358">
        <f ca="1"/>
      </c>
      <c r="EK358">
        <f ca="1"/>
      </c>
      <c r="EL358">
        <f ca="1"/>
      </c>
      <c r="EM358">
        <f ca="1"/>
      </c>
      <c r="EN358">
        <f ca="1"/>
      </c>
      <c r="EO358">
        <f ca="1"/>
      </c>
      <c r="EP358">
        <f ca="1"/>
      </c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FS358">
        <f ca="1"/>
      </c>
      <c r="FT358">
        <f ca="1"/>
      </c>
      <c r="FU358">
        <f ca="1"/>
      </c>
      <c r="FV358">
        <f ca="1"/>
      </c>
      <c r="FW358">
        <f ca="1"/>
      </c>
      <c r="FX358">
        <f ca="1"/>
      </c>
      <c r="FY358">
        <f ca="1"/>
      </c>
      <c r="FZ358">
        <f ca="1"/>
      </c>
      <c r="GA358">
        <f ca="1"/>
      </c>
      <c r="GM358" s="7"/>
    </row>
    <row r="359" spans="41:195" x14ac:dyDescent="0.55000000000000004">
      <c r="AO359">
        <f ca="1"/>
      </c>
      <c r="AP359">
        <f ca="1"/>
      </c>
      <c r="AQ359">
        <f ca="1"/>
      </c>
      <c r="AR359">
        <f ca="1"/>
      </c>
      <c r="AS359">
        <f ca="1"/>
      </c>
      <c r="AT359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AZ359">
        <f ca="1"/>
      </c>
      <c r="BA359">
        <f ca="1"/>
      </c>
      <c r="BB359">
        <f ca="1"/>
      </c>
      <c r="BC359">
        <f ca="1"/>
      </c>
      <c r="BD359">
        <f ca="1"/>
      </c>
      <c r="BE359">
        <f ca="1"/>
      </c>
      <c r="BF359">
        <f ca="1"/>
      </c>
      <c r="BG359">
        <f ca="1"/>
      </c>
      <c r="BH359">
        <f ca="1"/>
      </c>
      <c r="BI359">
        <f ca="1"/>
      </c>
      <c r="BJ359">
        <f ca="1"/>
      </c>
      <c r="BK359">
        <f ca="1"/>
      </c>
      <c r="BL359">
        <f ca="1"/>
      </c>
      <c r="BM359">
        <f ca="1"/>
      </c>
      <c r="BN359">
        <f ca="1"/>
      </c>
      <c r="BO359">
        <f ca="1"/>
      </c>
      <c r="BP359">
        <f ca="1"/>
      </c>
      <c r="BQ359">
        <f ca="1"/>
      </c>
      <c r="BR359">
        <f ca="1"/>
      </c>
      <c r="BS359">
        <f ca="1"/>
      </c>
      <c r="BT359">
        <f ca="1"/>
      </c>
      <c r="BU359">
        <f ca="1"/>
      </c>
      <c r="BV359">
        <f ca="1"/>
      </c>
      <c r="BW359">
        <f ca="1"/>
      </c>
      <c r="BX359">
        <f ca="1"/>
      </c>
      <c r="BY359">
        <f ca="1"/>
      </c>
      <c r="BZ359">
        <f ca="1"/>
      </c>
      <c r="CA359">
        <f ca="1"/>
      </c>
      <c r="CB359">
        <f ca="1"/>
      </c>
      <c r="CC359">
        <f ca="1"/>
      </c>
      <c r="CD359">
        <f ca="1"/>
      </c>
      <c r="CE359">
        <f ca="1"/>
      </c>
      <c r="CF359">
        <f ca="1"/>
      </c>
      <c r="CG359">
        <f ca="1"/>
      </c>
      <c r="CH359">
        <f ca="1"/>
      </c>
      <c r="CI359">
        <f ca="1"/>
      </c>
      <c r="CK359">
        <f ca="1"/>
      </c>
      <c r="CL359">
        <f ca="1"/>
      </c>
      <c r="CM359">
        <f ca="1"/>
      </c>
      <c r="CN359">
        <f ca="1"/>
      </c>
      <c r="CO359">
        <f ca="1"/>
      </c>
      <c r="CP359">
        <f ca="1"/>
      </c>
      <c r="CQ359">
        <f ca="1"/>
      </c>
      <c r="CR359">
        <f ca="1"/>
      </c>
      <c r="CS359">
        <f ca="1"/>
      </c>
      <c r="CT359">
        <f ca="1"/>
      </c>
      <c r="CU359">
        <f ca="1"/>
      </c>
      <c r="CV359">
        <f ca="1"/>
      </c>
      <c r="CW359">
        <f ca="1"/>
      </c>
      <c r="CX359">
        <f ca="1"/>
      </c>
      <c r="CY359">
        <f ca="1"/>
      </c>
      <c r="CZ359">
        <f ca="1"/>
      </c>
      <c r="DA359">
        <f ca="1"/>
      </c>
      <c r="DB359">
        <f ca="1"/>
      </c>
      <c r="DC359">
        <f ca="1"/>
      </c>
      <c r="DD359">
        <f ca="1"/>
      </c>
      <c r="DE359">
        <f ca="1"/>
      </c>
      <c r="DF359">
        <f ca="1"/>
      </c>
      <c r="DG359">
        <f ca="1"/>
      </c>
      <c r="DH359">
        <f ca="1"/>
      </c>
      <c r="DI359">
        <f ca="1"/>
      </c>
      <c r="DJ359">
        <f ca="1"/>
      </c>
      <c r="DK359">
        <f ca="1"/>
      </c>
      <c r="DL359">
        <f ca="1"/>
      </c>
      <c r="DM359">
        <f ca="1"/>
      </c>
      <c r="DN359">
        <f ca="1"/>
      </c>
      <c r="DO359">
        <f ca="1"/>
      </c>
      <c r="DP359">
        <f ca="1"/>
      </c>
      <c r="DQ359">
        <f ca="1"/>
      </c>
      <c r="DR359">
        <f ca="1"/>
      </c>
      <c r="DS359">
        <f ca="1"/>
      </c>
      <c r="DT359">
        <f ca="1"/>
      </c>
      <c r="DU359">
        <f ca="1"/>
      </c>
      <c r="DV359">
        <f ca="1"/>
      </c>
      <c r="DW359">
        <f ca="1"/>
      </c>
      <c r="DX359">
        <f ca="1"/>
      </c>
      <c r="DY359">
        <f ca="1"/>
      </c>
      <c r="DZ359">
        <f ca="1"/>
      </c>
      <c r="EA359">
        <f ca="1"/>
      </c>
      <c r="EB359">
        <f ca="1"/>
      </c>
      <c r="EC359">
        <f ca="1"/>
      </c>
      <c r="ED359">
        <f ca="1"/>
      </c>
      <c r="EE359">
        <f ca="1"/>
      </c>
      <c r="EG359">
        <f ca="1"/>
      </c>
      <c r="EH359">
        <f ca="1"/>
      </c>
      <c r="EI359">
        <f ca="1"/>
      </c>
      <c r="EJ359">
        <f ca="1"/>
      </c>
      <c r="EK359">
        <f ca="1"/>
      </c>
      <c r="EL359">
        <f ca="1"/>
      </c>
      <c r="EM359">
        <f ca="1"/>
      </c>
      <c r="EN359">
        <f ca="1"/>
      </c>
      <c r="EO359">
        <f ca="1"/>
      </c>
      <c r="EP359">
        <f ca="1"/>
      </c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FS359">
        <f ca="1"/>
      </c>
      <c r="FT359">
        <f ca="1"/>
      </c>
      <c r="FU359">
        <f ca="1"/>
      </c>
      <c r="FV359">
        <f ca="1"/>
      </c>
      <c r="FW359">
        <f ca="1"/>
      </c>
      <c r="FX359">
        <f ca="1"/>
      </c>
      <c r="FY359">
        <f ca="1"/>
      </c>
      <c r="FZ359">
        <f ca="1"/>
      </c>
      <c r="GA359">
        <f ca="1"/>
      </c>
      <c r="GM359" s="7"/>
    </row>
    <row r="360" spans="41:195" x14ac:dyDescent="0.55000000000000004">
      <c r="AO360">
        <f ca="1"/>
      </c>
      <c r="AP360">
        <f ca="1"/>
      </c>
      <c r="AQ360">
        <f ca="1"/>
      </c>
      <c r="AR360">
        <f ca="1"/>
      </c>
      <c r="AS360">
        <f ca="1"/>
      </c>
      <c r="AT360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AZ360">
        <f ca="1"/>
      </c>
      <c r="BA360">
        <f ca="1"/>
      </c>
      <c r="BB360">
        <f ca="1"/>
      </c>
      <c r="BC360">
        <f ca="1"/>
      </c>
      <c r="BD360">
        <f ca="1"/>
      </c>
      <c r="BE360">
        <f ca="1"/>
      </c>
      <c r="BF360">
        <f ca="1"/>
      </c>
      <c r="BG360">
        <f ca="1"/>
      </c>
      <c r="BH360">
        <f ca="1"/>
      </c>
      <c r="BI360">
        <f ca="1"/>
      </c>
      <c r="BJ360">
        <f ca="1"/>
      </c>
      <c r="BK360">
        <f ca="1"/>
      </c>
      <c r="BL360">
        <f ca="1"/>
      </c>
      <c r="BM360">
        <f ca="1"/>
      </c>
      <c r="BN360">
        <f ca="1"/>
      </c>
      <c r="BO360">
        <f ca="1"/>
      </c>
      <c r="BP360">
        <f ca="1"/>
      </c>
      <c r="BQ360">
        <f ca="1"/>
      </c>
      <c r="BR360">
        <f ca="1"/>
      </c>
      <c r="BS360">
        <f ca="1"/>
      </c>
      <c r="BT360">
        <f ca="1"/>
      </c>
      <c r="BU360">
        <f ca="1"/>
      </c>
      <c r="BV360">
        <f ca="1"/>
      </c>
      <c r="BW360">
        <f ca="1"/>
      </c>
      <c r="BX360">
        <f ca="1"/>
      </c>
      <c r="BY360">
        <f ca="1"/>
      </c>
      <c r="BZ360">
        <f ca="1"/>
      </c>
      <c r="CA360">
        <f ca="1"/>
      </c>
      <c r="CB360">
        <f ca="1"/>
      </c>
      <c r="CC360">
        <f ca="1"/>
      </c>
      <c r="CD360">
        <f ca="1"/>
      </c>
      <c r="CE360">
        <f ca="1"/>
      </c>
      <c r="CF360">
        <f ca="1"/>
      </c>
      <c r="CG360">
        <f ca="1"/>
      </c>
      <c r="CH360">
        <f ca="1"/>
      </c>
      <c r="CI360">
        <f ca="1"/>
      </c>
      <c r="CK360">
        <f ca="1"/>
      </c>
      <c r="CL360">
        <f ca="1"/>
      </c>
      <c r="CM360">
        <f ca="1"/>
      </c>
      <c r="CN360">
        <f ca="1"/>
      </c>
      <c r="CO360">
        <f ca="1"/>
      </c>
      <c r="CP360">
        <f ca="1"/>
      </c>
      <c r="CQ360">
        <f ca="1"/>
      </c>
      <c r="CR360">
        <f ca="1"/>
      </c>
      <c r="CS360">
        <f ca="1"/>
      </c>
      <c r="CT360">
        <f ca="1"/>
      </c>
      <c r="CU360">
        <f ca="1"/>
      </c>
      <c r="CV360">
        <f ca="1"/>
      </c>
      <c r="CW360">
        <f ca="1"/>
      </c>
      <c r="CX360">
        <f ca="1"/>
      </c>
      <c r="CY360">
        <f ca="1"/>
      </c>
      <c r="CZ360">
        <f ca="1"/>
      </c>
      <c r="DA360">
        <f ca="1"/>
      </c>
      <c r="DB360">
        <f ca="1"/>
      </c>
      <c r="DC360">
        <f ca="1"/>
      </c>
      <c r="DD360">
        <f ca="1"/>
      </c>
      <c r="DE360">
        <f ca="1"/>
      </c>
      <c r="DF360">
        <f ca="1"/>
      </c>
      <c r="DG360">
        <f ca="1"/>
      </c>
      <c r="DH360">
        <f ca="1"/>
      </c>
      <c r="DI360">
        <f ca="1"/>
      </c>
      <c r="DJ360">
        <f ca="1"/>
      </c>
      <c r="DK360">
        <f ca="1"/>
      </c>
      <c r="DL360">
        <f ca="1"/>
      </c>
      <c r="DM360">
        <f ca="1"/>
      </c>
      <c r="DN360">
        <f ca="1"/>
      </c>
      <c r="DO360">
        <f ca="1"/>
      </c>
      <c r="DP360">
        <f ca="1"/>
      </c>
      <c r="DQ360">
        <f ca="1"/>
      </c>
      <c r="DR360">
        <f ca="1"/>
      </c>
      <c r="DS360">
        <f ca="1"/>
      </c>
      <c r="DT360">
        <f ca="1"/>
      </c>
      <c r="DU360">
        <f ca="1"/>
      </c>
      <c r="DV360">
        <f ca="1"/>
      </c>
      <c r="DW360">
        <f ca="1"/>
      </c>
      <c r="DX360">
        <f ca="1"/>
      </c>
      <c r="DY360">
        <f ca="1"/>
      </c>
      <c r="DZ360">
        <f ca="1"/>
      </c>
      <c r="EA360">
        <f ca="1"/>
      </c>
      <c r="EB360">
        <f ca="1"/>
      </c>
      <c r="EC360">
        <f ca="1"/>
      </c>
      <c r="ED360">
        <f ca="1"/>
      </c>
      <c r="EE360">
        <f ca="1"/>
      </c>
      <c r="EG360">
        <f ca="1"/>
      </c>
      <c r="EH360">
        <f ca="1"/>
      </c>
      <c r="EI360">
        <f ca="1"/>
      </c>
      <c r="EJ360">
        <f ca="1"/>
      </c>
      <c r="EK360">
        <f ca="1"/>
      </c>
      <c r="EL360">
        <f ca="1"/>
      </c>
      <c r="EM360">
        <f ca="1"/>
      </c>
      <c r="EN360">
        <f ca="1"/>
      </c>
      <c r="EO360">
        <f ca="1"/>
      </c>
      <c r="EP360">
        <f ca="1"/>
      </c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FS360">
        <f ca="1"/>
      </c>
      <c r="FT360">
        <f ca="1"/>
      </c>
      <c r="FU360">
        <f ca="1"/>
      </c>
      <c r="FV360">
        <f ca="1"/>
      </c>
      <c r="FW360">
        <f ca="1"/>
      </c>
      <c r="FX360">
        <f ca="1"/>
      </c>
      <c r="FY360">
        <f ca="1"/>
      </c>
      <c r="FZ360">
        <f ca="1"/>
      </c>
      <c r="GA360">
        <f ca="1"/>
      </c>
      <c r="GM360" s="7"/>
    </row>
    <row r="361" spans="41:195" x14ac:dyDescent="0.55000000000000004">
      <c r="AO361">
        <f ca="1"/>
      </c>
      <c r="AP361">
        <f ca="1"/>
      </c>
      <c r="AQ361">
        <f ca="1"/>
      </c>
      <c r="AR361">
        <f ca="1"/>
      </c>
      <c r="AS361">
        <f ca="1"/>
      </c>
      <c r="AT361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AZ361">
        <f ca="1"/>
      </c>
      <c r="BA361">
        <f ca="1"/>
      </c>
      <c r="BB361">
        <f ca="1"/>
      </c>
      <c r="BC361">
        <f ca="1"/>
      </c>
      <c r="BD361">
        <f ca="1"/>
      </c>
      <c r="BE361">
        <f ca="1"/>
      </c>
      <c r="BF361">
        <f ca="1"/>
      </c>
      <c r="BG361">
        <f ca="1"/>
      </c>
      <c r="BH361">
        <f ca="1"/>
      </c>
      <c r="BI361">
        <f ca="1"/>
      </c>
      <c r="BJ361">
        <f ca="1"/>
      </c>
      <c r="BK361">
        <f ca="1"/>
      </c>
      <c r="BL361">
        <f ca="1"/>
      </c>
      <c r="BM361">
        <f ca="1"/>
      </c>
      <c r="BN361">
        <f ca="1"/>
      </c>
      <c r="BO361">
        <f ca="1"/>
      </c>
      <c r="BP361">
        <f ca="1"/>
      </c>
      <c r="BQ361">
        <f ca="1"/>
      </c>
      <c r="BR361">
        <f ca="1"/>
      </c>
      <c r="BS361">
        <f ca="1"/>
      </c>
      <c r="BT361">
        <f ca="1"/>
      </c>
      <c r="BU361">
        <f ca="1"/>
      </c>
      <c r="BV361">
        <f ca="1"/>
      </c>
      <c r="BW361">
        <f ca="1"/>
      </c>
      <c r="BX361">
        <f ca="1"/>
      </c>
      <c r="BY361">
        <f ca="1"/>
      </c>
      <c r="BZ361">
        <f ca="1"/>
      </c>
      <c r="CA361">
        <f ca="1"/>
      </c>
      <c r="CB361">
        <f ca="1"/>
      </c>
      <c r="CC361">
        <f ca="1"/>
      </c>
      <c r="CD361">
        <f ca="1"/>
      </c>
      <c r="CE361">
        <f ca="1"/>
      </c>
      <c r="CF361">
        <f ca="1"/>
      </c>
      <c r="CG361">
        <f ca="1"/>
      </c>
      <c r="CH361">
        <f ca="1"/>
      </c>
      <c r="CI361">
        <f ca="1"/>
      </c>
      <c r="CK361">
        <f ca="1"/>
      </c>
      <c r="CL361">
        <f ca="1"/>
      </c>
      <c r="CM361">
        <f ca="1"/>
      </c>
      <c r="CN361">
        <f ca="1"/>
      </c>
      <c r="CO361">
        <f ca="1"/>
      </c>
      <c r="CP361">
        <f ca="1"/>
      </c>
      <c r="CQ361">
        <f ca="1"/>
      </c>
      <c r="CR361">
        <f ca="1"/>
      </c>
      <c r="CS361">
        <f ca="1"/>
      </c>
      <c r="CT361">
        <f ca="1"/>
      </c>
      <c r="CU361">
        <f ca="1"/>
      </c>
      <c r="CV361">
        <f ca="1"/>
      </c>
      <c r="CW361">
        <f ca="1"/>
      </c>
      <c r="CX361">
        <f ca="1"/>
      </c>
      <c r="CY361">
        <f ca="1"/>
      </c>
      <c r="CZ361">
        <f ca="1"/>
      </c>
      <c r="DA361">
        <f ca="1"/>
      </c>
      <c r="DB361">
        <f ca="1"/>
      </c>
      <c r="DC361">
        <f ca="1"/>
      </c>
      <c r="DD361">
        <f ca="1"/>
      </c>
      <c r="DE361">
        <f ca="1"/>
      </c>
      <c r="DF361">
        <f ca="1"/>
      </c>
      <c r="DG361">
        <f ca="1"/>
      </c>
      <c r="DH361">
        <f ca="1"/>
      </c>
      <c r="DI361">
        <f ca="1"/>
      </c>
      <c r="DJ361">
        <f ca="1"/>
      </c>
      <c r="DK361">
        <f ca="1"/>
      </c>
      <c r="DL361">
        <f ca="1"/>
      </c>
      <c r="DM361">
        <f ca="1"/>
      </c>
      <c r="DN361">
        <f ca="1"/>
      </c>
      <c r="DO361">
        <f ca="1"/>
      </c>
      <c r="DP361">
        <f ca="1"/>
      </c>
      <c r="DQ361">
        <f ca="1"/>
      </c>
      <c r="DR361">
        <f ca="1"/>
      </c>
      <c r="DS361">
        <f ca="1"/>
      </c>
      <c r="DT361">
        <f ca="1"/>
      </c>
      <c r="DU361">
        <f ca="1"/>
      </c>
      <c r="DV361">
        <f ca="1"/>
      </c>
      <c r="DW361">
        <f ca="1"/>
      </c>
      <c r="DX361">
        <f ca="1"/>
      </c>
      <c r="DY361">
        <f ca="1"/>
      </c>
      <c r="DZ361">
        <f ca="1"/>
      </c>
      <c r="EA361">
        <f ca="1"/>
      </c>
      <c r="EB361">
        <f ca="1"/>
      </c>
      <c r="EC361">
        <f ca="1"/>
      </c>
      <c r="ED361">
        <f ca="1"/>
      </c>
      <c r="EE361">
        <f ca="1"/>
      </c>
      <c r="EG361">
        <f ca="1"/>
      </c>
      <c r="EH361">
        <f ca="1"/>
      </c>
      <c r="EI361">
        <f ca="1"/>
      </c>
      <c r="EJ361">
        <f ca="1"/>
      </c>
      <c r="EK361">
        <f ca="1"/>
      </c>
      <c r="EL361">
        <f ca="1"/>
      </c>
      <c r="EM361">
        <f ca="1"/>
      </c>
      <c r="EN361">
        <f ca="1"/>
      </c>
      <c r="EO361">
        <f ca="1"/>
      </c>
      <c r="EP361">
        <f ca="1"/>
      </c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FS361">
        <f ca="1"/>
      </c>
      <c r="FT361">
        <f ca="1"/>
      </c>
      <c r="FU361">
        <f ca="1"/>
      </c>
      <c r="FV361">
        <f ca="1"/>
      </c>
      <c r="FW361">
        <f ca="1"/>
      </c>
      <c r="FX361">
        <f ca="1"/>
      </c>
      <c r="FY361">
        <f ca="1"/>
      </c>
      <c r="FZ361">
        <f ca="1"/>
      </c>
      <c r="GA361">
        <f ca="1"/>
      </c>
      <c r="GM361" s="7"/>
    </row>
    <row r="362" spans="41:195" x14ac:dyDescent="0.55000000000000004">
      <c r="AO362">
        <f ca="1"/>
      </c>
      <c r="AP362">
        <f ca="1"/>
      </c>
      <c r="AQ362">
        <f ca="1"/>
      </c>
      <c r="AR362">
        <f ca="1"/>
      </c>
      <c r="AS362">
        <f ca="1"/>
      </c>
      <c r="AT362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AZ362">
        <f ca="1"/>
      </c>
      <c r="BA362">
        <f ca="1"/>
      </c>
      <c r="BB362">
        <f ca="1"/>
      </c>
      <c r="BC362">
        <f ca="1"/>
      </c>
      <c r="BD362">
        <f ca="1"/>
      </c>
      <c r="BE362">
        <f ca="1"/>
      </c>
      <c r="BF362">
        <f ca="1"/>
      </c>
      <c r="BG362">
        <f ca="1"/>
      </c>
      <c r="BH362">
        <f ca="1"/>
      </c>
      <c r="BI362">
        <f ca="1"/>
      </c>
      <c r="BJ362">
        <f ca="1"/>
      </c>
      <c r="BK362">
        <f ca="1"/>
      </c>
      <c r="BL362">
        <f ca="1"/>
      </c>
      <c r="BM362">
        <f ca="1"/>
      </c>
      <c r="BN362">
        <f ca="1"/>
      </c>
      <c r="BO362">
        <f ca="1"/>
      </c>
      <c r="BP362">
        <f ca="1"/>
      </c>
      <c r="BQ362">
        <f ca="1"/>
      </c>
      <c r="BR362">
        <f ca="1"/>
      </c>
      <c r="BS362">
        <f ca="1"/>
      </c>
      <c r="BT362">
        <f ca="1"/>
      </c>
      <c r="BU362">
        <f ca="1"/>
      </c>
      <c r="BV362">
        <f ca="1"/>
      </c>
      <c r="BW362">
        <f ca="1"/>
      </c>
      <c r="BX362">
        <f ca="1"/>
      </c>
      <c r="BY362">
        <f ca="1"/>
      </c>
      <c r="BZ362">
        <f ca="1"/>
      </c>
      <c r="CA362">
        <f ca="1"/>
      </c>
      <c r="CB362">
        <f ca="1"/>
      </c>
      <c r="CC362">
        <f ca="1"/>
      </c>
      <c r="CD362">
        <f ca="1"/>
      </c>
      <c r="CE362">
        <f ca="1"/>
      </c>
      <c r="CF362">
        <f ca="1"/>
      </c>
      <c r="CG362">
        <f ca="1"/>
      </c>
      <c r="CH362">
        <f ca="1"/>
      </c>
      <c r="CI362">
        <f ca="1"/>
      </c>
      <c r="CK362">
        <f ca="1"/>
      </c>
      <c r="CL362">
        <f ca="1"/>
      </c>
      <c r="CM362">
        <f ca="1"/>
      </c>
      <c r="CN362">
        <f ca="1"/>
      </c>
      <c r="CO362">
        <f ca="1"/>
      </c>
      <c r="CP362">
        <f ca="1"/>
      </c>
      <c r="CQ362">
        <f ca="1"/>
      </c>
      <c r="CR362">
        <f ca="1"/>
      </c>
      <c r="CS362">
        <f ca="1"/>
      </c>
      <c r="CT362">
        <f ca="1"/>
      </c>
      <c r="CU362">
        <f ca="1"/>
      </c>
      <c r="CV362">
        <f ca="1"/>
      </c>
      <c r="CW362">
        <f ca="1"/>
      </c>
      <c r="CX362">
        <f ca="1"/>
      </c>
      <c r="CY362">
        <f ca="1"/>
      </c>
      <c r="CZ362">
        <f ca="1"/>
      </c>
      <c r="DA362">
        <f ca="1"/>
      </c>
      <c r="DB362">
        <f ca="1"/>
      </c>
      <c r="DC362">
        <f ca="1"/>
      </c>
      <c r="DD362">
        <f ca="1"/>
      </c>
      <c r="DE362">
        <f ca="1"/>
      </c>
      <c r="DF362">
        <f ca="1"/>
      </c>
      <c r="DG362">
        <f ca="1"/>
      </c>
      <c r="DH362">
        <f ca="1"/>
      </c>
      <c r="DI362">
        <f ca="1"/>
      </c>
      <c r="DJ362">
        <f ca="1"/>
      </c>
      <c r="DK362">
        <f ca="1"/>
      </c>
      <c r="DL362">
        <f ca="1"/>
      </c>
      <c r="DM362">
        <f ca="1"/>
      </c>
      <c r="DN362">
        <f ca="1"/>
      </c>
      <c r="DO362">
        <f ca="1"/>
      </c>
      <c r="DP362">
        <f ca="1"/>
      </c>
      <c r="DQ362">
        <f ca="1"/>
      </c>
      <c r="DR362">
        <f ca="1"/>
      </c>
      <c r="DS362">
        <f ca="1"/>
      </c>
      <c r="DT362">
        <f ca="1"/>
      </c>
      <c r="DU362">
        <f ca="1"/>
      </c>
      <c r="DV362">
        <f ca="1"/>
      </c>
      <c r="DW362">
        <f ca="1"/>
      </c>
      <c r="DX362">
        <f ca="1"/>
      </c>
      <c r="DY362">
        <f ca="1"/>
      </c>
      <c r="DZ362">
        <f ca="1"/>
      </c>
      <c r="EA362">
        <f ca="1"/>
      </c>
      <c r="EB362">
        <f ca="1"/>
      </c>
      <c r="EC362">
        <f ca="1"/>
      </c>
      <c r="ED362">
        <f ca="1"/>
      </c>
      <c r="EE362">
        <f ca="1"/>
      </c>
      <c r="EG362">
        <f ca="1"/>
      </c>
      <c r="EH362">
        <f ca="1"/>
      </c>
      <c r="EI362">
        <f ca="1"/>
      </c>
      <c r="EJ362">
        <f ca="1"/>
      </c>
      <c r="EK362">
        <f ca="1"/>
      </c>
      <c r="EL362">
        <f ca="1"/>
      </c>
      <c r="EM362">
        <f ca="1"/>
      </c>
      <c r="EN362">
        <f ca="1"/>
      </c>
      <c r="EO362">
        <f ca="1"/>
      </c>
      <c r="EP362">
        <f ca="1"/>
      </c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FS362">
        <f ca="1"/>
      </c>
      <c r="FT362">
        <f ca="1"/>
      </c>
      <c r="FU362">
        <f ca="1"/>
      </c>
      <c r="FV362">
        <f ca="1"/>
      </c>
      <c r="FW362">
        <f ca="1"/>
      </c>
      <c r="FX362">
        <f ca="1"/>
      </c>
      <c r="FY362">
        <f ca="1"/>
      </c>
      <c r="FZ362">
        <f ca="1"/>
      </c>
      <c r="GA362">
        <f ca="1"/>
      </c>
      <c r="GM362" s="7"/>
    </row>
    <row r="363" spans="41:195" x14ac:dyDescent="0.55000000000000004">
      <c r="AO363">
        <f ca="1"/>
      </c>
      <c r="AP363">
        <f ca="1"/>
      </c>
      <c r="AQ363">
        <f ca="1"/>
      </c>
      <c r="AR363">
        <f ca="1"/>
      </c>
      <c r="AS363">
        <f ca="1"/>
      </c>
      <c r="AT363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AZ363">
        <f ca="1"/>
      </c>
      <c r="BA363">
        <f ca="1"/>
      </c>
      <c r="BB363">
        <f ca="1"/>
      </c>
      <c r="BC363">
        <f ca="1"/>
      </c>
      <c r="BD363">
        <f ca="1"/>
      </c>
      <c r="BE363">
        <f ca="1"/>
      </c>
      <c r="BF363">
        <f ca="1"/>
      </c>
      <c r="BG363">
        <f ca="1"/>
      </c>
      <c r="BH363">
        <f ca="1"/>
      </c>
      <c r="BI363">
        <f ca="1"/>
      </c>
      <c r="BJ363">
        <f ca="1"/>
      </c>
      <c r="BK363">
        <f ca="1"/>
      </c>
      <c r="BL363">
        <f ca="1"/>
      </c>
      <c r="BM363">
        <f ca="1"/>
      </c>
      <c r="BN363">
        <f ca="1"/>
      </c>
      <c r="BO363">
        <f ca="1"/>
      </c>
      <c r="BP363">
        <f ca="1"/>
      </c>
      <c r="BQ363">
        <f ca="1"/>
      </c>
      <c r="BR363">
        <f ca="1"/>
      </c>
      <c r="BS363">
        <f ca="1"/>
      </c>
      <c r="BT363">
        <f ca="1"/>
      </c>
      <c r="BU363">
        <f ca="1"/>
      </c>
      <c r="BV363">
        <f ca="1"/>
      </c>
      <c r="BW363">
        <f ca="1"/>
      </c>
      <c r="BX363">
        <f ca="1"/>
      </c>
      <c r="BY363">
        <f ca="1"/>
      </c>
      <c r="BZ363">
        <f ca="1"/>
      </c>
      <c r="CA363">
        <f ca="1"/>
      </c>
      <c r="CB363">
        <f ca="1"/>
      </c>
      <c r="CC363">
        <f ca="1"/>
      </c>
      <c r="CD363">
        <f ca="1"/>
      </c>
      <c r="CE363">
        <f ca="1"/>
      </c>
      <c r="CF363">
        <f ca="1"/>
      </c>
      <c r="CG363">
        <f ca="1"/>
      </c>
      <c r="CH363">
        <f ca="1"/>
      </c>
      <c r="CI363">
        <f ca="1"/>
      </c>
      <c r="CK363">
        <f ca="1"/>
      </c>
      <c r="CL363">
        <f ca="1"/>
      </c>
      <c r="CM363">
        <f ca="1"/>
      </c>
      <c r="CN363">
        <f ca="1"/>
      </c>
      <c r="CO363">
        <f ca="1"/>
      </c>
      <c r="CP363">
        <f ca="1"/>
      </c>
      <c r="CQ363">
        <f ca="1"/>
      </c>
      <c r="CR363">
        <f ca="1"/>
      </c>
      <c r="CS363">
        <f ca="1"/>
      </c>
      <c r="CT363">
        <f ca="1"/>
      </c>
      <c r="CU363">
        <f ca="1"/>
      </c>
      <c r="CV363">
        <f ca="1"/>
      </c>
      <c r="CW363">
        <f ca="1"/>
      </c>
      <c r="CX363">
        <f ca="1"/>
      </c>
      <c r="CY363">
        <f ca="1"/>
      </c>
      <c r="CZ363">
        <f ca="1"/>
      </c>
      <c r="DA363">
        <f ca="1"/>
      </c>
      <c r="DB363">
        <f ca="1"/>
      </c>
      <c r="DC363">
        <f ca="1"/>
      </c>
      <c r="DD363">
        <f ca="1"/>
      </c>
      <c r="DE363">
        <f ca="1"/>
      </c>
      <c r="DF363">
        <f ca="1"/>
      </c>
      <c r="DG363">
        <f ca="1"/>
      </c>
      <c r="DH363">
        <f ca="1"/>
      </c>
      <c r="DI363">
        <f ca="1"/>
      </c>
      <c r="DJ363">
        <f ca="1"/>
      </c>
      <c r="DK363">
        <f ca="1"/>
      </c>
      <c r="DL363">
        <f ca="1"/>
      </c>
      <c r="DM363">
        <f ca="1"/>
      </c>
      <c r="DN363">
        <f ca="1"/>
      </c>
      <c r="DO363">
        <f ca="1"/>
      </c>
      <c r="DP363">
        <f ca="1"/>
      </c>
      <c r="DQ363">
        <f ca="1"/>
      </c>
      <c r="DR363">
        <f ca="1"/>
      </c>
      <c r="DS363">
        <f ca="1"/>
      </c>
      <c r="DT363">
        <f ca="1"/>
      </c>
      <c r="DU363">
        <f ca="1"/>
      </c>
      <c r="DV363">
        <f ca="1"/>
      </c>
      <c r="DW363">
        <f ca="1"/>
      </c>
      <c r="DX363">
        <f ca="1"/>
      </c>
      <c r="DY363">
        <f ca="1"/>
      </c>
      <c r="DZ363">
        <f ca="1"/>
      </c>
      <c r="EA363">
        <f ca="1"/>
      </c>
      <c r="EB363">
        <f ca="1"/>
      </c>
      <c r="EC363">
        <f ca="1"/>
      </c>
      <c r="ED363">
        <f ca="1"/>
      </c>
      <c r="EE363">
        <f ca="1"/>
      </c>
      <c r="EG363">
        <f ca="1"/>
      </c>
      <c r="EH363">
        <f ca="1"/>
      </c>
      <c r="EI363">
        <f ca="1"/>
      </c>
      <c r="EJ363">
        <f ca="1"/>
      </c>
      <c r="EK363">
        <f ca="1"/>
      </c>
      <c r="EL363">
        <f ca="1"/>
      </c>
      <c r="EM363">
        <f ca="1"/>
      </c>
      <c r="EN363">
        <f ca="1"/>
      </c>
      <c r="EO363">
        <f ca="1"/>
      </c>
      <c r="EP363">
        <f ca="1"/>
      </c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FS363">
        <f ca="1"/>
      </c>
      <c r="FT363">
        <f ca="1"/>
      </c>
      <c r="FU363">
        <f ca="1"/>
      </c>
      <c r="FV363">
        <f ca="1"/>
      </c>
      <c r="FW363">
        <f ca="1"/>
      </c>
      <c r="FX363">
        <f ca="1"/>
      </c>
      <c r="FY363">
        <f ca="1"/>
      </c>
      <c r="FZ363">
        <f ca="1"/>
      </c>
      <c r="GA363">
        <f ca="1"/>
      </c>
      <c r="GM363" s="7"/>
    </row>
    <row r="364" spans="41:195" x14ac:dyDescent="0.55000000000000004">
      <c r="AO364">
        <f ca="1"/>
      </c>
      <c r="AP364">
        <f ca="1"/>
      </c>
      <c r="AQ364">
        <f ca="1"/>
      </c>
      <c r="AR364">
        <f ca="1"/>
      </c>
      <c r="AS364">
        <f ca="1"/>
      </c>
      <c r="AT364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AZ364">
        <f ca="1"/>
      </c>
      <c r="BA364">
        <f ca="1"/>
      </c>
      <c r="BB364">
        <f ca="1"/>
      </c>
      <c r="BC364">
        <f ca="1"/>
      </c>
      <c r="BD364">
        <f ca="1"/>
      </c>
      <c r="BE364">
        <f ca="1"/>
      </c>
      <c r="BF364">
        <f ca="1"/>
      </c>
      <c r="BG364">
        <f ca="1"/>
      </c>
      <c r="BH364">
        <f ca="1"/>
      </c>
      <c r="BI364">
        <f ca="1"/>
      </c>
      <c r="BJ364">
        <f ca="1"/>
      </c>
      <c r="BK364">
        <f ca="1"/>
      </c>
      <c r="BL364">
        <f ca="1"/>
      </c>
      <c r="BM364">
        <f ca="1"/>
      </c>
      <c r="BN364">
        <f ca="1"/>
      </c>
      <c r="BO364">
        <f ca="1"/>
      </c>
      <c r="BP364">
        <f ca="1"/>
      </c>
      <c r="BQ364">
        <f ca="1"/>
      </c>
      <c r="BR364">
        <f ca="1"/>
      </c>
      <c r="BS364">
        <f ca="1"/>
      </c>
      <c r="BT364">
        <f ca="1"/>
      </c>
      <c r="BU364">
        <f ca="1"/>
      </c>
      <c r="BV364">
        <f ca="1"/>
      </c>
      <c r="BW364">
        <f ca="1"/>
      </c>
      <c r="BX364">
        <f ca="1"/>
      </c>
      <c r="BY364">
        <f ca="1"/>
      </c>
      <c r="BZ364">
        <f ca="1"/>
      </c>
      <c r="CA364">
        <f ca="1"/>
      </c>
      <c r="CB364">
        <f ca="1"/>
      </c>
      <c r="CC364">
        <f ca="1"/>
      </c>
      <c r="CD364">
        <f ca="1"/>
      </c>
      <c r="CE364">
        <f ca="1"/>
      </c>
      <c r="CF364">
        <f ca="1"/>
      </c>
      <c r="CG364">
        <f ca="1"/>
      </c>
      <c r="CH364">
        <f ca="1"/>
      </c>
      <c r="CI364">
        <f ca="1"/>
      </c>
      <c r="CK364">
        <f ca="1"/>
      </c>
      <c r="CL364">
        <f ca="1"/>
      </c>
      <c r="CM364">
        <f ca="1"/>
      </c>
      <c r="CN364">
        <f ca="1"/>
      </c>
      <c r="CO364">
        <f ca="1"/>
      </c>
      <c r="CP364">
        <f ca="1"/>
      </c>
      <c r="CQ364">
        <f ca="1"/>
      </c>
      <c r="CR364">
        <f ca="1"/>
      </c>
      <c r="CS364">
        <f ca="1"/>
      </c>
      <c r="CT364">
        <f ca="1"/>
      </c>
      <c r="CU364">
        <f ca="1"/>
      </c>
      <c r="CV364">
        <f ca="1"/>
      </c>
      <c r="CW364">
        <f ca="1"/>
      </c>
      <c r="CX364">
        <f ca="1"/>
      </c>
      <c r="CY364">
        <f ca="1"/>
      </c>
      <c r="CZ364">
        <f ca="1"/>
      </c>
      <c r="DA364">
        <f ca="1"/>
      </c>
      <c r="DB364">
        <f ca="1"/>
      </c>
      <c r="DC364">
        <f ca="1"/>
      </c>
      <c r="DD364">
        <f ca="1"/>
      </c>
      <c r="DE364">
        <f ca="1"/>
      </c>
      <c r="DF364">
        <f ca="1"/>
      </c>
      <c r="DG364">
        <f ca="1"/>
      </c>
      <c r="DH364">
        <f ca="1"/>
      </c>
      <c r="DI364">
        <f ca="1"/>
      </c>
      <c r="DJ364">
        <f ca="1"/>
      </c>
      <c r="DK364">
        <f ca="1"/>
      </c>
      <c r="DL364">
        <f ca="1"/>
      </c>
      <c r="DM364">
        <f ca="1"/>
      </c>
      <c r="DN364">
        <f ca="1"/>
      </c>
      <c r="DO364">
        <f ca="1"/>
      </c>
      <c r="DP364">
        <f ca="1"/>
      </c>
      <c r="DQ364">
        <f ca="1"/>
      </c>
      <c r="DR364">
        <f ca="1"/>
      </c>
      <c r="DS364">
        <f ca="1"/>
      </c>
      <c r="DT364">
        <f ca="1"/>
      </c>
      <c r="DU364">
        <f ca="1"/>
      </c>
      <c r="DV364">
        <f ca="1"/>
      </c>
      <c r="DW364">
        <f ca="1"/>
      </c>
      <c r="DX364">
        <f ca="1"/>
      </c>
      <c r="DY364">
        <f ca="1"/>
      </c>
      <c r="DZ364">
        <f ca="1"/>
      </c>
      <c r="EA364">
        <f ca="1"/>
      </c>
      <c r="EB364">
        <f ca="1"/>
      </c>
      <c r="EC364">
        <f ca="1"/>
      </c>
      <c r="ED364">
        <f ca="1"/>
      </c>
      <c r="EE364">
        <f ca="1"/>
      </c>
      <c r="EG364">
        <f ca="1"/>
      </c>
      <c r="EH364">
        <f ca="1"/>
      </c>
      <c r="EI364">
        <f ca="1"/>
      </c>
      <c r="EJ364">
        <f ca="1"/>
      </c>
      <c r="EK364">
        <f ca="1"/>
      </c>
      <c r="EL364">
        <f ca="1"/>
      </c>
      <c r="EM364">
        <f ca="1"/>
      </c>
      <c r="EN364">
        <f ca="1"/>
      </c>
      <c r="EO364">
        <f ca="1"/>
      </c>
      <c r="EP364">
        <f ca="1"/>
      </c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FS364">
        <f ca="1"/>
      </c>
      <c r="FT364">
        <f ca="1"/>
      </c>
      <c r="FU364">
        <f ca="1"/>
      </c>
      <c r="FV364">
        <f ca="1"/>
      </c>
      <c r="FW364">
        <f ca="1"/>
      </c>
      <c r="FX364">
        <f ca="1"/>
      </c>
      <c r="FY364">
        <f ca="1"/>
      </c>
      <c r="FZ364">
        <f ca="1"/>
      </c>
      <c r="GA364">
        <f ca="1"/>
      </c>
      <c r="GM364" s="7"/>
    </row>
    <row r="365" spans="41:195" x14ac:dyDescent="0.55000000000000004">
      <c r="AO365">
        <f ca="1"/>
      </c>
      <c r="AP365">
        <f ca="1"/>
      </c>
      <c r="AQ365">
        <f ca="1"/>
      </c>
      <c r="AR365">
        <f ca="1"/>
      </c>
      <c r="AS365">
        <f ca="1"/>
      </c>
      <c r="AT365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AZ365">
        <f ca="1"/>
      </c>
      <c r="BA365">
        <f ca="1"/>
      </c>
      <c r="BB365">
        <f ca="1"/>
      </c>
      <c r="BC365">
        <f ca="1"/>
      </c>
      <c r="BD365">
        <f ca="1"/>
      </c>
      <c r="BE365">
        <f ca="1"/>
      </c>
      <c r="BF365">
        <f ca="1"/>
      </c>
      <c r="BG365">
        <f ca="1"/>
      </c>
      <c r="BH365">
        <f ca="1"/>
      </c>
      <c r="BI365">
        <f ca="1"/>
      </c>
      <c r="BJ365">
        <f ca="1"/>
      </c>
      <c r="BK365">
        <f ca="1"/>
      </c>
      <c r="BL365">
        <f ca="1"/>
      </c>
      <c r="BM365">
        <f ca="1"/>
      </c>
      <c r="BN365">
        <f ca="1"/>
      </c>
      <c r="BO365">
        <f ca="1"/>
      </c>
      <c r="BP365">
        <f ca="1"/>
      </c>
      <c r="BQ365">
        <f ca="1"/>
      </c>
      <c r="BR365">
        <f ca="1"/>
      </c>
      <c r="BS365">
        <f ca="1"/>
      </c>
      <c r="BT365">
        <f ca="1"/>
      </c>
      <c r="BU365">
        <f ca="1"/>
      </c>
      <c r="BV365">
        <f ca="1"/>
      </c>
      <c r="BW365">
        <f ca="1"/>
      </c>
      <c r="BX365">
        <f ca="1"/>
      </c>
      <c r="BY365">
        <f ca="1"/>
      </c>
      <c r="BZ365">
        <f ca="1"/>
      </c>
      <c r="CA365">
        <f ca="1"/>
      </c>
      <c r="CB365">
        <f ca="1"/>
      </c>
      <c r="CC365">
        <f ca="1"/>
      </c>
      <c r="CD365">
        <f ca="1"/>
      </c>
      <c r="CE365">
        <f ca="1"/>
      </c>
      <c r="CF365">
        <f ca="1"/>
      </c>
      <c r="CG365">
        <f ca="1"/>
      </c>
      <c r="CH365">
        <f ca="1"/>
      </c>
      <c r="CI365">
        <f ca="1"/>
      </c>
      <c r="CK365">
        <f ca="1"/>
      </c>
      <c r="CL365">
        <f ca="1"/>
      </c>
      <c r="CM365">
        <f ca="1"/>
      </c>
      <c r="CN365">
        <f ca="1"/>
      </c>
      <c r="CO365">
        <f ca="1"/>
      </c>
      <c r="CP365">
        <f ca="1"/>
      </c>
      <c r="CQ365">
        <f ca="1"/>
      </c>
      <c r="CR365">
        <f ca="1"/>
      </c>
      <c r="CS365">
        <f ca="1"/>
      </c>
      <c r="CT365">
        <f ca="1"/>
      </c>
      <c r="CU365">
        <f ca="1"/>
      </c>
      <c r="CV365">
        <f ca="1"/>
      </c>
      <c r="CW365">
        <f ca="1"/>
      </c>
      <c r="CX365">
        <f ca="1"/>
      </c>
      <c r="CY365">
        <f ca="1"/>
      </c>
      <c r="CZ365">
        <f ca="1"/>
      </c>
      <c r="DA365">
        <f ca="1"/>
      </c>
      <c r="DB365">
        <f ca="1"/>
      </c>
      <c r="DC365">
        <f ca="1"/>
      </c>
      <c r="DD365">
        <f ca="1"/>
      </c>
      <c r="DE365">
        <f ca="1"/>
      </c>
      <c r="DF365">
        <f ca="1"/>
      </c>
      <c r="DG365">
        <f ca="1"/>
      </c>
      <c r="DH365">
        <f ca="1"/>
      </c>
      <c r="DI365">
        <f ca="1"/>
      </c>
      <c r="DJ365">
        <f ca="1"/>
      </c>
      <c r="DK365">
        <f ca="1"/>
      </c>
      <c r="DL365">
        <f ca="1"/>
      </c>
      <c r="DM365">
        <f ca="1"/>
      </c>
      <c r="DN365">
        <f ca="1"/>
      </c>
      <c r="DO365">
        <f ca="1"/>
      </c>
      <c r="DP365">
        <f ca="1"/>
      </c>
      <c r="DQ365">
        <f ca="1"/>
      </c>
      <c r="DR365">
        <f ca="1"/>
      </c>
      <c r="DS365">
        <f ca="1"/>
      </c>
      <c r="DT365">
        <f ca="1"/>
      </c>
      <c r="DU365">
        <f ca="1"/>
      </c>
      <c r="DV365">
        <f ca="1"/>
      </c>
      <c r="DW365">
        <f ca="1"/>
      </c>
      <c r="DX365">
        <f ca="1"/>
      </c>
      <c r="DY365">
        <f ca="1"/>
      </c>
      <c r="DZ365">
        <f ca="1"/>
      </c>
      <c r="EA365">
        <f ca="1"/>
      </c>
      <c r="EB365">
        <f ca="1"/>
      </c>
      <c r="EC365">
        <f ca="1"/>
      </c>
      <c r="ED365">
        <f ca="1"/>
      </c>
      <c r="EE365">
        <f ca="1"/>
      </c>
      <c r="EG365">
        <f ca="1"/>
      </c>
      <c r="EH365">
        <f ca="1"/>
      </c>
      <c r="EI365">
        <f ca="1"/>
      </c>
      <c r="EJ365">
        <f ca="1"/>
      </c>
      <c r="EK365">
        <f ca="1"/>
      </c>
      <c r="EL365">
        <f ca="1"/>
      </c>
      <c r="EM365">
        <f ca="1"/>
      </c>
      <c r="EN365">
        <f ca="1"/>
      </c>
      <c r="EO365">
        <f ca="1"/>
      </c>
      <c r="EP365">
        <f ca="1"/>
      </c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FS365">
        <f ca="1"/>
      </c>
      <c r="FT365">
        <f ca="1"/>
      </c>
      <c r="FU365">
        <f ca="1"/>
      </c>
      <c r="FV365">
        <f ca="1"/>
      </c>
      <c r="FW365">
        <f ca="1"/>
      </c>
      <c r="FX365">
        <f ca="1"/>
      </c>
      <c r="FY365">
        <f ca="1"/>
      </c>
      <c r="FZ365">
        <f ca="1"/>
      </c>
      <c r="GA365">
        <f ca="1"/>
      </c>
      <c r="GM365" s="7"/>
    </row>
    <row r="366" spans="41:195" x14ac:dyDescent="0.55000000000000004">
      <c r="AO366">
        <f ca="1"/>
      </c>
      <c r="AP366">
        <f ca="1"/>
      </c>
      <c r="AQ366">
        <f ca="1"/>
      </c>
      <c r="AR366">
        <f ca="1"/>
      </c>
      <c r="AS366">
        <f ca="1"/>
      </c>
      <c r="AT366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AZ366">
        <f ca="1"/>
      </c>
      <c r="BA366">
        <f ca="1"/>
      </c>
      <c r="BB366">
        <f ca="1"/>
      </c>
      <c r="BC366">
        <f ca="1"/>
      </c>
      <c r="BD366">
        <f ca="1"/>
      </c>
      <c r="BE366">
        <f ca="1"/>
      </c>
      <c r="BF366">
        <f ca="1"/>
      </c>
      <c r="BG366">
        <f ca="1"/>
      </c>
      <c r="BH366">
        <f ca="1"/>
      </c>
      <c r="BI366">
        <f ca="1"/>
      </c>
      <c r="BJ366">
        <f ca="1"/>
      </c>
      <c r="BK366">
        <f ca="1"/>
      </c>
      <c r="BL366">
        <f ca="1"/>
      </c>
      <c r="BM366">
        <f ca="1"/>
      </c>
      <c r="BN366">
        <f ca="1"/>
      </c>
      <c r="BO366">
        <f ca="1"/>
      </c>
      <c r="BP366">
        <f ca="1"/>
      </c>
      <c r="BQ366">
        <f ca="1"/>
      </c>
      <c r="BR366">
        <f ca="1"/>
      </c>
      <c r="BS366">
        <f ca="1"/>
      </c>
      <c r="BT366">
        <f ca="1"/>
      </c>
      <c r="BU366">
        <f ca="1"/>
      </c>
      <c r="BV366">
        <f ca="1"/>
      </c>
      <c r="BW366">
        <f ca="1"/>
      </c>
      <c r="BX366">
        <f ca="1"/>
      </c>
      <c r="BY366">
        <f ca="1"/>
      </c>
      <c r="BZ366">
        <f ca="1"/>
      </c>
      <c r="CA366">
        <f ca="1"/>
      </c>
      <c r="CB366">
        <f ca="1"/>
      </c>
      <c r="CC366">
        <f ca="1"/>
      </c>
      <c r="CD366">
        <f ca="1"/>
      </c>
      <c r="CE366">
        <f ca="1"/>
      </c>
      <c r="CF366">
        <f ca="1"/>
      </c>
      <c r="CG366">
        <f ca="1"/>
      </c>
      <c r="CH366">
        <f ca="1"/>
      </c>
      <c r="CI366">
        <f ca="1"/>
      </c>
      <c r="CK366">
        <f ca="1"/>
      </c>
      <c r="CL366">
        <f ca="1"/>
      </c>
      <c r="CM366">
        <f ca="1"/>
      </c>
      <c r="CN366">
        <f ca="1"/>
      </c>
      <c r="CO366">
        <f ca="1"/>
      </c>
      <c r="CP366">
        <f ca="1"/>
      </c>
      <c r="CQ366">
        <f ca="1"/>
      </c>
      <c r="CR366">
        <f ca="1"/>
      </c>
      <c r="CS366">
        <f ca="1"/>
      </c>
      <c r="CT366">
        <f ca="1"/>
      </c>
      <c r="CU366">
        <f ca="1"/>
      </c>
      <c r="CV366">
        <f ca="1"/>
      </c>
      <c r="CW366">
        <f ca="1"/>
      </c>
      <c r="CX366">
        <f ca="1"/>
      </c>
      <c r="CY366">
        <f ca="1"/>
      </c>
      <c r="CZ366">
        <f ca="1"/>
      </c>
      <c r="DA366">
        <f ca="1"/>
      </c>
      <c r="DB366">
        <f ca="1"/>
      </c>
      <c r="DC366">
        <f ca="1"/>
      </c>
      <c r="DD366">
        <f ca="1"/>
      </c>
      <c r="DE366">
        <f ca="1"/>
      </c>
      <c r="DF366">
        <f ca="1"/>
      </c>
      <c r="DG366">
        <f ca="1"/>
      </c>
      <c r="DH366">
        <f ca="1"/>
      </c>
      <c r="DI366">
        <f ca="1"/>
      </c>
      <c r="DJ366">
        <f ca="1"/>
      </c>
      <c r="DK366">
        <f ca="1"/>
      </c>
      <c r="DL366">
        <f ca="1"/>
      </c>
      <c r="DM366">
        <f ca="1"/>
      </c>
      <c r="DN366">
        <f ca="1"/>
      </c>
      <c r="DO366">
        <f ca="1"/>
      </c>
      <c r="DP366">
        <f ca="1"/>
      </c>
      <c r="DQ366">
        <f ca="1"/>
      </c>
      <c r="DR366">
        <f ca="1"/>
      </c>
      <c r="DS366">
        <f ca="1"/>
      </c>
      <c r="DT366">
        <f ca="1"/>
      </c>
      <c r="DU366">
        <f ca="1"/>
      </c>
      <c r="DV366">
        <f ca="1"/>
      </c>
      <c r="DW366">
        <f ca="1"/>
      </c>
      <c r="DX366">
        <f ca="1"/>
      </c>
      <c r="DY366">
        <f ca="1"/>
      </c>
      <c r="DZ366">
        <f ca="1"/>
      </c>
      <c r="EA366">
        <f ca="1"/>
      </c>
      <c r="EB366">
        <f ca="1"/>
      </c>
      <c r="EC366">
        <f ca="1"/>
      </c>
      <c r="ED366">
        <f ca="1"/>
      </c>
      <c r="EE366">
        <f ca="1"/>
      </c>
      <c r="EG366">
        <f ca="1"/>
      </c>
      <c r="EH366">
        <f ca="1"/>
      </c>
      <c r="EI366">
        <f ca="1"/>
      </c>
      <c r="EJ366">
        <f ca="1"/>
      </c>
      <c r="EK366">
        <f ca="1"/>
      </c>
      <c r="EL366">
        <f ca="1"/>
      </c>
      <c r="EM366">
        <f ca="1"/>
      </c>
      <c r="EN366">
        <f ca="1"/>
      </c>
      <c r="EO366">
        <f ca="1"/>
      </c>
      <c r="EP366">
        <f ca="1"/>
      </c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FS366">
        <f ca="1"/>
      </c>
      <c r="FT366">
        <f ca="1"/>
      </c>
      <c r="FU366">
        <f ca="1"/>
      </c>
      <c r="FV366">
        <f ca="1"/>
      </c>
      <c r="FW366">
        <f ca="1"/>
      </c>
      <c r="FX366">
        <f ca="1"/>
      </c>
      <c r="FY366">
        <f ca="1"/>
      </c>
      <c r="FZ366">
        <f ca="1"/>
      </c>
      <c r="GA366">
        <f ca="1"/>
      </c>
      <c r="GM366" s="7"/>
    </row>
    <row r="367" spans="41:195" x14ac:dyDescent="0.55000000000000004">
      <c r="AO367">
        <f ca="1"/>
      </c>
      <c r="AP367">
        <f ca="1"/>
      </c>
      <c r="AQ367">
        <f ca="1"/>
      </c>
      <c r="AR367">
        <f ca="1"/>
      </c>
      <c r="AS367">
        <f ca="1"/>
      </c>
      <c r="AT36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AZ367">
        <f ca="1"/>
      </c>
      <c r="BA367">
        <f ca="1"/>
      </c>
      <c r="BB367">
        <f ca="1"/>
      </c>
      <c r="BC367">
        <f ca="1"/>
      </c>
      <c r="BD367">
        <f ca="1"/>
      </c>
      <c r="BE367">
        <f ca="1"/>
      </c>
      <c r="BF367">
        <f ca="1"/>
      </c>
      <c r="BG367">
        <f ca="1"/>
      </c>
      <c r="BH367">
        <f ca="1"/>
      </c>
      <c r="BI367">
        <f ca="1"/>
      </c>
      <c r="BJ367">
        <f ca="1"/>
      </c>
      <c r="BK367">
        <f ca="1"/>
      </c>
      <c r="BL367">
        <f ca="1"/>
      </c>
      <c r="BM367">
        <f ca="1"/>
      </c>
      <c r="BN367">
        <f ca="1"/>
      </c>
      <c r="BO367">
        <f ca="1"/>
      </c>
      <c r="BP367">
        <f ca="1"/>
      </c>
      <c r="BQ367">
        <f ca="1"/>
      </c>
      <c r="BR367">
        <f ca="1"/>
      </c>
      <c r="BS367">
        <f ca="1"/>
      </c>
      <c r="BT367">
        <f ca="1"/>
      </c>
      <c r="BU367">
        <f ca="1"/>
      </c>
      <c r="BV367">
        <f ca="1"/>
      </c>
      <c r="BW367">
        <f ca="1"/>
      </c>
      <c r="BX367">
        <f ca="1"/>
      </c>
      <c r="BY367">
        <f ca="1"/>
      </c>
      <c r="BZ367">
        <f ca="1"/>
      </c>
      <c r="CA367">
        <f ca="1"/>
      </c>
      <c r="CB367">
        <f ca="1"/>
      </c>
      <c r="CC367">
        <f ca="1"/>
      </c>
      <c r="CD367">
        <f ca="1"/>
      </c>
      <c r="CE367">
        <f ca="1"/>
      </c>
      <c r="CF367">
        <f ca="1"/>
      </c>
      <c r="CG367">
        <f ca="1"/>
      </c>
      <c r="CH367">
        <f ca="1"/>
      </c>
      <c r="CI367">
        <f ca="1"/>
      </c>
      <c r="CK367">
        <f ca="1"/>
      </c>
      <c r="CL367">
        <f ca="1"/>
      </c>
      <c r="CM367">
        <f ca="1"/>
      </c>
      <c r="CN367">
        <f ca="1"/>
      </c>
      <c r="CO367">
        <f ca="1"/>
      </c>
      <c r="CP367">
        <f ca="1"/>
      </c>
      <c r="CQ367">
        <f ca="1"/>
      </c>
      <c r="CR367">
        <f ca="1"/>
      </c>
      <c r="CS367">
        <f ca="1"/>
      </c>
      <c r="CT367">
        <f ca="1"/>
      </c>
      <c r="CU367">
        <f ca="1"/>
      </c>
      <c r="CV367">
        <f ca="1"/>
      </c>
      <c r="CW367">
        <f ca="1"/>
      </c>
      <c r="CX367">
        <f ca="1"/>
      </c>
      <c r="CY367">
        <f ca="1"/>
      </c>
      <c r="CZ367">
        <f ca="1"/>
      </c>
      <c r="DA367">
        <f ca="1"/>
      </c>
      <c r="DB367">
        <f ca="1"/>
      </c>
      <c r="DC367">
        <f ca="1"/>
      </c>
      <c r="DD367">
        <f ca="1"/>
      </c>
      <c r="DE367">
        <f ca="1"/>
      </c>
      <c r="DF367">
        <f ca="1"/>
      </c>
      <c r="DG367">
        <f ca="1"/>
      </c>
      <c r="DH367">
        <f ca="1"/>
      </c>
      <c r="DI367">
        <f ca="1"/>
      </c>
      <c r="DJ367">
        <f ca="1"/>
      </c>
      <c r="DK367">
        <f ca="1"/>
      </c>
      <c r="DL367">
        <f ca="1"/>
      </c>
      <c r="DM367">
        <f ca="1"/>
      </c>
      <c r="DN367">
        <f ca="1"/>
      </c>
      <c r="DO367">
        <f ca="1"/>
      </c>
      <c r="DP367">
        <f ca="1"/>
      </c>
      <c r="DQ367">
        <f ca="1"/>
      </c>
      <c r="DR367">
        <f ca="1"/>
      </c>
      <c r="DS367">
        <f ca="1"/>
      </c>
      <c r="DT367">
        <f ca="1"/>
      </c>
      <c r="DU367">
        <f ca="1"/>
      </c>
      <c r="DV367">
        <f ca="1"/>
      </c>
      <c r="DW367">
        <f ca="1"/>
      </c>
      <c r="DX367">
        <f ca="1"/>
      </c>
      <c r="DY367">
        <f ca="1"/>
      </c>
      <c r="DZ367">
        <f ca="1"/>
      </c>
      <c r="EA367">
        <f ca="1"/>
      </c>
      <c r="EB367">
        <f ca="1"/>
      </c>
      <c r="EC367">
        <f ca="1"/>
      </c>
      <c r="ED367">
        <f ca="1"/>
      </c>
      <c r="EE367">
        <f ca="1"/>
      </c>
      <c r="EG367">
        <f ca="1"/>
      </c>
      <c r="EH367">
        <f ca="1"/>
      </c>
      <c r="EI367">
        <f ca="1"/>
      </c>
      <c r="EJ367">
        <f ca="1"/>
      </c>
      <c r="EK367">
        <f ca="1"/>
      </c>
      <c r="EL367">
        <f ca="1"/>
      </c>
      <c r="EM367">
        <f ca="1"/>
      </c>
      <c r="EN367">
        <f ca="1"/>
      </c>
      <c r="EO367">
        <f ca="1"/>
      </c>
      <c r="EP367">
        <f ca="1"/>
      </c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FS367">
        <f ca="1"/>
      </c>
      <c r="FT367">
        <f ca="1"/>
      </c>
      <c r="FU367">
        <f ca="1"/>
      </c>
      <c r="FV367">
        <f ca="1"/>
      </c>
      <c r="FW367">
        <f ca="1"/>
      </c>
      <c r="FX367">
        <f ca="1"/>
      </c>
      <c r="FY367">
        <f ca="1"/>
      </c>
      <c r="FZ367">
        <f ca="1"/>
      </c>
      <c r="GA367">
        <f ca="1"/>
      </c>
      <c r="GM367" s="7"/>
    </row>
    <row r="368" spans="41:195" x14ac:dyDescent="0.55000000000000004">
      <c r="AO368">
        <f ca="1"/>
      </c>
      <c r="AP368">
        <f ca="1"/>
      </c>
      <c r="AQ368">
        <f ca="1"/>
      </c>
      <c r="AR368">
        <f ca="1"/>
      </c>
      <c r="AS368">
        <f ca="1"/>
      </c>
      <c r="AT368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AZ368">
        <f ca="1"/>
      </c>
      <c r="BA368">
        <f ca="1"/>
      </c>
      <c r="BB368">
        <f ca="1"/>
      </c>
      <c r="BC368">
        <f ca="1"/>
      </c>
      <c r="BD368">
        <f ca="1"/>
      </c>
      <c r="BE368">
        <f ca="1"/>
      </c>
      <c r="BF368">
        <f ca="1"/>
      </c>
      <c r="BG368">
        <f ca="1"/>
      </c>
      <c r="BH368">
        <f ca="1"/>
      </c>
      <c r="BI368">
        <f ca="1"/>
      </c>
      <c r="BJ368">
        <f ca="1"/>
      </c>
      <c r="BK368">
        <f ca="1"/>
      </c>
      <c r="BL368">
        <f ca="1"/>
      </c>
      <c r="BM368">
        <f ca="1"/>
      </c>
      <c r="BN368">
        <f ca="1"/>
      </c>
      <c r="BO368">
        <f ca="1"/>
      </c>
      <c r="BP368">
        <f ca="1"/>
      </c>
      <c r="BQ368">
        <f ca="1"/>
      </c>
      <c r="BR368">
        <f ca="1"/>
      </c>
      <c r="BS368">
        <f ca="1"/>
      </c>
      <c r="BT368">
        <f ca="1"/>
      </c>
      <c r="BU368">
        <f ca="1"/>
      </c>
      <c r="BV368">
        <f ca="1"/>
      </c>
      <c r="BW368">
        <f ca="1"/>
      </c>
      <c r="BX368">
        <f ca="1"/>
      </c>
      <c r="BY368">
        <f ca="1"/>
      </c>
      <c r="BZ368">
        <f ca="1"/>
      </c>
      <c r="CA368">
        <f ca="1"/>
      </c>
      <c r="CB368">
        <f ca="1"/>
      </c>
      <c r="CC368">
        <f ca="1"/>
      </c>
      <c r="CD368">
        <f ca="1"/>
      </c>
      <c r="CE368">
        <f ca="1"/>
      </c>
      <c r="CF368">
        <f ca="1"/>
      </c>
      <c r="CG368">
        <f ca="1"/>
      </c>
      <c r="CH368">
        <f ca="1"/>
      </c>
      <c r="CI368">
        <f ca="1"/>
      </c>
      <c r="CK368">
        <f ca="1"/>
      </c>
      <c r="CL368">
        <f ca="1"/>
      </c>
      <c r="CM368">
        <f ca="1"/>
      </c>
      <c r="CN368">
        <f ca="1"/>
      </c>
      <c r="CO368">
        <f ca="1"/>
      </c>
      <c r="CP368">
        <f ca="1"/>
      </c>
      <c r="CQ368">
        <f ca="1"/>
      </c>
      <c r="CR368">
        <f ca="1"/>
      </c>
      <c r="CS368">
        <f ca="1"/>
      </c>
      <c r="CT368">
        <f ca="1"/>
      </c>
      <c r="CU368">
        <f ca="1"/>
      </c>
      <c r="CV368">
        <f ca="1"/>
      </c>
      <c r="CW368">
        <f ca="1"/>
      </c>
      <c r="CX368">
        <f ca="1"/>
      </c>
      <c r="CY368">
        <f ca="1"/>
      </c>
      <c r="CZ368">
        <f ca="1"/>
      </c>
      <c r="DA368">
        <f ca="1"/>
      </c>
      <c r="DB368">
        <f ca="1"/>
      </c>
      <c r="DC368">
        <f ca="1"/>
      </c>
      <c r="DD368">
        <f ca="1"/>
      </c>
      <c r="DE368">
        <f ca="1"/>
      </c>
      <c r="DF368">
        <f ca="1"/>
      </c>
      <c r="DG368">
        <f ca="1"/>
      </c>
      <c r="DH368">
        <f ca="1"/>
      </c>
      <c r="DI368">
        <f ca="1"/>
      </c>
      <c r="DJ368">
        <f ca="1"/>
      </c>
      <c r="DK368">
        <f ca="1"/>
      </c>
      <c r="DL368">
        <f ca="1"/>
      </c>
      <c r="DM368">
        <f ca="1"/>
      </c>
      <c r="DN368">
        <f ca="1"/>
      </c>
      <c r="DO368">
        <f ca="1"/>
      </c>
      <c r="DP368">
        <f ca="1"/>
      </c>
      <c r="DQ368">
        <f ca="1"/>
      </c>
      <c r="DR368">
        <f ca="1"/>
      </c>
      <c r="DS368">
        <f ca="1"/>
      </c>
      <c r="DT368">
        <f ca="1"/>
      </c>
      <c r="DU368">
        <f ca="1"/>
      </c>
      <c r="DV368">
        <f ca="1"/>
      </c>
      <c r="DW368">
        <f ca="1"/>
      </c>
      <c r="DX368">
        <f ca="1"/>
      </c>
      <c r="DY368">
        <f ca="1"/>
      </c>
      <c r="DZ368">
        <f ca="1"/>
      </c>
      <c r="EA368">
        <f ca="1"/>
      </c>
      <c r="EB368">
        <f ca="1"/>
      </c>
      <c r="EC368">
        <f ca="1"/>
      </c>
      <c r="ED368">
        <f ca="1"/>
      </c>
      <c r="EE368">
        <f ca="1"/>
      </c>
      <c r="EG368">
        <f ca="1"/>
      </c>
      <c r="EH368">
        <f ca="1"/>
      </c>
      <c r="EI368">
        <f ca="1"/>
      </c>
      <c r="EJ368">
        <f ca="1"/>
      </c>
      <c r="EK368">
        <f ca="1"/>
      </c>
      <c r="EL368">
        <f ca="1"/>
      </c>
      <c r="EM368">
        <f ca="1"/>
      </c>
      <c r="EN368">
        <f ca="1"/>
      </c>
      <c r="EO368">
        <f ca="1"/>
      </c>
      <c r="EP368">
        <f ca="1"/>
      </c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FS368">
        <f ca="1"/>
      </c>
      <c r="FT368">
        <f ca="1"/>
      </c>
      <c r="FU368">
        <f ca="1"/>
      </c>
      <c r="FV368">
        <f ca="1"/>
      </c>
      <c r="FW368">
        <f ca="1"/>
      </c>
      <c r="FX368">
        <f ca="1"/>
      </c>
      <c r="FY368">
        <f ca="1"/>
      </c>
      <c r="FZ368">
        <f ca="1"/>
      </c>
      <c r="GA368">
        <f ca="1"/>
      </c>
      <c r="GM368" s="7"/>
    </row>
    <row r="369" spans="41:195" x14ac:dyDescent="0.55000000000000004">
      <c r="AO369">
        <f ca="1"/>
      </c>
      <c r="AP369">
        <f ca="1"/>
      </c>
      <c r="AQ369">
        <f ca="1"/>
      </c>
      <c r="AR369">
        <f ca="1"/>
      </c>
      <c r="AS369">
        <f ca="1"/>
      </c>
      <c r="AT369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AZ369">
        <f ca="1"/>
      </c>
      <c r="BA369">
        <f ca="1"/>
      </c>
      <c r="BB369">
        <f ca="1"/>
      </c>
      <c r="BC369">
        <f ca="1"/>
      </c>
      <c r="BD369">
        <f ca="1"/>
      </c>
      <c r="BE369">
        <f ca="1"/>
      </c>
      <c r="BF369">
        <f ca="1"/>
      </c>
      <c r="BG369">
        <f ca="1"/>
      </c>
      <c r="BH369">
        <f ca="1"/>
      </c>
      <c r="BI369">
        <f ca="1"/>
      </c>
      <c r="BJ369">
        <f ca="1"/>
      </c>
      <c r="BK369">
        <f ca="1"/>
      </c>
      <c r="BL369">
        <f ca="1"/>
      </c>
      <c r="BM369">
        <f ca="1"/>
      </c>
      <c r="BN369">
        <f ca="1"/>
      </c>
      <c r="BO369">
        <f ca="1"/>
      </c>
      <c r="BP369">
        <f ca="1"/>
      </c>
      <c r="BQ369">
        <f ca="1"/>
      </c>
      <c r="BR369">
        <f ca="1"/>
      </c>
      <c r="BS369">
        <f ca="1"/>
      </c>
      <c r="BT369">
        <f ca="1"/>
      </c>
      <c r="BU369">
        <f ca="1"/>
      </c>
      <c r="BV369">
        <f ca="1"/>
      </c>
      <c r="BW369">
        <f ca="1"/>
      </c>
      <c r="BX369">
        <f ca="1"/>
      </c>
      <c r="BY369">
        <f ca="1"/>
      </c>
      <c r="BZ369">
        <f ca="1"/>
      </c>
      <c r="CA369">
        <f ca="1"/>
      </c>
      <c r="CB369">
        <f ca="1"/>
      </c>
      <c r="CC369">
        <f ca="1"/>
      </c>
      <c r="CD369">
        <f ca="1"/>
      </c>
      <c r="CE369">
        <f ca="1"/>
      </c>
      <c r="CF369">
        <f ca="1"/>
      </c>
      <c r="CG369">
        <f ca="1"/>
      </c>
      <c r="CH369">
        <f ca="1"/>
      </c>
      <c r="CI369">
        <f ca="1"/>
      </c>
      <c r="CK369">
        <f ca="1"/>
      </c>
      <c r="CL369">
        <f ca="1"/>
      </c>
      <c r="CM369">
        <f ca="1"/>
      </c>
      <c r="CN369">
        <f ca="1"/>
      </c>
      <c r="CO369">
        <f ca="1"/>
      </c>
      <c r="CP369">
        <f ca="1"/>
      </c>
      <c r="CQ369">
        <f ca="1"/>
      </c>
      <c r="CR369">
        <f ca="1"/>
      </c>
      <c r="CS369">
        <f ca="1"/>
      </c>
      <c r="CT369">
        <f ca="1"/>
      </c>
      <c r="CU369">
        <f ca="1"/>
      </c>
      <c r="CV369">
        <f ca="1"/>
      </c>
      <c r="CW369">
        <f ca="1"/>
      </c>
      <c r="CX369">
        <f ca="1"/>
      </c>
      <c r="CY369">
        <f ca="1"/>
      </c>
      <c r="CZ369">
        <f ca="1"/>
      </c>
      <c r="DA369">
        <f ca="1"/>
      </c>
      <c r="DB369">
        <f ca="1"/>
      </c>
      <c r="DC369">
        <f ca="1"/>
      </c>
      <c r="DD369">
        <f ca="1"/>
      </c>
      <c r="DE369">
        <f ca="1"/>
      </c>
      <c r="DF369">
        <f ca="1"/>
      </c>
      <c r="DG369">
        <f ca="1"/>
      </c>
      <c r="DH369">
        <f ca="1"/>
      </c>
      <c r="DI369">
        <f ca="1"/>
      </c>
      <c r="DJ369">
        <f ca="1"/>
      </c>
      <c r="DK369">
        <f ca="1"/>
      </c>
      <c r="DL369">
        <f ca="1"/>
      </c>
      <c r="DM369">
        <f ca="1"/>
      </c>
      <c r="DN369">
        <f ca="1"/>
      </c>
      <c r="DO369">
        <f ca="1"/>
      </c>
      <c r="DP369">
        <f ca="1"/>
      </c>
      <c r="DQ369">
        <f ca="1"/>
      </c>
      <c r="DR369">
        <f ca="1"/>
      </c>
      <c r="DS369">
        <f ca="1"/>
      </c>
      <c r="DT369">
        <f ca="1"/>
      </c>
      <c r="DU369">
        <f ca="1"/>
      </c>
      <c r="DV369">
        <f ca="1"/>
      </c>
      <c r="DW369">
        <f ca="1"/>
      </c>
      <c r="DX369">
        <f ca="1"/>
      </c>
      <c r="DY369">
        <f ca="1"/>
      </c>
      <c r="DZ369">
        <f ca="1"/>
      </c>
      <c r="EA369">
        <f ca="1"/>
      </c>
      <c r="EB369">
        <f ca="1"/>
      </c>
      <c r="EC369">
        <f ca="1"/>
      </c>
      <c r="ED369">
        <f ca="1"/>
      </c>
      <c r="EE369">
        <f ca="1"/>
      </c>
      <c r="EG369">
        <f ca="1"/>
      </c>
      <c r="EH369">
        <f ca="1"/>
      </c>
      <c r="EI369">
        <f ca="1"/>
      </c>
      <c r="EJ369">
        <f ca="1"/>
      </c>
      <c r="EK369">
        <f ca="1"/>
      </c>
      <c r="EL369">
        <f ca="1"/>
      </c>
      <c r="EM369">
        <f ca="1"/>
      </c>
      <c r="EN369">
        <f ca="1"/>
      </c>
      <c r="EO369">
        <f ca="1"/>
      </c>
      <c r="EP369">
        <f ca="1"/>
      </c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FS369">
        <f ca="1"/>
      </c>
      <c r="FT369">
        <f ca="1"/>
      </c>
      <c r="FU369">
        <f ca="1"/>
      </c>
      <c r="FV369">
        <f ca="1"/>
      </c>
      <c r="FW369">
        <f ca="1"/>
      </c>
      <c r="FX369">
        <f ca="1"/>
      </c>
      <c r="FY369">
        <f ca="1"/>
      </c>
      <c r="FZ369">
        <f ca="1"/>
      </c>
      <c r="GA369">
        <f ca="1"/>
      </c>
      <c r="GM369" s="7"/>
    </row>
    <row r="370" spans="41:195" x14ac:dyDescent="0.55000000000000004">
      <c r="AO370">
        <f ca="1"/>
      </c>
      <c r="AP370">
        <f ca="1"/>
      </c>
      <c r="AQ370">
        <f ca="1"/>
      </c>
      <c r="AR370">
        <f ca="1"/>
      </c>
      <c r="AS370">
        <f ca="1"/>
      </c>
      <c r="AT370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AZ370">
        <f ca="1"/>
      </c>
      <c r="BA370">
        <f ca="1"/>
      </c>
      <c r="BB370">
        <f ca="1"/>
      </c>
      <c r="BC370">
        <f ca="1"/>
      </c>
      <c r="BD370">
        <f ca="1"/>
      </c>
      <c r="BE370">
        <f ca="1"/>
      </c>
      <c r="BF370">
        <f ca="1"/>
      </c>
      <c r="BG370">
        <f ca="1"/>
      </c>
      <c r="BH370">
        <f ca="1"/>
      </c>
      <c r="BI370">
        <f ca="1"/>
      </c>
      <c r="BJ370">
        <f ca="1"/>
      </c>
      <c r="BK370">
        <f ca="1"/>
      </c>
      <c r="BL370">
        <f ca="1"/>
      </c>
      <c r="BM370">
        <f ca="1"/>
      </c>
      <c r="BN370">
        <f ca="1"/>
      </c>
      <c r="BO370">
        <f ca="1"/>
      </c>
      <c r="BP370">
        <f ca="1"/>
      </c>
      <c r="BQ370">
        <f ca="1"/>
      </c>
      <c r="BR370">
        <f ca="1"/>
      </c>
      <c r="BS370">
        <f ca="1"/>
      </c>
      <c r="BT370">
        <f ca="1"/>
      </c>
      <c r="BU370">
        <f ca="1"/>
      </c>
      <c r="BV370">
        <f ca="1"/>
      </c>
      <c r="BW370">
        <f ca="1"/>
      </c>
      <c r="BX370">
        <f ca="1"/>
      </c>
      <c r="BY370">
        <f ca="1"/>
      </c>
      <c r="BZ370">
        <f ca="1"/>
      </c>
      <c r="CA370">
        <f ca="1"/>
      </c>
      <c r="CB370">
        <f ca="1"/>
      </c>
      <c r="CC370">
        <f ca="1"/>
      </c>
      <c r="CD370">
        <f ca="1"/>
      </c>
      <c r="CE370">
        <f ca="1"/>
      </c>
      <c r="CF370">
        <f ca="1"/>
      </c>
      <c r="CG370">
        <f ca="1"/>
      </c>
      <c r="CH370">
        <f ca="1"/>
      </c>
      <c r="CI370">
        <f ca="1"/>
      </c>
      <c r="CK370">
        <f ca="1"/>
      </c>
      <c r="CL370">
        <f ca="1"/>
      </c>
      <c r="CM370">
        <f ca="1"/>
      </c>
      <c r="CN370">
        <f ca="1"/>
      </c>
      <c r="CO370">
        <f ca="1"/>
      </c>
      <c r="CP370">
        <f ca="1"/>
      </c>
      <c r="CQ370">
        <f ca="1"/>
      </c>
      <c r="CR370">
        <f ca="1"/>
      </c>
      <c r="CS370">
        <f ca="1"/>
      </c>
      <c r="CT370">
        <f ca="1"/>
      </c>
      <c r="CU370">
        <f ca="1"/>
      </c>
      <c r="CV370">
        <f ca="1"/>
      </c>
      <c r="CW370">
        <f ca="1"/>
      </c>
      <c r="CX370">
        <f ca="1"/>
      </c>
      <c r="CY370">
        <f ca="1"/>
      </c>
      <c r="CZ370">
        <f ca="1"/>
      </c>
      <c r="DA370">
        <f ca="1"/>
      </c>
      <c r="DB370">
        <f ca="1"/>
      </c>
      <c r="DC370">
        <f ca="1"/>
      </c>
      <c r="DD370">
        <f ca="1"/>
      </c>
      <c r="DE370">
        <f ca="1"/>
      </c>
      <c r="DF370">
        <f ca="1"/>
      </c>
      <c r="DG370">
        <f ca="1"/>
      </c>
      <c r="DH370">
        <f ca="1"/>
      </c>
      <c r="DI370">
        <f ca="1"/>
      </c>
      <c r="DJ370">
        <f ca="1"/>
      </c>
      <c r="DK370">
        <f ca="1"/>
      </c>
      <c r="DL370">
        <f ca="1"/>
      </c>
      <c r="DM370">
        <f ca="1"/>
      </c>
      <c r="DN370">
        <f ca="1"/>
      </c>
      <c r="DO370">
        <f ca="1"/>
      </c>
      <c r="DP370">
        <f ca="1"/>
      </c>
      <c r="DQ370">
        <f ca="1"/>
      </c>
      <c r="DR370">
        <f ca="1"/>
      </c>
      <c r="DS370">
        <f ca="1"/>
      </c>
      <c r="DT370">
        <f ca="1"/>
      </c>
      <c r="DU370">
        <f ca="1"/>
      </c>
      <c r="DV370">
        <f ca="1"/>
      </c>
      <c r="DW370">
        <f ca="1"/>
      </c>
      <c r="DX370">
        <f ca="1"/>
      </c>
      <c r="DY370">
        <f ca="1"/>
      </c>
      <c r="DZ370">
        <f ca="1"/>
      </c>
      <c r="EA370">
        <f ca="1"/>
      </c>
      <c r="EB370">
        <f ca="1"/>
      </c>
      <c r="EC370">
        <f ca="1"/>
      </c>
      <c r="ED370">
        <f ca="1"/>
      </c>
      <c r="EE370">
        <f ca="1"/>
      </c>
      <c r="EG370">
        <f ca="1"/>
      </c>
      <c r="EH370">
        <f ca="1"/>
      </c>
      <c r="EI370">
        <f ca="1"/>
      </c>
      <c r="EJ370">
        <f ca="1"/>
      </c>
      <c r="EK370">
        <f ca="1"/>
      </c>
      <c r="EL370">
        <f ca="1"/>
      </c>
      <c r="EM370">
        <f ca="1"/>
      </c>
      <c r="EN370">
        <f ca="1"/>
      </c>
      <c r="EO370">
        <f ca="1"/>
      </c>
      <c r="EP370">
        <f ca="1"/>
      </c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FS370">
        <f ca="1"/>
      </c>
      <c r="FT370">
        <f ca="1"/>
      </c>
      <c r="FU370">
        <f ca="1"/>
      </c>
      <c r="FV370">
        <f ca="1"/>
      </c>
      <c r="FW370">
        <f ca="1"/>
      </c>
      <c r="FX370">
        <f ca="1"/>
      </c>
      <c r="FY370">
        <f ca="1"/>
      </c>
      <c r="FZ370">
        <f ca="1"/>
      </c>
      <c r="GA370">
        <f ca="1"/>
      </c>
      <c r="GM370" s="7"/>
    </row>
    <row r="371" spans="41:195" x14ac:dyDescent="0.55000000000000004">
      <c r="AO371">
        <f ca="1"/>
      </c>
      <c r="AP371">
        <f ca="1"/>
      </c>
      <c r="AQ371">
        <f ca="1"/>
      </c>
      <c r="AR371">
        <f ca="1"/>
      </c>
      <c r="AS371">
        <f ca="1"/>
      </c>
      <c r="AT371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AZ371">
        <f ca="1"/>
      </c>
      <c r="BA371">
        <f ca="1"/>
      </c>
      <c r="BB371">
        <f ca="1"/>
      </c>
      <c r="BC371">
        <f ca="1"/>
      </c>
      <c r="BD371">
        <f ca="1"/>
      </c>
      <c r="BE371">
        <f ca="1"/>
      </c>
      <c r="BF371">
        <f ca="1"/>
      </c>
      <c r="BG371">
        <f ca="1"/>
      </c>
      <c r="BH371">
        <f ca="1"/>
      </c>
      <c r="BI371">
        <f ca="1"/>
      </c>
      <c r="BJ371">
        <f ca="1"/>
      </c>
      <c r="BK371">
        <f ca="1"/>
      </c>
      <c r="BL371">
        <f ca="1"/>
      </c>
      <c r="BM371">
        <f ca="1"/>
      </c>
      <c r="BN371">
        <f ca="1"/>
      </c>
      <c r="BO371">
        <f ca="1"/>
      </c>
      <c r="BP371">
        <f ca="1"/>
      </c>
      <c r="BQ371">
        <f ca="1"/>
      </c>
      <c r="BR371">
        <f ca="1"/>
      </c>
      <c r="BS371">
        <f ca="1"/>
      </c>
      <c r="BT371">
        <f ca="1"/>
      </c>
      <c r="BU371">
        <f ca="1"/>
      </c>
      <c r="BV371">
        <f ca="1"/>
      </c>
      <c r="BW371">
        <f ca="1"/>
      </c>
      <c r="BX371">
        <f ca="1"/>
      </c>
      <c r="BY371">
        <f ca="1"/>
      </c>
      <c r="BZ371">
        <f ca="1"/>
      </c>
      <c r="CA371">
        <f ca="1"/>
      </c>
      <c r="CB371">
        <f ca="1"/>
      </c>
      <c r="CC371">
        <f ca="1"/>
      </c>
      <c r="CD371">
        <f ca="1"/>
      </c>
      <c r="CE371">
        <f ca="1"/>
      </c>
      <c r="CF371">
        <f ca="1"/>
      </c>
      <c r="CG371">
        <f ca="1"/>
      </c>
      <c r="CH371">
        <f ca="1"/>
      </c>
      <c r="CI371">
        <f ca="1"/>
      </c>
      <c r="CK371">
        <f ca="1"/>
      </c>
      <c r="CL371">
        <f ca="1"/>
      </c>
      <c r="CM371">
        <f ca="1"/>
      </c>
      <c r="CN371">
        <f ca="1"/>
      </c>
      <c r="CO371">
        <f ca="1"/>
      </c>
      <c r="CP371">
        <f ca="1"/>
      </c>
      <c r="CQ371">
        <f ca="1"/>
      </c>
      <c r="CR371">
        <f ca="1"/>
      </c>
      <c r="CS371">
        <f ca="1"/>
      </c>
      <c r="CT371">
        <f ca="1"/>
      </c>
      <c r="CU371">
        <f ca="1"/>
      </c>
      <c r="CV371">
        <f ca="1"/>
      </c>
      <c r="CW371">
        <f ca="1"/>
      </c>
      <c r="CX371">
        <f ca="1"/>
      </c>
      <c r="CY371">
        <f ca="1"/>
      </c>
      <c r="CZ371">
        <f ca="1"/>
      </c>
      <c r="DA371">
        <f ca="1"/>
      </c>
      <c r="DB371">
        <f ca="1"/>
      </c>
      <c r="DC371">
        <f ca="1"/>
      </c>
      <c r="DD371">
        <f ca="1"/>
      </c>
      <c r="DE371">
        <f ca="1"/>
      </c>
      <c r="DF371">
        <f ca="1"/>
      </c>
      <c r="DG371">
        <f ca="1"/>
      </c>
      <c r="DH371">
        <f ca="1"/>
      </c>
      <c r="DI371">
        <f ca="1"/>
      </c>
      <c r="DJ371">
        <f ca="1"/>
      </c>
      <c r="DK371">
        <f ca="1"/>
      </c>
      <c r="DL371">
        <f ca="1"/>
      </c>
      <c r="DM371">
        <f ca="1"/>
      </c>
      <c r="DN371">
        <f ca="1"/>
      </c>
      <c r="DO371">
        <f ca="1"/>
      </c>
      <c r="DP371">
        <f ca="1"/>
      </c>
      <c r="DQ371">
        <f ca="1"/>
      </c>
      <c r="DR371">
        <f ca="1"/>
      </c>
      <c r="DS371">
        <f ca="1"/>
      </c>
      <c r="DT371">
        <f ca="1"/>
      </c>
      <c r="DU371">
        <f ca="1"/>
      </c>
      <c r="DV371">
        <f ca="1"/>
      </c>
      <c r="DW371">
        <f ca="1"/>
      </c>
      <c r="DX371">
        <f ca="1"/>
      </c>
      <c r="DY371">
        <f ca="1"/>
      </c>
      <c r="DZ371">
        <f ca="1"/>
      </c>
      <c r="EA371">
        <f ca="1"/>
      </c>
      <c r="EB371">
        <f ca="1"/>
      </c>
      <c r="EC371">
        <f ca="1"/>
      </c>
      <c r="ED371">
        <f ca="1"/>
      </c>
      <c r="EE371">
        <f ca="1"/>
      </c>
      <c r="EG371">
        <f ca="1"/>
      </c>
      <c r="EH371">
        <f ca="1"/>
      </c>
      <c r="EI371">
        <f ca="1"/>
      </c>
      <c r="EJ371">
        <f ca="1"/>
      </c>
      <c r="EK371">
        <f ca="1"/>
      </c>
      <c r="EL371">
        <f ca="1"/>
      </c>
      <c r="EM371">
        <f ca="1"/>
      </c>
      <c r="EN371">
        <f ca="1"/>
      </c>
      <c r="EO371">
        <f ca="1"/>
      </c>
      <c r="EP371">
        <f ca="1"/>
      </c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FS371">
        <f ca="1"/>
      </c>
      <c r="FT371">
        <f ca="1"/>
      </c>
      <c r="FU371">
        <f ca="1"/>
      </c>
      <c r="FV371">
        <f ca="1"/>
      </c>
      <c r="FW371">
        <f ca="1"/>
      </c>
      <c r="FX371">
        <f ca="1"/>
      </c>
      <c r="FY371">
        <f ca="1"/>
      </c>
      <c r="FZ371">
        <f ca="1"/>
      </c>
      <c r="GA371">
        <f ca="1"/>
      </c>
      <c r="GM371" s="7"/>
    </row>
    <row r="372" spans="41:195" x14ac:dyDescent="0.55000000000000004">
      <c r="AO372">
        <f ca="1"/>
      </c>
      <c r="AP372">
        <f ca="1"/>
      </c>
      <c r="AQ372">
        <f ca="1"/>
      </c>
      <c r="AR372">
        <f ca="1"/>
      </c>
      <c r="AS372">
        <f ca="1"/>
      </c>
      <c r="AT372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AZ372">
        <f ca="1"/>
      </c>
      <c r="BA372">
        <f ca="1"/>
      </c>
      <c r="BB372">
        <f ca="1"/>
      </c>
      <c r="BC372">
        <f ca="1"/>
      </c>
      <c r="BD372">
        <f ca="1"/>
      </c>
      <c r="BE372">
        <f ca="1"/>
      </c>
      <c r="BF372">
        <f ca="1"/>
      </c>
      <c r="BG372">
        <f ca="1"/>
      </c>
      <c r="BH372">
        <f ca="1"/>
      </c>
      <c r="BI372">
        <f ca="1"/>
      </c>
      <c r="BJ372">
        <f ca="1"/>
      </c>
      <c r="BK372">
        <f ca="1"/>
      </c>
      <c r="BL372">
        <f ca="1"/>
      </c>
      <c r="BM372">
        <f ca="1"/>
      </c>
      <c r="BN372">
        <f ca="1"/>
      </c>
      <c r="BO372">
        <f ca="1"/>
      </c>
      <c r="BP372">
        <f ca="1"/>
      </c>
      <c r="BQ372">
        <f ca="1"/>
      </c>
      <c r="BR372">
        <f ca="1"/>
      </c>
      <c r="BS372">
        <f ca="1"/>
      </c>
      <c r="BT372">
        <f ca="1"/>
      </c>
      <c r="BU372">
        <f ca="1"/>
      </c>
      <c r="BV372">
        <f ca="1"/>
      </c>
      <c r="BW372">
        <f ca="1"/>
      </c>
      <c r="BX372">
        <f ca="1"/>
      </c>
      <c r="BY372">
        <f ca="1"/>
      </c>
      <c r="BZ372">
        <f ca="1"/>
      </c>
      <c r="CA372">
        <f ca="1"/>
      </c>
      <c r="CB372">
        <f ca="1"/>
      </c>
      <c r="CC372">
        <f ca="1"/>
      </c>
      <c r="CD372">
        <f ca="1"/>
      </c>
      <c r="CE372">
        <f ca="1"/>
      </c>
      <c r="CF372">
        <f ca="1"/>
      </c>
      <c r="CG372">
        <f ca="1"/>
      </c>
      <c r="CH372">
        <f ca="1"/>
      </c>
      <c r="CI372">
        <f ca="1"/>
      </c>
      <c r="CK372">
        <f ca="1"/>
      </c>
      <c r="CL372">
        <f ca="1"/>
      </c>
      <c r="CM372">
        <f ca="1"/>
      </c>
      <c r="CN372">
        <f ca="1"/>
      </c>
      <c r="CO372">
        <f ca="1"/>
      </c>
      <c r="CP372">
        <f ca="1"/>
      </c>
      <c r="CQ372">
        <f ca="1"/>
      </c>
      <c r="CR372">
        <f ca="1"/>
      </c>
      <c r="CS372">
        <f ca="1"/>
      </c>
      <c r="CT372">
        <f ca="1"/>
      </c>
      <c r="CU372">
        <f ca="1"/>
      </c>
      <c r="CV372">
        <f ca="1"/>
      </c>
      <c r="CW372">
        <f ca="1"/>
      </c>
      <c r="CX372">
        <f ca="1"/>
      </c>
      <c r="CY372">
        <f ca="1"/>
      </c>
      <c r="CZ372">
        <f ca="1"/>
      </c>
      <c r="DA372">
        <f ca="1"/>
      </c>
      <c r="DB372">
        <f ca="1"/>
      </c>
      <c r="DC372">
        <f ca="1"/>
      </c>
      <c r="DD372">
        <f ca="1"/>
      </c>
      <c r="DE372">
        <f ca="1"/>
      </c>
      <c r="DF372">
        <f ca="1"/>
      </c>
      <c r="DG372">
        <f ca="1"/>
      </c>
      <c r="DH372">
        <f ca="1"/>
      </c>
      <c r="DI372">
        <f ca="1"/>
      </c>
      <c r="DJ372">
        <f ca="1"/>
      </c>
      <c r="DK372">
        <f ca="1"/>
      </c>
      <c r="DL372">
        <f ca="1"/>
      </c>
      <c r="DM372">
        <f ca="1"/>
      </c>
      <c r="DN372">
        <f ca="1"/>
      </c>
      <c r="DO372">
        <f ca="1"/>
      </c>
      <c r="DP372">
        <f ca="1"/>
      </c>
      <c r="DQ372">
        <f ca="1"/>
      </c>
      <c r="DR372">
        <f ca="1"/>
      </c>
      <c r="DS372">
        <f ca="1"/>
      </c>
      <c r="DT372">
        <f ca="1"/>
      </c>
      <c r="DU372">
        <f ca="1"/>
      </c>
      <c r="DV372">
        <f ca="1"/>
      </c>
      <c r="DW372">
        <f ca="1"/>
      </c>
      <c r="DX372">
        <f ca="1"/>
      </c>
      <c r="DY372">
        <f ca="1"/>
      </c>
      <c r="DZ372">
        <f ca="1"/>
      </c>
      <c r="EA372">
        <f ca="1"/>
      </c>
      <c r="EB372">
        <f ca="1"/>
      </c>
      <c r="EC372">
        <f ca="1"/>
      </c>
      <c r="ED372">
        <f ca="1"/>
      </c>
      <c r="EE372">
        <f ca="1"/>
      </c>
      <c r="EG372">
        <f ca="1"/>
      </c>
      <c r="EH372">
        <f ca="1"/>
      </c>
      <c r="EI372">
        <f ca="1"/>
      </c>
      <c r="EJ372">
        <f ca="1"/>
      </c>
      <c r="EK372">
        <f ca="1"/>
      </c>
      <c r="EL372">
        <f ca="1"/>
      </c>
      <c r="EM372">
        <f ca="1"/>
      </c>
      <c r="EN372">
        <f ca="1"/>
      </c>
      <c r="EO372">
        <f ca="1"/>
      </c>
      <c r="EP372">
        <f ca="1"/>
      </c>
      <c r="EQ372">
        <f ca="1"/>
      </c>
      <c r="ER372">
        <f ca="1"/>
      </c>
      <c r="ES372">
        <f ca="1"/>
      </c>
      <c r="ET372">
        <f ca="1"/>
      </c>
      <c r="EU372">
        <f ca="1"/>
      </c>
      <c r="EV372">
        <f ca="1"/>
      </c>
      <c r="EW372">
        <f ca="1"/>
      </c>
      <c r="EX372">
        <f ca="1"/>
      </c>
      <c r="EY372">
        <f ca="1"/>
      </c>
      <c r="EZ372">
        <f ca="1"/>
      </c>
      <c r="FA372">
        <f ca="1"/>
      </c>
      <c r="FB372">
        <f ca="1"/>
      </c>
      <c r="FC372">
        <f ca="1"/>
      </c>
      <c r="FD372">
        <f ca="1"/>
      </c>
      <c r="FE372">
        <f ca="1"/>
      </c>
      <c r="FF372">
        <f ca="1"/>
      </c>
      <c r="FG372">
        <f ca="1"/>
      </c>
      <c r="FH372">
        <f ca="1"/>
      </c>
      <c r="FI372">
        <f ca="1"/>
      </c>
      <c r="FJ372">
        <f ca="1"/>
      </c>
      <c r="FK372">
        <f ca="1"/>
      </c>
      <c r="FL372">
        <f ca="1"/>
      </c>
      <c r="FM372">
        <f ca="1"/>
      </c>
      <c r="FN372">
        <f ca="1"/>
      </c>
      <c r="FO372">
        <f ca="1"/>
      </c>
      <c r="FP372">
        <f ca="1"/>
      </c>
      <c r="FQ372">
        <f ca="1"/>
      </c>
      <c r="FR372">
        <f ca="1"/>
      </c>
      <c r="FS372">
        <f ca="1"/>
      </c>
      <c r="FT372">
        <f ca="1"/>
      </c>
      <c r="FU372">
        <f ca="1"/>
      </c>
      <c r="FV372">
        <f ca="1"/>
      </c>
      <c r="FW372">
        <f ca="1"/>
      </c>
      <c r="FX372">
        <f ca="1"/>
      </c>
      <c r="FY372">
        <f ca="1"/>
      </c>
      <c r="FZ372">
        <f ca="1"/>
      </c>
      <c r="GA372">
        <f ca="1"/>
      </c>
      <c r="GM372" s="7"/>
    </row>
    <row r="373" spans="41:195" x14ac:dyDescent="0.55000000000000004">
      <c r="AO373">
        <f ca="1"/>
      </c>
      <c r="AP373">
        <f ca="1"/>
      </c>
      <c r="AQ373">
        <f ca="1"/>
      </c>
      <c r="AR373">
        <f ca="1"/>
      </c>
      <c r="AS373">
        <f ca="1"/>
      </c>
      <c r="AT373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AZ373">
        <f ca="1"/>
      </c>
      <c r="BA373">
        <f ca="1"/>
      </c>
      <c r="BB373">
        <f ca="1"/>
      </c>
      <c r="BC373">
        <f ca="1"/>
      </c>
      <c r="BD373">
        <f ca="1"/>
      </c>
      <c r="BE373">
        <f ca="1"/>
      </c>
      <c r="BF373">
        <f ca="1"/>
      </c>
      <c r="BG373">
        <f ca="1"/>
      </c>
      <c r="BH373">
        <f ca="1"/>
      </c>
      <c r="BI373">
        <f ca="1"/>
      </c>
      <c r="BJ373">
        <f ca="1"/>
      </c>
      <c r="BK373">
        <f ca="1"/>
      </c>
      <c r="BL373">
        <f ca="1"/>
      </c>
      <c r="BM373">
        <f ca="1"/>
      </c>
      <c r="BN373">
        <f ca="1"/>
      </c>
      <c r="BO373">
        <f ca="1"/>
      </c>
      <c r="BP373">
        <f ca="1"/>
      </c>
      <c r="BQ373">
        <f ca="1"/>
      </c>
      <c r="BR373">
        <f ca="1"/>
      </c>
      <c r="BS373">
        <f ca="1"/>
      </c>
      <c r="BT373">
        <f ca="1"/>
      </c>
      <c r="BU373">
        <f ca="1"/>
      </c>
      <c r="BV373">
        <f ca="1"/>
      </c>
      <c r="BW373">
        <f ca="1"/>
      </c>
      <c r="BX373">
        <f ca="1"/>
      </c>
      <c r="BY373">
        <f ca="1"/>
      </c>
      <c r="BZ373">
        <f ca="1"/>
      </c>
      <c r="CA373">
        <f ca="1"/>
      </c>
      <c r="CB373">
        <f ca="1"/>
      </c>
      <c r="CC373">
        <f ca="1"/>
      </c>
      <c r="CD373">
        <f ca="1"/>
      </c>
      <c r="CE373">
        <f ca="1"/>
      </c>
      <c r="CF373">
        <f ca="1"/>
      </c>
      <c r="CG373">
        <f ca="1"/>
      </c>
      <c r="CH373">
        <f ca="1"/>
      </c>
      <c r="CI373">
        <f ca="1"/>
      </c>
      <c r="CK373">
        <f ca="1"/>
      </c>
      <c r="CL373">
        <f ca="1"/>
      </c>
      <c r="CM373">
        <f ca="1"/>
      </c>
      <c r="CN373">
        <f ca="1"/>
      </c>
      <c r="CO373">
        <f ca="1"/>
      </c>
      <c r="CP373">
        <f ca="1"/>
      </c>
      <c r="CQ373">
        <f ca="1"/>
      </c>
      <c r="CR373">
        <f ca="1"/>
      </c>
      <c r="CS373">
        <f ca="1"/>
      </c>
      <c r="CT373">
        <f ca="1"/>
      </c>
      <c r="CU373">
        <f ca="1"/>
      </c>
      <c r="CV373">
        <f ca="1"/>
      </c>
      <c r="CW373">
        <f ca="1"/>
      </c>
      <c r="CX373">
        <f ca="1"/>
      </c>
      <c r="CY373">
        <f ca="1"/>
      </c>
      <c r="CZ373">
        <f ca="1"/>
      </c>
      <c r="DA373">
        <f ca="1"/>
      </c>
      <c r="DB373">
        <f ca="1"/>
      </c>
      <c r="DC373">
        <f ca="1"/>
      </c>
      <c r="DD373">
        <f ca="1"/>
      </c>
      <c r="DE373">
        <f ca="1"/>
      </c>
      <c r="DF373">
        <f ca="1"/>
      </c>
      <c r="DG373">
        <f ca="1"/>
      </c>
      <c r="DH373">
        <f ca="1"/>
      </c>
      <c r="DI373">
        <f ca="1"/>
      </c>
      <c r="DJ373">
        <f ca="1"/>
      </c>
      <c r="DK373">
        <f ca="1"/>
      </c>
      <c r="DL373">
        <f ca="1"/>
      </c>
      <c r="DM373">
        <f ca="1"/>
      </c>
      <c r="DN373">
        <f ca="1"/>
      </c>
      <c r="DO373">
        <f ca="1"/>
      </c>
      <c r="DP373">
        <f ca="1"/>
      </c>
      <c r="DQ373">
        <f ca="1"/>
      </c>
      <c r="DR373">
        <f ca="1"/>
      </c>
      <c r="DS373">
        <f ca="1"/>
      </c>
      <c r="DT373">
        <f ca="1"/>
      </c>
      <c r="DU373">
        <f ca="1"/>
      </c>
      <c r="DV373">
        <f ca="1"/>
      </c>
      <c r="DW373">
        <f ca="1"/>
      </c>
      <c r="DX373">
        <f ca="1"/>
      </c>
      <c r="DY373">
        <f ca="1"/>
      </c>
      <c r="DZ373">
        <f ca="1"/>
      </c>
      <c r="EA373">
        <f ca="1"/>
      </c>
      <c r="EB373">
        <f ca="1"/>
      </c>
      <c r="EC373">
        <f ca="1"/>
      </c>
      <c r="ED373">
        <f ca="1"/>
      </c>
      <c r="EE373">
        <f ca="1"/>
      </c>
      <c r="EG373">
        <f ca="1"/>
      </c>
      <c r="EH373">
        <f ca="1"/>
      </c>
      <c r="EI373">
        <f ca="1"/>
      </c>
      <c r="EJ373">
        <f ca="1"/>
      </c>
      <c r="EK373">
        <f ca="1"/>
      </c>
      <c r="EL373">
        <f ca="1"/>
      </c>
      <c r="EM373">
        <f ca="1"/>
      </c>
      <c r="EN373">
        <f ca="1"/>
      </c>
      <c r="EO373">
        <f ca="1"/>
      </c>
      <c r="EP373">
        <f ca="1"/>
      </c>
      <c r="EQ373">
        <f ca="1"/>
      </c>
      <c r="ER373">
        <f ca="1"/>
      </c>
      <c r="ES373">
        <f ca="1"/>
      </c>
      <c r="ET373">
        <f ca="1"/>
      </c>
      <c r="EU373">
        <f ca="1"/>
      </c>
      <c r="EV373">
        <f ca="1"/>
      </c>
      <c r="EW373">
        <f ca="1"/>
      </c>
      <c r="EX373">
        <f ca="1"/>
      </c>
      <c r="EY373">
        <f ca="1"/>
      </c>
      <c r="EZ373">
        <f ca="1"/>
      </c>
      <c r="FA373">
        <f ca="1"/>
      </c>
      <c r="FB373">
        <f ca="1"/>
      </c>
      <c r="FC373">
        <f ca="1"/>
      </c>
      <c r="FD373">
        <f ca="1"/>
      </c>
      <c r="FE373">
        <f ca="1"/>
      </c>
      <c r="FF373">
        <f ca="1"/>
      </c>
      <c r="FG373">
        <f ca="1"/>
      </c>
      <c r="FH373">
        <f ca="1"/>
      </c>
      <c r="FI373">
        <f ca="1"/>
      </c>
      <c r="FJ373">
        <f ca="1"/>
      </c>
      <c r="FK373">
        <f ca="1"/>
      </c>
      <c r="FL373">
        <f ca="1"/>
      </c>
      <c r="FM373">
        <f ca="1"/>
      </c>
      <c r="FN373">
        <f ca="1"/>
      </c>
      <c r="FO373">
        <f ca="1"/>
      </c>
      <c r="FP373">
        <f ca="1"/>
      </c>
      <c r="FQ373">
        <f ca="1"/>
      </c>
      <c r="FR373">
        <f ca="1"/>
      </c>
      <c r="FS373">
        <f ca="1"/>
      </c>
      <c r="FT373">
        <f ca="1"/>
      </c>
      <c r="FU373">
        <f ca="1"/>
      </c>
      <c r="FV373">
        <f ca="1"/>
      </c>
      <c r="FW373">
        <f ca="1"/>
      </c>
      <c r="FX373">
        <f ca="1"/>
      </c>
      <c r="FY373">
        <f ca="1"/>
      </c>
      <c r="FZ373">
        <f ca="1"/>
      </c>
      <c r="GA373">
        <f ca="1"/>
      </c>
      <c r="GM373" s="7"/>
    </row>
    <row r="374" spans="41:195" x14ac:dyDescent="0.55000000000000004">
      <c r="AO374">
        <f ca="1"/>
      </c>
      <c r="AP374">
        <f ca="1"/>
      </c>
      <c r="AQ374">
        <f ca="1"/>
      </c>
      <c r="AR374">
        <f ca="1"/>
      </c>
      <c r="AS374">
        <f ca="1"/>
      </c>
      <c r="AT374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AZ374">
        <f ca="1"/>
      </c>
      <c r="BA374">
        <f ca="1"/>
      </c>
      <c r="BB374">
        <f ca="1"/>
      </c>
      <c r="BC374">
        <f ca="1"/>
      </c>
      <c r="BD374">
        <f ca="1"/>
      </c>
      <c r="BE374">
        <f ca="1"/>
      </c>
      <c r="BF374">
        <f ca="1"/>
      </c>
      <c r="BG374">
        <f ca="1"/>
      </c>
      <c r="BH374">
        <f ca="1"/>
      </c>
      <c r="BI374">
        <f ca="1"/>
      </c>
      <c r="BJ374">
        <f ca="1"/>
      </c>
      <c r="BK374">
        <f ca="1"/>
      </c>
      <c r="BL374">
        <f ca="1"/>
      </c>
      <c r="BM374">
        <f ca="1"/>
      </c>
      <c r="BN374">
        <f ca="1"/>
      </c>
      <c r="BO374">
        <f ca="1"/>
      </c>
      <c r="BP374">
        <f ca="1"/>
      </c>
      <c r="BQ374">
        <f ca="1"/>
      </c>
      <c r="BR374">
        <f ca="1"/>
      </c>
      <c r="BS374">
        <f ca="1"/>
      </c>
      <c r="BT374">
        <f ca="1"/>
      </c>
      <c r="BU374">
        <f ca="1"/>
      </c>
      <c r="BV374">
        <f ca="1"/>
      </c>
      <c r="BW374">
        <f ca="1"/>
      </c>
      <c r="BX374">
        <f ca="1"/>
      </c>
      <c r="BY374">
        <f ca="1"/>
      </c>
      <c r="BZ374">
        <f ca="1"/>
      </c>
      <c r="CA374">
        <f ca="1"/>
      </c>
      <c r="CB374">
        <f ca="1"/>
      </c>
      <c r="CC374">
        <f ca="1"/>
      </c>
      <c r="CD374">
        <f ca="1"/>
      </c>
      <c r="CE374">
        <f ca="1"/>
      </c>
      <c r="CF374">
        <f ca="1"/>
      </c>
      <c r="CG374">
        <f ca="1"/>
      </c>
      <c r="CH374">
        <f ca="1"/>
      </c>
      <c r="CI374">
        <f ca="1"/>
      </c>
      <c r="CK374">
        <f ca="1"/>
      </c>
      <c r="CL374">
        <f ca="1"/>
      </c>
      <c r="CM374">
        <f ca="1"/>
      </c>
      <c r="CN374">
        <f ca="1"/>
      </c>
      <c r="CO374">
        <f ca="1"/>
      </c>
      <c r="CP374">
        <f ca="1"/>
      </c>
      <c r="CQ374">
        <f ca="1"/>
      </c>
      <c r="CR374">
        <f ca="1"/>
      </c>
      <c r="CS374">
        <f ca="1"/>
      </c>
      <c r="CT374">
        <f ca="1"/>
      </c>
      <c r="CU374">
        <f ca="1"/>
      </c>
      <c r="CV374">
        <f ca="1"/>
      </c>
      <c r="CW374">
        <f ca="1"/>
      </c>
      <c r="CX374">
        <f ca="1"/>
      </c>
      <c r="CY374">
        <f ca="1"/>
      </c>
      <c r="CZ374">
        <f ca="1"/>
      </c>
      <c r="DA374">
        <f ca="1"/>
      </c>
      <c r="DB374">
        <f ca="1"/>
      </c>
      <c r="DC374">
        <f ca="1"/>
      </c>
      <c r="DD374">
        <f ca="1"/>
      </c>
      <c r="DE374">
        <f ca="1"/>
      </c>
      <c r="DF374">
        <f ca="1"/>
      </c>
      <c r="DG374">
        <f ca="1"/>
      </c>
      <c r="DH374">
        <f ca="1"/>
      </c>
      <c r="DI374">
        <f ca="1"/>
      </c>
      <c r="DJ374">
        <f ca="1"/>
      </c>
      <c r="DK374">
        <f ca="1"/>
      </c>
      <c r="DL374">
        <f ca="1"/>
      </c>
      <c r="DM374">
        <f ca="1"/>
      </c>
      <c r="DN374">
        <f ca="1"/>
      </c>
      <c r="DO374">
        <f ca="1"/>
      </c>
      <c r="DP374">
        <f ca="1"/>
      </c>
      <c r="DQ374">
        <f ca="1"/>
      </c>
      <c r="DR374">
        <f ca="1"/>
      </c>
      <c r="DS374">
        <f ca="1"/>
      </c>
      <c r="DT374">
        <f ca="1"/>
      </c>
      <c r="DU374">
        <f ca="1"/>
      </c>
      <c r="DV374">
        <f ca="1"/>
      </c>
      <c r="DW374">
        <f ca="1"/>
      </c>
      <c r="DX374">
        <f ca="1"/>
      </c>
      <c r="DY374">
        <f ca="1"/>
      </c>
      <c r="DZ374">
        <f ca="1"/>
      </c>
      <c r="EA374">
        <f ca="1"/>
      </c>
      <c r="EB374">
        <f ca="1"/>
      </c>
      <c r="EC374">
        <f ca="1"/>
      </c>
      <c r="ED374">
        <f ca="1"/>
      </c>
      <c r="EE374">
        <f ca="1"/>
      </c>
      <c r="EG374">
        <f ca="1"/>
      </c>
      <c r="EH374">
        <f ca="1"/>
      </c>
      <c r="EI374">
        <f ca="1"/>
      </c>
      <c r="EJ374">
        <f ca="1"/>
      </c>
      <c r="EK374">
        <f ca="1"/>
      </c>
      <c r="EL374">
        <f ca="1"/>
      </c>
      <c r="EM374">
        <f ca="1"/>
      </c>
      <c r="EN374">
        <f ca="1"/>
      </c>
      <c r="EO374">
        <f ca="1"/>
      </c>
      <c r="EP374">
        <f ca="1"/>
      </c>
      <c r="EQ374">
        <f ca="1"/>
      </c>
      <c r="ER374">
        <f ca="1"/>
      </c>
      <c r="ES374">
        <f ca="1"/>
      </c>
      <c r="ET374">
        <f ca="1"/>
      </c>
      <c r="EU374">
        <f ca="1"/>
      </c>
      <c r="EV374">
        <f ca="1"/>
      </c>
      <c r="EW374">
        <f ca="1"/>
      </c>
      <c r="EX374">
        <f ca="1"/>
      </c>
      <c r="EY374">
        <f ca="1"/>
      </c>
      <c r="EZ374">
        <f ca="1"/>
      </c>
      <c r="FA374">
        <f ca="1"/>
      </c>
      <c r="FB374">
        <f ca="1"/>
      </c>
      <c r="FC374">
        <f ca="1"/>
      </c>
      <c r="FD374">
        <f ca="1"/>
      </c>
      <c r="FE374">
        <f ca="1"/>
      </c>
      <c r="FF374">
        <f ca="1"/>
      </c>
      <c r="FG374">
        <f ca="1"/>
      </c>
      <c r="FH374">
        <f ca="1"/>
      </c>
      <c r="FI374">
        <f ca="1"/>
      </c>
      <c r="FJ374">
        <f ca="1"/>
      </c>
      <c r="FK374">
        <f ca="1"/>
      </c>
      <c r="FL374">
        <f ca="1"/>
      </c>
      <c r="FM374">
        <f ca="1"/>
      </c>
      <c r="FN374">
        <f ca="1"/>
      </c>
      <c r="FO374">
        <f ca="1"/>
      </c>
      <c r="FP374">
        <f ca="1"/>
      </c>
      <c r="FQ374">
        <f ca="1"/>
      </c>
      <c r="FR374">
        <f ca="1"/>
      </c>
      <c r="FS374">
        <f ca="1"/>
      </c>
      <c r="FT374">
        <f ca="1"/>
      </c>
      <c r="FU374">
        <f ca="1"/>
      </c>
      <c r="FV374">
        <f ca="1"/>
      </c>
      <c r="FW374">
        <f ca="1"/>
      </c>
      <c r="FX374">
        <f ca="1"/>
      </c>
      <c r="FY374">
        <f ca="1"/>
      </c>
      <c r="FZ374">
        <f ca="1"/>
      </c>
      <c r="GA374">
        <f ca="1"/>
      </c>
      <c r="GM374" s="7"/>
    </row>
    <row r="375" spans="41:195" x14ac:dyDescent="0.55000000000000004">
      <c r="AO375">
        <f ca="1"/>
      </c>
      <c r="AP375">
        <f ca="1"/>
      </c>
      <c r="AQ375">
        <f ca="1"/>
      </c>
      <c r="AR375">
        <f ca="1"/>
      </c>
      <c r="AS375">
        <f ca="1"/>
      </c>
      <c r="AT375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AZ375">
        <f ca="1"/>
      </c>
      <c r="BA375">
        <f ca="1"/>
      </c>
      <c r="BB375">
        <f ca="1"/>
      </c>
      <c r="BC375">
        <f ca="1"/>
      </c>
      <c r="BD375">
        <f ca="1"/>
      </c>
      <c r="BE375">
        <f ca="1"/>
      </c>
      <c r="BF375">
        <f ca="1"/>
      </c>
      <c r="BG375">
        <f ca="1"/>
      </c>
      <c r="BH375">
        <f ca="1"/>
      </c>
      <c r="BI375">
        <f ca="1"/>
      </c>
      <c r="BJ375">
        <f ca="1"/>
      </c>
      <c r="BK375">
        <f ca="1"/>
      </c>
      <c r="BL375">
        <f ca="1"/>
      </c>
      <c r="BM375">
        <f ca="1"/>
      </c>
      <c r="BN375">
        <f ca="1"/>
      </c>
      <c r="BO375">
        <f ca="1"/>
      </c>
      <c r="BP375">
        <f ca="1"/>
      </c>
      <c r="BQ375">
        <f ca="1"/>
      </c>
      <c r="BR375">
        <f ca="1"/>
      </c>
      <c r="BS375">
        <f ca="1"/>
      </c>
      <c r="BT375">
        <f ca="1"/>
      </c>
      <c r="BU375">
        <f ca="1"/>
      </c>
      <c r="BV375">
        <f ca="1"/>
      </c>
      <c r="BW375">
        <f ca="1"/>
      </c>
      <c r="BX375">
        <f ca="1"/>
      </c>
      <c r="BY375">
        <f ca="1"/>
      </c>
      <c r="BZ375">
        <f ca="1"/>
      </c>
      <c r="CA375">
        <f ca="1"/>
      </c>
      <c r="CB375">
        <f ca="1"/>
      </c>
      <c r="CC375">
        <f ca="1"/>
      </c>
      <c r="CD375">
        <f ca="1"/>
      </c>
      <c r="CE375">
        <f ca="1"/>
      </c>
      <c r="CF375">
        <f ca="1"/>
      </c>
      <c r="CG375">
        <f ca="1"/>
      </c>
      <c r="CH375">
        <f ca="1"/>
      </c>
      <c r="CI375">
        <f ca="1"/>
      </c>
      <c r="CK375">
        <f ca="1"/>
      </c>
      <c r="CL375">
        <f ca="1"/>
      </c>
      <c r="CM375">
        <f ca="1"/>
      </c>
      <c r="CN375">
        <f ca="1"/>
      </c>
      <c r="CO375">
        <f ca="1"/>
      </c>
      <c r="CP375">
        <f ca="1"/>
      </c>
      <c r="CQ375">
        <f ca="1"/>
      </c>
      <c r="CR375">
        <f ca="1"/>
      </c>
      <c r="CS375">
        <f ca="1"/>
      </c>
      <c r="CT375">
        <f ca="1"/>
      </c>
      <c r="CU375">
        <f ca="1"/>
      </c>
      <c r="CV375">
        <f ca="1"/>
      </c>
      <c r="CW375">
        <f ca="1"/>
      </c>
      <c r="CX375">
        <f ca="1"/>
      </c>
      <c r="CY375">
        <f ca="1"/>
      </c>
      <c r="CZ375">
        <f ca="1"/>
      </c>
      <c r="DA375">
        <f ca="1"/>
      </c>
      <c r="DB375">
        <f ca="1"/>
      </c>
      <c r="DC375">
        <f ca="1"/>
      </c>
      <c r="DD375">
        <f ca="1"/>
      </c>
      <c r="DE375">
        <f ca="1"/>
      </c>
      <c r="DF375">
        <f ca="1"/>
      </c>
      <c r="DG375">
        <f ca="1"/>
      </c>
      <c r="DH375">
        <f ca="1"/>
      </c>
      <c r="DI375">
        <f ca="1"/>
      </c>
      <c r="DJ375">
        <f ca="1"/>
      </c>
      <c r="DK375">
        <f ca="1"/>
      </c>
      <c r="DL375">
        <f ca="1"/>
      </c>
      <c r="DM375">
        <f ca="1"/>
      </c>
      <c r="DN375">
        <f ca="1"/>
      </c>
      <c r="DO375">
        <f ca="1"/>
      </c>
      <c r="DP375">
        <f ca="1"/>
      </c>
      <c r="DQ375">
        <f ca="1"/>
      </c>
      <c r="DR375">
        <f ca="1"/>
      </c>
      <c r="DS375">
        <f ca="1"/>
      </c>
      <c r="DT375">
        <f ca="1"/>
      </c>
      <c r="DU375">
        <f ca="1"/>
      </c>
      <c r="DV375">
        <f ca="1"/>
      </c>
      <c r="DW375">
        <f ca="1"/>
      </c>
      <c r="DX375">
        <f ca="1"/>
      </c>
      <c r="DY375">
        <f ca="1"/>
      </c>
      <c r="DZ375">
        <f ca="1"/>
      </c>
      <c r="EA375">
        <f ca="1"/>
      </c>
      <c r="EB375">
        <f ca="1"/>
      </c>
      <c r="EC375">
        <f ca="1"/>
      </c>
      <c r="ED375">
        <f ca="1"/>
      </c>
      <c r="EE375">
        <f ca="1"/>
      </c>
      <c r="EG375">
        <f ca="1"/>
      </c>
      <c r="EH375">
        <f ca="1"/>
      </c>
      <c r="EI375">
        <f ca="1"/>
      </c>
      <c r="EJ375">
        <f ca="1"/>
      </c>
      <c r="EK375">
        <f ca="1"/>
      </c>
      <c r="EL375">
        <f ca="1"/>
      </c>
      <c r="EM375">
        <f ca="1"/>
      </c>
      <c r="EN375">
        <f ca="1"/>
      </c>
      <c r="EO375">
        <f ca="1"/>
      </c>
      <c r="EP375">
        <f ca="1"/>
      </c>
      <c r="EQ375">
        <f ca="1"/>
      </c>
      <c r="ER375">
        <f ca="1"/>
      </c>
      <c r="ES375">
        <f ca="1"/>
      </c>
      <c r="ET375">
        <f ca="1"/>
      </c>
      <c r="EU375">
        <f ca="1"/>
      </c>
      <c r="EV375">
        <f ca="1"/>
      </c>
      <c r="EW375">
        <f ca="1"/>
      </c>
      <c r="EX375">
        <f ca="1"/>
      </c>
      <c r="EY375">
        <f ca="1"/>
      </c>
      <c r="EZ375">
        <f ca="1"/>
      </c>
      <c r="FA375">
        <f ca="1"/>
      </c>
      <c r="FB375">
        <f ca="1"/>
      </c>
      <c r="FC375">
        <f ca="1"/>
      </c>
      <c r="FD375">
        <f ca="1"/>
      </c>
      <c r="FE375">
        <f ca="1"/>
      </c>
      <c r="FF375">
        <f ca="1"/>
      </c>
      <c r="FG375">
        <f ca="1"/>
      </c>
      <c r="FH375">
        <f ca="1"/>
      </c>
      <c r="FI375">
        <f ca="1"/>
      </c>
      <c r="FJ375">
        <f ca="1"/>
      </c>
      <c r="FK375">
        <f ca="1"/>
      </c>
      <c r="FL375">
        <f ca="1"/>
      </c>
      <c r="FM375">
        <f ca="1"/>
      </c>
      <c r="FN375">
        <f ca="1"/>
      </c>
      <c r="FO375">
        <f ca="1"/>
      </c>
      <c r="FP375">
        <f ca="1"/>
      </c>
      <c r="FQ375">
        <f ca="1"/>
      </c>
      <c r="FR375">
        <f ca="1"/>
      </c>
      <c r="FS375">
        <f ca="1"/>
      </c>
      <c r="FT375">
        <f ca="1"/>
      </c>
      <c r="FU375">
        <f ca="1"/>
      </c>
      <c r="FV375">
        <f ca="1"/>
      </c>
      <c r="FW375">
        <f ca="1"/>
      </c>
      <c r="FX375">
        <f ca="1"/>
      </c>
      <c r="FY375">
        <f ca="1"/>
      </c>
      <c r="FZ375">
        <f ca="1"/>
      </c>
      <c r="GA375">
        <f ca="1"/>
      </c>
      <c r="GM375" s="7"/>
    </row>
    <row r="376" spans="41:195" x14ac:dyDescent="0.55000000000000004">
      <c r="AO376">
        <f ca="1"/>
      </c>
      <c r="AP376">
        <f ca="1"/>
      </c>
      <c r="AQ376">
        <f ca="1"/>
      </c>
      <c r="AR376">
        <f ca="1"/>
      </c>
      <c r="AS376">
        <f ca="1"/>
      </c>
      <c r="AT376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AZ376">
        <f ca="1"/>
      </c>
      <c r="BA376">
        <f ca="1"/>
      </c>
      <c r="BB376">
        <f ca="1"/>
      </c>
      <c r="BC376">
        <f ca="1"/>
      </c>
      <c r="BD376">
        <f ca="1"/>
      </c>
      <c r="BE376">
        <f ca="1"/>
      </c>
      <c r="BF376">
        <f ca="1"/>
      </c>
      <c r="BG376">
        <f ca="1"/>
      </c>
      <c r="BH376">
        <f ca="1"/>
      </c>
      <c r="BI376">
        <f ca="1"/>
      </c>
      <c r="BJ376">
        <f ca="1"/>
      </c>
      <c r="BK376">
        <f ca="1"/>
      </c>
      <c r="BL376">
        <f ca="1"/>
      </c>
      <c r="BM376">
        <f ca="1"/>
      </c>
      <c r="BN376">
        <f ca="1"/>
      </c>
      <c r="BO376">
        <f ca="1"/>
      </c>
      <c r="BP376">
        <f ca="1"/>
      </c>
      <c r="BQ376">
        <f ca="1"/>
      </c>
      <c r="BR376">
        <f ca="1"/>
      </c>
      <c r="BS376">
        <f ca="1"/>
      </c>
      <c r="BT376">
        <f ca="1"/>
      </c>
      <c r="BU376">
        <f ca="1"/>
      </c>
      <c r="BV376">
        <f ca="1"/>
      </c>
      <c r="BW376">
        <f ca="1"/>
      </c>
      <c r="BX376">
        <f ca="1"/>
      </c>
      <c r="BY376">
        <f ca="1"/>
      </c>
      <c r="BZ376">
        <f ca="1"/>
      </c>
      <c r="CA376">
        <f ca="1"/>
      </c>
      <c r="CB376">
        <f ca="1"/>
      </c>
      <c r="CC376">
        <f ca="1"/>
      </c>
      <c r="CD376">
        <f ca="1"/>
      </c>
      <c r="CE376">
        <f ca="1"/>
      </c>
      <c r="CF376">
        <f ca="1"/>
      </c>
      <c r="CG376">
        <f ca="1"/>
      </c>
      <c r="CH376">
        <f ca="1"/>
      </c>
      <c r="CI376">
        <f ca="1"/>
      </c>
      <c r="CK376">
        <f ca="1"/>
      </c>
      <c r="CL376">
        <f ca="1"/>
      </c>
      <c r="CM376">
        <f ca="1"/>
      </c>
      <c r="CN376">
        <f ca="1"/>
      </c>
      <c r="CO376">
        <f ca="1"/>
      </c>
      <c r="CP376">
        <f ca="1"/>
      </c>
      <c r="CQ376">
        <f ca="1"/>
      </c>
      <c r="CR376">
        <f ca="1"/>
      </c>
      <c r="CS376">
        <f ca="1"/>
      </c>
      <c r="CT376">
        <f ca="1"/>
      </c>
      <c r="CU376">
        <f ca="1"/>
      </c>
      <c r="CV376">
        <f ca="1"/>
      </c>
      <c r="CW376">
        <f ca="1"/>
      </c>
      <c r="CX376">
        <f ca="1"/>
      </c>
      <c r="CY376">
        <f ca="1"/>
      </c>
      <c r="CZ376">
        <f ca="1"/>
      </c>
      <c r="DA376">
        <f ca="1"/>
      </c>
      <c r="DB376">
        <f ca="1"/>
      </c>
      <c r="DC376">
        <f ca="1"/>
      </c>
      <c r="DD376">
        <f ca="1"/>
      </c>
      <c r="DE376">
        <f ca="1"/>
      </c>
      <c r="DF376">
        <f ca="1"/>
      </c>
      <c r="DG376">
        <f ca="1"/>
      </c>
      <c r="DH376">
        <f ca="1"/>
      </c>
      <c r="DI376">
        <f ca="1"/>
      </c>
      <c r="DJ376">
        <f ca="1"/>
      </c>
      <c r="DK376">
        <f ca="1"/>
      </c>
      <c r="DL376">
        <f ca="1"/>
      </c>
      <c r="DM376">
        <f ca="1"/>
      </c>
      <c r="DN376">
        <f ca="1"/>
      </c>
      <c r="DO376">
        <f ca="1"/>
      </c>
      <c r="DP376">
        <f ca="1"/>
      </c>
      <c r="DQ376">
        <f ca="1"/>
      </c>
      <c r="DR376">
        <f ca="1"/>
      </c>
      <c r="DS376">
        <f ca="1"/>
      </c>
      <c r="DT376">
        <f ca="1"/>
      </c>
      <c r="DU376">
        <f ca="1"/>
      </c>
      <c r="DV376">
        <f ca="1"/>
      </c>
      <c r="DW376">
        <f ca="1"/>
      </c>
      <c r="DX376">
        <f ca="1"/>
      </c>
      <c r="DY376">
        <f ca="1"/>
      </c>
      <c r="DZ376">
        <f ca="1"/>
      </c>
      <c r="EA376">
        <f ca="1"/>
      </c>
      <c r="EB376">
        <f ca="1"/>
      </c>
      <c r="EC376">
        <f ca="1"/>
      </c>
      <c r="ED376">
        <f ca="1"/>
      </c>
      <c r="EE376">
        <f ca="1"/>
      </c>
      <c r="EG376">
        <f ca="1"/>
      </c>
      <c r="EH376">
        <f ca="1"/>
      </c>
      <c r="EI376">
        <f ca="1"/>
      </c>
      <c r="EJ376">
        <f ca="1"/>
      </c>
      <c r="EK376">
        <f ca="1"/>
      </c>
      <c r="EL376">
        <f ca="1"/>
      </c>
      <c r="EM376">
        <f ca="1"/>
      </c>
      <c r="EN376">
        <f ca="1"/>
      </c>
      <c r="EO376">
        <f ca="1"/>
      </c>
      <c r="EP376">
        <f ca="1"/>
      </c>
      <c r="EQ376">
        <f ca="1"/>
      </c>
      <c r="ER376">
        <f ca="1"/>
      </c>
      <c r="ES376">
        <f ca="1"/>
      </c>
      <c r="ET376">
        <f ca="1"/>
      </c>
      <c r="EU376">
        <f ca="1"/>
      </c>
      <c r="EV376">
        <f ca="1"/>
      </c>
      <c r="EW376">
        <f ca="1"/>
      </c>
      <c r="EX376">
        <f ca="1"/>
      </c>
      <c r="EY376">
        <f ca="1"/>
      </c>
      <c r="EZ376">
        <f ca="1"/>
      </c>
      <c r="FA376">
        <f ca="1"/>
      </c>
      <c r="FB376">
        <f ca="1"/>
      </c>
      <c r="FC376">
        <f ca="1"/>
      </c>
      <c r="FD376">
        <f ca="1"/>
      </c>
      <c r="FE376">
        <f ca="1"/>
      </c>
      <c r="FF376">
        <f ca="1"/>
      </c>
      <c r="FG376">
        <f ca="1"/>
      </c>
      <c r="FH376">
        <f ca="1"/>
      </c>
      <c r="FI376">
        <f ca="1"/>
      </c>
      <c r="FJ376">
        <f ca="1"/>
      </c>
      <c r="FK376">
        <f ca="1"/>
      </c>
      <c r="FL376">
        <f ca="1"/>
      </c>
      <c r="FM376">
        <f ca="1"/>
      </c>
      <c r="FN376">
        <f ca="1"/>
      </c>
      <c r="FO376">
        <f ca="1"/>
      </c>
      <c r="FP376">
        <f ca="1"/>
      </c>
      <c r="FQ376">
        <f ca="1"/>
      </c>
      <c r="FR376">
        <f ca="1"/>
      </c>
      <c r="FS376">
        <f ca="1"/>
      </c>
      <c r="FT376">
        <f ca="1"/>
      </c>
      <c r="FU376">
        <f ca="1"/>
      </c>
      <c r="FV376">
        <f ca="1"/>
      </c>
      <c r="FW376">
        <f ca="1"/>
      </c>
      <c r="FX376">
        <f ca="1"/>
      </c>
      <c r="FY376">
        <f ca="1"/>
      </c>
      <c r="FZ376">
        <f ca="1"/>
      </c>
      <c r="GA376">
        <f ca="1"/>
      </c>
      <c r="GM376" s="7"/>
    </row>
    <row r="377" spans="41:195" x14ac:dyDescent="0.55000000000000004">
      <c r="AO377">
        <f ca="1"/>
      </c>
      <c r="AP377">
        <f ca="1"/>
      </c>
      <c r="AQ377">
        <f ca="1"/>
      </c>
      <c r="AR377">
        <f ca="1"/>
      </c>
      <c r="AS377">
        <f ca="1"/>
      </c>
      <c r="AT37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AZ377">
        <f ca="1"/>
      </c>
      <c r="BA377">
        <f ca="1"/>
      </c>
      <c r="BB377">
        <f ca="1"/>
      </c>
      <c r="BC377">
        <f ca="1"/>
      </c>
      <c r="BD377">
        <f ca="1"/>
      </c>
      <c r="BE377">
        <f ca="1"/>
      </c>
      <c r="BF377">
        <f ca="1"/>
      </c>
      <c r="BG377">
        <f ca="1"/>
      </c>
      <c r="BH377">
        <f ca="1"/>
      </c>
      <c r="BI377">
        <f ca="1"/>
      </c>
      <c r="BJ377">
        <f ca="1"/>
      </c>
      <c r="BK377">
        <f ca="1"/>
      </c>
      <c r="BL377">
        <f ca="1"/>
      </c>
      <c r="BM377">
        <f ca="1"/>
      </c>
      <c r="BN377">
        <f ca="1"/>
      </c>
      <c r="BO377">
        <f ca="1"/>
      </c>
      <c r="BP377">
        <f ca="1"/>
      </c>
      <c r="BQ377">
        <f ca="1"/>
      </c>
      <c r="BR377">
        <f ca="1"/>
      </c>
      <c r="BS377">
        <f ca="1"/>
      </c>
      <c r="BT377">
        <f ca="1"/>
      </c>
      <c r="BU377">
        <f ca="1"/>
      </c>
      <c r="BV377">
        <f ca="1"/>
      </c>
      <c r="BW377">
        <f ca="1"/>
      </c>
      <c r="BX377">
        <f ca="1"/>
      </c>
      <c r="BY377">
        <f ca="1"/>
      </c>
      <c r="BZ377">
        <f ca="1"/>
      </c>
      <c r="CA377">
        <f ca="1"/>
      </c>
      <c r="CB377">
        <f ca="1"/>
      </c>
      <c r="CC377">
        <f ca="1"/>
      </c>
      <c r="CD377">
        <f ca="1"/>
      </c>
      <c r="CE377">
        <f ca="1"/>
      </c>
      <c r="CF377">
        <f ca="1"/>
      </c>
      <c r="CG377">
        <f ca="1"/>
      </c>
      <c r="CH377">
        <f ca="1"/>
      </c>
      <c r="CI377">
        <f ca="1"/>
      </c>
      <c r="CK377">
        <f ca="1"/>
      </c>
      <c r="CL377">
        <f ca="1"/>
      </c>
      <c r="CM377">
        <f ca="1"/>
      </c>
      <c r="CN377">
        <f ca="1"/>
      </c>
      <c r="CO377">
        <f ca="1"/>
      </c>
      <c r="CP377">
        <f ca="1"/>
      </c>
      <c r="CQ377">
        <f ca="1"/>
      </c>
      <c r="CR377">
        <f ca="1"/>
      </c>
      <c r="CS377">
        <f ca="1"/>
      </c>
      <c r="CT377">
        <f ca="1"/>
      </c>
      <c r="CU377">
        <f ca="1"/>
      </c>
      <c r="CV377">
        <f ca="1"/>
      </c>
      <c r="CW377">
        <f ca="1"/>
      </c>
      <c r="CX377">
        <f ca="1"/>
      </c>
      <c r="CY377">
        <f ca="1"/>
      </c>
      <c r="CZ377">
        <f ca="1"/>
      </c>
      <c r="DA377">
        <f ca="1"/>
      </c>
      <c r="DB377">
        <f ca="1"/>
      </c>
      <c r="DC377">
        <f ca="1"/>
      </c>
      <c r="DD377">
        <f ca="1"/>
      </c>
      <c r="DE377">
        <f ca="1"/>
      </c>
      <c r="DF377">
        <f ca="1"/>
      </c>
      <c r="DG377">
        <f ca="1"/>
      </c>
      <c r="DH377">
        <f ca="1"/>
      </c>
      <c r="DI377">
        <f ca="1"/>
      </c>
      <c r="DJ377">
        <f ca="1"/>
      </c>
      <c r="DK377">
        <f ca="1"/>
      </c>
      <c r="DL377">
        <f ca="1"/>
      </c>
      <c r="DM377">
        <f ca="1"/>
      </c>
      <c r="DN377">
        <f ca="1"/>
      </c>
      <c r="DO377">
        <f ca="1"/>
      </c>
      <c r="DP377">
        <f ca="1"/>
      </c>
      <c r="DQ377">
        <f ca="1"/>
      </c>
      <c r="DR377">
        <f ca="1"/>
      </c>
      <c r="DS377">
        <f ca="1"/>
      </c>
      <c r="DT377">
        <f ca="1"/>
      </c>
      <c r="DU377">
        <f ca="1"/>
      </c>
      <c r="DV377">
        <f ca="1"/>
      </c>
      <c r="DW377">
        <f ca="1"/>
      </c>
      <c r="DX377">
        <f ca="1"/>
      </c>
      <c r="DY377">
        <f ca="1"/>
      </c>
      <c r="DZ377">
        <f ca="1"/>
      </c>
      <c r="EA377">
        <f ca="1"/>
      </c>
      <c r="EB377">
        <f ca="1"/>
      </c>
      <c r="EC377">
        <f ca="1"/>
      </c>
      <c r="ED377">
        <f ca="1"/>
      </c>
      <c r="EE377">
        <f ca="1"/>
      </c>
      <c r="EG377">
        <f ca="1"/>
      </c>
      <c r="EH377">
        <f ca="1"/>
      </c>
      <c r="EI377">
        <f ca="1"/>
      </c>
      <c r="EJ377">
        <f ca="1"/>
      </c>
      <c r="EK377">
        <f ca="1"/>
      </c>
      <c r="EL377">
        <f ca="1"/>
      </c>
      <c r="EM377">
        <f ca="1"/>
      </c>
      <c r="EN377">
        <f ca="1"/>
      </c>
      <c r="EO377">
        <f ca="1"/>
      </c>
      <c r="EP377">
        <f ca="1"/>
      </c>
      <c r="EQ377">
        <f ca="1"/>
      </c>
      <c r="ER377">
        <f ca="1"/>
      </c>
      <c r="ES377">
        <f ca="1"/>
      </c>
      <c r="ET377">
        <f ca="1"/>
      </c>
      <c r="EU377">
        <f ca="1"/>
      </c>
      <c r="EV377">
        <f ca="1"/>
      </c>
      <c r="EW377">
        <f ca="1"/>
      </c>
      <c r="EX377">
        <f ca="1"/>
      </c>
      <c r="EY377">
        <f ca="1"/>
      </c>
      <c r="EZ377">
        <f ca="1"/>
      </c>
      <c r="FA377">
        <f ca="1"/>
      </c>
      <c r="FB377">
        <f ca="1"/>
      </c>
      <c r="FC377">
        <f ca="1"/>
      </c>
      <c r="FD377">
        <f ca="1"/>
      </c>
      <c r="FE377">
        <f ca="1"/>
      </c>
      <c r="FF377">
        <f ca="1"/>
      </c>
      <c r="FG377">
        <f ca="1"/>
      </c>
      <c r="FH377">
        <f ca="1"/>
      </c>
      <c r="FI377">
        <f ca="1"/>
      </c>
      <c r="FJ377">
        <f ca="1"/>
      </c>
      <c r="FK377">
        <f ca="1"/>
      </c>
      <c r="FL377">
        <f ca="1"/>
      </c>
      <c r="FM377">
        <f ca="1"/>
      </c>
      <c r="FN377">
        <f ca="1"/>
      </c>
      <c r="FO377">
        <f ca="1"/>
      </c>
      <c r="FP377">
        <f ca="1"/>
      </c>
      <c r="FQ377">
        <f ca="1"/>
      </c>
      <c r="FR377">
        <f ca="1"/>
      </c>
      <c r="FS377">
        <f ca="1"/>
      </c>
      <c r="FT377">
        <f ca="1"/>
      </c>
      <c r="FU377">
        <f ca="1"/>
      </c>
      <c r="FV377">
        <f ca="1"/>
      </c>
      <c r="FW377">
        <f ca="1"/>
      </c>
      <c r="FX377">
        <f ca="1"/>
      </c>
      <c r="FY377">
        <f ca="1"/>
      </c>
      <c r="FZ377">
        <f ca="1"/>
      </c>
      <c r="GA377">
        <f ca="1"/>
      </c>
      <c r="GM377" s="7"/>
    </row>
    <row r="378" spans="41:195" x14ac:dyDescent="0.55000000000000004">
      <c r="AO378">
        <f ca="1"/>
      </c>
      <c r="AP378">
        <f ca="1"/>
      </c>
      <c r="AQ378">
        <f ca="1"/>
      </c>
      <c r="AR378">
        <f ca="1"/>
      </c>
      <c r="AS378">
        <f ca="1"/>
      </c>
      <c r="AT378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AZ378">
        <f ca="1"/>
      </c>
      <c r="BA378">
        <f ca="1"/>
      </c>
      <c r="BB378">
        <f ca="1"/>
      </c>
      <c r="BC378">
        <f ca="1"/>
      </c>
      <c r="BD378">
        <f ca="1"/>
      </c>
      <c r="BE378">
        <f ca="1"/>
      </c>
      <c r="BF378">
        <f ca="1"/>
      </c>
      <c r="BG378">
        <f ca="1"/>
      </c>
      <c r="BH378">
        <f ca="1"/>
      </c>
      <c r="BI378">
        <f ca="1"/>
      </c>
      <c r="BJ378">
        <f ca="1"/>
      </c>
      <c r="BK378">
        <f ca="1"/>
      </c>
      <c r="BL378">
        <f ca="1"/>
      </c>
      <c r="BM378">
        <f ca="1"/>
      </c>
      <c r="BN378">
        <f ca="1"/>
      </c>
      <c r="BO378">
        <f ca="1"/>
      </c>
      <c r="BP378">
        <f ca="1"/>
      </c>
      <c r="BQ378">
        <f ca="1"/>
      </c>
      <c r="BR378">
        <f ca="1"/>
      </c>
      <c r="BS378">
        <f ca="1"/>
      </c>
      <c r="BT378">
        <f ca="1"/>
      </c>
      <c r="BU378">
        <f ca="1"/>
      </c>
      <c r="BV378">
        <f ca="1"/>
      </c>
      <c r="BW378">
        <f ca="1"/>
      </c>
      <c r="BX378">
        <f ca="1"/>
      </c>
      <c r="BY378">
        <f ca="1"/>
      </c>
      <c r="BZ378">
        <f ca="1"/>
      </c>
      <c r="CA378">
        <f ca="1"/>
      </c>
      <c r="CB378">
        <f ca="1"/>
      </c>
      <c r="CC378">
        <f ca="1"/>
      </c>
      <c r="CD378">
        <f ca="1"/>
      </c>
      <c r="CE378">
        <f ca="1"/>
      </c>
      <c r="CF378">
        <f ca="1"/>
      </c>
      <c r="CG378">
        <f ca="1"/>
      </c>
      <c r="CH378">
        <f ca="1"/>
      </c>
      <c r="CI378">
        <f ca="1"/>
      </c>
      <c r="CK378">
        <f ca="1"/>
      </c>
      <c r="CL378">
        <f ca="1"/>
      </c>
      <c r="CM378">
        <f ca="1"/>
      </c>
      <c r="CN378">
        <f ca="1"/>
      </c>
      <c r="CO378">
        <f ca="1"/>
      </c>
      <c r="CP378">
        <f ca="1"/>
      </c>
      <c r="CQ378">
        <f ca="1"/>
      </c>
      <c r="CR378">
        <f ca="1"/>
      </c>
      <c r="CS378">
        <f ca="1"/>
      </c>
      <c r="CT378">
        <f ca="1"/>
      </c>
      <c r="CU378">
        <f ca="1"/>
      </c>
      <c r="CV378">
        <f ca="1"/>
      </c>
      <c r="CW378">
        <f ca="1"/>
      </c>
      <c r="CX378">
        <f ca="1"/>
      </c>
      <c r="CY378">
        <f ca="1"/>
      </c>
      <c r="CZ378">
        <f ca="1"/>
      </c>
      <c r="DA378">
        <f ca="1"/>
      </c>
      <c r="DB378">
        <f ca="1"/>
      </c>
      <c r="DC378">
        <f ca="1"/>
      </c>
      <c r="DD378">
        <f ca="1"/>
      </c>
      <c r="DE378">
        <f ca="1"/>
      </c>
      <c r="DF378">
        <f ca="1"/>
      </c>
      <c r="DG378">
        <f ca="1"/>
      </c>
      <c r="DH378">
        <f ca="1"/>
      </c>
      <c r="DI378">
        <f ca="1"/>
      </c>
      <c r="DJ378">
        <f ca="1"/>
      </c>
      <c r="DK378">
        <f ca="1"/>
      </c>
      <c r="DL378">
        <f ca="1"/>
      </c>
      <c r="DM378">
        <f ca="1"/>
      </c>
      <c r="DN378">
        <f ca="1"/>
      </c>
      <c r="DO378">
        <f ca="1"/>
      </c>
      <c r="DP378">
        <f ca="1"/>
      </c>
      <c r="DQ378">
        <f ca="1"/>
      </c>
      <c r="DR378">
        <f ca="1"/>
      </c>
      <c r="DS378">
        <f ca="1"/>
      </c>
      <c r="DT378">
        <f ca="1"/>
      </c>
      <c r="DU378">
        <f ca="1"/>
      </c>
      <c r="DV378">
        <f ca="1"/>
      </c>
      <c r="DW378">
        <f ca="1"/>
      </c>
      <c r="DX378">
        <f ca="1"/>
      </c>
      <c r="DY378">
        <f ca="1"/>
      </c>
      <c r="DZ378">
        <f ca="1"/>
      </c>
      <c r="EA378">
        <f ca="1"/>
      </c>
      <c r="EB378">
        <f ca="1"/>
      </c>
      <c r="EC378">
        <f ca="1"/>
      </c>
      <c r="ED378">
        <f ca="1"/>
      </c>
      <c r="EE378">
        <f ca="1"/>
      </c>
      <c r="EG378">
        <f ca="1"/>
      </c>
      <c r="EH378">
        <f ca="1"/>
      </c>
      <c r="EI378">
        <f ca="1"/>
      </c>
      <c r="EJ378">
        <f ca="1"/>
      </c>
      <c r="EK378">
        <f ca="1"/>
      </c>
      <c r="EL378">
        <f ca="1"/>
      </c>
      <c r="EM378">
        <f ca="1"/>
      </c>
      <c r="EN378">
        <f ca="1"/>
      </c>
      <c r="EO378">
        <f ca="1"/>
      </c>
      <c r="EP378">
        <f ca="1"/>
      </c>
      <c r="EQ378">
        <f ca="1"/>
      </c>
      <c r="ER378">
        <f ca="1"/>
      </c>
      <c r="ES378">
        <f ca="1"/>
      </c>
      <c r="ET378">
        <f ca="1"/>
      </c>
      <c r="EU378">
        <f ca="1"/>
      </c>
      <c r="EV378">
        <f ca="1"/>
      </c>
      <c r="EW378">
        <f ca="1"/>
      </c>
      <c r="EX378">
        <f ca="1"/>
      </c>
      <c r="EY378">
        <f ca="1"/>
      </c>
      <c r="EZ378">
        <f ca="1"/>
      </c>
      <c r="FA378">
        <f ca="1"/>
      </c>
      <c r="FB378">
        <f ca="1"/>
      </c>
      <c r="FC378">
        <f ca="1"/>
      </c>
      <c r="FD378">
        <f ca="1"/>
      </c>
      <c r="FE378">
        <f ca="1"/>
      </c>
      <c r="FF378">
        <f ca="1"/>
      </c>
      <c r="FG378">
        <f ca="1"/>
      </c>
      <c r="FH378">
        <f ca="1"/>
      </c>
      <c r="FI378">
        <f ca="1"/>
      </c>
      <c r="FJ378">
        <f ca="1"/>
      </c>
      <c r="FK378">
        <f ca="1"/>
      </c>
      <c r="FL378">
        <f ca="1"/>
      </c>
      <c r="FM378">
        <f ca="1"/>
      </c>
      <c r="FN378">
        <f ca="1"/>
      </c>
      <c r="FO378">
        <f ca="1"/>
      </c>
      <c r="FP378">
        <f ca="1"/>
      </c>
      <c r="FQ378">
        <f ca="1"/>
      </c>
      <c r="FR378">
        <f ca="1"/>
      </c>
      <c r="FS378">
        <f ca="1"/>
      </c>
      <c r="FT378">
        <f ca="1"/>
      </c>
      <c r="FU378">
        <f ca="1"/>
      </c>
      <c r="FV378">
        <f ca="1"/>
      </c>
      <c r="FW378">
        <f ca="1"/>
      </c>
      <c r="FX378">
        <f ca="1"/>
      </c>
      <c r="FY378">
        <f ca="1"/>
      </c>
      <c r="FZ378">
        <f ca="1"/>
      </c>
      <c r="GA378">
        <f ca="1"/>
      </c>
      <c r="GM378" s="7"/>
    </row>
    <row r="379" spans="41:195" x14ac:dyDescent="0.55000000000000004">
      <c r="AO379">
        <f ca="1"/>
      </c>
      <c r="AP379">
        <f ca="1"/>
      </c>
      <c r="AQ379">
        <f ca="1"/>
      </c>
      <c r="AR379">
        <f ca="1"/>
      </c>
      <c r="AS379">
        <f ca="1"/>
      </c>
      <c r="AT379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AZ379">
        <f ca="1"/>
      </c>
      <c r="BA379">
        <f ca="1"/>
      </c>
      <c r="BB379">
        <f ca="1"/>
      </c>
      <c r="BC379">
        <f ca="1"/>
      </c>
      <c r="BD379">
        <f ca="1"/>
      </c>
      <c r="BE379">
        <f ca="1"/>
      </c>
      <c r="BF379">
        <f ca="1"/>
      </c>
      <c r="BG379">
        <f ca="1"/>
      </c>
      <c r="BH379">
        <f ca="1"/>
      </c>
      <c r="BI379">
        <f ca="1"/>
      </c>
      <c r="BJ379">
        <f ca="1"/>
      </c>
      <c r="BK379">
        <f ca="1"/>
      </c>
      <c r="BL379">
        <f ca="1"/>
      </c>
      <c r="BM379">
        <f ca="1"/>
      </c>
      <c r="BN379">
        <f ca="1"/>
      </c>
      <c r="BO379">
        <f ca="1"/>
      </c>
      <c r="BP379">
        <f ca="1"/>
      </c>
      <c r="BQ379">
        <f ca="1"/>
      </c>
      <c r="BR379">
        <f ca="1"/>
      </c>
      <c r="BS379">
        <f ca="1"/>
      </c>
      <c r="BT379">
        <f ca="1"/>
      </c>
      <c r="BU379">
        <f ca="1"/>
      </c>
      <c r="BV379">
        <f ca="1"/>
      </c>
      <c r="BW379">
        <f ca="1"/>
      </c>
      <c r="BX379">
        <f ca="1"/>
      </c>
      <c r="BY379">
        <f ca="1"/>
      </c>
      <c r="BZ379">
        <f ca="1"/>
      </c>
      <c r="CA379">
        <f ca="1"/>
      </c>
      <c r="CB379">
        <f ca="1"/>
      </c>
      <c r="CC379">
        <f ca="1"/>
      </c>
      <c r="CD379">
        <f ca="1"/>
      </c>
      <c r="CE379">
        <f ca="1"/>
      </c>
      <c r="CF379">
        <f ca="1"/>
      </c>
      <c r="CG379">
        <f ca="1"/>
      </c>
      <c r="CH379">
        <f ca="1"/>
      </c>
      <c r="CI379">
        <f ca="1"/>
      </c>
      <c r="CK379">
        <f ca="1"/>
      </c>
      <c r="CL379">
        <f ca="1"/>
      </c>
      <c r="CM379">
        <f ca="1"/>
      </c>
      <c r="CN379">
        <f ca="1"/>
      </c>
      <c r="CO379">
        <f ca="1"/>
      </c>
      <c r="CP379">
        <f ca="1"/>
      </c>
      <c r="CQ379">
        <f ca="1"/>
      </c>
      <c r="CR379">
        <f ca="1"/>
      </c>
      <c r="CS379">
        <f ca="1"/>
      </c>
      <c r="CT379">
        <f ca="1"/>
      </c>
      <c r="CU379">
        <f ca="1"/>
      </c>
      <c r="CV379">
        <f ca="1"/>
      </c>
      <c r="CW379">
        <f ca="1"/>
      </c>
      <c r="CX379">
        <f ca="1"/>
      </c>
      <c r="CY379">
        <f ca="1"/>
      </c>
      <c r="CZ379">
        <f ca="1"/>
      </c>
      <c r="DA379">
        <f ca="1"/>
      </c>
      <c r="DB379">
        <f ca="1"/>
      </c>
      <c r="DC379">
        <f ca="1"/>
      </c>
      <c r="DD379">
        <f ca="1"/>
      </c>
      <c r="DE379">
        <f ca="1"/>
      </c>
      <c r="DF379">
        <f ca="1"/>
      </c>
      <c r="DG379">
        <f ca="1"/>
      </c>
      <c r="DH379">
        <f ca="1"/>
      </c>
      <c r="DI379">
        <f ca="1"/>
      </c>
      <c r="DJ379">
        <f ca="1"/>
      </c>
      <c r="DK379">
        <f ca="1"/>
      </c>
      <c r="DL379">
        <f ca="1"/>
      </c>
      <c r="DM379">
        <f ca="1"/>
      </c>
      <c r="DN379">
        <f ca="1"/>
      </c>
      <c r="DO379">
        <f ca="1"/>
      </c>
      <c r="DP379">
        <f ca="1"/>
      </c>
      <c r="DQ379">
        <f ca="1"/>
      </c>
      <c r="DR379">
        <f ca="1"/>
      </c>
      <c r="DS379">
        <f ca="1"/>
      </c>
      <c r="DT379">
        <f ca="1"/>
      </c>
      <c r="DU379">
        <f ca="1"/>
      </c>
      <c r="DV379">
        <f ca="1"/>
      </c>
      <c r="DW379">
        <f ca="1"/>
      </c>
      <c r="DX379">
        <f ca="1"/>
      </c>
      <c r="DY379">
        <f ca="1"/>
      </c>
      <c r="DZ379">
        <f ca="1"/>
      </c>
      <c r="EA379">
        <f ca="1"/>
      </c>
      <c r="EB379">
        <f ca="1"/>
      </c>
      <c r="EC379">
        <f ca="1"/>
      </c>
      <c r="ED379">
        <f ca="1"/>
      </c>
      <c r="EE379">
        <f ca="1"/>
      </c>
      <c r="EG379">
        <f ca="1"/>
      </c>
      <c r="EH379">
        <f ca="1"/>
      </c>
      <c r="EI379">
        <f ca="1"/>
      </c>
      <c r="EJ379">
        <f ca="1"/>
      </c>
      <c r="EK379">
        <f ca="1"/>
      </c>
      <c r="EL379">
        <f ca="1"/>
      </c>
      <c r="EM379">
        <f ca="1"/>
      </c>
      <c r="EN379">
        <f ca="1"/>
      </c>
      <c r="EO379">
        <f ca="1"/>
      </c>
      <c r="EP379">
        <f ca="1"/>
      </c>
      <c r="EQ379">
        <f ca="1"/>
      </c>
      <c r="ER379">
        <f ca="1"/>
      </c>
      <c r="ES379">
        <f ca="1"/>
      </c>
      <c r="ET379">
        <f ca="1"/>
      </c>
      <c r="EU379">
        <f ca="1"/>
      </c>
      <c r="EV379">
        <f ca="1"/>
      </c>
      <c r="EW379">
        <f ca="1"/>
      </c>
      <c r="EX379">
        <f ca="1"/>
      </c>
      <c r="EY379">
        <f ca="1"/>
      </c>
      <c r="EZ379">
        <f ca="1"/>
      </c>
      <c r="FA379">
        <f ca="1"/>
      </c>
      <c r="FB379">
        <f ca="1"/>
      </c>
      <c r="FC379">
        <f ca="1"/>
      </c>
      <c r="FD379">
        <f ca="1"/>
      </c>
      <c r="FE379">
        <f ca="1"/>
      </c>
      <c r="FF379">
        <f ca="1"/>
      </c>
      <c r="FG379">
        <f ca="1"/>
      </c>
      <c r="FH379">
        <f ca="1"/>
      </c>
      <c r="FI379">
        <f ca="1"/>
      </c>
      <c r="FJ379">
        <f ca="1"/>
      </c>
      <c r="FK379">
        <f ca="1"/>
      </c>
      <c r="FL379">
        <f ca="1"/>
      </c>
      <c r="FM379">
        <f ca="1"/>
      </c>
      <c r="FN379">
        <f ca="1"/>
      </c>
      <c r="FO379">
        <f ca="1"/>
      </c>
      <c r="FP379">
        <f ca="1"/>
      </c>
      <c r="FQ379">
        <f ca="1"/>
      </c>
      <c r="FR379">
        <f ca="1"/>
      </c>
      <c r="FS379">
        <f ca="1"/>
      </c>
      <c r="FT379">
        <f ca="1"/>
      </c>
      <c r="FU379">
        <f ca="1"/>
      </c>
      <c r="FV379">
        <f ca="1"/>
      </c>
      <c r="FW379">
        <f ca="1"/>
      </c>
      <c r="FX379">
        <f ca="1"/>
      </c>
      <c r="FY379">
        <f ca="1"/>
      </c>
      <c r="FZ379">
        <f ca="1"/>
      </c>
      <c r="GA379">
        <f ca="1"/>
      </c>
      <c r="GM379" s="7"/>
    </row>
    <row r="380" spans="41:195" x14ac:dyDescent="0.55000000000000004">
      <c r="AO380">
        <f ca="1"/>
      </c>
      <c r="AP380">
        <f ca="1"/>
      </c>
      <c r="AQ380">
        <f ca="1"/>
      </c>
      <c r="AR380">
        <f ca="1"/>
      </c>
      <c r="AS380">
        <f ca="1"/>
      </c>
      <c r="AT380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AZ380">
        <f ca="1"/>
      </c>
      <c r="BA380">
        <f ca="1"/>
      </c>
      <c r="BB380">
        <f ca="1"/>
      </c>
      <c r="BC380">
        <f ca="1"/>
      </c>
      <c r="BD380">
        <f ca="1"/>
      </c>
      <c r="BE380">
        <f ca="1"/>
      </c>
      <c r="BF380">
        <f ca="1"/>
      </c>
      <c r="BG380">
        <f ca="1"/>
      </c>
      <c r="BH380">
        <f ca="1"/>
      </c>
      <c r="BI380">
        <f ca="1"/>
      </c>
      <c r="BJ380">
        <f ca="1"/>
      </c>
      <c r="BK380">
        <f ca="1"/>
      </c>
      <c r="BL380">
        <f ca="1"/>
      </c>
      <c r="BM380">
        <f ca="1"/>
      </c>
      <c r="BN380">
        <f ca="1"/>
      </c>
      <c r="BO380">
        <f ca="1"/>
      </c>
      <c r="BP380">
        <f ca="1"/>
      </c>
      <c r="BQ380">
        <f ca="1"/>
      </c>
      <c r="BR380">
        <f ca="1"/>
      </c>
      <c r="BS380">
        <f ca="1"/>
      </c>
      <c r="BT380">
        <f ca="1"/>
      </c>
      <c r="BU380">
        <f ca="1"/>
      </c>
      <c r="BV380">
        <f ca="1"/>
      </c>
      <c r="BW380">
        <f ca="1"/>
      </c>
      <c r="BX380">
        <f ca="1"/>
      </c>
      <c r="BY380">
        <f ca="1"/>
      </c>
      <c r="BZ380">
        <f ca="1"/>
      </c>
      <c r="CA380">
        <f ca="1"/>
      </c>
      <c r="CB380">
        <f ca="1"/>
      </c>
      <c r="CC380">
        <f ca="1"/>
      </c>
      <c r="CD380">
        <f ca="1"/>
      </c>
      <c r="CE380">
        <f ca="1"/>
      </c>
      <c r="CF380">
        <f ca="1"/>
      </c>
      <c r="CG380">
        <f ca="1"/>
      </c>
      <c r="CH380">
        <f ca="1"/>
      </c>
      <c r="CI380">
        <f ca="1"/>
      </c>
      <c r="CK380">
        <f ca="1"/>
      </c>
      <c r="CL380">
        <f ca="1"/>
      </c>
      <c r="CM380">
        <f ca="1"/>
      </c>
      <c r="CN380">
        <f ca="1"/>
      </c>
      <c r="CO380">
        <f ca="1"/>
      </c>
      <c r="CP380">
        <f ca="1"/>
      </c>
      <c r="CQ380">
        <f ca="1"/>
      </c>
      <c r="CR380">
        <f ca="1"/>
      </c>
      <c r="CS380">
        <f ca="1"/>
      </c>
      <c r="CT380">
        <f ca="1"/>
      </c>
      <c r="CU380">
        <f ca="1"/>
      </c>
      <c r="CV380">
        <f ca="1"/>
      </c>
      <c r="CW380">
        <f ca="1"/>
      </c>
      <c r="CX380">
        <f ca="1"/>
      </c>
      <c r="CY380">
        <f ca="1"/>
      </c>
      <c r="CZ380">
        <f ca="1"/>
      </c>
      <c r="DA380">
        <f ca="1"/>
      </c>
      <c r="DB380">
        <f ca="1"/>
      </c>
      <c r="DC380">
        <f ca="1"/>
      </c>
      <c r="DD380">
        <f ca="1"/>
      </c>
      <c r="DE380">
        <f ca="1"/>
      </c>
      <c r="DF380">
        <f ca="1"/>
      </c>
      <c r="DG380">
        <f ca="1"/>
      </c>
      <c r="DH380">
        <f ca="1"/>
      </c>
      <c r="DI380">
        <f ca="1"/>
      </c>
      <c r="DJ380">
        <f ca="1"/>
      </c>
      <c r="DK380">
        <f ca="1"/>
      </c>
      <c r="DL380">
        <f ca="1"/>
      </c>
      <c r="DM380">
        <f ca="1"/>
      </c>
      <c r="DN380">
        <f ca="1"/>
      </c>
      <c r="DO380">
        <f ca="1"/>
      </c>
      <c r="DP380">
        <f ca="1"/>
      </c>
      <c r="DQ380">
        <f ca="1"/>
      </c>
      <c r="DR380">
        <f ca="1"/>
      </c>
      <c r="DS380">
        <f ca="1"/>
      </c>
      <c r="DT380">
        <f ca="1"/>
      </c>
      <c r="DU380">
        <f ca="1"/>
      </c>
      <c r="DV380">
        <f ca="1"/>
      </c>
      <c r="DW380">
        <f ca="1"/>
      </c>
      <c r="DX380">
        <f ca="1"/>
      </c>
      <c r="DY380">
        <f ca="1"/>
      </c>
      <c r="DZ380">
        <f ca="1"/>
      </c>
      <c r="EA380">
        <f ca="1"/>
      </c>
      <c r="EB380">
        <f ca="1"/>
      </c>
      <c r="EC380">
        <f ca="1"/>
      </c>
      <c r="ED380">
        <f ca="1"/>
      </c>
      <c r="EE380">
        <f ca="1"/>
      </c>
      <c r="EG380">
        <f ca="1"/>
      </c>
      <c r="EH380">
        <f ca="1"/>
      </c>
      <c r="EI380">
        <f ca="1"/>
      </c>
      <c r="EJ380">
        <f ca="1"/>
      </c>
      <c r="EK380">
        <f ca="1"/>
      </c>
      <c r="EL380">
        <f ca="1"/>
      </c>
      <c r="EM380">
        <f ca="1"/>
      </c>
      <c r="EN380">
        <f ca="1"/>
      </c>
      <c r="EO380">
        <f ca="1"/>
      </c>
      <c r="EP380">
        <f ca="1"/>
      </c>
      <c r="EQ380">
        <f ca="1"/>
      </c>
      <c r="ER380">
        <f ca="1"/>
      </c>
      <c r="ES380">
        <f ca="1"/>
      </c>
      <c r="ET380">
        <f ca="1"/>
      </c>
      <c r="EU380">
        <f ca="1"/>
      </c>
      <c r="EV380">
        <f ca="1"/>
      </c>
      <c r="EW380">
        <f ca="1"/>
      </c>
      <c r="EX380">
        <f ca="1"/>
      </c>
      <c r="EY380">
        <f ca="1"/>
      </c>
      <c r="EZ380">
        <f ca="1"/>
      </c>
      <c r="FA380">
        <f ca="1"/>
      </c>
      <c r="FB380">
        <f ca="1"/>
      </c>
      <c r="FC380">
        <f ca="1"/>
      </c>
      <c r="FD380">
        <f ca="1"/>
      </c>
      <c r="FE380">
        <f ca="1"/>
      </c>
      <c r="FF380">
        <f ca="1"/>
      </c>
      <c r="FG380">
        <f ca="1"/>
      </c>
      <c r="FH380">
        <f ca="1"/>
      </c>
      <c r="FI380">
        <f ca="1"/>
      </c>
      <c r="FJ380">
        <f ca="1"/>
      </c>
      <c r="FK380">
        <f ca="1"/>
      </c>
      <c r="FL380">
        <f ca="1"/>
      </c>
      <c r="FM380">
        <f ca="1"/>
      </c>
      <c r="FN380">
        <f ca="1"/>
      </c>
      <c r="FO380">
        <f ca="1"/>
      </c>
      <c r="FP380">
        <f ca="1"/>
      </c>
      <c r="FQ380">
        <f ca="1"/>
      </c>
      <c r="FR380">
        <f ca="1"/>
      </c>
      <c r="FS380">
        <f ca="1"/>
      </c>
      <c r="FT380">
        <f ca="1"/>
      </c>
      <c r="FU380">
        <f ca="1"/>
      </c>
      <c r="FV380">
        <f ca="1"/>
      </c>
      <c r="FW380">
        <f ca="1"/>
      </c>
      <c r="FX380">
        <f ca="1"/>
      </c>
      <c r="FY380">
        <f ca="1"/>
      </c>
      <c r="FZ380">
        <f ca="1"/>
      </c>
      <c r="GA380">
        <f ca="1"/>
      </c>
      <c r="GM380" s="7"/>
    </row>
    <row r="381" spans="41:195" x14ac:dyDescent="0.55000000000000004">
      <c r="AO381">
        <f ca="1"/>
      </c>
      <c r="AP381">
        <f ca="1"/>
      </c>
      <c r="AQ381">
        <f ca="1"/>
      </c>
      <c r="AR381">
        <f ca="1"/>
      </c>
      <c r="AS381">
        <f ca="1"/>
      </c>
      <c r="AT381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AZ381">
        <f ca="1"/>
      </c>
      <c r="BA381">
        <f ca="1"/>
      </c>
      <c r="BB381">
        <f ca="1"/>
      </c>
      <c r="BC381">
        <f ca="1"/>
      </c>
      <c r="BD381">
        <f ca="1"/>
      </c>
      <c r="BE381">
        <f ca="1"/>
      </c>
      <c r="BF381">
        <f ca="1"/>
      </c>
      <c r="BG381">
        <f ca="1"/>
      </c>
      <c r="BH381">
        <f ca="1"/>
      </c>
      <c r="BI381">
        <f ca="1"/>
      </c>
      <c r="BJ381">
        <f ca="1"/>
      </c>
      <c r="BK381">
        <f ca="1"/>
      </c>
      <c r="BL381">
        <f ca="1"/>
      </c>
      <c r="BM381">
        <f ca="1"/>
      </c>
      <c r="BN381">
        <f ca="1"/>
      </c>
      <c r="BO381">
        <f ca="1"/>
      </c>
      <c r="BP381">
        <f ca="1"/>
      </c>
      <c r="BQ381">
        <f ca="1"/>
      </c>
      <c r="BR381">
        <f ca="1"/>
      </c>
      <c r="BS381">
        <f ca="1"/>
      </c>
      <c r="BT381">
        <f ca="1"/>
      </c>
      <c r="BU381">
        <f ca="1"/>
      </c>
      <c r="BV381">
        <f ca="1"/>
      </c>
      <c r="BW381">
        <f ca="1"/>
      </c>
      <c r="BX381">
        <f ca="1"/>
      </c>
      <c r="BY381">
        <f ca="1"/>
      </c>
      <c r="BZ381">
        <f ca="1"/>
      </c>
      <c r="CA381">
        <f ca="1"/>
      </c>
      <c r="CB381">
        <f ca="1"/>
      </c>
      <c r="CC381">
        <f ca="1"/>
      </c>
      <c r="CD381">
        <f ca="1"/>
      </c>
      <c r="CE381">
        <f ca="1"/>
      </c>
      <c r="CF381">
        <f ca="1"/>
      </c>
      <c r="CG381">
        <f ca="1"/>
      </c>
      <c r="CH381">
        <f ca="1"/>
      </c>
      <c r="CI381">
        <f ca="1"/>
      </c>
      <c r="CK381">
        <f ca="1"/>
      </c>
      <c r="CL381">
        <f ca="1"/>
      </c>
      <c r="CM381">
        <f ca="1"/>
      </c>
      <c r="CN381">
        <f ca="1"/>
      </c>
      <c r="CO381">
        <f ca="1"/>
      </c>
      <c r="CP381">
        <f ca="1"/>
      </c>
      <c r="CQ381">
        <f ca="1"/>
      </c>
      <c r="CR381">
        <f ca="1"/>
      </c>
      <c r="CS381">
        <f ca="1"/>
      </c>
      <c r="CT381">
        <f ca="1"/>
      </c>
      <c r="CU381">
        <f ca="1"/>
      </c>
      <c r="CV381">
        <f ca="1"/>
      </c>
      <c r="CW381">
        <f ca="1"/>
      </c>
      <c r="CX381">
        <f ca="1"/>
      </c>
      <c r="CY381">
        <f ca="1"/>
      </c>
      <c r="CZ381">
        <f ca="1"/>
      </c>
      <c r="DA381">
        <f ca="1"/>
      </c>
      <c r="DB381">
        <f ca="1"/>
      </c>
      <c r="DC381">
        <f ca="1"/>
      </c>
      <c r="DD381">
        <f ca="1"/>
      </c>
      <c r="DE381">
        <f ca="1"/>
      </c>
      <c r="DF381">
        <f ca="1"/>
      </c>
      <c r="DG381">
        <f ca="1"/>
      </c>
      <c r="DH381">
        <f ca="1"/>
      </c>
      <c r="DI381">
        <f ca="1"/>
      </c>
      <c r="DJ381">
        <f ca="1"/>
      </c>
      <c r="DK381">
        <f ca="1"/>
      </c>
      <c r="DL381">
        <f ca="1"/>
      </c>
      <c r="DM381">
        <f ca="1"/>
      </c>
      <c r="DN381">
        <f ca="1"/>
      </c>
      <c r="DO381">
        <f ca="1"/>
      </c>
      <c r="DP381">
        <f ca="1"/>
      </c>
      <c r="DQ381">
        <f ca="1"/>
      </c>
      <c r="DR381">
        <f ca="1"/>
      </c>
      <c r="DS381">
        <f ca="1"/>
      </c>
      <c r="DT381">
        <f ca="1"/>
      </c>
      <c r="DU381">
        <f ca="1"/>
      </c>
      <c r="DV381">
        <f ca="1"/>
      </c>
      <c r="DW381">
        <f ca="1"/>
      </c>
      <c r="DX381">
        <f ca="1"/>
      </c>
      <c r="DY381">
        <f ca="1"/>
      </c>
      <c r="DZ381">
        <f ca="1"/>
      </c>
      <c r="EA381">
        <f ca="1"/>
      </c>
      <c r="EB381">
        <f ca="1"/>
      </c>
      <c r="EC381">
        <f ca="1"/>
      </c>
      <c r="ED381">
        <f ca="1"/>
      </c>
      <c r="EE381">
        <f ca="1"/>
      </c>
      <c r="EG381">
        <f ca="1"/>
      </c>
      <c r="EH381">
        <f ca="1"/>
      </c>
      <c r="EI381">
        <f ca="1"/>
      </c>
      <c r="EJ381">
        <f ca="1"/>
      </c>
      <c r="EK381">
        <f ca="1"/>
      </c>
      <c r="EL381">
        <f ca="1"/>
      </c>
      <c r="EM381">
        <f ca="1"/>
      </c>
      <c r="EN381">
        <f ca="1"/>
      </c>
      <c r="EO381">
        <f ca="1"/>
      </c>
      <c r="EP381">
        <f ca="1"/>
      </c>
      <c r="EQ381">
        <f ca="1"/>
      </c>
      <c r="ER381">
        <f ca="1"/>
      </c>
      <c r="ES381">
        <f ca="1"/>
      </c>
      <c r="ET381">
        <f ca="1"/>
      </c>
      <c r="EU381">
        <f ca="1"/>
      </c>
      <c r="EV381">
        <f ca="1"/>
      </c>
      <c r="EW381">
        <f ca="1"/>
      </c>
      <c r="EX381">
        <f ca="1"/>
      </c>
      <c r="EY381">
        <f ca="1"/>
      </c>
      <c r="EZ381">
        <f ca="1"/>
      </c>
      <c r="FA381">
        <f ca="1"/>
      </c>
      <c r="FB381">
        <f ca="1"/>
      </c>
      <c r="FC381">
        <f ca="1"/>
      </c>
      <c r="FD381">
        <f ca="1"/>
      </c>
      <c r="FE381">
        <f ca="1"/>
      </c>
      <c r="FF381">
        <f ca="1"/>
      </c>
      <c r="FG381">
        <f ca="1"/>
      </c>
      <c r="FH381">
        <f ca="1"/>
      </c>
      <c r="FI381">
        <f ca="1"/>
      </c>
      <c r="FJ381">
        <f ca="1"/>
      </c>
      <c r="FK381">
        <f ca="1"/>
      </c>
      <c r="FL381">
        <f ca="1"/>
      </c>
      <c r="FM381">
        <f ca="1"/>
      </c>
      <c r="FN381">
        <f ca="1"/>
      </c>
      <c r="FO381">
        <f ca="1"/>
      </c>
      <c r="FP381">
        <f ca="1"/>
      </c>
      <c r="FQ381">
        <f ca="1"/>
      </c>
      <c r="FR381">
        <f ca="1"/>
      </c>
      <c r="FS381">
        <f ca="1"/>
      </c>
      <c r="FT381">
        <f ca="1"/>
      </c>
      <c r="FU381">
        <f ca="1"/>
      </c>
      <c r="FV381">
        <f ca="1"/>
      </c>
      <c r="FW381">
        <f ca="1"/>
      </c>
      <c r="FX381">
        <f ca="1"/>
      </c>
      <c r="FY381">
        <f ca="1"/>
      </c>
      <c r="FZ381">
        <f ca="1"/>
      </c>
      <c r="GA381">
        <f ca="1"/>
      </c>
      <c r="GM381" s="7"/>
    </row>
    <row r="382" spans="41:195" x14ac:dyDescent="0.55000000000000004">
      <c r="AO382">
        <f ca="1"/>
      </c>
      <c r="AP382">
        <f ca="1"/>
      </c>
      <c r="AQ382">
        <f ca="1"/>
      </c>
      <c r="AR382">
        <f ca="1"/>
      </c>
      <c r="AS382">
        <f ca="1"/>
      </c>
      <c r="AT382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AZ382">
        <f ca="1"/>
      </c>
      <c r="BA382">
        <f ca="1"/>
      </c>
      <c r="BB382">
        <f ca="1"/>
      </c>
      <c r="BC382">
        <f ca="1"/>
      </c>
      <c r="BD382">
        <f ca="1"/>
      </c>
      <c r="BE382">
        <f ca="1"/>
      </c>
      <c r="BF382">
        <f ca="1"/>
      </c>
      <c r="BG382">
        <f ca="1"/>
      </c>
      <c r="BH382">
        <f ca="1"/>
      </c>
      <c r="BI382">
        <f ca="1"/>
      </c>
      <c r="BJ382">
        <f ca="1"/>
      </c>
      <c r="BK382">
        <f ca="1"/>
      </c>
      <c r="BL382">
        <f ca="1"/>
      </c>
      <c r="BM382">
        <f ca="1"/>
      </c>
      <c r="BN382">
        <f ca="1"/>
      </c>
      <c r="BO382">
        <f ca="1"/>
      </c>
      <c r="BP382">
        <f ca="1"/>
      </c>
      <c r="BQ382">
        <f ca="1"/>
      </c>
      <c r="BR382">
        <f ca="1"/>
      </c>
      <c r="BS382">
        <f ca="1"/>
      </c>
      <c r="BT382">
        <f ca="1"/>
      </c>
      <c r="BU382">
        <f ca="1"/>
      </c>
      <c r="BV382">
        <f ca="1"/>
      </c>
      <c r="BW382">
        <f ca="1"/>
      </c>
      <c r="BX382">
        <f ca="1"/>
      </c>
      <c r="BY382">
        <f ca="1"/>
      </c>
      <c r="BZ382">
        <f ca="1"/>
      </c>
      <c r="CA382">
        <f ca="1"/>
      </c>
      <c r="CB382">
        <f ca="1"/>
      </c>
      <c r="CC382">
        <f ca="1"/>
      </c>
      <c r="CD382">
        <f ca="1"/>
      </c>
      <c r="CE382">
        <f ca="1"/>
      </c>
      <c r="CF382">
        <f ca="1"/>
      </c>
      <c r="CG382">
        <f ca="1"/>
      </c>
      <c r="CH382">
        <f ca="1"/>
      </c>
      <c r="CI382">
        <f ca="1"/>
      </c>
      <c r="CK382">
        <f ca="1"/>
      </c>
      <c r="CL382">
        <f ca="1"/>
      </c>
      <c r="CM382">
        <f ca="1"/>
      </c>
      <c r="CN382">
        <f ca="1"/>
      </c>
      <c r="CO382">
        <f ca="1"/>
      </c>
      <c r="CP382">
        <f ca="1"/>
      </c>
      <c r="CQ382">
        <f ca="1"/>
      </c>
      <c r="CR382">
        <f ca="1"/>
      </c>
      <c r="CS382">
        <f ca="1"/>
      </c>
      <c r="CT382">
        <f ca="1"/>
      </c>
      <c r="CU382">
        <f ca="1"/>
      </c>
      <c r="CV382">
        <f ca="1"/>
      </c>
      <c r="CW382">
        <f ca="1"/>
      </c>
      <c r="CX382">
        <f ca="1"/>
      </c>
      <c r="CY382">
        <f ca="1"/>
      </c>
      <c r="CZ382">
        <f ca="1"/>
      </c>
      <c r="DA382">
        <f ca="1"/>
      </c>
      <c r="DB382">
        <f ca="1"/>
      </c>
      <c r="DC382">
        <f ca="1"/>
      </c>
      <c r="DD382">
        <f ca="1"/>
      </c>
      <c r="DE382">
        <f ca="1"/>
      </c>
      <c r="DF382">
        <f ca="1"/>
      </c>
      <c r="DG382">
        <f ca="1"/>
      </c>
      <c r="DH382">
        <f ca="1"/>
      </c>
      <c r="DI382">
        <f ca="1"/>
      </c>
      <c r="DJ382">
        <f ca="1"/>
      </c>
      <c r="DK382">
        <f ca="1"/>
      </c>
      <c r="DL382">
        <f ca="1"/>
      </c>
      <c r="DM382">
        <f ca="1"/>
      </c>
      <c r="DN382">
        <f ca="1"/>
      </c>
      <c r="DO382">
        <f ca="1"/>
      </c>
      <c r="DP382">
        <f ca="1"/>
      </c>
      <c r="DQ382">
        <f ca="1"/>
      </c>
      <c r="DR382">
        <f ca="1"/>
      </c>
      <c r="DS382">
        <f ca="1"/>
      </c>
      <c r="DT382">
        <f ca="1"/>
      </c>
      <c r="DU382">
        <f ca="1"/>
      </c>
      <c r="DV382">
        <f ca="1"/>
      </c>
      <c r="DW382">
        <f ca="1"/>
      </c>
      <c r="DX382">
        <f ca="1"/>
      </c>
      <c r="DY382">
        <f ca="1"/>
      </c>
      <c r="DZ382">
        <f ca="1"/>
      </c>
      <c r="EA382">
        <f ca="1"/>
      </c>
      <c r="EB382">
        <f ca="1"/>
      </c>
      <c r="EC382">
        <f ca="1"/>
      </c>
      <c r="ED382">
        <f ca="1"/>
      </c>
      <c r="EE382">
        <f ca="1"/>
      </c>
      <c r="EG382">
        <f ca="1"/>
      </c>
      <c r="EH382">
        <f ca="1"/>
      </c>
      <c r="EI382">
        <f ca="1"/>
      </c>
      <c r="EJ382">
        <f ca="1"/>
      </c>
      <c r="EK382">
        <f ca="1"/>
      </c>
      <c r="EL382">
        <f ca="1"/>
      </c>
      <c r="EM382">
        <f ca="1"/>
      </c>
      <c r="EN382">
        <f ca="1"/>
      </c>
      <c r="EO382">
        <f ca="1"/>
      </c>
      <c r="EP382">
        <f ca="1"/>
      </c>
      <c r="EQ382">
        <f ca="1"/>
      </c>
      <c r="ER382">
        <f ca="1"/>
      </c>
      <c r="ES382">
        <f ca="1"/>
      </c>
      <c r="ET382">
        <f ca="1"/>
      </c>
      <c r="EU382">
        <f ca="1"/>
      </c>
      <c r="EV382">
        <f ca="1"/>
      </c>
      <c r="EW382">
        <f ca="1"/>
      </c>
      <c r="EX382">
        <f ca="1"/>
      </c>
      <c r="EY382">
        <f ca="1"/>
      </c>
      <c r="EZ382">
        <f ca="1"/>
      </c>
      <c r="FA382">
        <f ca="1"/>
      </c>
      <c r="FB382">
        <f ca="1"/>
      </c>
      <c r="FC382">
        <f ca="1"/>
      </c>
      <c r="FD382">
        <f ca="1"/>
      </c>
      <c r="FE382">
        <f ca="1"/>
      </c>
      <c r="FF382">
        <f ca="1"/>
      </c>
      <c r="FG382">
        <f ca="1"/>
      </c>
      <c r="FH382">
        <f ca="1"/>
      </c>
      <c r="FI382">
        <f ca="1"/>
      </c>
      <c r="FJ382">
        <f ca="1"/>
      </c>
      <c r="FK382">
        <f ca="1"/>
      </c>
      <c r="FL382">
        <f ca="1"/>
      </c>
      <c r="FM382">
        <f ca="1"/>
      </c>
      <c r="FN382">
        <f ca="1"/>
      </c>
      <c r="FO382">
        <f ca="1"/>
      </c>
      <c r="FP382">
        <f ca="1"/>
      </c>
      <c r="FQ382">
        <f ca="1"/>
      </c>
      <c r="FR382">
        <f ca="1"/>
      </c>
      <c r="FS382">
        <f ca="1"/>
      </c>
      <c r="FT382">
        <f ca="1"/>
      </c>
      <c r="FU382">
        <f ca="1"/>
      </c>
      <c r="FV382">
        <f ca="1"/>
      </c>
      <c r="FW382">
        <f ca="1"/>
      </c>
      <c r="FX382">
        <f ca="1"/>
      </c>
      <c r="FY382">
        <f ca="1"/>
      </c>
      <c r="FZ382">
        <f ca="1"/>
      </c>
      <c r="GA382">
        <f ca="1"/>
      </c>
      <c r="GM382" s="7"/>
    </row>
    <row r="383" spans="41:195" x14ac:dyDescent="0.55000000000000004">
      <c r="AO383">
        <f ca="1"/>
      </c>
      <c r="AP383">
        <f ca="1"/>
      </c>
      <c r="AQ383">
        <f ca="1"/>
      </c>
      <c r="AR383">
        <f ca="1"/>
      </c>
      <c r="AS383">
        <f ca="1"/>
      </c>
      <c r="AT383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AZ383">
        <f ca="1"/>
      </c>
      <c r="BA383">
        <f ca="1"/>
      </c>
      <c r="BB383">
        <f ca="1"/>
      </c>
      <c r="BC383">
        <f ca="1"/>
      </c>
      <c r="BD383">
        <f ca="1"/>
      </c>
      <c r="BE383">
        <f ca="1"/>
      </c>
      <c r="BF383">
        <f ca="1"/>
      </c>
      <c r="BG383">
        <f ca="1"/>
      </c>
      <c r="BH383">
        <f ca="1"/>
      </c>
      <c r="BI383">
        <f ca="1"/>
      </c>
      <c r="BJ383">
        <f ca="1"/>
      </c>
      <c r="BK383">
        <f ca="1"/>
      </c>
      <c r="BL383">
        <f ca="1"/>
      </c>
      <c r="BM383">
        <f ca="1"/>
      </c>
      <c r="BN383">
        <f ca="1"/>
      </c>
      <c r="BO383">
        <f ca="1"/>
      </c>
      <c r="BP383">
        <f ca="1"/>
      </c>
      <c r="BQ383">
        <f ca="1"/>
      </c>
      <c r="BR383">
        <f ca="1"/>
      </c>
      <c r="BS383">
        <f ca="1"/>
      </c>
      <c r="BT383">
        <f ca="1"/>
      </c>
      <c r="BU383">
        <f ca="1"/>
      </c>
      <c r="BV383">
        <f ca="1"/>
      </c>
      <c r="BW383">
        <f ca="1"/>
      </c>
      <c r="BX383">
        <f ca="1"/>
      </c>
      <c r="BY383">
        <f ca="1"/>
      </c>
      <c r="BZ383">
        <f ca="1"/>
      </c>
      <c r="CA383">
        <f ca="1"/>
      </c>
      <c r="CB383">
        <f ca="1"/>
      </c>
      <c r="CC383">
        <f ca="1"/>
      </c>
      <c r="CD383">
        <f ca="1"/>
      </c>
      <c r="CE383">
        <f ca="1"/>
      </c>
      <c r="CF383">
        <f ca="1"/>
      </c>
      <c r="CG383">
        <f ca="1"/>
      </c>
      <c r="CH383">
        <f ca="1"/>
      </c>
      <c r="CI383">
        <f ca="1"/>
      </c>
      <c r="CK383">
        <f ca="1"/>
      </c>
      <c r="CL383">
        <f ca="1"/>
      </c>
      <c r="CM383">
        <f ca="1"/>
      </c>
      <c r="CN383">
        <f ca="1"/>
      </c>
      <c r="CO383">
        <f ca="1"/>
      </c>
      <c r="CP383">
        <f ca="1"/>
      </c>
      <c r="CQ383">
        <f ca="1"/>
      </c>
      <c r="CR383">
        <f ca="1"/>
      </c>
      <c r="CS383">
        <f ca="1"/>
      </c>
      <c r="CT383">
        <f ca="1"/>
      </c>
      <c r="CU383">
        <f ca="1"/>
      </c>
      <c r="CV383">
        <f ca="1"/>
      </c>
      <c r="CW383">
        <f ca="1"/>
      </c>
      <c r="CX383">
        <f ca="1"/>
      </c>
      <c r="CY383">
        <f ca="1"/>
      </c>
      <c r="CZ383">
        <f ca="1"/>
      </c>
      <c r="DA383">
        <f ca="1"/>
      </c>
      <c r="DB383">
        <f ca="1"/>
      </c>
      <c r="DC383">
        <f ca="1"/>
      </c>
      <c r="DD383">
        <f ca="1"/>
      </c>
      <c r="DE383">
        <f ca="1"/>
      </c>
      <c r="DF383">
        <f ca="1"/>
      </c>
      <c r="DG383">
        <f ca="1"/>
      </c>
      <c r="DH383">
        <f ca="1"/>
      </c>
      <c r="DI383">
        <f ca="1"/>
      </c>
      <c r="DJ383">
        <f ca="1"/>
      </c>
      <c r="DK383">
        <f ca="1"/>
      </c>
      <c r="DL383">
        <f ca="1"/>
      </c>
      <c r="DM383">
        <f ca="1"/>
      </c>
      <c r="DN383">
        <f ca="1"/>
      </c>
      <c r="DO383">
        <f ca="1"/>
      </c>
      <c r="DP383">
        <f ca="1"/>
      </c>
      <c r="DQ383">
        <f ca="1"/>
      </c>
      <c r="DR383">
        <f ca="1"/>
      </c>
      <c r="DS383">
        <f ca="1"/>
      </c>
      <c r="DT383">
        <f ca="1"/>
      </c>
      <c r="DU383">
        <f ca="1"/>
      </c>
      <c r="DV383">
        <f ca="1"/>
      </c>
      <c r="DW383">
        <f ca="1"/>
      </c>
      <c r="DX383">
        <f ca="1"/>
      </c>
      <c r="DY383">
        <f ca="1"/>
      </c>
      <c r="DZ383">
        <f ca="1"/>
      </c>
      <c r="EA383">
        <f ca="1"/>
      </c>
      <c r="EB383">
        <f ca="1"/>
      </c>
      <c r="EC383">
        <f ca="1"/>
      </c>
      <c r="ED383">
        <f ca="1"/>
      </c>
      <c r="EE383">
        <f ca="1"/>
      </c>
      <c r="EG383">
        <f ca="1"/>
      </c>
      <c r="EH383">
        <f ca="1"/>
      </c>
      <c r="EI383">
        <f ca="1"/>
      </c>
      <c r="EJ383">
        <f ca="1"/>
      </c>
      <c r="EK383">
        <f ca="1"/>
      </c>
      <c r="EL383">
        <f ca="1"/>
      </c>
      <c r="EM383">
        <f ca="1"/>
      </c>
      <c r="EN383">
        <f ca="1"/>
      </c>
      <c r="EO383">
        <f ca="1"/>
      </c>
      <c r="EP383">
        <f ca="1"/>
      </c>
      <c r="EQ383">
        <f ca="1"/>
      </c>
      <c r="ER383">
        <f ca="1"/>
      </c>
      <c r="ES383">
        <f ca="1"/>
      </c>
      <c r="ET383">
        <f ca="1"/>
      </c>
      <c r="EU383">
        <f ca="1"/>
      </c>
      <c r="EV383">
        <f ca="1"/>
      </c>
      <c r="EW383">
        <f ca="1"/>
      </c>
      <c r="EX383">
        <f ca="1"/>
      </c>
      <c r="EY383">
        <f ca="1"/>
      </c>
      <c r="EZ383">
        <f ca="1"/>
      </c>
      <c r="FA383">
        <f ca="1"/>
      </c>
      <c r="FB383">
        <f ca="1"/>
      </c>
      <c r="FC383">
        <f ca="1"/>
      </c>
      <c r="FD383">
        <f ca="1"/>
      </c>
      <c r="FE383">
        <f ca="1"/>
      </c>
      <c r="FF383">
        <f ca="1"/>
      </c>
      <c r="FG383">
        <f ca="1"/>
      </c>
      <c r="FH383">
        <f ca="1"/>
      </c>
      <c r="FI383">
        <f ca="1"/>
      </c>
      <c r="FJ383">
        <f ca="1"/>
      </c>
      <c r="FK383">
        <f ca="1"/>
      </c>
      <c r="FL383">
        <f ca="1"/>
      </c>
      <c r="FM383">
        <f ca="1"/>
      </c>
      <c r="FN383">
        <f ca="1"/>
      </c>
      <c r="FO383">
        <f ca="1"/>
      </c>
      <c r="FP383">
        <f ca="1"/>
      </c>
      <c r="FQ383">
        <f ca="1"/>
      </c>
      <c r="FR383">
        <f ca="1"/>
      </c>
      <c r="FS383">
        <f ca="1"/>
      </c>
      <c r="FT383">
        <f ca="1"/>
      </c>
      <c r="FU383">
        <f ca="1"/>
      </c>
      <c r="FV383">
        <f ca="1"/>
      </c>
      <c r="FW383">
        <f ca="1"/>
      </c>
      <c r="FX383">
        <f ca="1"/>
      </c>
      <c r="FY383">
        <f ca="1"/>
      </c>
      <c r="FZ383">
        <f ca="1"/>
      </c>
      <c r="GA383">
        <f ca="1"/>
      </c>
      <c r="GM383" s="7"/>
    </row>
    <row r="384" spans="41:195" x14ac:dyDescent="0.55000000000000004">
      <c r="AO384">
        <f ca="1"/>
      </c>
      <c r="AP384">
        <f ca="1"/>
      </c>
      <c r="AQ384">
        <f ca="1"/>
      </c>
      <c r="AR384">
        <f ca="1"/>
      </c>
      <c r="AS384">
        <f ca="1"/>
      </c>
      <c r="AT384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AZ384">
        <f ca="1"/>
      </c>
      <c r="BA384">
        <f ca="1"/>
      </c>
      <c r="BB384">
        <f ca="1"/>
      </c>
      <c r="BC384">
        <f ca="1"/>
      </c>
      <c r="BD384">
        <f ca="1"/>
      </c>
      <c r="BE384">
        <f ca="1"/>
      </c>
      <c r="BF384">
        <f ca="1"/>
      </c>
      <c r="BG384">
        <f ca="1"/>
      </c>
      <c r="BH384">
        <f ca="1"/>
      </c>
      <c r="BI384">
        <f ca="1"/>
      </c>
      <c r="BJ384">
        <f ca="1"/>
      </c>
      <c r="BK384">
        <f ca="1"/>
      </c>
      <c r="BL384">
        <f ca="1"/>
      </c>
      <c r="BM384">
        <f ca="1"/>
      </c>
      <c r="BN384">
        <f ca="1"/>
      </c>
      <c r="BO384">
        <f ca="1"/>
      </c>
      <c r="BP384">
        <f ca="1"/>
      </c>
      <c r="BQ384">
        <f ca="1"/>
      </c>
      <c r="BR384">
        <f ca="1"/>
      </c>
      <c r="BS384">
        <f ca="1"/>
      </c>
      <c r="BT384">
        <f ca="1"/>
      </c>
      <c r="BU384">
        <f ca="1"/>
      </c>
      <c r="BV384">
        <f ca="1"/>
      </c>
      <c r="BW384">
        <f ca="1"/>
      </c>
      <c r="BX384">
        <f ca="1"/>
      </c>
      <c r="BY384">
        <f ca="1"/>
      </c>
      <c r="BZ384">
        <f ca="1"/>
      </c>
      <c r="CA384">
        <f ca="1"/>
      </c>
      <c r="CB384">
        <f ca="1"/>
      </c>
      <c r="CC384">
        <f ca="1"/>
      </c>
      <c r="CD384">
        <f ca="1"/>
      </c>
      <c r="CE384">
        <f ca="1"/>
      </c>
      <c r="CF384">
        <f ca="1"/>
      </c>
      <c r="CG384">
        <f ca="1"/>
      </c>
      <c r="CH384">
        <f ca="1"/>
      </c>
      <c r="CI384">
        <f ca="1"/>
      </c>
      <c r="CK384">
        <f ca="1"/>
      </c>
      <c r="CL384">
        <f ca="1"/>
      </c>
      <c r="CM384">
        <f ca="1"/>
      </c>
      <c r="CN384">
        <f ca="1"/>
      </c>
      <c r="CO384">
        <f ca="1"/>
      </c>
      <c r="CP384">
        <f ca="1"/>
      </c>
      <c r="CQ384">
        <f ca="1"/>
      </c>
      <c r="CR384">
        <f ca="1"/>
      </c>
      <c r="CS384">
        <f ca="1"/>
      </c>
      <c r="CT384">
        <f ca="1"/>
      </c>
      <c r="CU384">
        <f ca="1"/>
      </c>
      <c r="CV384">
        <f ca="1"/>
      </c>
      <c r="CW384">
        <f ca="1"/>
      </c>
      <c r="CX384">
        <f ca="1"/>
      </c>
      <c r="CY384">
        <f ca="1"/>
      </c>
      <c r="CZ384">
        <f ca="1"/>
      </c>
      <c r="DA384">
        <f ca="1"/>
      </c>
      <c r="DB384">
        <f ca="1"/>
      </c>
      <c r="DC384">
        <f ca="1"/>
      </c>
      <c r="DD384">
        <f ca="1"/>
      </c>
      <c r="DE384">
        <f ca="1"/>
      </c>
      <c r="DF384">
        <f ca="1"/>
      </c>
      <c r="DG384">
        <f ca="1"/>
      </c>
      <c r="DH384">
        <f ca="1"/>
      </c>
      <c r="DI384">
        <f ca="1"/>
      </c>
      <c r="DJ384">
        <f ca="1"/>
      </c>
      <c r="DK384">
        <f ca="1"/>
      </c>
      <c r="DL384">
        <f ca="1"/>
      </c>
      <c r="DM384">
        <f ca="1"/>
      </c>
      <c r="DN384">
        <f ca="1"/>
      </c>
      <c r="DO384">
        <f ca="1"/>
      </c>
      <c r="DP384">
        <f ca="1"/>
      </c>
      <c r="DQ384">
        <f ca="1"/>
      </c>
      <c r="DR384">
        <f ca="1"/>
      </c>
      <c r="DS384">
        <f ca="1"/>
      </c>
      <c r="DT384">
        <f ca="1"/>
      </c>
      <c r="DU384">
        <f ca="1"/>
      </c>
      <c r="DV384">
        <f ca="1"/>
      </c>
      <c r="DW384">
        <f ca="1"/>
      </c>
      <c r="DX384">
        <f ca="1"/>
      </c>
      <c r="DY384">
        <f ca="1"/>
      </c>
      <c r="DZ384">
        <f ca="1"/>
      </c>
      <c r="EA384">
        <f ca="1"/>
      </c>
      <c r="EB384">
        <f ca="1"/>
      </c>
      <c r="EC384">
        <f ca="1"/>
      </c>
      <c r="ED384">
        <f ca="1"/>
      </c>
      <c r="EE384">
        <f ca="1"/>
      </c>
      <c r="EG384">
        <f ca="1"/>
      </c>
      <c r="EH384">
        <f ca="1"/>
      </c>
      <c r="EI384">
        <f ca="1"/>
      </c>
      <c r="EJ384">
        <f ca="1"/>
      </c>
      <c r="EK384">
        <f ca="1"/>
      </c>
      <c r="EL384">
        <f ca="1"/>
      </c>
      <c r="EM384">
        <f ca="1"/>
      </c>
      <c r="EN384">
        <f ca="1"/>
      </c>
      <c r="EO384">
        <f ca="1"/>
      </c>
      <c r="EP384">
        <f ca="1"/>
      </c>
      <c r="EQ384">
        <f ca="1"/>
      </c>
      <c r="ER384">
        <f ca="1"/>
      </c>
      <c r="ES384">
        <f ca="1"/>
      </c>
      <c r="ET384">
        <f ca="1"/>
      </c>
      <c r="EU384">
        <f ca="1"/>
      </c>
      <c r="EV384">
        <f ca="1"/>
      </c>
      <c r="EW384">
        <f ca="1"/>
      </c>
      <c r="EX384">
        <f ca="1"/>
      </c>
      <c r="EY384">
        <f ca="1"/>
      </c>
      <c r="EZ384">
        <f ca="1"/>
      </c>
      <c r="FA384">
        <f ca="1"/>
      </c>
      <c r="FB384">
        <f ca="1"/>
      </c>
      <c r="FC384">
        <f ca="1"/>
      </c>
      <c r="FD384">
        <f ca="1"/>
      </c>
      <c r="FE384">
        <f ca="1"/>
      </c>
      <c r="FF384">
        <f ca="1"/>
      </c>
      <c r="FG384">
        <f ca="1"/>
      </c>
      <c r="FH384">
        <f ca="1"/>
      </c>
      <c r="FI384">
        <f ca="1"/>
      </c>
      <c r="FJ384">
        <f ca="1"/>
      </c>
      <c r="FK384">
        <f ca="1"/>
      </c>
      <c r="FL384">
        <f ca="1"/>
      </c>
      <c r="FM384">
        <f ca="1"/>
      </c>
      <c r="FN384">
        <f ca="1"/>
      </c>
      <c r="FO384">
        <f ca="1"/>
      </c>
      <c r="FP384">
        <f ca="1"/>
      </c>
      <c r="FQ384">
        <f ca="1"/>
      </c>
      <c r="FR384">
        <f ca="1"/>
      </c>
      <c r="FS384">
        <f ca="1"/>
      </c>
      <c r="FT384">
        <f ca="1"/>
      </c>
      <c r="FU384">
        <f ca="1"/>
      </c>
      <c r="FV384">
        <f ca="1"/>
      </c>
      <c r="FW384">
        <f ca="1"/>
      </c>
      <c r="FX384">
        <f ca="1"/>
      </c>
      <c r="FY384">
        <f ca="1"/>
      </c>
      <c r="FZ384">
        <f ca="1"/>
      </c>
      <c r="GA384">
        <f ca="1"/>
      </c>
      <c r="GM384" s="7"/>
    </row>
    <row r="385" spans="41:195" x14ac:dyDescent="0.55000000000000004">
      <c r="AO385">
        <f ca="1"/>
      </c>
      <c r="AP385">
        <f ca="1"/>
      </c>
      <c r="AQ385">
        <f ca="1"/>
      </c>
      <c r="AR385">
        <f ca="1"/>
      </c>
      <c r="AS385">
        <f ca="1"/>
      </c>
      <c r="AT385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AZ385">
        <f ca="1"/>
      </c>
      <c r="BA385">
        <f ca="1"/>
      </c>
      <c r="BB385">
        <f ca="1"/>
      </c>
      <c r="BC385">
        <f ca="1"/>
      </c>
      <c r="BD385">
        <f ca="1"/>
      </c>
      <c r="BE385">
        <f ca="1"/>
      </c>
      <c r="BF385">
        <f ca="1"/>
      </c>
      <c r="BG385">
        <f ca="1"/>
      </c>
      <c r="BH385">
        <f ca="1"/>
      </c>
      <c r="BI385">
        <f ca="1"/>
      </c>
      <c r="BJ385">
        <f ca="1"/>
      </c>
      <c r="BK385">
        <f ca="1"/>
      </c>
      <c r="BL385">
        <f ca="1"/>
      </c>
      <c r="BM385">
        <f ca="1"/>
      </c>
      <c r="BN385">
        <f ca="1"/>
      </c>
      <c r="BO385">
        <f ca="1"/>
      </c>
      <c r="BP385">
        <f ca="1"/>
      </c>
      <c r="BQ385">
        <f ca="1"/>
      </c>
      <c r="BR385">
        <f ca="1"/>
      </c>
      <c r="BS385">
        <f ca="1"/>
      </c>
      <c r="BT385">
        <f ca="1"/>
      </c>
      <c r="BU385">
        <f ca="1"/>
      </c>
      <c r="BV385">
        <f ca="1"/>
      </c>
      <c r="BW385">
        <f ca="1"/>
      </c>
      <c r="BX385">
        <f ca="1"/>
      </c>
      <c r="BY385">
        <f ca="1"/>
      </c>
      <c r="BZ385">
        <f ca="1"/>
      </c>
      <c r="CA385">
        <f ca="1"/>
      </c>
      <c r="CB385">
        <f ca="1"/>
      </c>
      <c r="CC385">
        <f ca="1"/>
      </c>
      <c r="CD385">
        <f ca="1"/>
      </c>
      <c r="CE385">
        <f ca="1"/>
      </c>
      <c r="CF385">
        <f ca="1"/>
      </c>
      <c r="CG385">
        <f ca="1"/>
      </c>
      <c r="CH385">
        <f ca="1"/>
      </c>
      <c r="CI385">
        <f ca="1"/>
      </c>
      <c r="CK385">
        <f ca="1"/>
      </c>
      <c r="CL385">
        <f ca="1"/>
      </c>
      <c r="CM385">
        <f ca="1"/>
      </c>
      <c r="CN385">
        <f ca="1"/>
      </c>
      <c r="CO385">
        <f ca="1"/>
      </c>
      <c r="CP385">
        <f ca="1"/>
      </c>
      <c r="CQ385">
        <f ca="1"/>
      </c>
      <c r="CR385">
        <f ca="1"/>
      </c>
      <c r="CS385">
        <f ca="1"/>
      </c>
      <c r="CT385">
        <f ca="1"/>
      </c>
      <c r="CU385">
        <f ca="1"/>
      </c>
      <c r="CV385">
        <f ca="1"/>
      </c>
      <c r="CW385">
        <f ca="1"/>
      </c>
      <c r="CX385">
        <f ca="1"/>
      </c>
      <c r="CY385">
        <f ca="1"/>
      </c>
      <c r="CZ385">
        <f ca="1"/>
      </c>
      <c r="DA385">
        <f ca="1"/>
      </c>
      <c r="DB385">
        <f ca="1"/>
      </c>
      <c r="DC385">
        <f ca="1"/>
      </c>
      <c r="DD385">
        <f ca="1"/>
      </c>
      <c r="DE385">
        <f ca="1"/>
      </c>
      <c r="DF385">
        <f ca="1"/>
      </c>
      <c r="DG385">
        <f ca="1"/>
      </c>
      <c r="DH385">
        <f ca="1"/>
      </c>
      <c r="DI385">
        <f ca="1"/>
      </c>
      <c r="DJ385">
        <f ca="1"/>
      </c>
      <c r="DK385">
        <f ca="1"/>
      </c>
      <c r="DL385">
        <f ca="1"/>
      </c>
      <c r="DM385">
        <f ca="1"/>
      </c>
      <c r="DN385">
        <f ca="1"/>
      </c>
      <c r="DO385">
        <f ca="1"/>
      </c>
      <c r="DP385">
        <f ca="1"/>
      </c>
      <c r="DQ385">
        <f ca="1"/>
      </c>
      <c r="DR385">
        <f ca="1"/>
      </c>
      <c r="DS385">
        <f ca="1"/>
      </c>
      <c r="DT385">
        <f ca="1"/>
      </c>
      <c r="DU385">
        <f ca="1"/>
      </c>
      <c r="DV385">
        <f ca="1"/>
      </c>
      <c r="DW385">
        <f ca="1"/>
      </c>
      <c r="DX385">
        <f ca="1"/>
      </c>
      <c r="DY385">
        <f ca="1"/>
      </c>
      <c r="DZ385">
        <f ca="1"/>
      </c>
      <c r="EA385">
        <f ca="1"/>
      </c>
      <c r="EB385">
        <f ca="1"/>
      </c>
      <c r="EC385">
        <f ca="1"/>
      </c>
      <c r="ED385">
        <f ca="1"/>
      </c>
      <c r="EE385">
        <f ca="1"/>
      </c>
      <c r="EG385">
        <f ca="1"/>
      </c>
      <c r="EH385">
        <f ca="1"/>
      </c>
      <c r="EI385">
        <f ca="1"/>
      </c>
      <c r="EJ385">
        <f ca="1"/>
      </c>
      <c r="EK385">
        <f ca="1"/>
      </c>
      <c r="EL385">
        <f ca="1"/>
      </c>
      <c r="EM385">
        <f ca="1"/>
      </c>
      <c r="EN385">
        <f ca="1"/>
      </c>
      <c r="EO385">
        <f ca="1"/>
      </c>
      <c r="EP385">
        <f ca="1"/>
      </c>
      <c r="EQ385">
        <f ca="1"/>
      </c>
      <c r="ER385">
        <f ca="1"/>
      </c>
      <c r="ES385">
        <f ca="1"/>
      </c>
      <c r="ET385">
        <f ca="1"/>
      </c>
      <c r="EU385">
        <f ca="1"/>
      </c>
      <c r="EV385">
        <f ca="1"/>
      </c>
      <c r="EW385">
        <f ca="1"/>
      </c>
      <c r="EX385">
        <f ca="1"/>
      </c>
      <c r="EY385">
        <f ca="1"/>
      </c>
      <c r="EZ385">
        <f ca="1"/>
      </c>
      <c r="FA385">
        <f ca="1"/>
      </c>
      <c r="FB385">
        <f ca="1"/>
      </c>
      <c r="FC385">
        <f ca="1"/>
      </c>
      <c r="FD385">
        <f ca="1"/>
      </c>
      <c r="FE385">
        <f ca="1"/>
      </c>
      <c r="FF385">
        <f ca="1"/>
      </c>
      <c r="FG385">
        <f ca="1"/>
      </c>
      <c r="FH385">
        <f ca="1"/>
      </c>
      <c r="FI385">
        <f ca="1"/>
      </c>
      <c r="FJ385">
        <f ca="1"/>
      </c>
      <c r="FK385">
        <f ca="1"/>
      </c>
      <c r="FL385">
        <f ca="1"/>
      </c>
      <c r="FM385">
        <f ca="1"/>
      </c>
      <c r="FN385">
        <f ca="1"/>
      </c>
      <c r="FO385">
        <f ca="1"/>
      </c>
      <c r="FP385">
        <f ca="1"/>
      </c>
      <c r="FQ385">
        <f ca="1"/>
      </c>
      <c r="FR385">
        <f ca="1"/>
      </c>
      <c r="FS385">
        <f ca="1"/>
      </c>
      <c r="FT385">
        <f ca="1"/>
      </c>
      <c r="FU385">
        <f ca="1"/>
      </c>
      <c r="FV385">
        <f ca="1"/>
      </c>
      <c r="FW385">
        <f ca="1"/>
      </c>
      <c r="FX385">
        <f ca="1"/>
      </c>
      <c r="FY385">
        <f ca="1"/>
      </c>
      <c r="FZ385">
        <f ca="1"/>
      </c>
      <c r="GA385">
        <f ca="1"/>
      </c>
      <c r="GM385" s="7"/>
    </row>
    <row r="386" spans="41:195" x14ac:dyDescent="0.55000000000000004">
      <c r="AO386">
        <f ca="1"/>
      </c>
      <c r="AP386">
        <f ca="1"/>
      </c>
      <c r="AQ386">
        <f ca="1"/>
      </c>
      <c r="AR386">
        <f ca="1"/>
      </c>
      <c r="AS386">
        <f ca="1"/>
      </c>
      <c r="AT386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AZ386">
        <f ca="1"/>
      </c>
      <c r="BA386">
        <f ca="1"/>
      </c>
      <c r="BB386">
        <f ca="1"/>
      </c>
      <c r="BC386">
        <f ca="1"/>
      </c>
      <c r="BD386">
        <f ca="1"/>
      </c>
      <c r="BE386">
        <f ca="1"/>
      </c>
      <c r="BF386">
        <f ca="1"/>
      </c>
      <c r="BG386">
        <f ca="1"/>
      </c>
      <c r="BH386">
        <f ca="1"/>
      </c>
      <c r="BI386">
        <f ca="1"/>
      </c>
      <c r="BJ386">
        <f ca="1"/>
      </c>
      <c r="BK386">
        <f ca="1"/>
      </c>
      <c r="BL386">
        <f ca="1"/>
      </c>
      <c r="BM386">
        <f ca="1"/>
      </c>
      <c r="BN386">
        <f ca="1"/>
      </c>
      <c r="BO386">
        <f ca="1"/>
      </c>
      <c r="BP386">
        <f ca="1"/>
      </c>
      <c r="BQ386">
        <f ca="1"/>
      </c>
      <c r="BR386">
        <f ca="1"/>
      </c>
      <c r="BS386">
        <f ca="1"/>
      </c>
      <c r="BT386">
        <f ca="1"/>
      </c>
      <c r="BU386">
        <f ca="1"/>
      </c>
      <c r="BV386">
        <f ca="1"/>
      </c>
      <c r="BW386">
        <f ca="1"/>
      </c>
      <c r="BX386">
        <f ca="1"/>
      </c>
      <c r="BY386">
        <f ca="1"/>
      </c>
      <c r="BZ386">
        <f ca="1"/>
      </c>
      <c r="CA386">
        <f ca="1"/>
      </c>
      <c r="CB386">
        <f ca="1"/>
      </c>
      <c r="CC386">
        <f ca="1"/>
      </c>
      <c r="CD386">
        <f ca="1"/>
      </c>
      <c r="CE386">
        <f ca="1"/>
      </c>
      <c r="CF386">
        <f ca="1"/>
      </c>
      <c r="CG386">
        <f ca="1"/>
      </c>
      <c r="CH386">
        <f ca="1"/>
      </c>
      <c r="CI386">
        <f ca="1"/>
      </c>
      <c r="CK386">
        <f ca="1"/>
      </c>
      <c r="CL386">
        <f ca="1"/>
      </c>
      <c r="CM386">
        <f ca="1"/>
      </c>
      <c r="CN386">
        <f ca="1"/>
      </c>
      <c r="CO386">
        <f ca="1"/>
      </c>
      <c r="CP386">
        <f ca="1"/>
      </c>
      <c r="CQ386">
        <f ca="1"/>
      </c>
      <c r="CR386">
        <f ca="1"/>
      </c>
      <c r="CS386">
        <f ca="1"/>
      </c>
      <c r="CT386">
        <f ca="1"/>
      </c>
      <c r="CU386">
        <f ca="1"/>
      </c>
      <c r="CV386">
        <f ca="1"/>
      </c>
      <c r="CW386">
        <f ca="1"/>
      </c>
      <c r="CX386">
        <f ca="1"/>
      </c>
      <c r="CY386">
        <f ca="1"/>
      </c>
      <c r="CZ386">
        <f ca="1"/>
      </c>
      <c r="DA386">
        <f ca="1"/>
      </c>
      <c r="DB386">
        <f ca="1"/>
      </c>
      <c r="DC386">
        <f ca="1"/>
      </c>
      <c r="DD386">
        <f ca="1"/>
      </c>
      <c r="DE386">
        <f ca="1"/>
      </c>
      <c r="DF386">
        <f ca="1"/>
      </c>
      <c r="DG386">
        <f ca="1"/>
      </c>
      <c r="DH386">
        <f ca="1"/>
      </c>
      <c r="DI386">
        <f ca="1"/>
      </c>
      <c r="DJ386">
        <f ca="1"/>
      </c>
      <c r="DK386">
        <f ca="1"/>
      </c>
      <c r="DL386">
        <f ca="1"/>
      </c>
      <c r="DM386">
        <f ca="1"/>
      </c>
      <c r="DN386">
        <f ca="1"/>
      </c>
      <c r="DO386">
        <f ca="1"/>
      </c>
      <c r="DP386">
        <f ca="1"/>
      </c>
      <c r="DQ386">
        <f ca="1"/>
      </c>
      <c r="DR386">
        <f ca="1"/>
      </c>
      <c r="DS386">
        <f ca="1"/>
      </c>
      <c r="DT386">
        <f ca="1"/>
      </c>
      <c r="DU386">
        <f ca="1"/>
      </c>
      <c r="DV386">
        <f ca="1"/>
      </c>
      <c r="DW386">
        <f ca="1"/>
      </c>
      <c r="DX386">
        <f ca="1"/>
      </c>
      <c r="DY386">
        <f ca="1"/>
      </c>
      <c r="DZ386">
        <f ca="1"/>
      </c>
      <c r="EA386">
        <f ca="1"/>
      </c>
      <c r="EB386">
        <f ca="1"/>
      </c>
      <c r="EC386">
        <f ca="1"/>
      </c>
      <c r="ED386">
        <f ca="1"/>
      </c>
      <c r="EE386">
        <f ca="1"/>
      </c>
      <c r="EG386">
        <f ca="1"/>
      </c>
      <c r="EH386">
        <f ca="1"/>
      </c>
      <c r="EI386">
        <f ca="1"/>
      </c>
      <c r="EJ386">
        <f ca="1"/>
      </c>
      <c r="EK386">
        <f ca="1"/>
      </c>
      <c r="EL386">
        <f ca="1"/>
      </c>
      <c r="EM386">
        <f ca="1"/>
      </c>
      <c r="EN386">
        <f ca="1"/>
      </c>
      <c r="EO386">
        <f ca="1"/>
      </c>
      <c r="EP386">
        <f ca="1"/>
      </c>
      <c r="EQ386">
        <f ca="1"/>
      </c>
      <c r="ER386">
        <f ca="1"/>
      </c>
      <c r="ES386">
        <f ca="1"/>
      </c>
      <c r="ET386">
        <f ca="1"/>
      </c>
      <c r="EU386">
        <f ca="1"/>
      </c>
      <c r="EV386">
        <f ca="1"/>
      </c>
      <c r="EW386">
        <f ca="1"/>
      </c>
      <c r="EX386">
        <f ca="1"/>
      </c>
      <c r="EY386">
        <f ca="1"/>
      </c>
      <c r="EZ386">
        <f ca="1"/>
      </c>
      <c r="FA386">
        <f ca="1"/>
      </c>
      <c r="FB386">
        <f ca="1"/>
      </c>
      <c r="FC386">
        <f ca="1"/>
      </c>
      <c r="FD386">
        <f ca="1"/>
      </c>
      <c r="FE386">
        <f ca="1"/>
      </c>
      <c r="FF386">
        <f ca="1"/>
      </c>
      <c r="FG386">
        <f ca="1"/>
      </c>
      <c r="FH386">
        <f ca="1"/>
      </c>
      <c r="FI386">
        <f ca="1"/>
      </c>
      <c r="FJ386">
        <f ca="1"/>
      </c>
      <c r="FK386">
        <f ca="1"/>
      </c>
      <c r="FL386">
        <f ca="1"/>
      </c>
      <c r="FM386">
        <f ca="1"/>
      </c>
      <c r="FN386">
        <f ca="1"/>
      </c>
      <c r="FO386">
        <f ca="1"/>
      </c>
      <c r="FP386">
        <f ca="1"/>
      </c>
      <c r="FQ386">
        <f ca="1"/>
      </c>
      <c r="FR386">
        <f ca="1"/>
      </c>
      <c r="FS386">
        <f ca="1"/>
      </c>
      <c r="FT386">
        <f ca="1"/>
      </c>
      <c r="FU386">
        <f ca="1"/>
      </c>
      <c r="FV386">
        <f ca="1"/>
      </c>
      <c r="FW386">
        <f ca="1"/>
      </c>
      <c r="FX386">
        <f ca="1"/>
      </c>
      <c r="FY386">
        <f ca="1"/>
      </c>
      <c r="FZ386">
        <f ca="1"/>
      </c>
      <c r="GA386">
        <f ca="1"/>
      </c>
      <c r="GM386" s="7"/>
    </row>
    <row r="387" spans="41:195" x14ac:dyDescent="0.55000000000000004">
      <c r="AO387">
        <f ca="1"/>
      </c>
      <c r="AP387">
        <f ca="1"/>
      </c>
      <c r="AQ387">
        <f ca="1"/>
      </c>
      <c r="AR387">
        <f ca="1"/>
      </c>
      <c r="AS387">
        <f ca="1"/>
      </c>
      <c r="AT38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AZ387">
        <f ca="1"/>
      </c>
      <c r="BA387">
        <f ca="1"/>
      </c>
      <c r="BB387">
        <f ca="1"/>
      </c>
      <c r="BC387">
        <f ca="1"/>
      </c>
      <c r="BD387">
        <f ca="1"/>
      </c>
      <c r="BE387">
        <f ca="1"/>
      </c>
      <c r="BF387">
        <f ca="1"/>
      </c>
      <c r="BG387">
        <f ca="1"/>
      </c>
      <c r="BH387">
        <f ca="1"/>
      </c>
      <c r="BI387">
        <f ca="1"/>
      </c>
      <c r="BJ387">
        <f ca="1"/>
      </c>
      <c r="BK387">
        <f ca="1"/>
      </c>
      <c r="BL387">
        <f ca="1"/>
      </c>
      <c r="BM387">
        <f ca="1"/>
      </c>
      <c r="BN387">
        <f ca="1"/>
      </c>
      <c r="BO387">
        <f ca="1"/>
      </c>
      <c r="BP387">
        <f ca="1"/>
      </c>
      <c r="BQ387">
        <f ca="1"/>
      </c>
      <c r="BR387">
        <f ca="1"/>
      </c>
      <c r="BS387">
        <f ca="1"/>
      </c>
      <c r="BT387">
        <f ca="1"/>
      </c>
      <c r="BU387">
        <f ca="1"/>
      </c>
      <c r="BV387">
        <f ca="1"/>
      </c>
      <c r="BW387">
        <f ca="1"/>
      </c>
      <c r="BX387">
        <f ca="1"/>
      </c>
      <c r="BY387">
        <f ca="1"/>
      </c>
      <c r="BZ387">
        <f ca="1"/>
      </c>
      <c r="CA387">
        <f ca="1"/>
      </c>
      <c r="CB387">
        <f ca="1"/>
      </c>
      <c r="CC387">
        <f ca="1"/>
      </c>
      <c r="CD387">
        <f ca="1"/>
      </c>
      <c r="CE387">
        <f ca="1"/>
      </c>
      <c r="CF387">
        <f ca="1"/>
      </c>
      <c r="CG387">
        <f ca="1"/>
      </c>
      <c r="CH387">
        <f ca="1"/>
      </c>
      <c r="CI387">
        <f ca="1"/>
      </c>
      <c r="CK387">
        <f ca="1"/>
      </c>
      <c r="CL387">
        <f ca="1"/>
      </c>
      <c r="CM387">
        <f ca="1"/>
      </c>
      <c r="CN387">
        <f ca="1"/>
      </c>
      <c r="CO387">
        <f ca="1"/>
      </c>
      <c r="CP387">
        <f ca="1"/>
      </c>
      <c r="CQ387">
        <f ca="1"/>
      </c>
      <c r="CR387">
        <f ca="1"/>
      </c>
      <c r="CS387">
        <f ca="1"/>
      </c>
      <c r="CT387">
        <f ca="1"/>
      </c>
      <c r="CU387">
        <f ca="1"/>
      </c>
      <c r="CV387">
        <f ca="1"/>
      </c>
      <c r="CW387">
        <f ca="1"/>
      </c>
      <c r="CX387">
        <f ca="1"/>
      </c>
      <c r="CY387">
        <f ca="1"/>
      </c>
      <c r="CZ387">
        <f ca="1"/>
      </c>
      <c r="DA387">
        <f ca="1"/>
      </c>
      <c r="DB387">
        <f ca="1"/>
      </c>
      <c r="DC387">
        <f ca="1"/>
      </c>
      <c r="DD387">
        <f ca="1"/>
      </c>
      <c r="DE387">
        <f ca="1"/>
      </c>
      <c r="DF387">
        <f ca="1"/>
      </c>
      <c r="DG387">
        <f ca="1"/>
      </c>
      <c r="DH387">
        <f ca="1"/>
      </c>
      <c r="DI387">
        <f ca="1"/>
      </c>
      <c r="DJ387">
        <f ca="1"/>
      </c>
      <c r="DK387">
        <f ca="1"/>
      </c>
      <c r="DL387">
        <f ca="1"/>
      </c>
      <c r="DM387">
        <f ca="1"/>
      </c>
      <c r="DN387">
        <f ca="1"/>
      </c>
      <c r="DO387">
        <f ca="1"/>
      </c>
      <c r="DP387">
        <f ca="1"/>
      </c>
      <c r="DQ387">
        <f ca="1"/>
      </c>
      <c r="DR387">
        <f ca="1"/>
      </c>
      <c r="DS387">
        <f ca="1"/>
      </c>
      <c r="DT387">
        <f ca="1"/>
      </c>
      <c r="DU387">
        <f ca="1"/>
      </c>
      <c r="DV387">
        <f ca="1"/>
      </c>
      <c r="DW387">
        <f ca="1"/>
      </c>
      <c r="DX387">
        <f ca="1"/>
      </c>
      <c r="DY387">
        <f ca="1"/>
      </c>
      <c r="DZ387">
        <f ca="1"/>
      </c>
      <c r="EA387">
        <f ca="1"/>
      </c>
      <c r="EB387">
        <f ca="1"/>
      </c>
      <c r="EC387">
        <f ca="1"/>
      </c>
      <c r="ED387">
        <f ca="1"/>
      </c>
      <c r="EE387">
        <f ca="1"/>
      </c>
      <c r="EG387">
        <f ca="1"/>
      </c>
      <c r="EH387">
        <f ca="1"/>
      </c>
      <c r="EI387">
        <f ca="1"/>
      </c>
      <c r="EJ387">
        <f ca="1"/>
      </c>
      <c r="EK387">
        <f ca="1"/>
      </c>
      <c r="EL387">
        <f ca="1"/>
      </c>
      <c r="EM387">
        <f ca="1"/>
      </c>
      <c r="EN387">
        <f ca="1"/>
      </c>
      <c r="EO387">
        <f ca="1"/>
      </c>
      <c r="EP387">
        <f ca="1"/>
      </c>
      <c r="EQ387">
        <f ca="1"/>
      </c>
      <c r="ER387">
        <f ca="1"/>
      </c>
      <c r="ES387">
        <f ca="1"/>
      </c>
      <c r="ET387">
        <f ca="1"/>
      </c>
      <c r="EU387">
        <f ca="1"/>
      </c>
      <c r="EV387">
        <f ca="1"/>
      </c>
      <c r="EW387">
        <f ca="1"/>
      </c>
      <c r="EX387">
        <f ca="1"/>
      </c>
      <c r="EY387">
        <f ca="1"/>
      </c>
      <c r="EZ387">
        <f ca="1"/>
      </c>
      <c r="FA387">
        <f ca="1"/>
      </c>
      <c r="FB387">
        <f ca="1"/>
      </c>
      <c r="FC387">
        <f ca="1"/>
      </c>
      <c r="FD387">
        <f ca="1"/>
      </c>
      <c r="FE387">
        <f ca="1"/>
      </c>
      <c r="FF387">
        <f ca="1"/>
      </c>
      <c r="FG387">
        <f ca="1"/>
      </c>
      <c r="FH387">
        <f ca="1"/>
      </c>
      <c r="FI387">
        <f ca="1"/>
      </c>
      <c r="FJ387">
        <f ca="1"/>
      </c>
      <c r="FK387">
        <f ca="1"/>
      </c>
      <c r="FL387">
        <f ca="1"/>
      </c>
      <c r="FM387">
        <f ca="1"/>
      </c>
      <c r="FN387">
        <f ca="1"/>
      </c>
      <c r="FO387">
        <f ca="1"/>
      </c>
      <c r="FP387">
        <f ca="1"/>
      </c>
      <c r="FQ387">
        <f ca="1"/>
      </c>
      <c r="FR387">
        <f ca="1"/>
      </c>
      <c r="FS387">
        <f ca="1"/>
      </c>
      <c r="FT387">
        <f ca="1"/>
      </c>
      <c r="FU387">
        <f ca="1"/>
      </c>
      <c r="FV387">
        <f ca="1"/>
      </c>
      <c r="FW387">
        <f ca="1"/>
      </c>
      <c r="FX387">
        <f ca="1"/>
      </c>
      <c r="FY387">
        <f ca="1"/>
      </c>
      <c r="FZ387">
        <f ca="1"/>
      </c>
      <c r="GA387">
        <f ca="1"/>
      </c>
      <c r="GM387" s="7"/>
    </row>
    <row r="388" spans="41:195" x14ac:dyDescent="0.55000000000000004">
      <c r="AO388">
        <f ca="1"/>
      </c>
      <c r="AP388">
        <f ca="1"/>
      </c>
      <c r="AQ388">
        <f ca="1"/>
      </c>
      <c r="AR388">
        <f ca="1"/>
      </c>
      <c r="AS388">
        <f ca="1"/>
      </c>
      <c r="AT388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AZ388">
        <f ca="1"/>
      </c>
      <c r="BA388">
        <f ca="1"/>
      </c>
      <c r="BB388">
        <f ca="1"/>
      </c>
      <c r="BC388">
        <f ca="1"/>
      </c>
      <c r="BD388">
        <f ca="1"/>
      </c>
      <c r="BE388">
        <f ca="1"/>
      </c>
      <c r="BF388">
        <f ca="1"/>
      </c>
      <c r="BG388">
        <f ca="1"/>
      </c>
      <c r="BH388">
        <f ca="1"/>
      </c>
      <c r="BI388">
        <f ca="1"/>
      </c>
      <c r="BJ388">
        <f ca="1"/>
      </c>
      <c r="BK388">
        <f ca="1"/>
      </c>
      <c r="BL388">
        <f ca="1"/>
      </c>
      <c r="BM388">
        <f ca="1"/>
      </c>
      <c r="BN388">
        <f ca="1"/>
      </c>
      <c r="BO388">
        <f ca="1"/>
      </c>
      <c r="BP388">
        <f ca="1"/>
      </c>
      <c r="BQ388">
        <f ca="1"/>
      </c>
      <c r="BR388">
        <f ca="1"/>
      </c>
      <c r="BS388">
        <f ca="1"/>
      </c>
      <c r="BT388">
        <f ca="1"/>
      </c>
      <c r="BU388">
        <f ca="1"/>
      </c>
      <c r="BV388">
        <f ca="1"/>
      </c>
      <c r="BW388">
        <f ca="1"/>
      </c>
      <c r="BX388">
        <f ca="1"/>
      </c>
      <c r="BY388">
        <f ca="1"/>
      </c>
      <c r="BZ388">
        <f ca="1"/>
      </c>
      <c r="CA388">
        <f ca="1"/>
      </c>
      <c r="CB388">
        <f ca="1"/>
      </c>
      <c r="CC388">
        <f ca="1"/>
      </c>
      <c r="CD388">
        <f ca="1"/>
      </c>
      <c r="CE388">
        <f ca="1"/>
      </c>
      <c r="CF388">
        <f ca="1"/>
      </c>
      <c r="CG388">
        <f ca="1"/>
      </c>
      <c r="CH388">
        <f ca="1"/>
      </c>
      <c r="CI388">
        <f ca="1"/>
      </c>
      <c r="CK388">
        <f ca="1"/>
      </c>
      <c r="CL388">
        <f ca="1"/>
      </c>
      <c r="CM388">
        <f ca="1"/>
      </c>
      <c r="CN388">
        <f ca="1"/>
      </c>
      <c r="CO388">
        <f ca="1"/>
      </c>
      <c r="CP388">
        <f ca="1"/>
      </c>
      <c r="CQ388">
        <f ca="1"/>
      </c>
      <c r="CR388">
        <f ca="1"/>
      </c>
      <c r="CS388">
        <f ca="1"/>
      </c>
      <c r="CT388">
        <f ca="1"/>
      </c>
      <c r="CU388">
        <f ca="1"/>
      </c>
      <c r="CV388">
        <f ca="1"/>
      </c>
      <c r="CW388">
        <f ca="1"/>
      </c>
      <c r="CX388">
        <f ca="1"/>
      </c>
      <c r="CY388">
        <f ca="1"/>
      </c>
      <c r="CZ388">
        <f ca="1"/>
      </c>
      <c r="DA388">
        <f ca="1"/>
      </c>
      <c r="DB388">
        <f ca="1"/>
      </c>
      <c r="DC388">
        <f ca="1"/>
      </c>
      <c r="DD388">
        <f ca="1"/>
      </c>
      <c r="DE388">
        <f ca="1"/>
      </c>
      <c r="DF388">
        <f ca="1"/>
      </c>
      <c r="DG388">
        <f ca="1"/>
      </c>
      <c r="DH388">
        <f ca="1"/>
      </c>
      <c r="DI388">
        <f ca="1"/>
      </c>
      <c r="DJ388">
        <f ca="1"/>
      </c>
      <c r="DK388">
        <f ca="1"/>
      </c>
      <c r="DL388">
        <f ca="1"/>
      </c>
      <c r="DM388">
        <f ca="1"/>
      </c>
      <c r="DN388">
        <f ca="1"/>
      </c>
      <c r="DO388">
        <f ca="1"/>
      </c>
      <c r="DP388">
        <f ca="1"/>
      </c>
      <c r="DQ388">
        <f ca="1"/>
      </c>
      <c r="DR388">
        <f ca="1"/>
      </c>
      <c r="DS388">
        <f ca="1"/>
      </c>
      <c r="DT388">
        <f ca="1"/>
      </c>
      <c r="DU388">
        <f ca="1"/>
      </c>
      <c r="DV388">
        <f ca="1"/>
      </c>
      <c r="DW388">
        <f ca="1"/>
      </c>
      <c r="DX388">
        <f ca="1"/>
      </c>
      <c r="DY388">
        <f ca="1"/>
      </c>
      <c r="DZ388">
        <f ca="1"/>
      </c>
      <c r="EA388">
        <f ca="1"/>
      </c>
      <c r="EB388">
        <f ca="1"/>
      </c>
      <c r="EC388">
        <f ca="1"/>
      </c>
      <c r="ED388">
        <f ca="1"/>
      </c>
      <c r="EE388">
        <f ca="1"/>
      </c>
      <c r="EG388">
        <f ca="1"/>
      </c>
      <c r="EH388">
        <f ca="1"/>
      </c>
      <c r="EI388">
        <f ca="1"/>
      </c>
      <c r="EJ388">
        <f ca="1"/>
      </c>
      <c r="EK388">
        <f ca="1"/>
      </c>
      <c r="EL388">
        <f ca="1"/>
      </c>
      <c r="EM388">
        <f ca="1"/>
      </c>
      <c r="EN388">
        <f ca="1"/>
      </c>
      <c r="EO388">
        <f ca="1"/>
      </c>
      <c r="EP388">
        <f ca="1"/>
      </c>
      <c r="EQ388">
        <f ca="1"/>
      </c>
      <c r="ER388">
        <f ca="1"/>
      </c>
      <c r="ES388">
        <f ca="1"/>
      </c>
      <c r="ET388">
        <f ca="1"/>
      </c>
      <c r="EU388">
        <f ca="1"/>
      </c>
      <c r="EV388">
        <f ca="1"/>
      </c>
      <c r="EW388">
        <f ca="1"/>
      </c>
      <c r="EX388">
        <f ca="1"/>
      </c>
      <c r="EY388">
        <f ca="1"/>
      </c>
      <c r="EZ388">
        <f ca="1"/>
      </c>
      <c r="FA388">
        <f ca="1"/>
      </c>
      <c r="FB388">
        <f ca="1"/>
      </c>
      <c r="FC388">
        <f ca="1"/>
      </c>
      <c r="FD388">
        <f ca="1"/>
      </c>
      <c r="FE388">
        <f ca="1"/>
      </c>
      <c r="FF388">
        <f ca="1"/>
      </c>
      <c r="FG388">
        <f ca="1"/>
      </c>
      <c r="FH388">
        <f ca="1"/>
      </c>
      <c r="FI388">
        <f ca="1"/>
      </c>
      <c r="FJ388">
        <f ca="1"/>
      </c>
      <c r="FK388">
        <f ca="1"/>
      </c>
      <c r="FL388">
        <f ca="1"/>
      </c>
      <c r="FM388">
        <f ca="1"/>
      </c>
      <c r="FN388">
        <f ca="1"/>
      </c>
      <c r="FO388">
        <f ca="1"/>
      </c>
      <c r="FP388">
        <f ca="1"/>
      </c>
      <c r="FQ388">
        <f ca="1"/>
      </c>
      <c r="FR388">
        <f ca="1"/>
      </c>
      <c r="FS388">
        <f ca="1"/>
      </c>
      <c r="FT388">
        <f ca="1"/>
      </c>
      <c r="FU388">
        <f ca="1"/>
      </c>
      <c r="FV388">
        <f ca="1"/>
      </c>
      <c r="FW388">
        <f ca="1"/>
      </c>
      <c r="FX388">
        <f ca="1"/>
      </c>
      <c r="FY388">
        <f ca="1"/>
      </c>
      <c r="FZ388">
        <f ca="1"/>
      </c>
      <c r="GA388">
        <f ca="1"/>
      </c>
      <c r="GM388" s="7"/>
    </row>
    <row r="389" spans="41:195" x14ac:dyDescent="0.55000000000000004">
      <c r="AO389">
        <f ca="1"/>
      </c>
      <c r="AP389">
        <f ca="1"/>
      </c>
      <c r="AQ389">
        <f ca="1"/>
      </c>
      <c r="AR389">
        <f ca="1"/>
      </c>
      <c r="AS389">
        <f ca="1"/>
      </c>
      <c r="AT389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AZ389">
        <f ca="1"/>
      </c>
      <c r="BA389">
        <f ca="1"/>
      </c>
      <c r="BB389">
        <f ca="1"/>
      </c>
      <c r="BC389">
        <f ca="1"/>
      </c>
      <c r="BD389">
        <f ca="1"/>
      </c>
      <c r="BE389">
        <f ca="1"/>
      </c>
      <c r="BF389">
        <f ca="1"/>
      </c>
      <c r="BG389">
        <f ca="1"/>
      </c>
      <c r="BH389">
        <f ca="1"/>
      </c>
      <c r="BI389">
        <f ca="1"/>
      </c>
      <c r="BJ389">
        <f ca="1"/>
      </c>
      <c r="BK389">
        <f ca="1"/>
      </c>
      <c r="BL389">
        <f ca="1"/>
      </c>
      <c r="BM389">
        <f ca="1"/>
      </c>
      <c r="BN389">
        <f ca="1"/>
      </c>
      <c r="BO389">
        <f ca="1"/>
      </c>
      <c r="BP389">
        <f ca="1"/>
      </c>
      <c r="BQ389">
        <f ca="1"/>
      </c>
      <c r="BR389">
        <f ca="1"/>
      </c>
      <c r="BS389">
        <f ca="1"/>
      </c>
      <c r="BT389">
        <f ca="1"/>
      </c>
      <c r="BU389">
        <f ca="1"/>
      </c>
      <c r="BV389">
        <f ca="1"/>
      </c>
      <c r="BW389">
        <f ca="1"/>
      </c>
      <c r="BX389">
        <f ca="1"/>
      </c>
      <c r="BY389">
        <f ca="1"/>
      </c>
      <c r="BZ389">
        <f ca="1"/>
      </c>
      <c r="CA389">
        <f ca="1"/>
      </c>
      <c r="CB389">
        <f ca="1"/>
      </c>
      <c r="CC389">
        <f ca="1"/>
      </c>
      <c r="CD389">
        <f ca="1"/>
      </c>
      <c r="CE389">
        <f ca="1"/>
      </c>
      <c r="CF389">
        <f ca="1"/>
      </c>
      <c r="CG389">
        <f ca="1"/>
      </c>
      <c r="CH389">
        <f ca="1"/>
      </c>
      <c r="CI389">
        <f ca="1"/>
      </c>
      <c r="CK389">
        <f ca="1"/>
      </c>
      <c r="CL389">
        <f ca="1"/>
      </c>
      <c r="CM389">
        <f ca="1"/>
      </c>
      <c r="CN389">
        <f ca="1"/>
      </c>
      <c r="CO389">
        <f ca="1"/>
      </c>
      <c r="CP389">
        <f ca="1"/>
      </c>
      <c r="CQ389">
        <f ca="1"/>
      </c>
      <c r="CR389">
        <f ca="1"/>
      </c>
      <c r="CS389">
        <f ca="1"/>
      </c>
      <c r="CT389">
        <f ca="1"/>
      </c>
      <c r="CU389">
        <f ca="1"/>
      </c>
      <c r="CV389">
        <f ca="1"/>
      </c>
      <c r="CW389">
        <f ca="1"/>
      </c>
      <c r="CX389">
        <f ca="1"/>
      </c>
      <c r="CY389">
        <f ca="1"/>
      </c>
      <c r="CZ389">
        <f ca="1"/>
      </c>
      <c r="DA389">
        <f ca="1"/>
      </c>
      <c r="DB389">
        <f ca="1"/>
      </c>
      <c r="DC389">
        <f ca="1"/>
      </c>
      <c r="DD389">
        <f ca="1"/>
      </c>
      <c r="DE389">
        <f ca="1"/>
      </c>
      <c r="DF389">
        <f ca="1"/>
      </c>
      <c r="DG389">
        <f ca="1"/>
      </c>
      <c r="DH389">
        <f ca="1"/>
      </c>
      <c r="DI389">
        <f ca="1"/>
      </c>
      <c r="DJ389">
        <f ca="1"/>
      </c>
      <c r="DK389">
        <f ca="1"/>
      </c>
      <c r="DL389">
        <f ca="1"/>
      </c>
      <c r="DM389">
        <f ca="1"/>
      </c>
      <c r="DN389">
        <f ca="1"/>
      </c>
      <c r="DO389">
        <f ca="1"/>
      </c>
      <c r="DP389">
        <f ca="1"/>
      </c>
      <c r="DQ389">
        <f ca="1"/>
      </c>
      <c r="DR389">
        <f ca="1"/>
      </c>
      <c r="DS389">
        <f ca="1"/>
      </c>
      <c r="DT389">
        <f ca="1"/>
      </c>
      <c r="DU389">
        <f ca="1"/>
      </c>
      <c r="DV389">
        <f ca="1"/>
      </c>
      <c r="DW389">
        <f ca="1"/>
      </c>
      <c r="DX389">
        <f ca="1"/>
      </c>
      <c r="DY389">
        <f ca="1"/>
      </c>
      <c r="DZ389">
        <f ca="1"/>
      </c>
      <c r="EA389">
        <f ca="1"/>
      </c>
      <c r="EB389">
        <f ca="1"/>
      </c>
      <c r="EC389">
        <f ca="1"/>
      </c>
      <c r="ED389">
        <f ca="1"/>
      </c>
      <c r="EE389">
        <f ca="1"/>
      </c>
      <c r="EG389">
        <f ca="1"/>
      </c>
      <c r="EH389">
        <f ca="1"/>
      </c>
      <c r="EI389">
        <f ca="1"/>
      </c>
      <c r="EJ389">
        <f ca="1"/>
      </c>
      <c r="EK389">
        <f ca="1"/>
      </c>
      <c r="EL389">
        <f ca="1"/>
      </c>
      <c r="EM389">
        <f ca="1"/>
      </c>
      <c r="EN389">
        <f ca="1"/>
      </c>
      <c r="EO389">
        <f ca="1"/>
      </c>
      <c r="EP389">
        <f ca="1"/>
      </c>
      <c r="EQ389">
        <f ca="1"/>
      </c>
      <c r="ER389">
        <f ca="1"/>
      </c>
      <c r="ES389">
        <f ca="1"/>
      </c>
      <c r="ET389">
        <f ca="1"/>
      </c>
      <c r="EU389">
        <f ca="1"/>
      </c>
      <c r="EV389">
        <f ca="1"/>
      </c>
      <c r="EW389">
        <f ca="1"/>
      </c>
      <c r="EX389">
        <f ca="1"/>
      </c>
      <c r="EY389">
        <f ca="1"/>
      </c>
      <c r="EZ389">
        <f ca="1"/>
      </c>
      <c r="FA389">
        <f ca="1"/>
      </c>
      <c r="FB389">
        <f ca="1"/>
      </c>
      <c r="FC389">
        <f ca="1"/>
      </c>
      <c r="FD389">
        <f ca="1"/>
      </c>
      <c r="FE389">
        <f ca="1"/>
      </c>
      <c r="FF389">
        <f ca="1"/>
      </c>
      <c r="FG389">
        <f ca="1"/>
      </c>
      <c r="FH389">
        <f ca="1"/>
      </c>
      <c r="FI389">
        <f ca="1"/>
      </c>
      <c r="FJ389">
        <f ca="1"/>
      </c>
      <c r="FK389">
        <f ca="1"/>
      </c>
      <c r="FL389">
        <f ca="1"/>
      </c>
      <c r="FM389">
        <f ca="1"/>
      </c>
      <c r="FN389">
        <f ca="1"/>
      </c>
      <c r="FO389">
        <f ca="1"/>
      </c>
      <c r="FP389">
        <f ca="1"/>
      </c>
      <c r="FQ389">
        <f ca="1"/>
      </c>
      <c r="FR389">
        <f ca="1"/>
      </c>
      <c r="FS389">
        <f ca="1"/>
      </c>
      <c r="FT389">
        <f ca="1"/>
      </c>
      <c r="FU389">
        <f ca="1"/>
      </c>
      <c r="FV389">
        <f ca="1"/>
      </c>
      <c r="FW389">
        <f ca="1"/>
      </c>
      <c r="FX389">
        <f ca="1"/>
      </c>
      <c r="FY389">
        <f ca="1"/>
      </c>
      <c r="FZ389">
        <f ca="1"/>
      </c>
      <c r="GA389">
        <f ca="1"/>
      </c>
      <c r="GM389" s="7"/>
    </row>
    <row r="390" spans="41:195" x14ac:dyDescent="0.55000000000000004">
      <c r="AO390">
        <f ca="1"/>
      </c>
      <c r="AP390">
        <f ca="1"/>
      </c>
      <c r="AQ390">
        <f ca="1"/>
      </c>
      <c r="AR390">
        <f ca="1"/>
      </c>
      <c r="AS390">
        <f ca="1"/>
      </c>
      <c r="AT390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AZ390">
        <f ca="1"/>
      </c>
      <c r="BA390">
        <f ca="1"/>
      </c>
      <c r="BB390">
        <f ca="1"/>
      </c>
      <c r="BC390">
        <f ca="1"/>
      </c>
      <c r="BD390">
        <f ca="1"/>
      </c>
      <c r="BE390">
        <f ca="1"/>
      </c>
      <c r="BF390">
        <f ca="1"/>
      </c>
      <c r="BG390">
        <f ca="1"/>
      </c>
      <c r="BH390">
        <f ca="1"/>
      </c>
      <c r="BI390">
        <f ca="1"/>
      </c>
      <c r="BJ390">
        <f ca="1"/>
      </c>
      <c r="BK390">
        <f ca="1"/>
      </c>
      <c r="BL390">
        <f ca="1"/>
      </c>
      <c r="BM390">
        <f ca="1"/>
      </c>
      <c r="BN390">
        <f ca="1"/>
      </c>
      <c r="BO390">
        <f ca="1"/>
      </c>
      <c r="BP390">
        <f ca="1"/>
      </c>
      <c r="BQ390">
        <f ca="1"/>
      </c>
      <c r="BR390">
        <f ca="1"/>
      </c>
      <c r="BS390">
        <f ca="1"/>
      </c>
      <c r="BT390">
        <f ca="1"/>
      </c>
      <c r="BU390">
        <f ca="1"/>
      </c>
      <c r="BV390">
        <f ca="1"/>
      </c>
      <c r="BW390">
        <f ca="1"/>
      </c>
      <c r="BX390">
        <f ca="1"/>
      </c>
      <c r="BY390">
        <f ca="1"/>
      </c>
      <c r="BZ390">
        <f ca="1"/>
      </c>
      <c r="CA390">
        <f ca="1"/>
      </c>
      <c r="CB390">
        <f ca="1"/>
      </c>
      <c r="CC390">
        <f ca="1"/>
      </c>
      <c r="CD390">
        <f ca="1"/>
      </c>
      <c r="CE390">
        <f ca="1"/>
      </c>
      <c r="CF390">
        <f ca="1"/>
      </c>
      <c r="CG390">
        <f ca="1"/>
      </c>
      <c r="CH390">
        <f ca="1"/>
      </c>
      <c r="CI390">
        <f ca="1"/>
      </c>
      <c r="CK390">
        <f ca="1"/>
      </c>
      <c r="CL390">
        <f ca="1"/>
      </c>
      <c r="CM390">
        <f ca="1"/>
      </c>
      <c r="CN390">
        <f ca="1"/>
      </c>
      <c r="CO390">
        <f ca="1"/>
      </c>
      <c r="CP390">
        <f ca="1"/>
      </c>
      <c r="CQ390">
        <f ca="1"/>
      </c>
      <c r="CR390">
        <f ca="1"/>
      </c>
      <c r="CS390">
        <f ca="1"/>
      </c>
      <c r="CT390">
        <f ca="1"/>
      </c>
      <c r="CU390">
        <f ca="1"/>
      </c>
      <c r="CV390">
        <f ca="1"/>
      </c>
      <c r="CW390">
        <f ca="1"/>
      </c>
      <c r="CX390">
        <f ca="1"/>
      </c>
      <c r="CY390">
        <f ca="1"/>
      </c>
      <c r="CZ390">
        <f ca="1"/>
      </c>
      <c r="DA390">
        <f ca="1"/>
      </c>
      <c r="DB390">
        <f ca="1"/>
      </c>
      <c r="DC390">
        <f ca="1"/>
      </c>
      <c r="DD390">
        <f ca="1"/>
      </c>
      <c r="DE390">
        <f ca="1"/>
      </c>
      <c r="DF390">
        <f ca="1"/>
      </c>
      <c r="DG390">
        <f ca="1"/>
      </c>
      <c r="DH390">
        <f ca="1"/>
      </c>
      <c r="DI390">
        <f ca="1"/>
      </c>
      <c r="DJ390">
        <f ca="1"/>
      </c>
      <c r="DK390">
        <f ca="1"/>
      </c>
      <c r="DL390">
        <f ca="1"/>
      </c>
      <c r="DM390">
        <f ca="1"/>
      </c>
      <c r="DN390">
        <f ca="1"/>
      </c>
      <c r="DO390">
        <f ca="1"/>
      </c>
      <c r="DP390">
        <f ca="1"/>
      </c>
      <c r="DQ390">
        <f ca="1"/>
      </c>
      <c r="DR390">
        <f ca="1"/>
      </c>
      <c r="DS390">
        <f ca="1"/>
      </c>
      <c r="DT390">
        <f ca="1"/>
      </c>
      <c r="DU390">
        <f ca="1"/>
      </c>
      <c r="DV390">
        <f ca="1"/>
      </c>
      <c r="DW390">
        <f ca="1"/>
      </c>
      <c r="DX390">
        <f ca="1"/>
      </c>
      <c r="DY390">
        <f ca="1"/>
      </c>
      <c r="DZ390">
        <f ca="1"/>
      </c>
      <c r="EA390">
        <f ca="1"/>
      </c>
      <c r="EB390">
        <f ca="1"/>
      </c>
      <c r="EC390">
        <f ca="1"/>
      </c>
      <c r="ED390">
        <f ca="1"/>
      </c>
      <c r="EE390">
        <f ca="1"/>
      </c>
      <c r="EG390">
        <f ca="1"/>
      </c>
      <c r="EH390">
        <f ca="1"/>
      </c>
      <c r="EI390">
        <f ca="1"/>
      </c>
      <c r="EJ390">
        <f ca="1"/>
      </c>
      <c r="EK390">
        <f ca="1"/>
      </c>
      <c r="EL390">
        <f ca="1"/>
      </c>
      <c r="EM390">
        <f ca="1"/>
      </c>
      <c r="EN390">
        <f ca="1"/>
      </c>
      <c r="EO390">
        <f ca="1"/>
      </c>
      <c r="EP390">
        <f ca="1"/>
      </c>
      <c r="EQ390">
        <f ca="1"/>
      </c>
      <c r="ER390">
        <f ca="1"/>
      </c>
      <c r="ES390">
        <f ca="1"/>
      </c>
      <c r="ET390">
        <f ca="1"/>
      </c>
      <c r="EU390">
        <f ca="1"/>
      </c>
      <c r="EV390">
        <f ca="1"/>
      </c>
      <c r="EW390">
        <f ca="1"/>
      </c>
      <c r="EX390">
        <f ca="1"/>
      </c>
      <c r="EY390">
        <f ca="1"/>
      </c>
      <c r="EZ390">
        <f ca="1"/>
      </c>
      <c r="FA390">
        <f ca="1"/>
      </c>
      <c r="FB390">
        <f ca="1"/>
      </c>
      <c r="FC390">
        <f ca="1"/>
      </c>
      <c r="FD390">
        <f ca="1"/>
      </c>
      <c r="FE390">
        <f ca="1"/>
      </c>
      <c r="FF390">
        <f ca="1"/>
      </c>
      <c r="FG390">
        <f ca="1"/>
      </c>
      <c r="FH390">
        <f ca="1"/>
      </c>
      <c r="FI390">
        <f ca="1"/>
      </c>
      <c r="FJ390">
        <f ca="1"/>
      </c>
      <c r="FK390">
        <f ca="1"/>
      </c>
      <c r="FL390">
        <f ca="1"/>
      </c>
      <c r="FM390">
        <f ca="1"/>
      </c>
      <c r="FN390">
        <f ca="1"/>
      </c>
      <c r="FO390">
        <f ca="1"/>
      </c>
      <c r="FP390">
        <f ca="1"/>
      </c>
      <c r="FQ390">
        <f ca="1"/>
      </c>
      <c r="FR390">
        <f ca="1"/>
      </c>
      <c r="FS390">
        <f ca="1"/>
      </c>
      <c r="FT390">
        <f ca="1"/>
      </c>
      <c r="FU390">
        <f ca="1"/>
      </c>
      <c r="FV390">
        <f ca="1"/>
      </c>
      <c r="FW390">
        <f ca="1"/>
      </c>
      <c r="FX390">
        <f ca="1"/>
      </c>
      <c r="FY390">
        <f ca="1"/>
      </c>
      <c r="FZ390">
        <f ca="1"/>
      </c>
      <c r="GA390">
        <f ca="1"/>
      </c>
      <c r="GM390" s="7"/>
    </row>
    <row r="391" spans="41:195" x14ac:dyDescent="0.55000000000000004">
      <c r="AO391">
        <f ca="1"/>
      </c>
      <c r="AP391">
        <f ca="1"/>
      </c>
      <c r="AQ391">
        <f ca="1"/>
      </c>
      <c r="AR391">
        <f ca="1"/>
      </c>
      <c r="AS391">
        <f ca="1"/>
      </c>
      <c r="AT391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AZ391">
        <f ca="1"/>
      </c>
      <c r="BA391">
        <f ca="1"/>
      </c>
      <c r="BB391">
        <f ca="1"/>
      </c>
      <c r="BC391">
        <f ca="1"/>
      </c>
      <c r="BD391">
        <f ca="1"/>
      </c>
      <c r="BE391">
        <f ca="1"/>
      </c>
      <c r="BF391">
        <f ca="1"/>
      </c>
      <c r="BG391">
        <f ca="1"/>
      </c>
      <c r="BH391">
        <f ca="1"/>
      </c>
      <c r="BI391">
        <f ca="1"/>
      </c>
      <c r="BJ391">
        <f ca="1"/>
      </c>
      <c r="BK391">
        <f ca="1"/>
      </c>
      <c r="BL391">
        <f ca="1"/>
      </c>
      <c r="BM391">
        <f ca="1"/>
      </c>
      <c r="BN391">
        <f ca="1"/>
      </c>
      <c r="BO391">
        <f ca="1"/>
      </c>
      <c r="BP391">
        <f ca="1"/>
      </c>
      <c r="BQ391">
        <f ca="1"/>
      </c>
      <c r="BR391">
        <f ca="1"/>
      </c>
      <c r="BS391">
        <f ca="1"/>
      </c>
      <c r="BT391">
        <f ca="1"/>
      </c>
      <c r="BU391">
        <f ca="1"/>
      </c>
      <c r="BV391">
        <f ca="1"/>
      </c>
      <c r="BW391">
        <f ca="1"/>
      </c>
      <c r="BX391">
        <f ca="1"/>
      </c>
      <c r="BY391">
        <f ca="1"/>
      </c>
      <c r="BZ391">
        <f ca="1"/>
      </c>
      <c r="CA391">
        <f ca="1"/>
      </c>
      <c r="CB391">
        <f ca="1"/>
      </c>
      <c r="CC391">
        <f ca="1"/>
      </c>
      <c r="CD391">
        <f ca="1"/>
      </c>
      <c r="CE391">
        <f ca="1"/>
      </c>
      <c r="CF391">
        <f ca="1"/>
      </c>
      <c r="CG391">
        <f ca="1"/>
      </c>
      <c r="CH391">
        <f ca="1"/>
      </c>
      <c r="CI391">
        <f ca="1"/>
      </c>
      <c r="CK391">
        <f ca="1"/>
      </c>
      <c r="CL391">
        <f ca="1"/>
      </c>
      <c r="CM391">
        <f ca="1"/>
      </c>
      <c r="CN391">
        <f ca="1"/>
      </c>
      <c r="CO391">
        <f ca="1"/>
      </c>
      <c r="CP391">
        <f ca="1"/>
      </c>
      <c r="CQ391">
        <f ca="1"/>
      </c>
      <c r="CR391">
        <f ca="1"/>
      </c>
      <c r="CS391">
        <f ca="1"/>
      </c>
      <c r="CT391">
        <f ca="1"/>
      </c>
      <c r="CU391">
        <f ca="1"/>
      </c>
      <c r="CV391">
        <f ca="1"/>
      </c>
      <c r="CW391">
        <f ca="1"/>
      </c>
      <c r="CX391">
        <f ca="1"/>
      </c>
      <c r="CY391">
        <f ca="1"/>
      </c>
      <c r="CZ391">
        <f ca="1"/>
      </c>
      <c r="DA391">
        <f ca="1"/>
      </c>
      <c r="DB391">
        <f ca="1"/>
      </c>
      <c r="DC391">
        <f ca="1"/>
      </c>
      <c r="DD391">
        <f ca="1"/>
      </c>
      <c r="DE391">
        <f ca="1"/>
      </c>
      <c r="DF391">
        <f ca="1"/>
      </c>
      <c r="DG391">
        <f ca="1"/>
      </c>
      <c r="DH391">
        <f ca="1"/>
      </c>
      <c r="DI391">
        <f ca="1"/>
      </c>
      <c r="DJ391">
        <f ca="1"/>
      </c>
      <c r="DK391">
        <f ca="1"/>
      </c>
      <c r="DL391">
        <f ca="1"/>
      </c>
      <c r="DM391">
        <f ca="1"/>
      </c>
      <c r="DN391">
        <f ca="1"/>
      </c>
      <c r="DO391">
        <f ca="1"/>
      </c>
      <c r="DP391">
        <f ca="1"/>
      </c>
      <c r="DQ391">
        <f ca="1"/>
      </c>
      <c r="DR391">
        <f ca="1"/>
      </c>
      <c r="DS391">
        <f ca="1"/>
      </c>
      <c r="DT391">
        <f ca="1"/>
      </c>
      <c r="DU391">
        <f ca="1"/>
      </c>
      <c r="DV391">
        <f ca="1"/>
      </c>
      <c r="DW391">
        <f ca="1"/>
      </c>
      <c r="DX391">
        <f ca="1"/>
      </c>
      <c r="DY391">
        <f ca="1"/>
      </c>
      <c r="DZ391">
        <f ca="1"/>
      </c>
      <c r="EA391">
        <f ca="1"/>
      </c>
      <c r="EB391">
        <f ca="1"/>
      </c>
      <c r="EC391">
        <f ca="1"/>
      </c>
      <c r="ED391">
        <f ca="1"/>
      </c>
      <c r="EE391">
        <f ca="1"/>
      </c>
      <c r="EG391">
        <f ca="1"/>
      </c>
      <c r="EH391">
        <f ca="1"/>
      </c>
      <c r="EI391">
        <f ca="1"/>
      </c>
      <c r="EJ391">
        <f ca="1"/>
      </c>
      <c r="EK391">
        <f ca="1"/>
      </c>
      <c r="EL391">
        <f ca="1"/>
      </c>
      <c r="EM391">
        <f ca="1"/>
      </c>
      <c r="EN391">
        <f ca="1"/>
      </c>
      <c r="EO391">
        <f ca="1"/>
      </c>
      <c r="EP391">
        <f ca="1"/>
      </c>
      <c r="EQ391">
        <f ca="1"/>
      </c>
      <c r="ER391">
        <f ca="1"/>
      </c>
      <c r="ES391">
        <f ca="1"/>
      </c>
      <c r="ET391">
        <f ca="1"/>
      </c>
      <c r="EU391">
        <f ca="1"/>
      </c>
      <c r="EV391">
        <f ca="1"/>
      </c>
      <c r="EW391">
        <f ca="1"/>
      </c>
      <c r="EX391">
        <f ca="1"/>
      </c>
      <c r="EY391">
        <f ca="1"/>
      </c>
      <c r="EZ391">
        <f ca="1"/>
      </c>
      <c r="FA391">
        <f ca="1"/>
      </c>
      <c r="FB391">
        <f ca="1"/>
      </c>
      <c r="FC391">
        <f ca="1"/>
      </c>
      <c r="FD391">
        <f ca="1"/>
      </c>
      <c r="FE391">
        <f ca="1"/>
      </c>
      <c r="FF391">
        <f ca="1"/>
      </c>
      <c r="FG391">
        <f ca="1"/>
      </c>
      <c r="FH391">
        <f ca="1"/>
      </c>
      <c r="FI391">
        <f ca="1"/>
      </c>
      <c r="FJ391">
        <f ca="1"/>
      </c>
      <c r="FK391">
        <f ca="1"/>
      </c>
      <c r="FL391">
        <f ca="1"/>
      </c>
      <c r="FM391">
        <f ca="1"/>
      </c>
      <c r="FN391">
        <f ca="1"/>
      </c>
      <c r="FO391">
        <f ca="1"/>
      </c>
      <c r="FP391">
        <f ca="1"/>
      </c>
      <c r="FQ391">
        <f ca="1"/>
      </c>
      <c r="FR391">
        <f ca="1"/>
      </c>
      <c r="FS391">
        <f ca="1"/>
      </c>
      <c r="FT391">
        <f ca="1"/>
      </c>
      <c r="FU391">
        <f ca="1"/>
      </c>
      <c r="FV391">
        <f ca="1"/>
      </c>
      <c r="FW391">
        <f ca="1"/>
      </c>
      <c r="FX391">
        <f ca="1"/>
      </c>
      <c r="FY391">
        <f ca="1"/>
      </c>
      <c r="FZ391">
        <f ca="1"/>
      </c>
      <c r="GA391">
        <f ca="1"/>
      </c>
      <c r="GM391" s="7"/>
    </row>
    <row r="392" spans="41:195" x14ac:dyDescent="0.55000000000000004">
      <c r="AO392">
        <f ca="1"/>
      </c>
      <c r="AP392">
        <f ca="1"/>
      </c>
      <c r="AQ392">
        <f ca="1"/>
      </c>
      <c r="AR392">
        <f ca="1"/>
      </c>
      <c r="AS392">
        <f ca="1"/>
      </c>
      <c r="AT392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AZ392">
        <f ca="1"/>
      </c>
      <c r="BA392">
        <f ca="1"/>
      </c>
      <c r="BB392">
        <f ca="1"/>
      </c>
      <c r="BC392">
        <f ca="1"/>
      </c>
      <c r="BD392">
        <f ca="1"/>
      </c>
      <c r="BE392">
        <f ca="1"/>
      </c>
      <c r="BF392">
        <f ca="1"/>
      </c>
      <c r="BG392">
        <f ca="1"/>
      </c>
      <c r="BH392">
        <f ca="1"/>
      </c>
      <c r="BI392">
        <f ca="1"/>
      </c>
      <c r="BJ392">
        <f ca="1"/>
      </c>
      <c r="BK392">
        <f ca="1"/>
      </c>
      <c r="BL392">
        <f ca="1"/>
      </c>
      <c r="BM392">
        <f ca="1"/>
      </c>
      <c r="BN392">
        <f ca="1"/>
      </c>
      <c r="BO392">
        <f ca="1"/>
      </c>
      <c r="BP392">
        <f ca="1"/>
      </c>
      <c r="BQ392">
        <f ca="1"/>
      </c>
      <c r="BR392">
        <f ca="1"/>
      </c>
      <c r="BS392">
        <f ca="1"/>
      </c>
      <c r="BT392">
        <f ca="1"/>
      </c>
      <c r="BU392">
        <f ca="1"/>
      </c>
      <c r="BV392">
        <f ca="1"/>
      </c>
      <c r="BW392">
        <f ca="1"/>
      </c>
      <c r="BX392">
        <f ca="1"/>
      </c>
      <c r="BY392">
        <f ca="1"/>
      </c>
      <c r="BZ392">
        <f ca="1"/>
      </c>
      <c r="CA392">
        <f ca="1"/>
      </c>
      <c r="CB392">
        <f ca="1"/>
      </c>
      <c r="CC392">
        <f ca="1"/>
      </c>
      <c r="CD392">
        <f ca="1"/>
      </c>
      <c r="CE392">
        <f ca="1"/>
      </c>
      <c r="CF392">
        <f ca="1"/>
      </c>
      <c r="CG392">
        <f ca="1"/>
      </c>
      <c r="CH392">
        <f ca="1"/>
      </c>
      <c r="CI392">
        <f ca="1"/>
      </c>
      <c r="CK392">
        <f ca="1"/>
      </c>
      <c r="CL392">
        <f ca="1"/>
      </c>
      <c r="CM392">
        <f ca="1"/>
      </c>
      <c r="CN392">
        <f ca="1"/>
      </c>
      <c r="CO392">
        <f ca="1"/>
      </c>
      <c r="CP392">
        <f ca="1"/>
      </c>
      <c r="CQ392">
        <f ca="1"/>
      </c>
      <c r="CR392">
        <f ca="1"/>
      </c>
      <c r="CS392">
        <f ca="1"/>
      </c>
      <c r="CT392">
        <f ca="1"/>
      </c>
      <c r="CU392">
        <f ca="1"/>
      </c>
      <c r="CV392">
        <f ca="1"/>
      </c>
      <c r="CW392">
        <f ca="1"/>
      </c>
      <c r="CX392">
        <f ca="1"/>
      </c>
      <c r="CY392">
        <f ca="1"/>
      </c>
      <c r="CZ392">
        <f ca="1"/>
      </c>
      <c r="DA392">
        <f ca="1"/>
      </c>
      <c r="DB392">
        <f ca="1"/>
      </c>
      <c r="DC392">
        <f ca="1"/>
      </c>
      <c r="DD392">
        <f ca="1"/>
      </c>
      <c r="DE392">
        <f ca="1"/>
      </c>
      <c r="DF392">
        <f ca="1"/>
      </c>
      <c r="DG392">
        <f ca="1"/>
      </c>
      <c r="DH392">
        <f ca="1"/>
      </c>
      <c r="DI392">
        <f ca="1"/>
      </c>
      <c r="DJ392">
        <f ca="1"/>
      </c>
      <c r="DK392">
        <f ca="1"/>
      </c>
      <c r="DL392">
        <f ca="1"/>
      </c>
      <c r="DM392">
        <f ca="1"/>
      </c>
      <c r="DN392">
        <f ca="1"/>
      </c>
      <c r="DO392">
        <f ca="1"/>
      </c>
      <c r="DP392">
        <f ca="1"/>
      </c>
      <c r="DQ392">
        <f ca="1"/>
      </c>
      <c r="DR392">
        <f ca="1"/>
      </c>
      <c r="DS392">
        <f ca="1"/>
      </c>
      <c r="DT392">
        <f ca="1"/>
      </c>
      <c r="DU392">
        <f ca="1"/>
      </c>
      <c r="DV392">
        <f ca="1"/>
      </c>
      <c r="DW392">
        <f ca="1"/>
      </c>
      <c r="DX392">
        <f ca="1"/>
      </c>
      <c r="DY392">
        <f ca="1"/>
      </c>
      <c r="DZ392">
        <f ca="1"/>
      </c>
      <c r="EA392">
        <f ca="1"/>
      </c>
      <c r="EB392">
        <f ca="1"/>
      </c>
      <c r="EC392">
        <f ca="1"/>
      </c>
      <c r="ED392">
        <f ca="1"/>
      </c>
      <c r="EE392">
        <f ca="1"/>
      </c>
      <c r="EG392">
        <f ca="1"/>
      </c>
      <c r="EH392">
        <f ca="1"/>
      </c>
      <c r="EI392">
        <f ca="1"/>
      </c>
      <c r="EJ392">
        <f ca="1"/>
      </c>
      <c r="EK392">
        <f ca="1"/>
      </c>
      <c r="EL392">
        <f ca="1"/>
      </c>
      <c r="EM392">
        <f ca="1"/>
      </c>
      <c r="EN392">
        <f ca="1"/>
      </c>
      <c r="EO392">
        <f ca="1"/>
      </c>
      <c r="EP392">
        <f ca="1"/>
      </c>
      <c r="EQ392">
        <f ca="1"/>
      </c>
      <c r="ER392">
        <f ca="1"/>
      </c>
      <c r="ES392">
        <f ca="1"/>
      </c>
      <c r="ET392">
        <f ca="1"/>
      </c>
      <c r="EU392">
        <f ca="1"/>
      </c>
      <c r="EV392">
        <f ca="1"/>
      </c>
      <c r="EW392">
        <f ca="1"/>
      </c>
      <c r="EX392">
        <f ca="1"/>
      </c>
      <c r="EY392">
        <f ca="1"/>
      </c>
      <c r="EZ392">
        <f ca="1"/>
      </c>
      <c r="FA392">
        <f ca="1"/>
      </c>
      <c r="FB392">
        <f ca="1"/>
      </c>
      <c r="FC392">
        <f ca="1"/>
      </c>
      <c r="FD392">
        <f ca="1"/>
      </c>
      <c r="FE392">
        <f ca="1"/>
      </c>
      <c r="FF392">
        <f ca="1"/>
      </c>
      <c r="FG392">
        <f ca="1"/>
      </c>
      <c r="FH392">
        <f ca="1"/>
      </c>
      <c r="FI392">
        <f ca="1"/>
      </c>
      <c r="FJ392">
        <f ca="1"/>
      </c>
      <c r="FK392">
        <f ca="1"/>
      </c>
      <c r="FL392">
        <f ca="1"/>
      </c>
      <c r="FM392">
        <f ca="1"/>
      </c>
      <c r="FN392">
        <f ca="1"/>
      </c>
      <c r="FO392">
        <f ca="1"/>
      </c>
      <c r="FP392">
        <f ca="1"/>
      </c>
      <c r="FQ392">
        <f ca="1"/>
      </c>
      <c r="FR392">
        <f ca="1"/>
      </c>
      <c r="FS392">
        <f ca="1"/>
      </c>
      <c r="FT392">
        <f ca="1"/>
      </c>
      <c r="FU392">
        <f ca="1"/>
      </c>
      <c r="FV392">
        <f ca="1"/>
      </c>
      <c r="FW392">
        <f ca="1"/>
      </c>
      <c r="FX392">
        <f ca="1"/>
      </c>
      <c r="FY392">
        <f ca="1"/>
      </c>
      <c r="FZ392">
        <f ca="1"/>
      </c>
      <c r="GA392">
        <f ca="1"/>
      </c>
      <c r="GM392" s="7"/>
    </row>
    <row r="393" spans="41:195" x14ac:dyDescent="0.55000000000000004">
      <c r="AO393">
        <f ca="1"/>
      </c>
      <c r="AP393">
        <f ca="1"/>
      </c>
      <c r="AQ393">
        <f ca="1"/>
      </c>
      <c r="AR393">
        <f ca="1"/>
      </c>
      <c r="AS393">
        <f ca="1"/>
      </c>
      <c r="AT393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AZ393">
        <f ca="1"/>
      </c>
      <c r="BA393">
        <f ca="1"/>
      </c>
      <c r="BB393">
        <f ca="1"/>
      </c>
      <c r="BC393">
        <f ca="1"/>
      </c>
      <c r="BD393">
        <f ca="1"/>
      </c>
      <c r="BE393">
        <f ca="1"/>
      </c>
      <c r="BF393">
        <f ca="1"/>
      </c>
      <c r="BG393">
        <f ca="1"/>
      </c>
      <c r="BH393">
        <f ca="1"/>
      </c>
      <c r="BI393">
        <f ca="1"/>
      </c>
      <c r="BJ393">
        <f ca="1"/>
      </c>
      <c r="BK393">
        <f ca="1"/>
      </c>
      <c r="BL393">
        <f ca="1"/>
      </c>
      <c r="BM393">
        <f ca="1"/>
      </c>
      <c r="BN393">
        <f ca="1"/>
      </c>
      <c r="BO393">
        <f ca="1"/>
      </c>
      <c r="BP393">
        <f ca="1"/>
      </c>
      <c r="BQ393">
        <f ca="1"/>
      </c>
      <c r="BR393">
        <f ca="1"/>
      </c>
      <c r="BS393">
        <f ca="1"/>
      </c>
      <c r="BT393">
        <f ca="1"/>
      </c>
      <c r="BU393">
        <f ca="1"/>
      </c>
      <c r="BV393">
        <f ca="1"/>
      </c>
      <c r="BW393">
        <f ca="1"/>
      </c>
      <c r="BX393">
        <f ca="1"/>
      </c>
      <c r="BY393">
        <f ca="1"/>
      </c>
      <c r="BZ393">
        <f ca="1"/>
      </c>
      <c r="CA393">
        <f ca="1"/>
      </c>
      <c r="CB393">
        <f ca="1"/>
      </c>
      <c r="CC393">
        <f ca="1"/>
      </c>
      <c r="CD393">
        <f ca="1"/>
      </c>
      <c r="CE393">
        <f ca="1"/>
      </c>
      <c r="CF393">
        <f ca="1"/>
      </c>
      <c r="CG393">
        <f ca="1"/>
      </c>
      <c r="CH393">
        <f ca="1"/>
      </c>
      <c r="CI393">
        <f ca="1"/>
      </c>
      <c r="CK393">
        <f ca="1"/>
      </c>
      <c r="CL393">
        <f ca="1"/>
      </c>
      <c r="CM393">
        <f ca="1"/>
      </c>
      <c r="CN393">
        <f ca="1"/>
      </c>
      <c r="CO393">
        <f ca="1"/>
      </c>
      <c r="CP393">
        <f ca="1"/>
      </c>
      <c r="CQ393">
        <f ca="1"/>
      </c>
      <c r="CR393">
        <f ca="1"/>
      </c>
      <c r="CS393">
        <f ca="1"/>
      </c>
      <c r="CT393">
        <f ca="1"/>
      </c>
      <c r="CU393">
        <f ca="1"/>
      </c>
      <c r="CV393">
        <f ca="1"/>
      </c>
      <c r="CW393">
        <f ca="1"/>
      </c>
      <c r="CX393">
        <f ca="1"/>
      </c>
      <c r="CY393">
        <f ca="1"/>
      </c>
      <c r="CZ393">
        <f ca="1"/>
      </c>
      <c r="DA393">
        <f ca="1"/>
      </c>
      <c r="DB393">
        <f ca="1"/>
      </c>
      <c r="DC393">
        <f ca="1"/>
      </c>
      <c r="DD393">
        <f ca="1"/>
      </c>
      <c r="DE393">
        <f ca="1"/>
      </c>
      <c r="DF393">
        <f ca="1"/>
      </c>
      <c r="DG393">
        <f ca="1"/>
      </c>
      <c r="DH393">
        <f ca="1"/>
      </c>
      <c r="DI393">
        <f ca="1"/>
      </c>
      <c r="DJ393">
        <f ca="1"/>
      </c>
      <c r="DK393">
        <f ca="1"/>
      </c>
      <c r="DL393">
        <f ca="1"/>
      </c>
      <c r="DM393">
        <f ca="1"/>
      </c>
      <c r="DN393">
        <f ca="1"/>
      </c>
      <c r="DO393">
        <f ca="1"/>
      </c>
      <c r="DP393">
        <f ca="1"/>
      </c>
      <c r="DQ393">
        <f ca="1"/>
      </c>
      <c r="DR393">
        <f ca="1"/>
      </c>
      <c r="DS393">
        <f ca="1"/>
      </c>
      <c r="DT393">
        <f ca="1"/>
      </c>
      <c r="DU393">
        <f ca="1"/>
      </c>
      <c r="DV393">
        <f ca="1"/>
      </c>
      <c r="DW393">
        <f ca="1"/>
      </c>
      <c r="DX393">
        <f ca="1"/>
      </c>
      <c r="DY393">
        <f ca="1"/>
      </c>
      <c r="DZ393">
        <f ca="1"/>
      </c>
      <c r="EA393">
        <f ca="1"/>
      </c>
      <c r="EB393">
        <f ca="1"/>
      </c>
      <c r="EC393">
        <f ca="1"/>
      </c>
      <c r="ED393">
        <f ca="1"/>
      </c>
      <c r="EE393">
        <f ca="1"/>
      </c>
      <c r="EG393">
        <f ca="1"/>
      </c>
      <c r="EH393">
        <f ca="1"/>
      </c>
      <c r="EI393">
        <f ca="1"/>
      </c>
      <c r="EJ393">
        <f ca="1"/>
      </c>
      <c r="EK393">
        <f ca="1"/>
      </c>
      <c r="EL393">
        <f ca="1"/>
      </c>
      <c r="EM393">
        <f ca="1"/>
      </c>
      <c r="EN393">
        <f ca="1"/>
      </c>
      <c r="EO393">
        <f ca="1"/>
      </c>
      <c r="EP393">
        <f ca="1"/>
      </c>
      <c r="EQ393">
        <f ca="1"/>
      </c>
      <c r="ER393">
        <f ca="1"/>
      </c>
      <c r="ES393">
        <f ca="1"/>
      </c>
      <c r="ET393">
        <f ca="1"/>
      </c>
      <c r="EU393">
        <f ca="1"/>
      </c>
      <c r="EV393">
        <f ca="1"/>
      </c>
      <c r="EW393">
        <f ca="1"/>
      </c>
      <c r="EX393">
        <f ca="1"/>
      </c>
      <c r="EY393">
        <f ca="1"/>
      </c>
      <c r="EZ393">
        <f ca="1"/>
      </c>
      <c r="FA393">
        <f ca="1"/>
      </c>
      <c r="FB393">
        <f ca="1"/>
      </c>
      <c r="FC393">
        <f ca="1"/>
      </c>
      <c r="FD393">
        <f ca="1"/>
      </c>
      <c r="FE393">
        <f ca="1"/>
      </c>
      <c r="FF393">
        <f ca="1"/>
      </c>
      <c r="FG393">
        <f ca="1"/>
      </c>
      <c r="FH393">
        <f ca="1"/>
      </c>
      <c r="FI393">
        <f ca="1"/>
      </c>
      <c r="FJ393">
        <f ca="1"/>
      </c>
      <c r="FK393">
        <f ca="1"/>
      </c>
      <c r="FL393">
        <f ca="1"/>
      </c>
      <c r="FM393">
        <f ca="1"/>
      </c>
      <c r="FN393">
        <f ca="1"/>
      </c>
      <c r="FO393">
        <f ca="1"/>
      </c>
      <c r="FP393">
        <f ca="1"/>
      </c>
      <c r="FQ393">
        <f ca="1"/>
      </c>
      <c r="FR393">
        <f ca="1"/>
      </c>
      <c r="FS393">
        <f ca="1"/>
      </c>
      <c r="FT393">
        <f ca="1"/>
      </c>
      <c r="FU393">
        <f ca="1"/>
      </c>
      <c r="FV393">
        <f ca="1"/>
      </c>
      <c r="FW393">
        <f ca="1"/>
      </c>
      <c r="FX393">
        <f ca="1"/>
      </c>
      <c r="FY393">
        <f ca="1"/>
      </c>
      <c r="FZ393">
        <f ca="1"/>
      </c>
      <c r="GA393">
        <f ca="1"/>
      </c>
      <c r="GM393" s="7"/>
    </row>
    <row r="394" spans="41:195" x14ac:dyDescent="0.55000000000000004">
      <c r="AO394">
        <f ca="1"/>
      </c>
      <c r="AP394">
        <f ca="1"/>
      </c>
      <c r="AQ394">
        <f ca="1"/>
      </c>
      <c r="AR394">
        <f ca="1"/>
      </c>
      <c r="AS394">
        <f ca="1"/>
      </c>
      <c r="AT394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AZ394">
        <f ca="1"/>
      </c>
      <c r="BA394">
        <f ca="1"/>
      </c>
      <c r="BB394">
        <f ca="1"/>
      </c>
      <c r="BC394">
        <f ca="1"/>
      </c>
      <c r="BD394">
        <f ca="1"/>
      </c>
      <c r="BE394">
        <f ca="1"/>
      </c>
      <c r="BF394">
        <f ca="1"/>
      </c>
      <c r="BG394">
        <f ca="1"/>
      </c>
      <c r="BH394">
        <f ca="1"/>
      </c>
      <c r="BI394">
        <f ca="1"/>
      </c>
      <c r="BJ394">
        <f ca="1"/>
      </c>
      <c r="BK394">
        <f ca="1"/>
      </c>
      <c r="BL394">
        <f ca="1"/>
      </c>
      <c r="BM394">
        <f ca="1"/>
      </c>
      <c r="BN394">
        <f ca="1"/>
      </c>
      <c r="BO394">
        <f ca="1"/>
      </c>
      <c r="BP394">
        <f ca="1"/>
      </c>
      <c r="BQ394">
        <f ca="1"/>
      </c>
      <c r="BR394">
        <f ca="1"/>
      </c>
      <c r="BS394">
        <f ca="1"/>
      </c>
      <c r="BT394">
        <f ca="1"/>
      </c>
      <c r="BU394">
        <f ca="1"/>
      </c>
      <c r="BV394">
        <f ca="1"/>
      </c>
      <c r="BW394">
        <f ca="1"/>
      </c>
      <c r="BX394">
        <f ca="1"/>
      </c>
      <c r="BY394">
        <f ca="1"/>
      </c>
      <c r="BZ394">
        <f ca="1"/>
      </c>
      <c r="CA394">
        <f ca="1"/>
      </c>
      <c r="CB394">
        <f ca="1"/>
      </c>
      <c r="CC394">
        <f ca="1"/>
      </c>
      <c r="CD394">
        <f ca="1"/>
      </c>
      <c r="CE394">
        <f ca="1"/>
      </c>
      <c r="CF394">
        <f ca="1"/>
      </c>
      <c r="CG394">
        <f ca="1"/>
      </c>
      <c r="CH394">
        <f ca="1"/>
      </c>
      <c r="CI394">
        <f ca="1"/>
      </c>
      <c r="CK394">
        <f ca="1"/>
      </c>
      <c r="CL394">
        <f ca="1"/>
      </c>
      <c r="CM394">
        <f ca="1"/>
      </c>
      <c r="CN394">
        <f ca="1"/>
      </c>
      <c r="CO394">
        <f ca="1"/>
      </c>
      <c r="CP394">
        <f ca="1"/>
      </c>
      <c r="CQ394">
        <f ca="1"/>
      </c>
      <c r="CR394">
        <f ca="1"/>
      </c>
      <c r="CS394">
        <f ca="1"/>
      </c>
      <c r="CT394">
        <f ca="1"/>
      </c>
      <c r="CU394">
        <f ca="1"/>
      </c>
      <c r="CV394">
        <f ca="1"/>
      </c>
      <c r="CW394">
        <f ca="1"/>
      </c>
      <c r="CX394">
        <f ca="1"/>
      </c>
      <c r="CY394">
        <f ca="1"/>
      </c>
      <c r="CZ394">
        <f ca="1"/>
      </c>
      <c r="DA394">
        <f ca="1"/>
      </c>
      <c r="DB394">
        <f ca="1"/>
      </c>
      <c r="DC394">
        <f ca="1"/>
      </c>
      <c r="DD394">
        <f ca="1"/>
      </c>
      <c r="DE394">
        <f ca="1"/>
      </c>
      <c r="DF394">
        <f ca="1"/>
      </c>
      <c r="DG394">
        <f ca="1"/>
      </c>
      <c r="DH394">
        <f ca="1"/>
      </c>
      <c r="DI394">
        <f ca="1"/>
      </c>
      <c r="DJ394">
        <f ca="1"/>
      </c>
      <c r="DK394">
        <f ca="1"/>
      </c>
      <c r="DL394">
        <f ca="1"/>
      </c>
      <c r="DM394">
        <f ca="1"/>
      </c>
      <c r="DN394">
        <f ca="1"/>
      </c>
      <c r="DO394">
        <f ca="1"/>
      </c>
      <c r="DP394">
        <f ca="1"/>
      </c>
      <c r="DQ394">
        <f ca="1"/>
      </c>
      <c r="DR394">
        <f ca="1"/>
      </c>
      <c r="DS394">
        <f ca="1"/>
      </c>
      <c r="DT394">
        <f ca="1"/>
      </c>
      <c r="DU394">
        <f ca="1"/>
      </c>
      <c r="DV394">
        <f ca="1"/>
      </c>
      <c r="DW394">
        <f ca="1"/>
      </c>
      <c r="DX394">
        <f ca="1"/>
      </c>
      <c r="DY394">
        <f ca="1"/>
      </c>
      <c r="DZ394">
        <f ca="1"/>
      </c>
      <c r="EA394">
        <f ca="1"/>
      </c>
      <c r="EB394">
        <f ca="1"/>
      </c>
      <c r="EC394">
        <f ca="1"/>
      </c>
      <c r="ED394">
        <f ca="1"/>
      </c>
      <c r="EE394">
        <f ca="1"/>
      </c>
      <c r="EG394">
        <f ca="1"/>
      </c>
      <c r="EH394">
        <f ca="1"/>
      </c>
      <c r="EI394">
        <f ca="1"/>
      </c>
      <c r="EJ394">
        <f ca="1"/>
      </c>
      <c r="EK394">
        <f ca="1"/>
      </c>
      <c r="EL394">
        <f ca="1"/>
      </c>
      <c r="EM394">
        <f ca="1"/>
      </c>
      <c r="EN394">
        <f ca="1"/>
      </c>
      <c r="EO394">
        <f ca="1"/>
      </c>
      <c r="EP394">
        <f ca="1"/>
      </c>
      <c r="EQ394">
        <f ca="1"/>
      </c>
      <c r="ER394">
        <f ca="1"/>
      </c>
      <c r="ES394">
        <f ca="1"/>
      </c>
      <c r="ET394">
        <f ca="1"/>
      </c>
      <c r="EU394">
        <f ca="1"/>
      </c>
      <c r="EV394">
        <f ca="1"/>
      </c>
      <c r="EW394">
        <f ca="1"/>
      </c>
      <c r="EX394">
        <f ca="1"/>
      </c>
      <c r="EY394">
        <f ca="1"/>
      </c>
      <c r="EZ394">
        <f ca="1"/>
      </c>
      <c r="FA394">
        <f ca="1"/>
      </c>
      <c r="FB394">
        <f ca="1"/>
      </c>
      <c r="FC394">
        <f ca="1"/>
      </c>
      <c r="FD394">
        <f ca="1"/>
      </c>
      <c r="FE394">
        <f ca="1"/>
      </c>
      <c r="FF394">
        <f ca="1"/>
      </c>
      <c r="FG394">
        <f ca="1"/>
      </c>
      <c r="FH394">
        <f ca="1"/>
      </c>
      <c r="FI394">
        <f ca="1"/>
      </c>
      <c r="FJ394">
        <f ca="1"/>
      </c>
      <c r="FK394">
        <f ca="1"/>
      </c>
      <c r="FL394">
        <f ca="1"/>
      </c>
      <c r="FM394">
        <f ca="1"/>
      </c>
      <c r="FN394">
        <f ca="1"/>
      </c>
      <c r="FO394">
        <f ca="1"/>
      </c>
      <c r="FP394">
        <f ca="1"/>
      </c>
      <c r="FQ394">
        <f ca="1"/>
      </c>
      <c r="FR394">
        <f ca="1"/>
      </c>
      <c r="FS394">
        <f ca="1"/>
      </c>
      <c r="FT394">
        <f ca="1"/>
      </c>
      <c r="FU394">
        <f ca="1"/>
      </c>
      <c r="FV394">
        <f ca="1"/>
      </c>
      <c r="FW394">
        <f ca="1"/>
      </c>
      <c r="FX394">
        <f ca="1"/>
      </c>
      <c r="FY394">
        <f ca="1"/>
      </c>
      <c r="FZ394">
        <f ca="1"/>
      </c>
      <c r="GA394">
        <f ca="1"/>
      </c>
      <c r="GM394" s="7"/>
    </row>
    <row r="395" spans="41:195" x14ac:dyDescent="0.55000000000000004">
      <c r="AO395">
        <f ca="1"/>
      </c>
      <c r="AP395">
        <f ca="1"/>
      </c>
      <c r="AQ395">
        <f ca="1"/>
      </c>
      <c r="AR395">
        <f ca="1"/>
      </c>
      <c r="AS395">
        <f ca="1"/>
      </c>
      <c r="AT395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AZ395">
        <f ca="1"/>
      </c>
      <c r="BA395">
        <f ca="1"/>
      </c>
      <c r="BB395">
        <f ca="1"/>
      </c>
      <c r="BC395">
        <f ca="1"/>
      </c>
      <c r="BD395">
        <f ca="1"/>
      </c>
      <c r="BE395">
        <f ca="1"/>
      </c>
      <c r="BF395">
        <f ca="1"/>
      </c>
      <c r="BG395">
        <f ca="1"/>
      </c>
      <c r="BH395">
        <f ca="1"/>
      </c>
      <c r="BI395">
        <f ca="1"/>
      </c>
      <c r="BJ395">
        <f ca="1"/>
      </c>
      <c r="BK395">
        <f ca="1"/>
      </c>
      <c r="BL395">
        <f ca="1"/>
      </c>
      <c r="BM395">
        <f ca="1"/>
      </c>
      <c r="BN395">
        <f ca="1"/>
      </c>
      <c r="BO395">
        <f ca="1"/>
      </c>
      <c r="BP395">
        <f ca="1"/>
      </c>
      <c r="BQ395">
        <f ca="1"/>
      </c>
      <c r="BR395">
        <f ca="1"/>
      </c>
      <c r="BS395">
        <f ca="1"/>
      </c>
      <c r="BT395">
        <f ca="1"/>
      </c>
      <c r="BU395">
        <f ca="1"/>
      </c>
      <c r="BV395">
        <f ca="1"/>
      </c>
      <c r="BW395">
        <f ca="1"/>
      </c>
      <c r="BX395">
        <f ca="1"/>
      </c>
      <c r="BY395">
        <f ca="1"/>
      </c>
      <c r="BZ395">
        <f ca="1"/>
      </c>
      <c r="CA395">
        <f ca="1"/>
      </c>
      <c r="CB395">
        <f ca="1"/>
      </c>
      <c r="CC395">
        <f ca="1"/>
      </c>
      <c r="CD395">
        <f ca="1"/>
      </c>
      <c r="CE395">
        <f ca="1"/>
      </c>
      <c r="CF395">
        <f ca="1"/>
      </c>
      <c r="CG395">
        <f ca="1"/>
      </c>
      <c r="CH395">
        <f ca="1"/>
      </c>
      <c r="CI395">
        <f ca="1"/>
      </c>
      <c r="CK395">
        <f ca="1"/>
      </c>
      <c r="CL395">
        <f ca="1"/>
      </c>
      <c r="CM395">
        <f ca="1"/>
      </c>
      <c r="CN395">
        <f ca="1"/>
      </c>
      <c r="CO395">
        <f ca="1"/>
      </c>
      <c r="CP395">
        <f ca="1"/>
      </c>
      <c r="CQ395">
        <f ca="1"/>
      </c>
      <c r="CR395">
        <f ca="1"/>
      </c>
      <c r="CS395">
        <f ca="1"/>
      </c>
      <c r="CT395">
        <f ca="1"/>
      </c>
      <c r="CU395">
        <f ca="1"/>
      </c>
      <c r="CV395">
        <f ca="1"/>
      </c>
      <c r="CW395">
        <f ca="1"/>
      </c>
      <c r="CX395">
        <f ca="1"/>
      </c>
      <c r="CY395">
        <f ca="1"/>
      </c>
      <c r="CZ395">
        <f ca="1"/>
      </c>
      <c r="DA395">
        <f ca="1"/>
      </c>
      <c r="DB395">
        <f ca="1"/>
      </c>
      <c r="DC395">
        <f ca="1"/>
      </c>
      <c r="DD395">
        <f ca="1"/>
      </c>
      <c r="DE395">
        <f ca="1"/>
      </c>
      <c r="DF395">
        <f ca="1"/>
      </c>
      <c r="DG395">
        <f ca="1"/>
      </c>
      <c r="DH395">
        <f ca="1"/>
      </c>
      <c r="DI395">
        <f ca="1"/>
      </c>
      <c r="DJ395">
        <f ca="1"/>
      </c>
      <c r="DK395">
        <f ca="1"/>
      </c>
      <c r="DL395">
        <f ca="1"/>
      </c>
      <c r="DM395">
        <f ca="1"/>
      </c>
      <c r="DN395">
        <f ca="1"/>
      </c>
      <c r="DO395">
        <f ca="1"/>
      </c>
      <c r="DP395">
        <f ca="1"/>
      </c>
      <c r="DQ395">
        <f ca="1"/>
      </c>
      <c r="DR395">
        <f ca="1"/>
      </c>
      <c r="DS395">
        <f ca="1"/>
      </c>
      <c r="DT395">
        <f ca="1"/>
      </c>
      <c r="DU395">
        <f ca="1"/>
      </c>
      <c r="DV395">
        <f ca="1"/>
      </c>
      <c r="DW395">
        <f ca="1"/>
      </c>
      <c r="DX395">
        <f ca="1"/>
      </c>
      <c r="DY395">
        <f ca="1"/>
      </c>
      <c r="DZ395">
        <f ca="1"/>
      </c>
      <c r="EA395">
        <f ca="1"/>
      </c>
      <c r="EB395">
        <f ca="1"/>
      </c>
      <c r="EC395">
        <f ca="1"/>
      </c>
      <c r="ED395">
        <f ca="1"/>
      </c>
      <c r="EE395">
        <f ca="1"/>
      </c>
      <c r="EG395">
        <f ca="1"/>
      </c>
      <c r="EH395">
        <f ca="1"/>
      </c>
      <c r="EI395">
        <f ca="1"/>
      </c>
      <c r="EJ395">
        <f ca="1"/>
      </c>
      <c r="EK395">
        <f ca="1"/>
      </c>
      <c r="EL395">
        <f ca="1"/>
      </c>
      <c r="EM395">
        <f ca="1"/>
      </c>
      <c r="EN395">
        <f ca="1"/>
      </c>
      <c r="EO395">
        <f ca="1"/>
      </c>
      <c r="EP395">
        <f ca="1"/>
      </c>
      <c r="EQ395">
        <f ca="1"/>
      </c>
      <c r="ER395">
        <f ca="1"/>
      </c>
      <c r="ES395">
        <f ca="1"/>
      </c>
      <c r="ET395">
        <f ca="1"/>
      </c>
      <c r="EU395">
        <f ca="1"/>
      </c>
      <c r="EV395">
        <f ca="1"/>
      </c>
      <c r="EW395">
        <f ca="1"/>
      </c>
      <c r="EX395">
        <f ca="1"/>
      </c>
      <c r="EY395">
        <f ca="1"/>
      </c>
      <c r="EZ395">
        <f ca="1"/>
      </c>
      <c r="FA395">
        <f ca="1"/>
      </c>
      <c r="FB395">
        <f ca="1"/>
      </c>
      <c r="FC395">
        <f ca="1"/>
      </c>
      <c r="FD395">
        <f ca="1"/>
      </c>
      <c r="FE395">
        <f ca="1"/>
      </c>
      <c r="FF395">
        <f ca="1"/>
      </c>
      <c r="FG395">
        <f ca="1"/>
      </c>
      <c r="FH395">
        <f ca="1"/>
      </c>
      <c r="FI395">
        <f ca="1"/>
      </c>
      <c r="FJ395">
        <f ca="1"/>
      </c>
      <c r="FK395">
        <f ca="1"/>
      </c>
      <c r="FL395">
        <f ca="1"/>
      </c>
      <c r="FM395">
        <f ca="1"/>
      </c>
      <c r="FN395">
        <f ca="1"/>
      </c>
      <c r="FO395">
        <f ca="1"/>
      </c>
      <c r="FP395">
        <f ca="1"/>
      </c>
      <c r="FQ395">
        <f ca="1"/>
      </c>
      <c r="FR395">
        <f ca="1"/>
      </c>
      <c r="FS395">
        <f ca="1"/>
      </c>
      <c r="FT395">
        <f ca="1"/>
      </c>
      <c r="FU395">
        <f ca="1"/>
      </c>
      <c r="FV395">
        <f ca="1"/>
      </c>
      <c r="FW395">
        <f ca="1"/>
      </c>
      <c r="FX395">
        <f ca="1"/>
      </c>
      <c r="FY395">
        <f ca="1"/>
      </c>
      <c r="FZ395">
        <f ca="1"/>
      </c>
      <c r="GA395">
        <f ca="1"/>
      </c>
      <c r="GM395" s="7"/>
    </row>
    <row r="396" spans="41:195" x14ac:dyDescent="0.55000000000000004">
      <c r="AO396">
        <f ca="1"/>
      </c>
      <c r="AP396">
        <f ca="1"/>
      </c>
      <c r="AQ396">
        <f ca="1"/>
      </c>
      <c r="AR396">
        <f ca="1"/>
      </c>
      <c r="AS396">
        <f ca="1"/>
      </c>
      <c r="AT396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AZ396">
        <f ca="1"/>
      </c>
      <c r="BA396">
        <f ca="1"/>
      </c>
      <c r="BB396">
        <f ca="1"/>
      </c>
      <c r="BC396">
        <f ca="1"/>
      </c>
      <c r="BD396">
        <f ca="1"/>
      </c>
      <c r="BE396">
        <f ca="1"/>
      </c>
      <c r="BF396">
        <f ca="1"/>
      </c>
      <c r="BG396">
        <f ca="1"/>
      </c>
      <c r="BH396">
        <f ca="1"/>
      </c>
      <c r="BI396">
        <f ca="1"/>
      </c>
      <c r="BJ396">
        <f ca="1"/>
      </c>
      <c r="BK396">
        <f ca="1"/>
      </c>
      <c r="BL396">
        <f ca="1"/>
      </c>
      <c r="BM396">
        <f ca="1"/>
      </c>
      <c r="BN396">
        <f ca="1"/>
      </c>
      <c r="BO396">
        <f ca="1"/>
      </c>
      <c r="BP396">
        <f ca="1"/>
      </c>
      <c r="BQ396">
        <f ca="1"/>
      </c>
      <c r="BR396">
        <f ca="1"/>
      </c>
      <c r="BS396">
        <f ca="1"/>
      </c>
      <c r="BT396">
        <f ca="1"/>
      </c>
      <c r="BU396">
        <f ca="1"/>
      </c>
      <c r="BV396">
        <f ca="1"/>
      </c>
      <c r="BW396">
        <f ca="1"/>
      </c>
      <c r="BX396">
        <f ca="1"/>
      </c>
      <c r="BY396">
        <f ca="1"/>
      </c>
      <c r="BZ396">
        <f ca="1"/>
      </c>
      <c r="CA396">
        <f ca="1"/>
      </c>
      <c r="CB396">
        <f ca="1"/>
      </c>
      <c r="CC396">
        <f ca="1"/>
      </c>
      <c r="CD396">
        <f ca="1"/>
      </c>
      <c r="CE396">
        <f ca="1"/>
      </c>
      <c r="CF396">
        <f ca="1"/>
      </c>
      <c r="CG396">
        <f ca="1"/>
      </c>
      <c r="CH396">
        <f ca="1"/>
      </c>
      <c r="CI396">
        <f ca="1"/>
      </c>
      <c r="CK396">
        <f ca="1"/>
      </c>
      <c r="CL396">
        <f ca="1"/>
      </c>
      <c r="CM396">
        <f ca="1"/>
      </c>
      <c r="CN396">
        <f ca="1"/>
      </c>
      <c r="CO396">
        <f ca="1"/>
      </c>
      <c r="CP396">
        <f ca="1"/>
      </c>
      <c r="CQ396">
        <f ca="1"/>
      </c>
      <c r="CR396">
        <f ca="1"/>
      </c>
      <c r="CS396">
        <f ca="1"/>
      </c>
      <c r="CT396">
        <f ca="1"/>
      </c>
      <c r="CU396">
        <f ca="1"/>
      </c>
      <c r="CV396">
        <f ca="1"/>
      </c>
      <c r="CW396">
        <f ca="1"/>
      </c>
      <c r="CX396">
        <f ca="1"/>
      </c>
      <c r="CY396">
        <f ca="1"/>
      </c>
      <c r="CZ396">
        <f ca="1"/>
      </c>
      <c r="DA396">
        <f ca="1"/>
      </c>
      <c r="DB396">
        <f ca="1"/>
      </c>
      <c r="DC396">
        <f ca="1"/>
      </c>
      <c r="DD396">
        <f ca="1"/>
      </c>
      <c r="DE396">
        <f ca="1"/>
      </c>
      <c r="DF396">
        <f ca="1"/>
      </c>
      <c r="DG396">
        <f ca="1"/>
      </c>
      <c r="DH396">
        <f ca="1"/>
      </c>
      <c r="DI396">
        <f ca="1"/>
      </c>
      <c r="DJ396">
        <f ca="1"/>
      </c>
      <c r="DK396">
        <f ca="1"/>
      </c>
      <c r="DL396">
        <f ca="1"/>
      </c>
      <c r="DM396">
        <f ca="1"/>
      </c>
      <c r="DN396">
        <f ca="1"/>
      </c>
      <c r="DO396">
        <f ca="1"/>
      </c>
      <c r="DP396">
        <f ca="1"/>
      </c>
      <c r="DQ396">
        <f ca="1"/>
      </c>
      <c r="DR396">
        <f ca="1"/>
      </c>
      <c r="DS396">
        <f ca="1"/>
      </c>
      <c r="DT396">
        <f ca="1"/>
      </c>
      <c r="DU396">
        <f ca="1"/>
      </c>
      <c r="DV396">
        <f ca="1"/>
      </c>
      <c r="DW396">
        <f ca="1"/>
      </c>
      <c r="DX396">
        <f ca="1"/>
      </c>
      <c r="DY396">
        <f ca="1"/>
      </c>
      <c r="DZ396">
        <f ca="1"/>
      </c>
      <c r="EA396">
        <f ca="1"/>
      </c>
      <c r="EB396">
        <f ca="1"/>
      </c>
      <c r="EC396">
        <f ca="1"/>
      </c>
      <c r="ED396">
        <f ca="1"/>
      </c>
      <c r="EE396">
        <f ca="1"/>
      </c>
      <c r="EG396">
        <f ca="1"/>
      </c>
      <c r="EH396">
        <f ca="1"/>
      </c>
      <c r="EI396">
        <f ca="1"/>
      </c>
      <c r="EJ396">
        <f ca="1"/>
      </c>
      <c r="EK396">
        <f ca="1"/>
      </c>
      <c r="EL396">
        <f ca="1"/>
      </c>
      <c r="EM396">
        <f ca="1"/>
      </c>
      <c r="EN396">
        <f ca="1"/>
      </c>
      <c r="EO396">
        <f ca="1"/>
      </c>
      <c r="EP396">
        <f ca="1"/>
      </c>
      <c r="EQ396">
        <f ca="1"/>
      </c>
      <c r="ER396">
        <f ca="1"/>
      </c>
      <c r="ES396">
        <f ca="1"/>
      </c>
      <c r="ET396">
        <f ca="1"/>
      </c>
      <c r="EU396">
        <f ca="1"/>
      </c>
      <c r="EV396">
        <f ca="1"/>
      </c>
      <c r="EW396">
        <f ca="1"/>
      </c>
      <c r="EX396">
        <f ca="1"/>
      </c>
      <c r="EY396">
        <f ca="1"/>
      </c>
      <c r="EZ396">
        <f ca="1"/>
      </c>
      <c r="FA396">
        <f ca="1"/>
      </c>
      <c r="FB396">
        <f ca="1"/>
      </c>
      <c r="FC396">
        <f ca="1"/>
      </c>
      <c r="FD396">
        <f ca="1"/>
      </c>
      <c r="FE396">
        <f ca="1"/>
      </c>
      <c r="FF396">
        <f ca="1"/>
      </c>
      <c r="FG396">
        <f ca="1"/>
      </c>
      <c r="FH396">
        <f ca="1"/>
      </c>
      <c r="FI396">
        <f ca="1"/>
      </c>
      <c r="FJ396">
        <f ca="1"/>
      </c>
      <c r="FK396">
        <f ca="1"/>
      </c>
      <c r="FL396">
        <f ca="1"/>
      </c>
      <c r="FM396">
        <f ca="1"/>
      </c>
      <c r="FN396">
        <f ca="1"/>
      </c>
      <c r="FO396">
        <f ca="1"/>
      </c>
      <c r="FP396">
        <f ca="1"/>
      </c>
      <c r="FQ396">
        <f ca="1"/>
      </c>
      <c r="FR396">
        <f ca="1"/>
      </c>
      <c r="FS396">
        <f ca="1"/>
      </c>
      <c r="FT396">
        <f ca="1"/>
      </c>
      <c r="FU396">
        <f ca="1"/>
      </c>
      <c r="FV396">
        <f ca="1"/>
      </c>
      <c r="FW396">
        <f ca="1"/>
      </c>
      <c r="FX396">
        <f ca="1"/>
      </c>
      <c r="FY396">
        <f ca="1"/>
      </c>
      <c r="FZ396">
        <f ca="1"/>
      </c>
      <c r="GA396">
        <f ca="1"/>
      </c>
      <c r="GM396" s="7"/>
    </row>
    <row r="397" spans="41:195" x14ac:dyDescent="0.55000000000000004">
      <c r="AO397">
        <f ca="1"/>
      </c>
      <c r="AP397">
        <f ca="1"/>
      </c>
      <c r="AQ397">
        <f ca="1"/>
      </c>
      <c r="AR397">
        <f ca="1"/>
      </c>
      <c r="AS397">
        <f ca="1"/>
      </c>
      <c r="AT39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AZ397">
        <f ca="1"/>
      </c>
      <c r="BA397">
        <f ca="1"/>
      </c>
      <c r="BB397">
        <f ca="1"/>
      </c>
      <c r="BC397">
        <f ca="1"/>
      </c>
      <c r="BD397">
        <f ca="1"/>
      </c>
      <c r="BE397">
        <f ca="1"/>
      </c>
      <c r="BF397">
        <f ca="1"/>
      </c>
      <c r="BG397">
        <f ca="1"/>
      </c>
      <c r="BH397">
        <f ca="1"/>
      </c>
      <c r="BI397">
        <f ca="1"/>
      </c>
      <c r="BJ397">
        <f ca="1"/>
      </c>
      <c r="BK397">
        <f ca="1"/>
      </c>
      <c r="BL397">
        <f ca="1"/>
      </c>
      <c r="BM397">
        <f ca="1"/>
      </c>
      <c r="BN397">
        <f ca="1"/>
      </c>
      <c r="BO397">
        <f ca="1"/>
      </c>
      <c r="BP397">
        <f ca="1"/>
      </c>
      <c r="BQ397">
        <f ca="1"/>
      </c>
      <c r="BR397">
        <f ca="1"/>
      </c>
      <c r="BS397">
        <f ca="1"/>
      </c>
      <c r="BT397">
        <f ca="1"/>
      </c>
      <c r="BU397">
        <f ca="1"/>
      </c>
      <c r="BV397">
        <f ca="1"/>
      </c>
      <c r="BW397">
        <f ca="1"/>
      </c>
      <c r="BX397">
        <f ca="1"/>
      </c>
      <c r="BY397">
        <f ca="1"/>
      </c>
      <c r="BZ397">
        <f ca="1"/>
      </c>
      <c r="CA397">
        <f ca="1"/>
      </c>
      <c r="CB397">
        <f ca="1"/>
      </c>
      <c r="CC397">
        <f ca="1"/>
      </c>
      <c r="CD397">
        <f ca="1"/>
      </c>
      <c r="CE397">
        <f ca="1"/>
      </c>
      <c r="CF397">
        <f ca="1"/>
      </c>
      <c r="CG397">
        <f ca="1"/>
      </c>
      <c r="CH397">
        <f ca="1"/>
      </c>
      <c r="CI397">
        <f ca="1"/>
      </c>
      <c r="CK397">
        <f ca="1"/>
      </c>
      <c r="CL397">
        <f ca="1"/>
      </c>
      <c r="CM397">
        <f ca="1"/>
      </c>
      <c r="CN397">
        <f ca="1"/>
      </c>
      <c r="CO397">
        <f ca="1"/>
      </c>
      <c r="CP397">
        <f ca="1"/>
      </c>
      <c r="CQ397">
        <f ca="1"/>
      </c>
      <c r="CR397">
        <f ca="1"/>
      </c>
      <c r="CS397">
        <f ca="1"/>
      </c>
      <c r="CT397">
        <f ca="1"/>
      </c>
      <c r="CU397">
        <f ca="1"/>
      </c>
      <c r="CV397">
        <f ca="1"/>
      </c>
      <c r="CW397">
        <f ca="1"/>
      </c>
      <c r="CX397">
        <f ca="1"/>
      </c>
      <c r="CY397">
        <f ca="1"/>
      </c>
      <c r="CZ397">
        <f ca="1"/>
      </c>
      <c r="DA397">
        <f ca="1"/>
      </c>
      <c r="DB397">
        <f ca="1"/>
      </c>
      <c r="DC397">
        <f ca="1"/>
      </c>
      <c r="DD397">
        <f ca="1"/>
      </c>
      <c r="DE397">
        <f ca="1"/>
      </c>
      <c r="DF397">
        <f ca="1"/>
      </c>
      <c r="DG397">
        <f ca="1"/>
      </c>
      <c r="DH397">
        <f ca="1"/>
      </c>
      <c r="DI397">
        <f ca="1"/>
      </c>
      <c r="DJ397">
        <f ca="1"/>
      </c>
      <c r="DK397">
        <f ca="1"/>
      </c>
      <c r="DL397">
        <f ca="1"/>
      </c>
      <c r="DM397">
        <f ca="1"/>
      </c>
      <c r="DN397">
        <f ca="1"/>
      </c>
      <c r="DO397">
        <f ca="1"/>
      </c>
      <c r="DP397">
        <f ca="1"/>
      </c>
      <c r="DQ397">
        <f ca="1"/>
      </c>
      <c r="DR397">
        <f ca="1"/>
      </c>
      <c r="DS397">
        <f ca="1"/>
      </c>
      <c r="DT397">
        <f ca="1"/>
      </c>
      <c r="DU397">
        <f ca="1"/>
      </c>
      <c r="DV397">
        <f ca="1"/>
      </c>
      <c r="DW397">
        <f ca="1"/>
      </c>
      <c r="DX397">
        <f ca="1"/>
      </c>
      <c r="DY397">
        <f ca="1"/>
      </c>
      <c r="DZ397">
        <f ca="1"/>
      </c>
      <c r="EA397">
        <f ca="1"/>
      </c>
      <c r="EB397">
        <f ca="1"/>
      </c>
      <c r="EC397">
        <f ca="1"/>
      </c>
      <c r="ED397">
        <f ca="1"/>
      </c>
      <c r="EE397">
        <f ca="1"/>
      </c>
      <c r="EG397">
        <f ca="1"/>
      </c>
      <c r="EH397">
        <f ca="1"/>
      </c>
      <c r="EI397">
        <f ca="1"/>
      </c>
      <c r="EJ397">
        <f ca="1"/>
      </c>
      <c r="EK397">
        <f ca="1"/>
      </c>
      <c r="EL397">
        <f ca="1"/>
      </c>
      <c r="EM397">
        <f ca="1"/>
      </c>
      <c r="EN397">
        <f ca="1"/>
      </c>
      <c r="EO397">
        <f ca="1"/>
      </c>
      <c r="EP397">
        <f ca="1"/>
      </c>
      <c r="EQ397">
        <f ca="1"/>
      </c>
      <c r="ER397">
        <f ca="1"/>
      </c>
      <c r="ES397">
        <f ca="1"/>
      </c>
      <c r="ET397">
        <f ca="1"/>
      </c>
      <c r="EU397">
        <f ca="1"/>
      </c>
      <c r="EV397">
        <f ca="1"/>
      </c>
      <c r="EW397">
        <f ca="1"/>
      </c>
      <c r="EX397">
        <f ca="1"/>
      </c>
      <c r="EY397">
        <f ca="1"/>
      </c>
      <c r="EZ397">
        <f ca="1"/>
      </c>
      <c r="FA397">
        <f ca="1"/>
      </c>
      <c r="FB397">
        <f ca="1"/>
      </c>
      <c r="FC397">
        <f ca="1"/>
      </c>
      <c r="FD397">
        <f ca="1"/>
      </c>
      <c r="FE397">
        <f ca="1"/>
      </c>
      <c r="FF397">
        <f ca="1"/>
      </c>
      <c r="FG397">
        <f ca="1"/>
      </c>
      <c r="FH397">
        <f ca="1"/>
      </c>
      <c r="FI397">
        <f ca="1"/>
      </c>
      <c r="FJ397">
        <f ca="1"/>
      </c>
      <c r="FK397">
        <f ca="1"/>
      </c>
      <c r="FL397">
        <f ca="1"/>
      </c>
      <c r="FM397">
        <f ca="1"/>
      </c>
      <c r="FN397">
        <f ca="1"/>
      </c>
      <c r="FO397">
        <f ca="1"/>
      </c>
      <c r="FP397">
        <f ca="1"/>
      </c>
      <c r="FQ397">
        <f ca="1"/>
      </c>
      <c r="FR397">
        <f ca="1"/>
      </c>
      <c r="FS397">
        <f ca="1"/>
      </c>
      <c r="FT397">
        <f ca="1"/>
      </c>
      <c r="FU397">
        <f ca="1"/>
      </c>
      <c r="FV397">
        <f ca="1"/>
      </c>
      <c r="FW397">
        <f ca="1"/>
      </c>
      <c r="FX397">
        <f ca="1"/>
      </c>
      <c r="FY397">
        <f ca="1"/>
      </c>
      <c r="FZ397">
        <f ca="1"/>
      </c>
      <c r="GA397">
        <f ca="1"/>
      </c>
      <c r="GM397" s="7"/>
    </row>
    <row r="398" spans="41:195" x14ac:dyDescent="0.55000000000000004">
      <c r="AO398">
        <f ca="1"/>
      </c>
      <c r="AP398">
        <f ca="1"/>
      </c>
      <c r="AQ398">
        <f ca="1"/>
      </c>
      <c r="AR398">
        <f ca="1"/>
      </c>
      <c r="AS398">
        <f ca="1"/>
      </c>
      <c r="AT398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AZ398">
        <f ca="1"/>
      </c>
      <c r="BA398">
        <f ca="1"/>
      </c>
      <c r="BB398">
        <f ca="1"/>
      </c>
      <c r="BC398">
        <f ca="1"/>
      </c>
      <c r="BD398">
        <f ca="1"/>
      </c>
      <c r="BE398">
        <f ca="1"/>
      </c>
      <c r="BF398">
        <f ca="1"/>
      </c>
      <c r="BG398">
        <f ca="1"/>
      </c>
      <c r="BH398">
        <f ca="1"/>
      </c>
      <c r="BI398">
        <f ca="1"/>
      </c>
      <c r="BJ398">
        <f ca="1"/>
      </c>
      <c r="BK398">
        <f ca="1"/>
      </c>
      <c r="BL398">
        <f ca="1"/>
      </c>
      <c r="BM398">
        <f ca="1"/>
      </c>
      <c r="BN398">
        <f ca="1"/>
      </c>
      <c r="BO398">
        <f ca="1"/>
      </c>
      <c r="BP398">
        <f ca="1"/>
      </c>
      <c r="BQ398">
        <f ca="1"/>
      </c>
      <c r="BR398">
        <f ca="1"/>
      </c>
      <c r="BS398">
        <f ca="1"/>
      </c>
      <c r="BT398">
        <f ca="1"/>
      </c>
      <c r="BU398">
        <f ca="1"/>
      </c>
      <c r="BV398">
        <f ca="1"/>
      </c>
      <c r="BW398">
        <f ca="1"/>
      </c>
      <c r="BX398">
        <f ca="1"/>
      </c>
      <c r="BY398">
        <f ca="1"/>
      </c>
      <c r="BZ398">
        <f ca="1"/>
      </c>
      <c r="CA398">
        <f ca="1"/>
      </c>
      <c r="CB398">
        <f ca="1"/>
      </c>
      <c r="CC398">
        <f ca="1"/>
      </c>
      <c r="CD398">
        <f ca="1"/>
      </c>
      <c r="CE398">
        <f ca="1"/>
      </c>
      <c r="CF398">
        <f ca="1"/>
      </c>
      <c r="CG398">
        <f ca="1"/>
      </c>
      <c r="CH398">
        <f ca="1"/>
      </c>
      <c r="CI398">
        <f ca="1"/>
      </c>
      <c r="CK398">
        <f ca="1"/>
      </c>
      <c r="CL398">
        <f ca="1"/>
      </c>
      <c r="CM398">
        <f ca="1"/>
      </c>
      <c r="CN398">
        <f ca="1"/>
      </c>
      <c r="CO398">
        <f ca="1"/>
      </c>
      <c r="CP398">
        <f ca="1"/>
      </c>
      <c r="CQ398">
        <f ca="1"/>
      </c>
      <c r="CR398">
        <f ca="1"/>
      </c>
      <c r="CS398">
        <f ca="1"/>
      </c>
      <c r="CT398">
        <f ca="1"/>
      </c>
      <c r="CU398">
        <f ca="1"/>
      </c>
      <c r="CV398">
        <f ca="1"/>
      </c>
      <c r="CW398">
        <f ca="1"/>
      </c>
      <c r="CX398">
        <f ca="1"/>
      </c>
      <c r="CY398">
        <f ca="1"/>
      </c>
      <c r="CZ398">
        <f ca="1"/>
      </c>
      <c r="DA398">
        <f ca="1"/>
      </c>
      <c r="DB398">
        <f ca="1"/>
      </c>
      <c r="DC398">
        <f ca="1"/>
      </c>
      <c r="DD398">
        <f ca="1"/>
      </c>
      <c r="DE398">
        <f ca="1"/>
      </c>
      <c r="DF398">
        <f ca="1"/>
      </c>
      <c r="DG398">
        <f ca="1"/>
      </c>
      <c r="DH398">
        <f ca="1"/>
      </c>
      <c r="DI398">
        <f ca="1"/>
      </c>
      <c r="DJ398">
        <f ca="1"/>
      </c>
      <c r="DK398">
        <f ca="1"/>
      </c>
      <c r="DL398">
        <f ca="1"/>
      </c>
      <c r="DM398">
        <f ca="1"/>
      </c>
      <c r="DN398">
        <f ca="1"/>
      </c>
      <c r="DO398">
        <f ca="1"/>
      </c>
      <c r="DP398">
        <f ca="1"/>
      </c>
      <c r="DQ398">
        <f ca="1"/>
      </c>
      <c r="DR398">
        <f ca="1"/>
      </c>
      <c r="DS398">
        <f ca="1"/>
      </c>
      <c r="DT398">
        <f ca="1"/>
      </c>
      <c r="DU398">
        <f ca="1"/>
      </c>
      <c r="DV398">
        <f ca="1"/>
      </c>
      <c r="DW398">
        <f ca="1"/>
      </c>
      <c r="DX398">
        <f ca="1"/>
      </c>
      <c r="DY398">
        <f ca="1"/>
      </c>
      <c r="DZ398">
        <f ca="1"/>
      </c>
      <c r="EA398">
        <f ca="1"/>
      </c>
      <c r="EB398">
        <f ca="1"/>
      </c>
      <c r="EC398">
        <f ca="1"/>
      </c>
      <c r="ED398">
        <f ca="1"/>
      </c>
      <c r="EE398">
        <f ca="1"/>
      </c>
      <c r="EG398">
        <f ca="1"/>
      </c>
      <c r="EH398">
        <f ca="1"/>
      </c>
      <c r="EI398">
        <f ca="1"/>
      </c>
      <c r="EJ398">
        <f ca="1"/>
      </c>
      <c r="EK398">
        <f ca="1"/>
      </c>
      <c r="EL398">
        <f ca="1"/>
      </c>
      <c r="EM398">
        <f ca="1"/>
      </c>
      <c r="EN398">
        <f ca="1"/>
      </c>
      <c r="EO398">
        <f ca="1"/>
      </c>
      <c r="EP398">
        <f ca="1"/>
      </c>
      <c r="EQ398">
        <f ca="1"/>
      </c>
      <c r="ER398">
        <f ca="1"/>
      </c>
      <c r="ES398">
        <f ca="1"/>
      </c>
      <c r="ET398">
        <f ca="1"/>
      </c>
      <c r="EU398">
        <f ca="1"/>
      </c>
      <c r="EV398">
        <f ca="1"/>
      </c>
      <c r="EW398">
        <f ca="1"/>
      </c>
      <c r="EX398">
        <f ca="1"/>
      </c>
      <c r="EY398">
        <f ca="1"/>
      </c>
      <c r="EZ398">
        <f ca="1"/>
      </c>
      <c r="FA398">
        <f ca="1"/>
      </c>
      <c r="FB398">
        <f ca="1"/>
      </c>
      <c r="FC398">
        <f ca="1"/>
      </c>
      <c r="FD398">
        <f ca="1"/>
      </c>
      <c r="FE398">
        <f ca="1"/>
      </c>
      <c r="FF398">
        <f ca="1"/>
      </c>
      <c r="FG398">
        <f ca="1"/>
      </c>
      <c r="FH398">
        <f ca="1"/>
      </c>
      <c r="FI398">
        <f ca="1"/>
      </c>
      <c r="FJ398">
        <f ca="1"/>
      </c>
      <c r="FK398">
        <f ca="1"/>
      </c>
      <c r="FL398">
        <f ca="1"/>
      </c>
      <c r="FM398">
        <f ca="1"/>
      </c>
      <c r="FN398">
        <f ca="1"/>
      </c>
      <c r="FO398">
        <f ca="1"/>
      </c>
      <c r="FP398">
        <f ca="1"/>
      </c>
      <c r="FQ398">
        <f ca="1"/>
      </c>
      <c r="FR398">
        <f ca="1"/>
      </c>
      <c r="FS398">
        <f ca="1"/>
      </c>
      <c r="FT398">
        <f ca="1"/>
      </c>
      <c r="FU398">
        <f ca="1"/>
      </c>
      <c r="FV398">
        <f ca="1"/>
      </c>
      <c r="FW398">
        <f ca="1"/>
      </c>
      <c r="FX398">
        <f ca="1"/>
      </c>
      <c r="FY398">
        <f ca="1"/>
      </c>
      <c r="FZ398">
        <f ca="1"/>
      </c>
      <c r="GA398">
        <f ca="1"/>
      </c>
      <c r="GM398" s="7"/>
    </row>
    <row r="399" spans="41:195" x14ac:dyDescent="0.55000000000000004">
      <c r="AO399">
        <f ca="1"/>
      </c>
      <c r="AP399">
        <f ca="1"/>
      </c>
      <c r="AQ399">
        <f ca="1"/>
      </c>
      <c r="AR399">
        <f ca="1"/>
      </c>
      <c r="AS399">
        <f ca="1"/>
      </c>
      <c r="AT399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AZ399">
        <f ca="1"/>
      </c>
      <c r="BA399">
        <f ca="1"/>
      </c>
      <c r="BB399">
        <f ca="1"/>
      </c>
      <c r="BC399">
        <f ca="1"/>
      </c>
      <c r="BD399">
        <f ca="1"/>
      </c>
      <c r="BE399">
        <f ca="1"/>
      </c>
      <c r="BF399">
        <f ca="1"/>
      </c>
      <c r="BG399">
        <f ca="1"/>
      </c>
      <c r="BH399">
        <f ca="1"/>
      </c>
      <c r="BI399">
        <f ca="1"/>
      </c>
      <c r="BJ399">
        <f ca="1"/>
      </c>
      <c r="BK399">
        <f ca="1"/>
      </c>
      <c r="BL399">
        <f ca="1"/>
      </c>
      <c r="BM399">
        <f ca="1"/>
      </c>
      <c r="BN399">
        <f ca="1"/>
      </c>
      <c r="BO399">
        <f ca="1"/>
      </c>
      <c r="BP399">
        <f ca="1"/>
      </c>
      <c r="BQ399">
        <f ca="1"/>
      </c>
      <c r="BR399">
        <f ca="1"/>
      </c>
      <c r="BS399">
        <f ca="1"/>
      </c>
      <c r="BT399">
        <f ca="1"/>
      </c>
      <c r="BU399">
        <f ca="1"/>
      </c>
      <c r="BV399">
        <f ca="1"/>
      </c>
      <c r="BW399">
        <f ca="1"/>
      </c>
      <c r="BX399">
        <f ca="1"/>
      </c>
      <c r="BY399">
        <f ca="1"/>
      </c>
      <c r="BZ399">
        <f ca="1"/>
      </c>
      <c r="CA399">
        <f ca="1"/>
      </c>
      <c r="CB399">
        <f ca="1"/>
      </c>
      <c r="CC399">
        <f ca="1"/>
      </c>
      <c r="CD399">
        <f ca="1"/>
      </c>
      <c r="CE399">
        <f ca="1"/>
      </c>
      <c r="CF399">
        <f ca="1"/>
      </c>
      <c r="CG399">
        <f ca="1"/>
      </c>
      <c r="CH399">
        <f ca="1"/>
      </c>
      <c r="CI399">
        <f ca="1"/>
      </c>
      <c r="CK399">
        <f ca="1"/>
      </c>
      <c r="CL399">
        <f ca="1"/>
      </c>
      <c r="CM399">
        <f ca="1"/>
      </c>
      <c r="CN399">
        <f ca="1"/>
      </c>
      <c r="CO399">
        <f ca="1"/>
      </c>
      <c r="CP399">
        <f ca="1"/>
      </c>
      <c r="CQ399">
        <f ca="1"/>
      </c>
      <c r="CR399">
        <f ca="1"/>
      </c>
      <c r="CS399">
        <f ca="1"/>
      </c>
      <c r="CT399">
        <f ca="1"/>
      </c>
      <c r="CU399">
        <f ca="1"/>
      </c>
      <c r="CV399">
        <f ca="1"/>
      </c>
      <c r="CW399">
        <f ca="1"/>
      </c>
      <c r="CX399">
        <f ca="1"/>
      </c>
      <c r="CY399">
        <f ca="1"/>
      </c>
      <c r="CZ399">
        <f ca="1"/>
      </c>
      <c r="DA399">
        <f ca="1"/>
      </c>
      <c r="DB399">
        <f ca="1"/>
      </c>
      <c r="DC399">
        <f ca="1"/>
      </c>
      <c r="DD399">
        <f ca="1"/>
      </c>
      <c r="DE399">
        <f ca="1"/>
      </c>
      <c r="DF399">
        <f ca="1"/>
      </c>
      <c r="DG399">
        <f ca="1"/>
      </c>
      <c r="DH399">
        <f ca="1"/>
      </c>
      <c r="DI399">
        <f ca="1"/>
      </c>
      <c r="DJ399">
        <f ca="1"/>
      </c>
      <c r="DK399">
        <f ca="1"/>
      </c>
      <c r="DL399">
        <f ca="1"/>
      </c>
      <c r="DM399">
        <f ca="1"/>
      </c>
      <c r="DN399">
        <f ca="1"/>
      </c>
      <c r="DO399">
        <f ca="1"/>
      </c>
      <c r="DP399">
        <f ca="1"/>
      </c>
      <c r="DQ399">
        <f ca="1"/>
      </c>
      <c r="DR399">
        <f ca="1"/>
      </c>
      <c r="DS399">
        <f ca="1"/>
      </c>
      <c r="DT399">
        <f ca="1"/>
      </c>
      <c r="DU399">
        <f ca="1"/>
      </c>
      <c r="DV399">
        <f ca="1"/>
      </c>
      <c r="DW399">
        <f ca="1"/>
      </c>
      <c r="DX399">
        <f ca="1"/>
      </c>
      <c r="DY399">
        <f ca="1"/>
      </c>
      <c r="DZ399">
        <f ca="1"/>
      </c>
      <c r="EA399">
        <f ca="1"/>
      </c>
      <c r="EB399">
        <f ca="1"/>
      </c>
      <c r="EC399">
        <f ca="1"/>
      </c>
      <c r="ED399">
        <f ca="1"/>
      </c>
      <c r="EE399">
        <f ca="1"/>
      </c>
      <c r="EG399">
        <f ca="1"/>
      </c>
      <c r="EH399">
        <f ca="1"/>
      </c>
      <c r="EI399">
        <f ca="1"/>
      </c>
      <c r="EJ399">
        <f ca="1"/>
      </c>
      <c r="EK399">
        <f ca="1"/>
      </c>
      <c r="EL399">
        <f ca="1"/>
      </c>
      <c r="EM399">
        <f ca="1"/>
      </c>
      <c r="EN399">
        <f ca="1"/>
      </c>
      <c r="EO399">
        <f ca="1"/>
      </c>
      <c r="EP399">
        <f ca="1"/>
      </c>
      <c r="EQ399">
        <f ca="1"/>
      </c>
      <c r="ER399">
        <f ca="1"/>
      </c>
      <c r="ES399">
        <f ca="1"/>
      </c>
      <c r="ET399">
        <f ca="1"/>
      </c>
      <c r="EU399">
        <f ca="1"/>
      </c>
      <c r="EV399">
        <f ca="1"/>
      </c>
      <c r="EW399">
        <f ca="1"/>
      </c>
      <c r="EX399">
        <f ca="1"/>
      </c>
      <c r="EY399">
        <f ca="1"/>
      </c>
      <c r="EZ399">
        <f ca="1"/>
      </c>
      <c r="FA399">
        <f ca="1"/>
      </c>
      <c r="FB399">
        <f ca="1"/>
      </c>
      <c r="FC399">
        <f ca="1"/>
      </c>
      <c r="FD399">
        <f ca="1"/>
      </c>
      <c r="FE399">
        <f ca="1"/>
      </c>
      <c r="FF399">
        <f ca="1"/>
      </c>
      <c r="FG399">
        <f ca="1"/>
      </c>
      <c r="FH399">
        <f ca="1"/>
      </c>
      <c r="FI399">
        <f ca="1"/>
      </c>
      <c r="FJ399">
        <f ca="1"/>
      </c>
      <c r="FK399">
        <f ca="1"/>
      </c>
      <c r="FL399">
        <f ca="1"/>
      </c>
      <c r="FM399">
        <f ca="1"/>
      </c>
      <c r="FN399">
        <f ca="1"/>
      </c>
      <c r="FO399">
        <f ca="1"/>
      </c>
      <c r="FP399">
        <f ca="1"/>
      </c>
      <c r="FQ399">
        <f ca="1"/>
      </c>
      <c r="FR399">
        <f ca="1"/>
      </c>
      <c r="FS399">
        <f ca="1"/>
      </c>
      <c r="FT399">
        <f ca="1"/>
      </c>
      <c r="FU399">
        <f ca="1"/>
      </c>
      <c r="FV399">
        <f ca="1"/>
      </c>
      <c r="FW399">
        <f ca="1"/>
      </c>
      <c r="FX399">
        <f ca="1"/>
      </c>
      <c r="FY399">
        <f ca="1"/>
      </c>
      <c r="FZ399">
        <f ca="1"/>
      </c>
      <c r="GA399">
        <f ca="1"/>
      </c>
      <c r="GM399" s="7"/>
    </row>
    <row r="400" spans="41:195" x14ac:dyDescent="0.55000000000000004">
      <c r="AO400">
        <f ca="1"/>
      </c>
      <c r="AP400">
        <f ca="1"/>
      </c>
      <c r="AQ400">
        <f ca="1"/>
      </c>
      <c r="AR400">
        <f ca="1"/>
      </c>
      <c r="AS400">
        <f ca="1"/>
      </c>
      <c r="AT400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AZ400">
        <f ca="1"/>
      </c>
      <c r="BA400">
        <f ca="1"/>
      </c>
      <c r="BB400">
        <f ca="1"/>
      </c>
      <c r="BC400">
        <f ca="1"/>
      </c>
      <c r="BD400">
        <f ca="1"/>
      </c>
      <c r="BE400">
        <f ca="1"/>
      </c>
      <c r="BF400">
        <f ca="1"/>
      </c>
      <c r="BG400">
        <f ca="1"/>
      </c>
      <c r="BH400">
        <f ca="1"/>
      </c>
      <c r="BI400">
        <f ca="1"/>
      </c>
      <c r="BJ400">
        <f ca="1"/>
      </c>
      <c r="BK400">
        <f ca="1"/>
      </c>
      <c r="BL400">
        <f ca="1"/>
      </c>
      <c r="BM400">
        <f ca="1"/>
      </c>
      <c r="BN400">
        <f ca="1"/>
      </c>
      <c r="BO400">
        <f ca="1"/>
      </c>
      <c r="BP400">
        <f ca="1"/>
      </c>
      <c r="BQ400">
        <f ca="1"/>
      </c>
      <c r="BR400">
        <f ca="1"/>
      </c>
      <c r="BS400">
        <f ca="1"/>
      </c>
      <c r="BT400">
        <f ca="1"/>
      </c>
      <c r="BU400">
        <f ca="1"/>
      </c>
      <c r="BV400">
        <f ca="1"/>
      </c>
      <c r="BW400">
        <f ca="1"/>
      </c>
      <c r="BX400">
        <f ca="1"/>
      </c>
      <c r="BY400">
        <f ca="1"/>
      </c>
      <c r="BZ400">
        <f ca="1"/>
      </c>
      <c r="CA400">
        <f ca="1"/>
      </c>
      <c r="CB400">
        <f ca="1"/>
      </c>
      <c r="CC400">
        <f ca="1"/>
      </c>
      <c r="CD400">
        <f ca="1"/>
      </c>
      <c r="CE400">
        <f ca="1"/>
      </c>
      <c r="CF400">
        <f ca="1"/>
      </c>
      <c r="CG400">
        <f ca="1"/>
      </c>
      <c r="CH400">
        <f ca="1"/>
      </c>
      <c r="CI400">
        <f ca="1"/>
      </c>
      <c r="CK400">
        <f ca="1"/>
      </c>
      <c r="CL400">
        <f ca="1"/>
      </c>
      <c r="CM400">
        <f ca="1"/>
      </c>
      <c r="CN400">
        <f ca="1"/>
      </c>
      <c r="CO400">
        <f ca="1"/>
      </c>
      <c r="CP400">
        <f ca="1"/>
      </c>
      <c r="CQ400">
        <f ca="1"/>
      </c>
      <c r="CR400">
        <f ca="1"/>
      </c>
      <c r="CS400">
        <f ca="1"/>
      </c>
      <c r="CT400">
        <f ca="1"/>
      </c>
      <c r="CU400">
        <f ca="1"/>
      </c>
      <c r="CV400">
        <f ca="1"/>
      </c>
      <c r="CW400">
        <f ca="1"/>
      </c>
      <c r="CX400">
        <f ca="1"/>
      </c>
      <c r="CY400">
        <f ca="1"/>
      </c>
      <c r="CZ400">
        <f ca="1"/>
      </c>
      <c r="DA400">
        <f ca="1"/>
      </c>
      <c r="DB400">
        <f ca="1"/>
      </c>
      <c r="DC400">
        <f ca="1"/>
      </c>
      <c r="DD400">
        <f ca="1"/>
      </c>
      <c r="DE400">
        <f ca="1"/>
      </c>
      <c r="DF400">
        <f ca="1"/>
      </c>
      <c r="DG400">
        <f ca="1"/>
      </c>
      <c r="DH400">
        <f ca="1"/>
      </c>
      <c r="DI400">
        <f ca="1"/>
      </c>
      <c r="DJ400">
        <f ca="1"/>
      </c>
      <c r="DK400">
        <f ca="1"/>
      </c>
      <c r="DL400">
        <f ca="1"/>
      </c>
      <c r="DM400">
        <f ca="1"/>
      </c>
      <c r="DN400">
        <f ca="1"/>
      </c>
      <c r="DO400">
        <f ca="1"/>
      </c>
      <c r="DP400">
        <f ca="1"/>
      </c>
      <c r="DQ400">
        <f ca="1"/>
      </c>
      <c r="DR400">
        <f ca="1"/>
      </c>
      <c r="DS400">
        <f ca="1"/>
      </c>
      <c r="DT400">
        <f ca="1"/>
      </c>
      <c r="DU400">
        <f ca="1"/>
      </c>
      <c r="DV400">
        <f ca="1"/>
      </c>
      <c r="DW400">
        <f ca="1"/>
      </c>
      <c r="DX400">
        <f ca="1"/>
      </c>
      <c r="DY400">
        <f ca="1"/>
      </c>
      <c r="DZ400">
        <f ca="1"/>
      </c>
      <c r="EA400">
        <f ca="1"/>
      </c>
      <c r="EB400">
        <f ca="1"/>
      </c>
      <c r="EC400">
        <f ca="1"/>
      </c>
      <c r="ED400">
        <f ca="1"/>
      </c>
      <c r="EE400">
        <f ca="1"/>
      </c>
      <c r="EG400">
        <f ca="1"/>
      </c>
      <c r="EH400">
        <f ca="1"/>
      </c>
      <c r="EI400">
        <f ca="1"/>
      </c>
      <c r="EJ400">
        <f ca="1"/>
      </c>
      <c r="EK400">
        <f ca="1"/>
      </c>
      <c r="EL400">
        <f ca="1"/>
      </c>
      <c r="EM400">
        <f ca="1"/>
      </c>
      <c r="EN400">
        <f ca="1"/>
      </c>
      <c r="EO400">
        <f ca="1"/>
      </c>
      <c r="EP400">
        <f ca="1"/>
      </c>
      <c r="EQ400">
        <f ca="1"/>
      </c>
      <c r="ER400">
        <f ca="1"/>
      </c>
      <c r="ES400">
        <f ca="1"/>
      </c>
      <c r="ET400">
        <f ca="1"/>
      </c>
      <c r="EU400">
        <f ca="1"/>
      </c>
      <c r="EV400">
        <f ca="1"/>
      </c>
      <c r="EW400">
        <f ca="1"/>
      </c>
      <c r="EX400">
        <f ca="1"/>
      </c>
      <c r="EY400">
        <f ca="1"/>
      </c>
      <c r="EZ400">
        <f ca="1"/>
      </c>
      <c r="FA400">
        <f ca="1"/>
      </c>
      <c r="FB400">
        <f ca="1"/>
      </c>
      <c r="FC400">
        <f ca="1"/>
      </c>
      <c r="FD400">
        <f ca="1"/>
      </c>
      <c r="FE400">
        <f ca="1"/>
      </c>
      <c r="FF400">
        <f ca="1"/>
      </c>
      <c r="FG400">
        <f ca="1"/>
      </c>
      <c r="FH400">
        <f ca="1"/>
      </c>
      <c r="FI400">
        <f ca="1"/>
      </c>
      <c r="FJ400">
        <f ca="1"/>
      </c>
      <c r="FK400">
        <f ca="1"/>
      </c>
      <c r="FL400">
        <f ca="1"/>
      </c>
      <c r="FM400">
        <f ca="1"/>
      </c>
      <c r="FN400">
        <f ca="1"/>
      </c>
      <c r="FO400">
        <f ca="1"/>
      </c>
      <c r="FP400">
        <f ca="1"/>
      </c>
      <c r="FQ400">
        <f ca="1"/>
      </c>
      <c r="FR400">
        <f ca="1"/>
      </c>
      <c r="FS400">
        <f ca="1"/>
      </c>
      <c r="FT400">
        <f ca="1"/>
      </c>
      <c r="FU400">
        <f ca="1"/>
      </c>
      <c r="FV400">
        <f ca="1"/>
      </c>
      <c r="FW400">
        <f ca="1"/>
      </c>
      <c r="FX400">
        <f ca="1"/>
      </c>
      <c r="FY400">
        <f ca="1"/>
      </c>
      <c r="FZ400">
        <f ca="1"/>
      </c>
      <c r="GA400">
        <f ca="1"/>
      </c>
      <c r="GM400" s="7"/>
    </row>
    <row r="401" spans="41:195" x14ac:dyDescent="0.55000000000000004">
      <c r="AO401">
        <f ca="1"/>
      </c>
      <c r="AP401">
        <f ca="1"/>
      </c>
      <c r="AQ401">
        <f ca="1"/>
      </c>
      <c r="AR401">
        <f ca="1"/>
      </c>
      <c r="AS401">
        <f ca="1"/>
      </c>
      <c r="AT401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AZ401">
        <f ca="1"/>
      </c>
      <c r="BA401">
        <f ca="1"/>
      </c>
      <c r="BB401">
        <f ca="1"/>
      </c>
      <c r="BC401">
        <f ca="1"/>
      </c>
      <c r="BD401">
        <f ca="1"/>
      </c>
      <c r="BE401">
        <f ca="1"/>
      </c>
      <c r="BF401">
        <f ca="1"/>
      </c>
      <c r="BG401">
        <f ca="1"/>
      </c>
      <c r="BH401">
        <f ca="1"/>
      </c>
      <c r="BI401">
        <f ca="1"/>
      </c>
      <c r="BJ401">
        <f ca="1"/>
      </c>
      <c r="BK401">
        <f ca="1"/>
      </c>
      <c r="BL401">
        <f ca="1"/>
      </c>
      <c r="BM401">
        <f ca="1"/>
      </c>
      <c r="BN401">
        <f ca="1"/>
      </c>
      <c r="BO401">
        <f ca="1"/>
      </c>
      <c r="BP401">
        <f ca="1"/>
      </c>
      <c r="BQ401">
        <f ca="1"/>
      </c>
      <c r="BR401">
        <f ca="1"/>
      </c>
      <c r="BS401">
        <f ca="1"/>
      </c>
      <c r="BT401">
        <f ca="1"/>
      </c>
      <c r="BU401">
        <f ca="1"/>
      </c>
      <c r="BV401">
        <f ca="1"/>
      </c>
      <c r="BW401">
        <f ca="1"/>
      </c>
      <c r="BX401">
        <f ca="1"/>
      </c>
      <c r="BY401">
        <f ca="1"/>
      </c>
      <c r="BZ401">
        <f ca="1"/>
      </c>
      <c r="CA401">
        <f ca="1"/>
      </c>
      <c r="CB401">
        <f ca="1"/>
      </c>
      <c r="CC401">
        <f ca="1"/>
      </c>
      <c r="CD401">
        <f ca="1"/>
      </c>
      <c r="CE401">
        <f ca="1"/>
      </c>
      <c r="CF401">
        <f ca="1"/>
      </c>
      <c r="CG401">
        <f ca="1"/>
      </c>
      <c r="CH401">
        <f ca="1"/>
      </c>
      <c r="CI401">
        <f ca="1"/>
      </c>
      <c r="CK401">
        <f ca="1"/>
      </c>
      <c r="CL401">
        <f ca="1"/>
      </c>
      <c r="CM401">
        <f ca="1"/>
      </c>
      <c r="CN401">
        <f ca="1"/>
      </c>
      <c r="CO401">
        <f ca="1"/>
      </c>
      <c r="CP401">
        <f ca="1"/>
      </c>
      <c r="CQ401">
        <f ca="1"/>
      </c>
      <c r="CR401">
        <f ca="1"/>
      </c>
      <c r="CS401">
        <f ca="1"/>
      </c>
      <c r="CT401">
        <f ca="1"/>
      </c>
      <c r="CU401">
        <f ca="1"/>
      </c>
      <c r="CV401">
        <f ca="1"/>
      </c>
      <c r="CW401">
        <f ca="1"/>
      </c>
      <c r="CX401">
        <f ca="1"/>
      </c>
      <c r="CY401">
        <f ca="1"/>
      </c>
      <c r="CZ401">
        <f ca="1"/>
      </c>
      <c r="DA401">
        <f ca="1"/>
      </c>
      <c r="DB401">
        <f ca="1"/>
      </c>
      <c r="DC401">
        <f ca="1"/>
      </c>
      <c r="DD401">
        <f ca="1"/>
      </c>
      <c r="DE401">
        <f ca="1"/>
      </c>
      <c r="DF401">
        <f ca="1"/>
      </c>
      <c r="DG401">
        <f ca="1"/>
      </c>
      <c r="DH401">
        <f ca="1"/>
      </c>
      <c r="DI401">
        <f ca="1"/>
      </c>
      <c r="DJ401">
        <f ca="1"/>
      </c>
      <c r="DK401">
        <f ca="1"/>
      </c>
      <c r="DL401">
        <f ca="1"/>
      </c>
      <c r="DM401">
        <f ca="1"/>
      </c>
      <c r="DN401">
        <f ca="1"/>
      </c>
      <c r="DO401">
        <f ca="1"/>
      </c>
      <c r="DP401">
        <f ca="1"/>
      </c>
      <c r="DQ401">
        <f ca="1"/>
      </c>
      <c r="DR401">
        <f ca="1"/>
      </c>
      <c r="DS401">
        <f ca="1"/>
      </c>
      <c r="DT401">
        <f ca="1"/>
      </c>
      <c r="DU401">
        <f ca="1"/>
      </c>
      <c r="DV401">
        <f ca="1"/>
      </c>
      <c r="DW401">
        <f ca="1"/>
      </c>
      <c r="DX401">
        <f ca="1"/>
      </c>
      <c r="DY401">
        <f ca="1"/>
      </c>
      <c r="DZ401">
        <f ca="1"/>
      </c>
      <c r="EA401">
        <f ca="1"/>
      </c>
      <c r="EB401">
        <f ca="1"/>
      </c>
      <c r="EC401">
        <f ca="1"/>
      </c>
      <c r="ED401">
        <f ca="1"/>
      </c>
      <c r="EE401">
        <f ca="1"/>
      </c>
      <c r="EG401">
        <f ca="1"/>
      </c>
      <c r="EH401">
        <f ca="1"/>
      </c>
      <c r="EI401">
        <f ca="1"/>
      </c>
      <c r="EJ401">
        <f ca="1"/>
      </c>
      <c r="EK401">
        <f ca="1"/>
      </c>
      <c r="EL401">
        <f ca="1"/>
      </c>
      <c r="EM401">
        <f ca="1"/>
      </c>
      <c r="EN401">
        <f ca="1"/>
      </c>
      <c r="EO401">
        <f ca="1"/>
      </c>
      <c r="EP401">
        <f ca="1"/>
      </c>
      <c r="EQ401">
        <f ca="1"/>
      </c>
      <c r="ER401">
        <f ca="1"/>
      </c>
      <c r="ES401">
        <f ca="1"/>
      </c>
      <c r="ET401">
        <f ca="1"/>
      </c>
      <c r="EU401">
        <f ca="1"/>
      </c>
      <c r="EV401">
        <f ca="1"/>
      </c>
      <c r="EW401">
        <f ca="1"/>
      </c>
      <c r="EX401">
        <f ca="1"/>
      </c>
      <c r="EY401">
        <f ca="1"/>
      </c>
      <c r="EZ401">
        <f ca="1"/>
      </c>
      <c r="FA401">
        <f ca="1"/>
      </c>
      <c r="FB401">
        <f ca="1"/>
      </c>
      <c r="FC401">
        <f ca="1"/>
      </c>
      <c r="FD401">
        <f ca="1"/>
      </c>
      <c r="FE401">
        <f ca="1"/>
      </c>
      <c r="FF401">
        <f ca="1"/>
      </c>
      <c r="FG401">
        <f ca="1"/>
      </c>
      <c r="FH401">
        <f ca="1"/>
      </c>
      <c r="FI401">
        <f ca="1"/>
      </c>
      <c r="FJ401">
        <f ca="1"/>
      </c>
      <c r="FK401">
        <f ca="1"/>
      </c>
      <c r="FL401">
        <f ca="1"/>
      </c>
      <c r="FM401">
        <f ca="1"/>
      </c>
      <c r="FN401">
        <f ca="1"/>
      </c>
      <c r="FO401">
        <f ca="1"/>
      </c>
      <c r="FP401">
        <f ca="1"/>
      </c>
      <c r="FQ401">
        <f ca="1"/>
      </c>
      <c r="FR401">
        <f ca="1"/>
      </c>
      <c r="FS401">
        <f ca="1"/>
      </c>
      <c r="FT401">
        <f ca="1"/>
      </c>
      <c r="FU401">
        <f ca="1"/>
      </c>
      <c r="FV401">
        <f ca="1"/>
      </c>
      <c r="FW401">
        <f ca="1"/>
      </c>
      <c r="FX401">
        <f ca="1"/>
      </c>
      <c r="FY401">
        <f ca="1"/>
      </c>
      <c r="FZ401">
        <f ca="1"/>
      </c>
      <c r="GA401">
        <f ca="1"/>
      </c>
      <c r="GM401" s="7"/>
    </row>
    <row r="402" spans="41:195" x14ac:dyDescent="0.55000000000000004">
      <c r="AO402">
        <f ca="1"/>
      </c>
      <c r="AP402">
        <f ca="1"/>
      </c>
      <c r="AQ402">
        <f ca="1"/>
      </c>
      <c r="AR402">
        <f ca="1"/>
      </c>
      <c r="AS402">
        <f ca="1"/>
      </c>
      <c r="AT402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AZ402">
        <f ca="1"/>
      </c>
      <c r="BA402">
        <f ca="1"/>
      </c>
      <c r="BB402">
        <f ca="1"/>
      </c>
      <c r="BC402">
        <f ca="1"/>
      </c>
      <c r="BD402">
        <f ca="1"/>
      </c>
      <c r="BE402">
        <f ca="1"/>
      </c>
      <c r="BF402">
        <f ca="1"/>
      </c>
      <c r="BG402">
        <f ca="1"/>
      </c>
      <c r="BH402">
        <f ca="1"/>
      </c>
      <c r="BI402">
        <f ca="1"/>
      </c>
      <c r="BJ402">
        <f ca="1"/>
      </c>
      <c r="BK402">
        <f ca="1"/>
      </c>
      <c r="BL402">
        <f ca="1"/>
      </c>
      <c r="BM402">
        <f ca="1"/>
      </c>
      <c r="BN402">
        <f ca="1"/>
      </c>
      <c r="BO402">
        <f ca="1"/>
      </c>
      <c r="BP402">
        <f ca="1"/>
      </c>
      <c r="BQ402">
        <f ca="1"/>
      </c>
      <c r="BR402">
        <f ca="1"/>
      </c>
      <c r="BS402">
        <f ca="1"/>
      </c>
      <c r="BT402">
        <f ca="1"/>
      </c>
      <c r="BU402">
        <f ca="1"/>
      </c>
      <c r="BV402">
        <f ca="1"/>
      </c>
      <c r="BW402">
        <f ca="1"/>
      </c>
      <c r="BX402">
        <f ca="1"/>
      </c>
      <c r="BY402">
        <f ca="1"/>
      </c>
      <c r="BZ402">
        <f ca="1"/>
      </c>
      <c r="CA402">
        <f ca="1"/>
      </c>
      <c r="CB402">
        <f ca="1"/>
      </c>
      <c r="CC402">
        <f ca="1"/>
      </c>
      <c r="CD402">
        <f ca="1"/>
      </c>
      <c r="CE402">
        <f ca="1"/>
      </c>
      <c r="CF402">
        <f ca="1"/>
      </c>
      <c r="CG402">
        <f ca="1"/>
      </c>
      <c r="CH402">
        <f ca="1"/>
      </c>
      <c r="CI402">
        <f ca="1"/>
      </c>
      <c r="CK402">
        <f ca="1"/>
      </c>
      <c r="CL402">
        <f ca="1"/>
      </c>
      <c r="CM402">
        <f ca="1"/>
      </c>
      <c r="CN402">
        <f ca="1"/>
      </c>
      <c r="CO402">
        <f ca="1"/>
      </c>
      <c r="CP402">
        <f ca="1"/>
      </c>
      <c r="CQ402">
        <f ca="1"/>
      </c>
      <c r="CR402">
        <f ca="1"/>
      </c>
      <c r="CS402">
        <f ca="1"/>
      </c>
      <c r="CT402">
        <f ca="1"/>
      </c>
      <c r="CU402">
        <f ca="1"/>
      </c>
      <c r="CV402">
        <f ca="1"/>
      </c>
      <c r="CW402">
        <f ca="1"/>
      </c>
      <c r="CX402">
        <f ca="1"/>
      </c>
      <c r="CY402">
        <f ca="1"/>
      </c>
      <c r="CZ402">
        <f ca="1"/>
      </c>
      <c r="DA402">
        <f ca="1"/>
      </c>
      <c r="DB402">
        <f ca="1"/>
      </c>
      <c r="DC402">
        <f ca="1"/>
      </c>
      <c r="DD402">
        <f ca="1"/>
      </c>
      <c r="DE402">
        <f ca="1"/>
      </c>
      <c r="DF402">
        <f ca="1"/>
      </c>
      <c r="DG402">
        <f ca="1"/>
      </c>
      <c r="DH402">
        <f ca="1"/>
      </c>
      <c r="DI402">
        <f ca="1"/>
      </c>
      <c r="DJ402">
        <f ca="1"/>
      </c>
      <c r="DK402">
        <f ca="1"/>
      </c>
      <c r="DL402">
        <f ca="1"/>
      </c>
      <c r="DM402">
        <f ca="1"/>
      </c>
      <c r="DN402">
        <f ca="1"/>
      </c>
      <c r="DO402">
        <f ca="1"/>
      </c>
      <c r="DP402">
        <f ca="1"/>
      </c>
      <c r="DQ402">
        <f ca="1"/>
      </c>
      <c r="DR402">
        <f ca="1"/>
      </c>
      <c r="DS402">
        <f ca="1"/>
      </c>
      <c r="DT402">
        <f ca="1"/>
      </c>
      <c r="DU402">
        <f ca="1"/>
      </c>
      <c r="DV402">
        <f ca="1"/>
      </c>
      <c r="DW402">
        <f ca="1"/>
      </c>
      <c r="DX402">
        <f ca="1"/>
      </c>
      <c r="DY402">
        <f ca="1"/>
      </c>
      <c r="DZ402">
        <f ca="1"/>
      </c>
      <c r="EA402">
        <f ca="1"/>
      </c>
      <c r="EB402">
        <f ca="1"/>
      </c>
      <c r="EC402">
        <f ca="1"/>
      </c>
      <c r="ED402">
        <f ca="1"/>
      </c>
      <c r="EE402">
        <f ca="1"/>
      </c>
      <c r="EG402">
        <f ca="1"/>
      </c>
      <c r="EH402">
        <f ca="1"/>
      </c>
      <c r="EI402">
        <f ca="1"/>
      </c>
      <c r="EJ402">
        <f ca="1"/>
      </c>
      <c r="EK402">
        <f ca="1"/>
      </c>
      <c r="EL402">
        <f ca="1"/>
      </c>
      <c r="EM402">
        <f ca="1"/>
      </c>
      <c r="EN402">
        <f ca="1"/>
      </c>
      <c r="EO402">
        <f ca="1"/>
      </c>
      <c r="EP402">
        <f ca="1"/>
      </c>
      <c r="EQ402">
        <f ca="1"/>
      </c>
      <c r="ER402">
        <f ca="1"/>
      </c>
      <c r="ES402">
        <f ca="1"/>
      </c>
      <c r="ET402">
        <f ca="1"/>
      </c>
      <c r="EU402">
        <f ca="1"/>
      </c>
      <c r="EV402">
        <f ca="1"/>
      </c>
      <c r="EW402">
        <f ca="1"/>
      </c>
      <c r="EX402">
        <f ca="1"/>
      </c>
      <c r="EY402">
        <f ca="1"/>
      </c>
      <c r="EZ402">
        <f ca="1"/>
      </c>
      <c r="FA402">
        <f ca="1"/>
      </c>
      <c r="FB402">
        <f ca="1"/>
      </c>
      <c r="FC402">
        <f ca="1"/>
      </c>
      <c r="FD402">
        <f ca="1"/>
      </c>
      <c r="FE402">
        <f ca="1"/>
      </c>
      <c r="FF402">
        <f ca="1"/>
      </c>
      <c r="FG402">
        <f ca="1"/>
      </c>
      <c r="FH402">
        <f ca="1"/>
      </c>
      <c r="FI402">
        <f ca="1"/>
      </c>
      <c r="FJ402">
        <f ca="1"/>
      </c>
      <c r="FK402">
        <f ca="1"/>
      </c>
      <c r="FL402">
        <f ca="1"/>
      </c>
      <c r="FM402">
        <f ca="1"/>
      </c>
      <c r="FN402">
        <f ca="1"/>
      </c>
      <c r="FO402">
        <f ca="1"/>
      </c>
      <c r="FP402">
        <f ca="1"/>
      </c>
      <c r="FQ402">
        <f ca="1"/>
      </c>
      <c r="FR402">
        <f ca="1"/>
      </c>
      <c r="FS402">
        <f ca="1"/>
      </c>
      <c r="FT402">
        <f ca="1"/>
      </c>
      <c r="FU402">
        <f ca="1"/>
      </c>
      <c r="FV402">
        <f ca="1"/>
      </c>
      <c r="FW402">
        <f ca="1"/>
      </c>
      <c r="FX402">
        <f ca="1"/>
      </c>
      <c r="FY402">
        <f ca="1"/>
      </c>
      <c r="FZ402">
        <f ca="1"/>
      </c>
      <c r="GA402">
        <f ca="1"/>
      </c>
      <c r="GM402" s="7"/>
    </row>
    <row r="403" spans="41:195" x14ac:dyDescent="0.55000000000000004">
      <c r="AO403">
        <f ca="1"/>
      </c>
      <c r="AP403">
        <f ca="1"/>
      </c>
      <c r="AQ403">
        <f ca="1"/>
      </c>
      <c r="AR403">
        <f ca="1"/>
      </c>
      <c r="AS403">
        <f ca="1"/>
      </c>
      <c r="AT403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AZ403">
        <f ca="1"/>
      </c>
      <c r="BA403">
        <f ca="1"/>
      </c>
      <c r="BB403">
        <f ca="1"/>
      </c>
      <c r="BC403">
        <f ca="1"/>
      </c>
      <c r="BD403">
        <f ca="1"/>
      </c>
      <c r="BE403">
        <f ca="1"/>
      </c>
      <c r="BF403">
        <f ca="1"/>
      </c>
      <c r="BG403">
        <f ca="1"/>
      </c>
      <c r="BH403">
        <f ca="1"/>
      </c>
      <c r="BI403">
        <f ca="1"/>
      </c>
      <c r="BJ403">
        <f ca="1"/>
      </c>
      <c r="BK403">
        <f ca="1"/>
      </c>
      <c r="BL403">
        <f ca="1"/>
      </c>
      <c r="BM403">
        <f ca="1"/>
      </c>
      <c r="BN403">
        <f ca="1"/>
      </c>
      <c r="BO403">
        <f ca="1"/>
      </c>
      <c r="BP403">
        <f ca="1"/>
      </c>
      <c r="BQ403">
        <f ca="1"/>
      </c>
      <c r="BR403">
        <f ca="1"/>
      </c>
      <c r="BS403">
        <f ca="1"/>
      </c>
      <c r="BT403">
        <f ca="1"/>
      </c>
      <c r="BU403">
        <f ca="1"/>
      </c>
      <c r="BV403">
        <f ca="1"/>
      </c>
      <c r="BW403">
        <f ca="1"/>
      </c>
      <c r="BX403">
        <f ca="1"/>
      </c>
      <c r="BY403">
        <f ca="1"/>
      </c>
      <c r="BZ403">
        <f ca="1"/>
      </c>
      <c r="CA403">
        <f ca="1"/>
      </c>
      <c r="CB403">
        <f ca="1"/>
      </c>
      <c r="CC403">
        <f ca="1"/>
      </c>
      <c r="CD403">
        <f ca="1"/>
      </c>
      <c r="CE403">
        <f ca="1"/>
      </c>
      <c r="CF403">
        <f ca="1"/>
      </c>
      <c r="CG403">
        <f ca="1"/>
      </c>
      <c r="CH403">
        <f ca="1"/>
      </c>
      <c r="CI403">
        <f ca="1"/>
      </c>
      <c r="CK403">
        <f ca="1"/>
      </c>
      <c r="CL403">
        <f ca="1"/>
      </c>
      <c r="CM403">
        <f ca="1"/>
      </c>
      <c r="CN403">
        <f ca="1"/>
      </c>
      <c r="CO403">
        <f ca="1"/>
      </c>
      <c r="CP403">
        <f ca="1"/>
      </c>
      <c r="CQ403">
        <f ca="1"/>
      </c>
      <c r="CR403">
        <f ca="1"/>
      </c>
      <c r="CS403">
        <f ca="1"/>
      </c>
      <c r="CT403">
        <f ca="1"/>
      </c>
      <c r="CU403">
        <f ca="1"/>
      </c>
      <c r="CV403">
        <f ca="1"/>
      </c>
      <c r="CW403">
        <f ca="1"/>
      </c>
      <c r="CX403">
        <f ca="1"/>
      </c>
      <c r="CY403">
        <f ca="1"/>
      </c>
      <c r="CZ403">
        <f ca="1"/>
      </c>
      <c r="DA403">
        <f ca="1"/>
      </c>
      <c r="DB403">
        <f ca="1"/>
      </c>
      <c r="DC403">
        <f ca="1"/>
      </c>
      <c r="DD403">
        <f ca="1"/>
      </c>
      <c r="DE403">
        <f ca="1"/>
      </c>
      <c r="DF403">
        <f ca="1"/>
      </c>
      <c r="DG403">
        <f ca="1"/>
      </c>
      <c r="DH403">
        <f ca="1"/>
      </c>
      <c r="DI403">
        <f ca="1"/>
      </c>
      <c r="DJ403">
        <f ca="1"/>
      </c>
      <c r="DK403">
        <f ca="1"/>
      </c>
      <c r="DL403">
        <f ca="1"/>
      </c>
      <c r="DM403">
        <f ca="1"/>
      </c>
      <c r="DN403">
        <f ca="1"/>
      </c>
      <c r="DO403">
        <f ca="1"/>
      </c>
      <c r="DP403">
        <f ca="1"/>
      </c>
      <c r="DQ403">
        <f ca="1"/>
      </c>
      <c r="DR403">
        <f ca="1"/>
      </c>
      <c r="DS403">
        <f ca="1"/>
      </c>
      <c r="DT403">
        <f ca="1"/>
      </c>
      <c r="DU403">
        <f ca="1"/>
      </c>
      <c r="DV403">
        <f ca="1"/>
      </c>
      <c r="DW403">
        <f ca="1"/>
      </c>
      <c r="DX403">
        <f ca="1"/>
      </c>
      <c r="DY403">
        <f ca="1"/>
      </c>
      <c r="DZ403">
        <f ca="1"/>
      </c>
      <c r="EA403">
        <f ca="1"/>
      </c>
      <c r="EB403">
        <f ca="1"/>
      </c>
      <c r="EC403">
        <f ca="1"/>
      </c>
      <c r="ED403">
        <f ca="1"/>
      </c>
      <c r="EE403">
        <f ca="1"/>
      </c>
      <c r="EG403">
        <f ca="1"/>
      </c>
      <c r="EH403">
        <f ca="1"/>
      </c>
      <c r="EI403">
        <f ca="1"/>
      </c>
      <c r="EJ403">
        <f ca="1"/>
      </c>
      <c r="EK403">
        <f ca="1"/>
      </c>
      <c r="EL403">
        <f ca="1"/>
      </c>
      <c r="EM403">
        <f ca="1"/>
      </c>
      <c r="EN403">
        <f ca="1"/>
      </c>
      <c r="EO403">
        <f ca="1"/>
      </c>
      <c r="EP403">
        <f ca="1"/>
      </c>
      <c r="EQ403">
        <f ca="1"/>
      </c>
      <c r="ER403">
        <f ca="1"/>
      </c>
      <c r="ES403">
        <f ca="1"/>
      </c>
      <c r="ET403">
        <f ca="1"/>
      </c>
      <c r="EU403">
        <f ca="1"/>
      </c>
      <c r="EV403">
        <f ca="1"/>
      </c>
      <c r="EW403">
        <f ca="1"/>
      </c>
      <c r="EX403">
        <f ca="1"/>
      </c>
      <c r="EY403">
        <f ca="1"/>
      </c>
      <c r="EZ403">
        <f ca="1"/>
      </c>
      <c r="FA403">
        <f ca="1"/>
      </c>
      <c r="FB403">
        <f ca="1"/>
      </c>
      <c r="FC403">
        <f ca="1"/>
      </c>
      <c r="FD403">
        <f ca="1"/>
      </c>
      <c r="FE403">
        <f ca="1"/>
      </c>
      <c r="FF403">
        <f ca="1"/>
      </c>
      <c r="FG403">
        <f ca="1"/>
      </c>
      <c r="FH403">
        <f ca="1"/>
      </c>
      <c r="FI403">
        <f ca="1"/>
      </c>
      <c r="FJ403">
        <f ca="1"/>
      </c>
      <c r="FK403">
        <f ca="1"/>
      </c>
      <c r="FL403">
        <f ca="1"/>
      </c>
      <c r="FM403">
        <f ca="1"/>
      </c>
      <c r="FN403">
        <f ca="1"/>
      </c>
      <c r="FO403">
        <f ca="1"/>
      </c>
      <c r="FP403">
        <f ca="1"/>
      </c>
      <c r="FQ403">
        <f ca="1"/>
      </c>
      <c r="FR403">
        <f ca="1"/>
      </c>
      <c r="FS403">
        <f ca="1"/>
      </c>
      <c r="FT403">
        <f ca="1"/>
      </c>
      <c r="FU403">
        <f ca="1"/>
      </c>
      <c r="FV403">
        <f ca="1"/>
      </c>
      <c r="FW403">
        <f ca="1"/>
      </c>
      <c r="FX403">
        <f ca="1"/>
      </c>
      <c r="FY403">
        <f ca="1"/>
      </c>
      <c r="FZ403">
        <f ca="1"/>
      </c>
      <c r="GA403">
        <f ca="1"/>
      </c>
      <c r="GM403" s="7"/>
    </row>
    <row r="404" spans="41:195" x14ac:dyDescent="0.55000000000000004">
      <c r="AO404">
        <f ca="1"/>
      </c>
      <c r="AP404">
        <f ca="1"/>
      </c>
      <c r="AQ404">
        <f ca="1"/>
      </c>
      <c r="AR404">
        <f ca="1"/>
      </c>
      <c r="AS404">
        <f ca="1"/>
      </c>
      <c r="AT404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AZ404">
        <f ca="1"/>
      </c>
      <c r="BA404">
        <f ca="1"/>
      </c>
      <c r="BB404">
        <f ca="1"/>
      </c>
      <c r="BC404">
        <f ca="1"/>
      </c>
      <c r="BD404">
        <f ca="1"/>
      </c>
      <c r="BE404">
        <f ca="1"/>
      </c>
      <c r="BF404">
        <f ca="1"/>
      </c>
      <c r="BG404">
        <f ca="1"/>
      </c>
      <c r="BH404">
        <f ca="1"/>
      </c>
      <c r="BI404">
        <f ca="1"/>
      </c>
      <c r="BJ404">
        <f ca="1"/>
      </c>
      <c r="BK404">
        <f ca="1"/>
      </c>
      <c r="BL404">
        <f ca="1"/>
      </c>
      <c r="BM404">
        <f ca="1"/>
      </c>
      <c r="BN404">
        <f ca="1"/>
      </c>
      <c r="BO404">
        <f ca="1"/>
      </c>
      <c r="BP404">
        <f ca="1"/>
      </c>
      <c r="BQ404">
        <f ca="1"/>
      </c>
      <c r="BR404">
        <f ca="1"/>
      </c>
      <c r="BS404">
        <f ca="1"/>
      </c>
      <c r="BT404">
        <f ca="1"/>
      </c>
      <c r="BU404">
        <f ca="1"/>
      </c>
      <c r="BV404">
        <f ca="1"/>
      </c>
      <c r="BW404">
        <f ca="1"/>
      </c>
      <c r="BX404">
        <f ca="1"/>
      </c>
      <c r="BY404">
        <f ca="1"/>
      </c>
      <c r="BZ404">
        <f ca="1"/>
      </c>
      <c r="CA404">
        <f ca="1"/>
      </c>
      <c r="CB404">
        <f ca="1"/>
      </c>
      <c r="CC404">
        <f ca="1"/>
      </c>
      <c r="CD404">
        <f ca="1"/>
      </c>
      <c r="CE404">
        <f ca="1"/>
      </c>
      <c r="CF404">
        <f ca="1"/>
      </c>
      <c r="CG404">
        <f ca="1"/>
      </c>
      <c r="CH404">
        <f ca="1"/>
      </c>
      <c r="CI404">
        <f ca="1"/>
      </c>
      <c r="CK404">
        <f ca="1"/>
      </c>
      <c r="CL404">
        <f ca="1"/>
      </c>
      <c r="CM404">
        <f ca="1"/>
      </c>
      <c r="CN404">
        <f ca="1"/>
      </c>
      <c r="CO404">
        <f ca="1"/>
      </c>
      <c r="CP404">
        <f ca="1"/>
      </c>
      <c r="CQ404">
        <f ca="1"/>
      </c>
      <c r="CR404">
        <f ca="1"/>
      </c>
      <c r="CS404">
        <f ca="1"/>
      </c>
      <c r="CT404">
        <f ca="1"/>
      </c>
      <c r="CU404">
        <f ca="1"/>
      </c>
      <c r="CV404">
        <f ca="1"/>
      </c>
      <c r="CW404">
        <f ca="1"/>
      </c>
      <c r="CX404">
        <f ca="1"/>
      </c>
      <c r="CY404">
        <f ca="1"/>
      </c>
      <c r="CZ404">
        <f ca="1"/>
      </c>
      <c r="DA404">
        <f ca="1"/>
      </c>
      <c r="DB404">
        <f ca="1"/>
      </c>
      <c r="DC404">
        <f ca="1"/>
      </c>
      <c r="DD404">
        <f ca="1"/>
      </c>
      <c r="DE404">
        <f ca="1"/>
      </c>
      <c r="DF404">
        <f ca="1"/>
      </c>
      <c r="DG404">
        <f ca="1"/>
      </c>
      <c r="DH404">
        <f ca="1"/>
      </c>
      <c r="DI404">
        <f ca="1"/>
      </c>
      <c r="DJ404">
        <f ca="1"/>
      </c>
      <c r="DK404">
        <f ca="1"/>
      </c>
      <c r="DL404">
        <f ca="1"/>
      </c>
      <c r="DM404">
        <f ca="1"/>
      </c>
      <c r="DN404">
        <f ca="1"/>
      </c>
      <c r="DO404">
        <f ca="1"/>
      </c>
      <c r="DP404">
        <f ca="1"/>
      </c>
      <c r="DQ404">
        <f ca="1"/>
      </c>
      <c r="DR404">
        <f ca="1"/>
      </c>
      <c r="DS404">
        <f ca="1"/>
      </c>
      <c r="DT404">
        <f ca="1"/>
      </c>
      <c r="DU404">
        <f ca="1"/>
      </c>
      <c r="DV404">
        <f ca="1"/>
      </c>
      <c r="DW404">
        <f ca="1"/>
      </c>
      <c r="DX404">
        <f ca="1"/>
      </c>
      <c r="DY404">
        <f ca="1"/>
      </c>
      <c r="DZ404">
        <f ca="1"/>
      </c>
      <c r="EA404">
        <f ca="1"/>
      </c>
      <c r="EB404">
        <f ca="1"/>
      </c>
      <c r="EC404">
        <f ca="1"/>
      </c>
      <c r="ED404">
        <f ca="1"/>
      </c>
      <c r="EE404">
        <f ca="1"/>
      </c>
      <c r="EG404">
        <f ca="1"/>
      </c>
      <c r="EH404">
        <f ca="1"/>
      </c>
      <c r="EI404">
        <f ca="1"/>
      </c>
      <c r="EJ404">
        <f ca="1"/>
      </c>
      <c r="EK404">
        <f ca="1"/>
      </c>
      <c r="EL404">
        <f ca="1"/>
      </c>
      <c r="EM404">
        <f ca="1"/>
      </c>
      <c r="EN404">
        <f ca="1"/>
      </c>
      <c r="EO404">
        <f ca="1"/>
      </c>
      <c r="EP404">
        <f ca="1"/>
      </c>
      <c r="EQ404">
        <f ca="1"/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FS404">
        <f ca="1"/>
      </c>
      <c r="FT404">
        <f ca="1"/>
      </c>
      <c r="FU404">
        <f ca="1"/>
      </c>
      <c r="FV404">
        <f ca="1"/>
      </c>
      <c r="FW404">
        <f ca="1"/>
      </c>
      <c r="FX404">
        <f ca="1"/>
      </c>
      <c r="FY404">
        <f ca="1"/>
      </c>
      <c r="FZ404">
        <f ca="1"/>
      </c>
      <c r="GA404">
        <f ca="1"/>
      </c>
      <c r="GM404" s="7"/>
    </row>
    <row r="405" spans="41:195" x14ac:dyDescent="0.55000000000000004">
      <c r="AO405">
        <f ca="1"/>
      </c>
      <c r="AP405">
        <f ca="1"/>
      </c>
      <c r="AQ405">
        <f ca="1"/>
      </c>
      <c r="AR405">
        <f ca="1"/>
      </c>
      <c r="AS405">
        <f ca="1"/>
      </c>
      <c r="AT405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AZ405">
        <f ca="1"/>
      </c>
      <c r="BA405">
        <f ca="1"/>
      </c>
      <c r="BB405">
        <f ca="1"/>
      </c>
      <c r="BC405">
        <f ca="1"/>
      </c>
      <c r="BD405">
        <f ca="1"/>
      </c>
      <c r="BE405">
        <f ca="1"/>
      </c>
      <c r="BF405">
        <f ca="1"/>
      </c>
      <c r="BG405">
        <f ca="1"/>
      </c>
      <c r="BH405">
        <f ca="1"/>
      </c>
      <c r="BI405">
        <f ca="1"/>
      </c>
      <c r="BJ405">
        <f ca="1"/>
      </c>
      <c r="BK405">
        <f ca="1"/>
      </c>
      <c r="BL405">
        <f ca="1"/>
      </c>
      <c r="BM405">
        <f ca="1"/>
      </c>
      <c r="BN405">
        <f ca="1"/>
      </c>
      <c r="BO405">
        <f ca="1"/>
      </c>
      <c r="BP405">
        <f ca="1"/>
      </c>
      <c r="BQ405">
        <f ca="1"/>
      </c>
      <c r="BR405">
        <f ca="1"/>
      </c>
      <c r="BS405">
        <f ca="1"/>
      </c>
      <c r="BT405">
        <f ca="1"/>
      </c>
      <c r="BU405">
        <f ca="1"/>
      </c>
      <c r="BV405">
        <f ca="1"/>
      </c>
      <c r="BW405">
        <f ca="1"/>
      </c>
      <c r="BX405">
        <f ca="1"/>
      </c>
      <c r="BY405">
        <f ca="1"/>
      </c>
      <c r="BZ405">
        <f ca="1"/>
      </c>
      <c r="CA405">
        <f ca="1"/>
      </c>
      <c r="CB405">
        <f ca="1"/>
      </c>
      <c r="CC405">
        <f ca="1"/>
      </c>
      <c r="CD405">
        <f ca="1"/>
      </c>
      <c r="CE405">
        <f ca="1"/>
      </c>
      <c r="CF405">
        <f ca="1"/>
      </c>
      <c r="CG405">
        <f ca="1"/>
      </c>
      <c r="CH405">
        <f ca="1"/>
      </c>
      <c r="CI405">
        <f ca="1"/>
      </c>
      <c r="CK405">
        <f ca="1"/>
      </c>
      <c r="CL405">
        <f ca="1"/>
      </c>
      <c r="CM405">
        <f ca="1"/>
      </c>
      <c r="CN405">
        <f ca="1"/>
      </c>
      <c r="CO405">
        <f ca="1"/>
      </c>
      <c r="CP405">
        <f ca="1"/>
      </c>
      <c r="CQ405">
        <f ca="1"/>
      </c>
      <c r="CR405">
        <f ca="1"/>
      </c>
      <c r="CS405">
        <f ca="1"/>
      </c>
      <c r="CT405">
        <f ca="1"/>
      </c>
      <c r="CU405">
        <f ca="1"/>
      </c>
      <c r="CV405">
        <f ca="1"/>
      </c>
      <c r="CW405">
        <f ca="1"/>
      </c>
      <c r="CX405">
        <f ca="1"/>
      </c>
      <c r="CY405">
        <f ca="1"/>
      </c>
      <c r="CZ405">
        <f ca="1"/>
      </c>
      <c r="DA405">
        <f ca="1"/>
      </c>
      <c r="DB405">
        <f ca="1"/>
      </c>
      <c r="DC405">
        <f ca="1"/>
      </c>
      <c r="DD405">
        <f ca="1"/>
      </c>
      <c r="DE405">
        <f ca="1"/>
      </c>
      <c r="DF405">
        <f ca="1"/>
      </c>
      <c r="DG405">
        <f ca="1"/>
      </c>
      <c r="DH405">
        <f ca="1"/>
      </c>
      <c r="DI405">
        <f ca="1"/>
      </c>
      <c r="DJ405">
        <f ca="1"/>
      </c>
      <c r="DK405">
        <f ca="1"/>
      </c>
      <c r="DL405">
        <f ca="1"/>
      </c>
      <c r="DM405">
        <f ca="1"/>
      </c>
      <c r="DN405">
        <f ca="1"/>
      </c>
      <c r="DO405">
        <f ca="1"/>
      </c>
      <c r="DP405">
        <f ca="1"/>
      </c>
      <c r="DQ405">
        <f ca="1"/>
      </c>
      <c r="DR405">
        <f ca="1"/>
      </c>
      <c r="DS405">
        <f ca="1"/>
      </c>
      <c r="DT405">
        <f ca="1"/>
      </c>
      <c r="DU405">
        <f ca="1"/>
      </c>
      <c r="DV405">
        <f ca="1"/>
      </c>
      <c r="DW405">
        <f ca="1"/>
      </c>
      <c r="DX405">
        <f ca="1"/>
      </c>
      <c r="DY405">
        <f ca="1"/>
      </c>
      <c r="DZ405">
        <f ca="1"/>
      </c>
      <c r="EA405">
        <f ca="1"/>
      </c>
      <c r="EB405">
        <f ca="1"/>
      </c>
      <c r="EC405">
        <f ca="1"/>
      </c>
      <c r="ED405">
        <f ca="1"/>
      </c>
      <c r="EE405">
        <f ca="1"/>
      </c>
      <c r="EG405">
        <f ca="1"/>
      </c>
      <c r="EH405">
        <f ca="1"/>
      </c>
      <c r="EI405">
        <f ca="1"/>
      </c>
      <c r="EJ405">
        <f ca="1"/>
      </c>
      <c r="EK405">
        <f ca="1"/>
      </c>
      <c r="EL405">
        <f ca="1"/>
      </c>
      <c r="EM405">
        <f ca="1"/>
      </c>
      <c r="EN405">
        <f ca="1"/>
      </c>
      <c r="EO405">
        <f ca="1"/>
      </c>
      <c r="EP405">
        <f ca="1"/>
      </c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FS405">
        <f ca="1"/>
      </c>
      <c r="FT405">
        <f ca="1"/>
      </c>
      <c r="FU405">
        <f ca="1"/>
      </c>
      <c r="FV405">
        <f ca="1"/>
      </c>
      <c r="FW405">
        <f ca="1"/>
      </c>
      <c r="FX405">
        <f ca="1"/>
      </c>
      <c r="FY405">
        <f ca="1"/>
      </c>
      <c r="FZ405">
        <f ca="1"/>
      </c>
      <c r="GA405">
        <f ca="1"/>
      </c>
      <c r="GM405" s="7"/>
    </row>
    <row r="406" spans="41:195" x14ac:dyDescent="0.55000000000000004">
      <c r="AO406">
        <f ca="1"/>
      </c>
      <c r="AP406">
        <f ca="1"/>
      </c>
      <c r="AQ406">
        <f ca="1"/>
      </c>
      <c r="AR406">
        <f ca="1"/>
      </c>
      <c r="AS406">
        <f ca="1"/>
      </c>
      <c r="AT406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AZ406">
        <f ca="1"/>
      </c>
      <c r="BA406">
        <f ca="1"/>
      </c>
      <c r="BB406">
        <f ca="1"/>
      </c>
      <c r="BC406">
        <f ca="1"/>
      </c>
      <c r="BD406">
        <f ca="1"/>
      </c>
      <c r="BE406">
        <f ca="1"/>
      </c>
      <c r="BF406">
        <f ca="1"/>
      </c>
      <c r="BG406">
        <f ca="1"/>
      </c>
      <c r="BH406">
        <f ca="1"/>
      </c>
      <c r="BI406">
        <f ca="1"/>
      </c>
      <c r="BJ406">
        <f ca="1"/>
      </c>
      <c r="BK406">
        <f ca="1"/>
      </c>
      <c r="BL406">
        <f ca="1"/>
      </c>
      <c r="BM406">
        <f ca="1"/>
      </c>
      <c r="BN406">
        <f ca="1"/>
      </c>
      <c r="BO406">
        <f ca="1"/>
      </c>
      <c r="BP406">
        <f ca="1"/>
      </c>
      <c r="BQ406">
        <f ca="1"/>
      </c>
      <c r="BR406">
        <f ca="1"/>
      </c>
      <c r="BS406">
        <f ca="1"/>
      </c>
      <c r="BT406">
        <f ca="1"/>
      </c>
      <c r="BU406">
        <f ca="1"/>
      </c>
      <c r="BV406">
        <f ca="1"/>
      </c>
      <c r="BW406">
        <f ca="1"/>
      </c>
      <c r="BX406">
        <f ca="1"/>
      </c>
      <c r="BY406">
        <f ca="1"/>
      </c>
      <c r="BZ406">
        <f ca="1"/>
      </c>
      <c r="CA406">
        <f ca="1"/>
      </c>
      <c r="CB406">
        <f ca="1"/>
      </c>
      <c r="CC406">
        <f ca="1"/>
      </c>
      <c r="CD406">
        <f ca="1"/>
      </c>
      <c r="CE406">
        <f ca="1"/>
      </c>
      <c r="CF406">
        <f ca="1"/>
      </c>
      <c r="CG406">
        <f ca="1"/>
      </c>
      <c r="CH406">
        <f ca="1"/>
      </c>
      <c r="CI406">
        <f ca="1"/>
      </c>
      <c r="CK406">
        <f ca="1"/>
      </c>
      <c r="CL406">
        <f ca="1"/>
      </c>
      <c r="CM406">
        <f ca="1"/>
      </c>
      <c r="CN406">
        <f ca="1"/>
      </c>
      <c r="CO406">
        <f ca="1"/>
      </c>
      <c r="CP406">
        <f ca="1"/>
      </c>
      <c r="CQ406">
        <f ca="1"/>
      </c>
      <c r="CR406">
        <f ca="1"/>
      </c>
      <c r="CS406">
        <f ca="1"/>
      </c>
      <c r="CT406">
        <f ca="1"/>
      </c>
      <c r="CU406">
        <f ca="1"/>
      </c>
      <c r="CV406">
        <f ca="1"/>
      </c>
      <c r="CW406">
        <f ca="1"/>
      </c>
      <c r="CX406">
        <f ca="1"/>
      </c>
      <c r="CY406">
        <f ca="1"/>
      </c>
      <c r="CZ406">
        <f ca="1"/>
      </c>
      <c r="DA406">
        <f ca="1"/>
      </c>
      <c r="DB406">
        <f ca="1"/>
      </c>
      <c r="DC406">
        <f ca="1"/>
      </c>
      <c r="DD406">
        <f ca="1"/>
      </c>
      <c r="DE406">
        <f ca="1"/>
      </c>
      <c r="DF406">
        <f ca="1"/>
      </c>
      <c r="DG406">
        <f ca="1"/>
      </c>
      <c r="DH406">
        <f ca="1"/>
      </c>
      <c r="DI406">
        <f ca="1"/>
      </c>
      <c r="DJ406">
        <f ca="1"/>
      </c>
      <c r="DK406">
        <f ca="1"/>
      </c>
      <c r="DL406">
        <f ca="1"/>
      </c>
      <c r="DM406">
        <f ca="1"/>
      </c>
      <c r="DN406">
        <f ca="1"/>
      </c>
      <c r="DO406">
        <f ca="1"/>
      </c>
      <c r="DP406">
        <f ca="1"/>
      </c>
      <c r="DQ406">
        <f ca="1"/>
      </c>
      <c r="DR406">
        <f ca="1"/>
      </c>
      <c r="DS406">
        <f ca="1"/>
      </c>
      <c r="DT406">
        <f ca="1"/>
      </c>
      <c r="DU406">
        <f ca="1"/>
      </c>
      <c r="DV406">
        <f ca="1"/>
      </c>
      <c r="DW406">
        <f ca="1"/>
      </c>
      <c r="DX406">
        <f ca="1"/>
      </c>
      <c r="DY406">
        <f ca="1"/>
      </c>
      <c r="DZ406">
        <f ca="1"/>
      </c>
      <c r="EA406">
        <f ca="1"/>
      </c>
      <c r="EB406">
        <f ca="1"/>
      </c>
      <c r="EC406">
        <f ca="1"/>
      </c>
      <c r="ED406">
        <f ca="1"/>
      </c>
      <c r="EE406">
        <f ca="1"/>
      </c>
      <c r="EG406">
        <f ca="1"/>
      </c>
      <c r="EH406">
        <f ca="1"/>
      </c>
      <c r="EI406">
        <f ca="1"/>
      </c>
      <c r="EJ406">
        <f ca="1"/>
      </c>
      <c r="EK406">
        <f ca="1"/>
      </c>
      <c r="EL406">
        <f ca="1"/>
      </c>
      <c r="EM406">
        <f ca="1"/>
      </c>
      <c r="EN406">
        <f ca="1"/>
      </c>
      <c r="EO406">
        <f ca="1"/>
      </c>
      <c r="EP406">
        <f ca="1"/>
      </c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FS406">
        <f ca="1"/>
      </c>
      <c r="FT406">
        <f ca="1"/>
      </c>
      <c r="FU406">
        <f ca="1"/>
      </c>
      <c r="FV406">
        <f ca="1"/>
      </c>
      <c r="FW406">
        <f ca="1"/>
      </c>
      <c r="FX406">
        <f ca="1"/>
      </c>
      <c r="FY406">
        <f ca="1"/>
      </c>
      <c r="FZ406">
        <f ca="1"/>
      </c>
      <c r="GA406">
        <f ca="1"/>
      </c>
      <c r="GM406" s="7"/>
    </row>
    <row r="407" spans="41:195" x14ac:dyDescent="0.55000000000000004">
      <c r="AO407">
        <f ca="1"/>
      </c>
      <c r="AP407">
        <f ca="1"/>
      </c>
      <c r="AQ407">
        <f ca="1"/>
      </c>
      <c r="AR407">
        <f ca="1"/>
      </c>
      <c r="AS407">
        <f ca="1"/>
      </c>
      <c r="AT40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AZ407">
        <f ca="1"/>
      </c>
      <c r="BA407">
        <f ca="1"/>
      </c>
      <c r="BB407">
        <f ca="1"/>
      </c>
      <c r="BC407">
        <f ca="1"/>
      </c>
      <c r="BD407">
        <f ca="1"/>
      </c>
      <c r="BE407">
        <f ca="1"/>
      </c>
      <c r="BF407">
        <f ca="1"/>
      </c>
      <c r="BG407">
        <f ca="1"/>
      </c>
      <c r="BH407">
        <f ca="1"/>
      </c>
      <c r="BI407">
        <f ca="1"/>
      </c>
      <c r="BJ407">
        <f ca="1"/>
      </c>
      <c r="BK407">
        <f ca="1"/>
      </c>
      <c r="BL407">
        <f ca="1"/>
      </c>
      <c r="BM407">
        <f ca="1"/>
      </c>
      <c r="BN407">
        <f ca="1"/>
      </c>
      <c r="BO407">
        <f ca="1"/>
      </c>
      <c r="BP407">
        <f ca="1"/>
      </c>
      <c r="BQ407">
        <f ca="1"/>
      </c>
      <c r="BR407">
        <f ca="1"/>
      </c>
      <c r="BS407">
        <f ca="1"/>
      </c>
      <c r="BT407">
        <f ca="1"/>
      </c>
      <c r="BU407">
        <f ca="1"/>
      </c>
      <c r="BV407">
        <f ca="1"/>
      </c>
      <c r="BW407">
        <f ca="1"/>
      </c>
      <c r="BX407">
        <f ca="1"/>
      </c>
      <c r="BY407">
        <f ca="1"/>
      </c>
      <c r="BZ407">
        <f ca="1"/>
      </c>
      <c r="CA407">
        <f ca="1"/>
      </c>
      <c r="CB407">
        <f ca="1"/>
      </c>
      <c r="CC407">
        <f ca="1"/>
      </c>
      <c r="CD407">
        <f ca="1"/>
      </c>
      <c r="CE407">
        <f ca="1"/>
      </c>
      <c r="CF407">
        <f ca="1"/>
      </c>
      <c r="CG407">
        <f ca="1"/>
      </c>
      <c r="CH407">
        <f ca="1"/>
      </c>
      <c r="CI407">
        <f ca="1"/>
      </c>
      <c r="CK407">
        <f ca="1"/>
      </c>
      <c r="CL407">
        <f ca="1"/>
      </c>
      <c r="CM407">
        <f ca="1"/>
      </c>
      <c r="CN407">
        <f ca="1"/>
      </c>
      <c r="CO407">
        <f ca="1"/>
      </c>
      <c r="CP407">
        <f ca="1"/>
      </c>
      <c r="CQ407">
        <f ca="1"/>
      </c>
      <c r="CR407">
        <f ca="1"/>
      </c>
      <c r="CS407">
        <f ca="1"/>
      </c>
      <c r="CT407">
        <f ca="1"/>
      </c>
      <c r="CU407">
        <f ca="1"/>
      </c>
      <c r="CV407">
        <f ca="1"/>
      </c>
      <c r="CW407">
        <f ca="1"/>
      </c>
      <c r="CX407">
        <f ca="1"/>
      </c>
      <c r="CY407">
        <f ca="1"/>
      </c>
      <c r="CZ407">
        <f ca="1"/>
      </c>
      <c r="DA407">
        <f ca="1"/>
      </c>
      <c r="DB407">
        <f ca="1"/>
      </c>
      <c r="DC407">
        <f ca="1"/>
      </c>
      <c r="DD407">
        <f ca="1"/>
      </c>
      <c r="DE407">
        <f ca="1"/>
      </c>
      <c r="DF407">
        <f ca="1"/>
      </c>
      <c r="DG407">
        <f ca="1"/>
      </c>
      <c r="DH407">
        <f ca="1"/>
      </c>
      <c r="DI407">
        <f ca="1"/>
      </c>
      <c r="DJ407">
        <f ca="1"/>
      </c>
      <c r="DK407">
        <f ca="1"/>
      </c>
      <c r="DL407">
        <f ca="1"/>
      </c>
      <c r="DM407">
        <f ca="1"/>
      </c>
      <c r="DN407">
        <f ca="1"/>
      </c>
      <c r="DO407">
        <f ca="1"/>
      </c>
      <c r="DP407">
        <f ca="1"/>
      </c>
      <c r="DQ407">
        <f ca="1"/>
      </c>
      <c r="DR407">
        <f ca="1"/>
      </c>
      <c r="DS407">
        <f ca="1"/>
      </c>
      <c r="DT407">
        <f ca="1"/>
      </c>
      <c r="DU407">
        <f ca="1"/>
      </c>
      <c r="DV407">
        <f ca="1"/>
      </c>
      <c r="DW407">
        <f ca="1"/>
      </c>
      <c r="DX407">
        <f ca="1"/>
      </c>
      <c r="DY407">
        <f ca="1"/>
      </c>
      <c r="DZ407">
        <f ca="1"/>
      </c>
      <c r="EA407">
        <f ca="1"/>
      </c>
      <c r="EB407">
        <f ca="1"/>
      </c>
      <c r="EC407">
        <f ca="1"/>
      </c>
      <c r="ED407">
        <f ca="1"/>
      </c>
      <c r="EE407">
        <f ca="1"/>
      </c>
      <c r="EG407">
        <f ca="1"/>
      </c>
      <c r="EH407">
        <f ca="1"/>
      </c>
      <c r="EI407">
        <f ca="1"/>
      </c>
      <c r="EJ407">
        <f ca="1"/>
      </c>
      <c r="EK407">
        <f ca="1"/>
      </c>
      <c r="EL407">
        <f ca="1"/>
      </c>
      <c r="EM407">
        <f ca="1"/>
      </c>
      <c r="EN407">
        <f ca="1"/>
      </c>
      <c r="EO407">
        <f ca="1"/>
      </c>
      <c r="EP407">
        <f ca="1"/>
      </c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FS407">
        <f ca="1"/>
      </c>
      <c r="FT407">
        <f ca="1"/>
      </c>
      <c r="FU407">
        <f ca="1"/>
      </c>
      <c r="FV407">
        <f ca="1"/>
      </c>
      <c r="FW407">
        <f ca="1"/>
      </c>
      <c r="FX407">
        <f ca="1"/>
      </c>
      <c r="FY407">
        <f ca="1"/>
      </c>
      <c r="FZ407">
        <f ca="1"/>
      </c>
      <c r="GA407">
        <f ca="1"/>
      </c>
      <c r="GM407" s="7"/>
    </row>
    <row r="408" spans="41:195" x14ac:dyDescent="0.55000000000000004">
      <c r="AO408">
        <f ca="1"/>
      </c>
      <c r="AP408">
        <f ca="1"/>
      </c>
      <c r="AQ408">
        <f ca="1"/>
      </c>
      <c r="AR408">
        <f ca="1"/>
      </c>
      <c r="AS408">
        <f ca="1"/>
      </c>
      <c r="AT408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AZ408">
        <f ca="1"/>
      </c>
      <c r="BA408">
        <f ca="1"/>
      </c>
      <c r="BB408">
        <f ca="1"/>
      </c>
      <c r="BC408">
        <f ca="1"/>
      </c>
      <c r="BD408">
        <f ca="1"/>
      </c>
      <c r="BE408">
        <f ca="1"/>
      </c>
      <c r="BF408">
        <f ca="1"/>
      </c>
      <c r="BG408">
        <f ca="1"/>
      </c>
      <c r="BH408">
        <f ca="1"/>
      </c>
      <c r="BI408">
        <f ca="1"/>
      </c>
      <c r="BJ408">
        <f ca="1"/>
      </c>
      <c r="BK408">
        <f ca="1"/>
      </c>
      <c r="BL408">
        <f ca="1"/>
      </c>
      <c r="BM408">
        <f ca="1"/>
      </c>
      <c r="BN408">
        <f ca="1"/>
      </c>
      <c r="BO408">
        <f ca="1"/>
      </c>
      <c r="BP408">
        <f ca="1"/>
      </c>
      <c r="BQ408">
        <f ca="1"/>
      </c>
      <c r="BR408">
        <f ca="1"/>
      </c>
      <c r="BS408">
        <f ca="1"/>
      </c>
      <c r="BT408">
        <f ca="1"/>
      </c>
      <c r="BU408">
        <f ca="1"/>
      </c>
      <c r="BV408">
        <f ca="1"/>
      </c>
      <c r="BW408">
        <f ca="1"/>
      </c>
      <c r="BX408">
        <f ca="1"/>
      </c>
      <c r="BY408">
        <f ca="1"/>
      </c>
      <c r="BZ408">
        <f ca="1"/>
      </c>
      <c r="CA408">
        <f ca="1"/>
      </c>
      <c r="CB408">
        <f ca="1"/>
      </c>
      <c r="CC408">
        <f ca="1"/>
      </c>
      <c r="CD408">
        <f ca="1"/>
      </c>
      <c r="CE408">
        <f ca="1"/>
      </c>
      <c r="CF408">
        <f ca="1"/>
      </c>
      <c r="CG408">
        <f ca="1"/>
      </c>
      <c r="CH408">
        <f ca="1"/>
      </c>
      <c r="CI408">
        <f ca="1"/>
      </c>
      <c r="CK408">
        <f ca="1"/>
      </c>
      <c r="CL408">
        <f ca="1"/>
      </c>
      <c r="CM408">
        <f ca="1"/>
      </c>
      <c r="CN408">
        <f ca="1"/>
      </c>
      <c r="CO408">
        <f ca="1"/>
      </c>
      <c r="CP408">
        <f ca="1"/>
      </c>
      <c r="CQ408">
        <f ca="1"/>
      </c>
      <c r="CR408">
        <f ca="1"/>
      </c>
      <c r="CS408">
        <f ca="1"/>
      </c>
      <c r="CT408">
        <f ca="1"/>
      </c>
      <c r="CU408">
        <f ca="1"/>
      </c>
      <c r="CV408">
        <f ca="1"/>
      </c>
      <c r="CW408">
        <f ca="1"/>
      </c>
      <c r="CX408">
        <f ca="1"/>
      </c>
      <c r="CY408">
        <f ca="1"/>
      </c>
      <c r="CZ408">
        <f ca="1"/>
      </c>
      <c r="DA408">
        <f ca="1"/>
      </c>
      <c r="DB408">
        <f ca="1"/>
      </c>
      <c r="DC408">
        <f ca="1"/>
      </c>
      <c r="DD408">
        <f ca="1"/>
      </c>
      <c r="DE408">
        <f ca="1"/>
      </c>
      <c r="DF408">
        <f ca="1"/>
      </c>
      <c r="DG408">
        <f ca="1"/>
      </c>
      <c r="DH408">
        <f ca="1"/>
      </c>
      <c r="DI408">
        <f ca="1"/>
      </c>
      <c r="DJ408">
        <f ca="1"/>
      </c>
      <c r="DK408">
        <f ca="1"/>
      </c>
      <c r="DL408">
        <f ca="1"/>
      </c>
      <c r="DM408">
        <f ca="1"/>
      </c>
      <c r="DN408">
        <f ca="1"/>
      </c>
      <c r="DO408">
        <f ca="1"/>
      </c>
      <c r="DP408">
        <f ca="1"/>
      </c>
      <c r="DQ408">
        <f ca="1"/>
      </c>
      <c r="DR408">
        <f ca="1"/>
      </c>
      <c r="DS408">
        <f ca="1"/>
      </c>
      <c r="DT408">
        <f ca="1"/>
      </c>
      <c r="DU408">
        <f ca="1"/>
      </c>
      <c r="DV408">
        <f ca="1"/>
      </c>
      <c r="DW408">
        <f ca="1"/>
      </c>
      <c r="DX408">
        <f ca="1"/>
      </c>
      <c r="DY408">
        <f ca="1"/>
      </c>
      <c r="DZ408">
        <f ca="1"/>
      </c>
      <c r="EA408">
        <f ca="1"/>
      </c>
      <c r="EB408">
        <f ca="1"/>
      </c>
      <c r="EC408">
        <f ca="1"/>
      </c>
      <c r="ED408">
        <f ca="1"/>
      </c>
      <c r="EE408">
        <f ca="1"/>
      </c>
      <c r="EG408">
        <f ca="1"/>
      </c>
      <c r="EH408">
        <f ca="1"/>
      </c>
      <c r="EI408">
        <f ca="1"/>
      </c>
      <c r="EJ408">
        <f ca="1"/>
      </c>
      <c r="EK408">
        <f ca="1"/>
      </c>
      <c r="EL408">
        <f ca="1"/>
      </c>
      <c r="EM408">
        <f ca="1"/>
      </c>
      <c r="EN408">
        <f ca="1"/>
      </c>
      <c r="EO408">
        <f ca="1"/>
      </c>
      <c r="EP408">
        <f ca="1"/>
      </c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FS408">
        <f ca="1"/>
      </c>
      <c r="FT408">
        <f ca="1"/>
      </c>
      <c r="FU408">
        <f ca="1"/>
      </c>
      <c r="FV408">
        <f ca="1"/>
      </c>
      <c r="FW408">
        <f ca="1"/>
      </c>
      <c r="FX408">
        <f ca="1"/>
      </c>
      <c r="FY408">
        <f ca="1"/>
      </c>
      <c r="FZ408">
        <f ca="1"/>
      </c>
      <c r="GA408">
        <f ca="1"/>
      </c>
      <c r="GM408" s="7"/>
    </row>
    <row r="409" spans="41:195" x14ac:dyDescent="0.55000000000000004">
      <c r="AO409">
        <f ca="1"/>
      </c>
      <c r="AP409">
        <f ca="1"/>
      </c>
      <c r="AQ409">
        <f ca="1"/>
      </c>
      <c r="AR409">
        <f ca="1"/>
      </c>
      <c r="AS409">
        <f ca="1"/>
      </c>
      <c r="AT409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AZ409">
        <f ca="1"/>
      </c>
      <c r="BA409">
        <f ca="1"/>
      </c>
      <c r="BB409">
        <f ca="1"/>
      </c>
      <c r="BC409">
        <f ca="1"/>
      </c>
      <c r="BD409">
        <f ca="1"/>
      </c>
      <c r="BE409">
        <f ca="1"/>
      </c>
      <c r="BF409">
        <f ca="1"/>
      </c>
      <c r="BG409">
        <f ca="1"/>
      </c>
      <c r="BH409">
        <f ca="1"/>
      </c>
      <c r="BI409">
        <f ca="1"/>
      </c>
      <c r="BJ409">
        <f ca="1"/>
      </c>
      <c r="BK409">
        <f ca="1"/>
      </c>
      <c r="BL409">
        <f ca="1"/>
      </c>
      <c r="BM409">
        <f ca="1"/>
      </c>
      <c r="BN409">
        <f ca="1"/>
      </c>
      <c r="BO409">
        <f ca="1"/>
      </c>
      <c r="BP409">
        <f ca="1"/>
      </c>
      <c r="BQ409">
        <f ca="1"/>
      </c>
      <c r="BR409">
        <f ca="1"/>
      </c>
      <c r="BS409">
        <f ca="1"/>
      </c>
      <c r="BT409">
        <f ca="1"/>
      </c>
      <c r="BU409">
        <f ca="1"/>
      </c>
      <c r="BV409">
        <f ca="1"/>
      </c>
      <c r="BW409">
        <f ca="1"/>
      </c>
      <c r="BX409">
        <f ca="1"/>
      </c>
      <c r="BY409">
        <f ca="1"/>
      </c>
      <c r="BZ409">
        <f ca="1"/>
      </c>
      <c r="CA409">
        <f ca="1"/>
      </c>
      <c r="CB409">
        <f ca="1"/>
      </c>
      <c r="CC409">
        <f ca="1"/>
      </c>
      <c r="CD409">
        <f ca="1"/>
      </c>
      <c r="CE409">
        <f ca="1"/>
      </c>
      <c r="CF409">
        <f ca="1"/>
      </c>
      <c r="CG409">
        <f ca="1"/>
      </c>
      <c r="CH409">
        <f ca="1"/>
      </c>
      <c r="CI409">
        <f ca="1"/>
      </c>
      <c r="CK409">
        <f ca="1"/>
      </c>
      <c r="CL409">
        <f ca="1"/>
      </c>
      <c r="CM409">
        <f ca="1"/>
      </c>
      <c r="CN409">
        <f ca="1"/>
      </c>
      <c r="CO409">
        <f ca="1"/>
      </c>
      <c r="CP409">
        <f ca="1"/>
      </c>
      <c r="CQ409">
        <f ca="1"/>
      </c>
      <c r="CR409">
        <f ca="1"/>
      </c>
      <c r="CS409">
        <f ca="1"/>
      </c>
      <c r="CT409">
        <f ca="1"/>
      </c>
      <c r="CU409">
        <f ca="1"/>
      </c>
      <c r="CV409">
        <f ca="1"/>
      </c>
      <c r="CW409">
        <f ca="1"/>
      </c>
      <c r="CX409">
        <f ca="1"/>
      </c>
      <c r="CY409">
        <f ca="1"/>
      </c>
      <c r="CZ409">
        <f ca="1"/>
      </c>
      <c r="DA409">
        <f ca="1"/>
      </c>
      <c r="DB409">
        <f ca="1"/>
      </c>
      <c r="DC409">
        <f ca="1"/>
      </c>
      <c r="DD409">
        <f ca="1"/>
      </c>
      <c r="DE409">
        <f ca="1"/>
      </c>
      <c r="DF409">
        <f ca="1"/>
      </c>
      <c r="DG409">
        <f ca="1"/>
      </c>
      <c r="DH409">
        <f ca="1"/>
      </c>
      <c r="DI409">
        <f ca="1"/>
      </c>
      <c r="DJ409">
        <f ca="1"/>
      </c>
      <c r="DK409">
        <f ca="1"/>
      </c>
      <c r="DL409">
        <f ca="1"/>
      </c>
      <c r="DM409">
        <f ca="1"/>
      </c>
      <c r="DN409">
        <f ca="1"/>
      </c>
      <c r="DO409">
        <f ca="1"/>
      </c>
      <c r="DP409">
        <f ca="1"/>
      </c>
      <c r="DQ409">
        <f ca="1"/>
      </c>
      <c r="DR409">
        <f ca="1"/>
      </c>
      <c r="DS409">
        <f ca="1"/>
      </c>
      <c r="DT409">
        <f ca="1"/>
      </c>
      <c r="DU409">
        <f ca="1"/>
      </c>
      <c r="DV409">
        <f ca="1"/>
      </c>
      <c r="DW409">
        <f ca="1"/>
      </c>
      <c r="DX409">
        <f ca="1"/>
      </c>
      <c r="DY409">
        <f ca="1"/>
      </c>
      <c r="DZ409">
        <f ca="1"/>
      </c>
      <c r="EA409">
        <f ca="1"/>
      </c>
      <c r="EB409">
        <f ca="1"/>
      </c>
      <c r="EC409">
        <f ca="1"/>
      </c>
      <c r="ED409">
        <f ca="1"/>
      </c>
      <c r="EE409">
        <f ca="1"/>
      </c>
      <c r="EG409">
        <f ca="1"/>
      </c>
      <c r="EH409">
        <f ca="1"/>
      </c>
      <c r="EI409">
        <f ca="1"/>
      </c>
      <c r="EJ409">
        <f ca="1"/>
      </c>
      <c r="EK409">
        <f ca="1"/>
      </c>
      <c r="EL409">
        <f ca="1"/>
      </c>
      <c r="EM409">
        <f ca="1"/>
      </c>
      <c r="EN409">
        <f ca="1"/>
      </c>
      <c r="EO409">
        <f ca="1"/>
      </c>
      <c r="EP409">
        <f ca="1"/>
      </c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FS409">
        <f ca="1"/>
      </c>
      <c r="FT409">
        <f ca="1"/>
      </c>
      <c r="FU409">
        <f ca="1"/>
      </c>
      <c r="FV409">
        <f ca="1"/>
      </c>
      <c r="FW409">
        <f ca="1"/>
      </c>
      <c r="FX409">
        <f ca="1"/>
      </c>
      <c r="FY409">
        <f ca="1"/>
      </c>
      <c r="FZ409">
        <f ca="1"/>
      </c>
      <c r="GA409">
        <f ca="1"/>
      </c>
      <c r="GM409" s="7"/>
    </row>
    <row r="410" spans="41:195" x14ac:dyDescent="0.55000000000000004">
      <c r="AO410">
        <f ca="1"/>
      </c>
      <c r="AP410">
        <f ca="1"/>
      </c>
      <c r="AQ410">
        <f ca="1"/>
      </c>
      <c r="AR410">
        <f ca="1"/>
      </c>
      <c r="AS410">
        <f ca="1"/>
      </c>
      <c r="AT410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AZ410">
        <f ca="1"/>
      </c>
      <c r="BA410">
        <f ca="1"/>
      </c>
      <c r="BB410">
        <f ca="1"/>
      </c>
      <c r="BC410">
        <f ca="1"/>
      </c>
      <c r="BD410">
        <f ca="1"/>
      </c>
      <c r="BE410">
        <f ca="1"/>
      </c>
      <c r="BF410">
        <f ca="1"/>
      </c>
      <c r="BG410">
        <f ca="1"/>
      </c>
      <c r="BH410">
        <f ca="1"/>
      </c>
      <c r="BI410">
        <f ca="1"/>
      </c>
      <c r="BJ410">
        <f ca="1"/>
      </c>
      <c r="BK410">
        <f ca="1"/>
      </c>
      <c r="BL410">
        <f ca="1"/>
      </c>
      <c r="BM410">
        <f ca="1"/>
      </c>
      <c r="BN410">
        <f ca="1"/>
      </c>
      <c r="BO410">
        <f ca="1"/>
      </c>
      <c r="BP410">
        <f ca="1"/>
      </c>
      <c r="BQ410">
        <f ca="1"/>
      </c>
      <c r="BR410">
        <f ca="1"/>
      </c>
      <c r="BS410">
        <f ca="1"/>
      </c>
      <c r="BT410">
        <f ca="1"/>
      </c>
      <c r="BU410">
        <f ca="1"/>
      </c>
      <c r="BV410">
        <f ca="1"/>
      </c>
      <c r="BW410">
        <f ca="1"/>
      </c>
      <c r="BX410">
        <f ca="1"/>
      </c>
      <c r="BY410">
        <f ca="1"/>
      </c>
      <c r="BZ410">
        <f ca="1"/>
      </c>
      <c r="CA410">
        <f ca="1"/>
      </c>
      <c r="CB410">
        <f ca="1"/>
      </c>
      <c r="CC410">
        <f ca="1"/>
      </c>
      <c r="CD410">
        <f ca="1"/>
      </c>
      <c r="CE410">
        <f ca="1"/>
      </c>
      <c r="CF410">
        <f ca="1"/>
      </c>
      <c r="CG410">
        <f ca="1"/>
      </c>
      <c r="CH410">
        <f ca="1"/>
      </c>
      <c r="CI410">
        <f ca="1"/>
      </c>
      <c r="CK410">
        <f ca="1"/>
      </c>
      <c r="CL410">
        <f ca="1"/>
      </c>
      <c r="CM410">
        <f ca="1"/>
      </c>
      <c r="CN410">
        <f ca="1"/>
      </c>
      <c r="CO410">
        <f ca="1"/>
      </c>
      <c r="CP410">
        <f ca="1"/>
      </c>
      <c r="CQ410">
        <f ca="1"/>
      </c>
      <c r="CR410">
        <f ca="1"/>
      </c>
      <c r="CS410">
        <f ca="1"/>
      </c>
      <c r="CT410">
        <f ca="1"/>
      </c>
      <c r="CU410">
        <f ca="1"/>
      </c>
      <c r="CV410">
        <f ca="1"/>
      </c>
      <c r="CW410">
        <f ca="1"/>
      </c>
      <c r="CX410">
        <f ca="1"/>
      </c>
      <c r="CY410">
        <f ca="1"/>
      </c>
      <c r="CZ410">
        <f ca="1"/>
      </c>
      <c r="DA410">
        <f ca="1"/>
      </c>
      <c r="DB410">
        <f ca="1"/>
      </c>
      <c r="DC410">
        <f ca="1"/>
      </c>
      <c r="DD410">
        <f ca="1"/>
      </c>
      <c r="DE410">
        <f ca="1"/>
      </c>
      <c r="DF410">
        <f ca="1"/>
      </c>
      <c r="DG410">
        <f ca="1"/>
      </c>
      <c r="DH410">
        <f ca="1"/>
      </c>
      <c r="DI410">
        <f ca="1"/>
      </c>
      <c r="DJ410">
        <f ca="1"/>
      </c>
      <c r="DK410">
        <f ca="1"/>
      </c>
      <c r="DL410">
        <f ca="1"/>
      </c>
      <c r="DM410">
        <f ca="1"/>
      </c>
      <c r="DN410">
        <f ca="1"/>
      </c>
      <c r="DO410">
        <f ca="1"/>
      </c>
      <c r="DP410">
        <f ca="1"/>
      </c>
      <c r="DQ410">
        <f ca="1"/>
      </c>
      <c r="DR410">
        <f ca="1"/>
      </c>
      <c r="DS410">
        <f ca="1"/>
      </c>
      <c r="DT410">
        <f ca="1"/>
      </c>
      <c r="DU410">
        <f ca="1"/>
      </c>
      <c r="DV410">
        <f ca="1"/>
      </c>
      <c r="DW410">
        <f ca="1"/>
      </c>
      <c r="DX410">
        <f ca="1"/>
      </c>
      <c r="DY410">
        <f ca="1"/>
      </c>
      <c r="DZ410">
        <f ca="1"/>
      </c>
      <c r="EA410">
        <f ca="1"/>
      </c>
      <c r="EB410">
        <f ca="1"/>
      </c>
      <c r="EC410">
        <f ca="1"/>
      </c>
      <c r="ED410">
        <f ca="1"/>
      </c>
      <c r="EE410">
        <f ca="1"/>
      </c>
      <c r="EG410">
        <f ca="1"/>
      </c>
      <c r="EH410">
        <f ca="1"/>
      </c>
      <c r="EI410">
        <f ca="1"/>
      </c>
      <c r="EJ410">
        <f ca="1"/>
      </c>
      <c r="EK410">
        <f ca="1"/>
      </c>
      <c r="EL410">
        <f ca="1"/>
      </c>
      <c r="EM410">
        <f ca="1"/>
      </c>
      <c r="EN410">
        <f ca="1"/>
      </c>
      <c r="EO410">
        <f ca="1"/>
      </c>
      <c r="EP410">
        <f ca="1"/>
      </c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FS410">
        <f ca="1"/>
      </c>
      <c r="FT410">
        <f ca="1"/>
      </c>
      <c r="FU410">
        <f ca="1"/>
      </c>
      <c r="FV410">
        <f ca="1"/>
      </c>
      <c r="FW410">
        <f ca="1"/>
      </c>
      <c r="FX410">
        <f ca="1"/>
      </c>
      <c r="FY410">
        <f ca="1"/>
      </c>
      <c r="FZ410">
        <f ca="1"/>
      </c>
      <c r="GA410">
        <f ca="1"/>
      </c>
      <c r="GM410" s="7"/>
    </row>
    <row r="411" spans="41:195" x14ac:dyDescent="0.55000000000000004">
      <c r="AO411">
        <f ca="1"/>
      </c>
      <c r="AP411">
        <f ca="1"/>
      </c>
      <c r="AQ411">
        <f ca="1"/>
      </c>
      <c r="AR411">
        <f ca="1"/>
      </c>
      <c r="AS411">
        <f ca="1"/>
      </c>
      <c r="AT411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AZ411">
        <f ca="1"/>
      </c>
      <c r="BA411">
        <f ca="1"/>
      </c>
      <c r="BB411">
        <f ca="1"/>
      </c>
      <c r="BC411">
        <f ca="1"/>
      </c>
      <c r="BD411">
        <f ca="1"/>
      </c>
      <c r="BE411">
        <f ca="1"/>
      </c>
      <c r="BF411">
        <f ca="1"/>
      </c>
      <c r="BG411">
        <f ca="1"/>
      </c>
      <c r="BH411">
        <f ca="1"/>
      </c>
      <c r="BI411">
        <f ca="1"/>
      </c>
      <c r="BJ411">
        <f ca="1"/>
      </c>
      <c r="BK411">
        <f ca="1"/>
      </c>
      <c r="BL411">
        <f ca="1"/>
      </c>
      <c r="BM411">
        <f ca="1"/>
      </c>
      <c r="BN411">
        <f ca="1"/>
      </c>
      <c r="BO411">
        <f ca="1"/>
      </c>
      <c r="BP411">
        <f ca="1"/>
      </c>
      <c r="BQ411">
        <f ca="1"/>
      </c>
      <c r="BR411">
        <f ca="1"/>
      </c>
      <c r="BS411">
        <f ca="1"/>
      </c>
      <c r="BT411">
        <f ca="1"/>
      </c>
      <c r="BU411">
        <f ca="1"/>
      </c>
      <c r="BV411">
        <f ca="1"/>
      </c>
      <c r="BW411">
        <f ca="1"/>
      </c>
      <c r="BX411">
        <f ca="1"/>
      </c>
      <c r="BY411">
        <f ca="1"/>
      </c>
      <c r="BZ411">
        <f ca="1"/>
      </c>
      <c r="CA411">
        <f ca="1"/>
      </c>
      <c r="CB411">
        <f ca="1"/>
      </c>
      <c r="CC411">
        <f ca="1"/>
      </c>
      <c r="CD411">
        <f ca="1"/>
      </c>
      <c r="CE411">
        <f ca="1"/>
      </c>
      <c r="CF411">
        <f ca="1"/>
      </c>
      <c r="CG411">
        <f ca="1"/>
      </c>
      <c r="CH411">
        <f ca="1"/>
      </c>
      <c r="CI411">
        <f ca="1"/>
      </c>
      <c r="CK411">
        <f ca="1"/>
      </c>
      <c r="CL411">
        <f ca="1"/>
      </c>
      <c r="CM411">
        <f ca="1"/>
      </c>
      <c r="CN411">
        <f ca="1"/>
      </c>
      <c r="CO411">
        <f ca="1"/>
      </c>
      <c r="CP411">
        <f ca="1"/>
      </c>
      <c r="CQ411">
        <f ca="1"/>
      </c>
      <c r="CR411">
        <f ca="1"/>
      </c>
      <c r="CS411">
        <f ca="1"/>
      </c>
      <c r="CT411">
        <f ca="1"/>
      </c>
      <c r="CU411">
        <f ca="1"/>
      </c>
      <c r="CV411">
        <f ca="1"/>
      </c>
      <c r="CW411">
        <f ca="1"/>
      </c>
      <c r="CX411">
        <f ca="1"/>
      </c>
      <c r="CY411">
        <f ca="1"/>
      </c>
      <c r="CZ411">
        <f ca="1"/>
      </c>
      <c r="DA411">
        <f ca="1"/>
      </c>
      <c r="DB411">
        <f ca="1"/>
      </c>
      <c r="DC411">
        <f ca="1"/>
      </c>
      <c r="DD411">
        <f ca="1"/>
      </c>
      <c r="DE411">
        <f ca="1"/>
      </c>
      <c r="DF411">
        <f ca="1"/>
      </c>
      <c r="DG411">
        <f ca="1"/>
      </c>
      <c r="DH411">
        <f ca="1"/>
      </c>
      <c r="DI411">
        <f ca="1"/>
      </c>
      <c r="DJ411">
        <f ca="1"/>
      </c>
      <c r="DK411">
        <f ca="1"/>
      </c>
      <c r="DL411">
        <f ca="1"/>
      </c>
      <c r="DM411">
        <f ca="1"/>
      </c>
      <c r="DN411">
        <f ca="1"/>
      </c>
      <c r="DO411">
        <f ca="1"/>
      </c>
      <c r="DP411">
        <f ca="1"/>
      </c>
      <c r="DQ411">
        <f ca="1"/>
      </c>
      <c r="DR411">
        <f ca="1"/>
      </c>
      <c r="DS411">
        <f ca="1"/>
      </c>
      <c r="DT411">
        <f ca="1"/>
      </c>
      <c r="DU411">
        <f ca="1"/>
      </c>
      <c r="DV411">
        <f ca="1"/>
      </c>
      <c r="DW411">
        <f ca="1"/>
      </c>
      <c r="DX411">
        <f ca="1"/>
      </c>
      <c r="DY411">
        <f ca="1"/>
      </c>
      <c r="DZ411">
        <f ca="1"/>
      </c>
      <c r="EA411">
        <f ca="1"/>
      </c>
      <c r="EB411">
        <f ca="1"/>
      </c>
      <c r="EC411">
        <f ca="1"/>
      </c>
      <c r="ED411">
        <f ca="1"/>
      </c>
      <c r="EE411">
        <f ca="1"/>
      </c>
      <c r="EG411">
        <f ca="1"/>
      </c>
      <c r="EH411">
        <f ca="1"/>
      </c>
      <c r="EI411">
        <f ca="1"/>
      </c>
      <c r="EJ411">
        <f ca="1"/>
      </c>
      <c r="EK411">
        <f ca="1"/>
      </c>
      <c r="EL411">
        <f ca="1"/>
      </c>
      <c r="EM411">
        <f ca="1"/>
      </c>
      <c r="EN411">
        <f ca="1"/>
      </c>
      <c r="EO411">
        <f ca="1"/>
      </c>
      <c r="EP411">
        <f ca="1"/>
      </c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FS411">
        <f ca="1"/>
      </c>
      <c r="FT411">
        <f ca="1"/>
      </c>
      <c r="FU411">
        <f ca="1"/>
      </c>
      <c r="FV411">
        <f ca="1"/>
      </c>
      <c r="FW411">
        <f ca="1"/>
      </c>
      <c r="FX411">
        <f ca="1"/>
      </c>
      <c r="FY411">
        <f ca="1"/>
      </c>
      <c r="FZ411">
        <f ca="1"/>
      </c>
      <c r="GA411">
        <f ca="1"/>
      </c>
      <c r="GM411" s="7"/>
    </row>
    <row r="412" spans="41:195" x14ac:dyDescent="0.55000000000000004">
      <c r="AO412">
        <f ca="1"/>
      </c>
      <c r="AP412">
        <f ca="1"/>
      </c>
      <c r="AQ412">
        <f ca="1"/>
      </c>
      <c r="AR412">
        <f ca="1"/>
      </c>
      <c r="AS412">
        <f ca="1"/>
      </c>
      <c r="AT412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AZ412">
        <f ca="1"/>
      </c>
      <c r="BA412">
        <f ca="1"/>
      </c>
      <c r="BB412">
        <f ca="1"/>
      </c>
      <c r="BC412">
        <f ca="1"/>
      </c>
      <c r="BD412">
        <f ca="1"/>
      </c>
      <c r="BE412">
        <f ca="1"/>
      </c>
      <c r="BF412">
        <f ca="1"/>
      </c>
      <c r="BG412">
        <f ca="1"/>
      </c>
      <c r="BH412">
        <f ca="1"/>
      </c>
      <c r="BI412">
        <f ca="1"/>
      </c>
      <c r="BJ412">
        <f ca="1"/>
      </c>
      <c r="BK412">
        <f ca="1"/>
      </c>
      <c r="BL412">
        <f ca="1"/>
      </c>
      <c r="BM412">
        <f ca="1"/>
      </c>
      <c r="BN412">
        <f ca="1"/>
      </c>
      <c r="BO412">
        <f ca="1"/>
      </c>
      <c r="BP412">
        <f ca="1"/>
      </c>
      <c r="BQ412">
        <f ca="1"/>
      </c>
      <c r="BR412">
        <f ca="1"/>
      </c>
      <c r="BS412">
        <f ca="1"/>
      </c>
      <c r="BT412">
        <f ca="1"/>
      </c>
      <c r="BU412">
        <f ca="1"/>
      </c>
      <c r="BV412">
        <f ca="1"/>
      </c>
      <c r="BW412">
        <f ca="1"/>
      </c>
      <c r="BX412">
        <f ca="1"/>
      </c>
      <c r="BY412">
        <f ca="1"/>
      </c>
      <c r="BZ412">
        <f ca="1"/>
      </c>
      <c r="CA412">
        <f ca="1"/>
      </c>
      <c r="CB412">
        <f ca="1"/>
      </c>
      <c r="CC412">
        <f ca="1"/>
      </c>
      <c r="CD412">
        <f ca="1"/>
      </c>
      <c r="CE412">
        <f ca="1"/>
      </c>
      <c r="CF412">
        <f ca="1"/>
      </c>
      <c r="CG412">
        <f ca="1"/>
      </c>
      <c r="CH412">
        <f ca="1"/>
      </c>
      <c r="CI412">
        <f ca="1"/>
      </c>
      <c r="CK412">
        <f ca="1"/>
      </c>
      <c r="CL412">
        <f ca="1"/>
      </c>
      <c r="CM412">
        <f ca="1"/>
      </c>
      <c r="CN412">
        <f ca="1"/>
      </c>
      <c r="CO412">
        <f ca="1"/>
      </c>
      <c r="CP412">
        <f ca="1"/>
      </c>
      <c r="CQ412">
        <f ca="1"/>
      </c>
      <c r="CR412">
        <f ca="1"/>
      </c>
      <c r="CS412">
        <f ca="1"/>
      </c>
      <c r="CT412">
        <f ca="1"/>
      </c>
      <c r="CU412">
        <f ca="1"/>
      </c>
      <c r="CV412">
        <f ca="1"/>
      </c>
      <c r="CW412">
        <f ca="1"/>
      </c>
      <c r="CX412">
        <f ca="1"/>
      </c>
      <c r="CY412">
        <f ca="1"/>
      </c>
      <c r="CZ412">
        <f ca="1"/>
      </c>
      <c r="DA412">
        <f ca="1"/>
      </c>
      <c r="DB412">
        <f ca="1"/>
      </c>
      <c r="DC412">
        <f ca="1"/>
      </c>
      <c r="DD412">
        <f ca="1"/>
      </c>
      <c r="DE412">
        <f ca="1"/>
      </c>
      <c r="DF412">
        <f ca="1"/>
      </c>
      <c r="DG412">
        <f ca="1"/>
      </c>
      <c r="DH412">
        <f ca="1"/>
      </c>
      <c r="DI412">
        <f ca="1"/>
      </c>
      <c r="DJ412">
        <f ca="1"/>
      </c>
      <c r="DK412">
        <f ca="1"/>
      </c>
      <c r="DL412">
        <f ca="1"/>
      </c>
      <c r="DM412">
        <f ca="1"/>
      </c>
      <c r="DN412">
        <f ca="1"/>
      </c>
      <c r="DO412">
        <f ca="1"/>
      </c>
      <c r="DP412">
        <f ca="1"/>
      </c>
      <c r="DQ412">
        <f ca="1"/>
      </c>
      <c r="DR412">
        <f ca="1"/>
      </c>
      <c r="DS412">
        <f ca="1"/>
      </c>
      <c r="DT412">
        <f ca="1"/>
      </c>
      <c r="DU412">
        <f ca="1"/>
      </c>
      <c r="DV412">
        <f ca="1"/>
      </c>
      <c r="DW412">
        <f ca="1"/>
      </c>
      <c r="DX412">
        <f ca="1"/>
      </c>
      <c r="DY412">
        <f ca="1"/>
      </c>
      <c r="DZ412">
        <f ca="1"/>
      </c>
      <c r="EA412">
        <f ca="1"/>
      </c>
      <c r="EB412">
        <f ca="1"/>
      </c>
      <c r="EC412">
        <f ca="1"/>
      </c>
      <c r="ED412">
        <f ca="1"/>
      </c>
      <c r="EE412">
        <f ca="1"/>
      </c>
      <c r="EG412">
        <f ca="1"/>
      </c>
      <c r="EH412">
        <f ca="1"/>
      </c>
      <c r="EI412">
        <f ca="1"/>
      </c>
      <c r="EJ412">
        <f ca="1"/>
      </c>
      <c r="EK412">
        <f ca="1"/>
      </c>
      <c r="EL412">
        <f ca="1"/>
      </c>
      <c r="EM412">
        <f ca="1"/>
      </c>
      <c r="EN412">
        <f ca="1"/>
      </c>
      <c r="EO412">
        <f ca="1"/>
      </c>
      <c r="EP412">
        <f ca="1"/>
      </c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FS412">
        <f ca="1"/>
      </c>
      <c r="FT412">
        <f ca="1"/>
      </c>
      <c r="FU412">
        <f ca="1"/>
      </c>
      <c r="FV412">
        <f ca="1"/>
      </c>
      <c r="FW412">
        <f ca="1"/>
      </c>
      <c r="FX412">
        <f ca="1"/>
      </c>
      <c r="FY412">
        <f ca="1"/>
      </c>
      <c r="FZ412">
        <f ca="1"/>
      </c>
      <c r="GA412">
        <f ca="1"/>
      </c>
      <c r="GM412" s="7"/>
    </row>
    <row r="413" spans="41:195" x14ac:dyDescent="0.55000000000000004">
      <c r="AO413">
        <f ca="1"/>
      </c>
      <c r="AP413">
        <f ca="1"/>
      </c>
      <c r="AQ413">
        <f ca="1"/>
      </c>
      <c r="AR413">
        <f ca="1"/>
      </c>
      <c r="AS413">
        <f ca="1"/>
      </c>
      <c r="AT413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AZ413">
        <f ca="1"/>
      </c>
      <c r="BA413">
        <f ca="1"/>
      </c>
      <c r="BB413">
        <f ca="1"/>
      </c>
      <c r="BC413">
        <f ca="1"/>
      </c>
      <c r="BD413">
        <f ca="1"/>
      </c>
      <c r="BE413">
        <f ca="1"/>
      </c>
      <c r="BF413">
        <f ca="1"/>
      </c>
      <c r="BG413">
        <f ca="1"/>
      </c>
      <c r="BH413">
        <f ca="1"/>
      </c>
      <c r="BI413">
        <f ca="1"/>
      </c>
      <c r="BJ413">
        <f ca="1"/>
      </c>
      <c r="BK413">
        <f ca="1"/>
      </c>
      <c r="BL413">
        <f ca="1"/>
      </c>
      <c r="BM413">
        <f ca="1"/>
      </c>
      <c r="BN413">
        <f ca="1"/>
      </c>
      <c r="BO413">
        <f ca="1"/>
      </c>
      <c r="BP413">
        <f ca="1"/>
      </c>
      <c r="BQ413">
        <f ca="1"/>
      </c>
      <c r="BR413">
        <f ca="1"/>
      </c>
      <c r="BS413">
        <f ca="1"/>
      </c>
      <c r="BT413">
        <f ca="1"/>
      </c>
      <c r="BU413">
        <f ca="1"/>
      </c>
      <c r="BV413">
        <f ca="1"/>
      </c>
      <c r="BW413">
        <f ca="1"/>
      </c>
      <c r="BX413">
        <f ca="1"/>
      </c>
      <c r="BY413">
        <f ca="1"/>
      </c>
      <c r="BZ413">
        <f ca="1"/>
      </c>
      <c r="CA413">
        <f ca="1"/>
      </c>
      <c r="CB413">
        <f ca="1"/>
      </c>
      <c r="CC413">
        <f ca="1"/>
      </c>
      <c r="CD413">
        <f ca="1"/>
      </c>
      <c r="CE413">
        <f ca="1"/>
      </c>
      <c r="CF413">
        <f ca="1"/>
      </c>
      <c r="CG413">
        <f ca="1"/>
      </c>
      <c r="CH413">
        <f ca="1"/>
      </c>
      <c r="CI413">
        <f ca="1"/>
      </c>
      <c r="CK413">
        <f ca="1"/>
      </c>
      <c r="CL413">
        <f ca="1"/>
      </c>
      <c r="CM413">
        <f ca="1"/>
      </c>
      <c r="CN413">
        <f ca="1"/>
      </c>
      <c r="CO413">
        <f ca="1"/>
      </c>
      <c r="CP413">
        <f ca="1"/>
      </c>
      <c r="CQ413">
        <f ca="1"/>
      </c>
      <c r="CR413">
        <f ca="1"/>
      </c>
      <c r="CS413">
        <f ca="1"/>
      </c>
      <c r="CT413">
        <f ca="1"/>
      </c>
      <c r="CU413">
        <f ca="1"/>
      </c>
      <c r="CV413">
        <f ca="1"/>
      </c>
      <c r="CW413">
        <f ca="1"/>
      </c>
      <c r="CX413">
        <f ca="1"/>
      </c>
      <c r="CY413">
        <f ca="1"/>
      </c>
      <c r="CZ413">
        <f ca="1"/>
      </c>
      <c r="DA413">
        <f ca="1"/>
      </c>
      <c r="DB413">
        <f ca="1"/>
      </c>
      <c r="DC413">
        <f ca="1"/>
      </c>
      <c r="DD413">
        <f ca="1"/>
      </c>
      <c r="DE413">
        <f ca="1"/>
      </c>
      <c r="DF413">
        <f ca="1"/>
      </c>
      <c r="DG413">
        <f ca="1"/>
      </c>
      <c r="DH413">
        <f ca="1"/>
      </c>
      <c r="DI413">
        <f ca="1"/>
      </c>
      <c r="DJ413">
        <f ca="1"/>
      </c>
      <c r="DK413">
        <f ca="1"/>
      </c>
      <c r="DL413">
        <f ca="1"/>
      </c>
      <c r="DM413">
        <f ca="1"/>
      </c>
      <c r="DN413">
        <f ca="1"/>
      </c>
      <c r="DO413">
        <f ca="1"/>
      </c>
      <c r="DP413">
        <f ca="1"/>
      </c>
      <c r="DQ413">
        <f ca="1"/>
      </c>
      <c r="DR413">
        <f ca="1"/>
      </c>
      <c r="DS413">
        <f ca="1"/>
      </c>
      <c r="DT413">
        <f ca="1"/>
      </c>
      <c r="DU413">
        <f ca="1"/>
      </c>
      <c r="DV413">
        <f ca="1"/>
      </c>
      <c r="DW413">
        <f ca="1"/>
      </c>
      <c r="DX413">
        <f ca="1"/>
      </c>
      <c r="DY413">
        <f ca="1"/>
      </c>
      <c r="DZ413">
        <f ca="1"/>
      </c>
      <c r="EA413">
        <f ca="1"/>
      </c>
      <c r="EB413">
        <f ca="1"/>
      </c>
      <c r="EC413">
        <f ca="1"/>
      </c>
      <c r="ED413">
        <f ca="1"/>
      </c>
      <c r="EE413">
        <f ca="1"/>
      </c>
      <c r="EG413">
        <f ca="1"/>
      </c>
      <c r="EH413">
        <f ca="1"/>
      </c>
      <c r="EI413">
        <f ca="1"/>
      </c>
      <c r="EJ413">
        <f ca="1"/>
      </c>
      <c r="EK413">
        <f ca="1"/>
      </c>
      <c r="EL413">
        <f ca="1"/>
      </c>
      <c r="EM413">
        <f ca="1"/>
      </c>
      <c r="EN413">
        <f ca="1"/>
      </c>
      <c r="EO413">
        <f ca="1"/>
      </c>
      <c r="EP413">
        <f ca="1"/>
      </c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FS413">
        <f ca="1"/>
      </c>
      <c r="FT413">
        <f ca="1"/>
      </c>
      <c r="FU413">
        <f ca="1"/>
      </c>
      <c r="FV413">
        <f ca="1"/>
      </c>
      <c r="FW413">
        <f ca="1"/>
      </c>
      <c r="FX413">
        <f ca="1"/>
      </c>
      <c r="FY413">
        <f ca="1"/>
      </c>
      <c r="FZ413">
        <f ca="1"/>
      </c>
      <c r="GA413">
        <f ca="1"/>
      </c>
      <c r="GM413" s="7"/>
    </row>
    <row r="414" spans="41:195" x14ac:dyDescent="0.55000000000000004">
      <c r="AO414">
        <f ca="1"/>
      </c>
      <c r="AP414">
        <f ca="1"/>
      </c>
      <c r="AQ414">
        <f ca="1"/>
      </c>
      <c r="AR414">
        <f ca="1"/>
      </c>
      <c r="AS414">
        <f ca="1"/>
      </c>
      <c r="AT414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AZ414">
        <f ca="1"/>
      </c>
      <c r="BA414">
        <f ca="1"/>
      </c>
      <c r="BB414">
        <f ca="1"/>
      </c>
      <c r="BC414">
        <f ca="1"/>
      </c>
      <c r="BD414">
        <f ca="1"/>
      </c>
      <c r="BE414">
        <f ca="1"/>
      </c>
      <c r="BF414">
        <f ca="1"/>
      </c>
      <c r="BG414">
        <f ca="1"/>
      </c>
      <c r="BH414">
        <f ca="1"/>
      </c>
      <c r="BI414">
        <f ca="1"/>
      </c>
      <c r="BJ414">
        <f ca="1"/>
      </c>
      <c r="BK414">
        <f ca="1"/>
      </c>
      <c r="BL414">
        <f ca="1"/>
      </c>
      <c r="BM414">
        <f ca="1"/>
      </c>
      <c r="BN414">
        <f ca="1"/>
      </c>
      <c r="BO414">
        <f ca="1"/>
      </c>
      <c r="BP414">
        <f ca="1"/>
      </c>
      <c r="BQ414">
        <f ca="1"/>
      </c>
      <c r="BR414">
        <f ca="1"/>
      </c>
      <c r="BS414">
        <f ca="1"/>
      </c>
      <c r="BT414">
        <f ca="1"/>
      </c>
      <c r="BU414">
        <f ca="1"/>
      </c>
      <c r="BV414">
        <f ca="1"/>
      </c>
      <c r="BW414">
        <f ca="1"/>
      </c>
      <c r="BX414">
        <f ca="1"/>
      </c>
      <c r="BY414">
        <f ca="1"/>
      </c>
      <c r="BZ414">
        <f ca="1"/>
      </c>
      <c r="CA414">
        <f ca="1"/>
      </c>
      <c r="CB414">
        <f ca="1"/>
      </c>
      <c r="CC414">
        <f ca="1"/>
      </c>
      <c r="CD414">
        <f ca="1"/>
      </c>
      <c r="CE414">
        <f ca="1"/>
      </c>
      <c r="CF414">
        <f ca="1"/>
      </c>
      <c r="CG414">
        <f ca="1"/>
      </c>
      <c r="CH414">
        <f ca="1"/>
      </c>
      <c r="CI414">
        <f ca="1"/>
      </c>
      <c r="CK414">
        <f ca="1"/>
      </c>
      <c r="CL414">
        <f ca="1"/>
      </c>
      <c r="CM414">
        <f ca="1"/>
      </c>
      <c r="CN414">
        <f ca="1"/>
      </c>
      <c r="CO414">
        <f ca="1"/>
      </c>
      <c r="CP414">
        <f ca="1"/>
      </c>
      <c r="CQ414">
        <f ca="1"/>
      </c>
      <c r="CR414">
        <f ca="1"/>
      </c>
      <c r="CS414">
        <f ca="1"/>
      </c>
      <c r="CT414">
        <f ca="1"/>
      </c>
      <c r="CU414">
        <f ca="1"/>
      </c>
      <c r="CV414">
        <f ca="1"/>
      </c>
      <c r="CW414">
        <f ca="1"/>
      </c>
      <c r="CX414">
        <f ca="1"/>
      </c>
      <c r="CY414">
        <f ca="1"/>
      </c>
      <c r="CZ414">
        <f ca="1"/>
      </c>
      <c r="DA414">
        <f ca="1"/>
      </c>
      <c r="DB414">
        <f ca="1"/>
      </c>
      <c r="DC414">
        <f ca="1"/>
      </c>
      <c r="DD414">
        <f ca="1"/>
      </c>
      <c r="DE414">
        <f ca="1"/>
      </c>
      <c r="DF414">
        <f ca="1"/>
      </c>
      <c r="DG414">
        <f ca="1"/>
      </c>
      <c r="DH414">
        <f ca="1"/>
      </c>
      <c r="DI414">
        <f ca="1"/>
      </c>
      <c r="DJ414">
        <f ca="1"/>
      </c>
      <c r="DK414">
        <f ca="1"/>
      </c>
      <c r="DL414">
        <f ca="1"/>
      </c>
      <c r="DM414">
        <f ca="1"/>
      </c>
      <c r="DN414">
        <f ca="1"/>
      </c>
      <c r="DO414">
        <f ca="1"/>
      </c>
      <c r="DP414">
        <f ca="1"/>
      </c>
      <c r="DQ414">
        <f ca="1"/>
      </c>
      <c r="DR414">
        <f ca="1"/>
      </c>
      <c r="DS414">
        <f ca="1"/>
      </c>
      <c r="DT414">
        <f ca="1"/>
      </c>
      <c r="DU414">
        <f ca="1"/>
      </c>
      <c r="DV414">
        <f ca="1"/>
      </c>
      <c r="DW414">
        <f ca="1"/>
      </c>
      <c r="DX414">
        <f ca="1"/>
      </c>
      <c r="DY414">
        <f ca="1"/>
      </c>
      <c r="DZ414">
        <f ca="1"/>
      </c>
      <c r="EA414">
        <f ca="1"/>
      </c>
      <c r="EB414">
        <f ca="1"/>
      </c>
      <c r="EC414">
        <f ca="1"/>
      </c>
      <c r="ED414">
        <f ca="1"/>
      </c>
      <c r="EE414">
        <f ca="1"/>
      </c>
      <c r="EG414">
        <f ca="1"/>
      </c>
      <c r="EH414">
        <f ca="1"/>
      </c>
      <c r="EI414">
        <f ca="1"/>
      </c>
      <c r="EJ414">
        <f ca="1"/>
      </c>
      <c r="EK414">
        <f ca="1"/>
      </c>
      <c r="EL414">
        <f ca="1"/>
      </c>
      <c r="EM414">
        <f ca="1"/>
      </c>
      <c r="EN414">
        <f ca="1"/>
      </c>
      <c r="EO414">
        <f ca="1"/>
      </c>
      <c r="EP414">
        <f ca="1"/>
      </c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FS414">
        <f ca="1"/>
      </c>
      <c r="FT414">
        <f ca="1"/>
      </c>
      <c r="FU414">
        <f ca="1"/>
      </c>
      <c r="FV414">
        <f ca="1"/>
      </c>
      <c r="FW414">
        <f ca="1"/>
      </c>
      <c r="FX414">
        <f ca="1"/>
      </c>
      <c r="FY414">
        <f ca="1"/>
      </c>
      <c r="FZ414">
        <f ca="1"/>
      </c>
      <c r="GA414">
        <f ca="1"/>
      </c>
      <c r="GM414" s="7"/>
    </row>
    <row r="415" spans="41:195" x14ac:dyDescent="0.55000000000000004">
      <c r="AO415">
        <f ca="1"/>
      </c>
      <c r="AP415">
        <f ca="1"/>
      </c>
      <c r="AQ415">
        <f ca="1"/>
      </c>
      <c r="AR415">
        <f ca="1"/>
      </c>
      <c r="AS415">
        <f ca="1"/>
      </c>
      <c r="AT415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AZ415">
        <f ca="1"/>
      </c>
      <c r="BA415">
        <f ca="1"/>
      </c>
      <c r="BB415">
        <f ca="1"/>
      </c>
      <c r="BC415">
        <f ca="1"/>
      </c>
      <c r="BD415">
        <f ca="1"/>
      </c>
      <c r="BE415">
        <f ca="1"/>
      </c>
      <c r="BF415">
        <f ca="1"/>
      </c>
      <c r="BG415">
        <f ca="1"/>
      </c>
      <c r="BH415">
        <f ca="1"/>
      </c>
      <c r="BI415">
        <f ca="1"/>
      </c>
      <c r="BJ415">
        <f ca="1"/>
      </c>
      <c r="BK415">
        <f ca="1"/>
      </c>
      <c r="BL415">
        <f ca="1"/>
      </c>
      <c r="BM415">
        <f ca="1"/>
      </c>
      <c r="BN415">
        <f ca="1"/>
      </c>
      <c r="BO415">
        <f ca="1"/>
      </c>
      <c r="BP415">
        <f ca="1"/>
      </c>
      <c r="BQ415">
        <f ca="1"/>
      </c>
      <c r="BR415">
        <f ca="1"/>
      </c>
      <c r="BS415">
        <f ca="1"/>
      </c>
      <c r="BT415">
        <f ca="1"/>
      </c>
      <c r="BU415">
        <f ca="1"/>
      </c>
      <c r="BV415">
        <f ca="1"/>
      </c>
      <c r="BW415">
        <f ca="1"/>
      </c>
      <c r="BX415">
        <f ca="1"/>
      </c>
      <c r="BY415">
        <f ca="1"/>
      </c>
      <c r="BZ415">
        <f ca="1"/>
      </c>
      <c r="CA415">
        <f ca="1"/>
      </c>
      <c r="CB415">
        <f ca="1"/>
      </c>
      <c r="CC415">
        <f ca="1"/>
      </c>
      <c r="CD415">
        <f ca="1"/>
      </c>
      <c r="CE415">
        <f ca="1"/>
      </c>
      <c r="CF415">
        <f ca="1"/>
      </c>
      <c r="CG415">
        <f ca="1"/>
      </c>
      <c r="CH415">
        <f ca="1"/>
      </c>
      <c r="CI415">
        <f ca="1"/>
      </c>
      <c r="CK415">
        <f ca="1"/>
      </c>
      <c r="CL415">
        <f ca="1"/>
      </c>
      <c r="CM415">
        <f ca="1"/>
      </c>
      <c r="CN415">
        <f ca="1"/>
      </c>
      <c r="CO415">
        <f ca="1"/>
      </c>
      <c r="CP415">
        <f ca="1"/>
      </c>
      <c r="CQ415">
        <f ca="1"/>
      </c>
      <c r="CR415">
        <f ca="1"/>
      </c>
      <c r="CS415">
        <f ca="1"/>
      </c>
      <c r="CT415">
        <f ca="1"/>
      </c>
      <c r="CU415">
        <f ca="1"/>
      </c>
      <c r="CV415">
        <f ca="1"/>
      </c>
      <c r="CW415">
        <f ca="1"/>
      </c>
      <c r="CX415">
        <f ca="1"/>
      </c>
      <c r="CY415">
        <f ca="1"/>
      </c>
      <c r="CZ415">
        <f ca="1"/>
      </c>
      <c r="DA415">
        <f ca="1"/>
      </c>
      <c r="DB415">
        <f ca="1"/>
      </c>
      <c r="DC415">
        <f ca="1"/>
      </c>
      <c r="DD415">
        <f ca="1"/>
      </c>
      <c r="DE415">
        <f ca="1"/>
      </c>
      <c r="DF415">
        <f ca="1"/>
      </c>
      <c r="DG415">
        <f ca="1"/>
      </c>
      <c r="DH415">
        <f ca="1"/>
      </c>
      <c r="DI415">
        <f ca="1"/>
      </c>
      <c r="DJ415">
        <f ca="1"/>
      </c>
      <c r="DK415">
        <f ca="1"/>
      </c>
      <c r="DL415">
        <f ca="1"/>
      </c>
      <c r="DM415">
        <f ca="1"/>
      </c>
      <c r="DN415">
        <f ca="1"/>
      </c>
      <c r="DO415">
        <f ca="1"/>
      </c>
      <c r="DP415">
        <f ca="1"/>
      </c>
      <c r="DQ415">
        <f ca="1"/>
      </c>
      <c r="DR415">
        <f ca="1"/>
      </c>
      <c r="DS415">
        <f ca="1"/>
      </c>
      <c r="DT415">
        <f ca="1"/>
      </c>
      <c r="DU415">
        <f ca="1"/>
      </c>
      <c r="DV415">
        <f ca="1"/>
      </c>
      <c r="DW415">
        <f ca="1"/>
      </c>
      <c r="DX415">
        <f ca="1"/>
      </c>
      <c r="DY415">
        <f ca="1"/>
      </c>
      <c r="DZ415">
        <f ca="1"/>
      </c>
      <c r="EA415">
        <f ca="1"/>
      </c>
      <c r="EB415">
        <f ca="1"/>
      </c>
      <c r="EC415">
        <f ca="1"/>
      </c>
      <c r="ED415">
        <f ca="1"/>
      </c>
      <c r="EE415">
        <f ca="1"/>
      </c>
      <c r="EG415">
        <f ca="1"/>
      </c>
      <c r="EH415">
        <f ca="1"/>
      </c>
      <c r="EI415">
        <f ca="1"/>
      </c>
      <c r="EJ415">
        <f ca="1"/>
      </c>
      <c r="EK415">
        <f ca="1"/>
      </c>
      <c r="EL415">
        <f ca="1"/>
      </c>
      <c r="EM415">
        <f ca="1"/>
      </c>
      <c r="EN415">
        <f ca="1"/>
      </c>
      <c r="EO415">
        <f ca="1"/>
      </c>
      <c r="EP415">
        <f ca="1"/>
      </c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FS415">
        <f ca="1"/>
      </c>
      <c r="FT415">
        <f ca="1"/>
      </c>
      <c r="FU415">
        <f ca="1"/>
      </c>
      <c r="FV415">
        <f ca="1"/>
      </c>
      <c r="FW415">
        <f ca="1"/>
      </c>
      <c r="FX415">
        <f ca="1"/>
      </c>
      <c r="FY415">
        <f ca="1"/>
      </c>
      <c r="FZ415">
        <f ca="1"/>
      </c>
      <c r="GA415">
        <f ca="1"/>
      </c>
      <c r="GM415" s="7"/>
    </row>
    <row r="416" spans="41:195" x14ac:dyDescent="0.55000000000000004">
      <c r="AO416">
        <f ca="1"/>
      </c>
      <c r="AP416">
        <f ca="1"/>
      </c>
      <c r="AQ416">
        <f ca="1"/>
      </c>
      <c r="AR416">
        <f ca="1"/>
      </c>
      <c r="AS416">
        <f ca="1"/>
      </c>
      <c r="AT416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AZ416">
        <f ca="1"/>
      </c>
      <c r="BA416">
        <f ca="1"/>
      </c>
      <c r="BB416">
        <f ca="1"/>
      </c>
      <c r="BC416">
        <f ca="1"/>
      </c>
      <c r="BD416">
        <f ca="1"/>
      </c>
      <c r="BE416">
        <f ca="1"/>
      </c>
      <c r="BF416">
        <f ca="1"/>
      </c>
      <c r="BG416">
        <f ca="1"/>
      </c>
      <c r="BH416">
        <f ca="1"/>
      </c>
      <c r="BI416">
        <f ca="1"/>
      </c>
      <c r="BJ416">
        <f ca="1"/>
      </c>
      <c r="BK416">
        <f ca="1"/>
      </c>
      <c r="BL416">
        <f ca="1"/>
      </c>
      <c r="BM416">
        <f ca="1"/>
      </c>
      <c r="BN416">
        <f ca="1"/>
      </c>
      <c r="BO416">
        <f ca="1"/>
      </c>
      <c r="BP416">
        <f ca="1"/>
      </c>
      <c r="BQ416">
        <f ca="1"/>
      </c>
      <c r="BR416">
        <f ca="1"/>
      </c>
      <c r="BS416">
        <f ca="1"/>
      </c>
      <c r="BT416">
        <f ca="1"/>
      </c>
      <c r="BU416">
        <f ca="1"/>
      </c>
      <c r="BV416">
        <f ca="1"/>
      </c>
      <c r="BW416">
        <f ca="1"/>
      </c>
      <c r="BX416">
        <f ca="1"/>
      </c>
      <c r="BY416">
        <f ca="1"/>
      </c>
      <c r="BZ416">
        <f ca="1"/>
      </c>
      <c r="CA416">
        <f ca="1"/>
      </c>
      <c r="CB416">
        <f ca="1"/>
      </c>
      <c r="CC416">
        <f ca="1"/>
      </c>
      <c r="CD416">
        <f ca="1"/>
      </c>
      <c r="CE416">
        <f ca="1"/>
      </c>
      <c r="CF416">
        <f ca="1"/>
      </c>
      <c r="CG416">
        <f ca="1"/>
      </c>
      <c r="CH416">
        <f ca="1"/>
      </c>
      <c r="CI416">
        <f ca="1"/>
      </c>
      <c r="CK416">
        <f ca="1"/>
      </c>
      <c r="CL416">
        <f ca="1"/>
      </c>
      <c r="CM416">
        <f ca="1"/>
      </c>
      <c r="CN416">
        <f ca="1"/>
      </c>
      <c r="CO416">
        <f ca="1"/>
      </c>
      <c r="CP416">
        <f ca="1"/>
      </c>
      <c r="CQ416">
        <f ca="1"/>
      </c>
      <c r="CR416">
        <f ca="1"/>
      </c>
      <c r="CS416">
        <f ca="1"/>
      </c>
      <c r="CT416">
        <f ca="1"/>
      </c>
      <c r="CU416">
        <f ca="1"/>
      </c>
      <c r="CV416">
        <f ca="1"/>
      </c>
      <c r="CW416">
        <f ca="1"/>
      </c>
      <c r="CX416">
        <f ca="1"/>
      </c>
      <c r="CY416">
        <f ca="1"/>
      </c>
      <c r="CZ416">
        <f ca="1"/>
      </c>
      <c r="DA416">
        <f ca="1"/>
      </c>
      <c r="DB416">
        <f ca="1"/>
      </c>
      <c r="DC416">
        <f ca="1"/>
      </c>
      <c r="DD416">
        <f ca="1"/>
      </c>
      <c r="DE416">
        <f ca="1"/>
      </c>
      <c r="DF416">
        <f ca="1"/>
      </c>
      <c r="DG416">
        <f ca="1"/>
      </c>
      <c r="DH416">
        <f ca="1"/>
      </c>
      <c r="DI416">
        <f ca="1"/>
      </c>
      <c r="DJ416">
        <f ca="1"/>
      </c>
      <c r="DK416">
        <f ca="1"/>
      </c>
      <c r="DL416">
        <f ca="1"/>
      </c>
      <c r="DM416">
        <f ca="1"/>
      </c>
      <c r="DN416">
        <f ca="1"/>
      </c>
      <c r="DO416">
        <f ca="1"/>
      </c>
      <c r="DP416">
        <f ca="1"/>
      </c>
      <c r="DQ416">
        <f ca="1"/>
      </c>
      <c r="DR416">
        <f ca="1"/>
      </c>
      <c r="DS416">
        <f ca="1"/>
      </c>
      <c r="DT416">
        <f ca="1"/>
      </c>
      <c r="DU416">
        <f ca="1"/>
      </c>
      <c r="DV416">
        <f ca="1"/>
      </c>
      <c r="DW416">
        <f ca="1"/>
      </c>
      <c r="DX416">
        <f ca="1"/>
      </c>
      <c r="DY416">
        <f ca="1"/>
      </c>
      <c r="DZ416">
        <f ca="1"/>
      </c>
      <c r="EA416">
        <f ca="1"/>
      </c>
      <c r="EB416">
        <f ca="1"/>
      </c>
      <c r="EC416">
        <f ca="1"/>
      </c>
      <c r="ED416">
        <f ca="1"/>
      </c>
      <c r="EE416">
        <f ca="1"/>
      </c>
      <c r="EG416">
        <f ca="1"/>
      </c>
      <c r="EH416">
        <f ca="1"/>
      </c>
      <c r="EI416">
        <f ca="1"/>
      </c>
      <c r="EJ416">
        <f ca="1"/>
      </c>
      <c r="EK416">
        <f ca="1"/>
      </c>
      <c r="EL416">
        <f ca="1"/>
      </c>
      <c r="EM416">
        <f ca="1"/>
      </c>
      <c r="EN416">
        <f ca="1"/>
      </c>
      <c r="EO416">
        <f ca="1"/>
      </c>
      <c r="EP416">
        <f ca="1"/>
      </c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FS416">
        <f ca="1"/>
      </c>
      <c r="FT416">
        <f ca="1"/>
      </c>
      <c r="FU416">
        <f ca="1"/>
      </c>
      <c r="FV416">
        <f ca="1"/>
      </c>
      <c r="FW416">
        <f ca="1"/>
      </c>
      <c r="FX416">
        <f ca="1"/>
      </c>
      <c r="FY416">
        <f ca="1"/>
      </c>
      <c r="FZ416">
        <f ca="1"/>
      </c>
      <c r="GA416">
        <f ca="1"/>
      </c>
      <c r="GM416" s="7"/>
    </row>
    <row r="417" spans="41:195" x14ac:dyDescent="0.55000000000000004">
      <c r="AO417">
        <f ca="1"/>
      </c>
      <c r="AP417">
        <f ca="1"/>
      </c>
      <c r="AQ417">
        <f ca="1"/>
      </c>
      <c r="AR417">
        <f ca="1"/>
      </c>
      <c r="AS417">
        <f ca="1"/>
      </c>
      <c r="AT41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AZ417">
        <f ca="1"/>
      </c>
      <c r="BA417">
        <f ca="1"/>
      </c>
      <c r="BB417">
        <f ca="1"/>
      </c>
      <c r="BC417">
        <f ca="1"/>
      </c>
      <c r="BD417">
        <f ca="1"/>
      </c>
      <c r="BE417">
        <f ca="1"/>
      </c>
      <c r="BF417">
        <f ca="1"/>
      </c>
      <c r="BG417">
        <f ca="1"/>
      </c>
      <c r="BH417">
        <f ca="1"/>
      </c>
      <c r="BI417">
        <f ca="1"/>
      </c>
      <c r="BJ417">
        <f ca="1"/>
      </c>
      <c r="BK417">
        <f ca="1"/>
      </c>
      <c r="BL417">
        <f ca="1"/>
      </c>
      <c r="BM417">
        <f ca="1"/>
      </c>
      <c r="BN417">
        <f ca="1"/>
      </c>
      <c r="BO417">
        <f ca="1"/>
      </c>
      <c r="BP417">
        <f ca="1"/>
      </c>
      <c r="BQ417">
        <f ca="1"/>
      </c>
      <c r="BR417">
        <f ca="1"/>
      </c>
      <c r="BS417">
        <f ca="1"/>
      </c>
      <c r="BT417">
        <f ca="1"/>
      </c>
      <c r="BU417">
        <f ca="1"/>
      </c>
      <c r="BV417">
        <f ca="1"/>
      </c>
      <c r="BW417">
        <f ca="1"/>
      </c>
      <c r="BX417">
        <f ca="1"/>
      </c>
      <c r="BY417">
        <f ca="1"/>
      </c>
      <c r="BZ417">
        <f ca="1"/>
      </c>
      <c r="CA417">
        <f ca="1"/>
      </c>
      <c r="CB417">
        <f ca="1"/>
      </c>
      <c r="CC417">
        <f ca="1"/>
      </c>
      <c r="CD417">
        <f ca="1"/>
      </c>
      <c r="CE417">
        <f ca="1"/>
      </c>
      <c r="CF417">
        <f ca="1"/>
      </c>
      <c r="CG417">
        <f ca="1"/>
      </c>
      <c r="CH417">
        <f ca="1"/>
      </c>
      <c r="CI417">
        <f ca="1"/>
      </c>
      <c r="CK417">
        <f ca="1"/>
      </c>
      <c r="CL417">
        <f ca="1"/>
      </c>
      <c r="CM417">
        <f ca="1"/>
      </c>
      <c r="CN417">
        <f ca="1"/>
      </c>
      <c r="CO417">
        <f ca="1"/>
      </c>
      <c r="CP417">
        <f ca="1"/>
      </c>
      <c r="CQ417">
        <f ca="1"/>
      </c>
      <c r="CR417">
        <f ca="1"/>
      </c>
      <c r="CS417">
        <f ca="1"/>
      </c>
      <c r="CT417">
        <f ca="1"/>
      </c>
      <c r="CU417">
        <f ca="1"/>
      </c>
      <c r="CV417">
        <f ca="1"/>
      </c>
      <c r="CW417">
        <f ca="1"/>
      </c>
      <c r="CX417">
        <f ca="1"/>
      </c>
      <c r="CY417">
        <f ca="1"/>
      </c>
      <c r="CZ417">
        <f ca="1"/>
      </c>
      <c r="DA417">
        <f ca="1"/>
      </c>
      <c r="DB417">
        <f ca="1"/>
      </c>
      <c r="DC417">
        <f ca="1"/>
      </c>
      <c r="DD417">
        <f ca="1"/>
      </c>
      <c r="DE417">
        <f ca="1"/>
      </c>
      <c r="DF417">
        <f ca="1"/>
      </c>
      <c r="DG417">
        <f ca="1"/>
      </c>
      <c r="DH417">
        <f ca="1"/>
      </c>
      <c r="DI417">
        <f ca="1"/>
      </c>
      <c r="DJ417">
        <f ca="1"/>
      </c>
      <c r="DK417">
        <f ca="1"/>
      </c>
      <c r="DL417">
        <f ca="1"/>
      </c>
      <c r="DM417">
        <f ca="1"/>
      </c>
      <c r="DN417">
        <f ca="1"/>
      </c>
      <c r="DO417">
        <f ca="1"/>
      </c>
      <c r="DP417">
        <f ca="1"/>
      </c>
      <c r="DQ417">
        <f ca="1"/>
      </c>
      <c r="DR417">
        <f ca="1"/>
      </c>
      <c r="DS417">
        <f ca="1"/>
      </c>
      <c r="DT417">
        <f ca="1"/>
      </c>
      <c r="DU417">
        <f ca="1"/>
      </c>
      <c r="DV417">
        <f ca="1"/>
      </c>
      <c r="DW417">
        <f ca="1"/>
      </c>
      <c r="DX417">
        <f ca="1"/>
      </c>
      <c r="DY417">
        <f ca="1"/>
      </c>
      <c r="DZ417">
        <f ca="1"/>
      </c>
      <c r="EA417">
        <f ca="1"/>
      </c>
      <c r="EB417">
        <f ca="1"/>
      </c>
      <c r="EC417">
        <f ca="1"/>
      </c>
      <c r="ED417">
        <f ca="1"/>
      </c>
      <c r="EE417">
        <f ca="1"/>
      </c>
      <c r="EG417">
        <f ca="1"/>
      </c>
      <c r="EH417">
        <f ca="1"/>
      </c>
      <c r="EI417">
        <f ca="1"/>
      </c>
      <c r="EJ417">
        <f ca="1"/>
      </c>
      <c r="EK417">
        <f ca="1"/>
      </c>
      <c r="EL417">
        <f ca="1"/>
      </c>
      <c r="EM417">
        <f ca="1"/>
      </c>
      <c r="EN417">
        <f ca="1"/>
      </c>
      <c r="EO417">
        <f ca="1"/>
      </c>
      <c r="EP417">
        <f ca="1"/>
      </c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FS417">
        <f ca="1"/>
      </c>
      <c r="FT417">
        <f ca="1"/>
      </c>
      <c r="FU417">
        <f ca="1"/>
      </c>
      <c r="FV417">
        <f ca="1"/>
      </c>
      <c r="FW417">
        <f ca="1"/>
      </c>
      <c r="FX417">
        <f ca="1"/>
      </c>
      <c r="FY417">
        <f ca="1"/>
      </c>
      <c r="FZ417">
        <f ca="1"/>
      </c>
      <c r="GA417">
        <f ca="1"/>
      </c>
      <c r="GM417" s="7"/>
    </row>
    <row r="418" spans="41:195" x14ac:dyDescent="0.55000000000000004">
      <c r="AO418">
        <f ca="1"/>
      </c>
      <c r="AP418">
        <f ca="1"/>
      </c>
      <c r="AQ418">
        <f ca="1"/>
      </c>
      <c r="AR418">
        <f ca="1"/>
      </c>
      <c r="AS418">
        <f ca="1"/>
      </c>
      <c r="AT418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AZ418">
        <f ca="1"/>
      </c>
      <c r="BA418">
        <f ca="1"/>
      </c>
      <c r="BB418">
        <f ca="1"/>
      </c>
      <c r="BC418">
        <f ca="1"/>
      </c>
      <c r="BD418">
        <f ca="1"/>
      </c>
      <c r="BE418">
        <f ca="1"/>
      </c>
      <c r="BF418">
        <f ca="1"/>
      </c>
      <c r="BG418">
        <f ca="1"/>
      </c>
      <c r="BH418">
        <f ca="1"/>
      </c>
      <c r="BI418">
        <f ca="1"/>
      </c>
      <c r="BJ418">
        <f ca="1"/>
      </c>
      <c r="BK418">
        <f ca="1"/>
      </c>
      <c r="BL418">
        <f ca="1"/>
      </c>
      <c r="BM418">
        <f ca="1"/>
      </c>
      <c r="BN418">
        <f ca="1"/>
      </c>
      <c r="BO418">
        <f ca="1"/>
      </c>
      <c r="BP418">
        <f ca="1"/>
      </c>
      <c r="BQ418">
        <f ca="1"/>
      </c>
      <c r="BR418">
        <f ca="1"/>
      </c>
      <c r="BS418">
        <f ca="1"/>
      </c>
      <c r="BT418">
        <f ca="1"/>
      </c>
      <c r="BU418">
        <f ca="1"/>
      </c>
      <c r="BV418">
        <f ca="1"/>
      </c>
      <c r="BW418">
        <f ca="1"/>
      </c>
      <c r="BX418">
        <f ca="1"/>
      </c>
      <c r="BY418">
        <f ca="1"/>
      </c>
      <c r="BZ418">
        <f ca="1"/>
      </c>
      <c r="CA418">
        <f ca="1"/>
      </c>
      <c r="CB418">
        <f ca="1"/>
      </c>
      <c r="CC418">
        <f ca="1"/>
      </c>
      <c r="CD418">
        <f ca="1"/>
      </c>
      <c r="CE418">
        <f ca="1"/>
      </c>
      <c r="CF418">
        <f ca="1"/>
      </c>
      <c r="CG418">
        <f ca="1"/>
      </c>
      <c r="CH418">
        <f ca="1"/>
      </c>
      <c r="CI418">
        <f ca="1"/>
      </c>
      <c r="CK418">
        <f ca="1"/>
      </c>
      <c r="CL418">
        <f ca="1"/>
      </c>
      <c r="CM418">
        <f ca="1"/>
      </c>
      <c r="CN418">
        <f ca="1"/>
      </c>
      <c r="CO418">
        <f ca="1"/>
      </c>
      <c r="CP418">
        <f ca="1"/>
      </c>
      <c r="CQ418">
        <f ca="1"/>
      </c>
      <c r="CR418">
        <f ca="1"/>
      </c>
      <c r="CS418">
        <f ca="1"/>
      </c>
      <c r="CT418">
        <f ca="1"/>
      </c>
      <c r="CU418">
        <f ca="1"/>
      </c>
      <c r="CV418">
        <f ca="1"/>
      </c>
      <c r="CW418">
        <f ca="1"/>
      </c>
      <c r="CX418">
        <f ca="1"/>
      </c>
      <c r="CY418">
        <f ca="1"/>
      </c>
      <c r="CZ418">
        <f ca="1"/>
      </c>
      <c r="DA418">
        <f ca="1"/>
      </c>
      <c r="DB418">
        <f ca="1"/>
      </c>
      <c r="DC418">
        <f ca="1"/>
      </c>
      <c r="DD418">
        <f ca="1"/>
      </c>
      <c r="DE418">
        <f ca="1"/>
      </c>
      <c r="DF418">
        <f ca="1"/>
      </c>
      <c r="DG418">
        <f ca="1"/>
      </c>
      <c r="DH418">
        <f ca="1"/>
      </c>
      <c r="DI418">
        <f ca="1"/>
      </c>
      <c r="DJ418">
        <f ca="1"/>
      </c>
      <c r="DK418">
        <f ca="1"/>
      </c>
      <c r="DL418">
        <f ca="1"/>
      </c>
      <c r="DM418">
        <f ca="1"/>
      </c>
      <c r="DN418">
        <f ca="1"/>
      </c>
      <c r="DO418">
        <f ca="1"/>
      </c>
      <c r="DP418">
        <f ca="1"/>
      </c>
      <c r="DQ418">
        <f ca="1"/>
      </c>
      <c r="DR418">
        <f ca="1"/>
      </c>
      <c r="DS418">
        <f ca="1"/>
      </c>
      <c r="DT418">
        <f ca="1"/>
      </c>
      <c r="DU418">
        <f ca="1"/>
      </c>
      <c r="DV418">
        <f ca="1"/>
      </c>
      <c r="DW418">
        <f ca="1"/>
      </c>
      <c r="DX418">
        <f ca="1"/>
      </c>
      <c r="DY418">
        <f ca="1"/>
      </c>
      <c r="DZ418">
        <f ca="1"/>
      </c>
      <c r="EA418">
        <f ca="1"/>
      </c>
      <c r="EB418">
        <f ca="1"/>
      </c>
      <c r="EC418">
        <f ca="1"/>
      </c>
      <c r="ED418">
        <f ca="1"/>
      </c>
      <c r="EE418">
        <f ca="1"/>
      </c>
      <c r="EG418">
        <f ca="1"/>
      </c>
      <c r="EH418">
        <f ca="1"/>
      </c>
      <c r="EI418">
        <f ca="1"/>
      </c>
      <c r="EJ418">
        <f ca="1"/>
      </c>
      <c r="EK418">
        <f ca="1"/>
      </c>
      <c r="EL418">
        <f ca="1"/>
      </c>
      <c r="EM418">
        <f ca="1"/>
      </c>
      <c r="EN418">
        <f ca="1"/>
      </c>
      <c r="EO418">
        <f ca="1"/>
      </c>
      <c r="EP418">
        <f ca="1"/>
      </c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FS418">
        <f ca="1"/>
      </c>
      <c r="FT418">
        <f ca="1"/>
      </c>
      <c r="FU418">
        <f ca="1"/>
      </c>
      <c r="FV418">
        <f ca="1"/>
      </c>
      <c r="FW418">
        <f ca="1"/>
      </c>
      <c r="FX418">
        <f ca="1"/>
      </c>
      <c r="FY418">
        <f ca="1"/>
      </c>
      <c r="FZ418">
        <f ca="1"/>
      </c>
      <c r="GA418">
        <f ca="1"/>
      </c>
      <c r="GM418" s="7"/>
    </row>
    <row r="419" spans="41:195" x14ac:dyDescent="0.55000000000000004">
      <c r="AO419">
        <f ca="1"/>
      </c>
      <c r="AP419">
        <f ca="1"/>
      </c>
      <c r="AQ419">
        <f ca="1"/>
      </c>
      <c r="AR419">
        <f ca="1"/>
      </c>
      <c r="AS419">
        <f ca="1"/>
      </c>
      <c r="AT419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AZ419">
        <f ca="1"/>
      </c>
      <c r="BA419">
        <f ca="1"/>
      </c>
      <c r="BB419">
        <f ca="1"/>
      </c>
      <c r="BC419">
        <f ca="1"/>
      </c>
      <c r="BD419">
        <f ca="1"/>
      </c>
      <c r="BE419">
        <f ca="1"/>
      </c>
      <c r="BF419">
        <f ca="1"/>
      </c>
      <c r="BG419">
        <f ca="1"/>
      </c>
      <c r="BH419">
        <f ca="1"/>
      </c>
      <c r="BI419">
        <f ca="1"/>
      </c>
      <c r="BJ419">
        <f ca="1"/>
      </c>
      <c r="BK419">
        <f ca="1"/>
      </c>
      <c r="BL419">
        <f ca="1"/>
      </c>
      <c r="BM419">
        <f ca="1"/>
      </c>
      <c r="BN419">
        <f ca="1"/>
      </c>
      <c r="BO419">
        <f ca="1"/>
      </c>
      <c r="BP419">
        <f ca="1"/>
      </c>
      <c r="BQ419">
        <f ca="1"/>
      </c>
      <c r="BR419">
        <f ca="1"/>
      </c>
      <c r="BS419">
        <f ca="1"/>
      </c>
      <c r="BT419">
        <f ca="1"/>
      </c>
      <c r="BU419">
        <f ca="1"/>
      </c>
      <c r="BV419">
        <f ca="1"/>
      </c>
      <c r="BW419">
        <f ca="1"/>
      </c>
      <c r="BX419">
        <f ca="1"/>
      </c>
      <c r="BY419">
        <f ca="1"/>
      </c>
      <c r="BZ419">
        <f ca="1"/>
      </c>
      <c r="CA419">
        <f ca="1"/>
      </c>
      <c r="CB419">
        <f ca="1"/>
      </c>
      <c r="CC419">
        <f ca="1"/>
      </c>
      <c r="CD419">
        <f ca="1"/>
      </c>
      <c r="CE419">
        <f ca="1"/>
      </c>
      <c r="CF419">
        <f ca="1"/>
      </c>
      <c r="CG419">
        <f ca="1"/>
      </c>
      <c r="CH419">
        <f ca="1"/>
      </c>
      <c r="CI419">
        <f ca="1"/>
      </c>
      <c r="CK419">
        <f ca="1"/>
      </c>
      <c r="CL419">
        <f ca="1"/>
      </c>
      <c r="CM419">
        <f ca="1"/>
      </c>
      <c r="CN419">
        <f ca="1"/>
      </c>
      <c r="CO419">
        <f ca="1"/>
      </c>
      <c r="CP419">
        <f ca="1"/>
      </c>
      <c r="CQ419">
        <f ca="1"/>
      </c>
      <c r="CR419">
        <f ca="1"/>
      </c>
      <c r="CS419">
        <f ca="1"/>
      </c>
      <c r="CT419">
        <f ca="1"/>
      </c>
      <c r="CU419">
        <f ca="1"/>
      </c>
      <c r="CV419">
        <f ca="1"/>
      </c>
      <c r="CW419">
        <f ca="1"/>
      </c>
      <c r="CX419">
        <f ca="1"/>
      </c>
      <c r="CY419">
        <f ca="1"/>
      </c>
      <c r="CZ419">
        <f ca="1"/>
      </c>
      <c r="DA419">
        <f ca="1"/>
      </c>
      <c r="DB419">
        <f ca="1"/>
      </c>
      <c r="DC419">
        <f ca="1"/>
      </c>
      <c r="DD419">
        <f ca="1"/>
      </c>
      <c r="DE419">
        <f ca="1"/>
      </c>
      <c r="DF419">
        <f ca="1"/>
      </c>
      <c r="DG419">
        <f ca="1"/>
      </c>
      <c r="DH419">
        <f ca="1"/>
      </c>
      <c r="DI419">
        <f ca="1"/>
      </c>
      <c r="DJ419">
        <f ca="1"/>
      </c>
      <c r="DK419">
        <f ca="1"/>
      </c>
      <c r="DL419">
        <f ca="1"/>
      </c>
      <c r="DM419">
        <f ca="1"/>
      </c>
      <c r="DN419">
        <f ca="1"/>
      </c>
      <c r="DO419">
        <f ca="1"/>
      </c>
      <c r="DP419">
        <f ca="1"/>
      </c>
      <c r="DQ419">
        <f ca="1"/>
      </c>
      <c r="DR419">
        <f ca="1"/>
      </c>
      <c r="DS419">
        <f ca="1"/>
      </c>
      <c r="DT419">
        <f ca="1"/>
      </c>
      <c r="DU419">
        <f ca="1"/>
      </c>
      <c r="DV419">
        <f ca="1"/>
      </c>
      <c r="DW419">
        <f ca="1"/>
      </c>
      <c r="DX419">
        <f ca="1"/>
      </c>
      <c r="DY419">
        <f ca="1"/>
      </c>
      <c r="DZ419">
        <f ca="1"/>
      </c>
      <c r="EA419">
        <f ca="1"/>
      </c>
      <c r="EB419">
        <f ca="1"/>
      </c>
      <c r="EC419">
        <f ca="1"/>
      </c>
      <c r="ED419">
        <f ca="1"/>
      </c>
      <c r="EE419">
        <f ca="1"/>
      </c>
      <c r="EG419">
        <f ca="1"/>
      </c>
      <c r="EH419">
        <f ca="1"/>
      </c>
      <c r="EI419">
        <f ca="1"/>
      </c>
      <c r="EJ419">
        <f ca="1"/>
      </c>
      <c r="EK419">
        <f ca="1"/>
      </c>
      <c r="EL419">
        <f ca="1"/>
      </c>
      <c r="EM419">
        <f ca="1"/>
      </c>
      <c r="EN419">
        <f ca="1"/>
      </c>
      <c r="EO419">
        <f ca="1"/>
      </c>
      <c r="EP419">
        <f ca="1"/>
      </c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FS419">
        <f ca="1"/>
      </c>
      <c r="FT419">
        <f ca="1"/>
      </c>
      <c r="FU419">
        <f ca="1"/>
      </c>
      <c r="FV419">
        <f ca="1"/>
      </c>
      <c r="FW419">
        <f ca="1"/>
      </c>
      <c r="FX419">
        <f ca="1"/>
      </c>
      <c r="FY419">
        <f ca="1"/>
      </c>
      <c r="FZ419">
        <f ca="1"/>
      </c>
      <c r="GA419">
        <f ca="1"/>
      </c>
      <c r="GM419" s="7"/>
    </row>
    <row r="420" spans="41:195" x14ac:dyDescent="0.55000000000000004">
      <c r="AO420">
        <f ca="1"/>
      </c>
      <c r="AP420">
        <f ca="1"/>
      </c>
      <c r="AQ420">
        <f ca="1"/>
      </c>
      <c r="AR420">
        <f ca="1"/>
      </c>
      <c r="AS420">
        <f ca="1"/>
      </c>
      <c r="AT420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AZ420">
        <f ca="1"/>
      </c>
      <c r="BA420">
        <f ca="1"/>
      </c>
      <c r="BB420">
        <f ca="1"/>
      </c>
      <c r="BC420">
        <f ca="1"/>
      </c>
      <c r="BD420">
        <f ca="1"/>
      </c>
      <c r="BE420">
        <f ca="1"/>
      </c>
      <c r="BF420">
        <f ca="1"/>
      </c>
      <c r="BG420">
        <f ca="1"/>
      </c>
      <c r="BH420">
        <f ca="1"/>
      </c>
      <c r="BI420">
        <f ca="1"/>
      </c>
      <c r="BJ420">
        <f ca="1"/>
      </c>
      <c r="BK420">
        <f ca="1"/>
      </c>
      <c r="BL420">
        <f ca="1"/>
      </c>
      <c r="BM420">
        <f ca="1"/>
      </c>
      <c r="BN420">
        <f ca="1"/>
      </c>
      <c r="BO420">
        <f ca="1"/>
      </c>
      <c r="BP420">
        <f ca="1"/>
      </c>
      <c r="BQ420">
        <f ca="1"/>
      </c>
      <c r="BR420">
        <f ca="1"/>
      </c>
      <c r="BS420">
        <f ca="1"/>
      </c>
      <c r="BT420">
        <f ca="1"/>
      </c>
      <c r="BU420">
        <f ca="1"/>
      </c>
      <c r="BV420">
        <f ca="1"/>
      </c>
      <c r="BW420">
        <f ca="1"/>
      </c>
      <c r="BX420">
        <f ca="1"/>
      </c>
      <c r="BY420">
        <f ca="1"/>
      </c>
      <c r="BZ420">
        <f ca="1"/>
      </c>
      <c r="CA420">
        <f ca="1"/>
      </c>
      <c r="CB420">
        <f ca="1"/>
      </c>
      <c r="CC420">
        <f ca="1"/>
      </c>
      <c r="CD420">
        <f ca="1"/>
      </c>
      <c r="CE420">
        <f ca="1"/>
      </c>
      <c r="CF420">
        <f ca="1"/>
      </c>
      <c r="CG420">
        <f ca="1"/>
      </c>
      <c r="CH420">
        <f ca="1"/>
      </c>
      <c r="CI420">
        <f ca="1"/>
      </c>
      <c r="CK420">
        <f ca="1"/>
      </c>
      <c r="CL420">
        <f ca="1"/>
      </c>
      <c r="CM420">
        <f ca="1"/>
      </c>
      <c r="CN420">
        <f ca="1"/>
      </c>
      <c r="CO420">
        <f ca="1"/>
      </c>
      <c r="CP420">
        <f ca="1"/>
      </c>
      <c r="CQ420">
        <f ca="1"/>
      </c>
      <c r="CR420">
        <f ca="1"/>
      </c>
      <c r="CS420">
        <f ca="1"/>
      </c>
      <c r="CT420">
        <f ca="1"/>
      </c>
      <c r="CU420">
        <f ca="1"/>
      </c>
      <c r="CV420">
        <f ca="1"/>
      </c>
      <c r="CW420">
        <f ca="1"/>
      </c>
      <c r="CX420">
        <f ca="1"/>
      </c>
      <c r="CY420">
        <f ca="1"/>
      </c>
      <c r="CZ420">
        <f ca="1"/>
      </c>
      <c r="DA420">
        <f ca="1"/>
      </c>
      <c r="DB420">
        <f ca="1"/>
      </c>
      <c r="DC420">
        <f ca="1"/>
      </c>
      <c r="DD420">
        <f ca="1"/>
      </c>
      <c r="DE420">
        <f ca="1"/>
      </c>
      <c r="DF420">
        <f ca="1"/>
      </c>
      <c r="DG420">
        <f ca="1"/>
      </c>
      <c r="DH420">
        <f ca="1"/>
      </c>
      <c r="DI420">
        <f ca="1"/>
      </c>
      <c r="DJ420">
        <f ca="1"/>
      </c>
      <c r="DK420">
        <f ca="1"/>
      </c>
      <c r="DL420">
        <f ca="1"/>
      </c>
      <c r="DM420">
        <f ca="1"/>
      </c>
      <c r="DN420">
        <f ca="1"/>
      </c>
      <c r="DO420">
        <f ca="1"/>
      </c>
      <c r="DP420">
        <f ca="1"/>
      </c>
      <c r="DQ420">
        <f ca="1"/>
      </c>
      <c r="DR420">
        <f ca="1"/>
      </c>
      <c r="DS420">
        <f ca="1"/>
      </c>
      <c r="DT420">
        <f ca="1"/>
      </c>
      <c r="DU420">
        <f ca="1"/>
      </c>
      <c r="DV420">
        <f ca="1"/>
      </c>
      <c r="DW420">
        <f ca="1"/>
      </c>
      <c r="DX420">
        <f ca="1"/>
      </c>
      <c r="DY420">
        <f ca="1"/>
      </c>
      <c r="DZ420">
        <f ca="1"/>
      </c>
      <c r="EA420">
        <f ca="1"/>
      </c>
      <c r="EB420">
        <f ca="1"/>
      </c>
      <c r="EC420">
        <f ca="1"/>
      </c>
      <c r="ED420">
        <f ca="1"/>
      </c>
      <c r="EE420">
        <f ca="1"/>
      </c>
      <c r="EG420">
        <f ca="1"/>
      </c>
      <c r="EH420">
        <f ca="1"/>
      </c>
      <c r="EI420">
        <f ca="1"/>
      </c>
      <c r="EJ420">
        <f ca="1"/>
      </c>
      <c r="EK420">
        <f ca="1"/>
      </c>
      <c r="EL420">
        <f ca="1"/>
      </c>
      <c r="EM420">
        <f ca="1"/>
      </c>
      <c r="EN420">
        <f ca="1"/>
      </c>
      <c r="EO420">
        <f ca="1"/>
      </c>
      <c r="EP420">
        <f ca="1"/>
      </c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FS420">
        <f ca="1"/>
      </c>
      <c r="FT420">
        <f ca="1"/>
      </c>
      <c r="FU420">
        <f ca="1"/>
      </c>
      <c r="FV420">
        <f ca="1"/>
      </c>
      <c r="FW420">
        <f ca="1"/>
      </c>
      <c r="FX420">
        <f ca="1"/>
      </c>
      <c r="FY420">
        <f ca="1"/>
      </c>
      <c r="FZ420">
        <f ca="1"/>
      </c>
      <c r="GA420">
        <f ca="1"/>
      </c>
      <c r="GM420" s="7"/>
    </row>
    <row r="421" spans="41:195" x14ac:dyDescent="0.55000000000000004">
      <c r="AO421">
        <f ca="1"/>
      </c>
      <c r="AP421">
        <f ca="1"/>
      </c>
      <c r="AQ421">
        <f ca="1"/>
      </c>
      <c r="AR421">
        <f ca="1"/>
      </c>
      <c r="AS421">
        <f ca="1"/>
      </c>
      <c r="AT421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AZ421">
        <f ca="1"/>
      </c>
      <c r="BA421">
        <f ca="1"/>
      </c>
      <c r="BB421">
        <f ca="1"/>
      </c>
      <c r="BC421">
        <f ca="1"/>
      </c>
      <c r="BD421">
        <f ca="1"/>
      </c>
      <c r="BE421">
        <f ca="1"/>
      </c>
      <c r="BF421">
        <f ca="1"/>
      </c>
      <c r="BG421">
        <f ca="1"/>
      </c>
      <c r="BH421">
        <f ca="1"/>
      </c>
      <c r="BI421">
        <f ca="1"/>
      </c>
      <c r="BJ421">
        <f ca="1"/>
      </c>
      <c r="BK421">
        <f ca="1"/>
      </c>
      <c r="BL421">
        <f ca="1"/>
      </c>
      <c r="BM421">
        <f ca="1"/>
      </c>
      <c r="BN421">
        <f ca="1"/>
      </c>
      <c r="BO421">
        <f ca="1"/>
      </c>
      <c r="BP421">
        <f ca="1"/>
      </c>
      <c r="BQ421">
        <f ca="1"/>
      </c>
      <c r="BR421">
        <f ca="1"/>
      </c>
      <c r="BS421">
        <f ca="1"/>
      </c>
      <c r="BT421">
        <f ca="1"/>
      </c>
      <c r="BU421">
        <f ca="1"/>
      </c>
      <c r="BV421">
        <f ca="1"/>
      </c>
      <c r="BW421">
        <f ca="1"/>
      </c>
      <c r="BX421">
        <f ca="1"/>
      </c>
      <c r="BY421">
        <f ca="1"/>
      </c>
      <c r="BZ421">
        <f ca="1"/>
      </c>
      <c r="CA421">
        <f ca="1"/>
      </c>
      <c r="CB421">
        <f ca="1"/>
      </c>
      <c r="CC421">
        <f ca="1"/>
      </c>
      <c r="CD421">
        <f ca="1"/>
      </c>
      <c r="CE421">
        <f ca="1"/>
      </c>
      <c r="CF421">
        <f ca="1"/>
      </c>
      <c r="CG421">
        <f ca="1"/>
      </c>
      <c r="CH421">
        <f ca="1"/>
      </c>
      <c r="CI421">
        <f ca="1"/>
      </c>
      <c r="CK421">
        <f ca="1"/>
      </c>
      <c r="CL421">
        <f ca="1"/>
      </c>
      <c r="CM421">
        <f ca="1"/>
      </c>
      <c r="CN421">
        <f ca="1"/>
      </c>
      <c r="CO421">
        <f ca="1"/>
      </c>
      <c r="CP421">
        <f ca="1"/>
      </c>
      <c r="CQ421">
        <f ca="1"/>
      </c>
      <c r="CR421">
        <f ca="1"/>
      </c>
      <c r="CS421">
        <f ca="1"/>
      </c>
      <c r="CT421">
        <f ca="1"/>
      </c>
      <c r="CU421">
        <f ca="1"/>
      </c>
      <c r="CV421">
        <f ca="1"/>
      </c>
      <c r="CW421">
        <f ca="1"/>
      </c>
      <c r="CX421">
        <f ca="1"/>
      </c>
      <c r="CY421">
        <f ca="1"/>
      </c>
      <c r="CZ421">
        <f ca="1"/>
      </c>
      <c r="DA421">
        <f ca="1"/>
      </c>
      <c r="DB421">
        <f ca="1"/>
      </c>
      <c r="DC421">
        <f ca="1"/>
      </c>
      <c r="DD421">
        <f ca="1"/>
      </c>
      <c r="DE421">
        <f ca="1"/>
      </c>
      <c r="DF421">
        <f ca="1"/>
      </c>
      <c r="DG421">
        <f ca="1"/>
      </c>
      <c r="DH421">
        <f ca="1"/>
      </c>
      <c r="DI421">
        <f ca="1"/>
      </c>
      <c r="DJ421">
        <f ca="1"/>
      </c>
      <c r="DK421">
        <f ca="1"/>
      </c>
      <c r="DL421">
        <f ca="1"/>
      </c>
      <c r="DM421">
        <f ca="1"/>
      </c>
      <c r="DN421">
        <f ca="1"/>
      </c>
      <c r="DO421">
        <f ca="1"/>
      </c>
      <c r="DP421">
        <f ca="1"/>
      </c>
      <c r="DQ421">
        <f ca="1"/>
      </c>
      <c r="DR421">
        <f ca="1"/>
      </c>
      <c r="DS421">
        <f ca="1"/>
      </c>
      <c r="DT421">
        <f ca="1"/>
      </c>
      <c r="DU421">
        <f ca="1"/>
      </c>
      <c r="DV421">
        <f ca="1"/>
      </c>
      <c r="DW421">
        <f ca="1"/>
      </c>
      <c r="DX421">
        <f ca="1"/>
      </c>
      <c r="DY421">
        <f ca="1"/>
      </c>
      <c r="DZ421">
        <f ca="1"/>
      </c>
      <c r="EA421">
        <f ca="1"/>
      </c>
      <c r="EB421">
        <f ca="1"/>
      </c>
      <c r="EC421">
        <f ca="1"/>
      </c>
      <c r="ED421">
        <f ca="1"/>
      </c>
      <c r="EE421">
        <f ca="1"/>
      </c>
      <c r="EG421">
        <f ca="1"/>
      </c>
      <c r="EH421">
        <f ca="1"/>
      </c>
      <c r="EI421">
        <f ca="1"/>
      </c>
      <c r="EJ421">
        <f ca="1"/>
      </c>
      <c r="EK421">
        <f ca="1"/>
      </c>
      <c r="EL421">
        <f ca="1"/>
      </c>
      <c r="EM421">
        <f ca="1"/>
      </c>
      <c r="EN421">
        <f ca="1"/>
      </c>
      <c r="EO421">
        <f ca="1"/>
      </c>
      <c r="EP421">
        <f ca="1"/>
      </c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FS421">
        <f ca="1"/>
      </c>
      <c r="FT421">
        <f ca="1"/>
      </c>
      <c r="FU421">
        <f ca="1"/>
      </c>
      <c r="FV421">
        <f ca="1"/>
      </c>
      <c r="FW421">
        <f ca="1"/>
      </c>
      <c r="FX421">
        <f ca="1"/>
      </c>
      <c r="FY421">
        <f ca="1"/>
      </c>
      <c r="FZ421">
        <f ca="1"/>
      </c>
      <c r="GA421">
        <f ca="1"/>
      </c>
      <c r="GM421" s="7"/>
    </row>
    <row r="422" spans="41:195" x14ac:dyDescent="0.55000000000000004">
      <c r="AO422">
        <f ca="1"/>
      </c>
      <c r="AP422">
        <f ca="1"/>
      </c>
      <c r="AQ422">
        <f ca="1"/>
      </c>
      <c r="AR422">
        <f ca="1"/>
      </c>
      <c r="AS422">
        <f ca="1"/>
      </c>
      <c r="AT422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AZ422">
        <f ca="1"/>
      </c>
      <c r="BA422">
        <f ca="1"/>
      </c>
      <c r="BB422">
        <f ca="1"/>
      </c>
      <c r="BC422">
        <f ca="1"/>
      </c>
      <c r="BD422">
        <f ca="1"/>
      </c>
      <c r="BE422">
        <f ca="1"/>
      </c>
      <c r="BF422">
        <f ca="1"/>
      </c>
      <c r="BG422">
        <f ca="1"/>
      </c>
      <c r="BH422">
        <f ca="1"/>
      </c>
      <c r="BI422">
        <f ca="1"/>
      </c>
      <c r="BJ422">
        <f ca="1"/>
      </c>
      <c r="BK422">
        <f ca="1"/>
      </c>
      <c r="BL422">
        <f ca="1"/>
      </c>
      <c r="BM422">
        <f ca="1"/>
      </c>
      <c r="BN422">
        <f ca="1"/>
      </c>
      <c r="BO422">
        <f ca="1"/>
      </c>
      <c r="BP422">
        <f ca="1"/>
      </c>
      <c r="BQ422">
        <f ca="1"/>
      </c>
      <c r="BR422">
        <f ca="1"/>
      </c>
      <c r="BS422">
        <f ca="1"/>
      </c>
      <c r="BT422">
        <f ca="1"/>
      </c>
      <c r="BU422">
        <f ca="1"/>
      </c>
      <c r="BV422">
        <f ca="1"/>
      </c>
      <c r="BW422">
        <f ca="1"/>
      </c>
      <c r="BX422">
        <f ca="1"/>
      </c>
      <c r="BY422">
        <f ca="1"/>
      </c>
      <c r="BZ422">
        <f ca="1"/>
      </c>
      <c r="CA422">
        <f ca="1"/>
      </c>
      <c r="CB422">
        <f ca="1"/>
      </c>
      <c r="CC422">
        <f ca="1"/>
      </c>
      <c r="CD422">
        <f ca="1"/>
      </c>
      <c r="CE422">
        <f ca="1"/>
      </c>
      <c r="CF422">
        <f ca="1"/>
      </c>
      <c r="CG422">
        <f ca="1"/>
      </c>
      <c r="CH422">
        <f ca="1"/>
      </c>
      <c r="CI422">
        <f ca="1"/>
      </c>
      <c r="CK422">
        <f ca="1"/>
      </c>
      <c r="CL422">
        <f ca="1"/>
      </c>
      <c r="CM422">
        <f ca="1"/>
      </c>
      <c r="CN422">
        <f ca="1"/>
      </c>
      <c r="CO422">
        <f ca="1"/>
      </c>
      <c r="CP422">
        <f ca="1"/>
      </c>
      <c r="CQ422">
        <f ca="1"/>
      </c>
      <c r="CR422">
        <f ca="1"/>
      </c>
      <c r="CS422">
        <f ca="1"/>
      </c>
      <c r="CT422">
        <f ca="1"/>
      </c>
      <c r="CU422">
        <f ca="1"/>
      </c>
      <c r="CV422">
        <f ca="1"/>
      </c>
      <c r="CW422">
        <f ca="1"/>
      </c>
      <c r="CX422">
        <f ca="1"/>
      </c>
      <c r="CY422">
        <f ca="1"/>
      </c>
      <c r="CZ422">
        <f ca="1"/>
      </c>
      <c r="DA422">
        <f ca="1"/>
      </c>
      <c r="DB422">
        <f ca="1"/>
      </c>
      <c r="DC422">
        <f ca="1"/>
      </c>
      <c r="DD422">
        <f ca="1"/>
      </c>
      <c r="DE422">
        <f ca="1"/>
      </c>
      <c r="DF422">
        <f ca="1"/>
      </c>
      <c r="DG422">
        <f ca="1"/>
      </c>
      <c r="DH422">
        <f ca="1"/>
      </c>
      <c r="DI422">
        <f ca="1"/>
      </c>
      <c r="DJ422">
        <f ca="1"/>
      </c>
      <c r="DK422">
        <f ca="1"/>
      </c>
      <c r="DL422">
        <f ca="1"/>
      </c>
      <c r="DM422">
        <f ca="1"/>
      </c>
      <c r="DN422">
        <f ca="1"/>
      </c>
      <c r="DO422">
        <f ca="1"/>
      </c>
      <c r="DP422">
        <f ca="1"/>
      </c>
      <c r="DQ422">
        <f ca="1"/>
      </c>
      <c r="DR422">
        <f ca="1"/>
      </c>
      <c r="DS422">
        <f ca="1"/>
      </c>
      <c r="DT422">
        <f ca="1"/>
      </c>
      <c r="DU422">
        <f ca="1"/>
      </c>
      <c r="DV422">
        <f ca="1"/>
      </c>
      <c r="DW422">
        <f ca="1"/>
      </c>
      <c r="DX422">
        <f ca="1"/>
      </c>
      <c r="DY422">
        <f ca="1"/>
      </c>
      <c r="DZ422">
        <f ca="1"/>
      </c>
      <c r="EA422">
        <f ca="1"/>
      </c>
      <c r="EB422">
        <f ca="1"/>
      </c>
      <c r="EC422">
        <f ca="1"/>
      </c>
      <c r="ED422">
        <f ca="1"/>
      </c>
      <c r="EE422">
        <f ca="1"/>
      </c>
      <c r="EG422">
        <f ca="1"/>
      </c>
      <c r="EH422">
        <f ca="1"/>
      </c>
      <c r="EI422">
        <f ca="1"/>
      </c>
      <c r="EJ422">
        <f ca="1"/>
      </c>
      <c r="EK422">
        <f ca="1"/>
      </c>
      <c r="EL422">
        <f ca="1"/>
      </c>
      <c r="EM422">
        <f ca="1"/>
      </c>
      <c r="EN422">
        <f ca="1"/>
      </c>
      <c r="EO422">
        <f ca="1"/>
      </c>
      <c r="EP422">
        <f ca="1"/>
      </c>
      <c r="EQ422">
        <f ca="1"/>
      </c>
      <c r="ER422">
        <f ca="1"/>
      </c>
      <c r="ES422">
        <f ca="1"/>
      </c>
      <c r="ET422">
        <f ca="1"/>
      </c>
      <c r="EU422">
        <f ca="1"/>
      </c>
      <c r="EV422">
        <f ca="1"/>
      </c>
      <c r="EW422">
        <f ca="1"/>
      </c>
      <c r="EX422">
        <f ca="1"/>
      </c>
      <c r="EY422">
        <f ca="1"/>
      </c>
      <c r="EZ422">
        <f ca="1"/>
      </c>
      <c r="FA422">
        <f ca="1"/>
      </c>
      <c r="FB422">
        <f ca="1"/>
      </c>
      <c r="FC422">
        <f ca="1"/>
      </c>
      <c r="FD422">
        <f ca="1"/>
      </c>
      <c r="FE422">
        <f ca="1"/>
      </c>
      <c r="FF422">
        <f ca="1"/>
      </c>
      <c r="FG422">
        <f ca="1"/>
      </c>
      <c r="FH422">
        <f ca="1"/>
      </c>
      <c r="FI422">
        <f ca="1"/>
      </c>
      <c r="FJ422">
        <f ca="1"/>
      </c>
      <c r="FK422">
        <f ca="1"/>
      </c>
      <c r="FL422">
        <f ca="1"/>
      </c>
      <c r="FM422">
        <f ca="1"/>
      </c>
      <c r="FN422">
        <f ca="1"/>
      </c>
      <c r="FO422">
        <f ca="1"/>
      </c>
      <c r="FP422">
        <f ca="1"/>
      </c>
      <c r="FQ422">
        <f ca="1"/>
      </c>
      <c r="FR422">
        <f ca="1"/>
      </c>
      <c r="FS422">
        <f ca="1"/>
      </c>
      <c r="FT422">
        <f ca="1"/>
      </c>
      <c r="FU422">
        <f ca="1"/>
      </c>
      <c r="FV422">
        <f ca="1"/>
      </c>
      <c r="FW422">
        <f ca="1"/>
      </c>
      <c r="FX422">
        <f ca="1"/>
      </c>
      <c r="FY422">
        <f ca="1"/>
      </c>
      <c r="FZ422">
        <f ca="1"/>
      </c>
      <c r="GA422">
        <f ca="1"/>
      </c>
      <c r="GM422" s="7"/>
    </row>
    <row r="423" spans="41:195" x14ac:dyDescent="0.55000000000000004">
      <c r="AO423">
        <f ca="1"/>
      </c>
      <c r="AP423">
        <f ca="1"/>
      </c>
      <c r="AQ423">
        <f ca="1"/>
      </c>
      <c r="AR423">
        <f ca="1"/>
      </c>
      <c r="AS423">
        <f ca="1"/>
      </c>
      <c r="AT423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AZ423">
        <f ca="1"/>
      </c>
      <c r="BA423">
        <f ca="1"/>
      </c>
      <c r="BB423">
        <f ca="1"/>
      </c>
      <c r="BC423">
        <f ca="1"/>
      </c>
      <c r="BD423">
        <f ca="1"/>
      </c>
      <c r="BE423">
        <f ca="1"/>
      </c>
      <c r="BF423">
        <f ca="1"/>
      </c>
      <c r="BG423">
        <f ca="1"/>
      </c>
      <c r="BH423">
        <f ca="1"/>
      </c>
      <c r="BI423">
        <f ca="1"/>
      </c>
      <c r="BJ423">
        <f ca="1"/>
      </c>
      <c r="BK423">
        <f ca="1"/>
      </c>
      <c r="BL423">
        <f ca="1"/>
      </c>
      <c r="BM423">
        <f ca="1"/>
      </c>
      <c r="BN423">
        <f ca="1"/>
      </c>
      <c r="BO423">
        <f ca="1"/>
      </c>
      <c r="BP423">
        <f ca="1"/>
      </c>
      <c r="BQ423">
        <f ca="1"/>
      </c>
      <c r="BR423">
        <f ca="1"/>
      </c>
      <c r="BS423">
        <f ca="1"/>
      </c>
      <c r="BT423">
        <f ca="1"/>
      </c>
      <c r="BU423">
        <f ca="1"/>
      </c>
      <c r="BV423">
        <f ca="1"/>
      </c>
      <c r="BW423">
        <f ca="1"/>
      </c>
      <c r="BX423">
        <f ca="1"/>
      </c>
      <c r="BY423">
        <f ca="1"/>
      </c>
      <c r="BZ423">
        <f ca="1"/>
      </c>
      <c r="CA423">
        <f ca="1"/>
      </c>
      <c r="CB423">
        <f ca="1"/>
      </c>
      <c r="CC423">
        <f ca="1"/>
      </c>
      <c r="CD423">
        <f ca="1"/>
      </c>
      <c r="CE423">
        <f ca="1"/>
      </c>
      <c r="CF423">
        <f ca="1"/>
      </c>
      <c r="CG423">
        <f ca="1"/>
      </c>
      <c r="CH423">
        <f ca="1"/>
      </c>
      <c r="CI423">
        <f ca="1"/>
      </c>
      <c r="CK423">
        <f ca="1"/>
      </c>
      <c r="CL423">
        <f ca="1"/>
      </c>
      <c r="CM423">
        <f ca="1"/>
      </c>
      <c r="CN423">
        <f ca="1"/>
      </c>
      <c r="CO423">
        <f ca="1"/>
      </c>
      <c r="CP423">
        <f ca="1"/>
      </c>
      <c r="CQ423">
        <f ca="1"/>
      </c>
      <c r="CR423">
        <f ca="1"/>
      </c>
      <c r="CS423">
        <f ca="1"/>
      </c>
      <c r="CT423">
        <f ca="1"/>
      </c>
      <c r="CU423">
        <f ca="1"/>
      </c>
      <c r="CV423">
        <f ca="1"/>
      </c>
      <c r="CW423">
        <f ca="1"/>
      </c>
      <c r="CX423">
        <f ca="1"/>
      </c>
      <c r="CY423">
        <f ca="1"/>
      </c>
      <c r="CZ423">
        <f ca="1"/>
      </c>
      <c r="DA423">
        <f ca="1"/>
      </c>
      <c r="DB423">
        <f ca="1"/>
      </c>
      <c r="DC423">
        <f ca="1"/>
      </c>
      <c r="DD423">
        <f ca="1"/>
      </c>
      <c r="DE423">
        <f ca="1"/>
      </c>
      <c r="DF423">
        <f ca="1"/>
      </c>
      <c r="DG423">
        <f ca="1"/>
      </c>
      <c r="DH423">
        <f ca="1"/>
      </c>
      <c r="DI423">
        <f ca="1"/>
      </c>
      <c r="DJ423">
        <f ca="1"/>
      </c>
      <c r="DK423">
        <f ca="1"/>
      </c>
      <c r="DL423">
        <f ca="1"/>
      </c>
      <c r="DM423">
        <f ca="1"/>
      </c>
      <c r="DN423">
        <f ca="1"/>
      </c>
      <c r="DO423">
        <f ca="1"/>
      </c>
      <c r="DP423">
        <f ca="1"/>
      </c>
      <c r="DQ423">
        <f ca="1"/>
      </c>
      <c r="DR423">
        <f ca="1"/>
      </c>
      <c r="DS423">
        <f ca="1"/>
      </c>
      <c r="DT423">
        <f ca="1"/>
      </c>
      <c r="DU423">
        <f ca="1"/>
      </c>
      <c r="DV423">
        <f ca="1"/>
      </c>
      <c r="DW423">
        <f ca="1"/>
      </c>
      <c r="DX423">
        <f ca="1"/>
      </c>
      <c r="DY423">
        <f ca="1"/>
      </c>
      <c r="DZ423">
        <f ca="1"/>
      </c>
      <c r="EA423">
        <f ca="1"/>
      </c>
      <c r="EB423">
        <f ca="1"/>
      </c>
      <c r="EC423">
        <f ca="1"/>
      </c>
      <c r="ED423">
        <f ca="1"/>
      </c>
      <c r="EE423">
        <f ca="1"/>
      </c>
      <c r="EG423">
        <f ca="1"/>
      </c>
      <c r="EH423">
        <f ca="1"/>
      </c>
      <c r="EI423">
        <f ca="1"/>
      </c>
      <c r="EJ423">
        <f ca="1"/>
      </c>
      <c r="EK423">
        <f ca="1"/>
      </c>
      <c r="EL423">
        <f ca="1"/>
      </c>
      <c r="EM423">
        <f ca="1"/>
      </c>
      <c r="EN423">
        <f ca="1"/>
      </c>
      <c r="EO423">
        <f ca="1"/>
      </c>
      <c r="EP423">
        <f ca="1"/>
      </c>
      <c r="EQ423">
        <f ca="1"/>
      </c>
      <c r="ER423">
        <f ca="1"/>
      </c>
      <c r="ES423">
        <f ca="1"/>
      </c>
      <c r="ET423">
        <f ca="1"/>
      </c>
      <c r="EU423">
        <f ca="1"/>
      </c>
      <c r="EV423">
        <f ca="1"/>
      </c>
      <c r="EW423">
        <f ca="1"/>
      </c>
      <c r="EX423">
        <f ca="1"/>
      </c>
      <c r="EY423">
        <f ca="1"/>
      </c>
      <c r="EZ423">
        <f ca="1"/>
      </c>
      <c r="FA423">
        <f ca="1"/>
      </c>
      <c r="FB423">
        <f ca="1"/>
      </c>
      <c r="FC423">
        <f ca="1"/>
      </c>
      <c r="FD423">
        <f ca="1"/>
      </c>
      <c r="FE423">
        <f ca="1"/>
      </c>
      <c r="FF423">
        <f ca="1"/>
      </c>
      <c r="FG423">
        <f ca="1"/>
      </c>
      <c r="FH423">
        <f ca="1"/>
      </c>
      <c r="FI423">
        <f ca="1"/>
      </c>
      <c r="FJ423">
        <f ca="1"/>
      </c>
      <c r="FK423">
        <f ca="1"/>
      </c>
      <c r="FL423">
        <f ca="1"/>
      </c>
      <c r="FM423">
        <f ca="1"/>
      </c>
      <c r="FN423">
        <f ca="1"/>
      </c>
      <c r="FO423">
        <f ca="1"/>
      </c>
      <c r="FP423">
        <f ca="1"/>
      </c>
      <c r="FQ423">
        <f ca="1"/>
      </c>
      <c r="FR423">
        <f ca="1"/>
      </c>
      <c r="FS423">
        <f ca="1"/>
      </c>
      <c r="FT423">
        <f ca="1"/>
      </c>
      <c r="FU423">
        <f ca="1"/>
      </c>
      <c r="FV423">
        <f ca="1"/>
      </c>
      <c r="FW423">
        <f ca="1"/>
      </c>
      <c r="FX423">
        <f ca="1"/>
      </c>
      <c r="FY423">
        <f ca="1"/>
      </c>
      <c r="FZ423">
        <f ca="1"/>
      </c>
      <c r="GA423">
        <f ca="1"/>
      </c>
      <c r="GM423" s="7"/>
    </row>
    <row r="424" spans="41:195" x14ac:dyDescent="0.55000000000000004">
      <c r="AO424">
        <f ca="1"/>
      </c>
      <c r="AP424">
        <f ca="1"/>
      </c>
      <c r="AQ424">
        <f ca="1"/>
      </c>
      <c r="AR424">
        <f ca="1"/>
      </c>
      <c r="AS424">
        <f ca="1"/>
      </c>
      <c r="AT424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AZ424">
        <f ca="1"/>
      </c>
      <c r="BA424">
        <f ca="1"/>
      </c>
      <c r="BB424">
        <f ca="1"/>
      </c>
      <c r="BC424">
        <f ca="1"/>
      </c>
      <c r="BD424">
        <f ca="1"/>
      </c>
      <c r="BE424">
        <f ca="1"/>
      </c>
      <c r="BF424">
        <f ca="1"/>
      </c>
      <c r="BG424">
        <f ca="1"/>
      </c>
      <c r="BH424">
        <f ca="1"/>
      </c>
      <c r="BI424">
        <f ca="1"/>
      </c>
      <c r="BJ424">
        <f ca="1"/>
      </c>
      <c r="BK424">
        <f ca="1"/>
      </c>
      <c r="BL424">
        <f ca="1"/>
      </c>
      <c r="BM424">
        <f ca="1"/>
      </c>
      <c r="BN424">
        <f ca="1"/>
      </c>
      <c r="BO424">
        <f ca="1"/>
      </c>
      <c r="BP424">
        <f ca="1"/>
      </c>
      <c r="BQ424">
        <f ca="1"/>
      </c>
      <c r="BR424">
        <f ca="1"/>
      </c>
      <c r="BS424">
        <f ca="1"/>
      </c>
      <c r="BT424">
        <f ca="1"/>
      </c>
      <c r="BU424">
        <f ca="1"/>
      </c>
      <c r="BV424">
        <f ca="1"/>
      </c>
      <c r="BW424">
        <f ca="1"/>
      </c>
      <c r="BX424">
        <f ca="1"/>
      </c>
      <c r="BY424">
        <f ca="1"/>
      </c>
      <c r="BZ424">
        <f ca="1"/>
      </c>
      <c r="CA424">
        <f ca="1"/>
      </c>
      <c r="CB424">
        <f ca="1"/>
      </c>
      <c r="CC424">
        <f ca="1"/>
      </c>
      <c r="CD424">
        <f ca="1"/>
      </c>
      <c r="CE424">
        <f ca="1"/>
      </c>
      <c r="CF424">
        <f ca="1"/>
      </c>
      <c r="CG424">
        <f ca="1"/>
      </c>
      <c r="CH424">
        <f ca="1"/>
      </c>
      <c r="CI424">
        <f ca="1"/>
      </c>
      <c r="CK424">
        <f ca="1"/>
      </c>
      <c r="CL424">
        <f ca="1"/>
      </c>
      <c r="CM424">
        <f ca="1"/>
      </c>
      <c r="CN424">
        <f ca="1"/>
      </c>
      <c r="CO424">
        <f ca="1"/>
      </c>
      <c r="CP424">
        <f ca="1"/>
      </c>
      <c r="CQ424">
        <f ca="1"/>
      </c>
      <c r="CR424">
        <f ca="1"/>
      </c>
      <c r="CS424">
        <f ca="1"/>
      </c>
      <c r="CT424">
        <f ca="1"/>
      </c>
      <c r="CU424">
        <f ca="1"/>
      </c>
      <c r="CV424">
        <f ca="1"/>
      </c>
      <c r="CW424">
        <f ca="1"/>
      </c>
      <c r="CX424">
        <f ca="1"/>
      </c>
      <c r="CY424">
        <f ca="1"/>
      </c>
      <c r="CZ424">
        <f ca="1"/>
      </c>
      <c r="DA424">
        <f ca="1"/>
      </c>
      <c r="DB424">
        <f ca="1"/>
      </c>
      <c r="DC424">
        <f ca="1"/>
      </c>
      <c r="DD424">
        <f ca="1"/>
      </c>
      <c r="DE424">
        <f ca="1"/>
      </c>
      <c r="DF424">
        <f ca="1"/>
      </c>
      <c r="DG424">
        <f ca="1"/>
      </c>
      <c r="DH424">
        <f ca="1"/>
      </c>
      <c r="DI424">
        <f ca="1"/>
      </c>
      <c r="DJ424">
        <f ca="1"/>
      </c>
      <c r="DK424">
        <f ca="1"/>
      </c>
      <c r="DL424">
        <f ca="1"/>
      </c>
      <c r="DM424">
        <f ca="1"/>
      </c>
      <c r="DN424">
        <f ca="1"/>
      </c>
      <c r="DO424">
        <f ca="1"/>
      </c>
      <c r="DP424">
        <f ca="1"/>
      </c>
      <c r="DQ424">
        <f ca="1"/>
      </c>
      <c r="DR424">
        <f ca="1"/>
      </c>
      <c r="DS424">
        <f ca="1"/>
      </c>
      <c r="DT424">
        <f ca="1"/>
      </c>
      <c r="DU424">
        <f ca="1"/>
      </c>
      <c r="DV424">
        <f ca="1"/>
      </c>
      <c r="DW424">
        <f ca="1"/>
      </c>
      <c r="DX424">
        <f ca="1"/>
      </c>
      <c r="DY424">
        <f ca="1"/>
      </c>
      <c r="DZ424">
        <f ca="1"/>
      </c>
      <c r="EA424">
        <f ca="1"/>
      </c>
      <c r="EB424">
        <f ca="1"/>
      </c>
      <c r="EC424">
        <f ca="1"/>
      </c>
      <c r="ED424">
        <f ca="1"/>
      </c>
      <c r="EE424">
        <f ca="1"/>
      </c>
      <c r="EG424">
        <f ca="1"/>
      </c>
      <c r="EH424">
        <f ca="1"/>
      </c>
      <c r="EI424">
        <f ca="1"/>
      </c>
      <c r="EJ424">
        <f ca="1"/>
      </c>
      <c r="EK424">
        <f ca="1"/>
      </c>
      <c r="EL424">
        <f ca="1"/>
      </c>
      <c r="EM424">
        <f ca="1"/>
      </c>
      <c r="EN424">
        <f ca="1"/>
      </c>
      <c r="EO424">
        <f ca="1"/>
      </c>
      <c r="EP424">
        <f ca="1"/>
      </c>
      <c r="EQ424">
        <f ca="1"/>
      </c>
      <c r="ER424">
        <f ca="1"/>
      </c>
      <c r="ES424">
        <f ca="1"/>
      </c>
      <c r="ET424">
        <f ca="1"/>
      </c>
      <c r="EU424">
        <f ca="1"/>
      </c>
      <c r="EV424">
        <f ca="1"/>
      </c>
      <c r="EW424">
        <f ca="1"/>
      </c>
      <c r="EX424">
        <f ca="1"/>
      </c>
      <c r="EY424">
        <f ca="1"/>
      </c>
      <c r="EZ424">
        <f ca="1"/>
      </c>
      <c r="FA424">
        <f ca="1"/>
      </c>
      <c r="FB424">
        <f ca="1"/>
      </c>
      <c r="FC424">
        <f ca="1"/>
      </c>
      <c r="FD424">
        <f ca="1"/>
      </c>
      <c r="FE424">
        <f ca="1"/>
      </c>
      <c r="FF424">
        <f ca="1"/>
      </c>
      <c r="FG424">
        <f ca="1"/>
      </c>
      <c r="FH424">
        <f ca="1"/>
      </c>
      <c r="FI424">
        <f ca="1"/>
      </c>
      <c r="FJ424">
        <f ca="1"/>
      </c>
      <c r="FK424">
        <f ca="1"/>
      </c>
      <c r="FL424">
        <f ca="1"/>
      </c>
      <c r="FM424">
        <f ca="1"/>
      </c>
      <c r="FN424">
        <f ca="1"/>
      </c>
      <c r="FO424">
        <f ca="1"/>
      </c>
      <c r="FP424">
        <f ca="1"/>
      </c>
      <c r="FQ424">
        <f ca="1"/>
      </c>
      <c r="FR424">
        <f ca="1"/>
      </c>
      <c r="FS424">
        <f ca="1"/>
      </c>
      <c r="FT424">
        <f ca="1"/>
      </c>
      <c r="FU424">
        <f ca="1"/>
      </c>
      <c r="FV424">
        <f ca="1"/>
      </c>
      <c r="FW424">
        <f ca="1"/>
      </c>
      <c r="FX424">
        <f ca="1"/>
      </c>
      <c r="FY424">
        <f ca="1"/>
      </c>
      <c r="FZ424">
        <f ca="1"/>
      </c>
      <c r="GA424">
        <f ca="1"/>
      </c>
      <c r="GM424" s="7"/>
    </row>
    <row r="425" spans="41:195" x14ac:dyDescent="0.55000000000000004">
      <c r="AO425">
        <f ca="1"/>
      </c>
      <c r="AP425">
        <f ca="1"/>
      </c>
      <c r="AQ425">
        <f ca="1"/>
      </c>
      <c r="AR425">
        <f ca="1"/>
      </c>
      <c r="AS425">
        <f ca="1"/>
      </c>
      <c r="AT425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AZ425">
        <f ca="1"/>
      </c>
      <c r="BA425">
        <f ca="1"/>
      </c>
      <c r="BB425">
        <f ca="1"/>
      </c>
      <c r="BC425">
        <f ca="1"/>
      </c>
      <c r="BD425">
        <f ca="1"/>
      </c>
      <c r="BE425">
        <f ca="1"/>
      </c>
      <c r="BF425">
        <f ca="1"/>
      </c>
      <c r="BG425">
        <f ca="1"/>
      </c>
      <c r="BH425">
        <f ca="1"/>
      </c>
      <c r="BI425">
        <f ca="1"/>
      </c>
      <c r="BJ425">
        <f ca="1"/>
      </c>
      <c r="BK425">
        <f ca="1"/>
      </c>
      <c r="BL425">
        <f ca="1"/>
      </c>
      <c r="BM425">
        <f ca="1"/>
      </c>
      <c r="BN425">
        <f ca="1"/>
      </c>
      <c r="BO425">
        <f ca="1"/>
      </c>
      <c r="BP425">
        <f ca="1"/>
      </c>
      <c r="BQ425">
        <f ca="1"/>
      </c>
      <c r="BR425">
        <f ca="1"/>
      </c>
      <c r="BS425">
        <f ca="1"/>
      </c>
      <c r="BT425">
        <f ca="1"/>
      </c>
      <c r="BU425">
        <f ca="1"/>
      </c>
      <c r="BV425">
        <f ca="1"/>
      </c>
      <c r="BW425">
        <f ca="1"/>
      </c>
      <c r="BX425">
        <f ca="1"/>
      </c>
      <c r="BY425">
        <f ca="1"/>
      </c>
      <c r="BZ425">
        <f ca="1"/>
      </c>
      <c r="CA425">
        <f ca="1"/>
      </c>
      <c r="CB425">
        <f ca="1"/>
      </c>
      <c r="CC425">
        <f ca="1"/>
      </c>
      <c r="CD425">
        <f ca="1"/>
      </c>
      <c r="CE425">
        <f ca="1"/>
      </c>
      <c r="CF425">
        <f ca="1"/>
      </c>
      <c r="CG425">
        <f ca="1"/>
      </c>
      <c r="CH425">
        <f ca="1"/>
      </c>
      <c r="CI425">
        <f ca="1"/>
      </c>
      <c r="CK425">
        <f ca="1"/>
      </c>
      <c r="CL425">
        <f ca="1"/>
      </c>
      <c r="CM425">
        <f ca="1"/>
      </c>
      <c r="CN425">
        <f ca="1"/>
      </c>
      <c r="CO425">
        <f ca="1"/>
      </c>
      <c r="CP425">
        <f ca="1"/>
      </c>
      <c r="CQ425">
        <f ca="1"/>
      </c>
      <c r="CR425">
        <f ca="1"/>
      </c>
      <c r="CS425">
        <f ca="1"/>
      </c>
      <c r="CT425">
        <f ca="1"/>
      </c>
      <c r="CU425">
        <f ca="1"/>
      </c>
      <c r="CV425">
        <f ca="1"/>
      </c>
      <c r="CW425">
        <f ca="1"/>
      </c>
      <c r="CX425">
        <f ca="1"/>
      </c>
      <c r="CY425">
        <f ca="1"/>
      </c>
      <c r="CZ425">
        <f ca="1"/>
      </c>
      <c r="DA425">
        <f ca="1"/>
      </c>
      <c r="DB425">
        <f ca="1"/>
      </c>
      <c r="DC425">
        <f ca="1"/>
      </c>
      <c r="DD425">
        <f ca="1"/>
      </c>
      <c r="DE425">
        <f ca="1"/>
      </c>
      <c r="DF425">
        <f ca="1"/>
      </c>
      <c r="DG425">
        <f ca="1"/>
      </c>
      <c r="DH425">
        <f ca="1"/>
      </c>
      <c r="DI425">
        <f ca="1"/>
      </c>
      <c r="DJ425">
        <f ca="1"/>
      </c>
      <c r="DK425">
        <f ca="1"/>
      </c>
      <c r="DL425">
        <f ca="1"/>
      </c>
      <c r="DM425">
        <f ca="1"/>
      </c>
      <c r="DN425">
        <f ca="1"/>
      </c>
      <c r="DO425">
        <f ca="1"/>
      </c>
      <c r="DP425">
        <f ca="1"/>
      </c>
      <c r="DQ425">
        <f ca="1"/>
      </c>
      <c r="DR425">
        <f ca="1"/>
      </c>
      <c r="DS425">
        <f ca="1"/>
      </c>
      <c r="DT425">
        <f ca="1"/>
      </c>
      <c r="DU425">
        <f ca="1"/>
      </c>
      <c r="DV425">
        <f ca="1"/>
      </c>
      <c r="DW425">
        <f ca="1"/>
      </c>
      <c r="DX425">
        <f ca="1"/>
      </c>
      <c r="DY425">
        <f ca="1"/>
      </c>
      <c r="DZ425">
        <f ca="1"/>
      </c>
      <c r="EA425">
        <f ca="1"/>
      </c>
      <c r="EB425">
        <f ca="1"/>
      </c>
      <c r="EC425">
        <f ca="1"/>
      </c>
      <c r="ED425">
        <f ca="1"/>
      </c>
      <c r="EE425">
        <f ca="1"/>
      </c>
      <c r="EG425">
        <f ca="1"/>
      </c>
      <c r="EH425">
        <f ca="1"/>
      </c>
      <c r="EI425">
        <f ca="1"/>
      </c>
      <c r="EJ425">
        <f ca="1"/>
      </c>
      <c r="EK425">
        <f ca="1"/>
      </c>
      <c r="EL425">
        <f ca="1"/>
      </c>
      <c r="EM425">
        <f ca="1"/>
      </c>
      <c r="EN425">
        <f ca="1"/>
      </c>
      <c r="EO425">
        <f ca="1"/>
      </c>
      <c r="EP425">
        <f ca="1"/>
      </c>
      <c r="EQ425">
        <f ca="1"/>
      </c>
      <c r="ER425">
        <f ca="1"/>
      </c>
      <c r="ES425">
        <f ca="1"/>
      </c>
      <c r="ET425">
        <f ca="1"/>
      </c>
      <c r="EU425">
        <f ca="1"/>
      </c>
      <c r="EV425">
        <f ca="1"/>
      </c>
      <c r="EW425">
        <f ca="1"/>
      </c>
      <c r="EX425">
        <f ca="1"/>
      </c>
      <c r="EY425">
        <f ca="1"/>
      </c>
      <c r="EZ425">
        <f ca="1"/>
      </c>
      <c r="FA425">
        <f ca="1"/>
      </c>
      <c r="FB425">
        <f ca="1"/>
      </c>
      <c r="FC425">
        <f ca="1"/>
      </c>
      <c r="FD425">
        <f ca="1"/>
      </c>
      <c r="FE425">
        <f ca="1"/>
      </c>
      <c r="FF425">
        <f ca="1"/>
      </c>
      <c r="FG425">
        <f ca="1"/>
      </c>
      <c r="FH425">
        <f ca="1"/>
      </c>
      <c r="FI425">
        <f ca="1"/>
      </c>
      <c r="FJ425">
        <f ca="1"/>
      </c>
      <c r="FK425">
        <f ca="1"/>
      </c>
      <c r="FL425">
        <f ca="1"/>
      </c>
      <c r="FM425">
        <f ca="1"/>
      </c>
      <c r="FN425">
        <f ca="1"/>
      </c>
      <c r="FO425">
        <f ca="1"/>
      </c>
      <c r="FP425">
        <f ca="1"/>
      </c>
      <c r="FQ425">
        <f ca="1"/>
      </c>
      <c r="FR425">
        <f ca="1"/>
      </c>
      <c r="FS425">
        <f ca="1"/>
      </c>
      <c r="FT425">
        <f ca="1"/>
      </c>
      <c r="FU425">
        <f ca="1"/>
      </c>
      <c r="FV425">
        <f ca="1"/>
      </c>
      <c r="FW425">
        <f ca="1"/>
      </c>
      <c r="FX425">
        <f ca="1"/>
      </c>
      <c r="FY425">
        <f ca="1"/>
      </c>
      <c r="FZ425">
        <f ca="1"/>
      </c>
      <c r="GA425">
        <f ca="1"/>
      </c>
      <c r="GM425" s="7"/>
    </row>
    <row r="426" spans="41:195" x14ac:dyDescent="0.55000000000000004">
      <c r="AO426">
        <f ca="1"/>
      </c>
      <c r="AP426">
        <f ca="1"/>
      </c>
      <c r="AQ426">
        <f ca="1"/>
      </c>
      <c r="AR426">
        <f ca="1"/>
      </c>
      <c r="AS426">
        <f ca="1"/>
      </c>
      <c r="AT426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AZ426">
        <f ca="1"/>
      </c>
      <c r="BA426">
        <f ca="1"/>
      </c>
      <c r="BB426">
        <f ca="1"/>
      </c>
      <c r="BC426">
        <f ca="1"/>
      </c>
      <c r="BD426">
        <f ca="1"/>
      </c>
      <c r="BE426">
        <f ca="1"/>
      </c>
      <c r="BF426">
        <f ca="1"/>
      </c>
      <c r="BG426">
        <f ca="1"/>
      </c>
      <c r="BH426">
        <f ca="1"/>
      </c>
      <c r="BI426">
        <f ca="1"/>
      </c>
      <c r="BJ426">
        <f ca="1"/>
      </c>
      <c r="BK426">
        <f ca="1"/>
      </c>
      <c r="BL426">
        <f ca="1"/>
      </c>
      <c r="BM426">
        <f ca="1"/>
      </c>
      <c r="BN426">
        <f ca="1"/>
      </c>
      <c r="BO426">
        <f ca="1"/>
      </c>
      <c r="BP426">
        <f ca="1"/>
      </c>
      <c r="BQ426">
        <f ca="1"/>
      </c>
      <c r="BR426">
        <f ca="1"/>
      </c>
      <c r="BS426">
        <f ca="1"/>
      </c>
      <c r="BT426">
        <f ca="1"/>
      </c>
      <c r="BU426">
        <f ca="1"/>
      </c>
      <c r="BV426">
        <f ca="1"/>
      </c>
      <c r="BW426">
        <f ca="1"/>
      </c>
      <c r="BX426">
        <f ca="1"/>
      </c>
      <c r="BY426">
        <f ca="1"/>
      </c>
      <c r="BZ426">
        <f ca="1"/>
      </c>
      <c r="CA426">
        <f ca="1"/>
      </c>
      <c r="CB426">
        <f ca="1"/>
      </c>
      <c r="CC426">
        <f ca="1"/>
      </c>
      <c r="CD426">
        <f ca="1"/>
      </c>
      <c r="CE426">
        <f ca="1"/>
      </c>
      <c r="CF426">
        <f ca="1"/>
      </c>
      <c r="CG426">
        <f ca="1"/>
      </c>
      <c r="CH426">
        <f ca="1"/>
      </c>
      <c r="CI426">
        <f ca="1"/>
      </c>
      <c r="CK426">
        <f ca="1"/>
      </c>
      <c r="CL426">
        <f ca="1"/>
      </c>
      <c r="CM426">
        <f ca="1"/>
      </c>
      <c r="CN426">
        <f ca="1"/>
      </c>
      <c r="CO426">
        <f ca="1"/>
      </c>
      <c r="CP426">
        <f ca="1"/>
      </c>
      <c r="CQ426">
        <f ca="1"/>
      </c>
      <c r="CR426">
        <f ca="1"/>
      </c>
      <c r="CS426">
        <f ca="1"/>
      </c>
      <c r="CT426">
        <f ca="1"/>
      </c>
      <c r="CU426">
        <f ca="1"/>
      </c>
      <c r="CV426">
        <f ca="1"/>
      </c>
      <c r="CW426">
        <f ca="1"/>
      </c>
      <c r="CX426">
        <f ca="1"/>
      </c>
      <c r="CY426">
        <f ca="1"/>
      </c>
      <c r="CZ426">
        <f ca="1"/>
      </c>
      <c r="DA426">
        <f ca="1"/>
      </c>
      <c r="DB426">
        <f ca="1"/>
      </c>
      <c r="DC426">
        <f ca="1"/>
      </c>
      <c r="DD426">
        <f ca="1"/>
      </c>
      <c r="DE426">
        <f ca="1"/>
      </c>
      <c r="DF426">
        <f ca="1"/>
      </c>
      <c r="DG426">
        <f ca="1"/>
      </c>
      <c r="DH426">
        <f ca="1"/>
      </c>
      <c r="DI426">
        <f ca="1"/>
      </c>
      <c r="DJ426">
        <f ca="1"/>
      </c>
      <c r="DK426">
        <f ca="1"/>
      </c>
      <c r="DL426">
        <f ca="1"/>
      </c>
      <c r="DM426">
        <f ca="1"/>
      </c>
      <c r="DN426">
        <f ca="1"/>
      </c>
      <c r="DO426">
        <f ca="1"/>
      </c>
      <c r="DP426">
        <f ca="1"/>
      </c>
      <c r="DQ426">
        <f ca="1"/>
      </c>
      <c r="DR426">
        <f ca="1"/>
      </c>
      <c r="DS426">
        <f ca="1"/>
      </c>
      <c r="DT426">
        <f ca="1"/>
      </c>
      <c r="DU426">
        <f ca="1"/>
      </c>
      <c r="DV426">
        <f ca="1"/>
      </c>
      <c r="DW426">
        <f ca="1"/>
      </c>
      <c r="DX426">
        <f ca="1"/>
      </c>
      <c r="DY426">
        <f ca="1"/>
      </c>
      <c r="DZ426">
        <f ca="1"/>
      </c>
      <c r="EA426">
        <f ca="1"/>
      </c>
      <c r="EB426">
        <f ca="1"/>
      </c>
      <c r="EC426">
        <f ca="1"/>
      </c>
      <c r="ED426">
        <f ca="1"/>
      </c>
      <c r="EE426">
        <f ca="1"/>
      </c>
      <c r="EG426">
        <f ca="1"/>
      </c>
      <c r="EH426">
        <f ca="1"/>
      </c>
      <c r="EI426">
        <f ca="1"/>
      </c>
      <c r="EJ426">
        <f ca="1"/>
      </c>
      <c r="EK426">
        <f ca="1"/>
      </c>
      <c r="EL426">
        <f ca="1"/>
      </c>
      <c r="EM426">
        <f ca="1"/>
      </c>
      <c r="EN426">
        <f ca="1"/>
      </c>
      <c r="EO426">
        <f ca="1"/>
      </c>
      <c r="EP426">
        <f ca="1"/>
      </c>
      <c r="EQ426">
        <f ca="1"/>
      </c>
      <c r="ER426">
        <f ca="1"/>
      </c>
      <c r="ES426">
        <f ca="1"/>
      </c>
      <c r="ET426">
        <f ca="1"/>
      </c>
      <c r="EU426">
        <f ca="1"/>
      </c>
      <c r="EV426">
        <f ca="1"/>
      </c>
      <c r="EW426">
        <f ca="1"/>
      </c>
      <c r="EX426">
        <f ca="1"/>
      </c>
      <c r="EY426">
        <f ca="1"/>
      </c>
      <c r="EZ426">
        <f ca="1"/>
      </c>
      <c r="FA426">
        <f ca="1"/>
      </c>
      <c r="FB426">
        <f ca="1"/>
      </c>
      <c r="FC426">
        <f ca="1"/>
      </c>
      <c r="FD426">
        <f ca="1"/>
      </c>
      <c r="FE426">
        <f ca="1"/>
      </c>
      <c r="FF426">
        <f ca="1"/>
      </c>
      <c r="FG426">
        <f ca="1"/>
      </c>
      <c r="FH426">
        <f ca="1"/>
      </c>
      <c r="FI426">
        <f ca="1"/>
      </c>
      <c r="FJ426">
        <f ca="1"/>
      </c>
      <c r="FK426">
        <f ca="1"/>
      </c>
      <c r="FL426">
        <f ca="1"/>
      </c>
      <c r="FM426">
        <f ca="1"/>
      </c>
      <c r="FN426">
        <f ca="1"/>
      </c>
      <c r="FO426">
        <f ca="1"/>
      </c>
      <c r="FP426">
        <f ca="1"/>
      </c>
      <c r="FQ426">
        <f ca="1"/>
      </c>
      <c r="FR426">
        <f ca="1"/>
      </c>
      <c r="FS426">
        <f ca="1"/>
      </c>
      <c r="FT426">
        <f ca="1"/>
      </c>
      <c r="FU426">
        <f ca="1"/>
      </c>
      <c r="FV426">
        <f ca="1"/>
      </c>
      <c r="FW426">
        <f ca="1"/>
      </c>
      <c r="FX426">
        <f ca="1"/>
      </c>
      <c r="FY426">
        <f ca="1"/>
      </c>
      <c r="FZ426">
        <f ca="1"/>
      </c>
      <c r="GA426">
        <f ca="1"/>
      </c>
      <c r="GM426" s="7"/>
    </row>
    <row r="427" spans="41:195" x14ac:dyDescent="0.55000000000000004">
      <c r="AO427">
        <f ca="1"/>
      </c>
      <c r="AP427">
        <f ca="1"/>
      </c>
      <c r="AQ427">
        <f ca="1"/>
      </c>
      <c r="AR427">
        <f ca="1"/>
      </c>
      <c r="AS427">
        <f ca="1"/>
      </c>
      <c r="AT42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AZ427">
        <f ca="1"/>
      </c>
      <c r="BA427">
        <f ca="1"/>
      </c>
      <c r="BB427">
        <f ca="1"/>
      </c>
      <c r="BC427">
        <f ca="1"/>
      </c>
      <c r="BD427">
        <f ca="1"/>
      </c>
      <c r="BE427">
        <f ca="1"/>
      </c>
      <c r="BF427">
        <f ca="1"/>
      </c>
      <c r="BG427">
        <f ca="1"/>
      </c>
      <c r="BH427">
        <f ca="1"/>
      </c>
      <c r="BI427">
        <f ca="1"/>
      </c>
      <c r="BJ427">
        <f ca="1"/>
      </c>
      <c r="BK427">
        <f ca="1"/>
      </c>
      <c r="BL427">
        <f ca="1"/>
      </c>
      <c r="BM427">
        <f ca="1"/>
      </c>
      <c r="BN427">
        <f ca="1"/>
      </c>
      <c r="BO427">
        <f ca="1"/>
      </c>
      <c r="BP427">
        <f ca="1"/>
      </c>
      <c r="BQ427">
        <f ca="1"/>
      </c>
      <c r="BR427">
        <f ca="1"/>
      </c>
      <c r="BS427">
        <f ca="1"/>
      </c>
      <c r="BT427">
        <f ca="1"/>
      </c>
      <c r="BU427">
        <f ca="1"/>
      </c>
      <c r="BV427">
        <f ca="1"/>
      </c>
      <c r="BW427">
        <f ca="1"/>
      </c>
      <c r="BX427">
        <f ca="1"/>
      </c>
      <c r="BY427">
        <f ca="1"/>
      </c>
      <c r="BZ427">
        <f ca="1"/>
      </c>
      <c r="CA427">
        <f ca="1"/>
      </c>
      <c r="CB427">
        <f ca="1"/>
      </c>
      <c r="CC427">
        <f ca="1"/>
      </c>
      <c r="CD427">
        <f ca="1"/>
      </c>
      <c r="CE427">
        <f ca="1"/>
      </c>
      <c r="CF427">
        <f ca="1"/>
      </c>
      <c r="CG427">
        <f ca="1"/>
      </c>
      <c r="CH427">
        <f ca="1"/>
      </c>
      <c r="CI427">
        <f ca="1"/>
      </c>
      <c r="CK427">
        <f ca="1"/>
      </c>
      <c r="CL427">
        <f ca="1"/>
      </c>
      <c r="CM427">
        <f ca="1"/>
      </c>
      <c r="CN427">
        <f ca="1"/>
      </c>
      <c r="CO427">
        <f ca="1"/>
      </c>
      <c r="CP427">
        <f ca="1"/>
      </c>
      <c r="CQ427">
        <f ca="1"/>
      </c>
      <c r="CR427">
        <f ca="1"/>
      </c>
      <c r="CS427">
        <f ca="1"/>
      </c>
      <c r="CT427">
        <f ca="1"/>
      </c>
      <c r="CU427">
        <f ca="1"/>
      </c>
      <c r="CV427">
        <f ca="1"/>
      </c>
      <c r="CW427">
        <f ca="1"/>
      </c>
      <c r="CX427">
        <f ca="1"/>
      </c>
      <c r="CY427">
        <f ca="1"/>
      </c>
      <c r="CZ427">
        <f ca="1"/>
      </c>
      <c r="DA427">
        <f ca="1"/>
      </c>
      <c r="DB427">
        <f ca="1"/>
      </c>
      <c r="DC427">
        <f ca="1"/>
      </c>
      <c r="DD427">
        <f ca="1"/>
      </c>
      <c r="DE427">
        <f ca="1"/>
      </c>
      <c r="DF427">
        <f ca="1"/>
      </c>
      <c r="DG427">
        <f ca="1"/>
      </c>
      <c r="DH427">
        <f ca="1"/>
      </c>
      <c r="DI427">
        <f ca="1"/>
      </c>
      <c r="DJ427">
        <f ca="1"/>
      </c>
      <c r="DK427">
        <f ca="1"/>
      </c>
      <c r="DL427">
        <f ca="1"/>
      </c>
      <c r="DM427">
        <f ca="1"/>
      </c>
      <c r="DN427">
        <f ca="1"/>
      </c>
      <c r="DO427">
        <f ca="1"/>
      </c>
      <c r="DP427">
        <f ca="1"/>
      </c>
      <c r="DQ427">
        <f ca="1"/>
      </c>
      <c r="DR427">
        <f ca="1"/>
      </c>
      <c r="DS427">
        <f ca="1"/>
      </c>
      <c r="DT427">
        <f ca="1"/>
      </c>
      <c r="DU427">
        <f ca="1"/>
      </c>
      <c r="DV427">
        <f ca="1"/>
      </c>
      <c r="DW427">
        <f ca="1"/>
      </c>
      <c r="DX427">
        <f ca="1"/>
      </c>
      <c r="DY427">
        <f ca="1"/>
      </c>
      <c r="DZ427">
        <f ca="1"/>
      </c>
      <c r="EA427">
        <f ca="1"/>
      </c>
      <c r="EB427">
        <f ca="1"/>
      </c>
      <c r="EC427">
        <f ca="1"/>
      </c>
      <c r="ED427">
        <f ca="1"/>
      </c>
      <c r="EE427">
        <f ca="1"/>
      </c>
      <c r="EG427">
        <f ca="1"/>
      </c>
      <c r="EH427">
        <f ca="1"/>
      </c>
      <c r="EI427">
        <f ca="1"/>
      </c>
      <c r="EJ427">
        <f ca="1"/>
      </c>
      <c r="EK427">
        <f ca="1"/>
      </c>
      <c r="EL427">
        <f ca="1"/>
      </c>
      <c r="EM427">
        <f ca="1"/>
      </c>
      <c r="EN427">
        <f ca="1"/>
      </c>
      <c r="EO427">
        <f ca="1"/>
      </c>
      <c r="EP427">
        <f ca="1"/>
      </c>
      <c r="EQ427">
        <f ca="1"/>
      </c>
      <c r="ER427">
        <f ca="1"/>
      </c>
      <c r="ES427">
        <f ca="1"/>
      </c>
      <c r="ET427">
        <f ca="1"/>
      </c>
      <c r="EU427">
        <f ca="1"/>
      </c>
      <c r="EV427">
        <f ca="1"/>
      </c>
      <c r="EW427">
        <f ca="1"/>
      </c>
      <c r="EX427">
        <f ca="1"/>
      </c>
      <c r="EY427">
        <f ca="1"/>
      </c>
      <c r="EZ427">
        <f ca="1"/>
      </c>
      <c r="FA427">
        <f ca="1"/>
      </c>
      <c r="FB427">
        <f ca="1"/>
      </c>
      <c r="FC427">
        <f ca="1"/>
      </c>
      <c r="FD427">
        <f ca="1"/>
      </c>
      <c r="FE427">
        <f ca="1"/>
      </c>
      <c r="FF427">
        <f ca="1"/>
      </c>
      <c r="FG427">
        <f ca="1"/>
      </c>
      <c r="FH427">
        <f ca="1"/>
      </c>
      <c r="FI427">
        <f ca="1"/>
      </c>
      <c r="FJ427">
        <f ca="1"/>
      </c>
      <c r="FK427">
        <f ca="1"/>
      </c>
      <c r="FL427">
        <f ca="1"/>
      </c>
      <c r="FM427">
        <f ca="1"/>
      </c>
      <c r="FN427">
        <f ca="1"/>
      </c>
      <c r="FO427">
        <f ca="1"/>
      </c>
      <c r="FP427">
        <f ca="1"/>
      </c>
      <c r="FQ427">
        <f ca="1"/>
      </c>
      <c r="FR427">
        <f ca="1"/>
      </c>
      <c r="FS427">
        <f ca="1"/>
      </c>
      <c r="FT427">
        <f ca="1"/>
      </c>
      <c r="FU427">
        <f ca="1"/>
      </c>
      <c r="FV427">
        <f ca="1"/>
      </c>
      <c r="FW427">
        <f ca="1"/>
      </c>
      <c r="FX427">
        <f ca="1"/>
      </c>
      <c r="FY427">
        <f ca="1"/>
      </c>
      <c r="FZ427">
        <f ca="1"/>
      </c>
      <c r="GA427">
        <f ca="1"/>
      </c>
      <c r="GM427" s="7"/>
    </row>
    <row r="428" spans="41:195" x14ac:dyDescent="0.55000000000000004">
      <c r="AO428">
        <f ca="1"/>
      </c>
      <c r="AP428">
        <f ca="1"/>
      </c>
      <c r="AQ428">
        <f ca="1"/>
      </c>
      <c r="AR428">
        <f ca="1"/>
      </c>
      <c r="AS428">
        <f ca="1"/>
      </c>
      <c r="AT428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AZ428">
        <f ca="1"/>
      </c>
      <c r="BA428">
        <f ca="1"/>
      </c>
      <c r="BB428">
        <f ca="1"/>
      </c>
      <c r="BC428">
        <f ca="1"/>
      </c>
      <c r="BD428">
        <f ca="1"/>
      </c>
      <c r="BE428">
        <f ca="1"/>
      </c>
      <c r="BF428">
        <f ca="1"/>
      </c>
      <c r="BG428">
        <f ca="1"/>
      </c>
      <c r="BH428">
        <f ca="1"/>
      </c>
      <c r="BI428">
        <f ca="1"/>
      </c>
      <c r="BJ428">
        <f ca="1"/>
      </c>
      <c r="BK428">
        <f ca="1"/>
      </c>
      <c r="BL428">
        <f ca="1"/>
      </c>
      <c r="BM428">
        <f ca="1"/>
      </c>
      <c r="BN428">
        <f ca="1"/>
      </c>
      <c r="BO428">
        <f ca="1"/>
      </c>
      <c r="BP428">
        <f ca="1"/>
      </c>
      <c r="BQ428">
        <f ca="1"/>
      </c>
      <c r="BR428">
        <f ca="1"/>
      </c>
      <c r="BS428">
        <f ca="1"/>
      </c>
      <c r="BT428">
        <f ca="1"/>
      </c>
      <c r="BU428">
        <f ca="1"/>
      </c>
      <c r="BV428">
        <f ca="1"/>
      </c>
      <c r="BW428">
        <f ca="1"/>
      </c>
      <c r="BX428">
        <f ca="1"/>
      </c>
      <c r="BY428">
        <f ca="1"/>
      </c>
      <c r="BZ428">
        <f ca="1"/>
      </c>
      <c r="CA428">
        <f ca="1"/>
      </c>
      <c r="CB428">
        <f ca="1"/>
      </c>
      <c r="CC428">
        <f ca="1"/>
      </c>
      <c r="CD428">
        <f ca="1"/>
      </c>
      <c r="CE428">
        <f ca="1"/>
      </c>
      <c r="CF428">
        <f ca="1"/>
      </c>
      <c r="CG428">
        <f ca="1"/>
      </c>
      <c r="CH428">
        <f ca="1"/>
      </c>
      <c r="CI428">
        <f ca="1"/>
      </c>
      <c r="CK428">
        <f ca="1"/>
      </c>
      <c r="CL428">
        <f ca="1"/>
      </c>
      <c r="CM428">
        <f ca="1"/>
      </c>
      <c r="CN428">
        <f ca="1"/>
      </c>
      <c r="CO428">
        <f ca="1"/>
      </c>
      <c r="CP428">
        <f ca="1"/>
      </c>
      <c r="CQ428">
        <f ca="1"/>
      </c>
      <c r="CR428">
        <f ca="1"/>
      </c>
      <c r="CS428">
        <f ca="1"/>
      </c>
      <c r="CT428">
        <f ca="1"/>
      </c>
      <c r="CU428">
        <f ca="1"/>
      </c>
      <c r="CV428">
        <f ca="1"/>
      </c>
      <c r="CW428">
        <f ca="1"/>
      </c>
      <c r="CX428">
        <f ca="1"/>
      </c>
      <c r="CY428">
        <f ca="1"/>
      </c>
      <c r="CZ428">
        <f ca="1"/>
      </c>
      <c r="DA428">
        <f ca="1"/>
      </c>
      <c r="DB428">
        <f ca="1"/>
      </c>
      <c r="DC428">
        <f ca="1"/>
      </c>
      <c r="DD428">
        <f ca="1"/>
      </c>
      <c r="DE428">
        <f ca="1"/>
      </c>
      <c r="DF428">
        <f ca="1"/>
      </c>
      <c r="DG428">
        <f ca="1"/>
      </c>
      <c r="DH428">
        <f ca="1"/>
      </c>
      <c r="DI428">
        <f ca="1"/>
      </c>
      <c r="DJ428">
        <f ca="1"/>
      </c>
      <c r="DK428">
        <f ca="1"/>
      </c>
      <c r="DL428">
        <f ca="1"/>
      </c>
      <c r="DM428">
        <f ca="1"/>
      </c>
      <c r="DN428">
        <f ca="1"/>
      </c>
      <c r="DO428">
        <f ca="1"/>
      </c>
      <c r="DP428">
        <f ca="1"/>
      </c>
      <c r="DQ428">
        <f ca="1"/>
      </c>
      <c r="DR428">
        <f ca="1"/>
      </c>
      <c r="DS428">
        <f ca="1"/>
      </c>
      <c r="DT428">
        <f ca="1"/>
      </c>
      <c r="DU428">
        <f ca="1"/>
      </c>
      <c r="DV428">
        <f ca="1"/>
      </c>
      <c r="DW428">
        <f ca="1"/>
      </c>
      <c r="DX428">
        <f ca="1"/>
      </c>
      <c r="DY428">
        <f ca="1"/>
      </c>
      <c r="DZ428">
        <f ca="1"/>
      </c>
      <c r="EA428">
        <f ca="1"/>
      </c>
      <c r="EB428">
        <f ca="1"/>
      </c>
      <c r="EC428">
        <f ca="1"/>
      </c>
      <c r="ED428">
        <f ca="1"/>
      </c>
      <c r="EE428">
        <f ca="1"/>
      </c>
      <c r="EG428">
        <f ca="1"/>
      </c>
      <c r="EH428">
        <f ca="1"/>
      </c>
      <c r="EI428">
        <f ca="1"/>
      </c>
      <c r="EJ428">
        <f ca="1"/>
      </c>
      <c r="EK428">
        <f ca="1"/>
      </c>
      <c r="EL428">
        <f ca="1"/>
      </c>
      <c r="EM428">
        <f ca="1"/>
      </c>
      <c r="EN428">
        <f ca="1"/>
      </c>
      <c r="EO428">
        <f ca="1"/>
      </c>
      <c r="EP428">
        <f ca="1"/>
      </c>
      <c r="EQ428">
        <f ca="1"/>
      </c>
      <c r="ER428">
        <f ca="1"/>
      </c>
      <c r="ES428">
        <f ca="1"/>
      </c>
      <c r="ET428">
        <f ca="1"/>
      </c>
      <c r="EU428">
        <f ca="1"/>
      </c>
      <c r="EV428">
        <f ca="1"/>
      </c>
      <c r="EW428">
        <f ca="1"/>
      </c>
      <c r="EX428">
        <f ca="1"/>
      </c>
      <c r="EY428">
        <f ca="1"/>
      </c>
      <c r="EZ428">
        <f ca="1"/>
      </c>
      <c r="FA428">
        <f ca="1"/>
      </c>
      <c r="FB428">
        <f ca="1"/>
      </c>
      <c r="FC428">
        <f ca="1"/>
      </c>
      <c r="FD428">
        <f ca="1"/>
      </c>
      <c r="FE428">
        <f ca="1"/>
      </c>
      <c r="FF428">
        <f ca="1"/>
      </c>
      <c r="FG428">
        <f ca="1"/>
      </c>
      <c r="FH428">
        <f ca="1"/>
      </c>
      <c r="FI428">
        <f ca="1"/>
      </c>
      <c r="FJ428">
        <f ca="1"/>
      </c>
      <c r="FK428">
        <f ca="1"/>
      </c>
      <c r="FL428">
        <f ca="1"/>
      </c>
      <c r="FM428">
        <f ca="1"/>
      </c>
      <c r="FN428">
        <f ca="1"/>
      </c>
      <c r="FO428">
        <f ca="1"/>
      </c>
      <c r="FP428">
        <f ca="1"/>
      </c>
      <c r="FQ428">
        <f ca="1"/>
      </c>
      <c r="FR428">
        <f ca="1"/>
      </c>
      <c r="FS428">
        <f ca="1"/>
      </c>
      <c r="FT428">
        <f ca="1"/>
      </c>
      <c r="FU428">
        <f ca="1"/>
      </c>
      <c r="FV428">
        <f ca="1"/>
      </c>
      <c r="FW428">
        <f ca="1"/>
      </c>
      <c r="FX428">
        <f ca="1"/>
      </c>
      <c r="FY428">
        <f ca="1"/>
      </c>
      <c r="FZ428">
        <f ca="1"/>
      </c>
      <c r="GA428">
        <f ca="1"/>
      </c>
      <c r="GM428" s="7"/>
    </row>
    <row r="429" spans="41:195" x14ac:dyDescent="0.55000000000000004">
      <c r="AO429">
        <f ca="1"/>
      </c>
      <c r="AP429">
        <f ca="1"/>
      </c>
      <c r="AQ429">
        <f ca="1"/>
      </c>
      <c r="AR429">
        <f ca="1"/>
      </c>
      <c r="AS429">
        <f ca="1"/>
      </c>
      <c r="AT429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AZ429">
        <f ca="1"/>
      </c>
      <c r="BA429">
        <f ca="1"/>
      </c>
      <c r="BB429">
        <f ca="1"/>
      </c>
      <c r="BC429">
        <f ca="1"/>
      </c>
      <c r="BD429">
        <f ca="1"/>
      </c>
      <c r="BE429">
        <f ca="1"/>
      </c>
      <c r="BF429">
        <f ca="1"/>
      </c>
      <c r="BG429">
        <f ca="1"/>
      </c>
      <c r="BH429">
        <f ca="1"/>
      </c>
      <c r="BI429">
        <f ca="1"/>
      </c>
      <c r="BJ429">
        <f ca="1"/>
      </c>
      <c r="BK429">
        <f ca="1"/>
      </c>
      <c r="BL429">
        <f ca="1"/>
      </c>
      <c r="BM429">
        <f ca="1"/>
      </c>
      <c r="BN429">
        <f ca="1"/>
      </c>
      <c r="BO429">
        <f ca="1"/>
      </c>
      <c r="BP429">
        <f ca="1"/>
      </c>
      <c r="BQ429">
        <f ca="1"/>
      </c>
      <c r="BR429">
        <f ca="1"/>
      </c>
      <c r="BS429">
        <f ca="1"/>
      </c>
      <c r="BT429">
        <f ca="1"/>
      </c>
      <c r="BU429">
        <f ca="1"/>
      </c>
      <c r="BV429">
        <f ca="1"/>
      </c>
      <c r="BW429">
        <f ca="1"/>
      </c>
      <c r="BX429">
        <f ca="1"/>
      </c>
      <c r="BY429">
        <f ca="1"/>
      </c>
      <c r="BZ429">
        <f ca="1"/>
      </c>
      <c r="CA429">
        <f ca="1"/>
      </c>
      <c r="CB429">
        <f ca="1"/>
      </c>
      <c r="CC429">
        <f ca="1"/>
      </c>
      <c r="CD429">
        <f ca="1"/>
      </c>
      <c r="CE429">
        <f ca="1"/>
      </c>
      <c r="CF429">
        <f ca="1"/>
      </c>
      <c r="CG429">
        <f ca="1"/>
      </c>
      <c r="CH429">
        <f ca="1"/>
      </c>
      <c r="CI429">
        <f ca="1"/>
      </c>
      <c r="CK429">
        <f ca="1"/>
      </c>
      <c r="CL429">
        <f ca="1"/>
      </c>
      <c r="CM429">
        <f ca="1"/>
      </c>
      <c r="CN429">
        <f ca="1"/>
      </c>
      <c r="CO429">
        <f ca="1"/>
      </c>
      <c r="CP429">
        <f ca="1"/>
      </c>
      <c r="CQ429">
        <f ca="1"/>
      </c>
      <c r="CR429">
        <f ca="1"/>
      </c>
      <c r="CS429">
        <f ca="1"/>
      </c>
      <c r="CT429">
        <f ca="1"/>
      </c>
      <c r="CU429">
        <f ca="1"/>
      </c>
      <c r="CV429">
        <f ca="1"/>
      </c>
      <c r="CW429">
        <f ca="1"/>
      </c>
      <c r="CX429">
        <f ca="1"/>
      </c>
      <c r="CY429">
        <f ca="1"/>
      </c>
      <c r="CZ429">
        <f ca="1"/>
      </c>
      <c r="DA429">
        <f ca="1"/>
      </c>
      <c r="DB429">
        <f ca="1"/>
      </c>
      <c r="DC429">
        <f ca="1"/>
      </c>
      <c r="DD429">
        <f ca="1"/>
      </c>
      <c r="DE429">
        <f ca="1"/>
      </c>
      <c r="DF429">
        <f ca="1"/>
      </c>
      <c r="DG429">
        <f ca="1"/>
      </c>
      <c r="DH429">
        <f ca="1"/>
      </c>
      <c r="DI429">
        <f ca="1"/>
      </c>
      <c r="DJ429">
        <f ca="1"/>
      </c>
      <c r="DK429">
        <f ca="1"/>
      </c>
      <c r="DL429">
        <f ca="1"/>
      </c>
      <c r="DM429">
        <f ca="1"/>
      </c>
      <c r="DN429">
        <f ca="1"/>
      </c>
      <c r="DO429">
        <f ca="1"/>
      </c>
      <c r="DP429">
        <f ca="1"/>
      </c>
      <c r="DQ429">
        <f ca="1"/>
      </c>
      <c r="DR429">
        <f ca="1"/>
      </c>
      <c r="DS429">
        <f ca="1"/>
      </c>
      <c r="DT429">
        <f ca="1"/>
      </c>
      <c r="DU429">
        <f ca="1"/>
      </c>
      <c r="DV429">
        <f ca="1"/>
      </c>
      <c r="DW429">
        <f ca="1"/>
      </c>
      <c r="DX429">
        <f ca="1"/>
      </c>
      <c r="DY429">
        <f ca="1"/>
      </c>
      <c r="DZ429">
        <f ca="1"/>
      </c>
      <c r="EA429">
        <f ca="1"/>
      </c>
      <c r="EB429">
        <f ca="1"/>
      </c>
      <c r="EC429">
        <f ca="1"/>
      </c>
      <c r="ED429">
        <f ca="1"/>
      </c>
      <c r="EE429">
        <f ca="1"/>
      </c>
      <c r="EG429">
        <f ca="1"/>
      </c>
      <c r="EH429">
        <f ca="1"/>
      </c>
      <c r="EI429">
        <f ca="1"/>
      </c>
      <c r="EJ429">
        <f ca="1"/>
      </c>
      <c r="EK429">
        <f ca="1"/>
      </c>
      <c r="EL429">
        <f ca="1"/>
      </c>
      <c r="EM429">
        <f ca="1"/>
      </c>
      <c r="EN429">
        <f ca="1"/>
      </c>
      <c r="EO429">
        <f ca="1"/>
      </c>
      <c r="EP429">
        <f ca="1"/>
      </c>
      <c r="EQ429">
        <f ca="1"/>
      </c>
      <c r="ER429">
        <f ca="1"/>
      </c>
      <c r="ES429">
        <f ca="1"/>
      </c>
      <c r="ET429">
        <f ca="1"/>
      </c>
      <c r="EU429">
        <f ca="1"/>
      </c>
      <c r="EV429">
        <f ca="1"/>
      </c>
      <c r="EW429">
        <f ca="1"/>
      </c>
      <c r="EX429">
        <f ca="1"/>
      </c>
      <c r="EY429">
        <f ca="1"/>
      </c>
      <c r="EZ429">
        <f ca="1"/>
      </c>
      <c r="FA429">
        <f ca="1"/>
      </c>
      <c r="FB429">
        <f ca="1"/>
      </c>
      <c r="FC429">
        <f ca="1"/>
      </c>
      <c r="FD429">
        <f ca="1"/>
      </c>
      <c r="FE429">
        <f ca="1"/>
      </c>
      <c r="FF429">
        <f ca="1"/>
      </c>
      <c r="FG429">
        <f ca="1"/>
      </c>
      <c r="FH429">
        <f ca="1"/>
      </c>
      <c r="FI429">
        <f ca="1"/>
      </c>
      <c r="FJ429">
        <f ca="1"/>
      </c>
      <c r="FK429">
        <f ca="1"/>
      </c>
      <c r="FL429">
        <f ca="1"/>
      </c>
      <c r="FM429">
        <f ca="1"/>
      </c>
      <c r="FN429">
        <f ca="1"/>
      </c>
      <c r="FO429">
        <f ca="1"/>
      </c>
      <c r="FP429">
        <f ca="1"/>
      </c>
      <c r="FQ429">
        <f ca="1"/>
      </c>
      <c r="FR429">
        <f ca="1"/>
      </c>
      <c r="FS429">
        <f ca="1"/>
      </c>
      <c r="FT429">
        <f ca="1"/>
      </c>
      <c r="FU429">
        <f ca="1"/>
      </c>
      <c r="FV429">
        <f ca="1"/>
      </c>
      <c r="FW429">
        <f ca="1"/>
      </c>
      <c r="FX429">
        <f ca="1"/>
      </c>
      <c r="FY429">
        <f ca="1"/>
      </c>
      <c r="FZ429">
        <f ca="1"/>
      </c>
      <c r="GA429">
        <f ca="1"/>
      </c>
      <c r="GM429" s="7"/>
    </row>
    <row r="430" spans="41:195" x14ac:dyDescent="0.55000000000000004">
      <c r="AO430">
        <f ca="1"/>
      </c>
      <c r="AP430">
        <f ca="1"/>
      </c>
      <c r="AQ430">
        <f ca="1"/>
      </c>
      <c r="AR430">
        <f ca="1"/>
      </c>
      <c r="AS430">
        <f ca="1"/>
      </c>
      <c r="AT430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AZ430">
        <f ca="1"/>
      </c>
      <c r="BA430">
        <f ca="1"/>
      </c>
      <c r="BB430">
        <f ca="1"/>
      </c>
      <c r="BC430">
        <f ca="1"/>
      </c>
      <c r="BD430">
        <f ca="1"/>
      </c>
      <c r="BE430">
        <f ca="1"/>
      </c>
      <c r="BF430">
        <f ca="1"/>
      </c>
      <c r="BG430">
        <f ca="1"/>
      </c>
      <c r="BH430">
        <f ca="1"/>
      </c>
      <c r="BI430">
        <f ca="1"/>
      </c>
      <c r="BJ430">
        <f ca="1"/>
      </c>
      <c r="BK430">
        <f ca="1"/>
      </c>
      <c r="BL430">
        <f ca="1"/>
      </c>
      <c r="BM430">
        <f ca="1"/>
      </c>
      <c r="BN430">
        <f ca="1"/>
      </c>
      <c r="BO430">
        <f ca="1"/>
      </c>
      <c r="BP430">
        <f ca="1"/>
      </c>
      <c r="BQ430">
        <f ca="1"/>
      </c>
      <c r="BR430">
        <f ca="1"/>
      </c>
      <c r="BS430">
        <f ca="1"/>
      </c>
      <c r="BT430">
        <f ca="1"/>
      </c>
      <c r="BU430">
        <f ca="1"/>
      </c>
      <c r="BV430">
        <f ca="1"/>
      </c>
      <c r="BW430">
        <f ca="1"/>
      </c>
      <c r="BX430">
        <f ca="1"/>
      </c>
      <c r="BY430">
        <f ca="1"/>
      </c>
      <c r="BZ430">
        <f ca="1"/>
      </c>
      <c r="CA430">
        <f ca="1"/>
      </c>
      <c r="CB430">
        <f ca="1"/>
      </c>
      <c r="CC430">
        <f ca="1"/>
      </c>
      <c r="CD430">
        <f ca="1"/>
      </c>
      <c r="CE430">
        <f ca="1"/>
      </c>
      <c r="CF430">
        <f ca="1"/>
      </c>
      <c r="CG430">
        <f ca="1"/>
      </c>
      <c r="CH430">
        <f ca="1"/>
      </c>
      <c r="CI430">
        <f ca="1"/>
      </c>
      <c r="CK430">
        <f ca="1"/>
      </c>
      <c r="CL430">
        <f ca="1"/>
      </c>
      <c r="CM430">
        <f ca="1"/>
      </c>
      <c r="CN430">
        <f ca="1"/>
      </c>
      <c r="CO430">
        <f ca="1"/>
      </c>
      <c r="CP430">
        <f ca="1"/>
      </c>
      <c r="CQ430">
        <f ca="1"/>
      </c>
      <c r="CR430">
        <f ca="1"/>
      </c>
      <c r="CS430">
        <f ca="1"/>
      </c>
      <c r="CT430">
        <f ca="1"/>
      </c>
      <c r="CU430">
        <f ca="1"/>
      </c>
      <c r="CV430">
        <f ca="1"/>
      </c>
      <c r="CW430">
        <f ca="1"/>
      </c>
      <c r="CX430">
        <f ca="1"/>
      </c>
      <c r="CY430">
        <f ca="1"/>
      </c>
      <c r="CZ430">
        <f ca="1"/>
      </c>
      <c r="DA430">
        <f ca="1"/>
      </c>
      <c r="DB430">
        <f ca="1"/>
      </c>
      <c r="DC430">
        <f ca="1"/>
      </c>
      <c r="DD430">
        <f ca="1"/>
      </c>
      <c r="DE430">
        <f ca="1"/>
      </c>
      <c r="DF430">
        <f ca="1"/>
      </c>
      <c r="DG430">
        <f ca="1"/>
      </c>
      <c r="DH430">
        <f ca="1"/>
      </c>
      <c r="DI430">
        <f ca="1"/>
      </c>
      <c r="DJ430">
        <f ca="1"/>
      </c>
      <c r="DK430">
        <f ca="1"/>
      </c>
      <c r="DL430">
        <f ca="1"/>
      </c>
      <c r="DM430">
        <f ca="1"/>
      </c>
      <c r="DN430">
        <f ca="1"/>
      </c>
      <c r="DO430">
        <f ca="1"/>
      </c>
      <c r="DP430">
        <f ca="1"/>
      </c>
      <c r="DQ430">
        <f ca="1"/>
      </c>
      <c r="DR430">
        <f ca="1"/>
      </c>
      <c r="DS430">
        <f ca="1"/>
      </c>
      <c r="DT430">
        <f ca="1"/>
      </c>
      <c r="DU430">
        <f ca="1"/>
      </c>
      <c r="DV430">
        <f ca="1"/>
      </c>
      <c r="DW430">
        <f ca="1"/>
      </c>
      <c r="DX430">
        <f ca="1"/>
      </c>
      <c r="DY430">
        <f ca="1"/>
      </c>
      <c r="DZ430">
        <f ca="1"/>
      </c>
      <c r="EA430">
        <f ca="1"/>
      </c>
      <c r="EB430">
        <f ca="1"/>
      </c>
      <c r="EC430">
        <f ca="1"/>
      </c>
      <c r="ED430">
        <f ca="1"/>
      </c>
      <c r="EE430">
        <f ca="1"/>
      </c>
      <c r="EG430">
        <f ca="1"/>
      </c>
      <c r="EH430">
        <f ca="1"/>
      </c>
      <c r="EI430">
        <f ca="1"/>
      </c>
      <c r="EJ430">
        <f ca="1"/>
      </c>
      <c r="EK430">
        <f ca="1"/>
      </c>
      <c r="EL430">
        <f ca="1"/>
      </c>
      <c r="EM430">
        <f ca="1"/>
      </c>
      <c r="EN430">
        <f ca="1"/>
      </c>
      <c r="EO430">
        <f ca="1"/>
      </c>
      <c r="EP430">
        <f ca="1"/>
      </c>
      <c r="EQ430">
        <f ca="1"/>
      </c>
      <c r="ER430">
        <f ca="1"/>
      </c>
      <c r="ES430">
        <f ca="1"/>
      </c>
      <c r="ET430">
        <f ca="1"/>
      </c>
      <c r="EU430">
        <f ca="1"/>
      </c>
      <c r="EV430">
        <f ca="1"/>
      </c>
      <c r="EW430">
        <f ca="1"/>
      </c>
      <c r="EX430">
        <f ca="1"/>
      </c>
      <c r="EY430">
        <f ca="1"/>
      </c>
      <c r="EZ430">
        <f ca="1"/>
      </c>
      <c r="FA430">
        <f ca="1"/>
      </c>
      <c r="FB430">
        <f ca="1"/>
      </c>
      <c r="FC430">
        <f ca="1"/>
      </c>
      <c r="FD430">
        <f ca="1"/>
      </c>
      <c r="FE430">
        <f ca="1"/>
      </c>
      <c r="FF430">
        <f ca="1"/>
      </c>
      <c r="FG430">
        <f ca="1"/>
      </c>
      <c r="FH430">
        <f ca="1"/>
      </c>
      <c r="FI430">
        <f ca="1"/>
      </c>
      <c r="FJ430">
        <f ca="1"/>
      </c>
      <c r="FK430">
        <f ca="1"/>
      </c>
      <c r="FL430">
        <f ca="1"/>
      </c>
      <c r="FM430">
        <f ca="1"/>
      </c>
      <c r="FN430">
        <f ca="1"/>
      </c>
      <c r="FO430">
        <f ca="1"/>
      </c>
      <c r="FP430">
        <f ca="1"/>
      </c>
      <c r="FQ430">
        <f ca="1"/>
      </c>
      <c r="FR430">
        <f ca="1"/>
      </c>
      <c r="FS430">
        <f ca="1"/>
      </c>
      <c r="FT430">
        <f ca="1"/>
      </c>
      <c r="FU430">
        <f ca="1"/>
      </c>
      <c r="FV430">
        <f ca="1"/>
      </c>
      <c r="FW430">
        <f ca="1"/>
      </c>
      <c r="FX430">
        <f ca="1"/>
      </c>
      <c r="FY430">
        <f ca="1"/>
      </c>
      <c r="FZ430">
        <f ca="1"/>
      </c>
      <c r="GA430">
        <f ca="1"/>
      </c>
      <c r="GM430" s="7"/>
    </row>
    <row r="431" spans="41:195" x14ac:dyDescent="0.55000000000000004">
      <c r="AO431">
        <f ca="1"/>
      </c>
      <c r="AP431">
        <f ca="1"/>
      </c>
      <c r="AQ431">
        <f ca="1"/>
      </c>
      <c r="AR431">
        <f ca="1"/>
      </c>
      <c r="AS431">
        <f ca="1"/>
      </c>
      <c r="AT431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AZ431">
        <f ca="1"/>
      </c>
      <c r="BA431">
        <f ca="1"/>
      </c>
      <c r="BB431">
        <f ca="1"/>
      </c>
      <c r="BC431">
        <f ca="1"/>
      </c>
      <c r="BD431">
        <f ca="1"/>
      </c>
      <c r="BE431">
        <f ca="1"/>
      </c>
      <c r="BF431">
        <f ca="1"/>
      </c>
      <c r="BG431">
        <f ca="1"/>
      </c>
      <c r="BH431">
        <f ca="1"/>
      </c>
      <c r="BI431">
        <f ca="1"/>
      </c>
      <c r="BJ431">
        <f ca="1"/>
      </c>
      <c r="BK431">
        <f ca="1"/>
      </c>
      <c r="BL431">
        <f ca="1"/>
      </c>
      <c r="BM431">
        <f ca="1"/>
      </c>
      <c r="BN431">
        <f ca="1"/>
      </c>
      <c r="BO431">
        <f ca="1"/>
      </c>
      <c r="BP431">
        <f ca="1"/>
      </c>
      <c r="BQ431">
        <f ca="1"/>
      </c>
      <c r="BR431">
        <f ca="1"/>
      </c>
      <c r="BS431">
        <f ca="1"/>
      </c>
      <c r="BT431">
        <f ca="1"/>
      </c>
      <c r="BU431">
        <f ca="1"/>
      </c>
      <c r="BV431">
        <f ca="1"/>
      </c>
      <c r="BW431">
        <f ca="1"/>
      </c>
      <c r="BX431">
        <f ca="1"/>
      </c>
      <c r="BY431">
        <f ca="1"/>
      </c>
      <c r="BZ431">
        <f ca="1"/>
      </c>
      <c r="CA431">
        <f ca="1"/>
      </c>
      <c r="CB431">
        <f ca="1"/>
      </c>
      <c r="CC431">
        <f ca="1"/>
      </c>
      <c r="CD431">
        <f ca="1"/>
      </c>
      <c r="CE431">
        <f ca="1"/>
      </c>
      <c r="CF431">
        <f ca="1"/>
      </c>
      <c r="CG431">
        <f ca="1"/>
      </c>
      <c r="CH431">
        <f ca="1"/>
      </c>
      <c r="CI431">
        <f ca="1"/>
      </c>
      <c r="CK431">
        <f ca="1"/>
      </c>
      <c r="CL431">
        <f ca="1"/>
      </c>
      <c r="CM431">
        <f ca="1"/>
      </c>
      <c r="CN431">
        <f ca="1"/>
      </c>
      <c r="CO431">
        <f ca="1"/>
      </c>
      <c r="CP431">
        <f ca="1"/>
      </c>
      <c r="CQ431">
        <f ca="1"/>
      </c>
      <c r="CR431">
        <f ca="1"/>
      </c>
      <c r="CS431">
        <f ca="1"/>
      </c>
      <c r="CT431">
        <f ca="1"/>
      </c>
      <c r="CU431">
        <f ca="1"/>
      </c>
      <c r="CV431">
        <f ca="1"/>
      </c>
      <c r="CW431">
        <f ca="1"/>
      </c>
      <c r="CX431">
        <f ca="1"/>
      </c>
      <c r="CY431">
        <f ca="1"/>
      </c>
      <c r="CZ431">
        <f ca="1"/>
      </c>
      <c r="DA431">
        <f ca="1"/>
      </c>
      <c r="DB431">
        <f ca="1"/>
      </c>
      <c r="DC431">
        <f ca="1"/>
      </c>
      <c r="DD431">
        <f ca="1"/>
      </c>
      <c r="DE431">
        <f ca="1"/>
      </c>
      <c r="DF431">
        <f ca="1"/>
      </c>
      <c r="DG431">
        <f ca="1"/>
      </c>
      <c r="DH431">
        <f ca="1"/>
      </c>
      <c r="DI431">
        <f ca="1"/>
      </c>
      <c r="DJ431">
        <f ca="1"/>
      </c>
      <c r="DK431">
        <f ca="1"/>
      </c>
      <c r="DL431">
        <f ca="1"/>
      </c>
      <c r="DM431">
        <f ca="1"/>
      </c>
      <c r="DN431">
        <f ca="1"/>
      </c>
      <c r="DO431">
        <f ca="1"/>
      </c>
      <c r="DP431">
        <f ca="1"/>
      </c>
      <c r="DQ431">
        <f ca="1"/>
      </c>
      <c r="DR431">
        <f ca="1"/>
      </c>
      <c r="DS431">
        <f ca="1"/>
      </c>
      <c r="DT431">
        <f ca="1"/>
      </c>
      <c r="DU431">
        <f ca="1"/>
      </c>
      <c r="DV431">
        <f ca="1"/>
      </c>
      <c r="DW431">
        <f ca="1"/>
      </c>
      <c r="DX431">
        <f ca="1"/>
      </c>
      <c r="DY431">
        <f ca="1"/>
      </c>
      <c r="DZ431">
        <f ca="1"/>
      </c>
      <c r="EA431">
        <f ca="1"/>
      </c>
      <c r="EB431">
        <f ca="1"/>
      </c>
      <c r="EC431">
        <f ca="1"/>
      </c>
      <c r="ED431">
        <f ca="1"/>
      </c>
      <c r="EE431">
        <f ca="1"/>
      </c>
      <c r="EG431">
        <f ca="1"/>
      </c>
      <c r="EH431">
        <f ca="1"/>
      </c>
      <c r="EI431">
        <f ca="1"/>
      </c>
      <c r="EJ431">
        <f ca="1"/>
      </c>
      <c r="EK431">
        <f ca="1"/>
      </c>
      <c r="EL431">
        <f ca="1"/>
      </c>
      <c r="EM431">
        <f ca="1"/>
      </c>
      <c r="EN431">
        <f ca="1"/>
      </c>
      <c r="EO431">
        <f ca="1"/>
      </c>
      <c r="EP431">
        <f ca="1"/>
      </c>
      <c r="EQ431">
        <f ca="1"/>
      </c>
      <c r="ER431">
        <f ca="1"/>
      </c>
      <c r="ES431">
        <f ca="1"/>
      </c>
      <c r="ET431">
        <f ca="1"/>
      </c>
      <c r="EU431">
        <f ca="1"/>
      </c>
      <c r="EV431">
        <f ca="1"/>
      </c>
      <c r="EW431">
        <f ca="1"/>
      </c>
      <c r="EX431">
        <f ca="1"/>
      </c>
      <c r="EY431">
        <f ca="1"/>
      </c>
      <c r="EZ431">
        <f ca="1"/>
      </c>
      <c r="FA431">
        <f ca="1"/>
      </c>
      <c r="FB431">
        <f ca="1"/>
      </c>
      <c r="FC431">
        <f ca="1"/>
      </c>
      <c r="FD431">
        <f ca="1"/>
      </c>
      <c r="FE431">
        <f ca="1"/>
      </c>
      <c r="FF431">
        <f ca="1"/>
      </c>
      <c r="FG431">
        <f ca="1"/>
      </c>
      <c r="FH431">
        <f ca="1"/>
      </c>
      <c r="FI431">
        <f ca="1"/>
      </c>
      <c r="FJ431">
        <f ca="1"/>
      </c>
      <c r="FK431">
        <f ca="1"/>
      </c>
      <c r="FL431">
        <f ca="1"/>
      </c>
      <c r="FM431">
        <f ca="1"/>
      </c>
      <c r="FN431">
        <f ca="1"/>
      </c>
      <c r="FO431">
        <f ca="1"/>
      </c>
      <c r="FP431">
        <f ca="1"/>
      </c>
      <c r="FQ431">
        <f ca="1"/>
      </c>
      <c r="FR431">
        <f ca="1"/>
      </c>
      <c r="FS431">
        <f ca="1"/>
      </c>
      <c r="FT431">
        <f ca="1"/>
      </c>
      <c r="FU431">
        <f ca="1"/>
      </c>
      <c r="FV431">
        <f ca="1"/>
      </c>
      <c r="FW431">
        <f ca="1"/>
      </c>
      <c r="FX431">
        <f ca="1"/>
      </c>
      <c r="FY431">
        <f ca="1"/>
      </c>
      <c r="FZ431">
        <f ca="1"/>
      </c>
      <c r="GA431">
        <f ca="1"/>
      </c>
      <c r="GM431" s="7"/>
    </row>
    <row r="432" spans="41:195" x14ac:dyDescent="0.55000000000000004">
      <c r="AO432">
        <f ca="1"/>
      </c>
      <c r="AP432">
        <f ca="1"/>
      </c>
      <c r="AQ432">
        <f ca="1"/>
      </c>
      <c r="AR432">
        <f ca="1"/>
      </c>
      <c r="AS432">
        <f ca="1"/>
      </c>
      <c r="AT432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AZ432">
        <f ca="1"/>
      </c>
      <c r="BA432">
        <f ca="1"/>
      </c>
      <c r="BB432">
        <f ca="1"/>
      </c>
      <c r="BC432">
        <f ca="1"/>
      </c>
      <c r="BD432">
        <f ca="1"/>
      </c>
      <c r="BE432">
        <f ca="1"/>
      </c>
      <c r="BF432">
        <f ca="1"/>
      </c>
      <c r="BG432">
        <f ca="1"/>
      </c>
      <c r="BH432">
        <f ca="1"/>
      </c>
      <c r="BI432">
        <f ca="1"/>
      </c>
      <c r="BJ432">
        <f ca="1"/>
      </c>
      <c r="BK432">
        <f ca="1"/>
      </c>
      <c r="BL432">
        <f ca="1"/>
      </c>
      <c r="BM432">
        <f ca="1"/>
      </c>
      <c r="BN432">
        <f ca="1"/>
      </c>
      <c r="BO432">
        <f ca="1"/>
      </c>
      <c r="BP432">
        <f ca="1"/>
      </c>
      <c r="BQ432">
        <f ca="1"/>
      </c>
      <c r="BR432">
        <f ca="1"/>
      </c>
      <c r="BS432">
        <f ca="1"/>
      </c>
      <c r="BT432">
        <f ca="1"/>
      </c>
      <c r="BU432">
        <f ca="1"/>
      </c>
      <c r="BV432">
        <f ca="1"/>
      </c>
      <c r="BW432">
        <f ca="1"/>
      </c>
      <c r="BX432">
        <f ca="1"/>
      </c>
      <c r="BY432">
        <f ca="1"/>
      </c>
      <c r="BZ432">
        <f ca="1"/>
      </c>
      <c r="CA432">
        <f ca="1"/>
      </c>
      <c r="CB432">
        <f ca="1"/>
      </c>
      <c r="CC432">
        <f ca="1"/>
      </c>
      <c r="CD432">
        <f ca="1"/>
      </c>
      <c r="CE432">
        <f ca="1"/>
      </c>
      <c r="CF432">
        <f ca="1"/>
      </c>
      <c r="CG432">
        <f ca="1"/>
      </c>
      <c r="CH432">
        <f ca="1"/>
      </c>
      <c r="CI432">
        <f ca="1"/>
      </c>
      <c r="CK432">
        <f ca="1"/>
      </c>
      <c r="CL432">
        <f ca="1"/>
      </c>
      <c r="CM432">
        <f ca="1"/>
      </c>
      <c r="CN432">
        <f ca="1"/>
      </c>
      <c r="CO432">
        <f ca="1"/>
      </c>
      <c r="CP432">
        <f ca="1"/>
      </c>
      <c r="CQ432">
        <f ca="1"/>
      </c>
      <c r="CR432">
        <f ca="1"/>
      </c>
      <c r="CS432">
        <f ca="1"/>
      </c>
      <c r="CT432">
        <f ca="1"/>
      </c>
      <c r="CU432">
        <f ca="1"/>
      </c>
      <c r="CV432">
        <f ca="1"/>
      </c>
      <c r="CW432">
        <f ca="1"/>
      </c>
      <c r="CX432">
        <f ca="1"/>
      </c>
      <c r="CY432">
        <f ca="1"/>
      </c>
      <c r="CZ432">
        <f ca="1"/>
      </c>
      <c r="DA432">
        <f ca="1"/>
      </c>
      <c r="DB432">
        <f ca="1"/>
      </c>
      <c r="DC432">
        <f ca="1"/>
      </c>
      <c r="DD432">
        <f ca="1"/>
      </c>
      <c r="DE432">
        <f ca="1"/>
      </c>
      <c r="DF432">
        <f ca="1"/>
      </c>
      <c r="DG432">
        <f ca="1"/>
      </c>
      <c r="DH432">
        <f ca="1"/>
      </c>
      <c r="DI432">
        <f ca="1"/>
      </c>
      <c r="DJ432">
        <f ca="1"/>
      </c>
      <c r="DK432">
        <f ca="1"/>
      </c>
      <c r="DL432">
        <f ca="1"/>
      </c>
      <c r="DM432">
        <f ca="1"/>
      </c>
      <c r="DN432">
        <f ca="1"/>
      </c>
      <c r="DO432">
        <f ca="1"/>
      </c>
      <c r="DP432">
        <f ca="1"/>
      </c>
      <c r="DQ432">
        <f ca="1"/>
      </c>
      <c r="DR432">
        <f ca="1"/>
      </c>
      <c r="DS432">
        <f ca="1"/>
      </c>
      <c r="DT432">
        <f ca="1"/>
      </c>
      <c r="DU432">
        <f ca="1"/>
      </c>
      <c r="DV432">
        <f ca="1"/>
      </c>
      <c r="DW432">
        <f ca="1"/>
      </c>
      <c r="DX432">
        <f ca="1"/>
      </c>
      <c r="DY432">
        <f ca="1"/>
      </c>
      <c r="DZ432">
        <f ca="1"/>
      </c>
      <c r="EA432">
        <f ca="1"/>
      </c>
      <c r="EB432">
        <f ca="1"/>
      </c>
      <c r="EC432">
        <f ca="1"/>
      </c>
      <c r="ED432">
        <f ca="1"/>
      </c>
      <c r="EE432">
        <f ca="1"/>
      </c>
      <c r="EG432">
        <f ca="1"/>
      </c>
      <c r="EH432">
        <f ca="1"/>
      </c>
      <c r="EI432">
        <f ca="1"/>
      </c>
      <c r="EJ432">
        <f ca="1"/>
      </c>
      <c r="EK432">
        <f ca="1"/>
      </c>
      <c r="EL432">
        <f ca="1"/>
      </c>
      <c r="EM432">
        <f ca="1"/>
      </c>
      <c r="EN432">
        <f ca="1"/>
      </c>
      <c r="EO432">
        <f ca="1"/>
      </c>
      <c r="EP432">
        <f ca="1"/>
      </c>
      <c r="EQ432">
        <f ca="1"/>
      </c>
      <c r="ER432">
        <f ca="1"/>
      </c>
      <c r="ES432">
        <f ca="1"/>
      </c>
      <c r="ET432">
        <f ca="1"/>
      </c>
      <c r="EU432">
        <f ca="1"/>
      </c>
      <c r="EV432">
        <f ca="1"/>
      </c>
      <c r="EW432">
        <f ca="1"/>
      </c>
      <c r="EX432">
        <f ca="1"/>
      </c>
      <c r="EY432">
        <f ca="1"/>
      </c>
      <c r="EZ432">
        <f ca="1"/>
      </c>
      <c r="FA432">
        <f ca="1"/>
      </c>
      <c r="FB432">
        <f ca="1"/>
      </c>
      <c r="FC432">
        <f ca="1"/>
      </c>
      <c r="FD432">
        <f ca="1"/>
      </c>
      <c r="FE432">
        <f ca="1"/>
      </c>
      <c r="FF432">
        <f ca="1"/>
      </c>
      <c r="FG432">
        <f ca="1"/>
      </c>
      <c r="FH432">
        <f ca="1"/>
      </c>
      <c r="FI432">
        <f ca="1"/>
      </c>
      <c r="FJ432">
        <f ca="1"/>
      </c>
      <c r="FK432">
        <f ca="1"/>
      </c>
      <c r="FL432">
        <f ca="1"/>
      </c>
      <c r="FM432">
        <f ca="1"/>
      </c>
      <c r="FN432">
        <f ca="1"/>
      </c>
      <c r="FO432">
        <f ca="1"/>
      </c>
      <c r="FP432">
        <f ca="1"/>
      </c>
      <c r="FQ432">
        <f ca="1"/>
      </c>
      <c r="FR432">
        <f ca="1"/>
      </c>
      <c r="FS432">
        <f ca="1"/>
      </c>
      <c r="FT432">
        <f ca="1"/>
      </c>
      <c r="FU432">
        <f ca="1"/>
      </c>
      <c r="FV432">
        <f ca="1"/>
      </c>
      <c r="FW432">
        <f ca="1"/>
      </c>
      <c r="FX432">
        <f ca="1"/>
      </c>
      <c r="FY432">
        <f ca="1"/>
      </c>
      <c r="FZ432">
        <f ca="1"/>
      </c>
      <c r="GA432">
        <f ca="1"/>
      </c>
      <c r="GM432" s="7"/>
    </row>
    <row r="433" spans="41:195" x14ac:dyDescent="0.55000000000000004">
      <c r="AO433">
        <f ca="1"/>
      </c>
      <c r="AP433">
        <f ca="1"/>
      </c>
      <c r="AQ433">
        <f ca="1"/>
      </c>
      <c r="AR433">
        <f ca="1"/>
      </c>
      <c r="AS433">
        <f ca="1"/>
      </c>
      <c r="AT433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AZ433">
        <f ca="1"/>
      </c>
      <c r="BA433">
        <f ca="1"/>
      </c>
      <c r="BB433">
        <f ca="1"/>
      </c>
      <c r="BC433">
        <f ca="1"/>
      </c>
      <c r="BD433">
        <f ca="1"/>
      </c>
      <c r="BE433">
        <f ca="1"/>
      </c>
      <c r="BF433">
        <f ca="1"/>
      </c>
      <c r="BG433">
        <f ca="1"/>
      </c>
      <c r="BH433">
        <f ca="1"/>
      </c>
      <c r="BI433">
        <f ca="1"/>
      </c>
      <c r="BJ433">
        <f ca="1"/>
      </c>
      <c r="BK433">
        <f ca="1"/>
      </c>
      <c r="BL433">
        <f ca="1"/>
      </c>
      <c r="BM433">
        <f ca="1"/>
      </c>
      <c r="BN433">
        <f ca="1"/>
      </c>
      <c r="BO433">
        <f ca="1"/>
      </c>
      <c r="BP433">
        <f ca="1"/>
      </c>
      <c r="BQ433">
        <f ca="1"/>
      </c>
      <c r="BR433">
        <f ca="1"/>
      </c>
      <c r="BS433">
        <f ca="1"/>
      </c>
      <c r="BT433">
        <f ca="1"/>
      </c>
      <c r="BU433">
        <f ca="1"/>
      </c>
      <c r="BV433">
        <f ca="1"/>
      </c>
      <c r="BW433">
        <f ca="1"/>
      </c>
      <c r="BX433">
        <f ca="1"/>
      </c>
      <c r="BY433">
        <f ca="1"/>
      </c>
      <c r="BZ433">
        <f ca="1"/>
      </c>
      <c r="CA433">
        <f ca="1"/>
      </c>
      <c r="CB433">
        <f ca="1"/>
      </c>
      <c r="CC433">
        <f ca="1"/>
      </c>
      <c r="CD433">
        <f ca="1"/>
      </c>
      <c r="CE433">
        <f ca="1"/>
      </c>
      <c r="CF433">
        <f ca="1"/>
      </c>
      <c r="CG433">
        <f ca="1"/>
      </c>
      <c r="CH433">
        <f ca="1"/>
      </c>
      <c r="CI433">
        <f ca="1"/>
      </c>
      <c r="CK433">
        <f ca="1"/>
      </c>
      <c r="CL433">
        <f ca="1"/>
      </c>
      <c r="CM433">
        <f ca="1"/>
      </c>
      <c r="CN433">
        <f ca="1"/>
      </c>
      <c r="CO433">
        <f ca="1"/>
      </c>
      <c r="CP433">
        <f ca="1"/>
      </c>
      <c r="CQ433">
        <f ca="1"/>
      </c>
      <c r="CR433">
        <f ca="1"/>
      </c>
      <c r="CS433">
        <f ca="1"/>
      </c>
      <c r="CT433">
        <f ca="1"/>
      </c>
      <c r="CU433">
        <f ca="1"/>
      </c>
      <c r="CV433">
        <f ca="1"/>
      </c>
      <c r="CW433">
        <f ca="1"/>
      </c>
      <c r="CX433">
        <f ca="1"/>
      </c>
      <c r="CY433">
        <f ca="1"/>
      </c>
      <c r="CZ433">
        <f ca="1"/>
      </c>
      <c r="DA433">
        <f ca="1"/>
      </c>
      <c r="DB433">
        <f ca="1"/>
      </c>
      <c r="DC433">
        <f ca="1"/>
      </c>
      <c r="DD433">
        <f ca="1"/>
      </c>
      <c r="DE433">
        <f ca="1"/>
      </c>
      <c r="DF433">
        <f ca="1"/>
      </c>
      <c r="DG433">
        <f ca="1"/>
      </c>
      <c r="DH433">
        <f ca="1"/>
      </c>
      <c r="DI433">
        <f ca="1"/>
      </c>
      <c r="DJ433">
        <f ca="1"/>
      </c>
      <c r="DK433">
        <f ca="1"/>
      </c>
      <c r="DL433">
        <f ca="1"/>
      </c>
      <c r="DM433">
        <f ca="1"/>
      </c>
      <c r="DN433">
        <f ca="1"/>
      </c>
      <c r="DO433">
        <f ca="1"/>
      </c>
      <c r="DP433">
        <f ca="1"/>
      </c>
      <c r="DQ433">
        <f ca="1"/>
      </c>
      <c r="DR433">
        <f ca="1"/>
      </c>
      <c r="DS433">
        <f ca="1"/>
      </c>
      <c r="DT433">
        <f ca="1"/>
      </c>
      <c r="DU433">
        <f ca="1"/>
      </c>
      <c r="DV433">
        <f ca="1"/>
      </c>
      <c r="DW433">
        <f ca="1"/>
      </c>
      <c r="DX433">
        <f ca="1"/>
      </c>
      <c r="DY433">
        <f ca="1"/>
      </c>
      <c r="DZ433">
        <f ca="1"/>
      </c>
      <c r="EA433">
        <f ca="1"/>
      </c>
      <c r="EB433">
        <f ca="1"/>
      </c>
      <c r="EC433">
        <f ca="1"/>
      </c>
      <c r="ED433">
        <f ca="1"/>
      </c>
      <c r="EE433">
        <f ca="1"/>
      </c>
      <c r="EG433">
        <f ca="1"/>
      </c>
      <c r="EH433">
        <f ca="1"/>
      </c>
      <c r="EI433">
        <f ca="1"/>
      </c>
      <c r="EJ433">
        <f ca="1"/>
      </c>
      <c r="EK433">
        <f ca="1"/>
      </c>
      <c r="EL433">
        <f ca="1"/>
      </c>
      <c r="EM433">
        <f ca="1"/>
      </c>
      <c r="EN433">
        <f ca="1"/>
      </c>
      <c r="EO433">
        <f ca="1"/>
      </c>
      <c r="EP433">
        <f ca="1"/>
      </c>
      <c r="EQ433">
        <f ca="1"/>
      </c>
      <c r="ER433">
        <f ca="1"/>
      </c>
      <c r="ES433">
        <f ca="1"/>
      </c>
      <c r="ET433">
        <f ca="1"/>
      </c>
      <c r="EU433">
        <f ca="1"/>
      </c>
      <c r="EV433">
        <f ca="1"/>
      </c>
      <c r="EW433">
        <f ca="1"/>
      </c>
      <c r="EX433">
        <f ca="1"/>
      </c>
      <c r="EY433">
        <f ca="1"/>
      </c>
      <c r="EZ433">
        <f ca="1"/>
      </c>
      <c r="FA433">
        <f ca="1"/>
      </c>
      <c r="FB433">
        <f ca="1"/>
      </c>
      <c r="FC433">
        <f ca="1"/>
      </c>
      <c r="FD433">
        <f ca="1"/>
      </c>
      <c r="FE433">
        <f ca="1"/>
      </c>
      <c r="FF433">
        <f ca="1"/>
      </c>
      <c r="FG433">
        <f ca="1"/>
      </c>
      <c r="FH433">
        <f ca="1"/>
      </c>
      <c r="FI433">
        <f ca="1"/>
      </c>
      <c r="FJ433">
        <f ca="1"/>
      </c>
      <c r="FK433">
        <f ca="1"/>
      </c>
      <c r="FL433">
        <f ca="1"/>
      </c>
      <c r="FM433">
        <f ca="1"/>
      </c>
      <c r="FN433">
        <f ca="1"/>
      </c>
      <c r="FO433">
        <f ca="1"/>
      </c>
      <c r="FP433">
        <f ca="1"/>
      </c>
      <c r="FQ433">
        <f ca="1"/>
      </c>
      <c r="FR433">
        <f ca="1"/>
      </c>
      <c r="FS433">
        <f ca="1"/>
      </c>
      <c r="FT433">
        <f ca="1"/>
      </c>
      <c r="FU433">
        <f ca="1"/>
      </c>
      <c r="FV433">
        <f ca="1"/>
      </c>
      <c r="FW433">
        <f ca="1"/>
      </c>
      <c r="FX433">
        <f ca="1"/>
      </c>
      <c r="FY433">
        <f ca="1"/>
      </c>
      <c r="FZ433">
        <f ca="1"/>
      </c>
      <c r="GA433">
        <f ca="1"/>
      </c>
      <c r="GM433" s="7"/>
    </row>
    <row r="434" spans="41:195" x14ac:dyDescent="0.55000000000000004">
      <c r="AO434">
        <f ca="1"/>
      </c>
      <c r="AP434">
        <f ca="1"/>
      </c>
      <c r="AQ434">
        <f ca="1"/>
      </c>
      <c r="AR434">
        <f ca="1"/>
      </c>
      <c r="AS434">
        <f ca="1"/>
      </c>
      <c r="AT434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AZ434">
        <f ca="1"/>
      </c>
      <c r="BA434">
        <f ca="1"/>
      </c>
      <c r="BB434">
        <f ca="1"/>
      </c>
      <c r="BC434">
        <f ca="1"/>
      </c>
      <c r="BD434">
        <f ca="1"/>
      </c>
      <c r="BE434">
        <f ca="1"/>
      </c>
      <c r="BF434">
        <f ca="1"/>
      </c>
      <c r="BG434">
        <f ca="1"/>
      </c>
      <c r="BH434">
        <f ca="1"/>
      </c>
      <c r="BI434">
        <f ca="1"/>
      </c>
      <c r="BJ434">
        <f ca="1"/>
      </c>
      <c r="BK434">
        <f ca="1"/>
      </c>
      <c r="BL434">
        <f ca="1"/>
      </c>
      <c r="BM434">
        <f ca="1"/>
      </c>
      <c r="BN434">
        <f ca="1"/>
      </c>
      <c r="BO434">
        <f ca="1"/>
      </c>
      <c r="BP434">
        <f ca="1"/>
      </c>
      <c r="BQ434">
        <f ca="1"/>
      </c>
      <c r="BR434">
        <f ca="1"/>
      </c>
      <c r="BS434">
        <f ca="1"/>
      </c>
      <c r="BT434">
        <f ca="1"/>
      </c>
      <c r="BU434">
        <f ca="1"/>
      </c>
      <c r="BV434">
        <f ca="1"/>
      </c>
      <c r="BW434">
        <f ca="1"/>
      </c>
      <c r="BX434">
        <f ca="1"/>
      </c>
      <c r="BY434">
        <f ca="1"/>
      </c>
      <c r="BZ434">
        <f ca="1"/>
      </c>
      <c r="CA434">
        <f ca="1"/>
      </c>
      <c r="CB434">
        <f ca="1"/>
      </c>
      <c r="CC434">
        <f ca="1"/>
      </c>
      <c r="CD434">
        <f ca="1"/>
      </c>
      <c r="CE434">
        <f ca="1"/>
      </c>
      <c r="CF434">
        <f ca="1"/>
      </c>
      <c r="CG434">
        <f ca="1"/>
      </c>
      <c r="CH434">
        <f ca="1"/>
      </c>
      <c r="CI434">
        <f ca="1"/>
      </c>
      <c r="CK434">
        <f ca="1"/>
      </c>
      <c r="CL434">
        <f ca="1"/>
      </c>
      <c r="CM434">
        <f ca="1"/>
      </c>
      <c r="CN434">
        <f ca="1"/>
      </c>
      <c r="CO434">
        <f ca="1"/>
      </c>
      <c r="CP434">
        <f ca="1"/>
      </c>
      <c r="CQ434">
        <f ca="1"/>
      </c>
      <c r="CR434">
        <f ca="1"/>
      </c>
      <c r="CS434">
        <f ca="1"/>
      </c>
      <c r="CT434">
        <f ca="1"/>
      </c>
      <c r="CU434">
        <f ca="1"/>
      </c>
      <c r="CV434">
        <f ca="1"/>
      </c>
      <c r="CW434">
        <f ca="1"/>
      </c>
      <c r="CX434">
        <f ca="1"/>
      </c>
      <c r="CY434">
        <f ca="1"/>
      </c>
      <c r="CZ434">
        <f ca="1"/>
      </c>
      <c r="DA434">
        <f ca="1"/>
      </c>
      <c r="DB434">
        <f ca="1"/>
      </c>
      <c r="DC434">
        <f ca="1"/>
      </c>
      <c r="DD434">
        <f ca="1"/>
      </c>
      <c r="DE434">
        <f ca="1"/>
      </c>
      <c r="DF434">
        <f ca="1"/>
      </c>
      <c r="DG434">
        <f ca="1"/>
      </c>
      <c r="DH434">
        <f ca="1"/>
      </c>
      <c r="DI434">
        <f ca="1"/>
      </c>
      <c r="DJ434">
        <f ca="1"/>
      </c>
      <c r="DK434">
        <f ca="1"/>
      </c>
      <c r="DL434">
        <f ca="1"/>
      </c>
      <c r="DM434">
        <f ca="1"/>
      </c>
      <c r="DN434">
        <f ca="1"/>
      </c>
      <c r="DO434">
        <f ca="1"/>
      </c>
      <c r="DP434">
        <f ca="1"/>
      </c>
      <c r="DQ434">
        <f ca="1"/>
      </c>
      <c r="DR434">
        <f ca="1"/>
      </c>
      <c r="DS434">
        <f ca="1"/>
      </c>
      <c r="DT434">
        <f ca="1"/>
      </c>
      <c r="DU434">
        <f ca="1"/>
      </c>
      <c r="DV434">
        <f ca="1"/>
      </c>
      <c r="DW434">
        <f ca="1"/>
      </c>
      <c r="DX434">
        <f ca="1"/>
      </c>
      <c r="DY434">
        <f ca="1"/>
      </c>
      <c r="DZ434">
        <f ca="1"/>
      </c>
      <c r="EA434">
        <f ca="1"/>
      </c>
      <c r="EB434">
        <f ca="1"/>
      </c>
      <c r="EC434">
        <f ca="1"/>
      </c>
      <c r="ED434">
        <f ca="1"/>
      </c>
      <c r="EE434">
        <f ca="1"/>
      </c>
      <c r="EG434">
        <f ca="1"/>
      </c>
      <c r="EH434">
        <f ca="1"/>
      </c>
      <c r="EI434">
        <f ca="1"/>
      </c>
      <c r="EJ434">
        <f ca="1"/>
      </c>
      <c r="EK434">
        <f ca="1"/>
      </c>
      <c r="EL434">
        <f ca="1"/>
      </c>
      <c r="EM434">
        <f ca="1"/>
      </c>
      <c r="EN434">
        <f ca="1"/>
      </c>
      <c r="EO434">
        <f ca="1"/>
      </c>
      <c r="EP434">
        <f ca="1"/>
      </c>
      <c r="EQ434">
        <f ca="1"/>
      </c>
      <c r="ER434">
        <f ca="1"/>
      </c>
      <c r="ES434">
        <f ca="1"/>
      </c>
      <c r="ET434">
        <f ca="1"/>
      </c>
      <c r="EU434">
        <f ca="1"/>
      </c>
      <c r="EV434">
        <f ca="1"/>
      </c>
      <c r="EW434">
        <f ca="1"/>
      </c>
      <c r="EX434">
        <f ca="1"/>
      </c>
      <c r="EY434">
        <f ca="1"/>
      </c>
      <c r="EZ434">
        <f ca="1"/>
      </c>
      <c r="FA434">
        <f ca="1"/>
      </c>
      <c r="FB434">
        <f ca="1"/>
      </c>
      <c r="FC434">
        <f ca="1"/>
      </c>
      <c r="FD434">
        <f ca="1"/>
      </c>
      <c r="FE434">
        <f ca="1"/>
      </c>
      <c r="FF434">
        <f ca="1"/>
      </c>
      <c r="FG434">
        <f ca="1"/>
      </c>
      <c r="FH434">
        <f ca="1"/>
      </c>
      <c r="FI434">
        <f ca="1"/>
      </c>
      <c r="FJ434">
        <f ca="1"/>
      </c>
      <c r="FK434">
        <f ca="1"/>
      </c>
      <c r="FL434">
        <f ca="1"/>
      </c>
      <c r="FM434">
        <f ca="1"/>
      </c>
      <c r="FN434">
        <f ca="1"/>
      </c>
      <c r="FO434">
        <f ca="1"/>
      </c>
      <c r="FP434">
        <f ca="1"/>
      </c>
      <c r="FQ434">
        <f ca="1"/>
      </c>
      <c r="FR434">
        <f ca="1"/>
      </c>
      <c r="FS434">
        <f ca="1"/>
      </c>
      <c r="FT434">
        <f ca="1"/>
      </c>
      <c r="FU434">
        <f ca="1"/>
      </c>
      <c r="FV434">
        <f ca="1"/>
      </c>
      <c r="FW434">
        <f ca="1"/>
      </c>
      <c r="FX434">
        <f ca="1"/>
      </c>
      <c r="FY434">
        <f ca="1"/>
      </c>
      <c r="FZ434">
        <f ca="1"/>
      </c>
      <c r="GA434">
        <f ca="1"/>
      </c>
      <c r="GM434" s="7"/>
    </row>
    <row r="435" spans="41:195" x14ac:dyDescent="0.55000000000000004">
      <c r="AO435">
        <f ca="1"/>
      </c>
      <c r="AP435">
        <f ca="1"/>
      </c>
      <c r="AQ435">
        <f ca="1"/>
      </c>
      <c r="AR435">
        <f ca="1"/>
      </c>
      <c r="AS435">
        <f ca="1"/>
      </c>
      <c r="AT435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AZ435">
        <f ca="1"/>
      </c>
      <c r="BA435">
        <f ca="1"/>
      </c>
      <c r="BB435">
        <f ca="1"/>
      </c>
      <c r="BC435">
        <f ca="1"/>
      </c>
      <c r="BD435">
        <f ca="1"/>
      </c>
      <c r="BE435">
        <f ca="1"/>
      </c>
      <c r="BF435">
        <f ca="1"/>
      </c>
      <c r="BG435">
        <f ca="1"/>
      </c>
      <c r="BH435">
        <f ca="1"/>
      </c>
      <c r="BI435">
        <f ca="1"/>
      </c>
      <c r="BJ435">
        <f ca="1"/>
      </c>
      <c r="BK435">
        <f ca="1"/>
      </c>
      <c r="BL435">
        <f ca="1"/>
      </c>
      <c r="BM435">
        <f ca="1"/>
      </c>
      <c r="BN435">
        <f ca="1"/>
      </c>
      <c r="BO435">
        <f ca="1"/>
      </c>
      <c r="BP435">
        <f ca="1"/>
      </c>
      <c r="BQ435">
        <f ca="1"/>
      </c>
      <c r="BR435">
        <f ca="1"/>
      </c>
      <c r="BS435">
        <f ca="1"/>
      </c>
      <c r="BT435">
        <f ca="1"/>
      </c>
      <c r="BU435">
        <f ca="1"/>
      </c>
      <c r="BV435">
        <f ca="1"/>
      </c>
      <c r="BW435">
        <f ca="1"/>
      </c>
      <c r="BX435">
        <f ca="1"/>
      </c>
      <c r="BY435">
        <f ca="1"/>
      </c>
      <c r="BZ435">
        <f ca="1"/>
      </c>
      <c r="CA435">
        <f ca="1"/>
      </c>
      <c r="CB435">
        <f ca="1"/>
      </c>
      <c r="CC435">
        <f ca="1"/>
      </c>
      <c r="CD435">
        <f ca="1"/>
      </c>
      <c r="CE435">
        <f ca="1"/>
      </c>
      <c r="CF435">
        <f ca="1"/>
      </c>
      <c r="CG435">
        <f ca="1"/>
      </c>
      <c r="CH435">
        <f ca="1"/>
      </c>
      <c r="CI435">
        <f ca="1"/>
      </c>
      <c r="CK435">
        <f ca="1"/>
      </c>
      <c r="CL435">
        <f ca="1"/>
      </c>
      <c r="CM435">
        <f ca="1"/>
      </c>
      <c r="CN435">
        <f ca="1"/>
      </c>
      <c r="CO435">
        <f ca="1"/>
      </c>
      <c r="CP435">
        <f ca="1"/>
      </c>
      <c r="CQ435">
        <f ca="1"/>
      </c>
      <c r="CR435">
        <f ca="1"/>
      </c>
      <c r="CS435">
        <f ca="1"/>
      </c>
      <c r="CT435">
        <f ca="1"/>
      </c>
      <c r="CU435">
        <f ca="1"/>
      </c>
      <c r="CV435">
        <f ca="1"/>
      </c>
      <c r="CW435">
        <f ca="1"/>
      </c>
      <c r="CX435">
        <f ca="1"/>
      </c>
      <c r="CY435">
        <f ca="1"/>
      </c>
      <c r="CZ435">
        <f ca="1"/>
      </c>
      <c r="DA435">
        <f ca="1"/>
      </c>
      <c r="DB435">
        <f ca="1"/>
      </c>
      <c r="DC435">
        <f ca="1"/>
      </c>
      <c r="DD435">
        <f ca="1"/>
      </c>
      <c r="DE435">
        <f ca="1"/>
      </c>
      <c r="DF435">
        <f ca="1"/>
      </c>
      <c r="DG435">
        <f ca="1"/>
      </c>
      <c r="DH435">
        <f ca="1"/>
      </c>
      <c r="DI435">
        <f ca="1"/>
      </c>
      <c r="DJ435">
        <f ca="1"/>
      </c>
      <c r="DK435">
        <f ca="1"/>
      </c>
      <c r="DL435">
        <f ca="1"/>
      </c>
      <c r="DM435">
        <f ca="1"/>
      </c>
      <c r="DN435">
        <f ca="1"/>
      </c>
      <c r="DO435">
        <f ca="1"/>
      </c>
      <c r="DP435">
        <f ca="1"/>
      </c>
      <c r="DQ435">
        <f ca="1"/>
      </c>
      <c r="DR435">
        <f ca="1"/>
      </c>
      <c r="DS435">
        <f ca="1"/>
      </c>
      <c r="DT435">
        <f ca="1"/>
      </c>
      <c r="DU435">
        <f ca="1"/>
      </c>
      <c r="DV435">
        <f ca="1"/>
      </c>
      <c r="DW435">
        <f ca="1"/>
      </c>
      <c r="DX435">
        <f ca="1"/>
      </c>
      <c r="DY435">
        <f ca="1"/>
      </c>
      <c r="DZ435">
        <f ca="1"/>
      </c>
      <c r="EA435">
        <f ca="1"/>
      </c>
      <c r="EB435">
        <f ca="1"/>
      </c>
      <c r="EC435">
        <f ca="1"/>
      </c>
      <c r="ED435">
        <f ca="1"/>
      </c>
      <c r="EE435">
        <f ca="1"/>
      </c>
      <c r="EG435">
        <f ca="1"/>
      </c>
      <c r="EH435">
        <f ca="1"/>
      </c>
      <c r="EI435">
        <f ca="1"/>
      </c>
      <c r="EJ435">
        <f ca="1"/>
      </c>
      <c r="EK435">
        <f ca="1"/>
      </c>
      <c r="EL435">
        <f ca="1"/>
      </c>
      <c r="EM435">
        <f ca="1"/>
      </c>
      <c r="EN435">
        <f ca="1"/>
      </c>
      <c r="EO435">
        <f ca="1"/>
      </c>
      <c r="EP435">
        <f ca="1"/>
      </c>
      <c r="EQ435">
        <f ca="1"/>
      </c>
      <c r="ER435">
        <f ca="1"/>
      </c>
      <c r="ES435">
        <f ca="1"/>
      </c>
      <c r="ET435">
        <f ca="1"/>
      </c>
      <c r="EU435">
        <f ca="1"/>
      </c>
      <c r="EV435">
        <f ca="1"/>
      </c>
      <c r="EW435">
        <f ca="1"/>
      </c>
      <c r="EX435">
        <f ca="1"/>
      </c>
      <c r="EY435">
        <f ca="1"/>
      </c>
      <c r="EZ435">
        <f ca="1"/>
      </c>
      <c r="FA435">
        <f ca="1"/>
      </c>
      <c r="FB435">
        <f ca="1"/>
      </c>
      <c r="FC435">
        <f ca="1"/>
      </c>
      <c r="FD435">
        <f ca="1"/>
      </c>
      <c r="FE435">
        <f ca="1"/>
      </c>
      <c r="FF435">
        <f ca="1"/>
      </c>
      <c r="FG435">
        <f ca="1"/>
      </c>
      <c r="FH435">
        <f ca="1"/>
      </c>
      <c r="FI435">
        <f ca="1"/>
      </c>
      <c r="FJ435">
        <f ca="1"/>
      </c>
      <c r="FK435">
        <f ca="1"/>
      </c>
      <c r="FL435">
        <f ca="1"/>
      </c>
      <c r="FM435">
        <f ca="1"/>
      </c>
      <c r="FN435">
        <f ca="1"/>
      </c>
      <c r="FO435">
        <f ca="1"/>
      </c>
      <c r="FP435">
        <f ca="1"/>
      </c>
      <c r="FQ435">
        <f ca="1"/>
      </c>
      <c r="FR435">
        <f ca="1"/>
      </c>
      <c r="FS435">
        <f ca="1"/>
      </c>
      <c r="FT435">
        <f ca="1"/>
      </c>
      <c r="FU435">
        <f ca="1"/>
      </c>
      <c r="FV435">
        <f ca="1"/>
      </c>
      <c r="FW435">
        <f ca="1"/>
      </c>
      <c r="FX435">
        <f ca="1"/>
      </c>
      <c r="FY435">
        <f ca="1"/>
      </c>
      <c r="FZ435">
        <f ca="1"/>
      </c>
      <c r="GA435">
        <f ca="1"/>
      </c>
      <c r="GM435" s="7"/>
    </row>
    <row r="436" spans="41:195" x14ac:dyDescent="0.55000000000000004">
      <c r="AO436">
        <f ca="1"/>
      </c>
      <c r="AP436">
        <f ca="1"/>
      </c>
      <c r="AQ436">
        <f ca="1"/>
      </c>
      <c r="AR436">
        <f ca="1"/>
      </c>
      <c r="AS436">
        <f ca="1"/>
      </c>
      <c r="AT436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AZ436">
        <f ca="1"/>
      </c>
      <c r="BA436">
        <f ca="1"/>
      </c>
      <c r="BB436">
        <f ca="1"/>
      </c>
      <c r="BC436">
        <f ca="1"/>
      </c>
      <c r="BD436">
        <f ca="1"/>
      </c>
      <c r="BE436">
        <f ca="1"/>
      </c>
      <c r="BF436">
        <f ca="1"/>
      </c>
      <c r="BG436">
        <f ca="1"/>
      </c>
      <c r="BH436">
        <f ca="1"/>
      </c>
      <c r="BI436">
        <f ca="1"/>
      </c>
      <c r="BJ436">
        <f ca="1"/>
      </c>
      <c r="BK436">
        <f ca="1"/>
      </c>
      <c r="BL436">
        <f ca="1"/>
      </c>
      <c r="BM436">
        <f ca="1"/>
      </c>
      <c r="BN436">
        <f ca="1"/>
      </c>
      <c r="BO436">
        <f ca="1"/>
      </c>
      <c r="BP436">
        <f ca="1"/>
      </c>
      <c r="BQ436">
        <f ca="1"/>
      </c>
      <c r="BR436">
        <f ca="1"/>
      </c>
      <c r="BS436">
        <f ca="1"/>
      </c>
      <c r="BT436">
        <f ca="1"/>
      </c>
      <c r="BU436">
        <f ca="1"/>
      </c>
      <c r="BV436">
        <f ca="1"/>
      </c>
      <c r="BW436">
        <f ca="1"/>
      </c>
      <c r="BX436">
        <f ca="1"/>
      </c>
      <c r="BY436">
        <f ca="1"/>
      </c>
      <c r="BZ436">
        <f ca="1"/>
      </c>
      <c r="CA436">
        <f ca="1"/>
      </c>
      <c r="CB436">
        <f ca="1"/>
      </c>
      <c r="CC436">
        <f ca="1"/>
      </c>
      <c r="CD436">
        <f ca="1"/>
      </c>
      <c r="CE436">
        <f ca="1"/>
      </c>
      <c r="CF436">
        <f ca="1"/>
      </c>
      <c r="CG436">
        <f ca="1"/>
      </c>
      <c r="CH436">
        <f ca="1"/>
      </c>
      <c r="CI436">
        <f ca="1"/>
      </c>
      <c r="CK436">
        <f ca="1"/>
      </c>
      <c r="CL436">
        <f ca="1"/>
      </c>
      <c r="CM436">
        <f ca="1"/>
      </c>
      <c r="CN436">
        <f ca="1"/>
      </c>
      <c r="CO436">
        <f ca="1"/>
      </c>
      <c r="CP436">
        <f ca="1"/>
      </c>
      <c r="CQ436">
        <f ca="1"/>
      </c>
      <c r="CR436">
        <f ca="1"/>
      </c>
      <c r="CS436">
        <f ca="1"/>
      </c>
      <c r="CT436">
        <f ca="1"/>
      </c>
      <c r="CU436">
        <f ca="1"/>
      </c>
      <c r="CV436">
        <f ca="1"/>
      </c>
      <c r="CW436">
        <f ca="1"/>
      </c>
      <c r="CX436">
        <f ca="1"/>
      </c>
      <c r="CY436">
        <f ca="1"/>
      </c>
      <c r="CZ436">
        <f ca="1"/>
      </c>
      <c r="DA436">
        <f ca="1"/>
      </c>
      <c r="DB436">
        <f ca="1"/>
      </c>
      <c r="DC436">
        <f ca="1"/>
      </c>
      <c r="DD436">
        <f ca="1"/>
      </c>
      <c r="DE436">
        <f ca="1"/>
      </c>
      <c r="DF436">
        <f ca="1"/>
      </c>
      <c r="DG436">
        <f ca="1"/>
      </c>
      <c r="DH436">
        <f ca="1"/>
      </c>
      <c r="DI436">
        <f ca="1"/>
      </c>
      <c r="DJ436">
        <f ca="1"/>
      </c>
      <c r="DK436">
        <f ca="1"/>
      </c>
      <c r="DL436">
        <f ca="1"/>
      </c>
      <c r="DM436">
        <f ca="1"/>
      </c>
      <c r="DN436">
        <f ca="1"/>
      </c>
      <c r="DO436">
        <f ca="1"/>
      </c>
      <c r="DP436">
        <f ca="1"/>
      </c>
      <c r="DQ436">
        <f ca="1"/>
      </c>
      <c r="DR436">
        <f ca="1"/>
      </c>
      <c r="DS436">
        <f ca="1"/>
      </c>
      <c r="DT436">
        <f ca="1"/>
      </c>
      <c r="DU436">
        <f ca="1"/>
      </c>
      <c r="DV436">
        <f ca="1"/>
      </c>
      <c r="DW436">
        <f ca="1"/>
      </c>
      <c r="DX436">
        <f ca="1"/>
      </c>
      <c r="DY436">
        <f ca="1"/>
      </c>
      <c r="DZ436">
        <f ca="1"/>
      </c>
      <c r="EA436">
        <f ca="1"/>
      </c>
      <c r="EB436">
        <f ca="1"/>
      </c>
      <c r="EC436">
        <f ca="1"/>
      </c>
      <c r="ED436">
        <f ca="1"/>
      </c>
      <c r="EE436">
        <f ca="1"/>
      </c>
      <c r="EG436">
        <f ca="1"/>
      </c>
      <c r="EH436">
        <f ca="1"/>
      </c>
      <c r="EI436">
        <f ca="1"/>
      </c>
      <c r="EJ436">
        <f ca="1"/>
      </c>
      <c r="EK436">
        <f ca="1"/>
      </c>
      <c r="EL436">
        <f ca="1"/>
      </c>
      <c r="EM436">
        <f ca="1"/>
      </c>
      <c r="EN436">
        <f ca="1"/>
      </c>
      <c r="EO436">
        <f ca="1"/>
      </c>
      <c r="EP436">
        <f ca="1"/>
      </c>
      <c r="EQ436">
        <f ca="1"/>
      </c>
      <c r="ER436">
        <f ca="1"/>
      </c>
      <c r="ES436">
        <f ca="1"/>
      </c>
      <c r="ET436">
        <f ca="1"/>
      </c>
      <c r="EU436">
        <f ca="1"/>
      </c>
      <c r="EV436">
        <f ca="1"/>
      </c>
      <c r="EW436">
        <f ca="1"/>
      </c>
      <c r="EX436">
        <f ca="1"/>
      </c>
      <c r="EY436">
        <f ca="1"/>
      </c>
      <c r="EZ436">
        <f ca="1"/>
      </c>
      <c r="FA436">
        <f ca="1"/>
      </c>
      <c r="FB436">
        <f ca="1"/>
      </c>
      <c r="FC436">
        <f ca="1"/>
      </c>
      <c r="FD436">
        <f ca="1"/>
      </c>
      <c r="FE436">
        <f ca="1"/>
      </c>
      <c r="FF436">
        <f ca="1"/>
      </c>
      <c r="FG436">
        <f ca="1"/>
      </c>
      <c r="FH436">
        <f ca="1"/>
      </c>
      <c r="FI436">
        <f ca="1"/>
      </c>
      <c r="FJ436">
        <f ca="1"/>
      </c>
      <c r="FK436">
        <f ca="1"/>
      </c>
      <c r="FL436">
        <f ca="1"/>
      </c>
      <c r="FM436">
        <f ca="1"/>
      </c>
      <c r="FN436">
        <f ca="1"/>
      </c>
      <c r="FO436">
        <f ca="1"/>
      </c>
      <c r="FP436">
        <f ca="1"/>
      </c>
      <c r="FQ436">
        <f ca="1"/>
      </c>
      <c r="FR436">
        <f ca="1"/>
      </c>
      <c r="FS436">
        <f ca="1"/>
      </c>
      <c r="FT436">
        <f ca="1"/>
      </c>
      <c r="FU436">
        <f ca="1"/>
      </c>
      <c r="FV436">
        <f ca="1"/>
      </c>
      <c r="FW436">
        <f ca="1"/>
      </c>
      <c r="FX436">
        <f ca="1"/>
      </c>
      <c r="FY436">
        <f ca="1"/>
      </c>
      <c r="FZ436">
        <f ca="1"/>
      </c>
      <c r="GA436">
        <f ca="1"/>
      </c>
      <c r="GM436" s="7"/>
    </row>
    <row r="437" spans="41:195" x14ac:dyDescent="0.55000000000000004">
      <c r="AO437">
        <f ca="1"/>
      </c>
      <c r="AP437">
        <f ca="1"/>
      </c>
      <c r="AQ437">
        <f ca="1"/>
      </c>
      <c r="AR437">
        <f ca="1"/>
      </c>
      <c r="AS437">
        <f ca="1"/>
      </c>
      <c r="AT43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AZ437">
        <f ca="1"/>
      </c>
      <c r="BA437">
        <f ca="1"/>
      </c>
      <c r="BB437">
        <f ca="1"/>
      </c>
      <c r="BC437">
        <f ca="1"/>
      </c>
      <c r="BD437">
        <f ca="1"/>
      </c>
      <c r="BE437">
        <f ca="1"/>
      </c>
      <c r="BF437">
        <f ca="1"/>
      </c>
      <c r="BG437">
        <f ca="1"/>
      </c>
      <c r="BH437">
        <f ca="1"/>
      </c>
      <c r="BI437">
        <f ca="1"/>
      </c>
      <c r="BJ437">
        <f ca="1"/>
      </c>
      <c r="BK437">
        <f ca="1"/>
      </c>
      <c r="BL437">
        <f ca="1"/>
      </c>
      <c r="BM437">
        <f ca="1"/>
      </c>
      <c r="BN437">
        <f ca="1"/>
      </c>
      <c r="BO437">
        <f ca="1"/>
      </c>
      <c r="BP437">
        <f ca="1"/>
      </c>
      <c r="BQ437">
        <f ca="1"/>
      </c>
      <c r="BR437">
        <f ca="1"/>
      </c>
      <c r="BS437">
        <f ca="1"/>
      </c>
      <c r="BT437">
        <f ca="1"/>
      </c>
      <c r="BU437">
        <f ca="1"/>
      </c>
      <c r="BV437">
        <f ca="1"/>
      </c>
      <c r="BW437">
        <f ca="1"/>
      </c>
      <c r="BX437">
        <f ca="1"/>
      </c>
      <c r="BY437">
        <f ca="1"/>
      </c>
      <c r="BZ437">
        <f ca="1"/>
      </c>
      <c r="CA437">
        <f ca="1"/>
      </c>
      <c r="CB437">
        <f ca="1"/>
      </c>
      <c r="CC437">
        <f ca="1"/>
      </c>
      <c r="CD437">
        <f ca="1"/>
      </c>
      <c r="CE437">
        <f ca="1"/>
      </c>
      <c r="CF437">
        <f ca="1"/>
      </c>
      <c r="CG437">
        <f ca="1"/>
      </c>
      <c r="CH437">
        <f ca="1"/>
      </c>
      <c r="CI437">
        <f ca="1"/>
      </c>
      <c r="CK437">
        <f ca="1"/>
      </c>
      <c r="CL437">
        <f ca="1"/>
      </c>
      <c r="CM437">
        <f ca="1"/>
      </c>
      <c r="CN437">
        <f ca="1"/>
      </c>
      <c r="CO437">
        <f ca="1"/>
      </c>
      <c r="CP437">
        <f ca="1"/>
      </c>
      <c r="CQ437">
        <f ca="1"/>
      </c>
      <c r="CR437">
        <f ca="1"/>
      </c>
      <c r="CS437">
        <f ca="1"/>
      </c>
      <c r="CT437">
        <f ca="1"/>
      </c>
      <c r="CU437">
        <f ca="1"/>
      </c>
      <c r="CV437">
        <f ca="1"/>
      </c>
      <c r="CW437">
        <f ca="1"/>
      </c>
      <c r="CX437">
        <f ca="1"/>
      </c>
      <c r="CY437">
        <f ca="1"/>
      </c>
      <c r="CZ437">
        <f ca="1"/>
      </c>
      <c r="DA437">
        <f ca="1"/>
      </c>
      <c r="DB437">
        <f ca="1"/>
      </c>
      <c r="DC437">
        <f ca="1"/>
      </c>
      <c r="DD437">
        <f ca="1"/>
      </c>
      <c r="DE437">
        <f ca="1"/>
      </c>
      <c r="DF437">
        <f ca="1"/>
      </c>
      <c r="DG437">
        <f ca="1"/>
      </c>
      <c r="DH437">
        <f ca="1"/>
      </c>
      <c r="DI437">
        <f ca="1"/>
      </c>
      <c r="DJ437">
        <f ca="1"/>
      </c>
      <c r="DK437">
        <f ca="1"/>
      </c>
      <c r="DL437">
        <f ca="1"/>
      </c>
      <c r="DM437">
        <f ca="1"/>
      </c>
      <c r="DN437">
        <f ca="1"/>
      </c>
      <c r="DO437">
        <f ca="1"/>
      </c>
      <c r="DP437">
        <f ca="1"/>
      </c>
      <c r="DQ437">
        <f ca="1"/>
      </c>
      <c r="DR437">
        <f ca="1"/>
      </c>
      <c r="DS437">
        <f ca="1"/>
      </c>
      <c r="DT437">
        <f ca="1"/>
      </c>
      <c r="DU437">
        <f ca="1"/>
      </c>
      <c r="DV437">
        <f ca="1"/>
      </c>
      <c r="DW437">
        <f ca="1"/>
      </c>
      <c r="DX437">
        <f ca="1"/>
      </c>
      <c r="DY437">
        <f ca="1"/>
      </c>
      <c r="DZ437">
        <f ca="1"/>
      </c>
      <c r="EA437">
        <f ca="1"/>
      </c>
      <c r="EB437">
        <f ca="1"/>
      </c>
      <c r="EC437">
        <f ca="1"/>
      </c>
      <c r="ED437">
        <f ca="1"/>
      </c>
      <c r="EE437">
        <f ca="1"/>
      </c>
      <c r="EG437">
        <f ca="1"/>
      </c>
      <c r="EH437">
        <f ca="1"/>
      </c>
      <c r="EI437">
        <f ca="1"/>
      </c>
      <c r="EJ437">
        <f ca="1"/>
      </c>
      <c r="EK437">
        <f ca="1"/>
      </c>
      <c r="EL437">
        <f ca="1"/>
      </c>
      <c r="EM437">
        <f ca="1"/>
      </c>
      <c r="EN437">
        <f ca="1"/>
      </c>
      <c r="EO437">
        <f ca="1"/>
      </c>
      <c r="EP437">
        <f ca="1"/>
      </c>
      <c r="EQ437">
        <f ca="1"/>
      </c>
      <c r="ER437">
        <f ca="1"/>
      </c>
      <c r="ES437">
        <f ca="1"/>
      </c>
      <c r="ET437">
        <f ca="1"/>
      </c>
      <c r="EU437">
        <f ca="1"/>
      </c>
      <c r="EV437">
        <f ca="1"/>
      </c>
      <c r="EW437">
        <f ca="1"/>
      </c>
      <c r="EX437">
        <f ca="1"/>
      </c>
      <c r="EY437">
        <f ca="1"/>
      </c>
      <c r="EZ437">
        <f ca="1"/>
      </c>
      <c r="FA437">
        <f ca="1"/>
      </c>
      <c r="FB437">
        <f ca="1"/>
      </c>
      <c r="FC437">
        <f ca="1"/>
      </c>
      <c r="FD437">
        <f ca="1"/>
      </c>
      <c r="FE437">
        <f ca="1"/>
      </c>
      <c r="FF437">
        <f ca="1"/>
      </c>
      <c r="FG437">
        <f ca="1"/>
      </c>
      <c r="FH437">
        <f ca="1"/>
      </c>
      <c r="FI437">
        <f ca="1"/>
      </c>
      <c r="FJ437">
        <f ca="1"/>
      </c>
      <c r="FK437">
        <f ca="1"/>
      </c>
      <c r="FL437">
        <f ca="1"/>
      </c>
      <c r="FM437">
        <f ca="1"/>
      </c>
      <c r="FN437">
        <f ca="1"/>
      </c>
      <c r="FO437">
        <f ca="1"/>
      </c>
      <c r="FP437">
        <f ca="1"/>
      </c>
      <c r="FQ437">
        <f ca="1"/>
      </c>
      <c r="FR437">
        <f ca="1"/>
      </c>
      <c r="FS437">
        <f ca="1"/>
      </c>
      <c r="FT437">
        <f ca="1"/>
      </c>
      <c r="FU437">
        <f ca="1"/>
      </c>
      <c r="FV437">
        <f ca="1"/>
      </c>
      <c r="FW437">
        <f ca="1"/>
      </c>
      <c r="FX437">
        <f ca="1"/>
      </c>
      <c r="FY437">
        <f ca="1"/>
      </c>
      <c r="FZ437">
        <f ca="1"/>
      </c>
      <c r="GA437">
        <f ca="1"/>
      </c>
      <c r="GM437" s="7"/>
    </row>
    <row r="438" spans="41:195" x14ac:dyDescent="0.55000000000000004">
      <c r="AO438">
        <f ca="1"/>
      </c>
      <c r="AP438">
        <f ca="1"/>
      </c>
      <c r="AQ438">
        <f ca="1"/>
      </c>
      <c r="AR438">
        <f ca="1"/>
      </c>
      <c r="AS438">
        <f ca="1"/>
      </c>
      <c r="AT438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AZ438">
        <f ca="1"/>
      </c>
      <c r="BA438">
        <f ca="1"/>
      </c>
      <c r="BB438">
        <f ca="1"/>
      </c>
      <c r="BC438">
        <f ca="1"/>
      </c>
      <c r="BD438">
        <f ca="1"/>
      </c>
      <c r="BE438">
        <f ca="1"/>
      </c>
      <c r="BF438">
        <f ca="1"/>
      </c>
      <c r="BG438">
        <f ca="1"/>
      </c>
      <c r="BH438">
        <f ca="1"/>
      </c>
      <c r="BI438">
        <f ca="1"/>
      </c>
      <c r="BJ438">
        <f ca="1"/>
      </c>
      <c r="BK438">
        <f ca="1"/>
      </c>
      <c r="BL438">
        <f ca="1"/>
      </c>
      <c r="BM438">
        <f ca="1"/>
      </c>
      <c r="BN438">
        <f ca="1"/>
      </c>
      <c r="BO438">
        <f ca="1"/>
      </c>
      <c r="BP438">
        <f ca="1"/>
      </c>
      <c r="BQ438">
        <f ca="1"/>
      </c>
      <c r="BR438">
        <f ca="1"/>
      </c>
      <c r="BS438">
        <f ca="1"/>
      </c>
      <c r="BT438">
        <f ca="1"/>
      </c>
      <c r="BU438">
        <f ca="1"/>
      </c>
      <c r="BV438">
        <f ca="1"/>
      </c>
      <c r="BW438">
        <f ca="1"/>
      </c>
      <c r="BX438">
        <f ca="1"/>
      </c>
      <c r="BY438">
        <f ca="1"/>
      </c>
      <c r="BZ438">
        <f ca="1"/>
      </c>
      <c r="CA438">
        <f ca="1"/>
      </c>
      <c r="CB438">
        <f ca="1"/>
      </c>
      <c r="CC438">
        <f ca="1"/>
      </c>
      <c r="CD438">
        <f ca="1"/>
      </c>
      <c r="CE438">
        <f ca="1"/>
      </c>
      <c r="CF438">
        <f ca="1"/>
      </c>
      <c r="CG438">
        <f ca="1"/>
      </c>
      <c r="CH438">
        <f ca="1"/>
      </c>
      <c r="CI438">
        <f ca="1"/>
      </c>
      <c r="CK438">
        <f ca="1"/>
      </c>
      <c r="CL438">
        <f ca="1"/>
      </c>
      <c r="CM438">
        <f ca="1"/>
      </c>
      <c r="CN438">
        <f ca="1"/>
      </c>
      <c r="CO438">
        <f ca="1"/>
      </c>
      <c r="CP438">
        <f ca="1"/>
      </c>
      <c r="CQ438">
        <f ca="1"/>
      </c>
      <c r="CR438">
        <f ca="1"/>
      </c>
      <c r="CS438">
        <f ca="1"/>
      </c>
      <c r="CT438">
        <f ca="1"/>
      </c>
      <c r="CU438">
        <f ca="1"/>
      </c>
      <c r="CV438">
        <f ca="1"/>
      </c>
      <c r="CW438">
        <f ca="1"/>
      </c>
      <c r="CX438">
        <f ca="1"/>
      </c>
      <c r="CY438">
        <f ca="1"/>
      </c>
      <c r="CZ438">
        <f ca="1"/>
      </c>
      <c r="DA438">
        <f ca="1"/>
      </c>
      <c r="DB438">
        <f ca="1"/>
      </c>
      <c r="DC438">
        <f ca="1"/>
      </c>
      <c r="DD438">
        <f ca="1"/>
      </c>
      <c r="DE438">
        <f ca="1"/>
      </c>
      <c r="DF438">
        <f ca="1"/>
      </c>
      <c r="DG438">
        <f ca="1"/>
      </c>
      <c r="DH438">
        <f ca="1"/>
      </c>
      <c r="DI438">
        <f ca="1"/>
      </c>
      <c r="DJ438">
        <f ca="1"/>
      </c>
      <c r="DK438">
        <f ca="1"/>
      </c>
      <c r="DL438">
        <f ca="1"/>
      </c>
      <c r="DM438">
        <f ca="1"/>
      </c>
      <c r="DN438">
        <f ca="1"/>
      </c>
      <c r="DO438">
        <f ca="1"/>
      </c>
      <c r="DP438">
        <f ca="1"/>
      </c>
      <c r="DQ438">
        <f ca="1"/>
      </c>
      <c r="DR438">
        <f ca="1"/>
      </c>
      <c r="DS438">
        <f ca="1"/>
      </c>
      <c r="DT438">
        <f ca="1"/>
      </c>
      <c r="DU438">
        <f ca="1"/>
      </c>
      <c r="DV438">
        <f ca="1"/>
      </c>
      <c r="DW438">
        <f ca="1"/>
      </c>
      <c r="DX438">
        <f ca="1"/>
      </c>
      <c r="DY438">
        <f ca="1"/>
      </c>
      <c r="DZ438">
        <f ca="1"/>
      </c>
      <c r="EA438">
        <f ca="1"/>
      </c>
      <c r="EB438">
        <f ca="1"/>
      </c>
      <c r="EC438">
        <f ca="1"/>
      </c>
      <c r="ED438">
        <f ca="1"/>
      </c>
      <c r="EE438">
        <f ca="1"/>
      </c>
      <c r="EG438">
        <f ca="1"/>
      </c>
      <c r="EH438">
        <f ca="1"/>
      </c>
      <c r="EI438">
        <f ca="1"/>
      </c>
      <c r="EJ438">
        <f ca="1"/>
      </c>
      <c r="EK438">
        <f ca="1"/>
      </c>
      <c r="EL438">
        <f ca="1"/>
      </c>
      <c r="EM438">
        <f ca="1"/>
      </c>
      <c r="EN438">
        <f ca="1"/>
      </c>
      <c r="EO438">
        <f ca="1"/>
      </c>
      <c r="EP438">
        <f ca="1"/>
      </c>
      <c r="EQ438">
        <f ca="1"/>
      </c>
      <c r="ER438">
        <f ca="1"/>
      </c>
      <c r="ES438">
        <f ca="1"/>
      </c>
      <c r="ET438">
        <f ca="1"/>
      </c>
      <c r="EU438">
        <f ca="1"/>
      </c>
      <c r="EV438">
        <f ca="1"/>
      </c>
      <c r="EW438">
        <f ca="1"/>
      </c>
      <c r="EX438">
        <f ca="1"/>
      </c>
      <c r="EY438">
        <f ca="1"/>
      </c>
      <c r="EZ438">
        <f ca="1"/>
      </c>
      <c r="FA438">
        <f ca="1"/>
      </c>
      <c r="FB438">
        <f ca="1"/>
      </c>
      <c r="FC438">
        <f ca="1"/>
      </c>
      <c r="FD438">
        <f ca="1"/>
      </c>
      <c r="FE438">
        <f ca="1"/>
      </c>
      <c r="FF438">
        <f ca="1"/>
      </c>
      <c r="FG438">
        <f ca="1"/>
      </c>
      <c r="FH438">
        <f ca="1"/>
      </c>
      <c r="FI438">
        <f ca="1"/>
      </c>
      <c r="FJ438">
        <f ca="1"/>
      </c>
      <c r="FK438">
        <f ca="1"/>
      </c>
      <c r="FL438">
        <f ca="1"/>
      </c>
      <c r="FM438">
        <f ca="1"/>
      </c>
      <c r="FN438">
        <f ca="1"/>
      </c>
      <c r="FO438">
        <f ca="1"/>
      </c>
      <c r="FP438">
        <f ca="1"/>
      </c>
      <c r="FQ438">
        <f ca="1"/>
      </c>
      <c r="FR438">
        <f ca="1"/>
      </c>
      <c r="FS438">
        <f ca="1"/>
      </c>
      <c r="FT438">
        <f ca="1"/>
      </c>
      <c r="FU438">
        <f ca="1"/>
      </c>
      <c r="FV438">
        <f ca="1"/>
      </c>
      <c r="FW438">
        <f ca="1"/>
      </c>
      <c r="FX438">
        <f ca="1"/>
      </c>
      <c r="FY438">
        <f ca="1"/>
      </c>
      <c r="FZ438">
        <f ca="1"/>
      </c>
      <c r="GA438">
        <f ca="1"/>
      </c>
      <c r="GM438" s="7"/>
    </row>
    <row r="439" spans="41:195" x14ac:dyDescent="0.55000000000000004">
      <c r="AO439">
        <f ca="1"/>
      </c>
      <c r="AP439">
        <f ca="1"/>
      </c>
      <c r="AQ439">
        <f ca="1"/>
      </c>
      <c r="AR439">
        <f ca="1"/>
      </c>
      <c r="AS439">
        <f ca="1"/>
      </c>
      <c r="AT439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AZ439">
        <f ca="1"/>
      </c>
      <c r="BA439">
        <f ca="1"/>
      </c>
      <c r="BB439">
        <f ca="1"/>
      </c>
      <c r="BC439">
        <f ca="1"/>
      </c>
      <c r="BD439">
        <f ca="1"/>
      </c>
      <c r="BE439">
        <f ca="1"/>
      </c>
      <c r="BF439">
        <f ca="1"/>
      </c>
      <c r="BG439">
        <f ca="1"/>
      </c>
      <c r="BH439">
        <f ca="1"/>
      </c>
      <c r="BI439">
        <f ca="1"/>
      </c>
      <c r="BJ439">
        <f ca="1"/>
      </c>
      <c r="BK439">
        <f ca="1"/>
      </c>
      <c r="BL439">
        <f ca="1"/>
      </c>
      <c r="BM439">
        <f ca="1"/>
      </c>
      <c r="BN439">
        <f ca="1"/>
      </c>
      <c r="BO439">
        <f ca="1"/>
      </c>
      <c r="BP439">
        <f ca="1"/>
      </c>
      <c r="BQ439">
        <f ca="1"/>
      </c>
      <c r="BR439">
        <f ca="1"/>
      </c>
      <c r="BS439">
        <f ca="1"/>
      </c>
      <c r="BT439">
        <f ca="1"/>
      </c>
      <c r="BU439">
        <f ca="1"/>
      </c>
      <c r="BV439">
        <f ca="1"/>
      </c>
      <c r="BW439">
        <f ca="1"/>
      </c>
      <c r="BX439">
        <f ca="1"/>
      </c>
      <c r="BY439">
        <f ca="1"/>
      </c>
      <c r="BZ439">
        <f ca="1"/>
      </c>
      <c r="CA439">
        <f ca="1"/>
      </c>
      <c r="CB439">
        <f ca="1"/>
      </c>
      <c r="CC439">
        <f ca="1"/>
      </c>
      <c r="CD439">
        <f ca="1"/>
      </c>
      <c r="CE439">
        <f ca="1"/>
      </c>
      <c r="CF439">
        <f ca="1"/>
      </c>
      <c r="CG439">
        <f ca="1"/>
      </c>
      <c r="CH439">
        <f ca="1"/>
      </c>
      <c r="CI439">
        <f ca="1"/>
      </c>
      <c r="CK439">
        <f ca="1"/>
      </c>
      <c r="CL439">
        <f ca="1"/>
      </c>
      <c r="CM439">
        <f ca="1"/>
      </c>
      <c r="CN439">
        <f ca="1"/>
      </c>
      <c r="CO439">
        <f ca="1"/>
      </c>
      <c r="CP439">
        <f ca="1"/>
      </c>
      <c r="CQ439">
        <f ca="1"/>
      </c>
      <c r="CR439">
        <f ca="1"/>
      </c>
      <c r="CS439">
        <f ca="1"/>
      </c>
      <c r="CT439">
        <f ca="1"/>
      </c>
      <c r="CU439">
        <f ca="1"/>
      </c>
      <c r="CV439">
        <f ca="1"/>
      </c>
      <c r="CW439">
        <f ca="1"/>
      </c>
      <c r="CX439">
        <f ca="1"/>
      </c>
      <c r="CY439">
        <f ca="1"/>
      </c>
      <c r="CZ439">
        <f ca="1"/>
      </c>
      <c r="DA439">
        <f ca="1"/>
      </c>
      <c r="DB439">
        <f ca="1"/>
      </c>
      <c r="DC439">
        <f ca="1"/>
      </c>
      <c r="DD439">
        <f ca="1"/>
      </c>
      <c r="DE439">
        <f ca="1"/>
      </c>
      <c r="DF439">
        <f ca="1"/>
      </c>
      <c r="DG439">
        <f ca="1"/>
      </c>
      <c r="DH439">
        <f ca="1"/>
      </c>
      <c r="DI439">
        <f ca="1"/>
      </c>
      <c r="DJ439">
        <f ca="1"/>
      </c>
      <c r="DK439">
        <f ca="1"/>
      </c>
      <c r="DL439">
        <f ca="1"/>
      </c>
      <c r="DM439">
        <f ca="1"/>
      </c>
      <c r="DN439">
        <f ca="1"/>
      </c>
      <c r="DO439">
        <f ca="1"/>
      </c>
      <c r="DP439">
        <f ca="1"/>
      </c>
      <c r="DQ439">
        <f ca="1"/>
      </c>
      <c r="DR439">
        <f ca="1"/>
      </c>
      <c r="DS439">
        <f ca="1"/>
      </c>
      <c r="DT439">
        <f ca="1"/>
      </c>
      <c r="DU439">
        <f ca="1"/>
      </c>
      <c r="DV439">
        <f ca="1"/>
      </c>
      <c r="DW439">
        <f ca="1"/>
      </c>
      <c r="DX439">
        <f ca="1"/>
      </c>
      <c r="DY439">
        <f ca="1"/>
      </c>
      <c r="DZ439">
        <f ca="1"/>
      </c>
      <c r="EA439">
        <f ca="1"/>
      </c>
      <c r="EB439">
        <f ca="1"/>
      </c>
      <c r="EC439">
        <f ca="1"/>
      </c>
      <c r="ED439">
        <f ca="1"/>
      </c>
      <c r="EE439">
        <f ca="1"/>
      </c>
      <c r="EG439">
        <f ca="1"/>
      </c>
      <c r="EH439">
        <f ca="1"/>
      </c>
      <c r="EI439">
        <f ca="1"/>
      </c>
      <c r="EJ439">
        <f ca="1"/>
      </c>
      <c r="EK439">
        <f ca="1"/>
      </c>
      <c r="EL439">
        <f ca="1"/>
      </c>
      <c r="EM439">
        <f ca="1"/>
      </c>
      <c r="EN439">
        <f ca="1"/>
      </c>
      <c r="EO439">
        <f ca="1"/>
      </c>
      <c r="EP439">
        <f ca="1"/>
      </c>
      <c r="EQ439">
        <f ca="1"/>
      </c>
      <c r="ER439">
        <f ca="1"/>
      </c>
      <c r="ES439">
        <f ca="1"/>
      </c>
      <c r="ET439">
        <f ca="1"/>
      </c>
      <c r="EU439">
        <f ca="1"/>
      </c>
      <c r="EV439">
        <f ca="1"/>
      </c>
      <c r="EW439">
        <f ca="1"/>
      </c>
      <c r="EX439">
        <f ca="1"/>
      </c>
      <c r="EY439">
        <f ca="1"/>
      </c>
      <c r="EZ439">
        <f ca="1"/>
      </c>
      <c r="FA439">
        <f ca="1"/>
      </c>
      <c r="FB439">
        <f ca="1"/>
      </c>
      <c r="FC439">
        <f ca="1"/>
      </c>
      <c r="FD439">
        <f ca="1"/>
      </c>
      <c r="FE439">
        <f ca="1"/>
      </c>
      <c r="FF439">
        <f ca="1"/>
      </c>
      <c r="FG439">
        <f ca="1"/>
      </c>
      <c r="FH439">
        <f ca="1"/>
      </c>
      <c r="FI439">
        <f ca="1"/>
      </c>
      <c r="FJ439">
        <f ca="1"/>
      </c>
      <c r="FK439">
        <f ca="1"/>
      </c>
      <c r="FL439">
        <f ca="1"/>
      </c>
      <c r="FM439">
        <f ca="1"/>
      </c>
      <c r="FN439">
        <f ca="1"/>
      </c>
      <c r="FO439">
        <f ca="1"/>
      </c>
      <c r="FP439">
        <f ca="1"/>
      </c>
      <c r="FQ439">
        <f ca="1"/>
      </c>
      <c r="FR439">
        <f ca="1"/>
      </c>
      <c r="FS439">
        <f ca="1"/>
      </c>
      <c r="FT439">
        <f ca="1"/>
      </c>
      <c r="FU439">
        <f ca="1"/>
      </c>
      <c r="FV439">
        <f ca="1"/>
      </c>
      <c r="FW439">
        <f ca="1"/>
      </c>
      <c r="FX439">
        <f ca="1"/>
      </c>
      <c r="FY439">
        <f ca="1"/>
      </c>
      <c r="FZ439">
        <f ca="1"/>
      </c>
      <c r="GA439">
        <f ca="1"/>
      </c>
      <c r="GM439" s="7"/>
    </row>
    <row r="440" spans="41:195" x14ac:dyDescent="0.55000000000000004">
      <c r="AO440">
        <f ca="1"/>
      </c>
      <c r="AP440">
        <f ca="1"/>
      </c>
      <c r="AQ440">
        <f ca="1"/>
      </c>
      <c r="AR440">
        <f ca="1"/>
      </c>
      <c r="AS440">
        <f ca="1"/>
      </c>
      <c r="AT440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AZ440">
        <f ca="1"/>
      </c>
      <c r="BA440">
        <f ca="1"/>
      </c>
      <c r="BB440">
        <f ca="1"/>
      </c>
      <c r="BC440">
        <f ca="1"/>
      </c>
      <c r="BD440">
        <f ca="1"/>
      </c>
      <c r="BE440">
        <f ca="1"/>
      </c>
      <c r="BF440">
        <f ca="1"/>
      </c>
      <c r="BG440">
        <f ca="1"/>
      </c>
      <c r="BH440">
        <f ca="1"/>
      </c>
      <c r="BI440">
        <f ca="1"/>
      </c>
      <c r="BJ440">
        <f ca="1"/>
      </c>
      <c r="BK440">
        <f ca="1"/>
      </c>
      <c r="BL440">
        <f ca="1"/>
      </c>
      <c r="BM440">
        <f ca="1"/>
      </c>
      <c r="BN440">
        <f ca="1"/>
      </c>
      <c r="BO440">
        <f ca="1"/>
      </c>
      <c r="BP440">
        <f ca="1"/>
      </c>
      <c r="BQ440">
        <f ca="1"/>
      </c>
      <c r="BR440">
        <f ca="1"/>
      </c>
      <c r="BS440">
        <f ca="1"/>
      </c>
      <c r="BT440">
        <f ca="1"/>
      </c>
      <c r="BU440">
        <f ca="1"/>
      </c>
      <c r="BV440">
        <f ca="1"/>
      </c>
      <c r="BW440">
        <f ca="1"/>
      </c>
      <c r="BX440">
        <f ca="1"/>
      </c>
      <c r="BY440">
        <f ca="1"/>
      </c>
      <c r="BZ440">
        <f ca="1"/>
      </c>
      <c r="CA440">
        <f ca="1"/>
      </c>
      <c r="CB440">
        <f ca="1"/>
      </c>
      <c r="CC440">
        <f ca="1"/>
      </c>
      <c r="CD440">
        <f ca="1"/>
      </c>
      <c r="CE440">
        <f ca="1"/>
      </c>
      <c r="CF440">
        <f ca="1"/>
      </c>
      <c r="CG440">
        <f ca="1"/>
      </c>
      <c r="CH440">
        <f ca="1"/>
      </c>
      <c r="CI440">
        <f ca="1"/>
      </c>
      <c r="CK440">
        <f ca="1"/>
      </c>
      <c r="CL440">
        <f ca="1"/>
      </c>
      <c r="CM440">
        <f ca="1"/>
      </c>
      <c r="CN440">
        <f ca="1"/>
      </c>
      <c r="CO440">
        <f ca="1"/>
      </c>
      <c r="CP440">
        <f ca="1"/>
      </c>
      <c r="CQ440">
        <f ca="1"/>
      </c>
      <c r="CR440">
        <f ca="1"/>
      </c>
      <c r="CS440">
        <f ca="1"/>
      </c>
      <c r="CT440">
        <f ca="1"/>
      </c>
      <c r="CU440">
        <f ca="1"/>
      </c>
      <c r="CV440">
        <f ca="1"/>
      </c>
      <c r="CW440">
        <f ca="1"/>
      </c>
      <c r="CX440">
        <f ca="1"/>
      </c>
      <c r="CY440">
        <f ca="1"/>
      </c>
      <c r="CZ440">
        <f ca="1"/>
      </c>
      <c r="DA440">
        <f ca="1"/>
      </c>
      <c r="DB440">
        <f ca="1"/>
      </c>
      <c r="DC440">
        <f ca="1"/>
      </c>
      <c r="DD440">
        <f ca="1"/>
      </c>
      <c r="DE440">
        <f ca="1"/>
      </c>
      <c r="DF440">
        <f ca="1"/>
      </c>
      <c r="DG440">
        <f ca="1"/>
      </c>
      <c r="DH440">
        <f ca="1"/>
      </c>
      <c r="DI440">
        <f ca="1"/>
      </c>
      <c r="DJ440">
        <f ca="1"/>
      </c>
      <c r="DK440">
        <f ca="1"/>
      </c>
      <c r="DL440">
        <f ca="1"/>
      </c>
      <c r="DM440">
        <f ca="1"/>
      </c>
      <c r="DN440">
        <f ca="1"/>
      </c>
      <c r="DO440">
        <f ca="1"/>
      </c>
      <c r="DP440">
        <f ca="1"/>
      </c>
      <c r="DQ440">
        <f ca="1"/>
      </c>
      <c r="DR440">
        <f ca="1"/>
      </c>
      <c r="DS440">
        <f ca="1"/>
      </c>
      <c r="DT440">
        <f ca="1"/>
      </c>
      <c r="DU440">
        <f ca="1"/>
      </c>
      <c r="DV440">
        <f ca="1"/>
      </c>
      <c r="DW440">
        <f ca="1"/>
      </c>
      <c r="DX440">
        <f ca="1"/>
      </c>
      <c r="DY440">
        <f ca="1"/>
      </c>
      <c r="DZ440">
        <f ca="1"/>
      </c>
      <c r="EA440">
        <f ca="1"/>
      </c>
      <c r="EB440">
        <f ca="1"/>
      </c>
      <c r="EC440">
        <f ca="1"/>
      </c>
      <c r="ED440">
        <f ca="1"/>
      </c>
      <c r="EE440">
        <f ca="1"/>
      </c>
      <c r="EG440">
        <f ca="1"/>
      </c>
      <c r="EH440">
        <f ca="1"/>
      </c>
      <c r="EI440">
        <f ca="1"/>
      </c>
      <c r="EJ440">
        <f ca="1"/>
      </c>
      <c r="EK440">
        <f ca="1"/>
      </c>
      <c r="EL440">
        <f ca="1"/>
      </c>
      <c r="EM440">
        <f ca="1"/>
      </c>
      <c r="EN440">
        <f ca="1"/>
      </c>
      <c r="EO440">
        <f ca="1"/>
      </c>
      <c r="EP440">
        <f ca="1"/>
      </c>
      <c r="EQ440">
        <f ca="1"/>
      </c>
      <c r="ER440">
        <f ca="1"/>
      </c>
      <c r="ES440">
        <f ca="1"/>
      </c>
      <c r="ET440">
        <f ca="1"/>
      </c>
      <c r="EU440">
        <f ca="1"/>
      </c>
      <c r="EV440">
        <f ca="1"/>
      </c>
      <c r="EW440">
        <f ca="1"/>
      </c>
      <c r="EX440">
        <f ca="1"/>
      </c>
      <c r="EY440">
        <f ca="1"/>
      </c>
      <c r="EZ440">
        <f ca="1"/>
      </c>
      <c r="FA440">
        <f ca="1"/>
      </c>
      <c r="FB440">
        <f ca="1"/>
      </c>
      <c r="FC440">
        <f ca="1"/>
      </c>
      <c r="FD440">
        <f ca="1"/>
      </c>
      <c r="FE440">
        <f ca="1"/>
      </c>
      <c r="FF440">
        <f ca="1"/>
      </c>
      <c r="FG440">
        <f ca="1"/>
      </c>
      <c r="FH440">
        <f ca="1"/>
      </c>
      <c r="FI440">
        <f ca="1"/>
      </c>
      <c r="FJ440">
        <f ca="1"/>
      </c>
      <c r="FK440">
        <f ca="1"/>
      </c>
      <c r="FL440">
        <f ca="1"/>
      </c>
      <c r="FM440">
        <f ca="1"/>
      </c>
      <c r="FN440">
        <f ca="1"/>
      </c>
      <c r="FO440">
        <f ca="1"/>
      </c>
      <c r="FP440">
        <f ca="1"/>
      </c>
      <c r="FQ440">
        <f ca="1"/>
      </c>
      <c r="FR440">
        <f ca="1"/>
      </c>
      <c r="FS440">
        <f ca="1"/>
      </c>
      <c r="FT440">
        <f ca="1"/>
      </c>
      <c r="FU440">
        <f ca="1"/>
      </c>
      <c r="FV440">
        <f ca="1"/>
      </c>
      <c r="FW440">
        <f ca="1"/>
      </c>
      <c r="FX440">
        <f ca="1"/>
      </c>
      <c r="FY440">
        <f ca="1"/>
      </c>
      <c r="FZ440">
        <f ca="1"/>
      </c>
      <c r="GA440">
        <f ca="1"/>
      </c>
      <c r="GM440" s="7"/>
    </row>
    <row r="441" spans="41:195" x14ac:dyDescent="0.55000000000000004">
      <c r="AO441">
        <f ca="1"/>
      </c>
      <c r="AP441">
        <f ca="1"/>
      </c>
      <c r="AQ441">
        <f ca="1"/>
      </c>
      <c r="AR441">
        <f ca="1"/>
      </c>
      <c r="AS441">
        <f ca="1"/>
      </c>
      <c r="AT441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AZ441">
        <f ca="1"/>
      </c>
      <c r="BA441">
        <f ca="1"/>
      </c>
      <c r="BB441">
        <f ca="1"/>
      </c>
      <c r="BC441">
        <f ca="1"/>
      </c>
      <c r="BD441">
        <f ca="1"/>
      </c>
      <c r="BE441">
        <f ca="1"/>
      </c>
      <c r="BF441">
        <f ca="1"/>
      </c>
      <c r="BG441">
        <f ca="1"/>
      </c>
      <c r="BH441">
        <f ca="1"/>
      </c>
      <c r="BI441">
        <f ca="1"/>
      </c>
      <c r="BJ441">
        <f ca="1"/>
      </c>
      <c r="BK441">
        <f ca="1"/>
      </c>
      <c r="BL441">
        <f ca="1"/>
      </c>
      <c r="BM441">
        <f ca="1"/>
      </c>
      <c r="BN441">
        <f ca="1"/>
      </c>
      <c r="BO441">
        <f ca="1"/>
      </c>
      <c r="BP441">
        <f ca="1"/>
      </c>
      <c r="BQ441">
        <f ca="1"/>
      </c>
      <c r="BR441">
        <f ca="1"/>
      </c>
      <c r="BS441">
        <f ca="1"/>
      </c>
      <c r="BT441">
        <f ca="1"/>
      </c>
      <c r="BU441">
        <f ca="1"/>
      </c>
      <c r="BV441">
        <f ca="1"/>
      </c>
      <c r="BW441">
        <f ca="1"/>
      </c>
      <c r="BX441">
        <f ca="1"/>
      </c>
      <c r="BY441">
        <f ca="1"/>
      </c>
      <c r="BZ441">
        <f ca="1"/>
      </c>
      <c r="CA441">
        <f ca="1"/>
      </c>
      <c r="CB441">
        <f ca="1"/>
      </c>
      <c r="CC441">
        <f ca="1"/>
      </c>
      <c r="CD441">
        <f ca="1"/>
      </c>
      <c r="CE441">
        <f ca="1"/>
      </c>
      <c r="CF441">
        <f ca="1"/>
      </c>
      <c r="CG441">
        <f ca="1"/>
      </c>
      <c r="CH441">
        <f ca="1"/>
      </c>
      <c r="CI441">
        <f ca="1"/>
      </c>
      <c r="CK441">
        <f ca="1"/>
      </c>
      <c r="CL441">
        <f ca="1"/>
      </c>
      <c r="CM441">
        <f ca="1"/>
      </c>
      <c r="CN441">
        <f ca="1"/>
      </c>
      <c r="CO441">
        <f ca="1"/>
      </c>
      <c r="CP441">
        <f ca="1"/>
      </c>
      <c r="CQ441">
        <f ca="1"/>
      </c>
      <c r="CR441">
        <f ca="1"/>
      </c>
      <c r="CS441">
        <f ca="1"/>
      </c>
      <c r="CT441">
        <f ca="1"/>
      </c>
      <c r="CU441">
        <f ca="1"/>
      </c>
      <c r="CV441">
        <f ca="1"/>
      </c>
      <c r="CW441">
        <f ca="1"/>
      </c>
      <c r="CX441">
        <f ca="1"/>
      </c>
      <c r="CY441">
        <f ca="1"/>
      </c>
      <c r="CZ441">
        <f ca="1"/>
      </c>
      <c r="DA441">
        <f ca="1"/>
      </c>
      <c r="DB441">
        <f ca="1"/>
      </c>
      <c r="DC441">
        <f ca="1"/>
      </c>
      <c r="DD441">
        <f ca="1"/>
      </c>
      <c r="DE441">
        <f ca="1"/>
      </c>
      <c r="DF441">
        <f ca="1"/>
      </c>
      <c r="DG441">
        <f ca="1"/>
      </c>
      <c r="DH441">
        <f ca="1"/>
      </c>
      <c r="DI441">
        <f ca="1"/>
      </c>
      <c r="DJ441">
        <f ca="1"/>
      </c>
      <c r="DK441">
        <f ca="1"/>
      </c>
      <c r="DL441">
        <f ca="1"/>
      </c>
      <c r="DM441">
        <f ca="1"/>
      </c>
      <c r="DN441">
        <f ca="1"/>
      </c>
      <c r="DO441">
        <f ca="1"/>
      </c>
      <c r="DP441">
        <f ca="1"/>
      </c>
      <c r="DQ441">
        <f ca="1"/>
      </c>
      <c r="DR441">
        <f ca="1"/>
      </c>
      <c r="DS441">
        <f ca="1"/>
      </c>
      <c r="DT441">
        <f ca="1"/>
      </c>
      <c r="DU441">
        <f ca="1"/>
      </c>
      <c r="DV441">
        <f ca="1"/>
      </c>
      <c r="DW441">
        <f ca="1"/>
      </c>
      <c r="DX441">
        <f ca="1"/>
      </c>
      <c r="DY441">
        <f ca="1"/>
      </c>
      <c r="DZ441">
        <f ca="1"/>
      </c>
      <c r="EA441">
        <f ca="1"/>
      </c>
      <c r="EB441">
        <f ca="1"/>
      </c>
      <c r="EC441">
        <f ca="1"/>
      </c>
      <c r="ED441">
        <f ca="1"/>
      </c>
      <c r="EE441">
        <f ca="1"/>
      </c>
      <c r="EG441">
        <f ca="1"/>
      </c>
      <c r="EH441">
        <f ca="1"/>
      </c>
      <c r="EI441">
        <f ca="1"/>
      </c>
      <c r="EJ441">
        <f ca="1"/>
      </c>
      <c r="EK441">
        <f ca="1"/>
      </c>
      <c r="EL441">
        <f ca="1"/>
      </c>
      <c r="EM441">
        <f ca="1"/>
      </c>
      <c r="EN441">
        <f ca="1"/>
      </c>
      <c r="EO441">
        <f ca="1"/>
      </c>
      <c r="EP441">
        <f ca="1"/>
      </c>
      <c r="EQ441">
        <f ca="1"/>
      </c>
      <c r="ER441">
        <f ca="1"/>
      </c>
      <c r="ES441">
        <f ca="1"/>
      </c>
      <c r="ET441">
        <f ca="1"/>
      </c>
      <c r="EU441">
        <f ca="1"/>
      </c>
      <c r="EV441">
        <f ca="1"/>
      </c>
      <c r="EW441">
        <f ca="1"/>
      </c>
      <c r="EX441">
        <f ca="1"/>
      </c>
      <c r="EY441">
        <f ca="1"/>
      </c>
      <c r="EZ441">
        <f ca="1"/>
      </c>
      <c r="FA441">
        <f ca="1"/>
      </c>
      <c r="FB441">
        <f ca="1"/>
      </c>
      <c r="FC441">
        <f ca="1"/>
      </c>
      <c r="FD441">
        <f ca="1"/>
      </c>
      <c r="FE441">
        <f ca="1"/>
      </c>
      <c r="FF441">
        <f ca="1"/>
      </c>
      <c r="FG441">
        <f ca="1"/>
      </c>
      <c r="FH441">
        <f ca="1"/>
      </c>
      <c r="FI441">
        <f ca="1"/>
      </c>
      <c r="FJ441">
        <f ca="1"/>
      </c>
      <c r="FK441">
        <f ca="1"/>
      </c>
      <c r="FL441">
        <f ca="1"/>
      </c>
      <c r="FM441">
        <f ca="1"/>
      </c>
      <c r="FN441">
        <f ca="1"/>
      </c>
      <c r="FO441">
        <f ca="1"/>
      </c>
      <c r="FP441">
        <f ca="1"/>
      </c>
      <c r="FQ441">
        <f ca="1"/>
      </c>
      <c r="FR441">
        <f ca="1"/>
      </c>
      <c r="FS441">
        <f ca="1"/>
      </c>
      <c r="FT441">
        <f ca="1"/>
      </c>
      <c r="FU441">
        <f ca="1"/>
      </c>
      <c r="FV441">
        <f ca="1"/>
      </c>
      <c r="FW441">
        <f ca="1"/>
      </c>
      <c r="FX441">
        <f ca="1"/>
      </c>
      <c r="FY441">
        <f ca="1"/>
      </c>
      <c r="FZ441">
        <f ca="1"/>
      </c>
      <c r="GA441">
        <f ca="1"/>
      </c>
      <c r="GM441" s="7"/>
    </row>
    <row r="442" spans="41:195" x14ac:dyDescent="0.55000000000000004">
      <c r="AO442">
        <f ca="1"/>
      </c>
      <c r="AP442">
        <f ca="1"/>
      </c>
      <c r="AQ442">
        <f ca="1"/>
      </c>
      <c r="AR442">
        <f ca="1"/>
      </c>
      <c r="AS442">
        <f ca="1"/>
      </c>
      <c r="AT442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AZ442">
        <f ca="1"/>
      </c>
      <c r="BA442">
        <f ca="1"/>
      </c>
      <c r="BB442">
        <f ca="1"/>
      </c>
      <c r="BC442">
        <f ca="1"/>
      </c>
      <c r="BD442">
        <f ca="1"/>
      </c>
      <c r="BE442">
        <f ca="1"/>
      </c>
      <c r="BF442">
        <f ca="1"/>
      </c>
      <c r="BG442">
        <f ca="1"/>
      </c>
      <c r="BH442">
        <f ca="1"/>
      </c>
      <c r="BI442">
        <f ca="1"/>
      </c>
      <c r="BJ442">
        <f ca="1"/>
      </c>
      <c r="BK442">
        <f ca="1"/>
      </c>
      <c r="BL442">
        <f ca="1"/>
      </c>
      <c r="BM442">
        <f ca="1"/>
      </c>
      <c r="BN442">
        <f ca="1"/>
      </c>
      <c r="BO442">
        <f ca="1"/>
      </c>
      <c r="BP442">
        <f ca="1"/>
      </c>
      <c r="BQ442">
        <f ca="1"/>
      </c>
      <c r="BR442">
        <f ca="1"/>
      </c>
      <c r="BS442">
        <f ca="1"/>
      </c>
      <c r="BT442">
        <f ca="1"/>
      </c>
      <c r="BU442">
        <f ca="1"/>
      </c>
      <c r="BV442">
        <f ca="1"/>
      </c>
      <c r="BW442">
        <f ca="1"/>
      </c>
      <c r="BX442">
        <f ca="1"/>
      </c>
      <c r="BY442">
        <f ca="1"/>
      </c>
      <c r="BZ442">
        <f ca="1"/>
      </c>
      <c r="CA442">
        <f ca="1"/>
      </c>
      <c r="CB442">
        <f ca="1"/>
      </c>
      <c r="CC442">
        <f ca="1"/>
      </c>
      <c r="CD442">
        <f ca="1"/>
      </c>
      <c r="CE442">
        <f ca="1"/>
      </c>
      <c r="CF442">
        <f ca="1"/>
      </c>
      <c r="CG442">
        <f ca="1"/>
      </c>
      <c r="CH442">
        <f ca="1"/>
      </c>
      <c r="CI442">
        <f ca="1"/>
      </c>
      <c r="CK442">
        <f ca="1"/>
      </c>
      <c r="CL442">
        <f ca="1"/>
      </c>
      <c r="CM442">
        <f ca="1"/>
      </c>
      <c r="CN442">
        <f ca="1"/>
      </c>
      <c r="CO442">
        <f ca="1"/>
      </c>
      <c r="CP442">
        <f ca="1"/>
      </c>
      <c r="CQ442">
        <f ca="1"/>
      </c>
      <c r="CR442">
        <f ca="1"/>
      </c>
      <c r="CS442">
        <f ca="1"/>
      </c>
      <c r="CT442">
        <f ca="1"/>
      </c>
      <c r="CU442">
        <f ca="1"/>
      </c>
      <c r="CV442">
        <f ca="1"/>
      </c>
      <c r="CW442">
        <f ca="1"/>
      </c>
      <c r="CX442">
        <f ca="1"/>
      </c>
      <c r="CY442">
        <f ca="1"/>
      </c>
      <c r="CZ442">
        <f ca="1"/>
      </c>
      <c r="DA442">
        <f ca="1"/>
      </c>
      <c r="DB442">
        <f ca="1"/>
      </c>
      <c r="DC442">
        <f ca="1"/>
      </c>
      <c r="DD442">
        <f ca="1"/>
      </c>
      <c r="DE442">
        <f ca="1"/>
      </c>
      <c r="DF442">
        <f ca="1"/>
      </c>
      <c r="DG442">
        <f ca="1"/>
      </c>
      <c r="DH442">
        <f ca="1"/>
      </c>
      <c r="DI442">
        <f ca="1"/>
      </c>
      <c r="DJ442">
        <f ca="1"/>
      </c>
      <c r="DK442">
        <f ca="1"/>
      </c>
      <c r="DL442">
        <f ca="1"/>
      </c>
      <c r="DM442">
        <f ca="1"/>
      </c>
      <c r="DN442">
        <f ca="1"/>
      </c>
      <c r="DO442">
        <f ca="1"/>
      </c>
      <c r="DP442">
        <f ca="1"/>
      </c>
      <c r="DQ442">
        <f ca="1"/>
      </c>
      <c r="DR442">
        <f ca="1"/>
      </c>
      <c r="DS442">
        <f ca="1"/>
      </c>
      <c r="DT442">
        <f ca="1"/>
      </c>
      <c r="DU442">
        <f ca="1"/>
      </c>
      <c r="DV442">
        <f ca="1"/>
      </c>
      <c r="DW442">
        <f ca="1"/>
      </c>
      <c r="DX442">
        <f ca="1"/>
      </c>
      <c r="DY442">
        <f ca="1"/>
      </c>
      <c r="DZ442">
        <f ca="1"/>
      </c>
      <c r="EA442">
        <f ca="1"/>
      </c>
      <c r="EB442">
        <f ca="1"/>
      </c>
      <c r="EC442">
        <f ca="1"/>
      </c>
      <c r="ED442">
        <f ca="1"/>
      </c>
      <c r="EE442">
        <f ca="1"/>
      </c>
      <c r="EG442">
        <f ca="1"/>
      </c>
      <c r="EH442">
        <f ca="1"/>
      </c>
      <c r="EI442">
        <f ca="1"/>
      </c>
      <c r="EJ442">
        <f ca="1"/>
      </c>
      <c r="EK442">
        <f ca="1"/>
      </c>
      <c r="EL442">
        <f ca="1"/>
      </c>
      <c r="EM442">
        <f ca="1"/>
      </c>
      <c r="EN442">
        <f ca="1"/>
      </c>
      <c r="EO442">
        <f ca="1"/>
      </c>
      <c r="EP442">
        <f ca="1"/>
      </c>
      <c r="EQ442">
        <f ca="1"/>
      </c>
      <c r="ER442">
        <f ca="1"/>
      </c>
      <c r="ES442">
        <f ca="1"/>
      </c>
      <c r="ET442">
        <f ca="1"/>
      </c>
      <c r="EU442">
        <f ca="1"/>
      </c>
      <c r="EV442">
        <f ca="1"/>
      </c>
      <c r="EW442">
        <f ca="1"/>
      </c>
      <c r="EX442">
        <f ca="1"/>
      </c>
      <c r="EY442">
        <f ca="1"/>
      </c>
      <c r="EZ442">
        <f ca="1"/>
      </c>
      <c r="FA442">
        <f ca="1"/>
      </c>
      <c r="FB442">
        <f ca="1"/>
      </c>
      <c r="FC442">
        <f ca="1"/>
      </c>
      <c r="FD442">
        <f ca="1"/>
      </c>
      <c r="FE442">
        <f ca="1"/>
      </c>
      <c r="FF442">
        <f ca="1"/>
      </c>
      <c r="FG442">
        <f ca="1"/>
      </c>
      <c r="FH442">
        <f ca="1"/>
      </c>
      <c r="FI442">
        <f ca="1"/>
      </c>
      <c r="FJ442">
        <f ca="1"/>
      </c>
      <c r="FK442">
        <f ca="1"/>
      </c>
      <c r="FL442">
        <f ca="1"/>
      </c>
      <c r="FM442">
        <f ca="1"/>
      </c>
      <c r="FN442">
        <f ca="1"/>
      </c>
      <c r="FO442">
        <f ca="1"/>
      </c>
      <c r="FP442">
        <f ca="1"/>
      </c>
      <c r="FQ442">
        <f ca="1"/>
      </c>
      <c r="FR442">
        <f ca="1"/>
      </c>
      <c r="FS442">
        <f ca="1"/>
      </c>
      <c r="FT442">
        <f ca="1"/>
      </c>
      <c r="FU442">
        <f ca="1"/>
      </c>
      <c r="FV442">
        <f ca="1"/>
      </c>
      <c r="FW442">
        <f ca="1"/>
      </c>
      <c r="FX442">
        <f ca="1"/>
      </c>
      <c r="FY442">
        <f ca="1"/>
      </c>
      <c r="FZ442">
        <f ca="1"/>
      </c>
      <c r="GA442">
        <f ca="1"/>
      </c>
      <c r="GM442" s="7"/>
    </row>
    <row r="443" spans="41:195" x14ac:dyDescent="0.55000000000000004">
      <c r="AO443">
        <f ca="1"/>
      </c>
      <c r="AP443">
        <f ca="1"/>
      </c>
      <c r="AQ443">
        <f ca="1"/>
      </c>
      <c r="AR443">
        <f ca="1"/>
      </c>
      <c r="AS443">
        <f ca="1"/>
      </c>
      <c r="AT443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AZ443">
        <f ca="1"/>
      </c>
      <c r="BA443">
        <f ca="1"/>
      </c>
      <c r="BB443">
        <f ca="1"/>
      </c>
      <c r="BC443">
        <f ca="1"/>
      </c>
      <c r="BD443">
        <f ca="1"/>
      </c>
      <c r="BE443">
        <f ca="1"/>
      </c>
      <c r="BF443">
        <f ca="1"/>
      </c>
      <c r="BG443">
        <f ca="1"/>
      </c>
      <c r="BH443">
        <f ca="1"/>
      </c>
      <c r="BI443">
        <f ca="1"/>
      </c>
      <c r="BJ443">
        <f ca="1"/>
      </c>
      <c r="BK443">
        <f ca="1"/>
      </c>
      <c r="BL443">
        <f ca="1"/>
      </c>
      <c r="BM443">
        <f ca="1"/>
      </c>
      <c r="BN443">
        <f ca="1"/>
      </c>
      <c r="BO443">
        <f ca="1"/>
      </c>
      <c r="BP443">
        <f ca="1"/>
      </c>
      <c r="BQ443">
        <f ca="1"/>
      </c>
      <c r="BR443">
        <f ca="1"/>
      </c>
      <c r="BS443">
        <f ca="1"/>
      </c>
      <c r="BT443">
        <f ca="1"/>
      </c>
      <c r="BU443">
        <f ca="1"/>
      </c>
      <c r="BV443">
        <f ca="1"/>
      </c>
      <c r="BW443">
        <f ca="1"/>
      </c>
      <c r="BX443">
        <f ca="1"/>
      </c>
      <c r="BY443">
        <f ca="1"/>
      </c>
      <c r="BZ443">
        <f ca="1"/>
      </c>
      <c r="CA443">
        <f ca="1"/>
      </c>
      <c r="CB443">
        <f ca="1"/>
      </c>
      <c r="CC443">
        <f ca="1"/>
      </c>
      <c r="CD443">
        <f ca="1"/>
      </c>
      <c r="CE443">
        <f ca="1"/>
      </c>
      <c r="CF443">
        <f ca="1"/>
      </c>
      <c r="CG443">
        <f ca="1"/>
      </c>
      <c r="CH443">
        <f ca="1"/>
      </c>
      <c r="CI443">
        <f ca="1"/>
      </c>
      <c r="CK443">
        <f ca="1"/>
      </c>
      <c r="CL443">
        <f ca="1"/>
      </c>
      <c r="CM443">
        <f ca="1"/>
      </c>
      <c r="CN443">
        <f ca="1"/>
      </c>
      <c r="CO443">
        <f ca="1"/>
      </c>
      <c r="CP443">
        <f ca="1"/>
      </c>
      <c r="CQ443">
        <f ca="1"/>
      </c>
      <c r="CR443">
        <f ca="1"/>
      </c>
      <c r="CS443">
        <f ca="1"/>
      </c>
      <c r="CT443">
        <f ca="1"/>
      </c>
      <c r="CU443">
        <f ca="1"/>
      </c>
      <c r="CV443">
        <f ca="1"/>
      </c>
      <c r="CW443">
        <f ca="1"/>
      </c>
      <c r="CX443">
        <f ca="1"/>
      </c>
      <c r="CY443">
        <f ca="1"/>
      </c>
      <c r="CZ443">
        <f ca="1"/>
      </c>
      <c r="DA443">
        <f ca="1"/>
      </c>
      <c r="DB443">
        <f ca="1"/>
      </c>
      <c r="DC443">
        <f ca="1"/>
      </c>
      <c r="DD443">
        <f ca="1"/>
      </c>
      <c r="DE443">
        <f ca="1"/>
      </c>
      <c r="DF443">
        <f ca="1"/>
      </c>
      <c r="DG443">
        <f ca="1"/>
      </c>
      <c r="DH443">
        <f ca="1"/>
      </c>
      <c r="DI443">
        <f ca="1"/>
      </c>
      <c r="DJ443">
        <f ca="1"/>
      </c>
      <c r="DK443">
        <f ca="1"/>
      </c>
      <c r="DL443">
        <f ca="1"/>
      </c>
      <c r="DM443">
        <f ca="1"/>
      </c>
      <c r="DN443">
        <f ca="1"/>
      </c>
      <c r="DO443">
        <f ca="1"/>
      </c>
      <c r="DP443">
        <f ca="1"/>
      </c>
      <c r="DQ443">
        <f ca="1"/>
      </c>
      <c r="DR443">
        <f ca="1"/>
      </c>
      <c r="DS443">
        <f ca="1"/>
      </c>
      <c r="DT443">
        <f ca="1"/>
      </c>
      <c r="DU443">
        <f ca="1"/>
      </c>
      <c r="DV443">
        <f ca="1"/>
      </c>
      <c r="DW443">
        <f ca="1"/>
      </c>
      <c r="DX443">
        <f ca="1"/>
      </c>
      <c r="DY443">
        <f ca="1"/>
      </c>
      <c r="DZ443">
        <f ca="1"/>
      </c>
      <c r="EA443">
        <f ca="1"/>
      </c>
      <c r="EB443">
        <f ca="1"/>
      </c>
      <c r="EC443">
        <f ca="1"/>
      </c>
      <c r="ED443">
        <f ca="1"/>
      </c>
      <c r="EE443">
        <f ca="1"/>
      </c>
      <c r="EG443">
        <f ca="1"/>
      </c>
      <c r="EH443">
        <f ca="1"/>
      </c>
      <c r="EI443">
        <f ca="1"/>
      </c>
      <c r="EJ443">
        <f ca="1"/>
      </c>
      <c r="EK443">
        <f ca="1"/>
      </c>
      <c r="EL443">
        <f ca="1"/>
      </c>
      <c r="EM443">
        <f ca="1"/>
      </c>
      <c r="EN443">
        <f ca="1"/>
      </c>
      <c r="EO443">
        <f ca="1"/>
      </c>
      <c r="EP443">
        <f ca="1"/>
      </c>
      <c r="EQ443">
        <f ca="1"/>
      </c>
      <c r="ER443">
        <f ca="1"/>
      </c>
      <c r="ES443">
        <f ca="1"/>
      </c>
      <c r="ET443">
        <f ca="1"/>
      </c>
      <c r="EU443">
        <f ca="1"/>
      </c>
      <c r="EV443">
        <f ca="1"/>
      </c>
      <c r="EW443">
        <f ca="1"/>
      </c>
      <c r="EX443">
        <f ca="1"/>
      </c>
      <c r="EY443">
        <f ca="1"/>
      </c>
      <c r="EZ443">
        <f ca="1"/>
      </c>
      <c r="FA443">
        <f ca="1"/>
      </c>
      <c r="FB443">
        <f ca="1"/>
      </c>
      <c r="FC443">
        <f ca="1"/>
      </c>
      <c r="FD443">
        <f ca="1"/>
      </c>
      <c r="FE443">
        <f ca="1"/>
      </c>
      <c r="FF443">
        <f ca="1"/>
      </c>
      <c r="FG443">
        <f ca="1"/>
      </c>
      <c r="FH443">
        <f ca="1"/>
      </c>
      <c r="FI443">
        <f ca="1"/>
      </c>
      <c r="FJ443">
        <f ca="1"/>
      </c>
      <c r="FK443">
        <f ca="1"/>
      </c>
      <c r="FL443">
        <f ca="1"/>
      </c>
      <c r="FM443">
        <f ca="1"/>
      </c>
      <c r="FN443">
        <f ca="1"/>
      </c>
      <c r="FO443">
        <f ca="1"/>
      </c>
      <c r="FP443">
        <f ca="1"/>
      </c>
      <c r="FQ443">
        <f ca="1"/>
      </c>
      <c r="FR443">
        <f ca="1"/>
      </c>
      <c r="FS443">
        <f ca="1"/>
      </c>
      <c r="FT443">
        <f ca="1"/>
      </c>
      <c r="FU443">
        <f ca="1"/>
      </c>
      <c r="FV443">
        <f ca="1"/>
      </c>
      <c r="FW443">
        <f ca="1"/>
      </c>
      <c r="FX443">
        <f ca="1"/>
      </c>
      <c r="FY443">
        <f ca="1"/>
      </c>
      <c r="FZ443">
        <f ca="1"/>
      </c>
      <c r="GA443">
        <f ca="1"/>
      </c>
      <c r="GM443" s="7"/>
    </row>
    <row r="444" spans="41:195" x14ac:dyDescent="0.55000000000000004">
      <c r="AO444">
        <f ca="1"/>
      </c>
      <c r="AP444">
        <f ca="1"/>
      </c>
      <c r="AQ444">
        <f ca="1"/>
      </c>
      <c r="AR444">
        <f ca="1"/>
      </c>
      <c r="AS444">
        <f ca="1"/>
      </c>
      <c r="AT444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AZ444">
        <f ca="1"/>
      </c>
      <c r="BA444">
        <f ca="1"/>
      </c>
      <c r="BB444">
        <f ca="1"/>
      </c>
      <c r="BC444">
        <f ca="1"/>
      </c>
      <c r="BD444">
        <f ca="1"/>
      </c>
      <c r="BE444">
        <f ca="1"/>
      </c>
      <c r="BF444">
        <f ca="1"/>
      </c>
      <c r="BG444">
        <f ca="1"/>
      </c>
      <c r="BH444">
        <f ca="1"/>
      </c>
      <c r="BI444">
        <f ca="1"/>
      </c>
      <c r="BJ444">
        <f ca="1"/>
      </c>
      <c r="BK444">
        <f ca="1"/>
      </c>
      <c r="BL444">
        <f ca="1"/>
      </c>
      <c r="BM444">
        <f ca="1"/>
      </c>
      <c r="BN444">
        <f ca="1"/>
      </c>
      <c r="BO444">
        <f ca="1"/>
      </c>
      <c r="BP444">
        <f ca="1"/>
      </c>
      <c r="BQ444">
        <f ca="1"/>
      </c>
      <c r="BR444">
        <f ca="1"/>
      </c>
      <c r="BS444">
        <f ca="1"/>
      </c>
      <c r="BT444">
        <f ca="1"/>
      </c>
      <c r="BU444">
        <f ca="1"/>
      </c>
      <c r="BV444">
        <f ca="1"/>
      </c>
      <c r="BW444">
        <f ca="1"/>
      </c>
      <c r="BX444">
        <f ca="1"/>
      </c>
      <c r="BY444">
        <f ca="1"/>
      </c>
      <c r="BZ444">
        <f ca="1"/>
      </c>
      <c r="CA444">
        <f ca="1"/>
      </c>
      <c r="CB444">
        <f ca="1"/>
      </c>
      <c r="CC444">
        <f ca="1"/>
      </c>
      <c r="CD444">
        <f ca="1"/>
      </c>
      <c r="CE444">
        <f ca="1"/>
      </c>
      <c r="CF444">
        <f ca="1"/>
      </c>
      <c r="CG444">
        <f ca="1"/>
      </c>
      <c r="CH444">
        <f ca="1"/>
      </c>
      <c r="CI444">
        <f ca="1"/>
      </c>
      <c r="CK444">
        <f ca="1"/>
      </c>
      <c r="CL444">
        <f ca="1"/>
      </c>
      <c r="CM444">
        <f ca="1"/>
      </c>
      <c r="CN444">
        <f ca="1"/>
      </c>
      <c r="CO444">
        <f ca="1"/>
      </c>
      <c r="CP444">
        <f ca="1"/>
      </c>
      <c r="CQ444">
        <f ca="1"/>
      </c>
      <c r="CR444">
        <f ca="1"/>
      </c>
      <c r="CS444">
        <f ca="1"/>
      </c>
      <c r="CT444">
        <f ca="1"/>
      </c>
      <c r="CU444">
        <f ca="1"/>
      </c>
      <c r="CV444">
        <f ca="1"/>
      </c>
      <c r="CW444">
        <f ca="1"/>
      </c>
      <c r="CX444">
        <f ca="1"/>
      </c>
      <c r="CY444">
        <f ca="1"/>
      </c>
      <c r="CZ444">
        <f ca="1"/>
      </c>
      <c r="DA444">
        <f ca="1"/>
      </c>
      <c r="DB444">
        <f ca="1"/>
      </c>
      <c r="DC444">
        <f ca="1"/>
      </c>
      <c r="DD444">
        <f ca="1"/>
      </c>
      <c r="DE444">
        <f ca="1"/>
      </c>
      <c r="DF444">
        <f ca="1"/>
      </c>
      <c r="DG444">
        <f ca="1"/>
      </c>
      <c r="DH444">
        <f ca="1"/>
      </c>
      <c r="DI444">
        <f ca="1"/>
      </c>
      <c r="DJ444">
        <f ca="1"/>
      </c>
      <c r="DK444">
        <f ca="1"/>
      </c>
      <c r="DL444">
        <f ca="1"/>
      </c>
      <c r="DM444">
        <f ca="1"/>
      </c>
      <c r="DN444">
        <f ca="1"/>
      </c>
      <c r="DO444">
        <f ca="1"/>
      </c>
      <c r="DP444">
        <f ca="1"/>
      </c>
      <c r="DQ444">
        <f ca="1"/>
      </c>
      <c r="DR444">
        <f ca="1"/>
      </c>
      <c r="DS444">
        <f ca="1"/>
      </c>
      <c r="DT444">
        <f ca="1"/>
      </c>
      <c r="DU444">
        <f ca="1"/>
      </c>
      <c r="DV444">
        <f ca="1"/>
      </c>
      <c r="DW444">
        <f ca="1"/>
      </c>
      <c r="DX444">
        <f ca="1"/>
      </c>
      <c r="DY444">
        <f ca="1"/>
      </c>
      <c r="DZ444">
        <f ca="1"/>
      </c>
      <c r="EA444">
        <f ca="1"/>
      </c>
      <c r="EB444">
        <f ca="1"/>
      </c>
      <c r="EC444">
        <f ca="1"/>
      </c>
      <c r="ED444">
        <f ca="1"/>
      </c>
      <c r="EE444">
        <f ca="1"/>
      </c>
      <c r="EG444">
        <f ca="1"/>
      </c>
      <c r="EH444">
        <f ca="1"/>
      </c>
      <c r="EI444">
        <f ca="1"/>
      </c>
      <c r="EJ444">
        <f ca="1"/>
      </c>
      <c r="EK444">
        <f ca="1"/>
      </c>
      <c r="EL444">
        <f ca="1"/>
      </c>
      <c r="EM444">
        <f ca="1"/>
      </c>
      <c r="EN444">
        <f ca="1"/>
      </c>
      <c r="EO444">
        <f ca="1"/>
      </c>
      <c r="EP444">
        <f ca="1"/>
      </c>
      <c r="EQ444">
        <f ca="1"/>
      </c>
      <c r="ER444">
        <f ca="1"/>
      </c>
      <c r="ES444">
        <f ca="1"/>
      </c>
      <c r="ET444">
        <f ca="1"/>
      </c>
      <c r="EU444">
        <f ca="1"/>
      </c>
      <c r="EV444">
        <f ca="1"/>
      </c>
      <c r="EW444">
        <f ca="1"/>
      </c>
      <c r="EX444">
        <f ca="1"/>
      </c>
      <c r="EY444">
        <f ca="1"/>
      </c>
      <c r="EZ444">
        <f ca="1"/>
      </c>
      <c r="FA444">
        <f ca="1"/>
      </c>
      <c r="FB444">
        <f ca="1"/>
      </c>
      <c r="FC444">
        <f ca="1"/>
      </c>
      <c r="FD444">
        <f ca="1"/>
      </c>
      <c r="FE444">
        <f ca="1"/>
      </c>
      <c r="FF444">
        <f ca="1"/>
      </c>
      <c r="FG444">
        <f ca="1"/>
      </c>
      <c r="FH444">
        <f ca="1"/>
      </c>
      <c r="FI444">
        <f ca="1"/>
      </c>
      <c r="FJ444">
        <f ca="1"/>
      </c>
      <c r="FK444">
        <f ca="1"/>
      </c>
      <c r="FL444">
        <f ca="1"/>
      </c>
      <c r="FM444">
        <f ca="1"/>
      </c>
      <c r="FN444">
        <f ca="1"/>
      </c>
      <c r="FO444">
        <f ca="1"/>
      </c>
      <c r="FP444">
        <f ca="1"/>
      </c>
      <c r="FQ444">
        <f ca="1"/>
      </c>
      <c r="FR444">
        <f ca="1"/>
      </c>
      <c r="FS444">
        <f ca="1"/>
      </c>
      <c r="FT444">
        <f ca="1"/>
      </c>
      <c r="FU444">
        <f ca="1"/>
      </c>
      <c r="FV444">
        <f ca="1"/>
      </c>
      <c r="FW444">
        <f ca="1"/>
      </c>
      <c r="FX444">
        <f ca="1"/>
      </c>
      <c r="FY444">
        <f ca="1"/>
      </c>
      <c r="FZ444">
        <f ca="1"/>
      </c>
      <c r="GA444">
        <f ca="1"/>
      </c>
      <c r="GM444" s="7"/>
    </row>
    <row r="445" spans="41:195" x14ac:dyDescent="0.55000000000000004">
      <c r="AO445">
        <f ca="1"/>
      </c>
      <c r="AP445">
        <f ca="1"/>
      </c>
      <c r="AQ445">
        <f ca="1"/>
      </c>
      <c r="AR445">
        <f ca="1"/>
      </c>
      <c r="AS445">
        <f ca="1"/>
      </c>
      <c r="AT445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AZ445">
        <f ca="1"/>
      </c>
      <c r="BA445">
        <f ca="1"/>
      </c>
      <c r="BB445">
        <f ca="1"/>
      </c>
      <c r="BC445">
        <f ca="1"/>
      </c>
      <c r="BD445">
        <f ca="1"/>
      </c>
      <c r="BE445">
        <f ca="1"/>
      </c>
      <c r="BF445">
        <f ca="1"/>
      </c>
      <c r="BG445">
        <f ca="1"/>
      </c>
      <c r="BH445">
        <f ca="1"/>
      </c>
      <c r="BI445">
        <f ca="1"/>
      </c>
      <c r="BJ445">
        <f ca="1"/>
      </c>
      <c r="BK445">
        <f ca="1"/>
      </c>
      <c r="BL445">
        <f ca="1"/>
      </c>
      <c r="BM445">
        <f ca="1"/>
      </c>
      <c r="BN445">
        <f ca="1"/>
      </c>
      <c r="BO445">
        <f ca="1"/>
      </c>
      <c r="BP445">
        <f ca="1"/>
      </c>
      <c r="BQ445">
        <f ca="1"/>
      </c>
      <c r="BR445">
        <f ca="1"/>
      </c>
      <c r="BS445">
        <f ca="1"/>
      </c>
      <c r="BT445">
        <f ca="1"/>
      </c>
      <c r="BU445">
        <f ca="1"/>
      </c>
      <c r="BV445">
        <f ca="1"/>
      </c>
      <c r="BW445">
        <f ca="1"/>
      </c>
      <c r="BX445">
        <f ca="1"/>
      </c>
      <c r="BY445">
        <f ca="1"/>
      </c>
      <c r="BZ445">
        <f ca="1"/>
      </c>
      <c r="CA445">
        <f ca="1"/>
      </c>
      <c r="CB445">
        <f ca="1"/>
      </c>
      <c r="CC445">
        <f ca="1"/>
      </c>
      <c r="CD445">
        <f ca="1"/>
      </c>
      <c r="CE445">
        <f ca="1"/>
      </c>
      <c r="CF445">
        <f ca="1"/>
      </c>
      <c r="CG445">
        <f ca="1"/>
      </c>
      <c r="CH445">
        <f ca="1"/>
      </c>
      <c r="CI445">
        <f ca="1"/>
      </c>
      <c r="CK445">
        <f ca="1"/>
      </c>
      <c r="CL445">
        <f ca="1"/>
      </c>
      <c r="CM445">
        <f ca="1"/>
      </c>
      <c r="CN445">
        <f ca="1"/>
      </c>
      <c r="CO445">
        <f ca="1"/>
      </c>
      <c r="CP445">
        <f ca="1"/>
      </c>
      <c r="CQ445">
        <f ca="1"/>
      </c>
      <c r="CR445">
        <f ca="1"/>
      </c>
      <c r="CS445">
        <f ca="1"/>
      </c>
      <c r="CT445">
        <f ca="1"/>
      </c>
      <c r="CU445">
        <f ca="1"/>
      </c>
      <c r="CV445">
        <f ca="1"/>
      </c>
      <c r="CW445">
        <f ca="1"/>
      </c>
      <c r="CX445">
        <f ca="1"/>
      </c>
      <c r="CY445">
        <f ca="1"/>
      </c>
      <c r="CZ445">
        <f ca="1"/>
      </c>
      <c r="DA445">
        <f ca="1"/>
      </c>
      <c r="DB445">
        <f ca="1"/>
      </c>
      <c r="DC445">
        <f ca="1"/>
      </c>
      <c r="DD445">
        <f ca="1"/>
      </c>
      <c r="DE445">
        <f ca="1"/>
      </c>
      <c r="DF445">
        <f ca="1"/>
      </c>
      <c r="DG445">
        <f ca="1"/>
      </c>
      <c r="DH445">
        <f ca="1"/>
      </c>
      <c r="DI445">
        <f ca="1"/>
      </c>
      <c r="DJ445">
        <f ca="1"/>
      </c>
      <c r="DK445">
        <f ca="1"/>
      </c>
      <c r="DL445">
        <f ca="1"/>
      </c>
      <c r="DM445">
        <f ca="1"/>
      </c>
      <c r="DN445">
        <f ca="1"/>
      </c>
      <c r="DO445">
        <f ca="1"/>
      </c>
      <c r="DP445">
        <f ca="1"/>
      </c>
      <c r="DQ445">
        <f ca="1"/>
      </c>
      <c r="DR445">
        <f ca="1"/>
      </c>
      <c r="DS445">
        <f ca="1"/>
      </c>
      <c r="DT445">
        <f ca="1"/>
      </c>
      <c r="DU445">
        <f ca="1"/>
      </c>
      <c r="DV445">
        <f ca="1"/>
      </c>
      <c r="DW445">
        <f ca="1"/>
      </c>
      <c r="DX445">
        <f ca="1"/>
      </c>
      <c r="DY445">
        <f ca="1"/>
      </c>
      <c r="DZ445">
        <f ca="1"/>
      </c>
      <c r="EA445">
        <f ca="1"/>
      </c>
      <c r="EB445">
        <f ca="1"/>
      </c>
      <c r="EC445">
        <f ca="1"/>
      </c>
      <c r="ED445">
        <f ca="1"/>
      </c>
      <c r="EE445">
        <f ca="1"/>
      </c>
      <c r="EG445">
        <f ca="1"/>
      </c>
      <c r="EH445">
        <f ca="1"/>
      </c>
      <c r="EI445">
        <f ca="1"/>
      </c>
      <c r="EJ445">
        <f ca="1"/>
      </c>
      <c r="EK445">
        <f ca="1"/>
      </c>
      <c r="EL445">
        <f ca="1"/>
      </c>
      <c r="EM445">
        <f ca="1"/>
      </c>
      <c r="EN445">
        <f ca="1"/>
      </c>
      <c r="EO445">
        <f ca="1"/>
      </c>
      <c r="EP445">
        <f ca="1"/>
      </c>
      <c r="EQ445">
        <f ca="1"/>
      </c>
      <c r="ER445">
        <f ca="1"/>
      </c>
      <c r="ES445">
        <f ca="1"/>
      </c>
      <c r="ET445">
        <f ca="1"/>
      </c>
      <c r="EU445">
        <f ca="1"/>
      </c>
      <c r="EV445">
        <f ca="1"/>
      </c>
      <c r="EW445">
        <f ca="1"/>
      </c>
      <c r="EX445">
        <f ca="1"/>
      </c>
      <c r="EY445">
        <f ca="1"/>
      </c>
      <c r="EZ445">
        <f ca="1"/>
      </c>
      <c r="FA445">
        <f ca="1"/>
      </c>
      <c r="FB445">
        <f ca="1"/>
      </c>
      <c r="FC445">
        <f ca="1"/>
      </c>
      <c r="FD445">
        <f ca="1"/>
      </c>
      <c r="FE445">
        <f ca="1"/>
      </c>
      <c r="FF445">
        <f ca="1"/>
      </c>
      <c r="FG445">
        <f ca="1"/>
      </c>
      <c r="FH445">
        <f ca="1"/>
      </c>
      <c r="FI445">
        <f ca="1"/>
      </c>
      <c r="FJ445">
        <f ca="1"/>
      </c>
      <c r="FK445">
        <f ca="1"/>
      </c>
      <c r="FL445">
        <f ca="1"/>
      </c>
      <c r="FM445">
        <f ca="1"/>
      </c>
      <c r="FN445">
        <f ca="1"/>
      </c>
      <c r="FO445">
        <f ca="1"/>
      </c>
      <c r="FP445">
        <f ca="1"/>
      </c>
      <c r="FQ445">
        <f ca="1"/>
      </c>
      <c r="FR445">
        <f ca="1"/>
      </c>
      <c r="FS445">
        <f ca="1"/>
      </c>
      <c r="FT445">
        <f ca="1"/>
      </c>
      <c r="FU445">
        <f ca="1"/>
      </c>
      <c r="FV445">
        <f ca="1"/>
      </c>
      <c r="FW445">
        <f ca="1"/>
      </c>
      <c r="FX445">
        <f ca="1"/>
      </c>
      <c r="FY445">
        <f ca="1"/>
      </c>
      <c r="FZ445">
        <f ca="1"/>
      </c>
      <c r="GA445">
        <f ca="1"/>
      </c>
      <c r="GM445" s="7"/>
    </row>
    <row r="446" spans="41:195" x14ac:dyDescent="0.55000000000000004">
      <c r="AO446">
        <f ca="1"/>
      </c>
      <c r="AP446">
        <f ca="1"/>
      </c>
      <c r="AQ446">
        <f ca="1"/>
      </c>
      <c r="AR446">
        <f ca="1"/>
      </c>
      <c r="AS446">
        <f ca="1"/>
      </c>
      <c r="AT446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AZ446">
        <f ca="1"/>
      </c>
      <c r="BA446">
        <f ca="1"/>
      </c>
      <c r="BB446">
        <f ca="1"/>
      </c>
      <c r="BC446">
        <f ca="1"/>
      </c>
      <c r="BD446">
        <f ca="1"/>
      </c>
      <c r="BE446">
        <f ca="1"/>
      </c>
      <c r="BF446">
        <f ca="1"/>
      </c>
      <c r="BG446">
        <f ca="1"/>
      </c>
      <c r="BH446">
        <f ca="1"/>
      </c>
      <c r="BI446">
        <f ca="1"/>
      </c>
      <c r="BJ446">
        <f ca="1"/>
      </c>
      <c r="BK446">
        <f ca="1"/>
      </c>
      <c r="BL446">
        <f ca="1"/>
      </c>
      <c r="BM446">
        <f ca="1"/>
      </c>
      <c r="BN446">
        <f ca="1"/>
      </c>
      <c r="BO446">
        <f ca="1"/>
      </c>
      <c r="BP446">
        <f ca="1"/>
      </c>
      <c r="BQ446">
        <f ca="1"/>
      </c>
      <c r="BR446">
        <f ca="1"/>
      </c>
      <c r="BS446">
        <f ca="1"/>
      </c>
      <c r="BT446">
        <f ca="1"/>
      </c>
      <c r="BU446">
        <f ca="1"/>
      </c>
      <c r="BV446">
        <f ca="1"/>
      </c>
      <c r="BW446">
        <f ca="1"/>
      </c>
      <c r="BX446">
        <f ca="1"/>
      </c>
      <c r="BY446">
        <f ca="1"/>
      </c>
      <c r="BZ446">
        <f ca="1"/>
      </c>
      <c r="CA446">
        <f ca="1"/>
      </c>
      <c r="CB446">
        <f ca="1"/>
      </c>
      <c r="CC446">
        <f ca="1"/>
      </c>
      <c r="CD446">
        <f ca="1"/>
      </c>
      <c r="CE446">
        <f ca="1"/>
      </c>
      <c r="CF446">
        <f ca="1"/>
      </c>
      <c r="CG446">
        <f ca="1"/>
      </c>
      <c r="CH446">
        <f ca="1"/>
      </c>
      <c r="CI446">
        <f ca="1"/>
      </c>
      <c r="CK446">
        <f ca="1"/>
      </c>
      <c r="CL446">
        <f ca="1"/>
      </c>
      <c r="CM446">
        <f ca="1"/>
      </c>
      <c r="CN446">
        <f ca="1"/>
      </c>
      <c r="CO446">
        <f ca="1"/>
      </c>
      <c r="CP446">
        <f ca="1"/>
      </c>
      <c r="CQ446">
        <f ca="1"/>
      </c>
      <c r="CR446">
        <f ca="1"/>
      </c>
      <c r="CS446">
        <f ca="1"/>
      </c>
      <c r="CT446">
        <f ca="1"/>
      </c>
      <c r="CU446">
        <f ca="1"/>
      </c>
      <c r="CV446">
        <f ca="1"/>
      </c>
      <c r="CW446">
        <f ca="1"/>
      </c>
      <c r="CX446">
        <f ca="1"/>
      </c>
      <c r="CY446">
        <f ca="1"/>
      </c>
      <c r="CZ446">
        <f ca="1"/>
      </c>
      <c r="DA446">
        <f ca="1"/>
      </c>
      <c r="DB446">
        <f ca="1"/>
      </c>
      <c r="DC446">
        <f ca="1"/>
      </c>
      <c r="DD446">
        <f ca="1"/>
      </c>
      <c r="DE446">
        <f ca="1"/>
      </c>
      <c r="DF446">
        <f ca="1"/>
      </c>
      <c r="DG446">
        <f ca="1"/>
      </c>
      <c r="DH446">
        <f ca="1"/>
      </c>
      <c r="DI446">
        <f ca="1"/>
      </c>
      <c r="DJ446">
        <f ca="1"/>
      </c>
      <c r="DK446">
        <f ca="1"/>
      </c>
      <c r="DL446">
        <f ca="1"/>
      </c>
      <c r="DM446">
        <f ca="1"/>
      </c>
      <c r="DN446">
        <f ca="1"/>
      </c>
      <c r="DO446">
        <f ca="1"/>
      </c>
      <c r="DP446">
        <f ca="1"/>
      </c>
      <c r="DQ446">
        <f ca="1"/>
      </c>
      <c r="DR446">
        <f ca="1"/>
      </c>
      <c r="DS446">
        <f ca="1"/>
      </c>
      <c r="DT446">
        <f ca="1"/>
      </c>
      <c r="DU446">
        <f ca="1"/>
      </c>
      <c r="DV446">
        <f ca="1"/>
      </c>
      <c r="DW446">
        <f ca="1"/>
      </c>
      <c r="DX446">
        <f ca="1"/>
      </c>
      <c r="DY446">
        <f ca="1"/>
      </c>
      <c r="DZ446">
        <f ca="1"/>
      </c>
      <c r="EA446">
        <f ca="1"/>
      </c>
      <c r="EB446">
        <f ca="1"/>
      </c>
      <c r="EC446">
        <f ca="1"/>
      </c>
      <c r="ED446">
        <f ca="1"/>
      </c>
      <c r="EE446">
        <f ca="1"/>
      </c>
      <c r="EG446">
        <f ca="1"/>
      </c>
      <c r="EH446">
        <f ca="1"/>
      </c>
      <c r="EI446">
        <f ca="1"/>
      </c>
      <c r="EJ446">
        <f ca="1"/>
      </c>
      <c r="EK446">
        <f ca="1"/>
      </c>
      <c r="EL446">
        <f ca="1"/>
      </c>
      <c r="EM446">
        <f ca="1"/>
      </c>
      <c r="EN446">
        <f ca="1"/>
      </c>
      <c r="EO446">
        <f ca="1"/>
      </c>
      <c r="EP446">
        <f ca="1"/>
      </c>
      <c r="EQ446">
        <f ca="1"/>
      </c>
      <c r="ER446">
        <f ca="1"/>
      </c>
      <c r="ES446">
        <f ca="1"/>
      </c>
      <c r="ET446">
        <f ca="1"/>
      </c>
      <c r="EU446">
        <f ca="1"/>
      </c>
      <c r="EV446">
        <f ca="1"/>
      </c>
      <c r="EW446">
        <f ca="1"/>
      </c>
      <c r="EX446">
        <f ca="1"/>
      </c>
      <c r="EY446">
        <f ca="1"/>
      </c>
      <c r="EZ446">
        <f ca="1"/>
      </c>
      <c r="FA446">
        <f ca="1"/>
      </c>
      <c r="FB446">
        <f ca="1"/>
      </c>
      <c r="FC446">
        <f ca="1"/>
      </c>
      <c r="FD446">
        <f ca="1"/>
      </c>
      <c r="FE446">
        <f ca="1"/>
      </c>
      <c r="FF446">
        <f ca="1"/>
      </c>
      <c r="FG446">
        <f ca="1"/>
      </c>
      <c r="FH446">
        <f ca="1"/>
      </c>
      <c r="FI446">
        <f ca="1"/>
      </c>
      <c r="FJ446">
        <f ca="1"/>
      </c>
      <c r="FK446">
        <f ca="1"/>
      </c>
      <c r="FL446">
        <f ca="1"/>
      </c>
      <c r="FM446">
        <f ca="1"/>
      </c>
      <c r="FN446">
        <f ca="1"/>
      </c>
      <c r="FO446">
        <f ca="1"/>
      </c>
      <c r="FP446">
        <f ca="1"/>
      </c>
      <c r="FQ446">
        <f ca="1"/>
      </c>
      <c r="FR446">
        <f ca="1"/>
      </c>
      <c r="FS446">
        <f ca="1"/>
      </c>
      <c r="FT446">
        <f ca="1"/>
      </c>
      <c r="FU446">
        <f ca="1"/>
      </c>
      <c r="FV446">
        <f ca="1"/>
      </c>
      <c r="FW446">
        <f ca="1"/>
      </c>
      <c r="FX446">
        <f ca="1"/>
      </c>
      <c r="FY446">
        <f ca="1"/>
      </c>
      <c r="FZ446">
        <f ca="1"/>
      </c>
      <c r="GA446">
        <f ca="1"/>
      </c>
      <c r="GM446" s="7"/>
    </row>
    <row r="447" spans="41:195" x14ac:dyDescent="0.55000000000000004">
      <c r="AO447">
        <f ca="1"/>
      </c>
      <c r="AP447">
        <f ca="1"/>
      </c>
      <c r="AQ447">
        <f ca="1"/>
      </c>
      <c r="AR447">
        <f ca="1"/>
      </c>
      <c r="AS447">
        <f ca="1"/>
      </c>
      <c r="AT44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AZ447">
        <f ca="1"/>
      </c>
      <c r="BA447">
        <f ca="1"/>
      </c>
      <c r="BB447">
        <f ca="1"/>
      </c>
      <c r="BC447">
        <f ca="1"/>
      </c>
      <c r="BD447">
        <f ca="1"/>
      </c>
      <c r="BE447">
        <f ca="1"/>
      </c>
      <c r="BF447">
        <f ca="1"/>
      </c>
      <c r="BG447">
        <f ca="1"/>
      </c>
      <c r="BH447">
        <f ca="1"/>
      </c>
      <c r="BI447">
        <f ca="1"/>
      </c>
      <c r="BJ447">
        <f ca="1"/>
      </c>
      <c r="BK447">
        <f ca="1"/>
      </c>
      <c r="BL447">
        <f ca="1"/>
      </c>
      <c r="BM447">
        <f ca="1"/>
      </c>
      <c r="BN447">
        <f ca="1"/>
      </c>
      <c r="BO447">
        <f ca="1"/>
      </c>
      <c r="BP447">
        <f ca="1"/>
      </c>
      <c r="BQ447">
        <f ca="1"/>
      </c>
      <c r="BR447">
        <f ca="1"/>
      </c>
      <c r="BS447">
        <f ca="1"/>
      </c>
      <c r="BT447">
        <f ca="1"/>
      </c>
      <c r="BU447">
        <f ca="1"/>
      </c>
      <c r="BV447">
        <f ca="1"/>
      </c>
      <c r="BW447">
        <f ca="1"/>
      </c>
      <c r="BX447">
        <f ca="1"/>
      </c>
      <c r="BY447">
        <f ca="1"/>
      </c>
      <c r="BZ447">
        <f ca="1"/>
      </c>
      <c r="CA447">
        <f ca="1"/>
      </c>
      <c r="CB447">
        <f ca="1"/>
      </c>
      <c r="CC447">
        <f ca="1"/>
      </c>
      <c r="CD447">
        <f ca="1"/>
      </c>
      <c r="CE447">
        <f ca="1"/>
      </c>
      <c r="CF447">
        <f ca="1"/>
      </c>
      <c r="CG447">
        <f ca="1"/>
      </c>
      <c r="CH447">
        <f ca="1"/>
      </c>
      <c r="CI447">
        <f ca="1"/>
      </c>
      <c r="CK447">
        <f ca="1"/>
      </c>
      <c r="CL447">
        <f ca="1"/>
      </c>
      <c r="CM447">
        <f ca="1"/>
      </c>
      <c r="CN447">
        <f ca="1"/>
      </c>
      <c r="CO447">
        <f ca="1"/>
      </c>
      <c r="CP447">
        <f ca="1"/>
      </c>
      <c r="CQ447">
        <f ca="1"/>
      </c>
      <c r="CR447">
        <f ca="1"/>
      </c>
      <c r="CS447">
        <f ca="1"/>
      </c>
      <c r="CT447">
        <f ca="1"/>
      </c>
      <c r="CU447">
        <f ca="1"/>
      </c>
      <c r="CV447">
        <f ca="1"/>
      </c>
      <c r="CW447">
        <f ca="1"/>
      </c>
      <c r="CX447">
        <f ca="1"/>
      </c>
      <c r="CY447">
        <f ca="1"/>
      </c>
      <c r="CZ447">
        <f ca="1"/>
      </c>
      <c r="DA447">
        <f ca="1"/>
      </c>
      <c r="DB447">
        <f ca="1"/>
      </c>
      <c r="DC447">
        <f ca="1"/>
      </c>
      <c r="DD447">
        <f ca="1"/>
      </c>
      <c r="DE447">
        <f ca="1"/>
      </c>
      <c r="DF447">
        <f ca="1"/>
      </c>
      <c r="DG447">
        <f ca="1"/>
      </c>
      <c r="DH447">
        <f ca="1"/>
      </c>
      <c r="DI447">
        <f ca="1"/>
      </c>
      <c r="DJ447">
        <f ca="1"/>
      </c>
      <c r="DK447">
        <f ca="1"/>
      </c>
      <c r="DL447">
        <f ca="1"/>
      </c>
      <c r="DM447">
        <f ca="1"/>
      </c>
      <c r="DN447">
        <f ca="1"/>
      </c>
      <c r="DO447">
        <f ca="1"/>
      </c>
      <c r="DP447">
        <f ca="1"/>
      </c>
      <c r="DQ447">
        <f ca="1"/>
      </c>
      <c r="DR447">
        <f ca="1"/>
      </c>
      <c r="DS447">
        <f ca="1"/>
      </c>
      <c r="DT447">
        <f ca="1"/>
      </c>
      <c r="DU447">
        <f ca="1"/>
      </c>
      <c r="DV447">
        <f ca="1"/>
      </c>
      <c r="DW447">
        <f ca="1"/>
      </c>
      <c r="DX447">
        <f ca="1"/>
      </c>
      <c r="DY447">
        <f ca="1"/>
      </c>
      <c r="DZ447">
        <f ca="1"/>
      </c>
      <c r="EA447">
        <f ca="1"/>
      </c>
      <c r="EB447">
        <f ca="1"/>
      </c>
      <c r="EC447">
        <f ca="1"/>
      </c>
      <c r="ED447">
        <f ca="1"/>
      </c>
      <c r="EE447">
        <f ca="1"/>
      </c>
      <c r="EG447">
        <f ca="1"/>
      </c>
      <c r="EH447">
        <f ca="1"/>
      </c>
      <c r="EI447">
        <f ca="1"/>
      </c>
      <c r="EJ447">
        <f ca="1"/>
      </c>
      <c r="EK447">
        <f ca="1"/>
      </c>
      <c r="EL447">
        <f ca="1"/>
      </c>
      <c r="EM447">
        <f ca="1"/>
      </c>
      <c r="EN447">
        <f ca="1"/>
      </c>
      <c r="EO447">
        <f ca="1"/>
      </c>
      <c r="EP447">
        <f ca="1"/>
      </c>
      <c r="EQ447">
        <f ca="1"/>
      </c>
      <c r="ER447">
        <f ca="1"/>
      </c>
      <c r="ES447">
        <f ca="1"/>
      </c>
      <c r="ET447">
        <f ca="1"/>
      </c>
      <c r="EU447">
        <f ca="1"/>
      </c>
      <c r="EV447">
        <f ca="1"/>
      </c>
      <c r="EW447">
        <f ca="1"/>
      </c>
      <c r="EX447">
        <f ca="1"/>
      </c>
      <c r="EY447">
        <f ca="1"/>
      </c>
      <c r="EZ447">
        <f ca="1"/>
      </c>
      <c r="FA447">
        <f ca="1"/>
      </c>
      <c r="FB447">
        <f ca="1"/>
      </c>
      <c r="FC447">
        <f ca="1"/>
      </c>
      <c r="FD447">
        <f ca="1"/>
      </c>
      <c r="FE447">
        <f ca="1"/>
      </c>
      <c r="FF447">
        <f ca="1"/>
      </c>
      <c r="FG447">
        <f ca="1"/>
      </c>
      <c r="FH447">
        <f ca="1"/>
      </c>
      <c r="FI447">
        <f ca="1"/>
      </c>
      <c r="FJ447">
        <f ca="1"/>
      </c>
      <c r="FK447">
        <f ca="1"/>
      </c>
      <c r="FL447">
        <f ca="1"/>
      </c>
      <c r="FM447">
        <f ca="1"/>
      </c>
      <c r="FN447">
        <f ca="1"/>
      </c>
      <c r="FO447">
        <f ca="1"/>
      </c>
      <c r="FP447">
        <f ca="1"/>
      </c>
      <c r="FQ447">
        <f ca="1"/>
      </c>
      <c r="FR447">
        <f ca="1"/>
      </c>
      <c r="FS447">
        <f ca="1"/>
      </c>
      <c r="FT447">
        <f ca="1"/>
      </c>
      <c r="FU447">
        <f ca="1"/>
      </c>
      <c r="FV447">
        <f ca="1"/>
      </c>
      <c r="FW447">
        <f ca="1"/>
      </c>
      <c r="FX447">
        <f ca="1"/>
      </c>
      <c r="FY447">
        <f ca="1"/>
      </c>
      <c r="FZ447">
        <f ca="1"/>
      </c>
      <c r="GA447">
        <f ca="1"/>
      </c>
      <c r="GM447" s="7"/>
    </row>
    <row r="448" spans="41:195" x14ac:dyDescent="0.55000000000000004">
      <c r="AO448">
        <f ca="1"/>
      </c>
      <c r="AP448">
        <f ca="1"/>
      </c>
      <c r="AQ448">
        <f ca="1"/>
      </c>
      <c r="AR448">
        <f ca="1"/>
      </c>
      <c r="AS448">
        <f ca="1"/>
      </c>
      <c r="AT448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AZ448">
        <f ca="1"/>
      </c>
      <c r="BA448">
        <f ca="1"/>
      </c>
      <c r="BB448">
        <f ca="1"/>
      </c>
      <c r="BC448">
        <f ca="1"/>
      </c>
      <c r="BD448">
        <f ca="1"/>
      </c>
      <c r="BE448">
        <f ca="1"/>
      </c>
      <c r="BF448">
        <f ca="1"/>
      </c>
      <c r="BG448">
        <f ca="1"/>
      </c>
      <c r="BH448">
        <f ca="1"/>
      </c>
      <c r="BI448">
        <f ca="1"/>
      </c>
      <c r="BJ448">
        <f ca="1"/>
      </c>
      <c r="BK448">
        <f ca="1"/>
      </c>
      <c r="BL448">
        <f ca="1"/>
      </c>
      <c r="BM448">
        <f ca="1"/>
      </c>
      <c r="BN448">
        <f ca="1"/>
      </c>
      <c r="BO448">
        <f ca="1"/>
      </c>
      <c r="BP448">
        <f ca="1"/>
      </c>
      <c r="BQ448">
        <f ca="1"/>
      </c>
      <c r="BR448">
        <f ca="1"/>
      </c>
      <c r="BS448">
        <f ca="1"/>
      </c>
      <c r="BT448">
        <f ca="1"/>
      </c>
      <c r="BU448">
        <f ca="1"/>
      </c>
      <c r="BV448">
        <f ca="1"/>
      </c>
      <c r="BW448">
        <f ca="1"/>
      </c>
      <c r="BX448">
        <f ca="1"/>
      </c>
      <c r="BY448">
        <f ca="1"/>
      </c>
      <c r="BZ448">
        <f ca="1"/>
      </c>
      <c r="CA448">
        <f ca="1"/>
      </c>
      <c r="CB448">
        <f ca="1"/>
      </c>
      <c r="CC448">
        <f ca="1"/>
      </c>
      <c r="CD448">
        <f ca="1"/>
      </c>
      <c r="CE448">
        <f ca="1"/>
      </c>
      <c r="CF448">
        <f ca="1"/>
      </c>
      <c r="CG448">
        <f ca="1"/>
      </c>
      <c r="CH448">
        <f ca="1"/>
      </c>
      <c r="CI448">
        <f ca="1"/>
      </c>
      <c r="CK448">
        <f ca="1"/>
      </c>
      <c r="CL448">
        <f ca="1"/>
      </c>
      <c r="CM448">
        <f ca="1"/>
      </c>
      <c r="CN448">
        <f ca="1"/>
      </c>
      <c r="CO448">
        <f ca="1"/>
      </c>
      <c r="CP448">
        <f ca="1"/>
      </c>
      <c r="CQ448">
        <f ca="1"/>
      </c>
      <c r="CR448">
        <f ca="1"/>
      </c>
      <c r="CS448">
        <f ca="1"/>
      </c>
      <c r="CT448">
        <f ca="1"/>
      </c>
      <c r="CU448">
        <f ca="1"/>
      </c>
      <c r="CV448">
        <f ca="1"/>
      </c>
      <c r="CW448">
        <f ca="1"/>
      </c>
      <c r="CX448">
        <f ca="1"/>
      </c>
      <c r="CY448">
        <f ca="1"/>
      </c>
      <c r="CZ448">
        <f ca="1"/>
      </c>
      <c r="DA448">
        <f ca="1"/>
      </c>
      <c r="DB448">
        <f ca="1"/>
      </c>
      <c r="DC448">
        <f ca="1"/>
      </c>
      <c r="DD448">
        <f ca="1"/>
      </c>
      <c r="DE448">
        <f ca="1"/>
      </c>
      <c r="DF448">
        <f ca="1"/>
      </c>
      <c r="DG448">
        <f ca="1"/>
      </c>
      <c r="DH448">
        <f ca="1"/>
      </c>
      <c r="DI448">
        <f ca="1"/>
      </c>
      <c r="DJ448">
        <f ca="1"/>
      </c>
      <c r="DK448">
        <f ca="1"/>
      </c>
      <c r="DL448">
        <f ca="1"/>
      </c>
      <c r="DM448">
        <f ca="1"/>
      </c>
      <c r="DN448">
        <f ca="1"/>
      </c>
      <c r="DO448">
        <f ca="1"/>
      </c>
      <c r="DP448">
        <f ca="1"/>
      </c>
      <c r="DQ448">
        <f ca="1"/>
      </c>
      <c r="DR448">
        <f ca="1"/>
      </c>
      <c r="DS448">
        <f ca="1"/>
      </c>
      <c r="DT448">
        <f ca="1"/>
      </c>
      <c r="DU448">
        <f ca="1"/>
      </c>
      <c r="DV448">
        <f ca="1"/>
      </c>
      <c r="DW448">
        <f ca="1"/>
      </c>
      <c r="DX448">
        <f ca="1"/>
      </c>
      <c r="DY448">
        <f ca="1"/>
      </c>
      <c r="DZ448">
        <f ca="1"/>
      </c>
      <c r="EA448">
        <f ca="1"/>
      </c>
      <c r="EB448">
        <f ca="1"/>
      </c>
      <c r="EC448">
        <f ca="1"/>
      </c>
      <c r="ED448">
        <f ca="1"/>
      </c>
      <c r="EE448">
        <f ca="1"/>
      </c>
      <c r="EG448">
        <f ca="1"/>
      </c>
      <c r="EH448">
        <f ca="1"/>
      </c>
      <c r="EI448">
        <f ca="1"/>
      </c>
      <c r="EJ448">
        <f ca="1"/>
      </c>
      <c r="EK448">
        <f ca="1"/>
      </c>
      <c r="EL448">
        <f ca="1"/>
      </c>
      <c r="EM448">
        <f ca="1"/>
      </c>
      <c r="EN448">
        <f ca="1"/>
      </c>
      <c r="EO448">
        <f ca="1"/>
      </c>
      <c r="EP448">
        <f ca="1"/>
      </c>
      <c r="EQ448">
        <f ca="1"/>
      </c>
      <c r="ER448">
        <f ca="1"/>
      </c>
      <c r="ES448">
        <f ca="1"/>
      </c>
      <c r="ET448">
        <f ca="1"/>
      </c>
      <c r="EU448">
        <f ca="1"/>
      </c>
      <c r="EV448">
        <f ca="1"/>
      </c>
      <c r="EW448">
        <f ca="1"/>
      </c>
      <c r="EX448">
        <f ca="1"/>
      </c>
      <c r="EY448">
        <f ca="1"/>
      </c>
      <c r="EZ448">
        <f ca="1"/>
      </c>
      <c r="FA448">
        <f ca="1"/>
      </c>
      <c r="FB448">
        <f ca="1"/>
      </c>
      <c r="FC448">
        <f ca="1"/>
      </c>
      <c r="FD448">
        <f ca="1"/>
      </c>
      <c r="FE448">
        <f ca="1"/>
      </c>
      <c r="FF448">
        <f ca="1"/>
      </c>
      <c r="FG448">
        <f ca="1"/>
      </c>
      <c r="FH448">
        <f ca="1"/>
      </c>
      <c r="FI448">
        <f ca="1"/>
      </c>
      <c r="FJ448">
        <f ca="1"/>
      </c>
      <c r="FK448">
        <f ca="1"/>
      </c>
      <c r="FL448">
        <f ca="1"/>
      </c>
      <c r="FM448">
        <f ca="1"/>
      </c>
      <c r="FN448">
        <f ca="1"/>
      </c>
      <c r="FO448">
        <f ca="1"/>
      </c>
      <c r="FP448">
        <f ca="1"/>
      </c>
      <c r="FQ448">
        <f ca="1"/>
      </c>
      <c r="FR448">
        <f ca="1"/>
      </c>
      <c r="FS448">
        <f ca="1"/>
      </c>
      <c r="FT448">
        <f ca="1"/>
      </c>
      <c r="FU448">
        <f ca="1"/>
      </c>
      <c r="FV448">
        <f ca="1"/>
      </c>
      <c r="FW448">
        <f ca="1"/>
      </c>
      <c r="FX448">
        <f ca="1"/>
      </c>
      <c r="FY448">
        <f ca="1"/>
      </c>
      <c r="FZ448">
        <f ca="1"/>
      </c>
      <c r="GA448">
        <f ca="1"/>
      </c>
      <c r="GM448" s="7"/>
    </row>
    <row r="449" spans="41:195" x14ac:dyDescent="0.55000000000000004">
      <c r="AO449">
        <f ca="1"/>
      </c>
      <c r="AP449">
        <f ca="1"/>
      </c>
      <c r="AQ449">
        <f ca="1"/>
      </c>
      <c r="AR449">
        <f ca="1"/>
      </c>
      <c r="AS449">
        <f ca="1"/>
      </c>
      <c r="AT449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AZ449">
        <f ca="1"/>
      </c>
      <c r="BA449">
        <f ca="1"/>
      </c>
      <c r="BB449">
        <f ca="1"/>
      </c>
      <c r="BC449">
        <f ca="1"/>
      </c>
      <c r="BD449">
        <f ca="1"/>
      </c>
      <c r="BE449">
        <f ca="1"/>
      </c>
      <c r="BF449">
        <f ca="1"/>
      </c>
      <c r="BG449">
        <f ca="1"/>
      </c>
      <c r="BH449">
        <f ca="1"/>
      </c>
      <c r="BI449">
        <f ca="1"/>
      </c>
      <c r="BJ449">
        <f ca="1"/>
      </c>
      <c r="BK449">
        <f ca="1"/>
      </c>
      <c r="BL449">
        <f ca="1"/>
      </c>
      <c r="BM449">
        <f ca="1"/>
      </c>
      <c r="BN449">
        <f ca="1"/>
      </c>
      <c r="BO449">
        <f ca="1"/>
      </c>
      <c r="BP449">
        <f ca="1"/>
      </c>
      <c r="BQ449">
        <f ca="1"/>
      </c>
      <c r="BR449">
        <f ca="1"/>
      </c>
      <c r="BS449">
        <f ca="1"/>
      </c>
      <c r="BT449">
        <f ca="1"/>
      </c>
      <c r="BU449">
        <f ca="1"/>
      </c>
      <c r="BV449">
        <f ca="1"/>
      </c>
      <c r="BW449">
        <f ca="1"/>
      </c>
      <c r="BX449">
        <f ca="1"/>
      </c>
      <c r="BY449">
        <f ca="1"/>
      </c>
      <c r="BZ449">
        <f ca="1"/>
      </c>
      <c r="CA449">
        <f ca="1"/>
      </c>
      <c r="CB449">
        <f ca="1"/>
      </c>
      <c r="CC449">
        <f ca="1"/>
      </c>
      <c r="CD449">
        <f ca="1"/>
      </c>
      <c r="CE449">
        <f ca="1"/>
      </c>
      <c r="CF449">
        <f ca="1"/>
      </c>
      <c r="CG449">
        <f ca="1"/>
      </c>
      <c r="CH449">
        <f ca="1"/>
      </c>
      <c r="CI449">
        <f ca="1"/>
      </c>
      <c r="CK449">
        <f ca="1"/>
      </c>
      <c r="CL449">
        <f ca="1"/>
      </c>
      <c r="CM449">
        <f ca="1"/>
      </c>
      <c r="CN449">
        <f ca="1"/>
      </c>
      <c r="CO449">
        <f ca="1"/>
      </c>
      <c r="CP449">
        <f ca="1"/>
      </c>
      <c r="CQ449">
        <f ca="1"/>
      </c>
      <c r="CR449">
        <f ca="1"/>
      </c>
      <c r="CS449">
        <f ca="1"/>
      </c>
      <c r="CT449">
        <f ca="1"/>
      </c>
      <c r="CU449">
        <f ca="1"/>
      </c>
      <c r="CV449">
        <f ca="1"/>
      </c>
      <c r="CW449">
        <f ca="1"/>
      </c>
      <c r="CX449">
        <f ca="1"/>
      </c>
      <c r="CY449">
        <f ca="1"/>
      </c>
      <c r="CZ449">
        <f ca="1"/>
      </c>
      <c r="DA449">
        <f ca="1"/>
      </c>
      <c r="DB449">
        <f ca="1"/>
      </c>
      <c r="DC449">
        <f ca="1"/>
      </c>
      <c r="DD449">
        <f ca="1"/>
      </c>
      <c r="DE449">
        <f ca="1"/>
      </c>
      <c r="DF449">
        <f ca="1"/>
      </c>
      <c r="DG449">
        <f ca="1"/>
      </c>
      <c r="DH449">
        <f ca="1"/>
      </c>
      <c r="DI449">
        <f ca="1"/>
      </c>
      <c r="DJ449">
        <f ca="1"/>
      </c>
      <c r="DK449">
        <f ca="1"/>
      </c>
      <c r="DL449">
        <f ca="1"/>
      </c>
      <c r="DM449">
        <f ca="1"/>
      </c>
      <c r="DN449">
        <f ca="1"/>
      </c>
      <c r="DO449">
        <f ca="1"/>
      </c>
      <c r="DP449">
        <f ca="1"/>
      </c>
      <c r="DQ449">
        <f ca="1"/>
      </c>
      <c r="DR449">
        <f ca="1"/>
      </c>
      <c r="DS449">
        <f ca="1"/>
      </c>
      <c r="DT449">
        <f ca="1"/>
      </c>
      <c r="DU449">
        <f ca="1"/>
      </c>
      <c r="DV449">
        <f ca="1"/>
      </c>
      <c r="DW449">
        <f ca="1"/>
      </c>
      <c r="DX449">
        <f ca="1"/>
      </c>
      <c r="DY449">
        <f ca="1"/>
      </c>
      <c r="DZ449">
        <f ca="1"/>
      </c>
      <c r="EA449">
        <f ca="1"/>
      </c>
      <c r="EB449">
        <f ca="1"/>
      </c>
      <c r="EC449">
        <f ca="1"/>
      </c>
      <c r="ED449">
        <f ca="1"/>
      </c>
      <c r="EE449">
        <f ca="1"/>
      </c>
      <c r="EG449">
        <f ca="1"/>
      </c>
      <c r="EH449">
        <f ca="1"/>
      </c>
      <c r="EI449">
        <f ca="1"/>
      </c>
      <c r="EJ449">
        <f ca="1"/>
      </c>
      <c r="EK449">
        <f ca="1"/>
      </c>
      <c r="EL449">
        <f ca="1"/>
      </c>
      <c r="EM449">
        <f ca="1"/>
      </c>
      <c r="EN449">
        <f ca="1"/>
      </c>
      <c r="EO449">
        <f ca="1"/>
      </c>
      <c r="EP449">
        <f ca="1"/>
      </c>
      <c r="EQ449">
        <f ca="1"/>
      </c>
      <c r="ER449">
        <f ca="1"/>
      </c>
      <c r="ES449">
        <f ca="1"/>
      </c>
      <c r="ET449">
        <f ca="1"/>
      </c>
      <c r="EU449">
        <f ca="1"/>
      </c>
      <c r="EV449">
        <f ca="1"/>
      </c>
      <c r="EW449">
        <f ca="1"/>
      </c>
      <c r="EX449">
        <f ca="1"/>
      </c>
      <c r="EY449">
        <f ca="1"/>
      </c>
      <c r="EZ449">
        <f ca="1"/>
      </c>
      <c r="FA449">
        <f ca="1"/>
      </c>
      <c r="FB449">
        <f ca="1"/>
      </c>
      <c r="FC449">
        <f ca="1"/>
      </c>
      <c r="FD449">
        <f ca="1"/>
      </c>
      <c r="FE449">
        <f ca="1"/>
      </c>
      <c r="FF449">
        <f ca="1"/>
      </c>
      <c r="FG449">
        <f ca="1"/>
      </c>
      <c r="FH449">
        <f ca="1"/>
      </c>
      <c r="FI449">
        <f ca="1"/>
      </c>
      <c r="FJ449">
        <f ca="1"/>
      </c>
      <c r="FK449">
        <f ca="1"/>
      </c>
      <c r="FL449">
        <f ca="1"/>
      </c>
      <c r="FM449">
        <f ca="1"/>
      </c>
      <c r="FN449">
        <f ca="1"/>
      </c>
      <c r="FO449">
        <f ca="1"/>
      </c>
      <c r="FP449">
        <f ca="1"/>
      </c>
      <c r="FQ449">
        <f ca="1"/>
      </c>
      <c r="FR449">
        <f ca="1"/>
      </c>
      <c r="FS449">
        <f ca="1"/>
      </c>
      <c r="FT449">
        <f ca="1"/>
      </c>
      <c r="FU449">
        <f ca="1"/>
      </c>
      <c r="FV449">
        <f ca="1"/>
      </c>
      <c r="FW449">
        <f ca="1"/>
      </c>
      <c r="FX449">
        <f ca="1"/>
      </c>
      <c r="FY449">
        <f ca="1"/>
      </c>
      <c r="FZ449">
        <f ca="1"/>
      </c>
      <c r="GA449">
        <f ca="1"/>
      </c>
      <c r="GM449" s="7"/>
    </row>
    <row r="450" spans="41:195" x14ac:dyDescent="0.55000000000000004">
      <c r="AO450">
        <f ca="1"/>
      </c>
      <c r="AP450">
        <f ca="1"/>
      </c>
      <c r="AQ450">
        <f ca="1"/>
      </c>
      <c r="AR450">
        <f ca="1"/>
      </c>
      <c r="AS450">
        <f ca="1"/>
      </c>
      <c r="AT450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AZ450">
        <f ca="1"/>
      </c>
      <c r="BA450">
        <f ca="1"/>
      </c>
      <c r="BB450">
        <f ca="1"/>
      </c>
      <c r="BC450">
        <f ca="1"/>
      </c>
      <c r="BD450">
        <f ca="1"/>
      </c>
      <c r="BE450">
        <f ca="1"/>
      </c>
      <c r="BF450">
        <f ca="1"/>
      </c>
      <c r="BG450">
        <f ca="1"/>
      </c>
      <c r="BH450">
        <f ca="1"/>
      </c>
      <c r="BI450">
        <f ca="1"/>
      </c>
      <c r="BJ450">
        <f ca="1"/>
      </c>
      <c r="BK450">
        <f ca="1"/>
      </c>
      <c r="BL450">
        <f ca="1"/>
      </c>
      <c r="BM450">
        <f ca="1"/>
      </c>
      <c r="BN450">
        <f ca="1"/>
      </c>
      <c r="BO450">
        <f ca="1"/>
      </c>
      <c r="BP450">
        <f ca="1"/>
      </c>
      <c r="BQ450">
        <f ca="1"/>
      </c>
      <c r="BR450">
        <f ca="1"/>
      </c>
      <c r="BS450">
        <f ca="1"/>
      </c>
      <c r="BT450">
        <f ca="1"/>
      </c>
      <c r="BU450">
        <f ca="1"/>
      </c>
      <c r="BV450">
        <f ca="1"/>
      </c>
      <c r="BW450">
        <f ca="1"/>
      </c>
      <c r="BX450">
        <f ca="1"/>
      </c>
      <c r="BY450">
        <f ca="1"/>
      </c>
      <c r="BZ450">
        <f ca="1"/>
      </c>
      <c r="CA450">
        <f ca="1"/>
      </c>
      <c r="CB450">
        <f ca="1"/>
      </c>
      <c r="CC450">
        <f ca="1"/>
      </c>
      <c r="CD450">
        <f ca="1"/>
      </c>
      <c r="CE450">
        <f ca="1"/>
      </c>
      <c r="CF450">
        <f ca="1"/>
      </c>
      <c r="CG450">
        <f ca="1"/>
      </c>
      <c r="CH450">
        <f ca="1"/>
      </c>
      <c r="CI450">
        <f ca="1"/>
      </c>
      <c r="CK450">
        <f ca="1"/>
      </c>
      <c r="CL450">
        <f ca="1"/>
      </c>
      <c r="CM450">
        <f ca="1"/>
      </c>
      <c r="CN450">
        <f ca="1"/>
      </c>
      <c r="CO450">
        <f ca="1"/>
      </c>
      <c r="CP450">
        <f ca="1"/>
      </c>
      <c r="CQ450">
        <f ca="1"/>
      </c>
      <c r="CR450">
        <f ca="1"/>
      </c>
      <c r="CS450">
        <f ca="1"/>
      </c>
      <c r="CT450">
        <f ca="1"/>
      </c>
      <c r="CU450">
        <f ca="1"/>
      </c>
      <c r="CV450">
        <f ca="1"/>
      </c>
      <c r="CW450">
        <f ca="1"/>
      </c>
      <c r="CX450">
        <f ca="1"/>
      </c>
      <c r="CY450">
        <f ca="1"/>
      </c>
      <c r="CZ450">
        <f ca="1"/>
      </c>
      <c r="DA450">
        <f ca="1"/>
      </c>
      <c r="DB450">
        <f ca="1"/>
      </c>
      <c r="DC450">
        <f ca="1"/>
      </c>
      <c r="DD450">
        <f ca="1"/>
      </c>
      <c r="DE450">
        <f ca="1"/>
      </c>
      <c r="DF450">
        <f ca="1"/>
      </c>
      <c r="DG450">
        <f ca="1"/>
      </c>
      <c r="DH450">
        <f ca="1"/>
      </c>
      <c r="DI450">
        <f ca="1"/>
      </c>
      <c r="DJ450">
        <f ca="1"/>
      </c>
      <c r="DK450">
        <f ca="1"/>
      </c>
      <c r="DL450">
        <f ca="1"/>
      </c>
      <c r="DM450">
        <f ca="1"/>
      </c>
      <c r="DN450">
        <f ca="1"/>
      </c>
      <c r="DO450">
        <f ca="1"/>
      </c>
      <c r="DP450">
        <f ca="1"/>
      </c>
      <c r="DQ450">
        <f ca="1"/>
      </c>
      <c r="DR450">
        <f ca="1"/>
      </c>
      <c r="DS450">
        <f ca="1"/>
      </c>
      <c r="DT450">
        <f ca="1"/>
      </c>
      <c r="DU450">
        <f ca="1"/>
      </c>
      <c r="DV450">
        <f ca="1"/>
      </c>
      <c r="DW450">
        <f ca="1"/>
      </c>
      <c r="DX450">
        <f ca="1"/>
      </c>
      <c r="DY450">
        <f ca="1"/>
      </c>
      <c r="DZ450">
        <f ca="1"/>
      </c>
      <c r="EA450">
        <f ca="1"/>
      </c>
      <c r="EB450">
        <f ca="1"/>
      </c>
      <c r="EC450">
        <f ca="1"/>
      </c>
      <c r="ED450">
        <f ca="1"/>
      </c>
      <c r="EE450">
        <f ca="1"/>
      </c>
      <c r="EG450">
        <f ca="1"/>
      </c>
      <c r="EH450">
        <f ca="1"/>
      </c>
      <c r="EI450">
        <f ca="1"/>
      </c>
      <c r="EJ450">
        <f ca="1"/>
      </c>
      <c r="EK450">
        <f ca="1"/>
      </c>
      <c r="EL450">
        <f ca="1"/>
      </c>
      <c r="EM450">
        <f ca="1"/>
      </c>
      <c r="EN450">
        <f ca="1"/>
      </c>
      <c r="EO450">
        <f ca="1"/>
      </c>
      <c r="EP450">
        <f ca="1"/>
      </c>
      <c r="EQ450">
        <f ca="1"/>
      </c>
      <c r="ER450">
        <f ca="1"/>
      </c>
      <c r="ES450">
        <f ca="1"/>
      </c>
      <c r="ET450">
        <f ca="1"/>
      </c>
      <c r="EU450">
        <f ca="1"/>
      </c>
      <c r="EV450">
        <f ca="1"/>
      </c>
      <c r="EW450">
        <f ca="1"/>
      </c>
      <c r="EX450">
        <f ca="1"/>
      </c>
      <c r="EY450">
        <f ca="1"/>
      </c>
      <c r="EZ450">
        <f ca="1"/>
      </c>
      <c r="FA450">
        <f ca="1"/>
      </c>
      <c r="FB450">
        <f ca="1"/>
      </c>
      <c r="FC450">
        <f ca="1"/>
      </c>
      <c r="FD450">
        <f ca="1"/>
      </c>
      <c r="FE450">
        <f ca="1"/>
      </c>
      <c r="FF450">
        <f ca="1"/>
      </c>
      <c r="FG450">
        <f ca="1"/>
      </c>
      <c r="FH450">
        <f ca="1"/>
      </c>
      <c r="FI450">
        <f ca="1"/>
      </c>
      <c r="FJ450">
        <f ca="1"/>
      </c>
      <c r="FK450">
        <f ca="1"/>
      </c>
      <c r="FL450">
        <f ca="1"/>
      </c>
      <c r="FM450">
        <f ca="1"/>
      </c>
      <c r="FN450">
        <f ca="1"/>
      </c>
      <c r="FO450">
        <f ca="1"/>
      </c>
      <c r="FP450">
        <f ca="1"/>
      </c>
      <c r="FQ450">
        <f ca="1"/>
      </c>
      <c r="FR450">
        <f ca="1"/>
      </c>
      <c r="FS450">
        <f ca="1"/>
      </c>
      <c r="FT450">
        <f ca="1"/>
      </c>
      <c r="FU450">
        <f ca="1"/>
      </c>
      <c r="FV450">
        <f ca="1"/>
      </c>
      <c r="FW450">
        <f ca="1"/>
      </c>
      <c r="FX450">
        <f ca="1"/>
      </c>
      <c r="FY450">
        <f ca="1"/>
      </c>
      <c r="FZ450">
        <f ca="1"/>
      </c>
      <c r="GA450">
        <f ca="1"/>
      </c>
      <c r="GM450" s="7"/>
    </row>
    <row r="451" spans="41:195" x14ac:dyDescent="0.55000000000000004">
      <c r="AO451">
        <f ca="1"/>
      </c>
      <c r="AP451">
        <f ca="1"/>
      </c>
      <c r="AQ451">
        <f ca="1"/>
      </c>
      <c r="AR451">
        <f ca="1"/>
      </c>
      <c r="AS451">
        <f ca="1"/>
      </c>
      <c r="AT451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AZ451">
        <f ca="1"/>
      </c>
      <c r="BA451">
        <f ca="1"/>
      </c>
      <c r="BB451">
        <f ca="1"/>
      </c>
      <c r="BC451">
        <f ca="1"/>
      </c>
      <c r="BD451">
        <f ca="1"/>
      </c>
      <c r="BE451">
        <f ca="1"/>
      </c>
      <c r="BF451">
        <f ca="1"/>
      </c>
      <c r="BG451">
        <f ca="1"/>
      </c>
      <c r="BH451">
        <f ca="1"/>
      </c>
      <c r="BI451">
        <f ca="1"/>
      </c>
      <c r="BJ451">
        <f ca="1"/>
      </c>
      <c r="BK451">
        <f ca="1"/>
      </c>
      <c r="BL451">
        <f ca="1"/>
      </c>
      <c r="BM451">
        <f ca="1"/>
      </c>
      <c r="BN451">
        <f ca="1"/>
      </c>
      <c r="BO451">
        <f ca="1"/>
      </c>
      <c r="BP451">
        <f ca="1"/>
      </c>
      <c r="BQ451">
        <f ca="1"/>
      </c>
      <c r="BR451">
        <f ca="1"/>
      </c>
      <c r="BS451">
        <f ca="1"/>
      </c>
      <c r="BT451">
        <f ca="1"/>
      </c>
      <c r="BU451">
        <f ca="1"/>
      </c>
      <c r="BV451">
        <f ca="1"/>
      </c>
      <c r="BW451">
        <f ca="1"/>
      </c>
      <c r="BX451">
        <f ca="1"/>
      </c>
      <c r="BY451">
        <f ca="1"/>
      </c>
      <c r="BZ451">
        <f ca="1"/>
      </c>
      <c r="CA451">
        <f ca="1"/>
      </c>
      <c r="CB451">
        <f ca="1"/>
      </c>
      <c r="CC451">
        <f ca="1"/>
      </c>
      <c r="CD451">
        <f ca="1"/>
      </c>
      <c r="CE451">
        <f ca="1"/>
      </c>
      <c r="CF451">
        <f ca="1"/>
      </c>
      <c r="CG451">
        <f ca="1"/>
      </c>
      <c r="CH451">
        <f ca="1"/>
      </c>
      <c r="CI451">
        <f ca="1"/>
      </c>
      <c r="CK451">
        <f ca="1"/>
      </c>
      <c r="CL451">
        <f ca="1"/>
      </c>
      <c r="CM451">
        <f ca="1"/>
      </c>
      <c r="CN451">
        <f ca="1"/>
      </c>
      <c r="CO451">
        <f ca="1"/>
      </c>
      <c r="CP451">
        <f ca="1"/>
      </c>
      <c r="CQ451">
        <f ca="1"/>
      </c>
      <c r="CR451">
        <f ca="1"/>
      </c>
      <c r="CS451">
        <f ca="1"/>
      </c>
      <c r="CT451">
        <f ca="1"/>
      </c>
      <c r="CU451">
        <f ca="1"/>
      </c>
      <c r="CV451">
        <f ca="1"/>
      </c>
      <c r="CW451">
        <f ca="1"/>
      </c>
      <c r="CX451">
        <f ca="1"/>
      </c>
      <c r="CY451">
        <f ca="1"/>
      </c>
      <c r="CZ451">
        <f ca="1"/>
      </c>
      <c r="DA451">
        <f ca="1"/>
      </c>
      <c r="DB451">
        <f ca="1"/>
      </c>
      <c r="DC451">
        <f ca="1"/>
      </c>
      <c r="DD451">
        <f ca="1"/>
      </c>
      <c r="DE451">
        <f ca="1"/>
      </c>
      <c r="DF451">
        <f ca="1"/>
      </c>
      <c r="DG451">
        <f ca="1"/>
      </c>
      <c r="DH451">
        <f ca="1"/>
      </c>
      <c r="DI451">
        <f ca="1"/>
      </c>
      <c r="DJ451">
        <f ca="1"/>
      </c>
      <c r="DK451">
        <f ca="1"/>
      </c>
      <c r="DL451">
        <f ca="1"/>
      </c>
      <c r="DM451">
        <f ca="1"/>
      </c>
      <c r="DN451">
        <f ca="1"/>
      </c>
      <c r="DO451">
        <f ca="1"/>
      </c>
      <c r="DP451">
        <f ca="1"/>
      </c>
      <c r="DQ451">
        <f ca="1"/>
      </c>
      <c r="DR451">
        <f ca="1"/>
      </c>
      <c r="DS451">
        <f ca="1"/>
      </c>
      <c r="DT451">
        <f ca="1"/>
      </c>
      <c r="DU451">
        <f ca="1"/>
      </c>
      <c r="DV451">
        <f ca="1"/>
      </c>
      <c r="DW451">
        <f ca="1"/>
      </c>
      <c r="DX451">
        <f ca="1"/>
      </c>
      <c r="DY451">
        <f ca="1"/>
      </c>
      <c r="DZ451">
        <f ca="1"/>
      </c>
      <c r="EA451">
        <f ca="1"/>
      </c>
      <c r="EB451">
        <f ca="1"/>
      </c>
      <c r="EC451">
        <f ca="1"/>
      </c>
      <c r="ED451">
        <f ca="1"/>
      </c>
      <c r="EE451">
        <f ca="1"/>
      </c>
      <c r="EG451">
        <f ca="1"/>
      </c>
      <c r="EH451">
        <f ca="1"/>
      </c>
      <c r="EI451">
        <f ca="1"/>
      </c>
      <c r="EJ451">
        <f ca="1"/>
      </c>
      <c r="EK451">
        <f ca="1"/>
      </c>
      <c r="EL451">
        <f ca="1"/>
      </c>
      <c r="EM451">
        <f ca="1"/>
      </c>
      <c r="EN451">
        <f ca="1"/>
      </c>
      <c r="EO451">
        <f ca="1"/>
      </c>
      <c r="EP451">
        <f ca="1"/>
      </c>
      <c r="EQ451">
        <f ca="1"/>
      </c>
      <c r="ER451">
        <f ca="1"/>
      </c>
      <c r="ES451">
        <f ca="1"/>
      </c>
      <c r="ET451">
        <f ca="1"/>
      </c>
      <c r="EU451">
        <f ca="1"/>
      </c>
      <c r="EV451">
        <f ca="1"/>
      </c>
      <c r="EW451">
        <f ca="1"/>
      </c>
      <c r="EX451">
        <f ca="1"/>
      </c>
      <c r="EY451">
        <f ca="1"/>
      </c>
      <c r="EZ451">
        <f ca="1"/>
      </c>
      <c r="FA451">
        <f ca="1"/>
      </c>
      <c r="FB451">
        <f ca="1"/>
      </c>
      <c r="FC451">
        <f ca="1"/>
      </c>
      <c r="FD451">
        <f ca="1"/>
      </c>
      <c r="FE451">
        <f ca="1"/>
      </c>
      <c r="FF451">
        <f ca="1"/>
      </c>
      <c r="FG451">
        <f ca="1"/>
      </c>
      <c r="FH451">
        <f ca="1"/>
      </c>
      <c r="FI451">
        <f ca="1"/>
      </c>
      <c r="FJ451">
        <f ca="1"/>
      </c>
      <c r="FK451">
        <f ca="1"/>
      </c>
      <c r="FL451">
        <f ca="1"/>
      </c>
      <c r="FM451">
        <f ca="1"/>
      </c>
      <c r="FN451">
        <f ca="1"/>
      </c>
      <c r="FO451">
        <f ca="1"/>
      </c>
      <c r="FP451">
        <f ca="1"/>
      </c>
      <c r="FQ451">
        <f ca="1"/>
      </c>
      <c r="FR451">
        <f ca="1"/>
      </c>
      <c r="FS451">
        <f ca="1"/>
      </c>
      <c r="FT451">
        <f ca="1"/>
      </c>
      <c r="FU451">
        <f ca="1"/>
      </c>
      <c r="FV451">
        <f ca="1"/>
      </c>
      <c r="FW451">
        <f ca="1"/>
      </c>
      <c r="FX451">
        <f ca="1"/>
      </c>
      <c r="FY451">
        <f ca="1"/>
      </c>
      <c r="FZ451">
        <f ca="1"/>
      </c>
      <c r="GA451">
        <f ca="1"/>
      </c>
      <c r="GM451" s="7"/>
    </row>
    <row r="452" spans="41:195" x14ac:dyDescent="0.55000000000000004">
      <c r="AO452">
        <f ca="1"/>
      </c>
      <c r="AP452">
        <f ca="1"/>
      </c>
      <c r="AQ452">
        <f ca="1"/>
      </c>
      <c r="AR452">
        <f ca="1"/>
      </c>
      <c r="AS452">
        <f ca="1"/>
      </c>
      <c r="AT452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AZ452">
        <f ca="1"/>
      </c>
      <c r="BA452">
        <f ca="1"/>
      </c>
      <c r="BB452">
        <f ca="1"/>
      </c>
      <c r="BC452">
        <f ca="1"/>
      </c>
      <c r="BD452">
        <f ca="1"/>
      </c>
      <c r="BE452">
        <f ca="1"/>
      </c>
      <c r="BF452">
        <f ca="1"/>
      </c>
      <c r="BG452">
        <f ca="1"/>
      </c>
      <c r="BH452">
        <f ca="1"/>
      </c>
      <c r="BI452">
        <f ca="1"/>
      </c>
      <c r="BJ452">
        <f ca="1"/>
      </c>
      <c r="BK452">
        <f ca="1"/>
      </c>
      <c r="BL452">
        <f ca="1"/>
      </c>
      <c r="BM452">
        <f ca="1"/>
      </c>
      <c r="BN452">
        <f ca="1"/>
      </c>
      <c r="BO452">
        <f ca="1"/>
      </c>
      <c r="BP452">
        <f ca="1"/>
      </c>
      <c r="BQ452">
        <f ca="1"/>
      </c>
      <c r="BR452">
        <f ca="1"/>
      </c>
      <c r="BS452">
        <f ca="1"/>
      </c>
      <c r="BT452">
        <f ca="1"/>
      </c>
      <c r="BU452">
        <f ca="1"/>
      </c>
      <c r="BV452">
        <f ca="1"/>
      </c>
      <c r="BW452">
        <f ca="1"/>
      </c>
      <c r="BX452">
        <f ca="1"/>
      </c>
      <c r="BY452">
        <f ca="1"/>
      </c>
      <c r="BZ452">
        <f ca="1"/>
      </c>
      <c r="CA452">
        <f ca="1"/>
      </c>
      <c r="CB452">
        <f ca="1"/>
      </c>
      <c r="CC452">
        <f ca="1"/>
      </c>
      <c r="CD452">
        <f ca="1"/>
      </c>
      <c r="CE452">
        <f ca="1"/>
      </c>
      <c r="CF452">
        <f ca="1"/>
      </c>
      <c r="CG452">
        <f ca="1"/>
      </c>
      <c r="CH452">
        <f ca="1"/>
      </c>
      <c r="CI452">
        <f ca="1"/>
      </c>
      <c r="CK452">
        <f ca="1"/>
      </c>
      <c r="CL452">
        <f ca="1"/>
      </c>
      <c r="CM452">
        <f ca="1"/>
      </c>
      <c r="CN452">
        <f ca="1"/>
      </c>
      <c r="CO452">
        <f ca="1"/>
      </c>
      <c r="CP452">
        <f ca="1"/>
      </c>
      <c r="CQ452">
        <f ca="1"/>
      </c>
      <c r="CR452">
        <f ca="1"/>
      </c>
      <c r="CS452">
        <f ca="1"/>
      </c>
      <c r="CT452">
        <f ca="1"/>
      </c>
      <c r="CU452">
        <f ca="1"/>
      </c>
      <c r="CV452">
        <f ca="1"/>
      </c>
      <c r="CW452">
        <f ca="1"/>
      </c>
      <c r="CX452">
        <f ca="1"/>
      </c>
      <c r="CY452">
        <f ca="1"/>
      </c>
      <c r="CZ452">
        <f ca="1"/>
      </c>
      <c r="DA452">
        <f ca="1"/>
      </c>
      <c r="DB452">
        <f ca="1"/>
      </c>
      <c r="DC452">
        <f ca="1"/>
      </c>
      <c r="DD452">
        <f ca="1"/>
      </c>
      <c r="DE452">
        <f ca="1"/>
      </c>
      <c r="DF452">
        <f ca="1"/>
      </c>
      <c r="DG452">
        <f ca="1"/>
      </c>
      <c r="DH452">
        <f ca="1"/>
      </c>
      <c r="DI452">
        <f ca="1"/>
      </c>
      <c r="DJ452">
        <f ca="1"/>
      </c>
      <c r="DK452">
        <f ca="1"/>
      </c>
      <c r="DL452">
        <f ca="1"/>
      </c>
      <c r="DM452">
        <f ca="1"/>
      </c>
      <c r="DN452">
        <f ca="1"/>
      </c>
      <c r="DO452">
        <f ca="1"/>
      </c>
      <c r="DP452">
        <f ca="1"/>
      </c>
      <c r="DQ452">
        <f ca="1"/>
      </c>
      <c r="DR452">
        <f ca="1"/>
      </c>
      <c r="DS452">
        <f ca="1"/>
      </c>
      <c r="DT452">
        <f ca="1"/>
      </c>
      <c r="DU452">
        <f ca="1"/>
      </c>
      <c r="DV452">
        <f ca="1"/>
      </c>
      <c r="DW452">
        <f ca="1"/>
      </c>
      <c r="DX452">
        <f ca="1"/>
      </c>
      <c r="DY452">
        <f ca="1"/>
      </c>
      <c r="DZ452">
        <f ca="1"/>
      </c>
      <c r="EA452">
        <f ca="1"/>
      </c>
      <c r="EB452">
        <f ca="1"/>
      </c>
      <c r="EC452">
        <f ca="1"/>
      </c>
      <c r="ED452">
        <f ca="1"/>
      </c>
      <c r="EE452">
        <f ca="1"/>
      </c>
      <c r="EG452">
        <f ca="1"/>
      </c>
      <c r="EH452">
        <f ca="1"/>
      </c>
      <c r="EI452">
        <f ca="1"/>
      </c>
      <c r="EJ452">
        <f ca="1"/>
      </c>
      <c r="EK452">
        <f ca="1"/>
      </c>
      <c r="EL452">
        <f ca="1"/>
      </c>
      <c r="EM452">
        <f ca="1"/>
      </c>
      <c r="EN452">
        <f ca="1"/>
      </c>
      <c r="EO452">
        <f ca="1"/>
      </c>
      <c r="EP452">
        <f ca="1"/>
      </c>
      <c r="EQ452">
        <f ca="1"/>
      </c>
      <c r="ER452">
        <f ca="1"/>
      </c>
      <c r="ES452">
        <f ca="1"/>
      </c>
      <c r="ET452">
        <f ca="1"/>
      </c>
      <c r="EU452">
        <f ca="1"/>
      </c>
      <c r="EV452">
        <f ca="1"/>
      </c>
      <c r="EW452">
        <f ca="1"/>
      </c>
      <c r="EX452">
        <f ca="1"/>
      </c>
      <c r="EY452">
        <f ca="1"/>
      </c>
      <c r="EZ452">
        <f ca="1"/>
      </c>
      <c r="FA452">
        <f ca="1"/>
      </c>
      <c r="FB452">
        <f ca="1"/>
      </c>
      <c r="FC452">
        <f ca="1"/>
      </c>
      <c r="FD452">
        <f ca="1"/>
      </c>
      <c r="FE452">
        <f ca="1"/>
      </c>
      <c r="FF452">
        <f ca="1"/>
      </c>
      <c r="FG452">
        <f ca="1"/>
      </c>
      <c r="FH452">
        <f ca="1"/>
      </c>
      <c r="FI452">
        <f ca="1"/>
      </c>
      <c r="FJ452">
        <f ca="1"/>
      </c>
      <c r="FK452">
        <f ca="1"/>
      </c>
      <c r="FL452">
        <f ca="1"/>
      </c>
      <c r="FM452">
        <f ca="1"/>
      </c>
      <c r="FN452">
        <f ca="1"/>
      </c>
      <c r="FO452">
        <f ca="1"/>
      </c>
      <c r="FP452">
        <f ca="1"/>
      </c>
      <c r="FQ452">
        <f ca="1"/>
      </c>
      <c r="FR452">
        <f ca="1"/>
      </c>
      <c r="FS452">
        <f ca="1"/>
      </c>
      <c r="FT452">
        <f ca="1"/>
      </c>
      <c r="FU452">
        <f ca="1"/>
      </c>
      <c r="FV452">
        <f ca="1"/>
      </c>
      <c r="FW452">
        <f ca="1"/>
      </c>
      <c r="FX452">
        <f ca="1"/>
      </c>
      <c r="FY452">
        <f ca="1"/>
      </c>
      <c r="FZ452">
        <f ca="1"/>
      </c>
      <c r="GA452">
        <f ca="1"/>
      </c>
      <c r="GM452" s="7"/>
    </row>
    <row r="453" spans="41:195" x14ac:dyDescent="0.55000000000000004">
      <c r="AO453">
        <f ca="1"/>
      </c>
      <c r="AP453">
        <f ca="1"/>
      </c>
      <c r="AQ453">
        <f ca="1"/>
      </c>
      <c r="AR453">
        <f ca="1"/>
      </c>
      <c r="AS453">
        <f ca="1"/>
      </c>
      <c r="AT453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AZ453">
        <f ca="1"/>
      </c>
      <c r="BA453">
        <f ca="1"/>
      </c>
      <c r="BB453">
        <f ca="1"/>
      </c>
      <c r="BC453">
        <f ca="1"/>
      </c>
      <c r="BD453">
        <f ca="1"/>
      </c>
      <c r="BE453">
        <f ca="1"/>
      </c>
      <c r="BF453">
        <f ca="1"/>
      </c>
      <c r="BG453">
        <f ca="1"/>
      </c>
      <c r="BH453">
        <f ca="1"/>
      </c>
      <c r="BI453">
        <f ca="1"/>
      </c>
      <c r="BJ453">
        <f ca="1"/>
      </c>
      <c r="BK453">
        <f ca="1"/>
      </c>
      <c r="BL453">
        <f ca="1"/>
      </c>
      <c r="BM453">
        <f ca="1"/>
      </c>
      <c r="BN453">
        <f ca="1"/>
      </c>
      <c r="BO453">
        <f ca="1"/>
      </c>
      <c r="BP453">
        <f ca="1"/>
      </c>
      <c r="BQ453">
        <f ca="1"/>
      </c>
      <c r="BR453">
        <f ca="1"/>
      </c>
      <c r="BS453">
        <f ca="1"/>
      </c>
      <c r="BT453">
        <f ca="1"/>
      </c>
      <c r="BU453">
        <f ca="1"/>
      </c>
      <c r="BV453">
        <f ca="1"/>
      </c>
      <c r="BW453">
        <f ca="1"/>
      </c>
      <c r="BX453">
        <f ca="1"/>
      </c>
      <c r="BY453">
        <f ca="1"/>
      </c>
      <c r="BZ453">
        <f ca="1"/>
      </c>
      <c r="CA453">
        <f ca="1"/>
      </c>
      <c r="CB453">
        <f ca="1"/>
      </c>
      <c r="CC453">
        <f ca="1"/>
      </c>
      <c r="CD453">
        <f ca="1"/>
      </c>
      <c r="CE453">
        <f ca="1"/>
      </c>
      <c r="CF453">
        <f ca="1"/>
      </c>
      <c r="CG453">
        <f ca="1"/>
      </c>
      <c r="CH453">
        <f ca="1"/>
      </c>
      <c r="CI453">
        <f ca="1"/>
      </c>
      <c r="CK453">
        <f ca="1"/>
      </c>
      <c r="CL453">
        <f ca="1"/>
      </c>
      <c r="CM453">
        <f ca="1"/>
      </c>
      <c r="CN453">
        <f ca="1"/>
      </c>
      <c r="CO453">
        <f ca="1"/>
      </c>
      <c r="CP453">
        <f ca="1"/>
      </c>
      <c r="CQ453">
        <f ca="1"/>
      </c>
      <c r="CR453">
        <f ca="1"/>
      </c>
      <c r="CS453">
        <f ca="1"/>
      </c>
      <c r="CT453">
        <f ca="1"/>
      </c>
      <c r="CU453">
        <f ca="1"/>
      </c>
      <c r="CV453">
        <f ca="1"/>
      </c>
      <c r="CW453">
        <f ca="1"/>
      </c>
      <c r="CX453">
        <f ca="1"/>
      </c>
      <c r="CY453">
        <f ca="1"/>
      </c>
      <c r="CZ453">
        <f ca="1"/>
      </c>
      <c r="DA453">
        <f ca="1"/>
      </c>
      <c r="DB453">
        <f ca="1"/>
      </c>
      <c r="DC453">
        <f ca="1"/>
      </c>
      <c r="DD453">
        <f ca="1"/>
      </c>
      <c r="DE453">
        <f ca="1"/>
      </c>
      <c r="DF453">
        <f ca="1"/>
      </c>
      <c r="DG453">
        <f ca="1"/>
      </c>
      <c r="DH453">
        <f ca="1"/>
      </c>
      <c r="DI453">
        <f ca="1"/>
      </c>
      <c r="DJ453">
        <f ca="1"/>
      </c>
      <c r="DK453">
        <f ca="1"/>
      </c>
      <c r="DL453">
        <f ca="1"/>
      </c>
      <c r="DM453">
        <f ca="1"/>
      </c>
      <c r="DN453">
        <f ca="1"/>
      </c>
      <c r="DO453">
        <f ca="1"/>
      </c>
      <c r="DP453">
        <f ca="1"/>
      </c>
      <c r="DQ453">
        <f ca="1"/>
      </c>
      <c r="DR453">
        <f ca="1"/>
      </c>
      <c r="DS453">
        <f ca="1"/>
      </c>
      <c r="DT453">
        <f ca="1"/>
      </c>
      <c r="DU453">
        <f ca="1"/>
      </c>
      <c r="DV453">
        <f ca="1"/>
      </c>
      <c r="DW453">
        <f ca="1"/>
      </c>
      <c r="DX453">
        <f ca="1"/>
      </c>
      <c r="DY453">
        <f ca="1"/>
      </c>
      <c r="DZ453">
        <f ca="1"/>
      </c>
      <c r="EA453">
        <f ca="1"/>
      </c>
      <c r="EB453">
        <f ca="1"/>
      </c>
      <c r="EC453">
        <f ca="1"/>
      </c>
      <c r="ED453">
        <f ca="1"/>
      </c>
      <c r="EE453">
        <f ca="1"/>
      </c>
      <c r="EG453">
        <f ca="1"/>
      </c>
      <c r="EH453">
        <f ca="1"/>
      </c>
      <c r="EI453">
        <f ca="1"/>
      </c>
      <c r="EJ453">
        <f ca="1"/>
      </c>
      <c r="EK453">
        <f ca="1"/>
      </c>
      <c r="EL453">
        <f ca="1"/>
      </c>
      <c r="EM453">
        <f ca="1"/>
      </c>
      <c r="EN453">
        <f ca="1"/>
      </c>
      <c r="EO453">
        <f ca="1"/>
      </c>
      <c r="EP453">
        <f ca="1"/>
      </c>
      <c r="EQ453">
        <f ca="1"/>
      </c>
      <c r="ER453">
        <f ca="1"/>
      </c>
      <c r="ES453">
        <f ca="1"/>
      </c>
      <c r="ET453">
        <f ca="1"/>
      </c>
      <c r="EU453">
        <f ca="1"/>
      </c>
      <c r="EV453">
        <f ca="1"/>
      </c>
      <c r="EW453">
        <f ca="1"/>
      </c>
      <c r="EX453">
        <f ca="1"/>
      </c>
      <c r="EY453">
        <f ca="1"/>
      </c>
      <c r="EZ453">
        <f ca="1"/>
      </c>
      <c r="FA453">
        <f ca="1"/>
      </c>
      <c r="FB453">
        <f ca="1"/>
      </c>
      <c r="FC453">
        <f ca="1"/>
      </c>
      <c r="FD453">
        <f ca="1"/>
      </c>
      <c r="FE453">
        <f ca="1"/>
      </c>
      <c r="FF453">
        <f ca="1"/>
      </c>
      <c r="FG453">
        <f ca="1"/>
      </c>
      <c r="FH453">
        <f ca="1"/>
      </c>
      <c r="FI453">
        <f ca="1"/>
      </c>
      <c r="FJ453">
        <f ca="1"/>
      </c>
      <c r="FK453">
        <f ca="1"/>
      </c>
      <c r="FL453">
        <f ca="1"/>
      </c>
      <c r="FM453">
        <f ca="1"/>
      </c>
      <c r="FN453">
        <f ca="1"/>
      </c>
      <c r="FO453">
        <f ca="1"/>
      </c>
      <c r="FP453">
        <f ca="1"/>
      </c>
      <c r="FQ453">
        <f ca="1"/>
      </c>
      <c r="FR453">
        <f ca="1"/>
      </c>
      <c r="FS453">
        <f ca="1"/>
      </c>
      <c r="FT453">
        <f ca="1"/>
      </c>
      <c r="FU453">
        <f ca="1"/>
      </c>
      <c r="FV453">
        <f ca="1"/>
      </c>
      <c r="FW453">
        <f ca="1"/>
      </c>
      <c r="FX453">
        <f ca="1"/>
      </c>
      <c r="FY453">
        <f ca="1"/>
      </c>
      <c r="FZ453">
        <f ca="1"/>
      </c>
      <c r="GA453">
        <f ca="1"/>
      </c>
      <c r="GM453" s="7"/>
    </row>
    <row r="454" spans="41:195" x14ac:dyDescent="0.55000000000000004">
      <c r="AO454">
        <f ca="1"/>
      </c>
      <c r="AP454">
        <f ca="1"/>
      </c>
      <c r="AQ454">
        <f ca="1"/>
      </c>
      <c r="AR454">
        <f ca="1"/>
      </c>
      <c r="AS454">
        <f ca="1"/>
      </c>
      <c r="AT454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AZ454">
        <f ca="1"/>
      </c>
      <c r="BA454">
        <f ca="1"/>
      </c>
      <c r="BB454">
        <f ca="1"/>
      </c>
      <c r="BC454">
        <f ca="1"/>
      </c>
      <c r="BD454">
        <f ca="1"/>
      </c>
      <c r="BE454">
        <f ca="1"/>
      </c>
      <c r="BF454">
        <f ca="1"/>
      </c>
      <c r="BG454">
        <f ca="1"/>
      </c>
      <c r="BH454">
        <f ca="1"/>
      </c>
      <c r="BI454">
        <f ca="1"/>
      </c>
      <c r="BJ454">
        <f ca="1"/>
      </c>
      <c r="BK454">
        <f ca="1"/>
      </c>
      <c r="BL454">
        <f ca="1"/>
      </c>
      <c r="BM454">
        <f ca="1"/>
      </c>
      <c r="BN454">
        <f ca="1"/>
      </c>
      <c r="BO454">
        <f ca="1"/>
      </c>
      <c r="BP454">
        <f ca="1"/>
      </c>
      <c r="BQ454">
        <f ca="1"/>
      </c>
      <c r="BR454">
        <f ca="1"/>
      </c>
      <c r="BS454">
        <f ca="1"/>
      </c>
      <c r="BT454">
        <f ca="1"/>
      </c>
      <c r="BU454">
        <f ca="1"/>
      </c>
      <c r="BV454">
        <f ca="1"/>
      </c>
      <c r="BW454">
        <f ca="1"/>
      </c>
      <c r="BX454">
        <f ca="1"/>
      </c>
      <c r="BY454">
        <f ca="1"/>
      </c>
      <c r="BZ454">
        <f ca="1"/>
      </c>
      <c r="CA454">
        <f ca="1"/>
      </c>
      <c r="CB454">
        <f ca="1"/>
      </c>
      <c r="CC454">
        <f ca="1"/>
      </c>
      <c r="CD454">
        <f ca="1"/>
      </c>
      <c r="CE454">
        <f ca="1"/>
      </c>
      <c r="CF454">
        <f ca="1"/>
      </c>
      <c r="CG454">
        <f ca="1"/>
      </c>
      <c r="CH454">
        <f ca="1"/>
      </c>
      <c r="CI454">
        <f ca="1"/>
      </c>
      <c r="CK454">
        <f ca="1"/>
      </c>
      <c r="CL454">
        <f ca="1"/>
      </c>
      <c r="CM454">
        <f ca="1"/>
      </c>
      <c r="CN454">
        <f ca="1"/>
      </c>
      <c r="CO454">
        <f ca="1"/>
      </c>
      <c r="CP454">
        <f ca="1"/>
      </c>
      <c r="CQ454">
        <f ca="1"/>
      </c>
      <c r="CR454">
        <f ca="1"/>
      </c>
      <c r="CS454">
        <f ca="1"/>
      </c>
      <c r="CT454">
        <f ca="1"/>
      </c>
      <c r="CU454">
        <f ca="1"/>
      </c>
      <c r="CV454">
        <f ca="1"/>
      </c>
      <c r="CW454">
        <f ca="1"/>
      </c>
      <c r="CX454">
        <f ca="1"/>
      </c>
      <c r="CY454">
        <f ca="1"/>
      </c>
      <c r="CZ454">
        <f ca="1"/>
      </c>
      <c r="DA454">
        <f ca="1"/>
      </c>
      <c r="DB454">
        <f ca="1"/>
      </c>
      <c r="DC454">
        <f ca="1"/>
      </c>
      <c r="DD454">
        <f ca="1"/>
      </c>
      <c r="DE454">
        <f ca="1"/>
      </c>
      <c r="DF454">
        <f ca="1"/>
      </c>
      <c r="DG454">
        <f ca="1"/>
      </c>
      <c r="DH454">
        <f ca="1"/>
      </c>
      <c r="DI454">
        <f ca="1"/>
      </c>
      <c r="DJ454">
        <f ca="1"/>
      </c>
      <c r="DK454">
        <f ca="1"/>
      </c>
      <c r="DL454">
        <f ca="1"/>
      </c>
      <c r="DM454">
        <f ca="1"/>
      </c>
      <c r="DN454">
        <f ca="1"/>
      </c>
      <c r="DO454">
        <f ca="1"/>
      </c>
      <c r="DP454">
        <f ca="1"/>
      </c>
      <c r="DQ454">
        <f ca="1"/>
      </c>
      <c r="DR454">
        <f ca="1"/>
      </c>
      <c r="DS454">
        <f ca="1"/>
      </c>
      <c r="DT454">
        <f ca="1"/>
      </c>
      <c r="DU454">
        <f ca="1"/>
      </c>
      <c r="DV454">
        <f ca="1"/>
      </c>
      <c r="DW454">
        <f ca="1"/>
      </c>
      <c r="DX454">
        <f ca="1"/>
      </c>
      <c r="DY454">
        <f ca="1"/>
      </c>
      <c r="DZ454">
        <f ca="1"/>
      </c>
      <c r="EA454">
        <f ca="1"/>
      </c>
      <c r="EB454">
        <f ca="1"/>
      </c>
      <c r="EC454">
        <f ca="1"/>
      </c>
      <c r="ED454">
        <f ca="1"/>
      </c>
      <c r="EE454">
        <f ca="1"/>
      </c>
      <c r="EG454">
        <f ca="1"/>
      </c>
      <c r="EH454">
        <f ca="1"/>
      </c>
      <c r="EI454">
        <f ca="1"/>
      </c>
      <c r="EJ454">
        <f ca="1"/>
      </c>
      <c r="EK454">
        <f ca="1"/>
      </c>
      <c r="EL454">
        <f ca="1"/>
      </c>
      <c r="EM454">
        <f ca="1"/>
      </c>
      <c r="EN454">
        <f ca="1"/>
      </c>
      <c r="EO454">
        <f ca="1"/>
      </c>
      <c r="EP454">
        <f ca="1"/>
      </c>
      <c r="EQ454">
        <f ca="1"/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FS454">
        <f ca="1"/>
      </c>
      <c r="FT454">
        <f ca="1"/>
      </c>
      <c r="FU454">
        <f ca="1"/>
      </c>
      <c r="FV454">
        <f ca="1"/>
      </c>
      <c r="FW454">
        <f ca="1"/>
      </c>
      <c r="FX454">
        <f ca="1"/>
      </c>
      <c r="FY454">
        <f ca="1"/>
      </c>
      <c r="FZ454">
        <f ca="1"/>
      </c>
      <c r="GA454">
        <f ca="1"/>
      </c>
      <c r="GM454" s="7"/>
    </row>
    <row r="455" spans="41:195" x14ac:dyDescent="0.55000000000000004">
      <c r="AO455">
        <f ca="1"/>
      </c>
      <c r="AP455">
        <f ca="1"/>
      </c>
      <c r="AQ455">
        <f ca="1"/>
      </c>
      <c r="AR455">
        <f ca="1"/>
      </c>
      <c r="AS455">
        <f ca="1"/>
      </c>
      <c r="AT455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AZ455">
        <f ca="1"/>
      </c>
      <c r="BA455">
        <f ca="1"/>
      </c>
      <c r="BB455">
        <f ca="1"/>
      </c>
      <c r="BC455">
        <f ca="1"/>
      </c>
      <c r="BD455">
        <f ca="1"/>
      </c>
      <c r="BE455">
        <f ca="1"/>
      </c>
      <c r="BF455">
        <f ca="1"/>
      </c>
      <c r="BG455">
        <f ca="1"/>
      </c>
      <c r="BH455">
        <f ca="1"/>
      </c>
      <c r="BI455">
        <f ca="1"/>
      </c>
      <c r="BJ455">
        <f ca="1"/>
      </c>
      <c r="BK455">
        <f ca="1"/>
      </c>
      <c r="BL455">
        <f ca="1"/>
      </c>
      <c r="BM455">
        <f ca="1"/>
      </c>
      <c r="BN455">
        <f ca="1"/>
      </c>
      <c r="BO455">
        <f ca="1"/>
      </c>
      <c r="BP455">
        <f ca="1"/>
      </c>
      <c r="BQ455">
        <f ca="1"/>
      </c>
      <c r="BR455">
        <f ca="1"/>
      </c>
      <c r="BS455">
        <f ca="1"/>
      </c>
      <c r="BT455">
        <f ca="1"/>
      </c>
      <c r="BU455">
        <f ca="1"/>
      </c>
      <c r="BV455">
        <f ca="1"/>
      </c>
      <c r="BW455">
        <f ca="1"/>
      </c>
      <c r="BX455">
        <f ca="1"/>
      </c>
      <c r="BY455">
        <f ca="1"/>
      </c>
      <c r="BZ455">
        <f ca="1"/>
      </c>
      <c r="CA455">
        <f ca="1"/>
      </c>
      <c r="CB455">
        <f ca="1"/>
      </c>
      <c r="CC455">
        <f ca="1"/>
      </c>
      <c r="CD455">
        <f ca="1"/>
      </c>
      <c r="CE455">
        <f ca="1"/>
      </c>
      <c r="CF455">
        <f ca="1"/>
      </c>
      <c r="CG455">
        <f ca="1"/>
      </c>
      <c r="CH455">
        <f ca="1"/>
      </c>
      <c r="CI455">
        <f ca="1"/>
      </c>
      <c r="CK455">
        <f ca="1"/>
      </c>
      <c r="CL455">
        <f ca="1"/>
      </c>
      <c r="CM455">
        <f ca="1"/>
      </c>
      <c r="CN455">
        <f ca="1"/>
      </c>
      <c r="CO455">
        <f ca="1"/>
      </c>
      <c r="CP455">
        <f ca="1"/>
      </c>
      <c r="CQ455">
        <f ca="1"/>
      </c>
      <c r="CR455">
        <f ca="1"/>
      </c>
      <c r="CS455">
        <f ca="1"/>
      </c>
      <c r="CT455">
        <f ca="1"/>
      </c>
      <c r="CU455">
        <f ca="1"/>
      </c>
      <c r="CV455">
        <f ca="1"/>
      </c>
      <c r="CW455">
        <f ca="1"/>
      </c>
      <c r="CX455">
        <f ca="1"/>
      </c>
      <c r="CY455">
        <f ca="1"/>
      </c>
      <c r="CZ455">
        <f ca="1"/>
      </c>
      <c r="DA455">
        <f ca="1"/>
      </c>
      <c r="DB455">
        <f ca="1"/>
      </c>
      <c r="DC455">
        <f ca="1"/>
      </c>
      <c r="DD455">
        <f ca="1"/>
      </c>
      <c r="DE455">
        <f ca="1"/>
      </c>
      <c r="DF455">
        <f ca="1"/>
      </c>
      <c r="DG455">
        <f ca="1"/>
      </c>
      <c r="DH455">
        <f ca="1"/>
      </c>
      <c r="DI455">
        <f ca="1"/>
      </c>
      <c r="DJ455">
        <f ca="1"/>
      </c>
      <c r="DK455">
        <f ca="1"/>
      </c>
      <c r="DL455">
        <f ca="1"/>
      </c>
      <c r="DM455">
        <f ca="1"/>
      </c>
      <c r="DN455">
        <f ca="1"/>
      </c>
      <c r="DO455">
        <f ca="1"/>
      </c>
      <c r="DP455">
        <f ca="1"/>
      </c>
      <c r="DQ455">
        <f ca="1"/>
      </c>
      <c r="DR455">
        <f ca="1"/>
      </c>
      <c r="DS455">
        <f ca="1"/>
      </c>
      <c r="DT455">
        <f ca="1"/>
      </c>
      <c r="DU455">
        <f ca="1"/>
      </c>
      <c r="DV455">
        <f ca="1"/>
      </c>
      <c r="DW455">
        <f ca="1"/>
      </c>
      <c r="DX455">
        <f ca="1"/>
      </c>
      <c r="DY455">
        <f ca="1"/>
      </c>
      <c r="DZ455">
        <f ca="1"/>
      </c>
      <c r="EA455">
        <f ca="1"/>
      </c>
      <c r="EB455">
        <f ca="1"/>
      </c>
      <c r="EC455">
        <f ca="1"/>
      </c>
      <c r="ED455">
        <f ca="1"/>
      </c>
      <c r="EE455">
        <f ca="1"/>
      </c>
      <c r="EG455">
        <f ca="1"/>
      </c>
      <c r="EH455">
        <f ca="1"/>
      </c>
      <c r="EI455">
        <f ca="1"/>
      </c>
      <c r="EJ455">
        <f ca="1"/>
      </c>
      <c r="EK455">
        <f ca="1"/>
      </c>
      <c r="EL455">
        <f ca="1"/>
      </c>
      <c r="EM455">
        <f ca="1"/>
      </c>
      <c r="EN455">
        <f ca="1"/>
      </c>
      <c r="EO455">
        <f ca="1"/>
      </c>
      <c r="EP455">
        <f ca="1"/>
      </c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FS455">
        <f ca="1"/>
      </c>
      <c r="FT455">
        <f ca="1"/>
      </c>
      <c r="FU455">
        <f ca="1"/>
      </c>
      <c r="FV455">
        <f ca="1"/>
      </c>
      <c r="FW455">
        <f ca="1"/>
      </c>
      <c r="FX455">
        <f ca="1"/>
      </c>
      <c r="FY455">
        <f ca="1"/>
      </c>
      <c r="FZ455">
        <f ca="1"/>
      </c>
      <c r="GA455">
        <f ca="1"/>
      </c>
      <c r="GM455" s="7"/>
    </row>
    <row r="456" spans="41:195" x14ac:dyDescent="0.55000000000000004">
      <c r="AO456">
        <f ca="1"/>
      </c>
      <c r="AP456">
        <f ca="1"/>
      </c>
      <c r="AQ456">
        <f ca="1"/>
      </c>
      <c r="AR456">
        <f ca="1"/>
      </c>
      <c r="AS456">
        <f ca="1"/>
      </c>
      <c r="AT456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AZ456">
        <f ca="1"/>
      </c>
      <c r="BA456">
        <f ca="1"/>
      </c>
      <c r="BB456">
        <f ca="1"/>
      </c>
      <c r="BC456">
        <f ca="1"/>
      </c>
      <c r="BD456">
        <f ca="1"/>
      </c>
      <c r="BE456">
        <f ca="1"/>
      </c>
      <c r="BF456">
        <f ca="1"/>
      </c>
      <c r="BG456">
        <f ca="1"/>
      </c>
      <c r="BH456">
        <f ca="1"/>
      </c>
      <c r="BI456">
        <f ca="1"/>
      </c>
      <c r="BJ456">
        <f ca="1"/>
      </c>
      <c r="BK456">
        <f ca="1"/>
      </c>
      <c r="BL456">
        <f ca="1"/>
      </c>
      <c r="BM456">
        <f ca="1"/>
      </c>
      <c r="BN456">
        <f ca="1"/>
      </c>
      <c r="BO456">
        <f ca="1"/>
      </c>
      <c r="BP456">
        <f ca="1"/>
      </c>
      <c r="BQ456">
        <f ca="1"/>
      </c>
      <c r="BR456">
        <f ca="1"/>
      </c>
      <c r="BS456">
        <f ca="1"/>
      </c>
      <c r="BT456">
        <f ca="1"/>
      </c>
      <c r="BU456">
        <f ca="1"/>
      </c>
      <c r="BV456">
        <f ca="1"/>
      </c>
      <c r="BW456">
        <f ca="1"/>
      </c>
      <c r="BX456">
        <f ca="1"/>
      </c>
      <c r="BY456">
        <f ca="1"/>
      </c>
      <c r="BZ456">
        <f ca="1"/>
      </c>
      <c r="CA456">
        <f ca="1"/>
      </c>
      <c r="CB456">
        <f ca="1"/>
      </c>
      <c r="CC456">
        <f ca="1"/>
      </c>
      <c r="CD456">
        <f ca="1"/>
      </c>
      <c r="CE456">
        <f ca="1"/>
      </c>
      <c r="CF456">
        <f ca="1"/>
      </c>
      <c r="CG456">
        <f ca="1"/>
      </c>
      <c r="CH456">
        <f ca="1"/>
      </c>
      <c r="CI456">
        <f ca="1"/>
      </c>
      <c r="CK456">
        <f ca="1"/>
      </c>
      <c r="CL456">
        <f ca="1"/>
      </c>
      <c r="CM456">
        <f ca="1"/>
      </c>
      <c r="CN456">
        <f ca="1"/>
      </c>
      <c r="CO456">
        <f ca="1"/>
      </c>
      <c r="CP456">
        <f ca="1"/>
      </c>
      <c r="CQ456">
        <f ca="1"/>
      </c>
      <c r="CR456">
        <f ca="1"/>
      </c>
      <c r="CS456">
        <f ca="1"/>
      </c>
      <c r="CT456">
        <f ca="1"/>
      </c>
      <c r="CU456">
        <f ca="1"/>
      </c>
      <c r="CV456">
        <f ca="1"/>
      </c>
      <c r="CW456">
        <f ca="1"/>
      </c>
      <c r="CX456">
        <f ca="1"/>
      </c>
      <c r="CY456">
        <f ca="1"/>
      </c>
      <c r="CZ456">
        <f ca="1"/>
      </c>
      <c r="DA456">
        <f ca="1"/>
      </c>
      <c r="DB456">
        <f ca="1"/>
      </c>
      <c r="DC456">
        <f ca="1"/>
      </c>
      <c r="DD456">
        <f ca="1"/>
      </c>
      <c r="DE456">
        <f ca="1"/>
      </c>
      <c r="DF456">
        <f ca="1"/>
      </c>
      <c r="DG456">
        <f ca="1"/>
      </c>
      <c r="DH456">
        <f ca="1"/>
      </c>
      <c r="DI456">
        <f ca="1"/>
      </c>
      <c r="DJ456">
        <f ca="1"/>
      </c>
      <c r="DK456">
        <f ca="1"/>
      </c>
      <c r="DL456">
        <f ca="1"/>
      </c>
      <c r="DM456">
        <f ca="1"/>
      </c>
      <c r="DN456">
        <f ca="1"/>
      </c>
      <c r="DO456">
        <f ca="1"/>
      </c>
      <c r="DP456">
        <f ca="1"/>
      </c>
      <c r="DQ456">
        <f ca="1"/>
      </c>
      <c r="DR456">
        <f ca="1"/>
      </c>
      <c r="DS456">
        <f ca="1"/>
      </c>
      <c r="DT456">
        <f ca="1"/>
      </c>
      <c r="DU456">
        <f ca="1"/>
      </c>
      <c r="DV456">
        <f ca="1"/>
      </c>
      <c r="DW456">
        <f ca="1"/>
      </c>
      <c r="DX456">
        <f ca="1"/>
      </c>
      <c r="DY456">
        <f ca="1"/>
      </c>
      <c r="DZ456">
        <f ca="1"/>
      </c>
      <c r="EA456">
        <f ca="1"/>
      </c>
      <c r="EB456">
        <f ca="1"/>
      </c>
      <c r="EC456">
        <f ca="1"/>
      </c>
      <c r="ED456">
        <f ca="1"/>
      </c>
      <c r="EE456">
        <f ca="1"/>
      </c>
      <c r="EG456">
        <f ca="1"/>
      </c>
      <c r="EH456">
        <f ca="1"/>
      </c>
      <c r="EI456">
        <f ca="1"/>
      </c>
      <c r="EJ456">
        <f ca="1"/>
      </c>
      <c r="EK456">
        <f ca="1"/>
      </c>
      <c r="EL456">
        <f ca="1"/>
      </c>
      <c r="EM456">
        <f ca="1"/>
      </c>
      <c r="EN456">
        <f ca="1"/>
      </c>
      <c r="EO456">
        <f ca="1"/>
      </c>
      <c r="EP456">
        <f ca="1"/>
      </c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FS456">
        <f ca="1"/>
      </c>
      <c r="FT456">
        <f ca="1"/>
      </c>
      <c r="FU456">
        <f ca="1"/>
      </c>
      <c r="FV456">
        <f ca="1"/>
      </c>
      <c r="FW456">
        <f ca="1"/>
      </c>
      <c r="FX456">
        <f ca="1"/>
      </c>
      <c r="FY456">
        <f ca="1"/>
      </c>
      <c r="FZ456">
        <f ca="1"/>
      </c>
      <c r="GA456">
        <f ca="1"/>
      </c>
      <c r="GM456" s="7"/>
    </row>
    <row r="457" spans="41:195" x14ac:dyDescent="0.55000000000000004">
      <c r="AO457">
        <f ca="1"/>
      </c>
      <c r="AP457">
        <f ca="1"/>
      </c>
      <c r="AQ457">
        <f ca="1"/>
      </c>
      <c r="AR457">
        <f ca="1"/>
      </c>
      <c r="AS457">
        <f ca="1"/>
      </c>
      <c r="AT45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AZ457">
        <f ca="1"/>
      </c>
      <c r="BA457">
        <f ca="1"/>
      </c>
      <c r="BB457">
        <f ca="1"/>
      </c>
      <c r="BC457">
        <f ca="1"/>
      </c>
      <c r="BD457">
        <f ca="1"/>
      </c>
      <c r="BE457">
        <f ca="1"/>
      </c>
      <c r="BF457">
        <f ca="1"/>
      </c>
      <c r="BG457">
        <f ca="1"/>
      </c>
      <c r="BH457">
        <f ca="1"/>
      </c>
      <c r="BI457">
        <f ca="1"/>
      </c>
      <c r="BJ457">
        <f ca="1"/>
      </c>
      <c r="BK457">
        <f ca="1"/>
      </c>
      <c r="BL457">
        <f ca="1"/>
      </c>
      <c r="BM457">
        <f ca="1"/>
      </c>
      <c r="BN457">
        <f ca="1"/>
      </c>
      <c r="BO457">
        <f ca="1"/>
      </c>
      <c r="BP457">
        <f ca="1"/>
      </c>
      <c r="BQ457">
        <f ca="1"/>
      </c>
      <c r="BR457">
        <f ca="1"/>
      </c>
      <c r="BS457">
        <f ca="1"/>
      </c>
      <c r="BT457">
        <f ca="1"/>
      </c>
      <c r="BU457">
        <f ca="1"/>
      </c>
      <c r="BV457">
        <f ca="1"/>
      </c>
      <c r="BW457">
        <f ca="1"/>
      </c>
      <c r="BX457">
        <f ca="1"/>
      </c>
      <c r="BY457">
        <f ca="1"/>
      </c>
      <c r="BZ457">
        <f ca="1"/>
      </c>
      <c r="CA457">
        <f ca="1"/>
      </c>
      <c r="CB457">
        <f ca="1"/>
      </c>
      <c r="CC457">
        <f ca="1"/>
      </c>
      <c r="CD457">
        <f ca="1"/>
      </c>
      <c r="CE457">
        <f ca="1"/>
      </c>
      <c r="CF457">
        <f ca="1"/>
      </c>
      <c r="CG457">
        <f ca="1"/>
      </c>
      <c r="CH457">
        <f ca="1"/>
      </c>
      <c r="CI457">
        <f ca="1"/>
      </c>
      <c r="CK457">
        <f ca="1"/>
      </c>
      <c r="CL457">
        <f ca="1"/>
      </c>
      <c r="CM457">
        <f ca="1"/>
      </c>
      <c r="CN457">
        <f ca="1"/>
      </c>
      <c r="CO457">
        <f ca="1"/>
      </c>
      <c r="CP457">
        <f ca="1"/>
      </c>
      <c r="CQ457">
        <f ca="1"/>
      </c>
      <c r="CR457">
        <f ca="1"/>
      </c>
      <c r="CS457">
        <f ca="1"/>
      </c>
      <c r="CT457">
        <f ca="1"/>
      </c>
      <c r="CU457">
        <f ca="1"/>
      </c>
      <c r="CV457">
        <f ca="1"/>
      </c>
      <c r="CW457">
        <f ca="1"/>
      </c>
      <c r="CX457">
        <f ca="1"/>
      </c>
      <c r="CY457">
        <f ca="1"/>
      </c>
      <c r="CZ457">
        <f ca="1"/>
      </c>
      <c r="DA457">
        <f ca="1"/>
      </c>
      <c r="DB457">
        <f ca="1"/>
      </c>
      <c r="DC457">
        <f ca="1"/>
      </c>
      <c r="DD457">
        <f ca="1"/>
      </c>
      <c r="DE457">
        <f ca="1"/>
      </c>
      <c r="DF457">
        <f ca="1"/>
      </c>
      <c r="DG457">
        <f ca="1"/>
      </c>
      <c r="DH457">
        <f ca="1"/>
      </c>
      <c r="DI457">
        <f ca="1"/>
      </c>
      <c r="DJ457">
        <f ca="1"/>
      </c>
      <c r="DK457">
        <f ca="1"/>
      </c>
      <c r="DL457">
        <f ca="1"/>
      </c>
      <c r="DM457">
        <f ca="1"/>
      </c>
      <c r="DN457">
        <f ca="1"/>
      </c>
      <c r="DO457">
        <f ca="1"/>
      </c>
      <c r="DP457">
        <f ca="1"/>
      </c>
      <c r="DQ457">
        <f ca="1"/>
      </c>
      <c r="DR457">
        <f ca="1"/>
      </c>
      <c r="DS457">
        <f ca="1"/>
      </c>
      <c r="DT457">
        <f ca="1"/>
      </c>
      <c r="DU457">
        <f ca="1"/>
      </c>
      <c r="DV457">
        <f ca="1"/>
      </c>
      <c r="DW457">
        <f ca="1"/>
      </c>
      <c r="DX457">
        <f ca="1"/>
      </c>
      <c r="DY457">
        <f ca="1"/>
      </c>
      <c r="DZ457">
        <f ca="1"/>
      </c>
      <c r="EA457">
        <f ca="1"/>
      </c>
      <c r="EB457">
        <f ca="1"/>
      </c>
      <c r="EC457">
        <f ca="1"/>
      </c>
      <c r="ED457">
        <f ca="1"/>
      </c>
      <c r="EE457">
        <f ca="1"/>
      </c>
      <c r="EG457">
        <f ca="1"/>
      </c>
      <c r="EH457">
        <f ca="1"/>
      </c>
      <c r="EI457">
        <f ca="1"/>
      </c>
      <c r="EJ457">
        <f ca="1"/>
      </c>
      <c r="EK457">
        <f ca="1"/>
      </c>
      <c r="EL457">
        <f ca="1"/>
      </c>
      <c r="EM457">
        <f ca="1"/>
      </c>
      <c r="EN457">
        <f ca="1"/>
      </c>
      <c r="EO457">
        <f ca="1"/>
      </c>
      <c r="EP457">
        <f ca="1"/>
      </c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FS457">
        <f ca="1"/>
      </c>
      <c r="FT457">
        <f ca="1"/>
      </c>
      <c r="FU457">
        <f ca="1"/>
      </c>
      <c r="FV457">
        <f ca="1"/>
      </c>
      <c r="FW457">
        <f ca="1"/>
      </c>
      <c r="FX457">
        <f ca="1"/>
      </c>
      <c r="FY457">
        <f ca="1"/>
      </c>
      <c r="FZ457">
        <f ca="1"/>
      </c>
      <c r="GA457">
        <f ca="1"/>
      </c>
      <c r="GM457" s="7"/>
    </row>
    <row r="458" spans="41:195" x14ac:dyDescent="0.55000000000000004">
      <c r="AO458">
        <f ca="1"/>
      </c>
      <c r="AP458">
        <f ca="1"/>
      </c>
      <c r="AQ458">
        <f ca="1"/>
      </c>
      <c r="AR458">
        <f ca="1"/>
      </c>
      <c r="AS458">
        <f ca="1"/>
      </c>
      <c r="AT458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AZ458">
        <f ca="1"/>
      </c>
      <c r="BA458">
        <f ca="1"/>
      </c>
      <c r="BB458">
        <f ca="1"/>
      </c>
      <c r="BC458">
        <f ca="1"/>
      </c>
      <c r="BD458">
        <f ca="1"/>
      </c>
      <c r="BE458">
        <f ca="1"/>
      </c>
      <c r="BF458">
        <f ca="1"/>
      </c>
      <c r="BG458">
        <f ca="1"/>
      </c>
      <c r="BH458">
        <f ca="1"/>
      </c>
      <c r="BI458">
        <f ca="1"/>
      </c>
      <c r="BJ458">
        <f ca="1"/>
      </c>
      <c r="BK458">
        <f ca="1"/>
      </c>
      <c r="BL458">
        <f ca="1"/>
      </c>
      <c r="BM458">
        <f ca="1"/>
      </c>
      <c r="BN458">
        <f ca="1"/>
      </c>
      <c r="BO458">
        <f ca="1"/>
      </c>
      <c r="BP458">
        <f ca="1"/>
      </c>
      <c r="BQ458">
        <f ca="1"/>
      </c>
      <c r="BR458">
        <f ca="1"/>
      </c>
      <c r="BS458">
        <f ca="1"/>
      </c>
      <c r="BT458">
        <f ca="1"/>
      </c>
      <c r="BU458">
        <f ca="1"/>
      </c>
      <c r="BV458">
        <f ca="1"/>
      </c>
      <c r="BW458">
        <f ca="1"/>
      </c>
      <c r="BX458">
        <f ca="1"/>
      </c>
      <c r="BY458">
        <f ca="1"/>
      </c>
      <c r="BZ458">
        <f ca="1"/>
      </c>
      <c r="CA458">
        <f ca="1"/>
      </c>
      <c r="CB458">
        <f ca="1"/>
      </c>
      <c r="CC458">
        <f ca="1"/>
      </c>
      <c r="CD458">
        <f ca="1"/>
      </c>
      <c r="CE458">
        <f ca="1"/>
      </c>
      <c r="CF458">
        <f ca="1"/>
      </c>
      <c r="CG458">
        <f ca="1"/>
      </c>
      <c r="CH458">
        <f ca="1"/>
      </c>
      <c r="CI458">
        <f ca="1"/>
      </c>
      <c r="CK458">
        <f ca="1"/>
      </c>
      <c r="CL458">
        <f ca="1"/>
      </c>
      <c r="CM458">
        <f ca="1"/>
      </c>
      <c r="CN458">
        <f ca="1"/>
      </c>
      <c r="CO458">
        <f ca="1"/>
      </c>
      <c r="CP458">
        <f ca="1"/>
      </c>
      <c r="CQ458">
        <f ca="1"/>
      </c>
      <c r="CR458">
        <f ca="1"/>
      </c>
      <c r="CS458">
        <f ca="1"/>
      </c>
      <c r="CT458">
        <f ca="1"/>
      </c>
      <c r="CU458">
        <f ca="1"/>
      </c>
      <c r="CV458">
        <f ca="1"/>
      </c>
      <c r="CW458">
        <f ca="1"/>
      </c>
      <c r="CX458">
        <f ca="1"/>
      </c>
      <c r="CY458">
        <f ca="1"/>
      </c>
      <c r="CZ458">
        <f ca="1"/>
      </c>
      <c r="DA458">
        <f ca="1"/>
      </c>
      <c r="DB458">
        <f ca="1"/>
      </c>
      <c r="DC458">
        <f ca="1"/>
      </c>
      <c r="DD458">
        <f ca="1"/>
      </c>
      <c r="DE458">
        <f ca="1"/>
      </c>
      <c r="DF458">
        <f ca="1"/>
      </c>
      <c r="DG458">
        <f ca="1"/>
      </c>
      <c r="DH458">
        <f ca="1"/>
      </c>
      <c r="DI458">
        <f ca="1"/>
      </c>
      <c r="DJ458">
        <f ca="1"/>
      </c>
      <c r="DK458">
        <f ca="1"/>
      </c>
      <c r="DL458">
        <f ca="1"/>
      </c>
      <c r="DM458">
        <f ca="1"/>
      </c>
      <c r="DN458">
        <f ca="1"/>
      </c>
      <c r="DO458">
        <f ca="1"/>
      </c>
      <c r="DP458">
        <f ca="1"/>
      </c>
      <c r="DQ458">
        <f ca="1"/>
      </c>
      <c r="DR458">
        <f ca="1"/>
      </c>
      <c r="DS458">
        <f ca="1"/>
      </c>
      <c r="DT458">
        <f ca="1"/>
      </c>
      <c r="DU458">
        <f ca="1"/>
      </c>
      <c r="DV458">
        <f ca="1"/>
      </c>
      <c r="DW458">
        <f ca="1"/>
      </c>
      <c r="DX458">
        <f ca="1"/>
      </c>
      <c r="DY458">
        <f ca="1"/>
      </c>
      <c r="DZ458">
        <f ca="1"/>
      </c>
      <c r="EA458">
        <f ca="1"/>
      </c>
      <c r="EB458">
        <f ca="1"/>
      </c>
      <c r="EC458">
        <f ca="1"/>
      </c>
      <c r="ED458">
        <f ca="1"/>
      </c>
      <c r="EE458">
        <f ca="1"/>
      </c>
      <c r="EG458">
        <f ca="1"/>
      </c>
      <c r="EH458">
        <f ca="1"/>
      </c>
      <c r="EI458">
        <f ca="1"/>
      </c>
      <c r="EJ458">
        <f ca="1"/>
      </c>
      <c r="EK458">
        <f ca="1"/>
      </c>
      <c r="EL458">
        <f ca="1"/>
      </c>
      <c r="EM458">
        <f ca="1"/>
      </c>
      <c r="EN458">
        <f ca="1"/>
      </c>
      <c r="EO458">
        <f ca="1"/>
      </c>
      <c r="EP458">
        <f ca="1"/>
      </c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FS458">
        <f ca="1"/>
      </c>
      <c r="FT458">
        <f ca="1"/>
      </c>
      <c r="FU458">
        <f ca="1"/>
      </c>
      <c r="FV458">
        <f ca="1"/>
      </c>
      <c r="FW458">
        <f ca="1"/>
      </c>
      <c r="FX458">
        <f ca="1"/>
      </c>
      <c r="FY458">
        <f ca="1"/>
      </c>
      <c r="FZ458">
        <f ca="1"/>
      </c>
      <c r="GA458">
        <f ca="1"/>
      </c>
      <c r="GM458" s="7"/>
    </row>
    <row r="459" spans="41:195" x14ac:dyDescent="0.55000000000000004">
      <c r="AO459">
        <f ca="1"/>
      </c>
      <c r="AP459">
        <f ca="1"/>
      </c>
      <c r="AQ459">
        <f ca="1"/>
      </c>
      <c r="AR459">
        <f ca="1"/>
      </c>
      <c r="AS459">
        <f ca="1"/>
      </c>
      <c r="AT459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AZ459">
        <f ca="1"/>
      </c>
      <c r="BA459">
        <f ca="1"/>
      </c>
      <c r="BB459">
        <f ca="1"/>
      </c>
      <c r="BC459">
        <f ca="1"/>
      </c>
      <c r="BD459">
        <f ca="1"/>
      </c>
      <c r="BE459">
        <f ca="1"/>
      </c>
      <c r="BF459">
        <f ca="1"/>
      </c>
      <c r="BG459">
        <f ca="1"/>
      </c>
      <c r="BH459">
        <f ca="1"/>
      </c>
      <c r="BI459">
        <f ca="1"/>
      </c>
      <c r="BJ459">
        <f ca="1"/>
      </c>
      <c r="BK459">
        <f ca="1"/>
      </c>
      <c r="BL459">
        <f ca="1"/>
      </c>
      <c r="BM459">
        <f ca="1"/>
      </c>
      <c r="BN459">
        <f ca="1"/>
      </c>
      <c r="BO459">
        <f ca="1"/>
      </c>
      <c r="BP459">
        <f ca="1"/>
      </c>
      <c r="BQ459">
        <f ca="1"/>
      </c>
      <c r="BR459">
        <f ca="1"/>
      </c>
      <c r="BS459">
        <f ca="1"/>
      </c>
      <c r="BT459">
        <f ca="1"/>
      </c>
      <c r="BU459">
        <f ca="1"/>
      </c>
      <c r="BV459">
        <f ca="1"/>
      </c>
      <c r="BW459">
        <f ca="1"/>
      </c>
      <c r="BX459">
        <f ca="1"/>
      </c>
      <c r="BY459">
        <f ca="1"/>
      </c>
      <c r="BZ459">
        <f ca="1"/>
      </c>
      <c r="CA459">
        <f ca="1"/>
      </c>
      <c r="CB459">
        <f ca="1"/>
      </c>
      <c r="CC459">
        <f ca="1"/>
      </c>
      <c r="CD459">
        <f ca="1"/>
      </c>
      <c r="CE459">
        <f ca="1"/>
      </c>
      <c r="CF459">
        <f ca="1"/>
      </c>
      <c r="CG459">
        <f ca="1"/>
      </c>
      <c r="CH459">
        <f ca="1"/>
      </c>
      <c r="CI459">
        <f ca="1"/>
      </c>
      <c r="CK459">
        <f ca="1"/>
      </c>
      <c r="CL459">
        <f ca="1"/>
      </c>
      <c r="CM459">
        <f ca="1"/>
      </c>
      <c r="CN459">
        <f ca="1"/>
      </c>
      <c r="CO459">
        <f ca="1"/>
      </c>
      <c r="CP459">
        <f ca="1"/>
      </c>
      <c r="CQ459">
        <f ca="1"/>
      </c>
      <c r="CR459">
        <f ca="1"/>
      </c>
      <c r="CS459">
        <f ca="1"/>
      </c>
      <c r="CT459">
        <f ca="1"/>
      </c>
      <c r="CU459">
        <f ca="1"/>
      </c>
      <c r="CV459">
        <f ca="1"/>
      </c>
      <c r="CW459">
        <f ca="1"/>
      </c>
      <c r="CX459">
        <f ca="1"/>
      </c>
      <c r="CY459">
        <f ca="1"/>
      </c>
      <c r="CZ459">
        <f ca="1"/>
      </c>
      <c r="DA459">
        <f ca="1"/>
      </c>
      <c r="DB459">
        <f ca="1"/>
      </c>
      <c r="DC459">
        <f ca="1"/>
      </c>
      <c r="DD459">
        <f ca="1"/>
      </c>
      <c r="DE459">
        <f ca="1"/>
      </c>
      <c r="DF459">
        <f ca="1"/>
      </c>
      <c r="DG459">
        <f ca="1"/>
      </c>
      <c r="DH459">
        <f ca="1"/>
      </c>
      <c r="DI459">
        <f ca="1"/>
      </c>
      <c r="DJ459">
        <f ca="1"/>
      </c>
      <c r="DK459">
        <f ca="1"/>
      </c>
      <c r="DL459">
        <f ca="1"/>
      </c>
      <c r="DM459">
        <f ca="1"/>
      </c>
      <c r="DN459">
        <f ca="1"/>
      </c>
      <c r="DO459">
        <f ca="1"/>
      </c>
      <c r="DP459">
        <f ca="1"/>
      </c>
      <c r="DQ459">
        <f ca="1"/>
      </c>
      <c r="DR459">
        <f ca="1"/>
      </c>
      <c r="DS459">
        <f ca="1"/>
      </c>
      <c r="DT459">
        <f ca="1"/>
      </c>
      <c r="DU459">
        <f ca="1"/>
      </c>
      <c r="DV459">
        <f ca="1"/>
      </c>
      <c r="DW459">
        <f ca="1"/>
      </c>
      <c r="DX459">
        <f ca="1"/>
      </c>
      <c r="DY459">
        <f ca="1"/>
      </c>
      <c r="DZ459">
        <f ca="1"/>
      </c>
      <c r="EA459">
        <f ca="1"/>
      </c>
      <c r="EB459">
        <f ca="1"/>
      </c>
      <c r="EC459">
        <f ca="1"/>
      </c>
      <c r="ED459">
        <f ca="1"/>
      </c>
      <c r="EE459">
        <f ca="1"/>
      </c>
      <c r="EG459">
        <f ca="1"/>
      </c>
      <c r="EH459">
        <f ca="1"/>
      </c>
      <c r="EI459">
        <f ca="1"/>
      </c>
      <c r="EJ459">
        <f ca="1"/>
      </c>
      <c r="EK459">
        <f ca="1"/>
      </c>
      <c r="EL459">
        <f ca="1"/>
      </c>
      <c r="EM459">
        <f ca="1"/>
      </c>
      <c r="EN459">
        <f ca="1"/>
      </c>
      <c r="EO459">
        <f ca="1"/>
      </c>
      <c r="EP459">
        <f ca="1"/>
      </c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FS459">
        <f ca="1"/>
      </c>
      <c r="FT459">
        <f ca="1"/>
      </c>
      <c r="FU459">
        <f ca="1"/>
      </c>
      <c r="FV459">
        <f ca="1"/>
      </c>
      <c r="FW459">
        <f ca="1"/>
      </c>
      <c r="FX459">
        <f ca="1"/>
      </c>
      <c r="FY459">
        <f ca="1"/>
      </c>
      <c r="FZ459">
        <f ca="1"/>
      </c>
      <c r="GA459">
        <f ca="1"/>
      </c>
      <c r="GM459" s="7"/>
    </row>
    <row r="460" spans="41:195" x14ac:dyDescent="0.55000000000000004">
      <c r="AO460">
        <f ca="1"/>
      </c>
      <c r="AP460">
        <f ca="1"/>
      </c>
      <c r="AQ460">
        <f ca="1"/>
      </c>
      <c r="AR460">
        <f ca="1"/>
      </c>
      <c r="AS460">
        <f ca="1"/>
      </c>
      <c r="AT460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AZ460">
        <f ca="1"/>
      </c>
      <c r="BA460">
        <f ca="1"/>
      </c>
      <c r="BB460">
        <f ca="1"/>
      </c>
      <c r="BC460">
        <f ca="1"/>
      </c>
      <c r="BD460">
        <f ca="1"/>
      </c>
      <c r="BE460">
        <f ca="1"/>
      </c>
      <c r="BF460">
        <f ca="1"/>
      </c>
      <c r="BG460">
        <f ca="1"/>
      </c>
      <c r="BH460">
        <f ca="1"/>
      </c>
      <c r="BI460">
        <f ca="1"/>
      </c>
      <c r="BJ460">
        <f ca="1"/>
      </c>
      <c r="BK460">
        <f ca="1"/>
      </c>
      <c r="BL460">
        <f ca="1"/>
      </c>
      <c r="BM460">
        <f ca="1"/>
      </c>
      <c r="BN460">
        <f ca="1"/>
      </c>
      <c r="BO460">
        <f ca="1"/>
      </c>
      <c r="BP460">
        <f ca="1"/>
      </c>
      <c r="BQ460">
        <f ca="1"/>
      </c>
      <c r="BR460">
        <f ca="1"/>
      </c>
      <c r="BS460">
        <f ca="1"/>
      </c>
      <c r="BT460">
        <f ca="1"/>
      </c>
      <c r="BU460">
        <f ca="1"/>
      </c>
      <c r="BV460">
        <f ca="1"/>
      </c>
      <c r="BW460">
        <f ca="1"/>
      </c>
      <c r="BX460">
        <f ca="1"/>
      </c>
      <c r="BY460">
        <f ca="1"/>
      </c>
      <c r="BZ460">
        <f ca="1"/>
      </c>
      <c r="CA460">
        <f ca="1"/>
      </c>
      <c r="CB460">
        <f ca="1"/>
      </c>
      <c r="CC460">
        <f ca="1"/>
      </c>
      <c r="CD460">
        <f ca="1"/>
      </c>
      <c r="CE460">
        <f ca="1"/>
      </c>
      <c r="CF460">
        <f ca="1"/>
      </c>
      <c r="CG460">
        <f ca="1"/>
      </c>
      <c r="CH460">
        <f ca="1"/>
      </c>
      <c r="CI460">
        <f ca="1"/>
      </c>
      <c r="CK460">
        <f ca="1"/>
      </c>
      <c r="CL460">
        <f ca="1"/>
      </c>
      <c r="CM460">
        <f ca="1"/>
      </c>
      <c r="CN460">
        <f ca="1"/>
      </c>
      <c r="CO460">
        <f ca="1"/>
      </c>
      <c r="CP460">
        <f ca="1"/>
      </c>
      <c r="CQ460">
        <f ca="1"/>
      </c>
      <c r="CR460">
        <f ca="1"/>
      </c>
      <c r="CS460">
        <f ca="1"/>
      </c>
      <c r="CT460">
        <f ca="1"/>
      </c>
      <c r="CU460">
        <f ca="1"/>
      </c>
      <c r="CV460">
        <f ca="1"/>
      </c>
      <c r="CW460">
        <f ca="1"/>
      </c>
      <c r="CX460">
        <f ca="1"/>
      </c>
      <c r="CY460">
        <f ca="1"/>
      </c>
      <c r="CZ460">
        <f ca="1"/>
      </c>
      <c r="DA460">
        <f ca="1"/>
      </c>
      <c r="DB460">
        <f ca="1"/>
      </c>
      <c r="DC460">
        <f ca="1"/>
      </c>
      <c r="DD460">
        <f ca="1"/>
      </c>
      <c r="DE460">
        <f ca="1"/>
      </c>
      <c r="DF460">
        <f ca="1"/>
      </c>
      <c r="DG460">
        <f ca="1"/>
      </c>
      <c r="DH460">
        <f ca="1"/>
      </c>
      <c r="DI460">
        <f ca="1"/>
      </c>
      <c r="DJ460">
        <f ca="1"/>
      </c>
      <c r="DK460">
        <f ca="1"/>
      </c>
      <c r="DL460">
        <f ca="1"/>
      </c>
      <c r="DM460">
        <f ca="1"/>
      </c>
      <c r="DN460">
        <f ca="1"/>
      </c>
      <c r="DO460">
        <f ca="1"/>
      </c>
      <c r="DP460">
        <f ca="1"/>
      </c>
      <c r="DQ460">
        <f ca="1"/>
      </c>
      <c r="DR460">
        <f ca="1"/>
      </c>
      <c r="DS460">
        <f ca="1"/>
      </c>
      <c r="DT460">
        <f ca="1"/>
      </c>
      <c r="DU460">
        <f ca="1"/>
      </c>
      <c r="DV460">
        <f ca="1"/>
      </c>
      <c r="DW460">
        <f ca="1"/>
      </c>
      <c r="DX460">
        <f ca="1"/>
      </c>
      <c r="DY460">
        <f ca="1"/>
      </c>
      <c r="DZ460">
        <f ca="1"/>
      </c>
      <c r="EA460">
        <f ca="1"/>
      </c>
      <c r="EB460">
        <f ca="1"/>
      </c>
      <c r="EC460">
        <f ca="1"/>
      </c>
      <c r="ED460">
        <f ca="1"/>
      </c>
      <c r="EE460">
        <f ca="1"/>
      </c>
      <c r="EG460">
        <f ca="1"/>
      </c>
      <c r="EH460">
        <f ca="1"/>
      </c>
      <c r="EI460">
        <f ca="1"/>
      </c>
      <c r="EJ460">
        <f ca="1"/>
      </c>
      <c r="EK460">
        <f ca="1"/>
      </c>
      <c r="EL460">
        <f ca="1"/>
      </c>
      <c r="EM460">
        <f ca="1"/>
      </c>
      <c r="EN460">
        <f ca="1"/>
      </c>
      <c r="EO460">
        <f ca="1"/>
      </c>
      <c r="EP460">
        <f ca="1"/>
      </c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FS460">
        <f ca="1"/>
      </c>
      <c r="FT460">
        <f ca="1"/>
      </c>
      <c r="FU460">
        <f ca="1"/>
      </c>
      <c r="FV460">
        <f ca="1"/>
      </c>
      <c r="FW460">
        <f ca="1"/>
      </c>
      <c r="FX460">
        <f ca="1"/>
      </c>
      <c r="FY460">
        <f ca="1"/>
      </c>
      <c r="FZ460">
        <f ca="1"/>
      </c>
      <c r="GA460">
        <f ca="1"/>
      </c>
      <c r="GM460" s="7"/>
    </row>
    <row r="461" spans="41:195" x14ac:dyDescent="0.55000000000000004">
      <c r="AO461">
        <f ca="1"/>
      </c>
      <c r="AP461">
        <f ca="1"/>
      </c>
      <c r="AQ461">
        <f ca="1"/>
      </c>
      <c r="AR461">
        <f ca="1"/>
      </c>
      <c r="AS461">
        <f ca="1"/>
      </c>
      <c r="AT461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AZ461">
        <f ca="1"/>
      </c>
      <c r="BA461">
        <f ca="1"/>
      </c>
      <c r="BB461">
        <f ca="1"/>
      </c>
      <c r="BC461">
        <f ca="1"/>
      </c>
      <c r="BD461">
        <f ca="1"/>
      </c>
      <c r="BE461">
        <f ca="1"/>
      </c>
      <c r="BF461">
        <f ca="1"/>
      </c>
      <c r="BG461">
        <f ca="1"/>
      </c>
      <c r="BH461">
        <f ca="1"/>
      </c>
      <c r="BI461">
        <f ca="1"/>
      </c>
      <c r="BJ461">
        <f ca="1"/>
      </c>
      <c r="BK461">
        <f ca="1"/>
      </c>
      <c r="BL461">
        <f ca="1"/>
      </c>
      <c r="BM461">
        <f ca="1"/>
      </c>
      <c r="BN461">
        <f ca="1"/>
      </c>
      <c r="BO461">
        <f ca="1"/>
      </c>
      <c r="BP461">
        <f ca="1"/>
      </c>
      <c r="BQ461">
        <f ca="1"/>
      </c>
      <c r="BR461">
        <f ca="1"/>
      </c>
      <c r="BS461">
        <f ca="1"/>
      </c>
      <c r="BT461">
        <f ca="1"/>
      </c>
      <c r="BU461">
        <f ca="1"/>
      </c>
      <c r="BV461">
        <f ca="1"/>
      </c>
      <c r="BW461">
        <f ca="1"/>
      </c>
      <c r="BX461">
        <f ca="1"/>
      </c>
      <c r="BY461">
        <f ca="1"/>
      </c>
      <c r="BZ461">
        <f ca="1"/>
      </c>
      <c r="CA461">
        <f ca="1"/>
      </c>
      <c r="CB461">
        <f ca="1"/>
      </c>
      <c r="CC461">
        <f ca="1"/>
      </c>
      <c r="CD461">
        <f ca="1"/>
      </c>
      <c r="CE461">
        <f ca="1"/>
      </c>
      <c r="CF461">
        <f ca="1"/>
      </c>
      <c r="CG461">
        <f ca="1"/>
      </c>
      <c r="CH461">
        <f ca="1"/>
      </c>
      <c r="CI461">
        <f ca="1"/>
      </c>
      <c r="CK461">
        <f ca="1"/>
      </c>
      <c r="CL461">
        <f ca="1"/>
      </c>
      <c r="CM461">
        <f ca="1"/>
      </c>
      <c r="CN461">
        <f ca="1"/>
      </c>
      <c r="CO461">
        <f ca="1"/>
      </c>
      <c r="CP461">
        <f ca="1"/>
      </c>
      <c r="CQ461">
        <f ca="1"/>
      </c>
      <c r="CR461">
        <f ca="1"/>
      </c>
      <c r="CS461">
        <f ca="1"/>
      </c>
      <c r="CT461">
        <f ca="1"/>
      </c>
      <c r="CU461">
        <f ca="1"/>
      </c>
      <c r="CV461">
        <f ca="1"/>
      </c>
      <c r="CW461">
        <f ca="1"/>
      </c>
      <c r="CX461">
        <f ca="1"/>
      </c>
      <c r="CY461">
        <f ca="1"/>
      </c>
      <c r="CZ461">
        <f ca="1"/>
      </c>
      <c r="DA461">
        <f ca="1"/>
      </c>
      <c r="DB461">
        <f ca="1"/>
      </c>
      <c r="DC461">
        <f ca="1"/>
      </c>
      <c r="DD461">
        <f ca="1"/>
      </c>
      <c r="DE461">
        <f ca="1"/>
      </c>
      <c r="DF461">
        <f ca="1"/>
      </c>
      <c r="DG461">
        <f ca="1"/>
      </c>
      <c r="DH461">
        <f ca="1"/>
      </c>
      <c r="DI461">
        <f ca="1"/>
      </c>
      <c r="DJ461">
        <f ca="1"/>
      </c>
      <c r="DK461">
        <f ca="1"/>
      </c>
      <c r="DL461">
        <f ca="1"/>
      </c>
      <c r="DM461">
        <f ca="1"/>
      </c>
      <c r="DN461">
        <f ca="1"/>
      </c>
      <c r="DO461">
        <f ca="1"/>
      </c>
      <c r="DP461">
        <f ca="1"/>
      </c>
      <c r="DQ461">
        <f ca="1"/>
      </c>
      <c r="DR461">
        <f ca="1"/>
      </c>
      <c r="DS461">
        <f ca="1"/>
      </c>
      <c r="DT461">
        <f ca="1"/>
      </c>
      <c r="DU461">
        <f ca="1"/>
      </c>
      <c r="DV461">
        <f ca="1"/>
      </c>
      <c r="DW461">
        <f ca="1"/>
      </c>
      <c r="DX461">
        <f ca="1"/>
      </c>
      <c r="DY461">
        <f ca="1"/>
      </c>
      <c r="DZ461">
        <f ca="1"/>
      </c>
      <c r="EA461">
        <f ca="1"/>
      </c>
      <c r="EB461">
        <f ca="1"/>
      </c>
      <c r="EC461">
        <f ca="1"/>
      </c>
      <c r="ED461">
        <f ca="1"/>
      </c>
      <c r="EE461">
        <f ca="1"/>
      </c>
      <c r="EG461">
        <f ca="1"/>
      </c>
      <c r="EH461">
        <f ca="1"/>
      </c>
      <c r="EI461">
        <f ca="1"/>
      </c>
      <c r="EJ461">
        <f ca="1"/>
      </c>
      <c r="EK461">
        <f ca="1"/>
      </c>
      <c r="EL461">
        <f ca="1"/>
      </c>
      <c r="EM461">
        <f ca="1"/>
      </c>
      <c r="EN461">
        <f ca="1"/>
      </c>
      <c r="EO461">
        <f ca="1"/>
      </c>
      <c r="EP461">
        <f ca="1"/>
      </c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FS461">
        <f ca="1"/>
      </c>
      <c r="FT461">
        <f ca="1"/>
      </c>
      <c r="FU461">
        <f ca="1"/>
      </c>
      <c r="FV461">
        <f ca="1"/>
      </c>
      <c r="FW461">
        <f ca="1"/>
      </c>
      <c r="FX461">
        <f ca="1"/>
      </c>
      <c r="FY461">
        <f ca="1"/>
      </c>
      <c r="FZ461">
        <f ca="1"/>
      </c>
      <c r="GA461">
        <f ca="1"/>
      </c>
      <c r="GM461" s="7"/>
    </row>
    <row r="462" spans="41:195" x14ac:dyDescent="0.55000000000000004">
      <c r="AO462">
        <f ca="1"/>
      </c>
      <c r="AP462">
        <f ca="1"/>
      </c>
      <c r="AQ462">
        <f ca="1"/>
      </c>
      <c r="AR462">
        <f ca="1"/>
      </c>
      <c r="AS462">
        <f ca="1"/>
      </c>
      <c r="AT462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AZ462">
        <f ca="1"/>
      </c>
      <c r="BA462">
        <f ca="1"/>
      </c>
      <c r="BB462">
        <f ca="1"/>
      </c>
      <c r="BC462">
        <f ca="1"/>
      </c>
      <c r="BD462">
        <f ca="1"/>
      </c>
      <c r="BE462">
        <f ca="1"/>
      </c>
      <c r="BF462">
        <f ca="1"/>
      </c>
      <c r="BG462">
        <f ca="1"/>
      </c>
      <c r="BH462">
        <f ca="1"/>
      </c>
      <c r="BI462">
        <f ca="1"/>
      </c>
      <c r="BJ462">
        <f ca="1"/>
      </c>
      <c r="BK462">
        <f ca="1"/>
      </c>
      <c r="BL462">
        <f ca="1"/>
      </c>
      <c r="BM462">
        <f ca="1"/>
      </c>
      <c r="BN462">
        <f ca="1"/>
      </c>
      <c r="BO462">
        <f ca="1"/>
      </c>
      <c r="BP462">
        <f ca="1"/>
      </c>
      <c r="BQ462">
        <f ca="1"/>
      </c>
      <c r="BR462">
        <f ca="1"/>
      </c>
      <c r="BS462">
        <f ca="1"/>
      </c>
      <c r="BT462">
        <f ca="1"/>
      </c>
      <c r="BU462">
        <f ca="1"/>
      </c>
      <c r="BV462">
        <f ca="1"/>
      </c>
      <c r="BW462">
        <f ca="1"/>
      </c>
      <c r="BX462">
        <f ca="1"/>
      </c>
      <c r="BY462">
        <f ca="1"/>
      </c>
      <c r="BZ462">
        <f ca="1"/>
      </c>
      <c r="CA462">
        <f ca="1"/>
      </c>
      <c r="CB462">
        <f ca="1"/>
      </c>
      <c r="CC462">
        <f ca="1"/>
      </c>
      <c r="CD462">
        <f ca="1"/>
      </c>
      <c r="CE462">
        <f ca="1"/>
      </c>
      <c r="CF462">
        <f ca="1"/>
      </c>
      <c r="CG462">
        <f ca="1"/>
      </c>
      <c r="CH462">
        <f ca="1"/>
      </c>
      <c r="CI462">
        <f ca="1"/>
      </c>
      <c r="CK462">
        <f ca="1"/>
      </c>
      <c r="CL462">
        <f ca="1"/>
      </c>
      <c r="CM462">
        <f ca="1"/>
      </c>
      <c r="CN462">
        <f ca="1"/>
      </c>
      <c r="CO462">
        <f ca="1"/>
      </c>
      <c r="CP462">
        <f ca="1"/>
      </c>
      <c r="CQ462">
        <f ca="1"/>
      </c>
      <c r="CR462">
        <f ca="1"/>
      </c>
      <c r="CS462">
        <f ca="1"/>
      </c>
      <c r="CT462">
        <f ca="1"/>
      </c>
      <c r="CU462">
        <f ca="1"/>
      </c>
      <c r="CV462">
        <f ca="1"/>
      </c>
      <c r="CW462">
        <f ca="1"/>
      </c>
      <c r="CX462">
        <f ca="1"/>
      </c>
      <c r="CY462">
        <f ca="1"/>
      </c>
      <c r="CZ462">
        <f ca="1"/>
      </c>
      <c r="DA462">
        <f ca="1"/>
      </c>
      <c r="DB462">
        <f ca="1"/>
      </c>
      <c r="DC462">
        <f ca="1"/>
      </c>
      <c r="DD462">
        <f ca="1"/>
      </c>
      <c r="DE462">
        <f ca="1"/>
      </c>
      <c r="DF462">
        <f ca="1"/>
      </c>
      <c r="DG462">
        <f ca="1"/>
      </c>
      <c r="DH462">
        <f ca="1"/>
      </c>
      <c r="DI462">
        <f ca="1"/>
      </c>
      <c r="DJ462">
        <f ca="1"/>
      </c>
      <c r="DK462">
        <f ca="1"/>
      </c>
      <c r="DL462">
        <f ca="1"/>
      </c>
      <c r="DM462">
        <f ca="1"/>
      </c>
      <c r="DN462">
        <f ca="1"/>
      </c>
      <c r="DO462">
        <f ca="1"/>
      </c>
      <c r="DP462">
        <f ca="1"/>
      </c>
      <c r="DQ462">
        <f ca="1"/>
      </c>
      <c r="DR462">
        <f ca="1"/>
      </c>
      <c r="DS462">
        <f ca="1"/>
      </c>
      <c r="DT462">
        <f ca="1"/>
      </c>
      <c r="DU462">
        <f ca="1"/>
      </c>
      <c r="DV462">
        <f ca="1"/>
      </c>
      <c r="DW462">
        <f ca="1"/>
      </c>
      <c r="DX462">
        <f ca="1"/>
      </c>
      <c r="DY462">
        <f ca="1"/>
      </c>
      <c r="DZ462">
        <f ca="1"/>
      </c>
      <c r="EA462">
        <f ca="1"/>
      </c>
      <c r="EB462">
        <f ca="1"/>
      </c>
      <c r="EC462">
        <f ca="1"/>
      </c>
      <c r="ED462">
        <f ca="1"/>
      </c>
      <c r="EE462">
        <f ca="1"/>
      </c>
      <c r="EG462">
        <f ca="1"/>
      </c>
      <c r="EH462">
        <f ca="1"/>
      </c>
      <c r="EI462">
        <f ca="1"/>
      </c>
      <c r="EJ462">
        <f ca="1"/>
      </c>
      <c r="EK462">
        <f ca="1"/>
      </c>
      <c r="EL462">
        <f ca="1"/>
      </c>
      <c r="EM462">
        <f ca="1"/>
      </c>
      <c r="EN462">
        <f ca="1"/>
      </c>
      <c r="EO462">
        <f ca="1"/>
      </c>
      <c r="EP462">
        <f ca="1"/>
      </c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FS462">
        <f ca="1"/>
      </c>
      <c r="FT462">
        <f ca="1"/>
      </c>
      <c r="FU462">
        <f ca="1"/>
      </c>
      <c r="FV462">
        <f ca="1"/>
      </c>
      <c r="FW462">
        <f ca="1"/>
      </c>
      <c r="FX462">
        <f ca="1"/>
      </c>
      <c r="FY462">
        <f ca="1"/>
      </c>
      <c r="FZ462">
        <f ca="1"/>
      </c>
      <c r="GA462">
        <f ca="1"/>
      </c>
      <c r="GM462" s="7"/>
    </row>
    <row r="463" spans="41:195" x14ac:dyDescent="0.55000000000000004">
      <c r="AO463">
        <f ca="1"/>
      </c>
      <c r="AP463">
        <f ca="1"/>
      </c>
      <c r="AQ463">
        <f ca="1"/>
      </c>
      <c r="AR463">
        <f ca="1"/>
      </c>
      <c r="AS463">
        <f ca="1"/>
      </c>
      <c r="AT463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AZ463">
        <f ca="1"/>
      </c>
      <c r="BA463">
        <f ca="1"/>
      </c>
      <c r="BB463">
        <f ca="1"/>
      </c>
      <c r="BC463">
        <f ca="1"/>
      </c>
      <c r="BD463">
        <f ca="1"/>
      </c>
      <c r="BE463">
        <f ca="1"/>
      </c>
      <c r="BF463">
        <f ca="1"/>
      </c>
      <c r="BG463">
        <f ca="1"/>
      </c>
      <c r="BH463">
        <f ca="1"/>
      </c>
      <c r="BI463">
        <f ca="1"/>
      </c>
      <c r="BJ463">
        <f ca="1"/>
      </c>
      <c r="BK463">
        <f ca="1"/>
      </c>
      <c r="BL463">
        <f ca="1"/>
      </c>
      <c r="BM463">
        <f ca="1"/>
      </c>
      <c r="BN463">
        <f ca="1"/>
      </c>
      <c r="BO463">
        <f ca="1"/>
      </c>
      <c r="BP463">
        <f ca="1"/>
      </c>
      <c r="BQ463">
        <f ca="1"/>
      </c>
      <c r="BR463">
        <f ca="1"/>
      </c>
      <c r="BS463">
        <f ca="1"/>
      </c>
      <c r="BT463">
        <f ca="1"/>
      </c>
      <c r="BU463">
        <f ca="1"/>
      </c>
      <c r="BV463">
        <f ca="1"/>
      </c>
      <c r="BW463">
        <f ca="1"/>
      </c>
      <c r="BX463">
        <f ca="1"/>
      </c>
      <c r="BY463">
        <f ca="1"/>
      </c>
      <c r="BZ463">
        <f ca="1"/>
      </c>
      <c r="CA463">
        <f ca="1"/>
      </c>
      <c r="CB463">
        <f ca="1"/>
      </c>
      <c r="CC463">
        <f ca="1"/>
      </c>
      <c r="CD463">
        <f ca="1"/>
      </c>
      <c r="CE463">
        <f ca="1"/>
      </c>
      <c r="CF463">
        <f ca="1"/>
      </c>
      <c r="CG463">
        <f ca="1"/>
      </c>
      <c r="CH463">
        <f ca="1"/>
      </c>
      <c r="CI463">
        <f ca="1"/>
      </c>
      <c r="CK463">
        <f ca="1"/>
      </c>
      <c r="CL463">
        <f ca="1"/>
      </c>
      <c r="CM463">
        <f ca="1"/>
      </c>
      <c r="CN463">
        <f ca="1"/>
      </c>
      <c r="CO463">
        <f ca="1"/>
      </c>
      <c r="CP463">
        <f ca="1"/>
      </c>
      <c r="CQ463">
        <f ca="1"/>
      </c>
      <c r="CR463">
        <f ca="1"/>
      </c>
      <c r="CS463">
        <f ca="1"/>
      </c>
      <c r="CT463">
        <f ca="1"/>
      </c>
      <c r="CU463">
        <f ca="1"/>
      </c>
      <c r="CV463">
        <f ca="1"/>
      </c>
      <c r="CW463">
        <f ca="1"/>
      </c>
      <c r="CX463">
        <f ca="1"/>
      </c>
      <c r="CY463">
        <f ca="1"/>
      </c>
      <c r="CZ463">
        <f ca="1"/>
      </c>
      <c r="DA463">
        <f ca="1"/>
      </c>
      <c r="DB463">
        <f ca="1"/>
      </c>
      <c r="DC463">
        <f ca="1"/>
      </c>
      <c r="DD463">
        <f ca="1"/>
      </c>
      <c r="DE463">
        <f ca="1"/>
      </c>
      <c r="DF463">
        <f ca="1"/>
      </c>
      <c r="DG463">
        <f ca="1"/>
      </c>
      <c r="DH463">
        <f ca="1"/>
      </c>
      <c r="DI463">
        <f ca="1"/>
      </c>
      <c r="DJ463">
        <f ca="1"/>
      </c>
      <c r="DK463">
        <f ca="1"/>
      </c>
      <c r="DL463">
        <f ca="1"/>
      </c>
      <c r="DM463">
        <f ca="1"/>
      </c>
      <c r="DN463">
        <f ca="1"/>
      </c>
      <c r="DO463">
        <f ca="1"/>
      </c>
      <c r="DP463">
        <f ca="1"/>
      </c>
      <c r="DQ463">
        <f ca="1"/>
      </c>
      <c r="DR463">
        <f ca="1"/>
      </c>
      <c r="DS463">
        <f ca="1"/>
      </c>
      <c r="DT463">
        <f ca="1"/>
      </c>
      <c r="DU463">
        <f ca="1"/>
      </c>
      <c r="DV463">
        <f ca="1"/>
      </c>
      <c r="DW463">
        <f ca="1"/>
      </c>
      <c r="DX463">
        <f ca="1"/>
      </c>
      <c r="DY463">
        <f ca="1"/>
      </c>
      <c r="DZ463">
        <f ca="1"/>
      </c>
      <c r="EA463">
        <f ca="1"/>
      </c>
      <c r="EB463">
        <f ca="1"/>
      </c>
      <c r="EC463">
        <f ca="1"/>
      </c>
      <c r="ED463">
        <f ca="1"/>
      </c>
      <c r="EE463">
        <f ca="1"/>
      </c>
      <c r="EG463">
        <f ca="1"/>
      </c>
      <c r="EH463">
        <f ca="1"/>
      </c>
      <c r="EI463">
        <f ca="1"/>
      </c>
      <c r="EJ463">
        <f ca="1"/>
      </c>
      <c r="EK463">
        <f ca="1"/>
      </c>
      <c r="EL463">
        <f ca="1"/>
      </c>
      <c r="EM463">
        <f ca="1"/>
      </c>
      <c r="EN463">
        <f ca="1"/>
      </c>
      <c r="EO463">
        <f ca="1"/>
      </c>
      <c r="EP463">
        <f ca="1"/>
      </c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FS463">
        <f ca="1"/>
      </c>
      <c r="FT463">
        <f ca="1"/>
      </c>
      <c r="FU463">
        <f ca="1"/>
      </c>
      <c r="FV463">
        <f ca="1"/>
      </c>
      <c r="FW463">
        <f ca="1"/>
      </c>
      <c r="FX463">
        <f ca="1"/>
      </c>
      <c r="FY463">
        <f ca="1"/>
      </c>
      <c r="FZ463">
        <f ca="1"/>
      </c>
      <c r="GA463">
        <f ca="1"/>
      </c>
      <c r="GM463" s="7"/>
    </row>
    <row r="464" spans="41:195" x14ac:dyDescent="0.55000000000000004">
      <c r="AO464">
        <f ca="1"/>
      </c>
      <c r="AP464">
        <f ca="1"/>
      </c>
      <c r="AQ464">
        <f ca="1"/>
      </c>
      <c r="AR464">
        <f ca="1"/>
      </c>
      <c r="AS464">
        <f ca="1"/>
      </c>
      <c r="AT464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AZ464">
        <f ca="1"/>
      </c>
      <c r="BA464">
        <f ca="1"/>
      </c>
      <c r="BB464">
        <f ca="1"/>
      </c>
      <c r="BC464">
        <f ca="1"/>
      </c>
      <c r="BD464">
        <f ca="1"/>
      </c>
      <c r="BE464">
        <f ca="1"/>
      </c>
      <c r="BF464">
        <f ca="1"/>
      </c>
      <c r="BG464">
        <f ca="1"/>
      </c>
      <c r="BH464">
        <f ca="1"/>
      </c>
      <c r="BI464">
        <f ca="1"/>
      </c>
      <c r="BJ464">
        <f ca="1"/>
      </c>
      <c r="BK464">
        <f ca="1"/>
      </c>
      <c r="BL464">
        <f ca="1"/>
      </c>
      <c r="BM464">
        <f ca="1"/>
      </c>
      <c r="BN464">
        <f ca="1"/>
      </c>
      <c r="BO464">
        <f ca="1"/>
      </c>
      <c r="BP464">
        <f ca="1"/>
      </c>
      <c r="BQ464">
        <f ca="1"/>
      </c>
      <c r="BR464">
        <f ca="1"/>
      </c>
      <c r="BS464">
        <f ca="1"/>
      </c>
      <c r="BT464">
        <f ca="1"/>
      </c>
      <c r="BU464">
        <f ca="1"/>
      </c>
      <c r="BV464">
        <f ca="1"/>
      </c>
      <c r="BW464">
        <f ca="1"/>
      </c>
      <c r="BX464">
        <f ca="1"/>
      </c>
      <c r="BY464">
        <f ca="1"/>
      </c>
      <c r="BZ464">
        <f ca="1"/>
      </c>
      <c r="CA464">
        <f ca="1"/>
      </c>
      <c r="CB464">
        <f ca="1"/>
      </c>
      <c r="CC464">
        <f ca="1"/>
      </c>
      <c r="CD464">
        <f ca="1"/>
      </c>
      <c r="CE464">
        <f ca="1"/>
      </c>
      <c r="CF464">
        <f ca="1"/>
      </c>
      <c r="CG464">
        <f ca="1"/>
      </c>
      <c r="CH464">
        <f ca="1"/>
      </c>
      <c r="CI464">
        <f ca="1"/>
      </c>
      <c r="CK464">
        <f ca="1"/>
      </c>
      <c r="CL464">
        <f ca="1"/>
      </c>
      <c r="CM464">
        <f ca="1"/>
      </c>
      <c r="CN464">
        <f ca="1"/>
      </c>
      <c r="CO464">
        <f ca="1"/>
      </c>
      <c r="CP464">
        <f ca="1"/>
      </c>
      <c r="CQ464">
        <f ca="1"/>
      </c>
      <c r="CR464">
        <f ca="1"/>
      </c>
      <c r="CS464">
        <f ca="1"/>
      </c>
      <c r="CT464">
        <f ca="1"/>
      </c>
      <c r="CU464">
        <f ca="1"/>
      </c>
      <c r="CV464">
        <f ca="1"/>
      </c>
      <c r="CW464">
        <f ca="1"/>
      </c>
      <c r="CX464">
        <f ca="1"/>
      </c>
      <c r="CY464">
        <f ca="1"/>
      </c>
      <c r="CZ464">
        <f ca="1"/>
      </c>
      <c r="DA464">
        <f ca="1"/>
      </c>
      <c r="DB464">
        <f ca="1"/>
      </c>
      <c r="DC464">
        <f ca="1"/>
      </c>
      <c r="DD464">
        <f ca="1"/>
      </c>
      <c r="DE464">
        <f ca="1"/>
      </c>
      <c r="DF464">
        <f ca="1"/>
      </c>
      <c r="DG464">
        <f ca="1"/>
      </c>
      <c r="DH464">
        <f ca="1"/>
      </c>
      <c r="DI464">
        <f ca="1"/>
      </c>
      <c r="DJ464">
        <f ca="1"/>
      </c>
      <c r="DK464">
        <f ca="1"/>
      </c>
      <c r="DL464">
        <f ca="1"/>
      </c>
      <c r="DM464">
        <f ca="1"/>
      </c>
      <c r="DN464">
        <f ca="1"/>
      </c>
      <c r="DO464">
        <f ca="1"/>
      </c>
      <c r="DP464">
        <f ca="1"/>
      </c>
      <c r="DQ464">
        <f ca="1"/>
      </c>
      <c r="DR464">
        <f ca="1"/>
      </c>
      <c r="DS464">
        <f ca="1"/>
      </c>
      <c r="DT464">
        <f ca="1"/>
      </c>
      <c r="DU464">
        <f ca="1"/>
      </c>
      <c r="DV464">
        <f ca="1"/>
      </c>
      <c r="DW464">
        <f ca="1"/>
      </c>
      <c r="DX464">
        <f ca="1"/>
      </c>
      <c r="DY464">
        <f ca="1"/>
      </c>
      <c r="DZ464">
        <f ca="1"/>
      </c>
      <c r="EA464">
        <f ca="1"/>
      </c>
      <c r="EB464">
        <f ca="1"/>
      </c>
      <c r="EC464">
        <f ca="1"/>
      </c>
      <c r="ED464">
        <f ca="1"/>
      </c>
      <c r="EE464">
        <f ca="1"/>
      </c>
      <c r="EG464">
        <f ca="1"/>
      </c>
      <c r="EH464">
        <f ca="1"/>
      </c>
      <c r="EI464">
        <f ca="1"/>
      </c>
      <c r="EJ464">
        <f ca="1"/>
      </c>
      <c r="EK464">
        <f ca="1"/>
      </c>
      <c r="EL464">
        <f ca="1"/>
      </c>
      <c r="EM464">
        <f ca="1"/>
      </c>
      <c r="EN464">
        <f ca="1"/>
      </c>
      <c r="EO464">
        <f ca="1"/>
      </c>
      <c r="EP464">
        <f ca="1"/>
      </c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FS464">
        <f ca="1"/>
      </c>
      <c r="FT464">
        <f ca="1"/>
      </c>
      <c r="FU464">
        <f ca="1"/>
      </c>
      <c r="FV464">
        <f ca="1"/>
      </c>
      <c r="FW464">
        <f ca="1"/>
      </c>
      <c r="FX464">
        <f ca="1"/>
      </c>
      <c r="FY464">
        <f ca="1"/>
      </c>
      <c r="FZ464">
        <f ca="1"/>
      </c>
      <c r="GA464">
        <f ca="1"/>
      </c>
      <c r="GM464" s="7"/>
    </row>
    <row r="465" spans="41:195" x14ac:dyDescent="0.55000000000000004">
      <c r="AO465">
        <f ca="1"/>
      </c>
      <c r="AP465">
        <f ca="1"/>
      </c>
      <c r="AQ465">
        <f ca="1"/>
      </c>
      <c r="AR465">
        <f ca="1"/>
      </c>
      <c r="AS465">
        <f ca="1"/>
      </c>
      <c r="AT465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AZ465">
        <f ca="1"/>
      </c>
      <c r="BA465">
        <f ca="1"/>
      </c>
      <c r="BB465">
        <f ca="1"/>
      </c>
      <c r="BC465">
        <f ca="1"/>
      </c>
      <c r="BD465">
        <f ca="1"/>
      </c>
      <c r="BE465">
        <f ca="1"/>
      </c>
      <c r="BF465">
        <f ca="1"/>
      </c>
      <c r="BG465">
        <f ca="1"/>
      </c>
      <c r="BH465">
        <f ca="1"/>
      </c>
      <c r="BI465">
        <f ca="1"/>
      </c>
      <c r="BJ465">
        <f ca="1"/>
      </c>
      <c r="BK465">
        <f ca="1"/>
      </c>
      <c r="BL465">
        <f ca="1"/>
      </c>
      <c r="BM465">
        <f ca="1"/>
      </c>
      <c r="BN465">
        <f ca="1"/>
      </c>
      <c r="BO465">
        <f ca="1"/>
      </c>
      <c r="BP465">
        <f ca="1"/>
      </c>
      <c r="BQ465">
        <f ca="1"/>
      </c>
      <c r="BR465">
        <f ca="1"/>
      </c>
      <c r="BS465">
        <f ca="1"/>
      </c>
      <c r="BT465">
        <f ca="1"/>
      </c>
      <c r="BU465">
        <f ca="1"/>
      </c>
      <c r="BV465">
        <f ca="1"/>
      </c>
      <c r="BW465">
        <f ca="1"/>
      </c>
      <c r="BX465">
        <f ca="1"/>
      </c>
      <c r="BY465">
        <f ca="1"/>
      </c>
      <c r="BZ465">
        <f ca="1"/>
      </c>
      <c r="CA465">
        <f ca="1"/>
      </c>
      <c r="CB465">
        <f ca="1"/>
      </c>
      <c r="CC465">
        <f ca="1"/>
      </c>
      <c r="CD465">
        <f ca="1"/>
      </c>
      <c r="CE465">
        <f ca="1"/>
      </c>
      <c r="CF465">
        <f ca="1"/>
      </c>
      <c r="CG465">
        <f ca="1"/>
      </c>
      <c r="CH465">
        <f ca="1"/>
      </c>
      <c r="CI465">
        <f ca="1"/>
      </c>
      <c r="CK465">
        <f ca="1"/>
      </c>
      <c r="CL465">
        <f ca="1"/>
      </c>
      <c r="CM465">
        <f ca="1"/>
      </c>
      <c r="CN465">
        <f ca="1"/>
      </c>
      <c r="CO465">
        <f ca="1"/>
      </c>
      <c r="CP465">
        <f ca="1"/>
      </c>
      <c r="CQ465">
        <f ca="1"/>
      </c>
      <c r="CR465">
        <f ca="1"/>
      </c>
      <c r="CS465">
        <f ca="1"/>
      </c>
      <c r="CT465">
        <f ca="1"/>
      </c>
      <c r="CU465">
        <f ca="1"/>
      </c>
      <c r="CV465">
        <f ca="1"/>
      </c>
      <c r="CW465">
        <f ca="1"/>
      </c>
      <c r="CX465">
        <f ca="1"/>
      </c>
      <c r="CY465">
        <f ca="1"/>
      </c>
      <c r="CZ465">
        <f ca="1"/>
      </c>
      <c r="DA465">
        <f ca="1"/>
      </c>
      <c r="DB465">
        <f ca="1"/>
      </c>
      <c r="DC465">
        <f ca="1"/>
      </c>
      <c r="DD465">
        <f ca="1"/>
      </c>
      <c r="DE465">
        <f ca="1"/>
      </c>
      <c r="DF465">
        <f ca="1"/>
      </c>
      <c r="DG465">
        <f ca="1"/>
      </c>
      <c r="DH465">
        <f ca="1"/>
      </c>
      <c r="DI465">
        <f ca="1"/>
      </c>
      <c r="DJ465">
        <f ca="1"/>
      </c>
      <c r="DK465">
        <f ca="1"/>
      </c>
      <c r="DL465">
        <f ca="1"/>
      </c>
      <c r="DM465">
        <f ca="1"/>
      </c>
      <c r="DN465">
        <f ca="1"/>
      </c>
      <c r="DO465">
        <f ca="1"/>
      </c>
      <c r="DP465">
        <f ca="1"/>
      </c>
      <c r="DQ465">
        <f ca="1"/>
      </c>
      <c r="DR465">
        <f ca="1"/>
      </c>
      <c r="DS465">
        <f ca="1"/>
      </c>
      <c r="DT465">
        <f ca="1"/>
      </c>
      <c r="DU465">
        <f ca="1"/>
      </c>
      <c r="DV465">
        <f ca="1"/>
      </c>
      <c r="DW465">
        <f ca="1"/>
      </c>
      <c r="DX465">
        <f ca="1"/>
      </c>
      <c r="DY465">
        <f ca="1"/>
      </c>
      <c r="DZ465">
        <f ca="1"/>
      </c>
      <c r="EA465">
        <f ca="1"/>
      </c>
      <c r="EB465">
        <f ca="1"/>
      </c>
      <c r="EC465">
        <f ca="1"/>
      </c>
      <c r="ED465">
        <f ca="1"/>
      </c>
      <c r="EE465">
        <f ca="1"/>
      </c>
      <c r="EG465">
        <f ca="1"/>
      </c>
      <c r="EH465">
        <f ca="1"/>
      </c>
      <c r="EI465">
        <f ca="1"/>
      </c>
      <c r="EJ465">
        <f ca="1"/>
      </c>
      <c r="EK465">
        <f ca="1"/>
      </c>
      <c r="EL465">
        <f ca="1"/>
      </c>
      <c r="EM465">
        <f ca="1"/>
      </c>
      <c r="EN465">
        <f ca="1"/>
      </c>
      <c r="EO465">
        <f ca="1"/>
      </c>
      <c r="EP465">
        <f ca="1"/>
      </c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FS465">
        <f ca="1"/>
      </c>
      <c r="FT465">
        <f ca="1"/>
      </c>
      <c r="FU465">
        <f ca="1"/>
      </c>
      <c r="FV465">
        <f ca="1"/>
      </c>
      <c r="FW465">
        <f ca="1"/>
      </c>
      <c r="FX465">
        <f ca="1"/>
      </c>
      <c r="FY465">
        <f ca="1"/>
      </c>
      <c r="FZ465">
        <f ca="1"/>
      </c>
      <c r="GA465">
        <f ca="1"/>
      </c>
      <c r="GM465" s="7"/>
    </row>
    <row r="466" spans="41:195" x14ac:dyDescent="0.55000000000000004">
      <c r="AO466">
        <f ca="1"/>
      </c>
      <c r="AP466">
        <f ca="1"/>
      </c>
      <c r="AQ466">
        <f ca="1"/>
      </c>
      <c r="AR466">
        <f ca="1"/>
      </c>
      <c r="AS466">
        <f ca="1"/>
      </c>
      <c r="AT466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AZ466">
        <f ca="1"/>
      </c>
      <c r="BA466">
        <f ca="1"/>
      </c>
      <c r="BB466">
        <f ca="1"/>
      </c>
      <c r="BC466">
        <f ca="1"/>
      </c>
      <c r="BD466">
        <f ca="1"/>
      </c>
      <c r="BE466">
        <f ca="1"/>
      </c>
      <c r="BF466">
        <f ca="1"/>
      </c>
      <c r="BG466">
        <f ca="1"/>
      </c>
      <c r="BH466">
        <f ca="1"/>
      </c>
      <c r="BI466">
        <f ca="1"/>
      </c>
      <c r="BJ466">
        <f ca="1"/>
      </c>
      <c r="BK466">
        <f ca="1"/>
      </c>
      <c r="BL466">
        <f ca="1"/>
      </c>
      <c r="BM466">
        <f ca="1"/>
      </c>
      <c r="BN466">
        <f ca="1"/>
      </c>
      <c r="BO466">
        <f ca="1"/>
      </c>
      <c r="BP466">
        <f ca="1"/>
      </c>
      <c r="BQ466">
        <f ca="1"/>
      </c>
      <c r="BR466">
        <f ca="1"/>
      </c>
      <c r="BS466">
        <f ca="1"/>
      </c>
      <c r="BT466">
        <f ca="1"/>
      </c>
      <c r="BU466">
        <f ca="1"/>
      </c>
      <c r="BV466">
        <f ca="1"/>
      </c>
      <c r="BW466">
        <f ca="1"/>
      </c>
      <c r="BX466">
        <f ca="1"/>
      </c>
      <c r="BY466">
        <f ca="1"/>
      </c>
      <c r="BZ466">
        <f ca="1"/>
      </c>
      <c r="CA466">
        <f ca="1"/>
      </c>
      <c r="CB466">
        <f ca="1"/>
      </c>
      <c r="CC466">
        <f ca="1"/>
      </c>
      <c r="CD466">
        <f ca="1"/>
      </c>
      <c r="CE466">
        <f ca="1"/>
      </c>
      <c r="CF466">
        <f ca="1"/>
      </c>
      <c r="CG466">
        <f ca="1"/>
      </c>
      <c r="CH466">
        <f ca="1"/>
      </c>
      <c r="CI466">
        <f ca="1"/>
      </c>
      <c r="CK466">
        <f ca="1"/>
      </c>
      <c r="CL466">
        <f ca="1"/>
      </c>
      <c r="CM466">
        <f ca="1"/>
      </c>
      <c r="CN466">
        <f ca="1"/>
      </c>
      <c r="CO466">
        <f ca="1"/>
      </c>
      <c r="CP466">
        <f ca="1"/>
      </c>
      <c r="CQ466">
        <f ca="1"/>
      </c>
      <c r="CR466">
        <f ca="1"/>
      </c>
      <c r="CS466">
        <f ca="1"/>
      </c>
      <c r="CT466">
        <f ca="1"/>
      </c>
      <c r="CU466">
        <f ca="1"/>
      </c>
      <c r="CV466">
        <f ca="1"/>
      </c>
      <c r="CW466">
        <f ca="1"/>
      </c>
      <c r="CX466">
        <f ca="1"/>
      </c>
      <c r="CY466">
        <f ca="1"/>
      </c>
      <c r="CZ466">
        <f ca="1"/>
      </c>
      <c r="DA466">
        <f ca="1"/>
      </c>
      <c r="DB466">
        <f ca="1"/>
      </c>
      <c r="DC466">
        <f ca="1"/>
      </c>
      <c r="DD466">
        <f ca="1"/>
      </c>
      <c r="DE466">
        <f ca="1"/>
      </c>
      <c r="DF466">
        <f ca="1"/>
      </c>
      <c r="DG466">
        <f ca="1"/>
      </c>
      <c r="DH466">
        <f ca="1"/>
      </c>
      <c r="DI466">
        <f ca="1"/>
      </c>
      <c r="DJ466">
        <f ca="1"/>
      </c>
      <c r="DK466">
        <f ca="1"/>
      </c>
      <c r="DL466">
        <f ca="1"/>
      </c>
      <c r="DM466">
        <f ca="1"/>
      </c>
      <c r="DN466">
        <f ca="1"/>
      </c>
      <c r="DO466">
        <f ca="1"/>
      </c>
      <c r="DP466">
        <f ca="1"/>
      </c>
      <c r="DQ466">
        <f ca="1"/>
      </c>
      <c r="DR466">
        <f ca="1"/>
      </c>
      <c r="DS466">
        <f ca="1"/>
      </c>
      <c r="DT466">
        <f ca="1"/>
      </c>
      <c r="DU466">
        <f ca="1"/>
      </c>
      <c r="DV466">
        <f ca="1"/>
      </c>
      <c r="DW466">
        <f ca="1"/>
      </c>
      <c r="DX466">
        <f ca="1"/>
      </c>
      <c r="DY466">
        <f ca="1"/>
      </c>
      <c r="DZ466">
        <f ca="1"/>
      </c>
      <c r="EA466">
        <f ca="1"/>
      </c>
      <c r="EB466">
        <f ca="1"/>
      </c>
      <c r="EC466">
        <f ca="1"/>
      </c>
      <c r="ED466">
        <f ca="1"/>
      </c>
      <c r="EE466">
        <f ca="1"/>
      </c>
      <c r="EG466">
        <f ca="1"/>
      </c>
      <c r="EH466">
        <f ca="1"/>
      </c>
      <c r="EI466">
        <f ca="1"/>
      </c>
      <c r="EJ466">
        <f ca="1"/>
      </c>
      <c r="EK466">
        <f ca="1"/>
      </c>
      <c r="EL466">
        <f ca="1"/>
      </c>
      <c r="EM466">
        <f ca="1"/>
      </c>
      <c r="EN466">
        <f ca="1"/>
      </c>
      <c r="EO466">
        <f ca="1"/>
      </c>
      <c r="EP466">
        <f ca="1"/>
      </c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FS466">
        <f ca="1"/>
      </c>
      <c r="FT466">
        <f ca="1"/>
      </c>
      <c r="FU466">
        <f ca="1"/>
      </c>
      <c r="FV466">
        <f ca="1"/>
      </c>
      <c r="FW466">
        <f ca="1"/>
      </c>
      <c r="FX466">
        <f ca="1"/>
      </c>
      <c r="FY466">
        <f ca="1"/>
      </c>
      <c r="FZ466">
        <f ca="1"/>
      </c>
      <c r="GA466">
        <f ca="1"/>
      </c>
      <c r="GM466" s="7"/>
    </row>
    <row r="467" spans="41:195" x14ac:dyDescent="0.55000000000000004">
      <c r="AO467">
        <f ca="1"/>
      </c>
      <c r="AP467">
        <f ca="1"/>
      </c>
      <c r="AQ467">
        <f ca="1"/>
      </c>
      <c r="AR467">
        <f ca="1"/>
      </c>
      <c r="AS467">
        <f ca="1"/>
      </c>
      <c r="AT46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AZ467">
        <f ca="1"/>
      </c>
      <c r="BA467">
        <f ca="1"/>
      </c>
      <c r="BB467">
        <f ca="1"/>
      </c>
      <c r="BC467">
        <f ca="1"/>
      </c>
      <c r="BD467">
        <f ca="1"/>
      </c>
      <c r="BE467">
        <f ca="1"/>
      </c>
      <c r="BF467">
        <f ca="1"/>
      </c>
      <c r="BG467">
        <f ca="1"/>
      </c>
      <c r="BH467">
        <f ca="1"/>
      </c>
      <c r="BI467">
        <f ca="1"/>
      </c>
      <c r="BJ467">
        <f ca="1"/>
      </c>
      <c r="BK467">
        <f ca="1"/>
      </c>
      <c r="BL467">
        <f ca="1"/>
      </c>
      <c r="BM467">
        <f ca="1"/>
      </c>
      <c r="BN467">
        <f ca="1"/>
      </c>
      <c r="BO467">
        <f ca="1"/>
      </c>
      <c r="BP467">
        <f ca="1"/>
      </c>
      <c r="BQ467">
        <f ca="1"/>
      </c>
      <c r="BR467">
        <f ca="1"/>
      </c>
      <c r="BS467">
        <f ca="1"/>
      </c>
      <c r="BT467">
        <f ca="1"/>
      </c>
      <c r="BU467">
        <f ca="1"/>
      </c>
      <c r="BV467">
        <f ca="1"/>
      </c>
      <c r="BW467">
        <f ca="1"/>
      </c>
      <c r="BX467">
        <f ca="1"/>
      </c>
      <c r="BY467">
        <f ca="1"/>
      </c>
      <c r="BZ467">
        <f ca="1"/>
      </c>
      <c r="CA467">
        <f ca="1"/>
      </c>
      <c r="CB467">
        <f ca="1"/>
      </c>
      <c r="CC467">
        <f ca="1"/>
      </c>
      <c r="CD467">
        <f ca="1"/>
      </c>
      <c r="CE467">
        <f ca="1"/>
      </c>
      <c r="CF467">
        <f ca="1"/>
      </c>
      <c r="CG467">
        <f ca="1"/>
      </c>
      <c r="CH467">
        <f ca="1"/>
      </c>
      <c r="CI467">
        <f ca="1"/>
      </c>
      <c r="CK467">
        <f ca="1"/>
      </c>
      <c r="CL467">
        <f ca="1"/>
      </c>
      <c r="CM467">
        <f ca="1"/>
      </c>
      <c r="CN467">
        <f ca="1"/>
      </c>
      <c r="CO467">
        <f ca="1"/>
      </c>
      <c r="CP467">
        <f ca="1"/>
      </c>
      <c r="CQ467">
        <f ca="1"/>
      </c>
      <c r="CR467">
        <f ca="1"/>
      </c>
      <c r="CS467">
        <f ca="1"/>
      </c>
      <c r="CT467">
        <f ca="1"/>
      </c>
      <c r="CU467">
        <f ca="1"/>
      </c>
      <c r="CV467">
        <f ca="1"/>
      </c>
      <c r="CW467">
        <f ca="1"/>
      </c>
      <c r="CX467">
        <f ca="1"/>
      </c>
      <c r="CY467">
        <f ca="1"/>
      </c>
      <c r="CZ467">
        <f ca="1"/>
      </c>
      <c r="DA467">
        <f ca="1"/>
      </c>
      <c r="DB467">
        <f ca="1"/>
      </c>
      <c r="DC467">
        <f ca="1"/>
      </c>
      <c r="DD467">
        <f ca="1"/>
      </c>
      <c r="DE467">
        <f ca="1"/>
      </c>
      <c r="DF467">
        <f ca="1"/>
      </c>
      <c r="DG467">
        <f ca="1"/>
      </c>
      <c r="DH467">
        <f ca="1"/>
      </c>
      <c r="DI467">
        <f ca="1"/>
      </c>
      <c r="DJ467">
        <f ca="1"/>
      </c>
      <c r="DK467">
        <f ca="1"/>
      </c>
      <c r="DL467">
        <f ca="1"/>
      </c>
      <c r="DM467">
        <f ca="1"/>
      </c>
      <c r="DN467">
        <f ca="1"/>
      </c>
      <c r="DO467">
        <f ca="1"/>
      </c>
      <c r="DP467">
        <f ca="1"/>
      </c>
      <c r="DQ467">
        <f ca="1"/>
      </c>
      <c r="DR467">
        <f ca="1"/>
      </c>
      <c r="DS467">
        <f ca="1"/>
      </c>
      <c r="DT467">
        <f ca="1"/>
      </c>
      <c r="DU467">
        <f ca="1"/>
      </c>
      <c r="DV467">
        <f ca="1"/>
      </c>
      <c r="DW467">
        <f ca="1"/>
      </c>
      <c r="DX467">
        <f ca="1"/>
      </c>
      <c r="DY467">
        <f ca="1"/>
      </c>
      <c r="DZ467">
        <f ca="1"/>
      </c>
      <c r="EA467">
        <f ca="1"/>
      </c>
      <c r="EB467">
        <f ca="1"/>
      </c>
      <c r="EC467">
        <f ca="1"/>
      </c>
      <c r="ED467">
        <f ca="1"/>
      </c>
      <c r="EE467">
        <f ca="1"/>
      </c>
      <c r="EG467">
        <f ca="1"/>
      </c>
      <c r="EH467">
        <f ca="1"/>
      </c>
      <c r="EI467">
        <f ca="1"/>
      </c>
      <c r="EJ467">
        <f ca="1"/>
      </c>
      <c r="EK467">
        <f ca="1"/>
      </c>
      <c r="EL467">
        <f ca="1"/>
      </c>
      <c r="EM467">
        <f ca="1"/>
      </c>
      <c r="EN467">
        <f ca="1"/>
      </c>
      <c r="EO467">
        <f ca="1"/>
      </c>
      <c r="EP467">
        <f ca="1"/>
      </c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FS467">
        <f ca="1"/>
      </c>
      <c r="FT467">
        <f ca="1"/>
      </c>
      <c r="FU467">
        <f ca="1"/>
      </c>
      <c r="FV467">
        <f ca="1"/>
      </c>
      <c r="FW467">
        <f ca="1"/>
      </c>
      <c r="FX467">
        <f ca="1"/>
      </c>
      <c r="FY467">
        <f ca="1"/>
      </c>
      <c r="FZ467">
        <f ca="1"/>
      </c>
      <c r="GA467">
        <f ca="1"/>
      </c>
      <c r="GM467" s="7"/>
    </row>
    <row r="468" spans="41:195" x14ac:dyDescent="0.55000000000000004">
      <c r="AO468">
        <f ca="1"/>
      </c>
      <c r="AP468">
        <f ca="1"/>
      </c>
      <c r="AQ468">
        <f ca="1"/>
      </c>
      <c r="AR468">
        <f ca="1"/>
      </c>
      <c r="AS468">
        <f ca="1"/>
      </c>
      <c r="AT468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AZ468">
        <f ca="1"/>
      </c>
      <c r="BA468">
        <f ca="1"/>
      </c>
      <c r="BB468">
        <f ca="1"/>
      </c>
      <c r="BC468">
        <f ca="1"/>
      </c>
      <c r="BD468">
        <f ca="1"/>
      </c>
      <c r="BE468">
        <f ca="1"/>
      </c>
      <c r="BF468">
        <f ca="1"/>
      </c>
      <c r="BG468">
        <f ca="1"/>
      </c>
      <c r="BH468">
        <f ca="1"/>
      </c>
      <c r="BI468">
        <f ca="1"/>
      </c>
      <c r="BJ468">
        <f ca="1"/>
      </c>
      <c r="BK468">
        <f ca="1"/>
      </c>
      <c r="BL468">
        <f ca="1"/>
      </c>
      <c r="BM468">
        <f ca="1"/>
      </c>
      <c r="BN468">
        <f ca="1"/>
      </c>
      <c r="BO468">
        <f ca="1"/>
      </c>
      <c r="BP468">
        <f ca="1"/>
      </c>
      <c r="BQ468">
        <f ca="1"/>
      </c>
      <c r="BR468">
        <f ca="1"/>
      </c>
      <c r="BS468">
        <f ca="1"/>
      </c>
      <c r="BT468">
        <f ca="1"/>
      </c>
      <c r="BU468">
        <f ca="1"/>
      </c>
      <c r="BV468">
        <f ca="1"/>
      </c>
      <c r="BW468">
        <f ca="1"/>
      </c>
      <c r="BX468">
        <f ca="1"/>
      </c>
      <c r="BY468">
        <f ca="1"/>
      </c>
      <c r="BZ468">
        <f ca="1"/>
      </c>
      <c r="CA468">
        <f ca="1"/>
      </c>
      <c r="CB468">
        <f ca="1"/>
      </c>
      <c r="CC468">
        <f ca="1"/>
      </c>
      <c r="CD468">
        <f ca="1"/>
      </c>
      <c r="CE468">
        <f ca="1"/>
      </c>
      <c r="CF468">
        <f ca="1"/>
      </c>
      <c r="CG468">
        <f ca="1"/>
      </c>
      <c r="CH468">
        <f ca="1"/>
      </c>
      <c r="CI468">
        <f ca="1"/>
      </c>
      <c r="CK468">
        <f ca="1"/>
      </c>
      <c r="CL468">
        <f ca="1"/>
      </c>
      <c r="CM468">
        <f ca="1"/>
      </c>
      <c r="CN468">
        <f ca="1"/>
      </c>
      <c r="CO468">
        <f ca="1"/>
      </c>
      <c r="CP468">
        <f ca="1"/>
      </c>
      <c r="CQ468">
        <f ca="1"/>
      </c>
      <c r="CR468">
        <f ca="1"/>
      </c>
      <c r="CS468">
        <f ca="1"/>
      </c>
      <c r="CT468">
        <f ca="1"/>
      </c>
      <c r="CU468">
        <f ca="1"/>
      </c>
      <c r="CV468">
        <f ca="1"/>
      </c>
      <c r="CW468">
        <f ca="1"/>
      </c>
      <c r="CX468">
        <f ca="1"/>
      </c>
      <c r="CY468">
        <f ca="1"/>
      </c>
      <c r="CZ468">
        <f ca="1"/>
      </c>
      <c r="DA468">
        <f ca="1"/>
      </c>
      <c r="DB468">
        <f ca="1"/>
      </c>
      <c r="DC468">
        <f ca="1"/>
      </c>
      <c r="DD468">
        <f ca="1"/>
      </c>
      <c r="DE468">
        <f ca="1"/>
      </c>
      <c r="DF468">
        <f ca="1"/>
      </c>
      <c r="DG468">
        <f ca="1"/>
      </c>
      <c r="DH468">
        <f ca="1"/>
      </c>
      <c r="DI468">
        <f ca="1"/>
      </c>
      <c r="DJ468">
        <f ca="1"/>
      </c>
      <c r="DK468">
        <f ca="1"/>
      </c>
      <c r="DL468">
        <f ca="1"/>
      </c>
      <c r="DM468">
        <f ca="1"/>
      </c>
      <c r="DN468">
        <f ca="1"/>
      </c>
      <c r="DO468">
        <f ca="1"/>
      </c>
      <c r="DP468">
        <f ca="1"/>
      </c>
      <c r="DQ468">
        <f ca="1"/>
      </c>
      <c r="DR468">
        <f ca="1"/>
      </c>
      <c r="DS468">
        <f ca="1"/>
      </c>
      <c r="DT468">
        <f ca="1"/>
      </c>
      <c r="DU468">
        <f ca="1"/>
      </c>
      <c r="DV468">
        <f ca="1"/>
      </c>
      <c r="DW468">
        <f ca="1"/>
      </c>
      <c r="DX468">
        <f ca="1"/>
      </c>
      <c r="DY468">
        <f ca="1"/>
      </c>
      <c r="DZ468">
        <f ca="1"/>
      </c>
      <c r="EA468">
        <f ca="1"/>
      </c>
      <c r="EB468">
        <f ca="1"/>
      </c>
      <c r="EC468">
        <f ca="1"/>
      </c>
      <c r="ED468">
        <f ca="1"/>
      </c>
      <c r="EE468">
        <f ca="1"/>
      </c>
      <c r="EG468">
        <f ca="1"/>
      </c>
      <c r="EH468">
        <f ca="1"/>
      </c>
      <c r="EI468">
        <f ca="1"/>
      </c>
      <c r="EJ468">
        <f ca="1"/>
      </c>
      <c r="EK468">
        <f ca="1"/>
      </c>
      <c r="EL468">
        <f ca="1"/>
      </c>
      <c r="EM468">
        <f ca="1"/>
      </c>
      <c r="EN468">
        <f ca="1"/>
      </c>
      <c r="EO468">
        <f ca="1"/>
      </c>
      <c r="EP468">
        <f ca="1"/>
      </c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FS468">
        <f ca="1"/>
      </c>
      <c r="FT468">
        <f ca="1"/>
      </c>
      <c r="FU468">
        <f ca="1"/>
      </c>
      <c r="FV468">
        <f ca="1"/>
      </c>
      <c r="FW468">
        <f ca="1"/>
      </c>
      <c r="FX468">
        <f ca="1"/>
      </c>
      <c r="FY468">
        <f ca="1"/>
      </c>
      <c r="FZ468">
        <f ca="1"/>
      </c>
      <c r="GA468">
        <f ca="1"/>
      </c>
      <c r="GM468" s="7"/>
    </row>
    <row r="469" spans="41:195" x14ac:dyDescent="0.55000000000000004">
      <c r="AO469">
        <f ca="1"/>
      </c>
      <c r="AP469">
        <f ca="1"/>
      </c>
      <c r="AQ469">
        <f ca="1"/>
      </c>
      <c r="AR469">
        <f ca="1"/>
      </c>
      <c r="AS469">
        <f ca="1"/>
      </c>
      <c r="AT469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AZ469">
        <f ca="1"/>
      </c>
      <c r="BA469">
        <f ca="1"/>
      </c>
      <c r="BB469">
        <f ca="1"/>
      </c>
      <c r="BC469">
        <f ca="1"/>
      </c>
      <c r="BD469">
        <f ca="1"/>
      </c>
      <c r="BE469">
        <f ca="1"/>
      </c>
      <c r="BF469">
        <f ca="1"/>
      </c>
      <c r="BG469">
        <f ca="1"/>
      </c>
      <c r="BH469">
        <f ca="1"/>
      </c>
      <c r="BI469">
        <f ca="1"/>
      </c>
      <c r="BJ469">
        <f ca="1"/>
      </c>
      <c r="BK469">
        <f ca="1"/>
      </c>
      <c r="BL469">
        <f ca="1"/>
      </c>
      <c r="BM469">
        <f ca="1"/>
      </c>
      <c r="BN469">
        <f ca="1"/>
      </c>
      <c r="BO469">
        <f ca="1"/>
      </c>
      <c r="BP469">
        <f ca="1"/>
      </c>
      <c r="BQ469">
        <f ca="1"/>
      </c>
      <c r="BR469">
        <f ca="1"/>
      </c>
      <c r="BS469">
        <f ca="1"/>
      </c>
      <c r="BT469">
        <f ca="1"/>
      </c>
      <c r="BU469">
        <f ca="1"/>
      </c>
      <c r="BV469">
        <f ca="1"/>
      </c>
      <c r="BW469">
        <f ca="1"/>
      </c>
      <c r="BX469">
        <f ca="1"/>
      </c>
      <c r="BY469">
        <f ca="1"/>
      </c>
      <c r="BZ469">
        <f ca="1"/>
      </c>
      <c r="CA469">
        <f ca="1"/>
      </c>
      <c r="CB469">
        <f ca="1"/>
      </c>
      <c r="CC469">
        <f ca="1"/>
      </c>
      <c r="CD469">
        <f ca="1"/>
      </c>
      <c r="CE469">
        <f ca="1"/>
      </c>
      <c r="CF469">
        <f ca="1"/>
      </c>
      <c r="CG469">
        <f ca="1"/>
      </c>
      <c r="CH469">
        <f ca="1"/>
      </c>
      <c r="CI469">
        <f ca="1"/>
      </c>
      <c r="CK469">
        <f ca="1"/>
      </c>
      <c r="CL469">
        <f ca="1"/>
      </c>
      <c r="CM469">
        <f ca="1"/>
      </c>
      <c r="CN469">
        <f ca="1"/>
      </c>
      <c r="CO469">
        <f ca="1"/>
      </c>
      <c r="CP469">
        <f ca="1"/>
      </c>
      <c r="CQ469">
        <f ca="1"/>
      </c>
      <c r="CR469">
        <f ca="1"/>
      </c>
      <c r="CS469">
        <f ca="1"/>
      </c>
      <c r="CT469">
        <f ca="1"/>
      </c>
      <c r="CU469">
        <f ca="1"/>
      </c>
      <c r="CV469">
        <f ca="1"/>
      </c>
      <c r="CW469">
        <f ca="1"/>
      </c>
      <c r="CX469">
        <f ca="1"/>
      </c>
      <c r="CY469">
        <f ca="1"/>
      </c>
      <c r="CZ469">
        <f ca="1"/>
      </c>
      <c r="DA469">
        <f ca="1"/>
      </c>
      <c r="DB469">
        <f ca="1"/>
      </c>
      <c r="DC469">
        <f ca="1"/>
      </c>
      <c r="DD469">
        <f ca="1"/>
      </c>
      <c r="DE469">
        <f ca="1"/>
      </c>
      <c r="DF469">
        <f ca="1"/>
      </c>
      <c r="DG469">
        <f ca="1"/>
      </c>
      <c r="DH469">
        <f ca="1"/>
      </c>
      <c r="DI469">
        <f ca="1"/>
      </c>
      <c r="DJ469">
        <f ca="1"/>
      </c>
      <c r="DK469">
        <f ca="1"/>
      </c>
      <c r="DL469">
        <f ca="1"/>
      </c>
      <c r="DM469">
        <f ca="1"/>
      </c>
      <c r="DN469">
        <f ca="1"/>
      </c>
      <c r="DO469">
        <f ca="1"/>
      </c>
      <c r="DP469">
        <f ca="1"/>
      </c>
      <c r="DQ469">
        <f ca="1"/>
      </c>
      <c r="DR469">
        <f ca="1"/>
      </c>
      <c r="DS469">
        <f ca="1"/>
      </c>
      <c r="DT469">
        <f ca="1"/>
      </c>
      <c r="DU469">
        <f ca="1"/>
      </c>
      <c r="DV469">
        <f ca="1"/>
      </c>
      <c r="DW469">
        <f ca="1"/>
      </c>
      <c r="DX469">
        <f ca="1"/>
      </c>
      <c r="DY469">
        <f ca="1"/>
      </c>
      <c r="DZ469">
        <f ca="1"/>
      </c>
      <c r="EA469">
        <f ca="1"/>
      </c>
      <c r="EB469">
        <f ca="1"/>
      </c>
      <c r="EC469">
        <f ca="1"/>
      </c>
      <c r="ED469">
        <f ca="1"/>
      </c>
      <c r="EE469">
        <f ca="1"/>
      </c>
      <c r="EG469">
        <f ca="1"/>
      </c>
      <c r="EH469">
        <f ca="1"/>
      </c>
      <c r="EI469">
        <f ca="1"/>
      </c>
      <c r="EJ469">
        <f ca="1"/>
      </c>
      <c r="EK469">
        <f ca="1"/>
      </c>
      <c r="EL469">
        <f ca="1"/>
      </c>
      <c r="EM469">
        <f ca="1"/>
      </c>
      <c r="EN469">
        <f ca="1"/>
      </c>
      <c r="EO469">
        <f ca="1"/>
      </c>
      <c r="EP469">
        <f ca="1"/>
      </c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FS469">
        <f ca="1"/>
      </c>
      <c r="FT469">
        <f ca="1"/>
      </c>
      <c r="FU469">
        <f ca="1"/>
      </c>
      <c r="FV469">
        <f ca="1"/>
      </c>
      <c r="FW469">
        <f ca="1"/>
      </c>
      <c r="FX469">
        <f ca="1"/>
      </c>
      <c r="FY469">
        <f ca="1"/>
      </c>
      <c r="FZ469">
        <f ca="1"/>
      </c>
      <c r="GA469">
        <f ca="1"/>
      </c>
      <c r="GM469" s="7"/>
    </row>
    <row r="470" spans="41:195" x14ac:dyDescent="0.55000000000000004">
      <c r="AO470">
        <f ca="1"/>
      </c>
      <c r="AP470">
        <f ca="1"/>
      </c>
      <c r="AQ470">
        <f ca="1"/>
      </c>
      <c r="AR470">
        <f ca="1"/>
      </c>
      <c r="AS470">
        <f ca="1"/>
      </c>
      <c r="AT470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AZ470">
        <f ca="1"/>
      </c>
      <c r="BA470">
        <f ca="1"/>
      </c>
      <c r="BB470">
        <f ca="1"/>
      </c>
      <c r="BC470">
        <f ca="1"/>
      </c>
      <c r="BD470">
        <f ca="1"/>
      </c>
      <c r="BE470">
        <f ca="1"/>
      </c>
      <c r="BF470">
        <f ca="1"/>
      </c>
      <c r="BG470">
        <f ca="1"/>
      </c>
      <c r="BH470">
        <f ca="1"/>
      </c>
      <c r="BI470">
        <f ca="1"/>
      </c>
      <c r="BJ470">
        <f ca="1"/>
      </c>
      <c r="BK470">
        <f ca="1"/>
      </c>
      <c r="BL470">
        <f ca="1"/>
      </c>
      <c r="BM470">
        <f ca="1"/>
      </c>
      <c r="BN470">
        <f ca="1"/>
      </c>
      <c r="BO470">
        <f ca="1"/>
      </c>
      <c r="BP470">
        <f ca="1"/>
      </c>
      <c r="BQ470">
        <f ca="1"/>
      </c>
      <c r="BR470">
        <f ca="1"/>
      </c>
      <c r="BS470">
        <f ca="1"/>
      </c>
      <c r="BT470">
        <f ca="1"/>
      </c>
      <c r="BU470">
        <f ca="1"/>
      </c>
      <c r="BV470">
        <f ca="1"/>
      </c>
      <c r="BW470">
        <f ca="1"/>
      </c>
      <c r="BX470">
        <f ca="1"/>
      </c>
      <c r="BY470">
        <f ca="1"/>
      </c>
      <c r="BZ470">
        <f ca="1"/>
      </c>
      <c r="CA470">
        <f ca="1"/>
      </c>
      <c r="CB470">
        <f ca="1"/>
      </c>
      <c r="CC470">
        <f ca="1"/>
      </c>
      <c r="CD470">
        <f ca="1"/>
      </c>
      <c r="CE470">
        <f ca="1"/>
      </c>
      <c r="CF470">
        <f ca="1"/>
      </c>
      <c r="CG470">
        <f ca="1"/>
      </c>
      <c r="CH470">
        <f ca="1"/>
      </c>
      <c r="CI470">
        <f ca="1"/>
      </c>
      <c r="CK470">
        <f ca="1"/>
      </c>
      <c r="CL470">
        <f ca="1"/>
      </c>
      <c r="CM470">
        <f ca="1"/>
      </c>
      <c r="CN470">
        <f ca="1"/>
      </c>
      <c r="CO470">
        <f ca="1"/>
      </c>
      <c r="CP470">
        <f ca="1"/>
      </c>
      <c r="CQ470">
        <f ca="1"/>
      </c>
      <c r="CR470">
        <f ca="1"/>
      </c>
      <c r="CS470">
        <f ca="1"/>
      </c>
      <c r="CT470">
        <f ca="1"/>
      </c>
      <c r="CU470">
        <f ca="1"/>
      </c>
      <c r="CV470">
        <f ca="1"/>
      </c>
      <c r="CW470">
        <f ca="1"/>
      </c>
      <c r="CX470">
        <f ca="1"/>
      </c>
      <c r="CY470">
        <f ca="1"/>
      </c>
      <c r="CZ470">
        <f ca="1"/>
      </c>
      <c r="DA470">
        <f ca="1"/>
      </c>
      <c r="DB470">
        <f ca="1"/>
      </c>
      <c r="DC470">
        <f ca="1"/>
      </c>
      <c r="DD470">
        <f ca="1"/>
      </c>
      <c r="DE470">
        <f ca="1"/>
      </c>
      <c r="DF470">
        <f ca="1"/>
      </c>
      <c r="DG470">
        <f ca="1"/>
      </c>
      <c r="DH470">
        <f ca="1"/>
      </c>
      <c r="DI470">
        <f ca="1"/>
      </c>
      <c r="DJ470">
        <f ca="1"/>
      </c>
      <c r="DK470">
        <f ca="1"/>
      </c>
      <c r="DL470">
        <f ca="1"/>
      </c>
      <c r="DM470">
        <f ca="1"/>
      </c>
      <c r="DN470">
        <f ca="1"/>
      </c>
      <c r="DO470">
        <f ca="1"/>
      </c>
      <c r="DP470">
        <f ca="1"/>
      </c>
      <c r="DQ470">
        <f ca="1"/>
      </c>
      <c r="DR470">
        <f ca="1"/>
      </c>
      <c r="DS470">
        <f ca="1"/>
      </c>
      <c r="DT470">
        <f ca="1"/>
      </c>
      <c r="DU470">
        <f ca="1"/>
      </c>
      <c r="DV470">
        <f ca="1"/>
      </c>
      <c r="DW470">
        <f ca="1"/>
      </c>
      <c r="DX470">
        <f ca="1"/>
      </c>
      <c r="DY470">
        <f ca="1"/>
      </c>
      <c r="DZ470">
        <f ca="1"/>
      </c>
      <c r="EA470">
        <f ca="1"/>
      </c>
      <c r="EB470">
        <f ca="1"/>
      </c>
      <c r="EC470">
        <f ca="1"/>
      </c>
      <c r="ED470">
        <f ca="1"/>
      </c>
      <c r="EE470">
        <f ca="1"/>
      </c>
      <c r="EG470">
        <f ca="1"/>
      </c>
      <c r="EH470">
        <f ca="1"/>
      </c>
      <c r="EI470">
        <f ca="1"/>
      </c>
      <c r="EJ470">
        <f ca="1"/>
      </c>
      <c r="EK470">
        <f ca="1"/>
      </c>
      <c r="EL470">
        <f ca="1"/>
      </c>
      <c r="EM470">
        <f ca="1"/>
      </c>
      <c r="EN470">
        <f ca="1"/>
      </c>
      <c r="EO470">
        <f ca="1"/>
      </c>
      <c r="EP470">
        <f ca="1"/>
      </c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FS470">
        <f ca="1"/>
      </c>
      <c r="FT470">
        <f ca="1"/>
      </c>
      <c r="FU470">
        <f ca="1"/>
      </c>
      <c r="FV470">
        <f ca="1"/>
      </c>
      <c r="FW470">
        <f ca="1"/>
      </c>
      <c r="FX470">
        <f ca="1"/>
      </c>
      <c r="FY470">
        <f ca="1"/>
      </c>
      <c r="FZ470">
        <f ca="1"/>
      </c>
      <c r="GA470">
        <f ca="1"/>
      </c>
      <c r="GM470" s="7"/>
    </row>
    <row r="471" spans="41:195" x14ac:dyDescent="0.55000000000000004">
      <c r="AO471">
        <f ca="1"/>
      </c>
      <c r="AP471">
        <f ca="1"/>
      </c>
      <c r="AQ471">
        <f ca="1"/>
      </c>
      <c r="AR471">
        <f ca="1"/>
      </c>
      <c r="AS471">
        <f ca="1"/>
      </c>
      <c r="AT471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AZ471">
        <f ca="1"/>
      </c>
      <c r="BA471">
        <f ca="1"/>
      </c>
      <c r="BB471">
        <f ca="1"/>
      </c>
      <c r="BC471">
        <f ca="1"/>
      </c>
      <c r="BD471">
        <f ca="1"/>
      </c>
      <c r="BE471">
        <f ca="1"/>
      </c>
      <c r="BF471">
        <f ca="1"/>
      </c>
      <c r="BG471">
        <f ca="1"/>
      </c>
      <c r="BH471">
        <f ca="1"/>
      </c>
      <c r="BI471">
        <f ca="1"/>
      </c>
      <c r="BJ471">
        <f ca="1"/>
      </c>
      <c r="BK471">
        <f ca="1"/>
      </c>
      <c r="BL471">
        <f ca="1"/>
      </c>
      <c r="BM471">
        <f ca="1"/>
      </c>
      <c r="BN471">
        <f ca="1"/>
      </c>
      <c r="BO471">
        <f ca="1"/>
      </c>
      <c r="BP471">
        <f ca="1"/>
      </c>
      <c r="BQ471">
        <f ca="1"/>
      </c>
      <c r="BR471">
        <f ca="1"/>
      </c>
      <c r="BS471">
        <f ca="1"/>
      </c>
      <c r="BT471">
        <f ca="1"/>
      </c>
      <c r="BU471">
        <f ca="1"/>
      </c>
      <c r="BV471">
        <f ca="1"/>
      </c>
      <c r="BW471">
        <f ca="1"/>
      </c>
      <c r="BX471">
        <f ca="1"/>
      </c>
      <c r="BY471">
        <f ca="1"/>
      </c>
      <c r="BZ471">
        <f ca="1"/>
      </c>
      <c r="CA471">
        <f ca="1"/>
      </c>
      <c r="CB471">
        <f ca="1"/>
      </c>
      <c r="CC471">
        <f ca="1"/>
      </c>
      <c r="CD471">
        <f ca="1"/>
      </c>
      <c r="CE471">
        <f ca="1"/>
      </c>
      <c r="CF471">
        <f ca="1"/>
      </c>
      <c r="CG471">
        <f ca="1"/>
      </c>
      <c r="CH471">
        <f ca="1"/>
      </c>
      <c r="CI471">
        <f ca="1"/>
      </c>
      <c r="CK471">
        <f ca="1"/>
      </c>
      <c r="CL471">
        <f ca="1"/>
      </c>
      <c r="CM471">
        <f ca="1"/>
      </c>
      <c r="CN471">
        <f ca="1"/>
      </c>
      <c r="CO471">
        <f ca="1"/>
      </c>
      <c r="CP471">
        <f ca="1"/>
      </c>
      <c r="CQ471">
        <f ca="1"/>
      </c>
      <c r="CR471">
        <f ca="1"/>
      </c>
      <c r="CS471">
        <f ca="1"/>
      </c>
      <c r="CT471">
        <f ca="1"/>
      </c>
      <c r="CU471">
        <f ca="1"/>
      </c>
      <c r="CV471">
        <f ca="1"/>
      </c>
      <c r="CW471">
        <f ca="1"/>
      </c>
      <c r="CX471">
        <f ca="1"/>
      </c>
      <c r="CY471">
        <f ca="1"/>
      </c>
      <c r="CZ471">
        <f ca="1"/>
      </c>
      <c r="DA471">
        <f ca="1"/>
      </c>
      <c r="DB471">
        <f ca="1"/>
      </c>
      <c r="DC471">
        <f ca="1"/>
      </c>
      <c r="DD471">
        <f ca="1"/>
      </c>
      <c r="DE471">
        <f ca="1"/>
      </c>
      <c r="DF471">
        <f ca="1"/>
      </c>
      <c r="DG471">
        <f ca="1"/>
      </c>
      <c r="DH471">
        <f ca="1"/>
      </c>
      <c r="DI471">
        <f ca="1"/>
      </c>
      <c r="DJ471">
        <f ca="1"/>
      </c>
      <c r="DK471">
        <f ca="1"/>
      </c>
      <c r="DL471">
        <f ca="1"/>
      </c>
      <c r="DM471">
        <f ca="1"/>
      </c>
      <c r="DN471">
        <f ca="1"/>
      </c>
      <c r="DO471">
        <f ca="1"/>
      </c>
      <c r="DP471">
        <f ca="1"/>
      </c>
      <c r="DQ471">
        <f ca="1"/>
      </c>
      <c r="DR471">
        <f ca="1"/>
      </c>
      <c r="DS471">
        <f ca="1"/>
      </c>
      <c r="DT471">
        <f ca="1"/>
      </c>
      <c r="DU471">
        <f ca="1"/>
      </c>
      <c r="DV471">
        <f ca="1"/>
      </c>
      <c r="DW471">
        <f ca="1"/>
      </c>
      <c r="DX471">
        <f ca="1"/>
      </c>
      <c r="DY471">
        <f ca="1"/>
      </c>
      <c r="DZ471">
        <f ca="1"/>
      </c>
      <c r="EA471">
        <f ca="1"/>
      </c>
      <c r="EB471">
        <f ca="1"/>
      </c>
      <c r="EC471">
        <f ca="1"/>
      </c>
      <c r="ED471">
        <f ca="1"/>
      </c>
      <c r="EE471">
        <f ca="1"/>
      </c>
      <c r="EG471">
        <f ca="1"/>
      </c>
      <c r="EH471">
        <f ca="1"/>
      </c>
      <c r="EI471">
        <f ca="1"/>
      </c>
      <c r="EJ471">
        <f ca="1"/>
      </c>
      <c r="EK471">
        <f ca="1"/>
      </c>
      <c r="EL471">
        <f ca="1"/>
      </c>
      <c r="EM471">
        <f ca="1"/>
      </c>
      <c r="EN471">
        <f ca="1"/>
      </c>
      <c r="EO471">
        <f ca="1"/>
      </c>
      <c r="EP471">
        <f ca="1"/>
      </c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FS471">
        <f ca="1"/>
      </c>
      <c r="FT471">
        <f ca="1"/>
      </c>
      <c r="FU471">
        <f ca="1"/>
      </c>
      <c r="FV471">
        <f ca="1"/>
      </c>
      <c r="FW471">
        <f ca="1"/>
      </c>
      <c r="FX471">
        <f ca="1"/>
      </c>
      <c r="FY471">
        <f ca="1"/>
      </c>
      <c r="FZ471">
        <f ca="1"/>
      </c>
      <c r="GA471">
        <f ca="1"/>
      </c>
      <c r="GM471" s="7"/>
    </row>
    <row r="472" spans="41:195" x14ac:dyDescent="0.55000000000000004">
      <c r="AO472">
        <f ca="1"/>
      </c>
      <c r="AP472">
        <f ca="1"/>
      </c>
      <c r="AQ472">
        <f ca="1"/>
      </c>
      <c r="AR472">
        <f ca="1"/>
      </c>
      <c r="AS472">
        <f ca="1"/>
      </c>
      <c r="AT472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AZ472">
        <f ca="1"/>
      </c>
      <c r="BA472">
        <f ca="1"/>
      </c>
      <c r="BB472">
        <f ca="1"/>
      </c>
      <c r="BC472">
        <f ca="1"/>
      </c>
      <c r="BD472">
        <f ca="1"/>
      </c>
      <c r="BE472">
        <f ca="1"/>
      </c>
      <c r="BF472">
        <f ca="1"/>
      </c>
      <c r="BG472">
        <f ca="1"/>
      </c>
      <c r="BH472">
        <f ca="1"/>
      </c>
      <c r="BI472">
        <f ca="1"/>
      </c>
      <c r="BJ472">
        <f ca="1"/>
      </c>
      <c r="BK472">
        <f ca="1"/>
      </c>
      <c r="BL472">
        <f ca="1"/>
      </c>
      <c r="BM472">
        <f ca="1"/>
      </c>
      <c r="BN472">
        <f ca="1"/>
      </c>
      <c r="BO472">
        <f ca="1"/>
      </c>
      <c r="BP472">
        <f ca="1"/>
      </c>
      <c r="BQ472">
        <f ca="1"/>
      </c>
      <c r="BR472">
        <f ca="1"/>
      </c>
      <c r="BS472">
        <f ca="1"/>
      </c>
      <c r="BT472">
        <f ca="1"/>
      </c>
      <c r="BU472">
        <f ca="1"/>
      </c>
      <c r="BV472">
        <f ca="1"/>
      </c>
      <c r="BW472">
        <f ca="1"/>
      </c>
      <c r="BX472">
        <f ca="1"/>
      </c>
      <c r="BY472">
        <f ca="1"/>
      </c>
      <c r="BZ472">
        <f ca="1"/>
      </c>
      <c r="CA472">
        <f ca="1"/>
      </c>
      <c r="CB472">
        <f ca="1"/>
      </c>
      <c r="CC472">
        <f ca="1"/>
      </c>
      <c r="CD472">
        <f ca="1"/>
      </c>
      <c r="CE472">
        <f ca="1"/>
      </c>
      <c r="CF472">
        <f ca="1"/>
      </c>
      <c r="CG472">
        <f ca="1"/>
      </c>
      <c r="CH472">
        <f ca="1"/>
      </c>
      <c r="CI472">
        <f ca="1"/>
      </c>
      <c r="CK472">
        <f ca="1"/>
      </c>
      <c r="CL472">
        <f ca="1"/>
      </c>
      <c r="CM472">
        <f ca="1"/>
      </c>
      <c r="CN472">
        <f ca="1"/>
      </c>
      <c r="CO472">
        <f ca="1"/>
      </c>
      <c r="CP472">
        <f ca="1"/>
      </c>
      <c r="CQ472">
        <f ca="1"/>
      </c>
      <c r="CR472">
        <f ca="1"/>
      </c>
      <c r="CS472">
        <f ca="1"/>
      </c>
      <c r="CT472">
        <f ca="1"/>
      </c>
      <c r="CU472">
        <f ca="1"/>
      </c>
      <c r="CV472">
        <f ca="1"/>
      </c>
      <c r="CW472">
        <f ca="1"/>
      </c>
      <c r="CX472">
        <f ca="1"/>
      </c>
      <c r="CY472">
        <f ca="1"/>
      </c>
      <c r="CZ472">
        <f ca="1"/>
      </c>
      <c r="DA472">
        <f ca="1"/>
      </c>
      <c r="DB472">
        <f ca="1"/>
      </c>
      <c r="DC472">
        <f ca="1"/>
      </c>
      <c r="DD472">
        <f ca="1"/>
      </c>
      <c r="DE472">
        <f ca="1"/>
      </c>
      <c r="DF472">
        <f ca="1"/>
      </c>
      <c r="DG472">
        <f ca="1"/>
      </c>
      <c r="DH472">
        <f ca="1"/>
      </c>
      <c r="DI472">
        <f ca="1"/>
      </c>
      <c r="DJ472">
        <f ca="1"/>
      </c>
      <c r="DK472">
        <f ca="1"/>
      </c>
      <c r="DL472">
        <f ca="1"/>
      </c>
      <c r="DM472">
        <f ca="1"/>
      </c>
      <c r="DN472">
        <f ca="1"/>
      </c>
      <c r="DO472">
        <f ca="1"/>
      </c>
      <c r="DP472">
        <f ca="1"/>
      </c>
      <c r="DQ472">
        <f ca="1"/>
      </c>
      <c r="DR472">
        <f ca="1"/>
      </c>
      <c r="DS472">
        <f ca="1"/>
      </c>
      <c r="DT472">
        <f ca="1"/>
      </c>
      <c r="DU472">
        <f ca="1"/>
      </c>
      <c r="DV472">
        <f ca="1"/>
      </c>
      <c r="DW472">
        <f ca="1"/>
      </c>
      <c r="DX472">
        <f ca="1"/>
      </c>
      <c r="DY472">
        <f ca="1"/>
      </c>
      <c r="DZ472">
        <f ca="1"/>
      </c>
      <c r="EA472">
        <f ca="1"/>
      </c>
      <c r="EB472">
        <f ca="1"/>
      </c>
      <c r="EC472">
        <f ca="1"/>
      </c>
      <c r="ED472">
        <f ca="1"/>
      </c>
      <c r="EE472">
        <f ca="1"/>
      </c>
      <c r="EG472">
        <f ca="1"/>
      </c>
      <c r="EH472">
        <f ca="1"/>
      </c>
      <c r="EI472">
        <f ca="1"/>
      </c>
      <c r="EJ472">
        <f ca="1"/>
      </c>
      <c r="EK472">
        <f ca="1"/>
      </c>
      <c r="EL472">
        <f ca="1"/>
      </c>
      <c r="EM472">
        <f ca="1"/>
      </c>
      <c r="EN472">
        <f ca="1"/>
      </c>
      <c r="EO472">
        <f ca="1"/>
      </c>
      <c r="EP472">
        <f ca="1"/>
      </c>
      <c r="EQ472">
        <f ca="1"/>
      </c>
      <c r="ER472">
        <f ca="1"/>
      </c>
      <c r="ES472">
        <f ca="1"/>
      </c>
      <c r="ET472">
        <f ca="1"/>
      </c>
      <c r="EU472">
        <f ca="1"/>
      </c>
      <c r="EV472">
        <f ca="1"/>
      </c>
      <c r="EW472">
        <f ca="1"/>
      </c>
      <c r="EX472">
        <f ca="1"/>
      </c>
      <c r="EY472">
        <f ca="1"/>
      </c>
      <c r="EZ472">
        <f ca="1"/>
      </c>
      <c r="FA472">
        <f ca="1"/>
      </c>
      <c r="FB472">
        <f ca="1"/>
      </c>
      <c r="FC472">
        <f ca="1"/>
      </c>
      <c r="FD472">
        <f ca="1"/>
      </c>
      <c r="FE472">
        <f ca="1"/>
      </c>
      <c r="FF472">
        <f ca="1"/>
      </c>
      <c r="FG472">
        <f ca="1"/>
      </c>
      <c r="FH472">
        <f ca="1"/>
      </c>
      <c r="FI472">
        <f ca="1"/>
      </c>
      <c r="FJ472">
        <f ca="1"/>
      </c>
      <c r="FK472">
        <f ca="1"/>
      </c>
      <c r="FL472">
        <f ca="1"/>
      </c>
      <c r="FM472">
        <f ca="1"/>
      </c>
      <c r="FN472">
        <f ca="1"/>
      </c>
      <c r="FO472">
        <f ca="1"/>
      </c>
      <c r="FP472">
        <f ca="1"/>
      </c>
      <c r="FQ472">
        <f ca="1"/>
      </c>
      <c r="FR472">
        <f ca="1"/>
      </c>
      <c r="FS472">
        <f ca="1"/>
      </c>
      <c r="FT472">
        <f ca="1"/>
      </c>
      <c r="FU472">
        <f ca="1"/>
      </c>
      <c r="FV472">
        <f ca="1"/>
      </c>
      <c r="FW472">
        <f ca="1"/>
      </c>
      <c r="FX472">
        <f ca="1"/>
      </c>
      <c r="FY472">
        <f ca="1"/>
      </c>
      <c r="FZ472">
        <f ca="1"/>
      </c>
      <c r="GA472">
        <f ca="1"/>
      </c>
      <c r="GM472" s="7"/>
    </row>
    <row r="473" spans="41:195" x14ac:dyDescent="0.55000000000000004">
      <c r="AO473">
        <f ca="1"/>
      </c>
      <c r="AP473">
        <f ca="1"/>
      </c>
      <c r="AQ473">
        <f ca="1"/>
      </c>
      <c r="AR473">
        <f ca="1"/>
      </c>
      <c r="AS473">
        <f ca="1"/>
      </c>
      <c r="AT473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AZ473">
        <f ca="1"/>
      </c>
      <c r="BA473">
        <f ca="1"/>
      </c>
      <c r="BB473">
        <f ca="1"/>
      </c>
      <c r="BC473">
        <f ca="1"/>
      </c>
      <c r="BD473">
        <f ca="1"/>
      </c>
      <c r="BE473">
        <f ca="1"/>
      </c>
      <c r="BF473">
        <f ca="1"/>
      </c>
      <c r="BG473">
        <f ca="1"/>
      </c>
      <c r="BH473">
        <f ca="1"/>
      </c>
      <c r="BI473">
        <f ca="1"/>
      </c>
      <c r="BJ473">
        <f ca="1"/>
      </c>
      <c r="BK473">
        <f ca="1"/>
      </c>
      <c r="BL473">
        <f ca="1"/>
      </c>
      <c r="BM473">
        <f ca="1"/>
      </c>
      <c r="BN473">
        <f ca="1"/>
      </c>
      <c r="BO473">
        <f ca="1"/>
      </c>
      <c r="BP473">
        <f ca="1"/>
      </c>
      <c r="BQ473">
        <f ca="1"/>
      </c>
      <c r="BR473">
        <f ca="1"/>
      </c>
      <c r="BS473">
        <f ca="1"/>
      </c>
      <c r="BT473">
        <f ca="1"/>
      </c>
      <c r="BU473">
        <f ca="1"/>
      </c>
      <c r="BV473">
        <f ca="1"/>
      </c>
      <c r="BW473">
        <f ca="1"/>
      </c>
      <c r="BX473">
        <f ca="1"/>
      </c>
      <c r="BY473">
        <f ca="1"/>
      </c>
      <c r="BZ473">
        <f ca="1"/>
      </c>
      <c r="CA473">
        <f ca="1"/>
      </c>
      <c r="CB473">
        <f ca="1"/>
      </c>
      <c r="CC473">
        <f ca="1"/>
      </c>
      <c r="CD473">
        <f ca="1"/>
      </c>
      <c r="CE473">
        <f ca="1"/>
      </c>
      <c r="CF473">
        <f ca="1"/>
      </c>
      <c r="CG473">
        <f ca="1"/>
      </c>
      <c r="CH473">
        <f ca="1"/>
      </c>
      <c r="CI473">
        <f ca="1"/>
      </c>
      <c r="CK473">
        <f ca="1"/>
      </c>
      <c r="CL473">
        <f ca="1"/>
      </c>
      <c r="CM473">
        <f ca="1"/>
      </c>
      <c r="CN473">
        <f ca="1"/>
      </c>
      <c r="CO473">
        <f ca="1"/>
      </c>
      <c r="CP473">
        <f ca="1"/>
      </c>
      <c r="CQ473">
        <f ca="1"/>
      </c>
      <c r="CR473">
        <f ca="1"/>
      </c>
      <c r="CS473">
        <f ca="1"/>
      </c>
      <c r="CT473">
        <f ca="1"/>
      </c>
      <c r="CU473">
        <f ca="1"/>
      </c>
      <c r="CV473">
        <f ca="1"/>
      </c>
      <c r="CW473">
        <f ca="1"/>
      </c>
      <c r="CX473">
        <f ca="1"/>
      </c>
      <c r="CY473">
        <f ca="1"/>
      </c>
      <c r="CZ473">
        <f ca="1"/>
      </c>
      <c r="DA473">
        <f ca="1"/>
      </c>
      <c r="DB473">
        <f ca="1"/>
      </c>
      <c r="DC473">
        <f ca="1"/>
      </c>
      <c r="DD473">
        <f ca="1"/>
      </c>
      <c r="DE473">
        <f ca="1"/>
      </c>
      <c r="DF473">
        <f ca="1"/>
      </c>
      <c r="DG473">
        <f ca="1"/>
      </c>
      <c r="DH473">
        <f ca="1"/>
      </c>
      <c r="DI473">
        <f ca="1"/>
      </c>
      <c r="DJ473">
        <f ca="1"/>
      </c>
      <c r="DK473">
        <f ca="1"/>
      </c>
      <c r="DL473">
        <f ca="1"/>
      </c>
      <c r="DM473">
        <f ca="1"/>
      </c>
      <c r="DN473">
        <f ca="1"/>
      </c>
      <c r="DO473">
        <f ca="1"/>
      </c>
      <c r="DP473">
        <f ca="1"/>
      </c>
      <c r="DQ473">
        <f ca="1"/>
      </c>
      <c r="DR473">
        <f ca="1"/>
      </c>
      <c r="DS473">
        <f ca="1"/>
      </c>
      <c r="DT473">
        <f ca="1"/>
      </c>
      <c r="DU473">
        <f ca="1"/>
      </c>
      <c r="DV473">
        <f ca="1"/>
      </c>
      <c r="DW473">
        <f ca="1"/>
      </c>
      <c r="DX473">
        <f ca="1"/>
      </c>
      <c r="DY473">
        <f ca="1"/>
      </c>
      <c r="DZ473">
        <f ca="1"/>
      </c>
      <c r="EA473">
        <f ca="1"/>
      </c>
      <c r="EB473">
        <f ca="1"/>
      </c>
      <c r="EC473">
        <f ca="1"/>
      </c>
      <c r="ED473">
        <f ca="1"/>
      </c>
      <c r="EE473">
        <f ca="1"/>
      </c>
      <c r="EG473">
        <f ca="1"/>
      </c>
      <c r="EH473">
        <f ca="1"/>
      </c>
      <c r="EI473">
        <f ca="1"/>
      </c>
      <c r="EJ473">
        <f ca="1"/>
      </c>
      <c r="EK473">
        <f ca="1"/>
      </c>
      <c r="EL473">
        <f ca="1"/>
      </c>
      <c r="EM473">
        <f ca="1"/>
      </c>
      <c r="EN473">
        <f ca="1"/>
      </c>
      <c r="EO473">
        <f ca="1"/>
      </c>
      <c r="EP473">
        <f ca="1"/>
      </c>
      <c r="EQ473">
        <f ca="1"/>
      </c>
      <c r="ER473">
        <f ca="1"/>
      </c>
      <c r="ES473">
        <f ca="1"/>
      </c>
      <c r="ET473">
        <f ca="1"/>
      </c>
      <c r="EU473">
        <f ca="1"/>
      </c>
      <c r="EV473">
        <f ca="1"/>
      </c>
      <c r="EW473">
        <f ca="1"/>
      </c>
      <c r="EX473">
        <f ca="1"/>
      </c>
      <c r="EY473">
        <f ca="1"/>
      </c>
      <c r="EZ473">
        <f ca="1"/>
      </c>
      <c r="FA473">
        <f ca="1"/>
      </c>
      <c r="FB473">
        <f ca="1"/>
      </c>
      <c r="FC473">
        <f ca="1"/>
      </c>
      <c r="FD473">
        <f ca="1"/>
      </c>
      <c r="FE473">
        <f ca="1"/>
      </c>
      <c r="FF473">
        <f ca="1"/>
      </c>
      <c r="FG473">
        <f ca="1"/>
      </c>
      <c r="FH473">
        <f ca="1"/>
      </c>
      <c r="FI473">
        <f ca="1"/>
      </c>
      <c r="FJ473">
        <f ca="1"/>
      </c>
      <c r="FK473">
        <f ca="1"/>
      </c>
      <c r="FL473">
        <f ca="1"/>
      </c>
      <c r="FM473">
        <f ca="1"/>
      </c>
      <c r="FN473">
        <f ca="1"/>
      </c>
      <c r="FO473">
        <f ca="1"/>
      </c>
      <c r="FP473">
        <f ca="1"/>
      </c>
      <c r="FQ473">
        <f ca="1"/>
      </c>
      <c r="FR473">
        <f ca="1"/>
      </c>
      <c r="FS473">
        <f ca="1"/>
      </c>
      <c r="FT473">
        <f ca="1"/>
      </c>
      <c r="FU473">
        <f ca="1"/>
      </c>
      <c r="FV473">
        <f ca="1"/>
      </c>
      <c r="FW473">
        <f ca="1"/>
      </c>
      <c r="FX473">
        <f ca="1"/>
      </c>
      <c r="FY473">
        <f ca="1"/>
      </c>
      <c r="FZ473">
        <f ca="1"/>
      </c>
      <c r="GA473">
        <f ca="1"/>
      </c>
      <c r="GM473" s="7"/>
    </row>
    <row r="474" spans="41:195" x14ac:dyDescent="0.55000000000000004">
      <c r="AO474">
        <f ca="1"/>
      </c>
      <c r="AP474">
        <f ca="1"/>
      </c>
      <c r="AQ474">
        <f ca="1"/>
      </c>
      <c r="AR474">
        <f ca="1"/>
      </c>
      <c r="AS474">
        <f ca="1"/>
      </c>
      <c r="AT474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AZ474">
        <f ca="1"/>
      </c>
      <c r="BA474">
        <f ca="1"/>
      </c>
      <c r="BB474">
        <f ca="1"/>
      </c>
      <c r="BC474">
        <f ca="1"/>
      </c>
      <c r="BD474">
        <f ca="1"/>
      </c>
      <c r="BE474">
        <f ca="1"/>
      </c>
      <c r="BF474">
        <f ca="1"/>
      </c>
      <c r="BG474">
        <f ca="1"/>
      </c>
      <c r="BH474">
        <f ca="1"/>
      </c>
      <c r="BI474">
        <f ca="1"/>
      </c>
      <c r="BJ474">
        <f ca="1"/>
      </c>
      <c r="BK474">
        <f ca="1"/>
      </c>
      <c r="BL474">
        <f ca="1"/>
      </c>
      <c r="BM474">
        <f ca="1"/>
      </c>
      <c r="BN474">
        <f ca="1"/>
      </c>
      <c r="BO474">
        <f ca="1"/>
      </c>
      <c r="BP474">
        <f ca="1"/>
      </c>
      <c r="BQ474">
        <f ca="1"/>
      </c>
      <c r="BR474">
        <f ca="1"/>
      </c>
      <c r="BS474">
        <f ca="1"/>
      </c>
      <c r="BT474">
        <f ca="1"/>
      </c>
      <c r="BU474">
        <f ca="1"/>
      </c>
      <c r="BV474">
        <f ca="1"/>
      </c>
      <c r="BW474">
        <f ca="1"/>
      </c>
      <c r="BX474">
        <f ca="1"/>
      </c>
      <c r="BY474">
        <f ca="1"/>
      </c>
      <c r="BZ474">
        <f ca="1"/>
      </c>
      <c r="CA474">
        <f ca="1"/>
      </c>
      <c r="CB474">
        <f ca="1"/>
      </c>
      <c r="CC474">
        <f ca="1"/>
      </c>
      <c r="CD474">
        <f ca="1"/>
      </c>
      <c r="CE474">
        <f ca="1"/>
      </c>
      <c r="CF474">
        <f ca="1"/>
      </c>
      <c r="CG474">
        <f ca="1"/>
      </c>
      <c r="CH474">
        <f ca="1"/>
      </c>
      <c r="CI474">
        <f ca="1"/>
      </c>
      <c r="CK474">
        <f ca="1"/>
      </c>
      <c r="CL474">
        <f ca="1"/>
      </c>
      <c r="CM474">
        <f ca="1"/>
      </c>
      <c r="CN474">
        <f ca="1"/>
      </c>
      <c r="CO474">
        <f ca="1"/>
      </c>
      <c r="CP474">
        <f ca="1"/>
      </c>
      <c r="CQ474">
        <f ca="1"/>
      </c>
      <c r="CR474">
        <f ca="1"/>
      </c>
      <c r="CS474">
        <f ca="1"/>
      </c>
      <c r="CT474">
        <f ca="1"/>
      </c>
      <c r="CU474">
        <f ca="1"/>
      </c>
      <c r="CV474">
        <f ca="1"/>
      </c>
      <c r="CW474">
        <f ca="1"/>
      </c>
      <c r="CX474">
        <f ca="1"/>
      </c>
      <c r="CY474">
        <f ca="1"/>
      </c>
      <c r="CZ474">
        <f ca="1"/>
      </c>
      <c r="DA474">
        <f ca="1"/>
      </c>
      <c r="DB474">
        <f ca="1"/>
      </c>
      <c r="DC474">
        <f ca="1"/>
      </c>
      <c r="DD474">
        <f ca="1"/>
      </c>
      <c r="DE474">
        <f ca="1"/>
      </c>
      <c r="DF474">
        <f ca="1"/>
      </c>
      <c r="DG474">
        <f ca="1"/>
      </c>
      <c r="DH474">
        <f ca="1"/>
      </c>
      <c r="DI474">
        <f ca="1"/>
      </c>
      <c r="DJ474">
        <f ca="1"/>
      </c>
      <c r="DK474">
        <f ca="1"/>
      </c>
      <c r="DL474">
        <f ca="1"/>
      </c>
      <c r="DM474">
        <f ca="1"/>
      </c>
      <c r="DN474">
        <f ca="1"/>
      </c>
      <c r="DO474">
        <f ca="1"/>
      </c>
      <c r="DP474">
        <f ca="1"/>
      </c>
      <c r="DQ474">
        <f ca="1"/>
      </c>
      <c r="DR474">
        <f ca="1"/>
      </c>
      <c r="DS474">
        <f ca="1"/>
      </c>
      <c r="DT474">
        <f ca="1"/>
      </c>
      <c r="DU474">
        <f ca="1"/>
      </c>
      <c r="DV474">
        <f ca="1"/>
      </c>
      <c r="DW474">
        <f ca="1"/>
      </c>
      <c r="DX474">
        <f ca="1"/>
      </c>
      <c r="DY474">
        <f ca="1"/>
      </c>
      <c r="DZ474">
        <f ca="1"/>
      </c>
      <c r="EA474">
        <f ca="1"/>
      </c>
      <c r="EB474">
        <f ca="1"/>
      </c>
      <c r="EC474">
        <f ca="1"/>
      </c>
      <c r="ED474">
        <f ca="1"/>
      </c>
      <c r="EE474">
        <f ca="1"/>
      </c>
      <c r="EG474">
        <f ca="1"/>
      </c>
      <c r="EH474">
        <f ca="1"/>
      </c>
      <c r="EI474">
        <f ca="1"/>
      </c>
      <c r="EJ474">
        <f ca="1"/>
      </c>
      <c r="EK474">
        <f ca="1"/>
      </c>
      <c r="EL474">
        <f ca="1"/>
      </c>
      <c r="EM474">
        <f ca="1"/>
      </c>
      <c r="EN474">
        <f ca="1"/>
      </c>
      <c r="EO474">
        <f ca="1"/>
      </c>
      <c r="EP474">
        <f ca="1"/>
      </c>
      <c r="EQ474">
        <f ca="1"/>
      </c>
      <c r="ER474">
        <f ca="1"/>
      </c>
      <c r="ES474">
        <f ca="1"/>
      </c>
      <c r="ET474">
        <f ca="1"/>
      </c>
      <c r="EU474">
        <f ca="1"/>
      </c>
      <c r="EV474">
        <f ca="1"/>
      </c>
      <c r="EW474">
        <f ca="1"/>
      </c>
      <c r="EX474">
        <f ca="1"/>
      </c>
      <c r="EY474">
        <f ca="1"/>
      </c>
      <c r="EZ474">
        <f ca="1"/>
      </c>
      <c r="FA474">
        <f ca="1"/>
      </c>
      <c r="FB474">
        <f ca="1"/>
      </c>
      <c r="FC474">
        <f ca="1"/>
      </c>
      <c r="FD474">
        <f ca="1"/>
      </c>
      <c r="FE474">
        <f ca="1"/>
      </c>
      <c r="FF474">
        <f ca="1"/>
      </c>
      <c r="FG474">
        <f ca="1"/>
      </c>
      <c r="FH474">
        <f ca="1"/>
      </c>
      <c r="FI474">
        <f ca="1"/>
      </c>
      <c r="FJ474">
        <f ca="1"/>
      </c>
      <c r="FK474">
        <f ca="1"/>
      </c>
      <c r="FL474">
        <f ca="1"/>
      </c>
      <c r="FM474">
        <f ca="1"/>
      </c>
      <c r="FN474">
        <f ca="1"/>
      </c>
      <c r="FO474">
        <f ca="1"/>
      </c>
      <c r="FP474">
        <f ca="1"/>
      </c>
      <c r="FQ474">
        <f ca="1"/>
      </c>
      <c r="FR474">
        <f ca="1"/>
      </c>
      <c r="FS474">
        <f ca="1"/>
      </c>
      <c r="FT474">
        <f ca="1"/>
      </c>
      <c r="FU474">
        <f ca="1"/>
      </c>
      <c r="FV474">
        <f ca="1"/>
      </c>
      <c r="FW474">
        <f ca="1"/>
      </c>
      <c r="FX474">
        <f ca="1"/>
      </c>
      <c r="FY474">
        <f ca="1"/>
      </c>
      <c r="FZ474">
        <f ca="1"/>
      </c>
      <c r="GA474">
        <f ca="1"/>
      </c>
      <c r="GM474" s="7"/>
    </row>
    <row r="475" spans="41:195" x14ac:dyDescent="0.55000000000000004">
      <c r="AO475">
        <f ca="1"/>
      </c>
      <c r="AP475">
        <f ca="1"/>
      </c>
      <c r="AQ475">
        <f ca="1"/>
      </c>
      <c r="AR475">
        <f ca="1"/>
      </c>
      <c r="AS475">
        <f ca="1"/>
      </c>
      <c r="AT475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AZ475">
        <f ca="1"/>
      </c>
      <c r="BA475">
        <f ca="1"/>
      </c>
      <c r="BB475">
        <f ca="1"/>
      </c>
      <c r="BC475">
        <f ca="1"/>
      </c>
      <c r="BD475">
        <f ca="1"/>
      </c>
      <c r="BE475">
        <f ca="1"/>
      </c>
      <c r="BF475">
        <f ca="1"/>
      </c>
      <c r="BG475">
        <f ca="1"/>
      </c>
      <c r="BH475">
        <f ca="1"/>
      </c>
      <c r="BI475">
        <f ca="1"/>
      </c>
      <c r="BJ475">
        <f ca="1"/>
      </c>
      <c r="BK475">
        <f ca="1"/>
      </c>
      <c r="BL475">
        <f ca="1"/>
      </c>
      <c r="BM475">
        <f ca="1"/>
      </c>
      <c r="BN475">
        <f ca="1"/>
      </c>
      <c r="BO475">
        <f ca="1"/>
      </c>
      <c r="BP475">
        <f ca="1"/>
      </c>
      <c r="BQ475">
        <f ca="1"/>
      </c>
      <c r="BR475">
        <f ca="1"/>
      </c>
      <c r="BS475">
        <f ca="1"/>
      </c>
      <c r="BT475">
        <f ca="1"/>
      </c>
      <c r="BU475">
        <f ca="1"/>
      </c>
      <c r="BV475">
        <f ca="1"/>
      </c>
      <c r="BW475">
        <f ca="1"/>
      </c>
      <c r="BX475">
        <f ca="1"/>
      </c>
      <c r="BY475">
        <f ca="1"/>
      </c>
      <c r="BZ475">
        <f ca="1"/>
      </c>
      <c r="CA475">
        <f ca="1"/>
      </c>
      <c r="CB475">
        <f ca="1"/>
      </c>
      <c r="CC475">
        <f ca="1"/>
      </c>
      <c r="CD475">
        <f ca="1"/>
      </c>
      <c r="CE475">
        <f ca="1"/>
      </c>
      <c r="CF475">
        <f ca="1"/>
      </c>
      <c r="CG475">
        <f ca="1"/>
      </c>
      <c r="CH475">
        <f ca="1"/>
      </c>
      <c r="CI475">
        <f ca="1"/>
      </c>
      <c r="CK475">
        <f ca="1"/>
      </c>
      <c r="CL475">
        <f ca="1"/>
      </c>
      <c r="CM475">
        <f ca="1"/>
      </c>
      <c r="CN475">
        <f ca="1"/>
      </c>
      <c r="CO475">
        <f ca="1"/>
      </c>
      <c r="CP475">
        <f ca="1"/>
      </c>
      <c r="CQ475">
        <f ca="1"/>
      </c>
      <c r="CR475">
        <f ca="1"/>
      </c>
      <c r="CS475">
        <f ca="1"/>
      </c>
      <c r="CT475">
        <f ca="1"/>
      </c>
      <c r="CU475">
        <f ca="1"/>
      </c>
      <c r="CV475">
        <f ca="1"/>
      </c>
      <c r="CW475">
        <f ca="1"/>
      </c>
      <c r="CX475">
        <f ca="1"/>
      </c>
      <c r="CY475">
        <f ca="1"/>
      </c>
      <c r="CZ475">
        <f ca="1"/>
      </c>
      <c r="DA475">
        <f ca="1"/>
      </c>
      <c r="DB475">
        <f ca="1"/>
      </c>
      <c r="DC475">
        <f ca="1"/>
      </c>
      <c r="DD475">
        <f ca="1"/>
      </c>
      <c r="DE475">
        <f ca="1"/>
      </c>
      <c r="DF475">
        <f ca="1"/>
      </c>
      <c r="DG475">
        <f ca="1"/>
      </c>
      <c r="DH475">
        <f ca="1"/>
      </c>
      <c r="DI475">
        <f ca="1"/>
      </c>
      <c r="DJ475">
        <f ca="1"/>
      </c>
      <c r="DK475">
        <f ca="1"/>
      </c>
      <c r="DL475">
        <f ca="1"/>
      </c>
      <c r="DM475">
        <f ca="1"/>
      </c>
      <c r="DN475">
        <f ca="1"/>
      </c>
      <c r="DO475">
        <f ca="1"/>
      </c>
      <c r="DP475">
        <f ca="1"/>
      </c>
      <c r="DQ475">
        <f ca="1"/>
      </c>
      <c r="DR475">
        <f ca="1"/>
      </c>
      <c r="DS475">
        <f ca="1"/>
      </c>
      <c r="DT475">
        <f ca="1"/>
      </c>
      <c r="DU475">
        <f ca="1"/>
      </c>
      <c r="DV475">
        <f ca="1"/>
      </c>
      <c r="DW475">
        <f ca="1"/>
      </c>
      <c r="DX475">
        <f ca="1"/>
      </c>
      <c r="DY475">
        <f ca="1"/>
      </c>
      <c r="DZ475">
        <f ca="1"/>
      </c>
      <c r="EA475">
        <f ca="1"/>
      </c>
      <c r="EB475">
        <f ca="1"/>
      </c>
      <c r="EC475">
        <f ca="1"/>
      </c>
      <c r="ED475">
        <f ca="1"/>
      </c>
      <c r="EE475">
        <f ca="1"/>
      </c>
      <c r="EG475">
        <f ca="1"/>
      </c>
      <c r="EH475">
        <f ca="1"/>
      </c>
      <c r="EI475">
        <f ca="1"/>
      </c>
      <c r="EJ475">
        <f ca="1"/>
      </c>
      <c r="EK475">
        <f ca="1"/>
      </c>
      <c r="EL475">
        <f ca="1"/>
      </c>
      <c r="EM475">
        <f ca="1"/>
      </c>
      <c r="EN475">
        <f ca="1"/>
      </c>
      <c r="EO475">
        <f ca="1"/>
      </c>
      <c r="EP475">
        <f ca="1"/>
      </c>
      <c r="EQ475">
        <f ca="1"/>
      </c>
      <c r="ER475">
        <f ca="1"/>
      </c>
      <c r="ES475">
        <f ca="1"/>
      </c>
      <c r="ET475">
        <f ca="1"/>
      </c>
      <c r="EU475">
        <f ca="1"/>
      </c>
      <c r="EV475">
        <f ca="1"/>
      </c>
      <c r="EW475">
        <f ca="1"/>
      </c>
      <c r="EX475">
        <f ca="1"/>
      </c>
      <c r="EY475">
        <f ca="1"/>
      </c>
      <c r="EZ475">
        <f ca="1"/>
      </c>
      <c r="FA475">
        <f ca="1"/>
      </c>
      <c r="FB475">
        <f ca="1"/>
      </c>
      <c r="FC475">
        <f ca="1"/>
      </c>
      <c r="FD475">
        <f ca="1"/>
      </c>
      <c r="FE475">
        <f ca="1"/>
      </c>
      <c r="FF475">
        <f ca="1"/>
      </c>
      <c r="FG475">
        <f ca="1"/>
      </c>
      <c r="FH475">
        <f ca="1"/>
      </c>
      <c r="FI475">
        <f ca="1"/>
      </c>
      <c r="FJ475">
        <f ca="1"/>
      </c>
      <c r="FK475">
        <f ca="1"/>
      </c>
      <c r="FL475">
        <f ca="1"/>
      </c>
      <c r="FM475">
        <f ca="1"/>
      </c>
      <c r="FN475">
        <f ca="1"/>
      </c>
      <c r="FO475">
        <f ca="1"/>
      </c>
      <c r="FP475">
        <f ca="1"/>
      </c>
      <c r="FQ475">
        <f ca="1"/>
      </c>
      <c r="FR475">
        <f ca="1"/>
      </c>
      <c r="FS475">
        <f ca="1"/>
      </c>
      <c r="FT475">
        <f ca="1"/>
      </c>
      <c r="FU475">
        <f ca="1"/>
      </c>
      <c r="FV475">
        <f ca="1"/>
      </c>
      <c r="FW475">
        <f ca="1"/>
      </c>
      <c r="FX475">
        <f ca="1"/>
      </c>
      <c r="FY475">
        <f ca="1"/>
      </c>
      <c r="FZ475">
        <f ca="1"/>
      </c>
      <c r="GA475">
        <f ca="1"/>
      </c>
      <c r="GM475" s="7"/>
    </row>
    <row r="476" spans="41:195" x14ac:dyDescent="0.55000000000000004">
      <c r="AO476">
        <f ca="1"/>
      </c>
      <c r="AP476">
        <f ca="1"/>
      </c>
      <c r="AQ476">
        <f ca="1"/>
      </c>
      <c r="AR476">
        <f ca="1"/>
      </c>
      <c r="AS476">
        <f ca="1"/>
      </c>
      <c r="AT476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AZ476">
        <f ca="1"/>
      </c>
      <c r="BA476">
        <f ca="1"/>
      </c>
      <c r="BB476">
        <f ca="1"/>
      </c>
      <c r="BC476">
        <f ca="1"/>
      </c>
      <c r="BD476">
        <f ca="1"/>
      </c>
      <c r="BE476">
        <f ca="1"/>
      </c>
      <c r="BF476">
        <f ca="1"/>
      </c>
      <c r="BG476">
        <f ca="1"/>
      </c>
      <c r="BH476">
        <f ca="1"/>
      </c>
      <c r="BI476">
        <f ca="1"/>
      </c>
      <c r="BJ476">
        <f ca="1"/>
      </c>
      <c r="BK476">
        <f ca="1"/>
      </c>
      <c r="BL476">
        <f ca="1"/>
      </c>
      <c r="BM476">
        <f ca="1"/>
      </c>
      <c r="BN476">
        <f ca="1"/>
      </c>
      <c r="BO476">
        <f ca="1"/>
      </c>
      <c r="BP476">
        <f ca="1"/>
      </c>
      <c r="BQ476">
        <f ca="1"/>
      </c>
      <c r="BR476">
        <f ca="1"/>
      </c>
      <c r="BS476">
        <f ca="1"/>
      </c>
      <c r="BT476">
        <f ca="1"/>
      </c>
      <c r="BU476">
        <f ca="1"/>
      </c>
      <c r="BV476">
        <f ca="1"/>
      </c>
      <c r="BW476">
        <f ca="1"/>
      </c>
      <c r="BX476">
        <f ca="1"/>
      </c>
      <c r="BY476">
        <f ca="1"/>
      </c>
      <c r="BZ476">
        <f ca="1"/>
      </c>
      <c r="CA476">
        <f ca="1"/>
      </c>
      <c r="CB476">
        <f ca="1"/>
      </c>
      <c r="CC476">
        <f ca="1"/>
      </c>
      <c r="CD476">
        <f ca="1"/>
      </c>
      <c r="CE476">
        <f ca="1"/>
      </c>
      <c r="CF476">
        <f ca="1"/>
      </c>
      <c r="CG476">
        <f ca="1"/>
      </c>
      <c r="CH476">
        <f ca="1"/>
      </c>
      <c r="CI476">
        <f ca="1"/>
      </c>
      <c r="CK476">
        <f ca="1"/>
      </c>
      <c r="CL476">
        <f ca="1"/>
      </c>
      <c r="CM476">
        <f ca="1"/>
      </c>
      <c r="CN476">
        <f ca="1"/>
      </c>
      <c r="CO476">
        <f ca="1"/>
      </c>
      <c r="CP476">
        <f ca="1"/>
      </c>
      <c r="CQ476">
        <f ca="1"/>
      </c>
      <c r="CR476">
        <f ca="1"/>
      </c>
      <c r="CS476">
        <f ca="1"/>
      </c>
      <c r="CT476">
        <f ca="1"/>
      </c>
      <c r="CU476">
        <f ca="1"/>
      </c>
      <c r="CV476">
        <f ca="1"/>
      </c>
      <c r="CW476">
        <f ca="1"/>
      </c>
      <c r="CX476">
        <f ca="1"/>
      </c>
      <c r="CY476">
        <f ca="1"/>
      </c>
      <c r="CZ476">
        <f ca="1"/>
      </c>
      <c r="DA476">
        <f ca="1"/>
      </c>
      <c r="DB476">
        <f ca="1"/>
      </c>
      <c r="DC476">
        <f ca="1"/>
      </c>
      <c r="DD476">
        <f ca="1"/>
      </c>
      <c r="DE476">
        <f ca="1"/>
      </c>
      <c r="DF476">
        <f ca="1"/>
      </c>
      <c r="DG476">
        <f ca="1"/>
      </c>
      <c r="DH476">
        <f ca="1"/>
      </c>
      <c r="DI476">
        <f ca="1"/>
      </c>
      <c r="DJ476">
        <f ca="1"/>
      </c>
      <c r="DK476">
        <f ca="1"/>
      </c>
      <c r="DL476">
        <f ca="1"/>
      </c>
      <c r="DM476">
        <f ca="1"/>
      </c>
      <c r="DN476">
        <f ca="1"/>
      </c>
      <c r="DO476">
        <f ca="1"/>
      </c>
      <c r="DP476">
        <f ca="1"/>
      </c>
      <c r="DQ476">
        <f ca="1"/>
      </c>
      <c r="DR476">
        <f ca="1"/>
      </c>
      <c r="DS476">
        <f ca="1"/>
      </c>
      <c r="DT476">
        <f ca="1"/>
      </c>
      <c r="DU476">
        <f ca="1"/>
      </c>
      <c r="DV476">
        <f ca="1"/>
      </c>
      <c r="DW476">
        <f ca="1"/>
      </c>
      <c r="DX476">
        <f ca="1"/>
      </c>
      <c r="DY476">
        <f ca="1"/>
      </c>
      <c r="DZ476">
        <f ca="1"/>
      </c>
      <c r="EA476">
        <f ca="1"/>
      </c>
      <c r="EB476">
        <f ca="1"/>
      </c>
      <c r="EC476">
        <f ca="1"/>
      </c>
      <c r="ED476">
        <f ca="1"/>
      </c>
      <c r="EE476">
        <f ca="1"/>
      </c>
      <c r="EG476">
        <f ca="1"/>
      </c>
      <c r="EH476">
        <f ca="1"/>
      </c>
      <c r="EI476">
        <f ca="1"/>
      </c>
      <c r="EJ476">
        <f ca="1"/>
      </c>
      <c r="EK476">
        <f ca="1"/>
      </c>
      <c r="EL476">
        <f ca="1"/>
      </c>
      <c r="EM476">
        <f ca="1"/>
      </c>
      <c r="EN476">
        <f ca="1"/>
      </c>
      <c r="EO476">
        <f ca="1"/>
      </c>
      <c r="EP476">
        <f ca="1"/>
      </c>
      <c r="EQ476">
        <f ca="1"/>
      </c>
      <c r="ER476">
        <f ca="1"/>
      </c>
      <c r="ES476">
        <f ca="1"/>
      </c>
      <c r="ET476">
        <f ca="1"/>
      </c>
      <c r="EU476">
        <f ca="1"/>
      </c>
      <c r="EV476">
        <f ca="1"/>
      </c>
      <c r="EW476">
        <f ca="1"/>
      </c>
      <c r="EX476">
        <f ca="1"/>
      </c>
      <c r="EY476">
        <f ca="1"/>
      </c>
      <c r="EZ476">
        <f ca="1"/>
      </c>
      <c r="FA476">
        <f ca="1"/>
      </c>
      <c r="FB476">
        <f ca="1"/>
      </c>
      <c r="FC476">
        <f ca="1"/>
      </c>
      <c r="FD476">
        <f ca="1"/>
      </c>
      <c r="FE476">
        <f ca="1"/>
      </c>
      <c r="FF476">
        <f ca="1"/>
      </c>
      <c r="FG476">
        <f ca="1"/>
      </c>
      <c r="FH476">
        <f ca="1"/>
      </c>
      <c r="FI476">
        <f ca="1"/>
      </c>
      <c r="FJ476">
        <f ca="1"/>
      </c>
      <c r="FK476">
        <f ca="1"/>
      </c>
      <c r="FL476">
        <f ca="1"/>
      </c>
      <c r="FM476">
        <f ca="1"/>
      </c>
      <c r="FN476">
        <f ca="1"/>
      </c>
      <c r="FO476">
        <f ca="1"/>
      </c>
      <c r="FP476">
        <f ca="1"/>
      </c>
      <c r="FQ476">
        <f ca="1"/>
      </c>
      <c r="FR476">
        <f ca="1"/>
      </c>
      <c r="FS476">
        <f ca="1"/>
      </c>
      <c r="FT476">
        <f ca="1"/>
      </c>
      <c r="FU476">
        <f ca="1"/>
      </c>
      <c r="FV476">
        <f ca="1"/>
      </c>
      <c r="FW476">
        <f ca="1"/>
      </c>
      <c r="FX476">
        <f ca="1"/>
      </c>
      <c r="FY476">
        <f ca="1"/>
      </c>
      <c r="FZ476">
        <f ca="1"/>
      </c>
      <c r="GA476">
        <f ca="1"/>
      </c>
      <c r="GM476" s="7"/>
    </row>
    <row r="477" spans="41:195" x14ac:dyDescent="0.55000000000000004">
      <c r="AO477">
        <f ca="1"/>
      </c>
      <c r="AP477">
        <f ca="1"/>
      </c>
      <c r="AQ477">
        <f ca="1"/>
      </c>
      <c r="AR477">
        <f ca="1"/>
      </c>
      <c r="AS477">
        <f ca="1"/>
      </c>
      <c r="AT47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AZ477">
        <f ca="1"/>
      </c>
      <c r="BA477">
        <f ca="1"/>
      </c>
      <c r="BB477">
        <f ca="1"/>
      </c>
      <c r="BC477">
        <f ca="1"/>
      </c>
      <c r="BD477">
        <f ca="1"/>
      </c>
      <c r="BE477">
        <f ca="1"/>
      </c>
      <c r="BF477">
        <f ca="1"/>
      </c>
      <c r="BG477">
        <f ca="1"/>
      </c>
      <c r="BH477">
        <f ca="1"/>
      </c>
      <c r="BI477">
        <f ca="1"/>
      </c>
      <c r="BJ477">
        <f ca="1"/>
      </c>
      <c r="BK477">
        <f ca="1"/>
      </c>
      <c r="BL477">
        <f ca="1"/>
      </c>
      <c r="BM477">
        <f ca="1"/>
      </c>
      <c r="BN477">
        <f ca="1"/>
      </c>
      <c r="BO477">
        <f ca="1"/>
      </c>
      <c r="BP477">
        <f ca="1"/>
      </c>
      <c r="BQ477">
        <f ca="1"/>
      </c>
      <c r="BR477">
        <f ca="1"/>
      </c>
      <c r="BS477">
        <f ca="1"/>
      </c>
      <c r="BT477">
        <f ca="1"/>
      </c>
      <c r="BU477">
        <f ca="1"/>
      </c>
      <c r="BV477">
        <f ca="1"/>
      </c>
      <c r="BW477">
        <f ca="1"/>
      </c>
      <c r="BX477">
        <f ca="1"/>
      </c>
      <c r="BY477">
        <f ca="1"/>
      </c>
      <c r="BZ477">
        <f ca="1"/>
      </c>
      <c r="CA477">
        <f ca="1"/>
      </c>
      <c r="CB477">
        <f ca="1"/>
      </c>
      <c r="CC477">
        <f ca="1"/>
      </c>
      <c r="CD477">
        <f ca="1"/>
      </c>
      <c r="CE477">
        <f ca="1"/>
      </c>
      <c r="CF477">
        <f ca="1"/>
      </c>
      <c r="CG477">
        <f ca="1"/>
      </c>
      <c r="CH477">
        <f ca="1"/>
      </c>
      <c r="CI477">
        <f ca="1"/>
      </c>
      <c r="CK477">
        <f ca="1"/>
      </c>
      <c r="CL477">
        <f ca="1"/>
      </c>
      <c r="CM477">
        <f ca="1"/>
      </c>
      <c r="CN477">
        <f ca="1"/>
      </c>
      <c r="CO477">
        <f ca="1"/>
      </c>
      <c r="CP477">
        <f ca="1"/>
      </c>
      <c r="CQ477">
        <f ca="1"/>
      </c>
      <c r="CR477">
        <f ca="1"/>
      </c>
      <c r="CS477">
        <f ca="1"/>
      </c>
      <c r="CT477">
        <f ca="1"/>
      </c>
      <c r="CU477">
        <f ca="1"/>
      </c>
      <c r="CV477">
        <f ca="1"/>
      </c>
      <c r="CW477">
        <f ca="1"/>
      </c>
      <c r="CX477">
        <f ca="1"/>
      </c>
      <c r="CY477">
        <f ca="1"/>
      </c>
      <c r="CZ477">
        <f ca="1"/>
      </c>
      <c r="DA477">
        <f ca="1"/>
      </c>
      <c r="DB477">
        <f ca="1"/>
      </c>
      <c r="DC477">
        <f ca="1"/>
      </c>
      <c r="DD477">
        <f ca="1"/>
      </c>
      <c r="DE477">
        <f ca="1"/>
      </c>
      <c r="DF477">
        <f ca="1"/>
      </c>
      <c r="DG477">
        <f ca="1"/>
      </c>
      <c r="DH477">
        <f ca="1"/>
      </c>
      <c r="DI477">
        <f ca="1"/>
      </c>
      <c r="DJ477">
        <f ca="1"/>
      </c>
      <c r="DK477">
        <f ca="1"/>
      </c>
      <c r="DL477">
        <f ca="1"/>
      </c>
      <c r="DM477">
        <f ca="1"/>
      </c>
      <c r="DN477">
        <f ca="1"/>
      </c>
      <c r="DO477">
        <f ca="1"/>
      </c>
      <c r="DP477">
        <f ca="1"/>
      </c>
      <c r="DQ477">
        <f ca="1"/>
      </c>
      <c r="DR477">
        <f ca="1"/>
      </c>
      <c r="DS477">
        <f ca="1"/>
      </c>
      <c r="DT477">
        <f ca="1"/>
      </c>
      <c r="DU477">
        <f ca="1"/>
      </c>
      <c r="DV477">
        <f ca="1"/>
      </c>
      <c r="DW477">
        <f ca="1"/>
      </c>
      <c r="DX477">
        <f ca="1"/>
      </c>
      <c r="DY477">
        <f ca="1"/>
      </c>
      <c r="DZ477">
        <f ca="1"/>
      </c>
      <c r="EA477">
        <f ca="1"/>
      </c>
      <c r="EB477">
        <f ca="1"/>
      </c>
      <c r="EC477">
        <f ca="1"/>
      </c>
      <c r="ED477">
        <f ca="1"/>
      </c>
      <c r="EE477">
        <f ca="1"/>
      </c>
      <c r="EG477">
        <f ca="1"/>
      </c>
      <c r="EH477">
        <f ca="1"/>
      </c>
      <c r="EI477">
        <f ca="1"/>
      </c>
      <c r="EJ477">
        <f ca="1"/>
      </c>
      <c r="EK477">
        <f ca="1"/>
      </c>
      <c r="EL477">
        <f ca="1"/>
      </c>
      <c r="EM477">
        <f ca="1"/>
      </c>
      <c r="EN477">
        <f ca="1"/>
      </c>
      <c r="EO477">
        <f ca="1"/>
      </c>
      <c r="EP477">
        <f ca="1"/>
      </c>
      <c r="EQ477">
        <f ca="1"/>
      </c>
      <c r="ER477">
        <f ca="1"/>
      </c>
      <c r="ES477">
        <f ca="1"/>
      </c>
      <c r="ET477">
        <f ca="1"/>
      </c>
      <c r="EU477">
        <f ca="1"/>
      </c>
      <c r="EV477">
        <f ca="1"/>
      </c>
      <c r="EW477">
        <f ca="1"/>
      </c>
      <c r="EX477">
        <f ca="1"/>
      </c>
      <c r="EY477">
        <f ca="1"/>
      </c>
      <c r="EZ477">
        <f ca="1"/>
      </c>
      <c r="FA477">
        <f ca="1"/>
      </c>
      <c r="FB477">
        <f ca="1"/>
      </c>
      <c r="FC477">
        <f ca="1"/>
      </c>
      <c r="FD477">
        <f ca="1"/>
      </c>
      <c r="FE477">
        <f ca="1"/>
      </c>
      <c r="FF477">
        <f ca="1"/>
      </c>
      <c r="FG477">
        <f ca="1"/>
      </c>
      <c r="FH477">
        <f ca="1"/>
      </c>
      <c r="FI477">
        <f ca="1"/>
      </c>
      <c r="FJ477">
        <f ca="1"/>
      </c>
      <c r="FK477">
        <f ca="1"/>
      </c>
      <c r="FL477">
        <f ca="1"/>
      </c>
      <c r="FM477">
        <f ca="1"/>
      </c>
      <c r="FN477">
        <f ca="1"/>
      </c>
      <c r="FO477">
        <f ca="1"/>
      </c>
      <c r="FP477">
        <f ca="1"/>
      </c>
      <c r="FQ477">
        <f ca="1"/>
      </c>
      <c r="FR477">
        <f ca="1"/>
      </c>
      <c r="FS477">
        <f ca="1"/>
      </c>
      <c r="FT477">
        <f ca="1"/>
      </c>
      <c r="FU477">
        <f ca="1"/>
      </c>
      <c r="FV477">
        <f ca="1"/>
      </c>
      <c r="FW477">
        <f ca="1"/>
      </c>
      <c r="FX477">
        <f ca="1"/>
      </c>
      <c r="FY477">
        <f ca="1"/>
      </c>
      <c r="FZ477">
        <f ca="1"/>
      </c>
      <c r="GA477">
        <f ca="1"/>
      </c>
      <c r="GM477" s="7"/>
    </row>
    <row r="478" spans="41:195" x14ac:dyDescent="0.55000000000000004">
      <c r="AO478">
        <f ca="1"/>
      </c>
      <c r="AP478">
        <f ca="1"/>
      </c>
      <c r="AQ478">
        <f ca="1"/>
      </c>
      <c r="AR478">
        <f ca="1"/>
      </c>
      <c r="AS478">
        <f ca="1"/>
      </c>
      <c r="AT478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AZ478">
        <f ca="1"/>
      </c>
      <c r="BA478">
        <f ca="1"/>
      </c>
      <c r="BB478">
        <f ca="1"/>
      </c>
      <c r="BC478">
        <f ca="1"/>
      </c>
      <c r="BD478">
        <f ca="1"/>
      </c>
      <c r="BE478">
        <f ca="1"/>
      </c>
      <c r="BF478">
        <f ca="1"/>
      </c>
      <c r="BG478">
        <f ca="1"/>
      </c>
      <c r="BH478">
        <f ca="1"/>
      </c>
      <c r="BI478">
        <f ca="1"/>
      </c>
      <c r="BJ478">
        <f ca="1"/>
      </c>
      <c r="BK478">
        <f ca="1"/>
      </c>
      <c r="BL478">
        <f ca="1"/>
      </c>
      <c r="BM478">
        <f ca="1"/>
      </c>
      <c r="BN478">
        <f ca="1"/>
      </c>
      <c r="BO478">
        <f ca="1"/>
      </c>
      <c r="BP478">
        <f ca="1"/>
      </c>
      <c r="BQ478">
        <f ca="1"/>
      </c>
      <c r="BR478">
        <f ca="1"/>
      </c>
      <c r="BS478">
        <f ca="1"/>
      </c>
      <c r="BT478">
        <f ca="1"/>
      </c>
      <c r="BU478">
        <f ca="1"/>
      </c>
      <c r="BV478">
        <f ca="1"/>
      </c>
      <c r="BW478">
        <f ca="1"/>
      </c>
      <c r="BX478">
        <f ca="1"/>
      </c>
      <c r="BY478">
        <f ca="1"/>
      </c>
      <c r="BZ478">
        <f ca="1"/>
      </c>
      <c r="CA478">
        <f ca="1"/>
      </c>
      <c r="CB478">
        <f ca="1"/>
      </c>
      <c r="CC478">
        <f ca="1"/>
      </c>
      <c r="CD478">
        <f ca="1"/>
      </c>
      <c r="CE478">
        <f ca="1"/>
      </c>
      <c r="CF478">
        <f ca="1"/>
      </c>
      <c r="CG478">
        <f ca="1"/>
      </c>
      <c r="CH478">
        <f ca="1"/>
      </c>
      <c r="CI478">
        <f ca="1"/>
      </c>
      <c r="CK478">
        <f ca="1"/>
      </c>
      <c r="CL478">
        <f ca="1"/>
      </c>
      <c r="CM478">
        <f ca="1"/>
      </c>
      <c r="CN478">
        <f ca="1"/>
      </c>
      <c r="CO478">
        <f ca="1"/>
      </c>
      <c r="CP478">
        <f ca="1"/>
      </c>
      <c r="CQ478">
        <f ca="1"/>
      </c>
      <c r="CR478">
        <f ca="1"/>
      </c>
      <c r="CS478">
        <f ca="1"/>
      </c>
      <c r="CT478">
        <f ca="1"/>
      </c>
      <c r="CU478">
        <f ca="1"/>
      </c>
      <c r="CV478">
        <f ca="1"/>
      </c>
      <c r="CW478">
        <f ca="1"/>
      </c>
      <c r="CX478">
        <f ca="1"/>
      </c>
      <c r="CY478">
        <f ca="1"/>
      </c>
      <c r="CZ478">
        <f ca="1"/>
      </c>
      <c r="DA478">
        <f ca="1"/>
      </c>
      <c r="DB478">
        <f ca="1"/>
      </c>
      <c r="DC478">
        <f ca="1"/>
      </c>
      <c r="DD478">
        <f ca="1"/>
      </c>
      <c r="DE478">
        <f ca="1"/>
      </c>
      <c r="DF478">
        <f ca="1"/>
      </c>
      <c r="DG478">
        <f ca="1"/>
      </c>
      <c r="DH478">
        <f ca="1"/>
      </c>
      <c r="DI478">
        <f ca="1"/>
      </c>
      <c r="DJ478">
        <f ca="1"/>
      </c>
      <c r="DK478">
        <f ca="1"/>
      </c>
      <c r="DL478">
        <f ca="1"/>
      </c>
      <c r="DM478">
        <f ca="1"/>
      </c>
      <c r="DN478">
        <f ca="1"/>
      </c>
      <c r="DO478">
        <f ca="1"/>
      </c>
      <c r="DP478">
        <f ca="1"/>
      </c>
      <c r="DQ478">
        <f ca="1"/>
      </c>
      <c r="DR478">
        <f ca="1"/>
      </c>
      <c r="DS478">
        <f ca="1"/>
      </c>
      <c r="DT478">
        <f ca="1"/>
      </c>
      <c r="DU478">
        <f ca="1"/>
      </c>
      <c r="DV478">
        <f ca="1"/>
      </c>
      <c r="DW478">
        <f ca="1"/>
      </c>
      <c r="DX478">
        <f ca="1"/>
      </c>
      <c r="DY478">
        <f ca="1"/>
      </c>
      <c r="DZ478">
        <f ca="1"/>
      </c>
      <c r="EA478">
        <f ca="1"/>
      </c>
      <c r="EB478">
        <f ca="1"/>
      </c>
      <c r="EC478">
        <f ca="1"/>
      </c>
      <c r="ED478">
        <f ca="1"/>
      </c>
      <c r="EE478">
        <f ca="1"/>
      </c>
      <c r="EG478">
        <f ca="1"/>
      </c>
      <c r="EH478">
        <f ca="1"/>
      </c>
      <c r="EI478">
        <f ca="1"/>
      </c>
      <c r="EJ478">
        <f ca="1"/>
      </c>
      <c r="EK478">
        <f ca="1"/>
      </c>
      <c r="EL478">
        <f ca="1"/>
      </c>
      <c r="EM478">
        <f ca="1"/>
      </c>
      <c r="EN478">
        <f ca="1"/>
      </c>
      <c r="EO478">
        <f ca="1"/>
      </c>
      <c r="EP478">
        <f ca="1"/>
      </c>
      <c r="EQ478">
        <f ca="1"/>
      </c>
      <c r="ER478">
        <f ca="1"/>
      </c>
      <c r="ES478">
        <f ca="1"/>
      </c>
      <c r="ET478">
        <f ca="1"/>
      </c>
      <c r="EU478">
        <f ca="1"/>
      </c>
      <c r="EV478">
        <f ca="1"/>
      </c>
      <c r="EW478">
        <f ca="1"/>
      </c>
      <c r="EX478">
        <f ca="1"/>
      </c>
      <c r="EY478">
        <f ca="1"/>
      </c>
      <c r="EZ478">
        <f ca="1"/>
      </c>
      <c r="FA478">
        <f ca="1"/>
      </c>
      <c r="FB478">
        <f ca="1"/>
      </c>
      <c r="FC478">
        <f ca="1"/>
      </c>
      <c r="FD478">
        <f ca="1"/>
      </c>
      <c r="FE478">
        <f ca="1"/>
      </c>
      <c r="FF478">
        <f ca="1"/>
      </c>
      <c r="FG478">
        <f ca="1"/>
      </c>
      <c r="FH478">
        <f ca="1"/>
      </c>
      <c r="FI478">
        <f ca="1"/>
      </c>
      <c r="FJ478">
        <f ca="1"/>
      </c>
      <c r="FK478">
        <f ca="1"/>
      </c>
      <c r="FL478">
        <f ca="1"/>
      </c>
      <c r="FM478">
        <f ca="1"/>
      </c>
      <c r="FN478">
        <f ca="1"/>
      </c>
      <c r="FO478">
        <f ca="1"/>
      </c>
      <c r="FP478">
        <f ca="1"/>
      </c>
      <c r="FQ478">
        <f ca="1"/>
      </c>
      <c r="FR478">
        <f ca="1"/>
      </c>
      <c r="FS478">
        <f ca="1"/>
      </c>
      <c r="FT478">
        <f ca="1"/>
      </c>
      <c r="FU478">
        <f ca="1"/>
      </c>
      <c r="FV478">
        <f ca="1"/>
      </c>
      <c r="FW478">
        <f ca="1"/>
      </c>
      <c r="FX478">
        <f ca="1"/>
      </c>
      <c r="FY478">
        <f ca="1"/>
      </c>
      <c r="FZ478">
        <f ca="1"/>
      </c>
      <c r="GA478">
        <f ca="1"/>
      </c>
      <c r="GM478" s="7"/>
    </row>
    <row r="479" spans="41:195" x14ac:dyDescent="0.55000000000000004">
      <c r="AO479">
        <f ca="1"/>
      </c>
      <c r="AP479">
        <f ca="1"/>
      </c>
      <c r="AQ479">
        <f ca="1"/>
      </c>
      <c r="AR479">
        <f ca="1"/>
      </c>
      <c r="AS479">
        <f ca="1"/>
      </c>
      <c r="AT479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AZ479">
        <f ca="1"/>
      </c>
      <c r="BA479">
        <f ca="1"/>
      </c>
      <c r="BB479">
        <f ca="1"/>
      </c>
      <c r="BC479">
        <f ca="1"/>
      </c>
      <c r="BD479">
        <f ca="1"/>
      </c>
      <c r="BE479">
        <f ca="1"/>
      </c>
      <c r="BF479">
        <f ca="1"/>
      </c>
      <c r="BG479">
        <f ca="1"/>
      </c>
      <c r="BH479">
        <f ca="1"/>
      </c>
      <c r="BI479">
        <f ca="1"/>
      </c>
      <c r="BJ479">
        <f ca="1"/>
      </c>
      <c r="BK479">
        <f ca="1"/>
      </c>
      <c r="BL479">
        <f ca="1"/>
      </c>
      <c r="BM479">
        <f ca="1"/>
      </c>
      <c r="BN479">
        <f ca="1"/>
      </c>
      <c r="BO479">
        <f ca="1"/>
      </c>
      <c r="BP479">
        <f ca="1"/>
      </c>
      <c r="BQ479">
        <f ca="1"/>
      </c>
      <c r="BR479">
        <f ca="1"/>
      </c>
      <c r="BS479">
        <f ca="1"/>
      </c>
      <c r="BT479">
        <f ca="1"/>
      </c>
      <c r="BU479">
        <f ca="1"/>
      </c>
      <c r="BV479">
        <f ca="1"/>
      </c>
      <c r="BW479">
        <f ca="1"/>
      </c>
      <c r="BX479">
        <f ca="1"/>
      </c>
      <c r="BY479">
        <f ca="1"/>
      </c>
      <c r="BZ479">
        <f ca="1"/>
      </c>
      <c r="CA479">
        <f ca="1"/>
      </c>
      <c r="CB479">
        <f ca="1"/>
      </c>
      <c r="CC479">
        <f ca="1"/>
      </c>
      <c r="CD479">
        <f ca="1"/>
      </c>
      <c r="CE479">
        <f ca="1"/>
      </c>
      <c r="CF479">
        <f ca="1"/>
      </c>
      <c r="CG479">
        <f ca="1"/>
      </c>
      <c r="CH479">
        <f ca="1"/>
      </c>
      <c r="CI479">
        <f ca="1"/>
      </c>
      <c r="CK479">
        <f ca="1"/>
      </c>
      <c r="CL479">
        <f ca="1"/>
      </c>
      <c r="CM479">
        <f ca="1"/>
      </c>
      <c r="CN479">
        <f ca="1"/>
      </c>
      <c r="CO479">
        <f ca="1"/>
      </c>
      <c r="CP479">
        <f ca="1"/>
      </c>
      <c r="CQ479">
        <f ca="1"/>
      </c>
      <c r="CR479">
        <f ca="1"/>
      </c>
      <c r="CS479">
        <f ca="1"/>
      </c>
      <c r="CT479">
        <f ca="1"/>
      </c>
      <c r="CU479">
        <f ca="1"/>
      </c>
      <c r="CV479">
        <f ca="1"/>
      </c>
      <c r="CW479">
        <f ca="1"/>
      </c>
      <c r="CX479">
        <f ca="1"/>
      </c>
      <c r="CY479">
        <f ca="1"/>
      </c>
      <c r="CZ479">
        <f ca="1"/>
      </c>
      <c r="DA479">
        <f ca="1"/>
      </c>
      <c r="DB479">
        <f ca="1"/>
      </c>
      <c r="DC479">
        <f ca="1"/>
      </c>
      <c r="DD479">
        <f ca="1"/>
      </c>
      <c r="DE479">
        <f ca="1"/>
      </c>
      <c r="DF479">
        <f ca="1"/>
      </c>
      <c r="DG479">
        <f ca="1"/>
      </c>
      <c r="DH479">
        <f ca="1"/>
      </c>
      <c r="DI479">
        <f ca="1"/>
      </c>
      <c r="DJ479">
        <f ca="1"/>
      </c>
      <c r="DK479">
        <f ca="1"/>
      </c>
      <c r="DL479">
        <f ca="1"/>
      </c>
      <c r="DM479">
        <f ca="1"/>
      </c>
      <c r="DN479">
        <f ca="1"/>
      </c>
      <c r="DO479">
        <f ca="1"/>
      </c>
      <c r="DP479">
        <f ca="1"/>
      </c>
      <c r="DQ479">
        <f ca="1"/>
      </c>
      <c r="DR479">
        <f ca="1"/>
      </c>
      <c r="DS479">
        <f ca="1"/>
      </c>
      <c r="DT479">
        <f ca="1"/>
      </c>
      <c r="DU479">
        <f ca="1"/>
      </c>
      <c r="DV479">
        <f ca="1"/>
      </c>
      <c r="DW479">
        <f ca="1"/>
      </c>
      <c r="DX479">
        <f ca="1"/>
      </c>
      <c r="DY479">
        <f ca="1"/>
      </c>
      <c r="DZ479">
        <f ca="1"/>
      </c>
      <c r="EA479">
        <f ca="1"/>
      </c>
      <c r="EB479">
        <f ca="1"/>
      </c>
      <c r="EC479">
        <f ca="1"/>
      </c>
      <c r="ED479">
        <f ca="1"/>
      </c>
      <c r="EE479">
        <f ca="1"/>
      </c>
      <c r="EG479">
        <f ca="1"/>
      </c>
      <c r="EH479">
        <f ca="1"/>
      </c>
      <c r="EI479">
        <f ca="1"/>
      </c>
      <c r="EJ479">
        <f ca="1"/>
      </c>
      <c r="EK479">
        <f ca="1"/>
      </c>
      <c r="EL479">
        <f ca="1"/>
      </c>
      <c r="EM479">
        <f ca="1"/>
      </c>
      <c r="EN479">
        <f ca="1"/>
      </c>
      <c r="EO479">
        <f ca="1"/>
      </c>
      <c r="EP479">
        <f ca="1"/>
      </c>
      <c r="EQ479">
        <f ca="1"/>
      </c>
      <c r="ER479">
        <f ca="1"/>
      </c>
      <c r="ES479">
        <f ca="1"/>
      </c>
      <c r="ET479">
        <f ca="1"/>
      </c>
      <c r="EU479">
        <f ca="1"/>
      </c>
      <c r="EV479">
        <f ca="1"/>
      </c>
      <c r="EW479">
        <f ca="1"/>
      </c>
      <c r="EX479">
        <f ca="1"/>
      </c>
      <c r="EY479">
        <f ca="1"/>
      </c>
      <c r="EZ479">
        <f ca="1"/>
      </c>
      <c r="FA479">
        <f ca="1"/>
      </c>
      <c r="FB479">
        <f ca="1"/>
      </c>
      <c r="FC479">
        <f ca="1"/>
      </c>
      <c r="FD479">
        <f ca="1"/>
      </c>
      <c r="FE479">
        <f ca="1"/>
      </c>
      <c r="FF479">
        <f ca="1"/>
      </c>
      <c r="FG479">
        <f ca="1"/>
      </c>
      <c r="FH479">
        <f ca="1"/>
      </c>
      <c r="FI479">
        <f ca="1"/>
      </c>
      <c r="FJ479">
        <f ca="1"/>
      </c>
      <c r="FK479">
        <f ca="1"/>
      </c>
      <c r="FL479">
        <f ca="1"/>
      </c>
      <c r="FM479">
        <f ca="1"/>
      </c>
      <c r="FN479">
        <f ca="1"/>
      </c>
      <c r="FO479">
        <f ca="1"/>
      </c>
      <c r="FP479">
        <f ca="1"/>
      </c>
      <c r="FQ479">
        <f ca="1"/>
      </c>
      <c r="FR479">
        <f ca="1"/>
      </c>
      <c r="FS479">
        <f ca="1"/>
      </c>
      <c r="FT479">
        <f ca="1"/>
      </c>
      <c r="FU479">
        <f ca="1"/>
      </c>
      <c r="FV479">
        <f ca="1"/>
      </c>
      <c r="FW479">
        <f ca="1"/>
      </c>
      <c r="FX479">
        <f ca="1"/>
      </c>
      <c r="FY479">
        <f ca="1"/>
      </c>
      <c r="FZ479">
        <f ca="1"/>
      </c>
      <c r="GA479">
        <f ca="1"/>
      </c>
      <c r="GM479" s="7"/>
    </row>
    <row r="480" spans="41:195" x14ac:dyDescent="0.55000000000000004">
      <c r="AO480">
        <f ca="1"/>
      </c>
      <c r="AP480">
        <f ca="1"/>
      </c>
      <c r="AQ480">
        <f ca="1"/>
      </c>
      <c r="AR480">
        <f ca="1"/>
      </c>
      <c r="AS480">
        <f ca="1"/>
      </c>
      <c r="AT480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AZ480">
        <f ca="1"/>
      </c>
      <c r="BA480">
        <f ca="1"/>
      </c>
      <c r="BB480">
        <f ca="1"/>
      </c>
      <c r="BC480">
        <f ca="1"/>
      </c>
      <c r="BD480">
        <f ca="1"/>
      </c>
      <c r="BE480">
        <f ca="1"/>
      </c>
      <c r="BF480">
        <f ca="1"/>
      </c>
      <c r="BG480">
        <f ca="1"/>
      </c>
      <c r="BH480">
        <f ca="1"/>
      </c>
      <c r="BI480">
        <f ca="1"/>
      </c>
      <c r="BJ480">
        <f ca="1"/>
      </c>
      <c r="BK480">
        <f ca="1"/>
      </c>
      <c r="BL480">
        <f ca="1"/>
      </c>
      <c r="BM480">
        <f ca="1"/>
      </c>
      <c r="BN480">
        <f ca="1"/>
      </c>
      <c r="BO480">
        <f ca="1"/>
      </c>
      <c r="BP480">
        <f ca="1"/>
      </c>
      <c r="BQ480">
        <f ca="1"/>
      </c>
      <c r="BR480">
        <f ca="1"/>
      </c>
      <c r="BS480">
        <f ca="1"/>
      </c>
      <c r="BT480">
        <f ca="1"/>
      </c>
      <c r="BU480">
        <f ca="1"/>
      </c>
      <c r="BV480">
        <f ca="1"/>
      </c>
      <c r="BW480">
        <f ca="1"/>
      </c>
      <c r="BX480">
        <f ca="1"/>
      </c>
      <c r="BY480">
        <f ca="1"/>
      </c>
      <c r="BZ480">
        <f ca="1"/>
      </c>
      <c r="CA480">
        <f ca="1"/>
      </c>
      <c r="CB480">
        <f ca="1"/>
      </c>
      <c r="CC480">
        <f ca="1"/>
      </c>
      <c r="CD480">
        <f ca="1"/>
      </c>
      <c r="CE480">
        <f ca="1"/>
      </c>
      <c r="CF480">
        <f ca="1"/>
      </c>
      <c r="CG480">
        <f ca="1"/>
      </c>
      <c r="CH480">
        <f ca="1"/>
      </c>
      <c r="CI480">
        <f ca="1"/>
      </c>
      <c r="CK480">
        <f ca="1"/>
      </c>
      <c r="CL480">
        <f ca="1"/>
      </c>
      <c r="CM480">
        <f ca="1"/>
      </c>
      <c r="CN480">
        <f ca="1"/>
      </c>
      <c r="CO480">
        <f ca="1"/>
      </c>
      <c r="CP480">
        <f ca="1"/>
      </c>
      <c r="CQ480">
        <f ca="1"/>
      </c>
      <c r="CR480">
        <f ca="1"/>
      </c>
      <c r="CS480">
        <f ca="1"/>
      </c>
      <c r="CT480">
        <f ca="1"/>
      </c>
      <c r="CU480">
        <f ca="1"/>
      </c>
      <c r="CV480">
        <f ca="1"/>
      </c>
      <c r="CW480">
        <f ca="1"/>
      </c>
      <c r="CX480">
        <f ca="1"/>
      </c>
      <c r="CY480">
        <f ca="1"/>
      </c>
      <c r="CZ480">
        <f ca="1"/>
      </c>
      <c r="DA480">
        <f ca="1"/>
      </c>
      <c r="DB480">
        <f ca="1"/>
      </c>
      <c r="DC480">
        <f ca="1"/>
      </c>
      <c r="DD480">
        <f ca="1"/>
      </c>
      <c r="DE480">
        <f ca="1"/>
      </c>
      <c r="DF480">
        <f ca="1"/>
      </c>
      <c r="DG480">
        <f ca="1"/>
      </c>
      <c r="DH480">
        <f ca="1"/>
      </c>
      <c r="DI480">
        <f ca="1"/>
      </c>
      <c r="DJ480">
        <f ca="1"/>
      </c>
      <c r="DK480">
        <f ca="1"/>
      </c>
      <c r="DL480">
        <f ca="1"/>
      </c>
      <c r="DM480">
        <f ca="1"/>
      </c>
      <c r="DN480">
        <f ca="1"/>
      </c>
      <c r="DO480">
        <f ca="1"/>
      </c>
      <c r="DP480">
        <f ca="1"/>
      </c>
      <c r="DQ480">
        <f ca="1"/>
      </c>
      <c r="DR480">
        <f ca="1"/>
      </c>
      <c r="DS480">
        <f ca="1"/>
      </c>
      <c r="DT480">
        <f ca="1"/>
      </c>
      <c r="DU480">
        <f ca="1"/>
      </c>
      <c r="DV480">
        <f ca="1"/>
      </c>
      <c r="DW480">
        <f ca="1"/>
      </c>
      <c r="DX480">
        <f ca="1"/>
      </c>
      <c r="DY480">
        <f ca="1"/>
      </c>
      <c r="DZ480">
        <f ca="1"/>
      </c>
      <c r="EA480">
        <f ca="1"/>
      </c>
      <c r="EB480">
        <f ca="1"/>
      </c>
      <c r="EC480">
        <f ca="1"/>
      </c>
      <c r="ED480">
        <f ca="1"/>
      </c>
      <c r="EE480">
        <f ca="1"/>
      </c>
      <c r="EG480">
        <f ca="1"/>
      </c>
      <c r="EH480">
        <f ca="1"/>
      </c>
      <c r="EI480">
        <f ca="1"/>
      </c>
      <c r="EJ480">
        <f ca="1"/>
      </c>
      <c r="EK480">
        <f ca="1"/>
      </c>
      <c r="EL480">
        <f ca="1"/>
      </c>
      <c r="EM480">
        <f ca="1"/>
      </c>
      <c r="EN480">
        <f ca="1"/>
      </c>
      <c r="EO480">
        <f ca="1"/>
      </c>
      <c r="EP480">
        <f ca="1"/>
      </c>
      <c r="EQ480">
        <f ca="1"/>
      </c>
      <c r="ER480">
        <f ca="1"/>
      </c>
      <c r="ES480">
        <f ca="1"/>
      </c>
      <c r="ET480">
        <f ca="1"/>
      </c>
      <c r="EU480">
        <f ca="1"/>
      </c>
      <c r="EV480">
        <f ca="1"/>
      </c>
      <c r="EW480">
        <f ca="1"/>
      </c>
      <c r="EX480">
        <f ca="1"/>
      </c>
      <c r="EY480">
        <f ca="1"/>
      </c>
      <c r="EZ480">
        <f ca="1"/>
      </c>
      <c r="FA480">
        <f ca="1"/>
      </c>
      <c r="FB480">
        <f ca="1"/>
      </c>
      <c r="FC480">
        <f ca="1"/>
      </c>
      <c r="FD480">
        <f ca="1"/>
      </c>
      <c r="FE480">
        <f ca="1"/>
      </c>
      <c r="FF480">
        <f ca="1"/>
      </c>
      <c r="FG480">
        <f ca="1"/>
      </c>
      <c r="FH480">
        <f ca="1"/>
      </c>
      <c r="FI480">
        <f ca="1"/>
      </c>
      <c r="FJ480">
        <f ca="1"/>
      </c>
      <c r="FK480">
        <f ca="1"/>
      </c>
      <c r="FL480">
        <f ca="1"/>
      </c>
      <c r="FM480">
        <f ca="1"/>
      </c>
      <c r="FN480">
        <f ca="1"/>
      </c>
      <c r="FO480">
        <f ca="1"/>
      </c>
      <c r="FP480">
        <f ca="1"/>
      </c>
      <c r="FQ480">
        <f ca="1"/>
      </c>
      <c r="FR480">
        <f ca="1"/>
      </c>
      <c r="FS480">
        <f ca="1"/>
      </c>
      <c r="FT480">
        <f ca="1"/>
      </c>
      <c r="FU480">
        <f ca="1"/>
      </c>
      <c r="FV480">
        <f ca="1"/>
      </c>
      <c r="FW480">
        <f ca="1"/>
      </c>
      <c r="FX480">
        <f ca="1"/>
      </c>
      <c r="FY480">
        <f ca="1"/>
      </c>
      <c r="FZ480">
        <f ca="1"/>
      </c>
      <c r="GA480">
        <f ca="1"/>
      </c>
      <c r="GM480" s="7"/>
    </row>
    <row r="481" spans="41:195" x14ac:dyDescent="0.55000000000000004">
      <c r="AO481">
        <f ca="1"/>
      </c>
      <c r="AP481">
        <f ca="1"/>
      </c>
      <c r="AQ481">
        <f ca="1"/>
      </c>
      <c r="AR481">
        <f ca="1"/>
      </c>
      <c r="AS481">
        <f ca="1"/>
      </c>
      <c r="AT481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AZ481">
        <f ca="1"/>
      </c>
      <c r="BA481">
        <f ca="1"/>
      </c>
      <c r="BB481">
        <f ca="1"/>
      </c>
      <c r="BC481">
        <f ca="1"/>
      </c>
      <c r="BD481">
        <f ca="1"/>
      </c>
      <c r="BE481">
        <f ca="1"/>
      </c>
      <c r="BF481">
        <f ca="1"/>
      </c>
      <c r="BG481">
        <f ca="1"/>
      </c>
      <c r="BH481">
        <f ca="1"/>
      </c>
      <c r="BI481">
        <f ca="1"/>
      </c>
      <c r="BJ481">
        <f ca="1"/>
      </c>
      <c r="BK481">
        <f ca="1"/>
      </c>
      <c r="BL481">
        <f ca="1"/>
      </c>
      <c r="BM481">
        <f ca="1"/>
      </c>
      <c r="BN481">
        <f ca="1"/>
      </c>
      <c r="BO481">
        <f ca="1"/>
      </c>
      <c r="BP481">
        <f ca="1"/>
      </c>
      <c r="BQ481">
        <f ca="1"/>
      </c>
      <c r="BR481">
        <f ca="1"/>
      </c>
      <c r="BS481">
        <f ca="1"/>
      </c>
      <c r="BT481">
        <f ca="1"/>
      </c>
      <c r="BU481">
        <f ca="1"/>
      </c>
      <c r="BV481">
        <f ca="1"/>
      </c>
      <c r="BW481">
        <f ca="1"/>
      </c>
      <c r="BX481">
        <f ca="1"/>
      </c>
      <c r="BY481">
        <f ca="1"/>
      </c>
      <c r="BZ481">
        <f ca="1"/>
      </c>
      <c r="CA481">
        <f ca="1"/>
      </c>
      <c r="CB481">
        <f ca="1"/>
      </c>
      <c r="CC481">
        <f ca="1"/>
      </c>
      <c r="CD481">
        <f ca="1"/>
      </c>
      <c r="CE481">
        <f ca="1"/>
      </c>
      <c r="CF481">
        <f ca="1"/>
      </c>
      <c r="CG481">
        <f ca="1"/>
      </c>
      <c r="CH481">
        <f ca="1"/>
      </c>
      <c r="CI481">
        <f ca="1"/>
      </c>
      <c r="CK481">
        <f ca="1"/>
      </c>
      <c r="CL481">
        <f ca="1"/>
      </c>
      <c r="CM481">
        <f ca="1"/>
      </c>
      <c r="CN481">
        <f ca="1"/>
      </c>
      <c r="CO481">
        <f ca="1"/>
      </c>
      <c r="CP481">
        <f ca="1"/>
      </c>
      <c r="CQ481">
        <f ca="1"/>
      </c>
      <c r="CR481">
        <f ca="1"/>
      </c>
      <c r="CS481">
        <f ca="1"/>
      </c>
      <c r="CT481">
        <f ca="1"/>
      </c>
      <c r="CU481">
        <f ca="1"/>
      </c>
      <c r="CV481">
        <f ca="1"/>
      </c>
      <c r="CW481">
        <f ca="1"/>
      </c>
      <c r="CX481">
        <f ca="1"/>
      </c>
      <c r="CY481">
        <f ca="1"/>
      </c>
      <c r="CZ481">
        <f ca="1"/>
      </c>
      <c r="DA481">
        <f ca="1"/>
      </c>
      <c r="DB481">
        <f ca="1"/>
      </c>
      <c r="DC481">
        <f ca="1"/>
      </c>
      <c r="DD481">
        <f ca="1"/>
      </c>
      <c r="DE481">
        <f ca="1"/>
      </c>
      <c r="DF481">
        <f ca="1"/>
      </c>
      <c r="DG481">
        <f ca="1"/>
      </c>
      <c r="DH481">
        <f ca="1"/>
      </c>
      <c r="DI481">
        <f ca="1"/>
      </c>
      <c r="DJ481">
        <f ca="1"/>
      </c>
      <c r="DK481">
        <f ca="1"/>
      </c>
      <c r="DL481">
        <f ca="1"/>
      </c>
      <c r="DM481">
        <f ca="1"/>
      </c>
      <c r="DN481">
        <f ca="1"/>
      </c>
      <c r="DO481">
        <f ca="1"/>
      </c>
      <c r="DP481">
        <f ca="1"/>
      </c>
      <c r="DQ481">
        <f ca="1"/>
      </c>
      <c r="DR481">
        <f ca="1"/>
      </c>
      <c r="DS481">
        <f ca="1"/>
      </c>
      <c r="DT481">
        <f ca="1"/>
      </c>
      <c r="DU481">
        <f ca="1"/>
      </c>
      <c r="DV481">
        <f ca="1"/>
      </c>
      <c r="DW481">
        <f ca="1"/>
      </c>
      <c r="DX481">
        <f ca="1"/>
      </c>
      <c r="DY481">
        <f ca="1"/>
      </c>
      <c r="DZ481">
        <f ca="1"/>
      </c>
      <c r="EA481">
        <f ca="1"/>
      </c>
      <c r="EB481">
        <f ca="1"/>
      </c>
      <c r="EC481">
        <f ca="1"/>
      </c>
      <c r="ED481">
        <f ca="1"/>
      </c>
      <c r="EE481">
        <f ca="1"/>
      </c>
      <c r="EG481">
        <f ca="1"/>
      </c>
      <c r="EH481">
        <f ca="1"/>
      </c>
      <c r="EI481">
        <f ca="1"/>
      </c>
      <c r="EJ481">
        <f ca="1"/>
      </c>
      <c r="EK481">
        <f ca="1"/>
      </c>
      <c r="EL481">
        <f ca="1"/>
      </c>
      <c r="EM481">
        <f ca="1"/>
      </c>
      <c r="EN481">
        <f ca="1"/>
      </c>
      <c r="EO481">
        <f ca="1"/>
      </c>
      <c r="EP481">
        <f ca="1"/>
      </c>
      <c r="EQ481">
        <f ca="1"/>
      </c>
      <c r="ER481">
        <f ca="1"/>
      </c>
      <c r="ES481">
        <f ca="1"/>
      </c>
      <c r="ET481">
        <f ca="1"/>
      </c>
      <c r="EU481">
        <f ca="1"/>
      </c>
      <c r="EV481">
        <f ca="1"/>
      </c>
      <c r="EW481">
        <f ca="1"/>
      </c>
      <c r="EX481">
        <f ca="1"/>
      </c>
      <c r="EY481">
        <f ca="1"/>
      </c>
      <c r="EZ481">
        <f ca="1"/>
      </c>
      <c r="FA481">
        <f ca="1"/>
      </c>
      <c r="FB481">
        <f ca="1"/>
      </c>
      <c r="FC481">
        <f ca="1"/>
      </c>
      <c r="FD481">
        <f ca="1"/>
      </c>
      <c r="FE481">
        <f ca="1"/>
      </c>
      <c r="FF481">
        <f ca="1"/>
      </c>
      <c r="FG481">
        <f ca="1"/>
      </c>
      <c r="FH481">
        <f ca="1"/>
      </c>
      <c r="FI481">
        <f ca="1"/>
      </c>
      <c r="FJ481">
        <f ca="1"/>
      </c>
      <c r="FK481">
        <f ca="1"/>
      </c>
      <c r="FL481">
        <f ca="1"/>
      </c>
      <c r="FM481">
        <f ca="1"/>
      </c>
      <c r="FN481">
        <f ca="1"/>
      </c>
      <c r="FO481">
        <f ca="1"/>
      </c>
      <c r="FP481">
        <f ca="1"/>
      </c>
      <c r="FQ481">
        <f ca="1"/>
      </c>
      <c r="FR481">
        <f ca="1"/>
      </c>
      <c r="FS481">
        <f ca="1"/>
      </c>
      <c r="FT481">
        <f ca="1"/>
      </c>
      <c r="FU481">
        <f ca="1"/>
      </c>
      <c r="FV481">
        <f ca="1"/>
      </c>
      <c r="FW481">
        <f ca="1"/>
      </c>
      <c r="FX481">
        <f ca="1"/>
      </c>
      <c r="FY481">
        <f ca="1"/>
      </c>
      <c r="FZ481">
        <f ca="1"/>
      </c>
      <c r="GA481">
        <f ca="1"/>
      </c>
      <c r="GM481" s="7"/>
    </row>
    <row r="482" spans="41:195" x14ac:dyDescent="0.55000000000000004">
      <c r="AO482">
        <f ca="1"/>
      </c>
      <c r="AP482">
        <f ca="1"/>
      </c>
      <c r="AQ482">
        <f ca="1"/>
      </c>
      <c r="AR482">
        <f ca="1"/>
      </c>
      <c r="AS482">
        <f ca="1"/>
      </c>
      <c r="AT482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AZ482">
        <f ca="1"/>
      </c>
      <c r="BA482">
        <f ca="1"/>
      </c>
      <c r="BB482">
        <f ca="1"/>
      </c>
      <c r="BC482">
        <f ca="1"/>
      </c>
      <c r="BD482">
        <f ca="1"/>
      </c>
      <c r="BE482">
        <f ca="1"/>
      </c>
      <c r="BF482">
        <f ca="1"/>
      </c>
      <c r="BG482">
        <f ca="1"/>
      </c>
      <c r="BH482">
        <f ca="1"/>
      </c>
      <c r="BI482">
        <f ca="1"/>
      </c>
      <c r="BJ482">
        <f ca="1"/>
      </c>
      <c r="BK482">
        <f ca="1"/>
      </c>
      <c r="BL482">
        <f ca="1"/>
      </c>
      <c r="BM482">
        <f ca="1"/>
      </c>
      <c r="BN482">
        <f ca="1"/>
      </c>
      <c r="BO482">
        <f ca="1"/>
      </c>
      <c r="BP482">
        <f ca="1"/>
      </c>
      <c r="BQ482">
        <f ca="1"/>
      </c>
      <c r="BR482">
        <f ca="1"/>
      </c>
      <c r="BS482">
        <f ca="1"/>
      </c>
      <c r="BT482">
        <f ca="1"/>
      </c>
      <c r="BU482">
        <f ca="1"/>
      </c>
      <c r="BV482">
        <f ca="1"/>
      </c>
      <c r="BW482">
        <f ca="1"/>
      </c>
      <c r="BX482">
        <f ca="1"/>
      </c>
      <c r="BY482">
        <f ca="1"/>
      </c>
      <c r="BZ482">
        <f ca="1"/>
      </c>
      <c r="CA482">
        <f ca="1"/>
      </c>
      <c r="CB482">
        <f ca="1"/>
      </c>
      <c r="CC482">
        <f ca="1"/>
      </c>
      <c r="CD482">
        <f ca="1"/>
      </c>
      <c r="CE482">
        <f ca="1"/>
      </c>
      <c r="CF482">
        <f ca="1"/>
      </c>
      <c r="CG482">
        <f ca="1"/>
      </c>
      <c r="CH482">
        <f ca="1"/>
      </c>
      <c r="CI482">
        <f ca="1"/>
      </c>
      <c r="CK482">
        <f ca="1"/>
      </c>
      <c r="CL482">
        <f ca="1"/>
      </c>
      <c r="CM482">
        <f ca="1"/>
      </c>
      <c r="CN482">
        <f ca="1"/>
      </c>
      <c r="CO482">
        <f ca="1"/>
      </c>
      <c r="CP482">
        <f ca="1"/>
      </c>
      <c r="CQ482">
        <f ca="1"/>
      </c>
      <c r="CR482">
        <f ca="1"/>
      </c>
      <c r="CS482">
        <f ca="1"/>
      </c>
      <c r="CT482">
        <f ca="1"/>
      </c>
      <c r="CU482">
        <f ca="1"/>
      </c>
      <c r="CV482">
        <f ca="1"/>
      </c>
      <c r="CW482">
        <f ca="1"/>
      </c>
      <c r="CX482">
        <f ca="1"/>
      </c>
      <c r="CY482">
        <f ca="1"/>
      </c>
      <c r="CZ482">
        <f ca="1"/>
      </c>
      <c r="DA482">
        <f ca="1"/>
      </c>
      <c r="DB482">
        <f ca="1"/>
      </c>
      <c r="DC482">
        <f ca="1"/>
      </c>
      <c r="DD482">
        <f ca="1"/>
      </c>
      <c r="DE482">
        <f ca="1"/>
      </c>
      <c r="DF482">
        <f ca="1"/>
      </c>
      <c r="DG482">
        <f ca="1"/>
      </c>
      <c r="DH482">
        <f ca="1"/>
      </c>
      <c r="DI482">
        <f ca="1"/>
      </c>
      <c r="DJ482">
        <f ca="1"/>
      </c>
      <c r="DK482">
        <f ca="1"/>
      </c>
      <c r="DL482">
        <f ca="1"/>
      </c>
      <c r="DM482">
        <f ca="1"/>
      </c>
      <c r="DN482">
        <f ca="1"/>
      </c>
      <c r="DO482">
        <f ca="1"/>
      </c>
      <c r="DP482">
        <f ca="1"/>
      </c>
      <c r="DQ482">
        <f ca="1"/>
      </c>
      <c r="DR482">
        <f ca="1"/>
      </c>
      <c r="DS482">
        <f ca="1"/>
      </c>
      <c r="DT482">
        <f ca="1"/>
      </c>
      <c r="DU482">
        <f ca="1"/>
      </c>
      <c r="DV482">
        <f ca="1"/>
      </c>
      <c r="DW482">
        <f ca="1"/>
      </c>
      <c r="DX482">
        <f ca="1"/>
      </c>
      <c r="DY482">
        <f ca="1"/>
      </c>
      <c r="DZ482">
        <f ca="1"/>
      </c>
      <c r="EA482">
        <f ca="1"/>
      </c>
      <c r="EB482">
        <f ca="1"/>
      </c>
      <c r="EC482">
        <f ca="1"/>
      </c>
      <c r="ED482">
        <f ca="1"/>
      </c>
      <c r="EE482">
        <f ca="1"/>
      </c>
      <c r="EG482">
        <f ca="1"/>
      </c>
      <c r="EH482">
        <f ca="1"/>
      </c>
      <c r="EI482">
        <f ca="1"/>
      </c>
      <c r="EJ482">
        <f ca="1"/>
      </c>
      <c r="EK482">
        <f ca="1"/>
      </c>
      <c r="EL482">
        <f ca="1"/>
      </c>
      <c r="EM482">
        <f ca="1"/>
      </c>
      <c r="EN482">
        <f ca="1"/>
      </c>
      <c r="EO482">
        <f ca="1"/>
      </c>
      <c r="EP482">
        <f ca="1"/>
      </c>
      <c r="EQ482">
        <f ca="1"/>
      </c>
      <c r="ER482">
        <f ca="1"/>
      </c>
      <c r="ES482">
        <f ca="1"/>
      </c>
      <c r="ET482">
        <f ca="1"/>
      </c>
      <c r="EU482">
        <f ca="1"/>
      </c>
      <c r="EV482">
        <f ca="1"/>
      </c>
      <c r="EW482">
        <f ca="1"/>
      </c>
      <c r="EX482">
        <f ca="1"/>
      </c>
      <c r="EY482">
        <f ca="1"/>
      </c>
      <c r="EZ482">
        <f ca="1"/>
      </c>
      <c r="FA482">
        <f ca="1"/>
      </c>
      <c r="FB482">
        <f ca="1"/>
      </c>
      <c r="FC482">
        <f ca="1"/>
      </c>
      <c r="FD482">
        <f ca="1"/>
      </c>
      <c r="FE482">
        <f ca="1"/>
      </c>
      <c r="FF482">
        <f ca="1"/>
      </c>
      <c r="FG482">
        <f ca="1"/>
      </c>
      <c r="FH482">
        <f ca="1"/>
      </c>
      <c r="FI482">
        <f ca="1"/>
      </c>
      <c r="FJ482">
        <f ca="1"/>
      </c>
      <c r="FK482">
        <f ca="1"/>
      </c>
      <c r="FL482">
        <f ca="1"/>
      </c>
      <c r="FM482">
        <f ca="1"/>
      </c>
      <c r="FN482">
        <f ca="1"/>
      </c>
      <c r="FO482">
        <f ca="1"/>
      </c>
      <c r="FP482">
        <f ca="1"/>
      </c>
      <c r="FQ482">
        <f ca="1"/>
      </c>
      <c r="FR482">
        <f ca="1"/>
      </c>
      <c r="FS482">
        <f ca="1"/>
      </c>
      <c r="FT482">
        <f ca="1"/>
      </c>
      <c r="FU482">
        <f ca="1"/>
      </c>
      <c r="FV482">
        <f ca="1"/>
      </c>
      <c r="FW482">
        <f ca="1"/>
      </c>
      <c r="FX482">
        <f ca="1"/>
      </c>
      <c r="FY482">
        <f ca="1"/>
      </c>
      <c r="FZ482">
        <f ca="1"/>
      </c>
      <c r="GA482">
        <f ca="1"/>
      </c>
      <c r="GM482" s="7"/>
    </row>
    <row r="483" spans="41:195" x14ac:dyDescent="0.55000000000000004">
      <c r="AO483">
        <f ca="1"/>
      </c>
      <c r="AP483">
        <f ca="1"/>
      </c>
      <c r="AQ483">
        <f ca="1"/>
      </c>
      <c r="AR483">
        <f ca="1"/>
      </c>
      <c r="AS483">
        <f ca="1"/>
      </c>
      <c r="AT483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AZ483">
        <f ca="1"/>
      </c>
      <c r="BA483">
        <f ca="1"/>
      </c>
      <c r="BB483">
        <f ca="1"/>
      </c>
      <c r="BC483">
        <f ca="1"/>
      </c>
      <c r="BD483">
        <f ca="1"/>
      </c>
      <c r="BE483">
        <f ca="1"/>
      </c>
      <c r="BF483">
        <f ca="1"/>
      </c>
      <c r="BG483">
        <f ca="1"/>
      </c>
      <c r="BH483">
        <f ca="1"/>
      </c>
      <c r="BI483">
        <f ca="1"/>
      </c>
      <c r="BJ483">
        <f ca="1"/>
      </c>
      <c r="BK483">
        <f ca="1"/>
      </c>
      <c r="BL483">
        <f ca="1"/>
      </c>
      <c r="BM483">
        <f ca="1"/>
      </c>
      <c r="BN483">
        <f ca="1"/>
      </c>
      <c r="BO483">
        <f ca="1"/>
      </c>
      <c r="BP483">
        <f ca="1"/>
      </c>
      <c r="BQ483">
        <f ca="1"/>
      </c>
      <c r="BR483">
        <f ca="1"/>
      </c>
      <c r="BS483">
        <f ca="1"/>
      </c>
      <c r="BT483">
        <f ca="1"/>
      </c>
      <c r="BU483">
        <f ca="1"/>
      </c>
      <c r="BV483">
        <f ca="1"/>
      </c>
      <c r="BW483">
        <f ca="1"/>
      </c>
      <c r="BX483">
        <f ca="1"/>
      </c>
      <c r="BY483">
        <f ca="1"/>
      </c>
      <c r="BZ483">
        <f ca="1"/>
      </c>
      <c r="CA483">
        <f ca="1"/>
      </c>
      <c r="CB483">
        <f ca="1"/>
      </c>
      <c r="CC483">
        <f ca="1"/>
      </c>
      <c r="CD483">
        <f ca="1"/>
      </c>
      <c r="CE483">
        <f ca="1"/>
      </c>
      <c r="CF483">
        <f ca="1"/>
      </c>
      <c r="CG483">
        <f ca="1"/>
      </c>
      <c r="CH483">
        <f ca="1"/>
      </c>
      <c r="CI483">
        <f ca="1"/>
      </c>
      <c r="CK483">
        <f ca="1"/>
      </c>
      <c r="CL483">
        <f ca="1"/>
      </c>
      <c r="CM483">
        <f ca="1"/>
      </c>
      <c r="CN483">
        <f ca="1"/>
      </c>
      <c r="CO483">
        <f ca="1"/>
      </c>
      <c r="CP483">
        <f ca="1"/>
      </c>
      <c r="CQ483">
        <f ca="1"/>
      </c>
      <c r="CR483">
        <f ca="1"/>
      </c>
      <c r="CS483">
        <f ca="1"/>
      </c>
      <c r="CT483">
        <f ca="1"/>
      </c>
      <c r="CU483">
        <f ca="1"/>
      </c>
      <c r="CV483">
        <f ca="1"/>
      </c>
      <c r="CW483">
        <f ca="1"/>
      </c>
      <c r="CX483">
        <f ca="1"/>
      </c>
      <c r="CY483">
        <f ca="1"/>
      </c>
      <c r="CZ483">
        <f ca="1"/>
      </c>
      <c r="DA483">
        <f ca="1"/>
      </c>
      <c r="DB483">
        <f ca="1"/>
      </c>
      <c r="DC483">
        <f ca="1"/>
      </c>
      <c r="DD483">
        <f ca="1"/>
      </c>
      <c r="DE483">
        <f ca="1"/>
      </c>
      <c r="DF483">
        <f ca="1"/>
      </c>
      <c r="DG483">
        <f ca="1"/>
      </c>
      <c r="DH483">
        <f ca="1"/>
      </c>
      <c r="DI483">
        <f ca="1"/>
      </c>
      <c r="DJ483">
        <f ca="1"/>
      </c>
      <c r="DK483">
        <f ca="1"/>
      </c>
      <c r="DL483">
        <f ca="1"/>
      </c>
      <c r="DM483">
        <f ca="1"/>
      </c>
      <c r="DN483">
        <f ca="1"/>
      </c>
      <c r="DO483">
        <f ca="1"/>
      </c>
      <c r="DP483">
        <f ca="1"/>
      </c>
      <c r="DQ483">
        <f ca="1"/>
      </c>
      <c r="DR483">
        <f ca="1"/>
      </c>
      <c r="DS483">
        <f ca="1"/>
      </c>
      <c r="DT483">
        <f ca="1"/>
      </c>
      <c r="DU483">
        <f ca="1"/>
      </c>
      <c r="DV483">
        <f ca="1"/>
      </c>
      <c r="DW483">
        <f ca="1"/>
      </c>
      <c r="DX483">
        <f ca="1"/>
      </c>
      <c r="DY483">
        <f ca="1"/>
      </c>
      <c r="DZ483">
        <f ca="1"/>
      </c>
      <c r="EA483">
        <f ca="1"/>
      </c>
      <c r="EB483">
        <f ca="1"/>
      </c>
      <c r="EC483">
        <f ca="1"/>
      </c>
      <c r="ED483">
        <f ca="1"/>
      </c>
      <c r="EE483">
        <f ca="1"/>
      </c>
      <c r="EG483">
        <f ca="1"/>
      </c>
      <c r="EH483">
        <f ca="1"/>
      </c>
      <c r="EI483">
        <f ca="1"/>
      </c>
      <c r="EJ483">
        <f ca="1"/>
      </c>
      <c r="EK483">
        <f ca="1"/>
      </c>
      <c r="EL483">
        <f ca="1"/>
      </c>
      <c r="EM483">
        <f ca="1"/>
      </c>
      <c r="EN483">
        <f ca="1"/>
      </c>
      <c r="EO483">
        <f ca="1"/>
      </c>
      <c r="EP483">
        <f ca="1"/>
      </c>
      <c r="EQ483">
        <f ca="1"/>
      </c>
      <c r="ER483">
        <f ca="1"/>
      </c>
      <c r="ES483">
        <f ca="1"/>
      </c>
      <c r="ET483">
        <f ca="1"/>
      </c>
      <c r="EU483">
        <f ca="1"/>
      </c>
      <c r="EV483">
        <f ca="1"/>
      </c>
      <c r="EW483">
        <f ca="1"/>
      </c>
      <c r="EX483">
        <f ca="1"/>
      </c>
      <c r="EY483">
        <f ca="1"/>
      </c>
      <c r="EZ483">
        <f ca="1"/>
      </c>
      <c r="FA483">
        <f ca="1"/>
      </c>
      <c r="FB483">
        <f ca="1"/>
      </c>
      <c r="FC483">
        <f ca="1"/>
      </c>
      <c r="FD483">
        <f ca="1"/>
      </c>
      <c r="FE483">
        <f ca="1"/>
      </c>
      <c r="FF483">
        <f ca="1"/>
      </c>
      <c r="FG483">
        <f ca="1"/>
      </c>
      <c r="FH483">
        <f ca="1"/>
      </c>
      <c r="FI483">
        <f ca="1"/>
      </c>
      <c r="FJ483">
        <f ca="1"/>
      </c>
      <c r="FK483">
        <f ca="1"/>
      </c>
      <c r="FL483">
        <f ca="1"/>
      </c>
      <c r="FM483">
        <f ca="1"/>
      </c>
      <c r="FN483">
        <f ca="1"/>
      </c>
      <c r="FO483">
        <f ca="1"/>
      </c>
      <c r="FP483">
        <f ca="1"/>
      </c>
      <c r="FQ483">
        <f ca="1"/>
      </c>
      <c r="FR483">
        <f ca="1"/>
      </c>
      <c r="FS483">
        <f ca="1"/>
      </c>
      <c r="FT483">
        <f ca="1"/>
      </c>
      <c r="FU483">
        <f ca="1"/>
      </c>
      <c r="FV483">
        <f ca="1"/>
      </c>
      <c r="FW483">
        <f ca="1"/>
      </c>
      <c r="FX483">
        <f ca="1"/>
      </c>
      <c r="FY483">
        <f ca="1"/>
      </c>
      <c r="FZ483">
        <f ca="1"/>
      </c>
      <c r="GA483">
        <f ca="1"/>
      </c>
      <c r="GM483" s="7"/>
    </row>
    <row r="484" spans="41:195" x14ac:dyDescent="0.55000000000000004">
      <c r="AO484">
        <f ca="1"/>
      </c>
      <c r="AP484">
        <f ca="1"/>
      </c>
      <c r="AQ484">
        <f ca="1"/>
      </c>
      <c r="AR484">
        <f ca="1"/>
      </c>
      <c r="AS484">
        <f ca="1"/>
      </c>
      <c r="AT484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AZ484">
        <f ca="1"/>
      </c>
      <c r="BA484">
        <f ca="1"/>
      </c>
      <c r="BB484">
        <f ca="1"/>
      </c>
      <c r="BC484">
        <f ca="1"/>
      </c>
      <c r="BD484">
        <f ca="1"/>
      </c>
      <c r="BE484">
        <f ca="1"/>
      </c>
      <c r="BF484">
        <f ca="1"/>
      </c>
      <c r="BG484">
        <f ca="1"/>
      </c>
      <c r="BH484">
        <f ca="1"/>
      </c>
      <c r="BI484">
        <f ca="1"/>
      </c>
      <c r="BJ484">
        <f ca="1"/>
      </c>
      <c r="BK484">
        <f ca="1"/>
      </c>
      <c r="BL484">
        <f ca="1"/>
      </c>
      <c r="BM484">
        <f ca="1"/>
      </c>
      <c r="BN484">
        <f ca="1"/>
      </c>
      <c r="BO484">
        <f ca="1"/>
      </c>
      <c r="BP484">
        <f ca="1"/>
      </c>
      <c r="BQ484">
        <f ca="1"/>
      </c>
      <c r="BR484">
        <f ca="1"/>
      </c>
      <c r="BS484">
        <f ca="1"/>
      </c>
      <c r="BT484">
        <f ca="1"/>
      </c>
      <c r="BU484">
        <f ca="1"/>
      </c>
      <c r="BV484">
        <f ca="1"/>
      </c>
      <c r="BW484">
        <f ca="1"/>
      </c>
      <c r="BX484">
        <f ca="1"/>
      </c>
      <c r="BY484">
        <f ca="1"/>
      </c>
      <c r="BZ484">
        <f ca="1"/>
      </c>
      <c r="CA484">
        <f ca="1"/>
      </c>
      <c r="CB484">
        <f ca="1"/>
      </c>
      <c r="CC484">
        <f ca="1"/>
      </c>
      <c r="CD484">
        <f ca="1"/>
      </c>
      <c r="CE484">
        <f ca="1"/>
      </c>
      <c r="CF484">
        <f ca="1"/>
      </c>
      <c r="CG484">
        <f ca="1"/>
      </c>
      <c r="CH484">
        <f ca="1"/>
      </c>
      <c r="CI484">
        <f ca="1"/>
      </c>
      <c r="CK484">
        <f ca="1"/>
      </c>
      <c r="CL484">
        <f ca="1"/>
      </c>
      <c r="CM484">
        <f ca="1"/>
      </c>
      <c r="CN484">
        <f ca="1"/>
      </c>
      <c r="CO484">
        <f ca="1"/>
      </c>
      <c r="CP484">
        <f ca="1"/>
      </c>
      <c r="CQ484">
        <f ca="1"/>
      </c>
      <c r="CR484">
        <f ca="1"/>
      </c>
      <c r="CS484">
        <f ca="1"/>
      </c>
      <c r="CT484">
        <f ca="1"/>
      </c>
      <c r="CU484">
        <f ca="1"/>
      </c>
      <c r="CV484">
        <f ca="1"/>
      </c>
      <c r="CW484">
        <f ca="1"/>
      </c>
      <c r="CX484">
        <f ca="1"/>
      </c>
      <c r="CY484">
        <f ca="1"/>
      </c>
      <c r="CZ484">
        <f ca="1"/>
      </c>
      <c r="DA484">
        <f ca="1"/>
      </c>
      <c r="DB484">
        <f ca="1"/>
      </c>
      <c r="DC484">
        <f ca="1"/>
      </c>
      <c r="DD484">
        <f ca="1"/>
      </c>
      <c r="DE484">
        <f ca="1"/>
      </c>
      <c r="DF484">
        <f ca="1"/>
      </c>
      <c r="DG484">
        <f ca="1"/>
      </c>
      <c r="DH484">
        <f ca="1"/>
      </c>
      <c r="DI484">
        <f ca="1"/>
      </c>
      <c r="DJ484">
        <f ca="1"/>
      </c>
      <c r="DK484">
        <f ca="1"/>
      </c>
      <c r="DL484">
        <f ca="1"/>
      </c>
      <c r="DM484">
        <f ca="1"/>
      </c>
      <c r="DN484">
        <f ca="1"/>
      </c>
      <c r="DO484">
        <f ca="1"/>
      </c>
      <c r="DP484">
        <f ca="1"/>
      </c>
      <c r="DQ484">
        <f ca="1"/>
      </c>
      <c r="DR484">
        <f ca="1"/>
      </c>
      <c r="DS484">
        <f ca="1"/>
      </c>
      <c r="DT484">
        <f ca="1"/>
      </c>
      <c r="DU484">
        <f ca="1"/>
      </c>
      <c r="DV484">
        <f ca="1"/>
      </c>
      <c r="DW484">
        <f ca="1"/>
      </c>
      <c r="DX484">
        <f ca="1"/>
      </c>
      <c r="DY484">
        <f ca="1"/>
      </c>
      <c r="DZ484">
        <f ca="1"/>
      </c>
      <c r="EA484">
        <f ca="1"/>
      </c>
      <c r="EB484">
        <f ca="1"/>
      </c>
      <c r="EC484">
        <f ca="1"/>
      </c>
      <c r="ED484">
        <f ca="1"/>
      </c>
      <c r="EE484">
        <f ca="1"/>
      </c>
      <c r="EG484">
        <f ca="1"/>
      </c>
      <c r="EH484">
        <f ca="1"/>
      </c>
      <c r="EI484">
        <f ca="1"/>
      </c>
      <c r="EJ484">
        <f ca="1"/>
      </c>
      <c r="EK484">
        <f ca="1"/>
      </c>
      <c r="EL484">
        <f ca="1"/>
      </c>
      <c r="EM484">
        <f ca="1"/>
      </c>
      <c r="EN484">
        <f ca="1"/>
      </c>
      <c r="EO484">
        <f ca="1"/>
      </c>
      <c r="EP484">
        <f ca="1"/>
      </c>
      <c r="EQ484">
        <f ca="1"/>
      </c>
      <c r="ER484">
        <f ca="1"/>
      </c>
      <c r="ES484">
        <f ca="1"/>
      </c>
      <c r="ET484">
        <f ca="1"/>
      </c>
      <c r="EU484">
        <f ca="1"/>
      </c>
      <c r="EV484">
        <f ca="1"/>
      </c>
      <c r="EW484">
        <f ca="1"/>
      </c>
      <c r="EX484">
        <f ca="1"/>
      </c>
      <c r="EY484">
        <f ca="1"/>
      </c>
      <c r="EZ484">
        <f ca="1"/>
      </c>
      <c r="FA484">
        <f ca="1"/>
      </c>
      <c r="FB484">
        <f ca="1"/>
      </c>
      <c r="FC484">
        <f ca="1"/>
      </c>
      <c r="FD484">
        <f ca="1"/>
      </c>
      <c r="FE484">
        <f ca="1"/>
      </c>
      <c r="FF484">
        <f ca="1"/>
      </c>
      <c r="FG484">
        <f ca="1"/>
      </c>
      <c r="FH484">
        <f ca="1"/>
      </c>
      <c r="FI484">
        <f ca="1"/>
      </c>
      <c r="FJ484">
        <f ca="1"/>
      </c>
      <c r="FK484">
        <f ca="1"/>
      </c>
      <c r="FL484">
        <f ca="1"/>
      </c>
      <c r="FM484">
        <f ca="1"/>
      </c>
      <c r="FN484">
        <f ca="1"/>
      </c>
      <c r="FO484">
        <f ca="1"/>
      </c>
      <c r="FP484">
        <f ca="1"/>
      </c>
      <c r="FQ484">
        <f ca="1"/>
      </c>
      <c r="FR484">
        <f ca="1"/>
      </c>
      <c r="FS484">
        <f ca="1"/>
      </c>
      <c r="FT484">
        <f ca="1"/>
      </c>
      <c r="FU484">
        <f ca="1"/>
      </c>
      <c r="FV484">
        <f ca="1"/>
      </c>
      <c r="FW484">
        <f ca="1"/>
      </c>
      <c r="FX484">
        <f ca="1"/>
      </c>
      <c r="FY484">
        <f ca="1"/>
      </c>
      <c r="FZ484">
        <f ca="1"/>
      </c>
      <c r="GA484">
        <f ca="1"/>
      </c>
      <c r="GM484" s="7"/>
    </row>
    <row r="485" spans="41:195" x14ac:dyDescent="0.55000000000000004">
      <c r="AO485">
        <f ca="1"/>
      </c>
      <c r="AP485">
        <f ca="1"/>
      </c>
      <c r="AQ485">
        <f ca="1"/>
      </c>
      <c r="AR485">
        <f ca="1"/>
      </c>
      <c r="AS485">
        <f ca="1"/>
      </c>
      <c r="AT485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AZ485">
        <f ca="1"/>
      </c>
      <c r="BA485">
        <f ca="1"/>
      </c>
      <c r="BB485">
        <f ca="1"/>
      </c>
      <c r="BC485">
        <f ca="1"/>
      </c>
      <c r="BD485">
        <f ca="1"/>
      </c>
      <c r="BE485">
        <f ca="1"/>
      </c>
      <c r="BF485">
        <f ca="1"/>
      </c>
      <c r="BG485">
        <f ca="1"/>
      </c>
      <c r="BH485">
        <f ca="1"/>
      </c>
      <c r="BI485">
        <f ca="1"/>
      </c>
      <c r="BJ485">
        <f ca="1"/>
      </c>
      <c r="BK485">
        <f ca="1"/>
      </c>
      <c r="BL485">
        <f ca="1"/>
      </c>
      <c r="BM485">
        <f ca="1"/>
      </c>
      <c r="BN485">
        <f ca="1"/>
      </c>
      <c r="BO485">
        <f ca="1"/>
      </c>
      <c r="BP485">
        <f ca="1"/>
      </c>
      <c r="BQ485">
        <f ca="1"/>
      </c>
      <c r="BR485">
        <f ca="1"/>
      </c>
      <c r="BS485">
        <f ca="1"/>
      </c>
      <c r="BT485">
        <f ca="1"/>
      </c>
      <c r="BU485">
        <f ca="1"/>
      </c>
      <c r="BV485">
        <f ca="1"/>
      </c>
      <c r="BW485">
        <f ca="1"/>
      </c>
      <c r="BX485">
        <f ca="1"/>
      </c>
      <c r="BY485">
        <f ca="1"/>
      </c>
      <c r="BZ485">
        <f ca="1"/>
      </c>
      <c r="CA485">
        <f ca="1"/>
      </c>
      <c r="CB485">
        <f ca="1"/>
      </c>
      <c r="CC485">
        <f ca="1"/>
      </c>
      <c r="CD485">
        <f ca="1"/>
      </c>
      <c r="CE485">
        <f ca="1"/>
      </c>
      <c r="CF485">
        <f ca="1"/>
      </c>
      <c r="CG485">
        <f ca="1"/>
      </c>
      <c r="CH485">
        <f ca="1"/>
      </c>
      <c r="CI485">
        <f ca="1"/>
      </c>
      <c r="CK485">
        <f ca="1"/>
      </c>
      <c r="CL485">
        <f ca="1"/>
      </c>
      <c r="CM485">
        <f ca="1"/>
      </c>
      <c r="CN485">
        <f ca="1"/>
      </c>
      <c r="CO485">
        <f ca="1"/>
      </c>
      <c r="CP485">
        <f ca="1"/>
      </c>
      <c r="CQ485">
        <f ca="1"/>
      </c>
      <c r="CR485">
        <f ca="1"/>
      </c>
      <c r="CS485">
        <f ca="1"/>
      </c>
      <c r="CT485">
        <f ca="1"/>
      </c>
      <c r="CU485">
        <f ca="1"/>
      </c>
      <c r="CV485">
        <f ca="1"/>
      </c>
      <c r="CW485">
        <f ca="1"/>
      </c>
      <c r="CX485">
        <f ca="1"/>
      </c>
      <c r="CY485">
        <f ca="1"/>
      </c>
      <c r="CZ485">
        <f ca="1"/>
      </c>
      <c r="DA485">
        <f ca="1"/>
      </c>
      <c r="DB485">
        <f ca="1"/>
      </c>
      <c r="DC485">
        <f ca="1"/>
      </c>
      <c r="DD485">
        <f ca="1"/>
      </c>
      <c r="DE485">
        <f ca="1"/>
      </c>
      <c r="DF485">
        <f ca="1"/>
      </c>
      <c r="DG485">
        <f ca="1"/>
      </c>
      <c r="DH485">
        <f ca="1"/>
      </c>
      <c r="DI485">
        <f ca="1"/>
      </c>
      <c r="DJ485">
        <f ca="1"/>
      </c>
      <c r="DK485">
        <f ca="1"/>
      </c>
      <c r="DL485">
        <f ca="1"/>
      </c>
      <c r="DM485">
        <f ca="1"/>
      </c>
      <c r="DN485">
        <f ca="1"/>
      </c>
      <c r="DO485">
        <f ca="1"/>
      </c>
      <c r="DP485">
        <f ca="1"/>
      </c>
      <c r="DQ485">
        <f ca="1"/>
      </c>
      <c r="DR485">
        <f ca="1"/>
      </c>
      <c r="DS485">
        <f ca="1"/>
      </c>
      <c r="DT485">
        <f ca="1"/>
      </c>
      <c r="DU485">
        <f ca="1"/>
      </c>
      <c r="DV485">
        <f ca="1"/>
      </c>
      <c r="DW485">
        <f ca="1"/>
      </c>
      <c r="DX485">
        <f ca="1"/>
      </c>
      <c r="DY485">
        <f ca="1"/>
      </c>
      <c r="DZ485">
        <f ca="1"/>
      </c>
      <c r="EA485">
        <f ca="1"/>
      </c>
      <c r="EB485">
        <f ca="1"/>
      </c>
      <c r="EC485">
        <f ca="1"/>
      </c>
      <c r="ED485">
        <f ca="1"/>
      </c>
      <c r="EE485">
        <f ca="1"/>
      </c>
      <c r="EG485">
        <f ca="1"/>
      </c>
      <c r="EH485">
        <f ca="1"/>
      </c>
      <c r="EI485">
        <f ca="1"/>
      </c>
      <c r="EJ485">
        <f ca="1"/>
      </c>
      <c r="EK485">
        <f ca="1"/>
      </c>
      <c r="EL485">
        <f ca="1"/>
      </c>
      <c r="EM485">
        <f ca="1"/>
      </c>
      <c r="EN485">
        <f ca="1"/>
      </c>
      <c r="EO485">
        <f ca="1"/>
      </c>
      <c r="EP485">
        <f ca="1"/>
      </c>
      <c r="EQ485">
        <f ca="1"/>
      </c>
      <c r="ER485">
        <f ca="1"/>
      </c>
      <c r="ES485">
        <f ca="1"/>
      </c>
      <c r="ET485">
        <f ca="1"/>
      </c>
      <c r="EU485">
        <f ca="1"/>
      </c>
      <c r="EV485">
        <f ca="1"/>
      </c>
      <c r="EW485">
        <f ca="1"/>
      </c>
      <c r="EX485">
        <f ca="1"/>
      </c>
      <c r="EY485">
        <f ca="1"/>
      </c>
      <c r="EZ485">
        <f ca="1"/>
      </c>
      <c r="FA485">
        <f ca="1"/>
      </c>
      <c r="FB485">
        <f ca="1"/>
      </c>
      <c r="FC485">
        <f ca="1"/>
      </c>
      <c r="FD485">
        <f ca="1"/>
      </c>
      <c r="FE485">
        <f ca="1"/>
      </c>
      <c r="FF485">
        <f ca="1"/>
      </c>
      <c r="FG485">
        <f ca="1"/>
      </c>
      <c r="FH485">
        <f ca="1"/>
      </c>
      <c r="FI485">
        <f ca="1"/>
      </c>
      <c r="FJ485">
        <f ca="1"/>
      </c>
      <c r="FK485">
        <f ca="1"/>
      </c>
      <c r="FL485">
        <f ca="1"/>
      </c>
      <c r="FM485">
        <f ca="1"/>
      </c>
      <c r="FN485">
        <f ca="1"/>
      </c>
      <c r="FO485">
        <f ca="1"/>
      </c>
      <c r="FP485">
        <f ca="1"/>
      </c>
      <c r="FQ485">
        <f ca="1"/>
      </c>
      <c r="FR485">
        <f ca="1"/>
      </c>
      <c r="FS485">
        <f ca="1"/>
      </c>
      <c r="FT485">
        <f ca="1"/>
      </c>
      <c r="FU485">
        <f ca="1"/>
      </c>
      <c r="FV485">
        <f ca="1"/>
      </c>
      <c r="FW485">
        <f ca="1"/>
      </c>
      <c r="FX485">
        <f ca="1"/>
      </c>
      <c r="FY485">
        <f ca="1"/>
      </c>
      <c r="FZ485">
        <f ca="1"/>
      </c>
      <c r="GA485">
        <f ca="1"/>
      </c>
      <c r="GM485" s="7"/>
    </row>
    <row r="486" spans="41:195" x14ac:dyDescent="0.55000000000000004">
      <c r="AO486">
        <f ca="1"/>
      </c>
      <c r="AP486">
        <f ca="1"/>
      </c>
      <c r="AQ486">
        <f ca="1"/>
      </c>
      <c r="AR486">
        <f ca="1"/>
      </c>
      <c r="AS486">
        <f ca="1"/>
      </c>
      <c r="AT486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AZ486">
        <f ca="1"/>
      </c>
      <c r="BA486">
        <f ca="1"/>
      </c>
      <c r="BB486">
        <f ca="1"/>
      </c>
      <c r="BC486">
        <f ca="1"/>
      </c>
      <c r="BD486">
        <f ca="1"/>
      </c>
      <c r="BE486">
        <f ca="1"/>
      </c>
      <c r="BF486">
        <f ca="1"/>
      </c>
      <c r="BG486">
        <f ca="1"/>
      </c>
      <c r="BH486">
        <f ca="1"/>
      </c>
      <c r="BI486">
        <f ca="1"/>
      </c>
      <c r="BJ486">
        <f ca="1"/>
      </c>
      <c r="BK486">
        <f ca="1"/>
      </c>
      <c r="BL486">
        <f ca="1"/>
      </c>
      <c r="BM486">
        <f ca="1"/>
      </c>
      <c r="BN486">
        <f ca="1"/>
      </c>
      <c r="BO486">
        <f ca="1"/>
      </c>
      <c r="BP486">
        <f ca="1"/>
      </c>
      <c r="BQ486">
        <f ca="1"/>
      </c>
      <c r="BR486">
        <f ca="1"/>
      </c>
      <c r="BS486">
        <f ca="1"/>
      </c>
      <c r="BT486">
        <f ca="1"/>
      </c>
      <c r="BU486">
        <f ca="1"/>
      </c>
      <c r="BV486">
        <f ca="1"/>
      </c>
      <c r="BW486">
        <f ca="1"/>
      </c>
      <c r="BX486">
        <f ca="1"/>
      </c>
      <c r="BY486">
        <f ca="1"/>
      </c>
      <c r="BZ486">
        <f ca="1"/>
      </c>
      <c r="CA486">
        <f ca="1"/>
      </c>
      <c r="CB486">
        <f ca="1"/>
      </c>
      <c r="CC486">
        <f ca="1"/>
      </c>
      <c r="CD486">
        <f ca="1"/>
      </c>
      <c r="CE486">
        <f ca="1"/>
      </c>
      <c r="CF486">
        <f ca="1"/>
      </c>
      <c r="CG486">
        <f ca="1"/>
      </c>
      <c r="CH486">
        <f ca="1"/>
      </c>
      <c r="CI486">
        <f ca="1"/>
      </c>
      <c r="CK486">
        <f ca="1"/>
      </c>
      <c r="CL486">
        <f ca="1"/>
      </c>
      <c r="CM486">
        <f ca="1"/>
      </c>
      <c r="CN486">
        <f ca="1"/>
      </c>
      <c r="CO486">
        <f ca="1"/>
      </c>
      <c r="CP486">
        <f ca="1"/>
      </c>
      <c r="CQ486">
        <f ca="1"/>
      </c>
      <c r="CR486">
        <f ca="1"/>
      </c>
      <c r="CS486">
        <f ca="1"/>
      </c>
      <c r="CT486">
        <f ca="1"/>
      </c>
      <c r="CU486">
        <f ca="1"/>
      </c>
      <c r="CV486">
        <f ca="1"/>
      </c>
      <c r="CW486">
        <f ca="1"/>
      </c>
      <c r="CX486">
        <f ca="1"/>
      </c>
      <c r="CY486">
        <f ca="1"/>
      </c>
      <c r="CZ486">
        <f ca="1"/>
      </c>
      <c r="DA486">
        <f ca="1"/>
      </c>
      <c r="DB486">
        <f ca="1"/>
      </c>
      <c r="DC486">
        <f ca="1"/>
      </c>
      <c r="DD486">
        <f ca="1"/>
      </c>
      <c r="DE486">
        <f ca="1"/>
      </c>
      <c r="DF486">
        <f ca="1"/>
      </c>
      <c r="DG486">
        <f ca="1"/>
      </c>
      <c r="DH486">
        <f ca="1"/>
      </c>
      <c r="DI486">
        <f ca="1"/>
      </c>
      <c r="DJ486">
        <f ca="1"/>
      </c>
      <c r="DK486">
        <f ca="1"/>
      </c>
      <c r="DL486">
        <f ca="1"/>
      </c>
      <c r="DM486">
        <f ca="1"/>
      </c>
      <c r="DN486">
        <f ca="1"/>
      </c>
      <c r="DO486">
        <f ca="1"/>
      </c>
      <c r="DP486">
        <f ca="1"/>
      </c>
      <c r="DQ486">
        <f ca="1"/>
      </c>
      <c r="DR486">
        <f ca="1"/>
      </c>
      <c r="DS486">
        <f ca="1"/>
      </c>
      <c r="DT486">
        <f ca="1"/>
      </c>
      <c r="DU486">
        <f ca="1"/>
      </c>
      <c r="DV486">
        <f ca="1"/>
      </c>
      <c r="DW486">
        <f ca="1"/>
      </c>
      <c r="DX486">
        <f ca="1"/>
      </c>
      <c r="DY486">
        <f ca="1"/>
      </c>
      <c r="DZ486">
        <f ca="1"/>
      </c>
      <c r="EA486">
        <f ca="1"/>
      </c>
      <c r="EB486">
        <f ca="1"/>
      </c>
      <c r="EC486">
        <f ca="1"/>
      </c>
      <c r="ED486">
        <f ca="1"/>
      </c>
      <c r="EE486">
        <f ca="1"/>
      </c>
      <c r="EG486">
        <f ca="1"/>
      </c>
      <c r="EH486">
        <f ca="1"/>
      </c>
      <c r="EI486">
        <f ca="1"/>
      </c>
      <c r="EJ486">
        <f ca="1"/>
      </c>
      <c r="EK486">
        <f ca="1"/>
      </c>
      <c r="EL486">
        <f ca="1"/>
      </c>
      <c r="EM486">
        <f ca="1"/>
      </c>
      <c r="EN486">
        <f ca="1"/>
      </c>
      <c r="EO486">
        <f ca="1"/>
      </c>
      <c r="EP486">
        <f ca="1"/>
      </c>
      <c r="EQ486">
        <f ca="1"/>
      </c>
      <c r="ER486">
        <f ca="1"/>
      </c>
      <c r="ES486">
        <f ca="1"/>
      </c>
      <c r="ET486">
        <f ca="1"/>
      </c>
      <c r="EU486">
        <f ca="1"/>
      </c>
      <c r="EV486">
        <f ca="1"/>
      </c>
      <c r="EW486">
        <f ca="1"/>
      </c>
      <c r="EX486">
        <f ca="1"/>
      </c>
      <c r="EY486">
        <f ca="1"/>
      </c>
      <c r="EZ486">
        <f ca="1"/>
      </c>
      <c r="FA486">
        <f ca="1"/>
      </c>
      <c r="FB486">
        <f ca="1"/>
      </c>
      <c r="FC486">
        <f ca="1"/>
      </c>
      <c r="FD486">
        <f ca="1"/>
      </c>
      <c r="FE486">
        <f ca="1"/>
      </c>
      <c r="FF486">
        <f ca="1"/>
      </c>
      <c r="FG486">
        <f ca="1"/>
      </c>
      <c r="FH486">
        <f ca="1"/>
      </c>
      <c r="FI486">
        <f ca="1"/>
      </c>
      <c r="FJ486">
        <f ca="1"/>
      </c>
      <c r="FK486">
        <f ca="1"/>
      </c>
      <c r="FL486">
        <f ca="1"/>
      </c>
      <c r="FM486">
        <f ca="1"/>
      </c>
      <c r="FN486">
        <f ca="1"/>
      </c>
      <c r="FO486">
        <f ca="1"/>
      </c>
      <c r="FP486">
        <f ca="1"/>
      </c>
      <c r="FQ486">
        <f ca="1"/>
      </c>
      <c r="FR486">
        <f ca="1"/>
      </c>
      <c r="FS486">
        <f ca="1"/>
      </c>
      <c r="FT486">
        <f ca="1"/>
      </c>
      <c r="FU486">
        <f ca="1"/>
      </c>
      <c r="FV486">
        <f ca="1"/>
      </c>
      <c r="FW486">
        <f ca="1"/>
      </c>
      <c r="FX486">
        <f ca="1"/>
      </c>
      <c r="FY486">
        <f ca="1"/>
      </c>
      <c r="FZ486">
        <f ca="1"/>
      </c>
      <c r="GA486">
        <f ca="1"/>
      </c>
      <c r="GM486" s="7"/>
    </row>
    <row r="487" spans="41:195" x14ac:dyDescent="0.55000000000000004">
      <c r="GM487" s="7"/>
    </row>
    <row r="488" spans="41:195" x14ac:dyDescent="0.55000000000000004">
      <c r="GM488" s="7"/>
    </row>
    <row r="489" spans="41:195" x14ac:dyDescent="0.55000000000000004">
      <c r="GM489" s="7"/>
    </row>
    <row r="490" spans="41:195" x14ac:dyDescent="0.55000000000000004">
      <c r="GM490" s="7"/>
    </row>
    <row r="491" spans="41:195" x14ac:dyDescent="0.55000000000000004">
      <c r="GM491" s="7"/>
    </row>
    <row r="492" spans="41:195" x14ac:dyDescent="0.55000000000000004">
      <c r="GM492" s="7"/>
    </row>
    <row r="493" spans="41:195" x14ac:dyDescent="0.55000000000000004">
      <c r="GM493" s="7"/>
    </row>
    <row r="494" spans="41:195" x14ac:dyDescent="0.55000000000000004">
      <c r="GM494" s="7"/>
    </row>
    <row r="495" spans="41:195" x14ac:dyDescent="0.55000000000000004">
      <c r="GM495" s="7"/>
    </row>
    <row r="496" spans="41:195" x14ac:dyDescent="0.55000000000000004">
      <c r="GM496" s="7"/>
    </row>
    <row r="497" spans="195:195" x14ac:dyDescent="0.55000000000000004">
      <c r="GM497" s="7"/>
    </row>
    <row r="498" spans="195:195" x14ac:dyDescent="0.55000000000000004">
      <c r="GM498" s="7"/>
    </row>
    <row r="499" spans="195:195" x14ac:dyDescent="0.55000000000000004">
      <c r="GM499" s="7"/>
    </row>
    <row r="500" spans="195:195" x14ac:dyDescent="0.55000000000000004">
      <c r="GM500" s="7"/>
    </row>
    <row r="501" spans="195:195" x14ac:dyDescent="0.55000000000000004">
      <c r="GM501" s="7"/>
    </row>
    <row r="502" spans="195:195" x14ac:dyDescent="0.55000000000000004">
      <c r="GM502" s="7"/>
    </row>
    <row r="503" spans="195:195" x14ac:dyDescent="0.55000000000000004">
      <c r="GM503" s="7"/>
    </row>
    <row r="504" spans="195:195" x14ac:dyDescent="0.55000000000000004">
      <c r="GM504" s="7"/>
    </row>
    <row r="505" spans="195:195" x14ac:dyDescent="0.55000000000000004">
      <c r="GM505" s="7"/>
    </row>
    <row r="506" spans="195:195" x14ac:dyDescent="0.55000000000000004">
      <c r="GM506" s="7"/>
    </row>
    <row r="507" spans="195:195" x14ac:dyDescent="0.55000000000000004">
      <c r="GM507" s="7"/>
    </row>
    <row r="508" spans="195:195" x14ac:dyDescent="0.55000000000000004">
      <c r="GM508" s="7"/>
    </row>
    <row r="509" spans="195:195" x14ac:dyDescent="0.55000000000000004">
      <c r="GM509" s="7"/>
    </row>
    <row r="510" spans="195:195" x14ac:dyDescent="0.55000000000000004">
      <c r="GM510" s="7"/>
    </row>
    <row r="511" spans="195:195" x14ac:dyDescent="0.55000000000000004">
      <c r="GM511" s="7"/>
    </row>
    <row r="512" spans="195:195" x14ac:dyDescent="0.55000000000000004">
      <c r="GM512" s="7"/>
    </row>
    <row r="513" spans="195:195" x14ac:dyDescent="0.55000000000000004">
      <c r="GM513" s="7"/>
    </row>
    <row r="514" spans="195:195" x14ac:dyDescent="0.55000000000000004">
      <c r="GM514" s="7"/>
    </row>
    <row r="515" spans="195:195" x14ac:dyDescent="0.55000000000000004">
      <c r="GM515" s="7"/>
    </row>
    <row r="516" spans="195:195" x14ac:dyDescent="0.55000000000000004">
      <c r="GM516" s="7"/>
    </row>
    <row r="517" spans="195:195" x14ac:dyDescent="0.55000000000000004">
      <c r="GM517" s="7"/>
    </row>
    <row r="518" spans="195:195" x14ac:dyDescent="0.55000000000000004">
      <c r="GM518" s="7"/>
    </row>
    <row r="519" spans="195:195" x14ac:dyDescent="0.55000000000000004">
      <c r="GM519" s="7"/>
    </row>
    <row r="520" spans="195:195" x14ac:dyDescent="0.55000000000000004">
      <c r="GM520" s="7"/>
    </row>
    <row r="521" spans="195:195" x14ac:dyDescent="0.55000000000000004">
      <c r="GM521" s="7"/>
    </row>
    <row r="522" spans="195:195" x14ac:dyDescent="0.55000000000000004">
      <c r="GM522" s="7"/>
    </row>
    <row r="523" spans="195:195" x14ac:dyDescent="0.55000000000000004">
      <c r="GM523" s="7"/>
    </row>
    <row r="524" spans="195:195" x14ac:dyDescent="0.55000000000000004">
      <c r="GM524" s="7"/>
    </row>
    <row r="525" spans="195:195" x14ac:dyDescent="0.55000000000000004">
      <c r="GM525" s="7"/>
    </row>
    <row r="526" spans="195:195" x14ac:dyDescent="0.55000000000000004">
      <c r="GM526" s="7"/>
    </row>
    <row r="527" spans="195:195" x14ac:dyDescent="0.55000000000000004">
      <c r="GM527" s="7"/>
    </row>
    <row r="528" spans="195:195" x14ac:dyDescent="0.55000000000000004">
      <c r="GM528" s="7"/>
    </row>
    <row r="529" spans="195:195" x14ac:dyDescent="0.55000000000000004">
      <c r="GM529" s="7"/>
    </row>
    <row r="530" spans="195:195" x14ac:dyDescent="0.55000000000000004">
      <c r="GM530" s="7"/>
    </row>
    <row r="531" spans="195:195" x14ac:dyDescent="0.55000000000000004">
      <c r="GM531" s="7"/>
    </row>
    <row r="532" spans="195:195" x14ac:dyDescent="0.55000000000000004">
      <c r="GM532" s="7"/>
    </row>
    <row r="533" spans="195:195" x14ac:dyDescent="0.55000000000000004">
      <c r="GM533" s="7"/>
    </row>
    <row r="534" spans="195:195" x14ac:dyDescent="0.55000000000000004">
      <c r="GM534" s="7"/>
    </row>
    <row r="535" spans="195:195" x14ac:dyDescent="0.55000000000000004">
      <c r="GM535" s="7"/>
    </row>
    <row r="536" spans="195:195" x14ac:dyDescent="0.55000000000000004">
      <c r="GM536" s="7"/>
    </row>
    <row r="537" spans="195:195" x14ac:dyDescent="0.55000000000000004">
      <c r="GM537" s="7"/>
    </row>
    <row r="538" spans="195:195" x14ac:dyDescent="0.55000000000000004">
      <c r="GM538" s="7"/>
    </row>
    <row r="539" spans="195:195" x14ac:dyDescent="0.55000000000000004">
      <c r="GM539" s="7"/>
    </row>
    <row r="540" spans="195:195" x14ac:dyDescent="0.55000000000000004">
      <c r="GM540" s="7"/>
    </row>
    <row r="541" spans="195:195" x14ac:dyDescent="0.55000000000000004">
      <c r="GM541" s="7"/>
    </row>
    <row r="542" spans="195:195" x14ac:dyDescent="0.55000000000000004">
      <c r="GM542" s="7"/>
    </row>
    <row r="543" spans="195:195" x14ac:dyDescent="0.55000000000000004">
      <c r="GM543" s="7"/>
    </row>
    <row r="544" spans="195:195" x14ac:dyDescent="0.55000000000000004">
      <c r="GM544" s="7"/>
    </row>
    <row r="545" spans="195:195" x14ac:dyDescent="0.55000000000000004">
      <c r="GM545" s="7"/>
    </row>
    <row r="546" spans="195:195" x14ac:dyDescent="0.55000000000000004">
      <c r="GM546" s="7"/>
    </row>
    <row r="547" spans="195:195" x14ac:dyDescent="0.55000000000000004">
      <c r="GM547" s="7"/>
    </row>
    <row r="548" spans="195:195" x14ac:dyDescent="0.55000000000000004">
      <c r="GM548" s="7"/>
    </row>
    <row r="549" spans="195:195" x14ac:dyDescent="0.55000000000000004">
      <c r="GM549" s="7"/>
    </row>
    <row r="550" spans="195:195" x14ac:dyDescent="0.55000000000000004">
      <c r="GM550" s="7"/>
    </row>
    <row r="551" spans="195:195" x14ac:dyDescent="0.55000000000000004">
      <c r="GM551" s="7"/>
    </row>
    <row r="552" spans="195:195" x14ac:dyDescent="0.55000000000000004">
      <c r="GM552" s="7"/>
    </row>
    <row r="553" spans="195:195" x14ac:dyDescent="0.55000000000000004">
      <c r="GM553" s="7"/>
    </row>
    <row r="554" spans="195:195" x14ac:dyDescent="0.55000000000000004">
      <c r="GM554" s="7"/>
    </row>
    <row r="555" spans="195:195" x14ac:dyDescent="0.55000000000000004">
      <c r="GM555" s="7"/>
    </row>
    <row r="556" spans="195:195" x14ac:dyDescent="0.55000000000000004">
      <c r="GM556" s="7"/>
    </row>
    <row r="557" spans="195:195" x14ac:dyDescent="0.55000000000000004">
      <c r="GM557" s="7"/>
    </row>
    <row r="558" spans="195:195" x14ac:dyDescent="0.55000000000000004">
      <c r="GM558" s="7"/>
    </row>
    <row r="559" spans="195:195" x14ac:dyDescent="0.55000000000000004">
      <c r="GM559" s="7"/>
    </row>
    <row r="560" spans="195:195" x14ac:dyDescent="0.55000000000000004">
      <c r="GM560" s="7"/>
    </row>
    <row r="561" spans="195:195" x14ac:dyDescent="0.55000000000000004">
      <c r="GM561" s="7"/>
    </row>
    <row r="562" spans="195:195" x14ac:dyDescent="0.55000000000000004">
      <c r="GM562" s="7"/>
    </row>
    <row r="563" spans="195:195" x14ac:dyDescent="0.55000000000000004">
      <c r="GM563" s="7"/>
    </row>
    <row r="564" spans="195:195" x14ac:dyDescent="0.55000000000000004">
      <c r="GM564" s="7"/>
    </row>
    <row r="565" spans="195:195" x14ac:dyDescent="0.55000000000000004">
      <c r="GM565" s="7"/>
    </row>
    <row r="566" spans="195:195" x14ac:dyDescent="0.55000000000000004">
      <c r="GM566" s="7"/>
    </row>
    <row r="567" spans="195:195" x14ac:dyDescent="0.55000000000000004">
      <c r="GM567" s="7"/>
    </row>
    <row r="568" spans="195:195" x14ac:dyDescent="0.55000000000000004">
      <c r="GM568" s="7"/>
    </row>
    <row r="569" spans="195:195" x14ac:dyDescent="0.55000000000000004">
      <c r="GM569" s="7"/>
    </row>
    <row r="570" spans="195:195" x14ac:dyDescent="0.55000000000000004">
      <c r="GM570" s="7"/>
    </row>
    <row r="571" spans="195:195" x14ac:dyDescent="0.55000000000000004">
      <c r="GM571" s="7"/>
    </row>
    <row r="572" spans="195:195" x14ac:dyDescent="0.55000000000000004">
      <c r="GM572" s="7"/>
    </row>
    <row r="573" spans="195:195" x14ac:dyDescent="0.55000000000000004">
      <c r="GM573" s="7"/>
    </row>
    <row r="574" spans="195:195" x14ac:dyDescent="0.55000000000000004">
      <c r="GM574" s="7"/>
    </row>
    <row r="575" spans="195:195" x14ac:dyDescent="0.55000000000000004">
      <c r="GM575" s="7"/>
    </row>
    <row r="576" spans="195:195" x14ac:dyDescent="0.55000000000000004">
      <c r="GM576" s="7"/>
    </row>
    <row r="577" spans="195:195" x14ac:dyDescent="0.55000000000000004">
      <c r="GM577" s="7"/>
    </row>
    <row r="578" spans="195:195" x14ac:dyDescent="0.55000000000000004">
      <c r="GM578" s="7"/>
    </row>
    <row r="579" spans="195:195" x14ac:dyDescent="0.55000000000000004">
      <c r="GM579" s="7"/>
    </row>
    <row r="580" spans="195:195" x14ac:dyDescent="0.55000000000000004">
      <c r="GM580" s="7"/>
    </row>
    <row r="581" spans="195:195" x14ac:dyDescent="0.55000000000000004">
      <c r="GM581" s="7"/>
    </row>
    <row r="582" spans="195:195" x14ac:dyDescent="0.55000000000000004">
      <c r="GM582" s="7"/>
    </row>
    <row r="583" spans="195:195" x14ac:dyDescent="0.55000000000000004">
      <c r="GM583" s="7"/>
    </row>
    <row r="584" spans="195:195" x14ac:dyDescent="0.55000000000000004">
      <c r="GM584" s="7"/>
    </row>
    <row r="585" spans="195:195" x14ac:dyDescent="0.55000000000000004">
      <c r="GM585" s="7"/>
    </row>
    <row r="586" spans="195:195" x14ac:dyDescent="0.55000000000000004">
      <c r="GM586" s="7"/>
    </row>
    <row r="587" spans="195:195" x14ac:dyDescent="0.55000000000000004">
      <c r="GM587" s="7"/>
    </row>
    <row r="588" spans="195:195" x14ac:dyDescent="0.55000000000000004">
      <c r="GM588" s="7"/>
    </row>
    <row r="589" spans="195:195" x14ac:dyDescent="0.55000000000000004">
      <c r="GM589" s="7"/>
    </row>
    <row r="590" spans="195:195" x14ac:dyDescent="0.55000000000000004">
      <c r="GM590" s="7"/>
    </row>
    <row r="591" spans="195:195" x14ac:dyDescent="0.55000000000000004">
      <c r="GM591" s="7"/>
    </row>
    <row r="592" spans="195:195" x14ac:dyDescent="0.55000000000000004">
      <c r="GM592" s="7"/>
    </row>
    <row r="593" spans="195:195" x14ac:dyDescent="0.55000000000000004">
      <c r="GM593" s="7"/>
    </row>
    <row r="594" spans="195:195" x14ac:dyDescent="0.55000000000000004">
      <c r="GM594" s="7"/>
    </row>
    <row r="595" spans="195:195" x14ac:dyDescent="0.55000000000000004">
      <c r="GM595" s="7"/>
    </row>
    <row r="596" spans="195:195" x14ac:dyDescent="0.55000000000000004">
      <c r="GM596" s="7"/>
    </row>
    <row r="597" spans="195:195" x14ac:dyDescent="0.55000000000000004">
      <c r="GM597" s="7"/>
    </row>
    <row r="598" spans="195:195" x14ac:dyDescent="0.55000000000000004">
      <c r="GM598" s="7"/>
    </row>
    <row r="599" spans="195:195" x14ac:dyDescent="0.55000000000000004">
      <c r="GM599" s="7"/>
    </row>
    <row r="600" spans="195:195" x14ac:dyDescent="0.55000000000000004">
      <c r="GM600" s="7"/>
    </row>
    <row r="601" spans="195:195" x14ac:dyDescent="0.55000000000000004">
      <c r="GM601" s="7"/>
    </row>
    <row r="602" spans="195:195" x14ac:dyDescent="0.55000000000000004">
      <c r="GM602" s="7"/>
    </row>
    <row r="603" spans="195:195" x14ac:dyDescent="0.55000000000000004">
      <c r="GM603" s="7"/>
    </row>
    <row r="604" spans="195:195" x14ac:dyDescent="0.55000000000000004">
      <c r="GM604" s="7"/>
    </row>
    <row r="605" spans="195:195" x14ac:dyDescent="0.55000000000000004">
      <c r="GM605" s="7"/>
    </row>
    <row r="606" spans="195:195" x14ac:dyDescent="0.55000000000000004">
      <c r="GM606" s="7"/>
    </row>
    <row r="607" spans="195:195" x14ac:dyDescent="0.55000000000000004">
      <c r="GM607" s="7"/>
    </row>
    <row r="608" spans="195:195" x14ac:dyDescent="0.55000000000000004">
      <c r="GM608" s="7"/>
    </row>
    <row r="609" spans="195:195" x14ac:dyDescent="0.55000000000000004">
      <c r="GM609" s="7"/>
    </row>
    <row r="610" spans="195:195" x14ac:dyDescent="0.55000000000000004">
      <c r="GM610" s="7"/>
    </row>
    <row r="611" spans="195:195" x14ac:dyDescent="0.55000000000000004">
      <c r="GM611" s="7"/>
    </row>
    <row r="612" spans="195:195" x14ac:dyDescent="0.55000000000000004">
      <c r="GM612" s="7"/>
    </row>
    <row r="613" spans="195:195" x14ac:dyDescent="0.55000000000000004">
      <c r="GM613" s="7"/>
    </row>
    <row r="614" spans="195:195" x14ac:dyDescent="0.55000000000000004">
      <c r="GM614" s="7"/>
    </row>
    <row r="615" spans="195:195" x14ac:dyDescent="0.55000000000000004">
      <c r="GM615" s="7"/>
    </row>
    <row r="616" spans="195:195" x14ac:dyDescent="0.55000000000000004">
      <c r="GM616" s="7"/>
    </row>
    <row r="617" spans="195:195" x14ac:dyDescent="0.55000000000000004">
      <c r="GM617" s="7"/>
    </row>
    <row r="618" spans="195:195" x14ac:dyDescent="0.55000000000000004">
      <c r="GM618" s="7"/>
    </row>
    <row r="619" spans="195:195" x14ac:dyDescent="0.55000000000000004">
      <c r="GM619" s="7"/>
    </row>
    <row r="620" spans="195:195" x14ac:dyDescent="0.55000000000000004">
      <c r="GM620" s="7"/>
    </row>
    <row r="621" spans="195:195" x14ac:dyDescent="0.55000000000000004">
      <c r="GM621" s="7"/>
    </row>
    <row r="622" spans="195:195" x14ac:dyDescent="0.55000000000000004">
      <c r="GM622" s="7"/>
    </row>
    <row r="623" spans="195:195" x14ac:dyDescent="0.55000000000000004">
      <c r="GM623" s="7"/>
    </row>
    <row r="624" spans="195:195" x14ac:dyDescent="0.55000000000000004">
      <c r="GM624" s="7"/>
    </row>
    <row r="625" spans="195:195" x14ac:dyDescent="0.55000000000000004">
      <c r="GM625" s="7"/>
    </row>
    <row r="626" spans="195:195" x14ac:dyDescent="0.55000000000000004">
      <c r="GM626" s="7"/>
    </row>
    <row r="627" spans="195:195" x14ac:dyDescent="0.55000000000000004">
      <c r="GM627" s="7"/>
    </row>
    <row r="628" spans="195:195" x14ac:dyDescent="0.55000000000000004">
      <c r="GM628" s="7"/>
    </row>
    <row r="629" spans="195:195" x14ac:dyDescent="0.55000000000000004">
      <c r="GM629" s="7"/>
    </row>
    <row r="630" spans="195:195" x14ac:dyDescent="0.55000000000000004">
      <c r="GM630" s="7"/>
    </row>
    <row r="631" spans="195:195" x14ac:dyDescent="0.55000000000000004">
      <c r="GM631" s="7"/>
    </row>
    <row r="632" spans="195:195" x14ac:dyDescent="0.55000000000000004">
      <c r="GM632" s="7"/>
    </row>
    <row r="633" spans="195:195" x14ac:dyDescent="0.55000000000000004">
      <c r="GM633" s="7"/>
    </row>
    <row r="634" spans="195:195" x14ac:dyDescent="0.55000000000000004">
      <c r="GM634" s="7"/>
    </row>
    <row r="635" spans="195:195" x14ac:dyDescent="0.55000000000000004">
      <c r="GM635" s="7"/>
    </row>
    <row r="636" spans="195:195" x14ac:dyDescent="0.55000000000000004">
      <c r="GM636" s="7"/>
    </row>
    <row r="637" spans="195:195" x14ac:dyDescent="0.55000000000000004">
      <c r="GM637" s="7"/>
    </row>
    <row r="638" spans="195:195" x14ac:dyDescent="0.55000000000000004">
      <c r="GM638" s="7"/>
    </row>
    <row r="639" spans="195:195" x14ac:dyDescent="0.55000000000000004">
      <c r="GM639" s="7"/>
    </row>
    <row r="640" spans="195:195" x14ac:dyDescent="0.55000000000000004">
      <c r="GM640" s="7"/>
    </row>
    <row r="641" spans="195:195" x14ac:dyDescent="0.55000000000000004">
      <c r="GM641" s="7"/>
    </row>
    <row r="642" spans="195:195" x14ac:dyDescent="0.55000000000000004">
      <c r="GM642" s="7"/>
    </row>
    <row r="643" spans="195:195" x14ac:dyDescent="0.55000000000000004">
      <c r="GM643" s="7"/>
    </row>
    <row r="644" spans="195:195" x14ac:dyDescent="0.55000000000000004">
      <c r="GM644" s="7"/>
    </row>
    <row r="645" spans="195:195" x14ac:dyDescent="0.55000000000000004">
      <c r="GM645" s="7"/>
    </row>
    <row r="646" spans="195:195" x14ac:dyDescent="0.55000000000000004">
      <c r="GM646" s="7"/>
    </row>
    <row r="647" spans="195:195" x14ac:dyDescent="0.55000000000000004">
      <c r="GM647" s="7"/>
    </row>
    <row r="648" spans="195:195" x14ac:dyDescent="0.55000000000000004">
      <c r="GM648" s="7"/>
    </row>
    <row r="649" spans="195:195" x14ac:dyDescent="0.55000000000000004">
      <c r="GM649" s="7"/>
    </row>
    <row r="650" spans="195:195" x14ac:dyDescent="0.55000000000000004">
      <c r="GM650" s="7"/>
    </row>
    <row r="651" spans="195:195" x14ac:dyDescent="0.55000000000000004">
      <c r="GM651" s="7"/>
    </row>
    <row r="652" spans="195:195" x14ac:dyDescent="0.55000000000000004">
      <c r="GM652" s="7"/>
    </row>
    <row r="653" spans="195:195" x14ac:dyDescent="0.55000000000000004">
      <c r="GM653" s="7"/>
    </row>
    <row r="654" spans="195:195" x14ac:dyDescent="0.55000000000000004">
      <c r="GM654" s="7"/>
    </row>
    <row r="655" spans="195:195" x14ac:dyDescent="0.55000000000000004">
      <c r="GM655" s="7"/>
    </row>
    <row r="656" spans="195:195" x14ac:dyDescent="0.55000000000000004">
      <c r="GM656" s="7"/>
    </row>
    <row r="657" spans="195:195" x14ac:dyDescent="0.55000000000000004">
      <c r="GM657" s="7"/>
    </row>
    <row r="658" spans="195:195" x14ac:dyDescent="0.55000000000000004">
      <c r="GM658" s="7"/>
    </row>
    <row r="659" spans="195:195" x14ac:dyDescent="0.55000000000000004">
      <c r="GM659" s="7"/>
    </row>
    <row r="660" spans="195:195" x14ac:dyDescent="0.55000000000000004">
      <c r="GM660" s="7"/>
    </row>
    <row r="661" spans="195:195" x14ac:dyDescent="0.55000000000000004">
      <c r="GM661" s="7"/>
    </row>
    <row r="662" spans="195:195" x14ac:dyDescent="0.55000000000000004">
      <c r="GM662" s="7"/>
    </row>
    <row r="663" spans="195:195" x14ac:dyDescent="0.55000000000000004">
      <c r="GM663" s="7"/>
    </row>
    <row r="664" spans="195:195" x14ac:dyDescent="0.55000000000000004">
      <c r="GM664" s="7"/>
    </row>
    <row r="665" spans="195:195" x14ac:dyDescent="0.55000000000000004">
      <c r="GM665" s="7"/>
    </row>
    <row r="666" spans="195:195" x14ac:dyDescent="0.55000000000000004">
      <c r="GM666" s="7"/>
    </row>
    <row r="667" spans="195:195" x14ac:dyDescent="0.55000000000000004">
      <c r="GM667" s="7"/>
    </row>
    <row r="668" spans="195:195" x14ac:dyDescent="0.55000000000000004">
      <c r="GM668" s="7"/>
    </row>
    <row r="669" spans="195:195" x14ac:dyDescent="0.55000000000000004">
      <c r="GM669" s="7"/>
    </row>
    <row r="670" spans="195:195" x14ac:dyDescent="0.55000000000000004">
      <c r="GM670" s="7"/>
    </row>
    <row r="671" spans="195:195" x14ac:dyDescent="0.55000000000000004">
      <c r="GM671" s="7"/>
    </row>
    <row r="672" spans="195:195" x14ac:dyDescent="0.55000000000000004">
      <c r="GM672" s="7"/>
    </row>
    <row r="673" spans="195:195" x14ac:dyDescent="0.55000000000000004">
      <c r="GM673" s="7"/>
    </row>
    <row r="674" spans="195:195" x14ac:dyDescent="0.55000000000000004">
      <c r="GM674" s="7"/>
    </row>
    <row r="675" spans="195:195" x14ac:dyDescent="0.55000000000000004">
      <c r="GM675" s="7"/>
    </row>
    <row r="676" spans="195:195" x14ac:dyDescent="0.55000000000000004">
      <c r="GM676" s="7"/>
    </row>
    <row r="677" spans="195:195" x14ac:dyDescent="0.55000000000000004">
      <c r="GM677" s="7"/>
    </row>
    <row r="678" spans="195:195" x14ac:dyDescent="0.55000000000000004">
      <c r="GM678" s="7"/>
    </row>
    <row r="679" spans="195:195" x14ac:dyDescent="0.55000000000000004">
      <c r="GM679" s="7"/>
    </row>
    <row r="680" spans="195:195" x14ac:dyDescent="0.55000000000000004">
      <c r="GM680" s="7"/>
    </row>
    <row r="681" spans="195:195" x14ac:dyDescent="0.55000000000000004">
      <c r="GM681" s="7"/>
    </row>
    <row r="682" spans="195:195" x14ac:dyDescent="0.55000000000000004">
      <c r="GM682" s="7"/>
    </row>
    <row r="683" spans="195:195" x14ac:dyDescent="0.55000000000000004">
      <c r="GM683" s="7"/>
    </row>
    <row r="684" spans="195:195" x14ac:dyDescent="0.55000000000000004">
      <c r="GM684" s="7"/>
    </row>
    <row r="685" spans="195:195" x14ac:dyDescent="0.55000000000000004">
      <c r="GM685" s="7"/>
    </row>
    <row r="686" spans="195:195" x14ac:dyDescent="0.55000000000000004">
      <c r="GM686" s="7"/>
    </row>
    <row r="687" spans="195:195" x14ac:dyDescent="0.55000000000000004">
      <c r="GM687" s="7"/>
    </row>
    <row r="688" spans="195:195" x14ac:dyDescent="0.55000000000000004">
      <c r="GM688" s="7"/>
    </row>
    <row r="689" spans="195:195" x14ac:dyDescent="0.55000000000000004">
      <c r="GM689" s="7"/>
    </row>
    <row r="690" spans="195:195" x14ac:dyDescent="0.55000000000000004">
      <c r="GM690" s="7"/>
    </row>
    <row r="691" spans="195:195" x14ac:dyDescent="0.55000000000000004">
      <c r="GM691" s="7"/>
    </row>
    <row r="692" spans="195:195" x14ac:dyDescent="0.55000000000000004">
      <c r="GM692" s="7"/>
    </row>
    <row r="693" spans="195:195" x14ac:dyDescent="0.55000000000000004">
      <c r="GM693" s="7"/>
    </row>
    <row r="694" spans="195:195" x14ac:dyDescent="0.55000000000000004">
      <c r="GM694" s="7"/>
    </row>
    <row r="695" spans="195:195" x14ac:dyDescent="0.55000000000000004">
      <c r="GM695" s="7"/>
    </row>
    <row r="696" spans="195:195" x14ac:dyDescent="0.55000000000000004">
      <c r="GM696" s="7"/>
    </row>
    <row r="697" spans="195:195" x14ac:dyDescent="0.55000000000000004">
      <c r="GM697" s="7"/>
    </row>
    <row r="698" spans="195:195" x14ac:dyDescent="0.55000000000000004">
      <c r="GM698" s="7"/>
    </row>
    <row r="699" spans="195:195" x14ac:dyDescent="0.55000000000000004">
      <c r="GM699" s="7"/>
    </row>
    <row r="700" spans="195:195" x14ac:dyDescent="0.55000000000000004">
      <c r="GM700" s="7"/>
    </row>
    <row r="701" spans="195:195" x14ac:dyDescent="0.55000000000000004">
      <c r="GM701" s="7"/>
    </row>
    <row r="702" spans="195:195" x14ac:dyDescent="0.55000000000000004">
      <c r="GM702" s="7"/>
    </row>
    <row r="703" spans="195:195" x14ac:dyDescent="0.55000000000000004">
      <c r="GM703" s="7"/>
    </row>
    <row r="704" spans="195:195" x14ac:dyDescent="0.55000000000000004">
      <c r="GM704" s="7"/>
    </row>
    <row r="705" spans="195:195" x14ac:dyDescent="0.55000000000000004">
      <c r="GM705" s="7"/>
    </row>
    <row r="706" spans="195:195" x14ac:dyDescent="0.55000000000000004">
      <c r="GM706" s="7"/>
    </row>
    <row r="707" spans="195:195" x14ac:dyDescent="0.55000000000000004">
      <c r="GM707" s="7"/>
    </row>
    <row r="708" spans="195:195" x14ac:dyDescent="0.55000000000000004">
      <c r="GM708" s="7"/>
    </row>
    <row r="709" spans="195:195" x14ac:dyDescent="0.55000000000000004">
      <c r="GM709" s="7"/>
    </row>
    <row r="710" spans="195:195" x14ac:dyDescent="0.55000000000000004">
      <c r="GM710" s="7"/>
    </row>
    <row r="711" spans="195:195" x14ac:dyDescent="0.55000000000000004">
      <c r="GM711" s="7"/>
    </row>
    <row r="712" spans="195:195" x14ac:dyDescent="0.55000000000000004">
      <c r="GM712" s="7"/>
    </row>
    <row r="713" spans="195:195" x14ac:dyDescent="0.55000000000000004">
      <c r="GM713" s="7"/>
    </row>
    <row r="714" spans="195:195" x14ac:dyDescent="0.55000000000000004">
      <c r="GM714" s="7"/>
    </row>
    <row r="715" spans="195:195" x14ac:dyDescent="0.55000000000000004">
      <c r="GM715" s="7"/>
    </row>
    <row r="716" spans="195:195" x14ac:dyDescent="0.55000000000000004">
      <c r="GM716" s="7"/>
    </row>
    <row r="717" spans="195:195" x14ac:dyDescent="0.55000000000000004">
      <c r="GM717" s="7"/>
    </row>
    <row r="718" spans="195:195" x14ac:dyDescent="0.55000000000000004">
      <c r="GM718" s="7"/>
    </row>
    <row r="719" spans="195:195" x14ac:dyDescent="0.55000000000000004">
      <c r="GM719" s="7"/>
    </row>
    <row r="720" spans="195:195" x14ac:dyDescent="0.55000000000000004">
      <c r="GM720" s="7"/>
    </row>
    <row r="721" spans="195:195" x14ac:dyDescent="0.55000000000000004">
      <c r="GM721" s="7"/>
    </row>
    <row r="722" spans="195:195" x14ac:dyDescent="0.55000000000000004">
      <c r="GM722" s="7"/>
    </row>
    <row r="723" spans="195:195" x14ac:dyDescent="0.55000000000000004">
      <c r="GM723" s="7"/>
    </row>
    <row r="724" spans="195:195" x14ac:dyDescent="0.55000000000000004">
      <c r="GM724" s="7"/>
    </row>
    <row r="725" spans="195:195" x14ac:dyDescent="0.55000000000000004">
      <c r="GM725" s="7"/>
    </row>
    <row r="726" spans="195:195" x14ac:dyDescent="0.55000000000000004">
      <c r="GM726" s="7"/>
    </row>
    <row r="727" spans="195:195" x14ac:dyDescent="0.55000000000000004">
      <c r="GM727" s="7"/>
    </row>
    <row r="728" spans="195:195" x14ac:dyDescent="0.55000000000000004">
      <c r="GM728" s="7"/>
    </row>
    <row r="729" spans="195:195" x14ac:dyDescent="0.55000000000000004">
      <c r="GM729" s="7"/>
    </row>
    <row r="730" spans="195:195" x14ac:dyDescent="0.55000000000000004">
      <c r="GM730" s="7"/>
    </row>
    <row r="731" spans="195:195" x14ac:dyDescent="0.55000000000000004">
      <c r="GM731" s="7"/>
    </row>
    <row r="732" spans="195:195" x14ac:dyDescent="0.55000000000000004">
      <c r="GM732" s="7"/>
    </row>
    <row r="733" spans="195:195" x14ac:dyDescent="0.55000000000000004">
      <c r="GM733" s="7"/>
    </row>
    <row r="734" spans="195:195" x14ac:dyDescent="0.55000000000000004">
      <c r="GM734" s="7"/>
    </row>
    <row r="735" spans="195:195" x14ac:dyDescent="0.55000000000000004">
      <c r="GM735" s="7"/>
    </row>
    <row r="736" spans="195:195" x14ac:dyDescent="0.55000000000000004">
      <c r="GM736" s="7"/>
    </row>
    <row r="737" spans="195:195" x14ac:dyDescent="0.55000000000000004">
      <c r="GM737" s="7"/>
    </row>
    <row r="738" spans="195:195" x14ac:dyDescent="0.55000000000000004">
      <c r="GM738" s="7"/>
    </row>
    <row r="739" spans="195:195" x14ac:dyDescent="0.55000000000000004">
      <c r="GM739" s="7"/>
    </row>
    <row r="740" spans="195:195" x14ac:dyDescent="0.55000000000000004">
      <c r="GM740" s="7"/>
    </row>
    <row r="741" spans="195:195" x14ac:dyDescent="0.55000000000000004">
      <c r="GM741" s="7"/>
    </row>
    <row r="742" spans="195:195" x14ac:dyDescent="0.55000000000000004">
      <c r="GM742" s="7"/>
    </row>
    <row r="743" spans="195:195" x14ac:dyDescent="0.55000000000000004">
      <c r="GM743" s="7"/>
    </row>
    <row r="744" spans="195:195" x14ac:dyDescent="0.55000000000000004">
      <c r="GM744" s="7"/>
    </row>
    <row r="745" spans="195:195" x14ac:dyDescent="0.55000000000000004">
      <c r="GM745" s="7"/>
    </row>
    <row r="746" spans="195:195" x14ac:dyDescent="0.55000000000000004">
      <c r="GM746" s="7"/>
    </row>
    <row r="747" spans="195:195" x14ac:dyDescent="0.55000000000000004">
      <c r="GM747" s="7"/>
    </row>
    <row r="748" spans="195:195" x14ac:dyDescent="0.55000000000000004">
      <c r="GM748" s="7"/>
    </row>
    <row r="749" spans="195:195" x14ac:dyDescent="0.55000000000000004">
      <c r="GM749" s="7"/>
    </row>
    <row r="750" spans="195:195" x14ac:dyDescent="0.55000000000000004">
      <c r="GM750" s="7"/>
    </row>
    <row r="751" spans="195:195" x14ac:dyDescent="0.55000000000000004">
      <c r="GM751" s="7"/>
    </row>
    <row r="752" spans="195:195" x14ac:dyDescent="0.55000000000000004">
      <c r="GM752" s="7"/>
    </row>
    <row r="753" spans="195:195" x14ac:dyDescent="0.55000000000000004">
      <c r="GM753" s="7"/>
    </row>
    <row r="754" spans="195:195" x14ac:dyDescent="0.55000000000000004">
      <c r="GM754" s="7"/>
    </row>
    <row r="755" spans="195:195" x14ac:dyDescent="0.55000000000000004">
      <c r="GM755" s="7"/>
    </row>
    <row r="756" spans="195:195" x14ac:dyDescent="0.55000000000000004">
      <c r="GM756" s="7"/>
    </row>
    <row r="757" spans="195:195" x14ac:dyDescent="0.55000000000000004">
      <c r="GM757" s="7"/>
    </row>
    <row r="758" spans="195:195" x14ac:dyDescent="0.55000000000000004">
      <c r="GM758" s="7"/>
    </row>
    <row r="759" spans="195:195" x14ac:dyDescent="0.55000000000000004">
      <c r="GM759" s="7"/>
    </row>
    <row r="760" spans="195:195" x14ac:dyDescent="0.55000000000000004">
      <c r="GM760" s="7"/>
    </row>
    <row r="761" spans="195:195" x14ac:dyDescent="0.55000000000000004">
      <c r="GM761" s="7"/>
    </row>
    <row r="762" spans="195:195" x14ac:dyDescent="0.55000000000000004">
      <c r="GM762" s="7"/>
    </row>
    <row r="763" spans="195:195" x14ac:dyDescent="0.55000000000000004">
      <c r="GM763" s="7"/>
    </row>
    <row r="764" spans="195:195" x14ac:dyDescent="0.55000000000000004">
      <c r="GM764" s="7"/>
    </row>
    <row r="765" spans="195:195" x14ac:dyDescent="0.55000000000000004">
      <c r="GM765" s="7"/>
    </row>
    <row r="766" spans="195:195" x14ac:dyDescent="0.55000000000000004">
      <c r="GM766" s="7"/>
    </row>
    <row r="767" spans="195:195" x14ac:dyDescent="0.55000000000000004">
      <c r="GM767" s="7"/>
    </row>
    <row r="768" spans="195:195" x14ac:dyDescent="0.55000000000000004">
      <c r="GM768" s="7"/>
    </row>
    <row r="769" spans="195:195" x14ac:dyDescent="0.55000000000000004">
      <c r="GM769" s="7"/>
    </row>
    <row r="770" spans="195:195" x14ac:dyDescent="0.55000000000000004">
      <c r="GM770" s="7"/>
    </row>
    <row r="771" spans="195:195" x14ac:dyDescent="0.55000000000000004">
      <c r="GM771" s="7"/>
    </row>
    <row r="772" spans="195:195" x14ac:dyDescent="0.55000000000000004">
      <c r="GM772" s="7"/>
    </row>
    <row r="773" spans="195:195" x14ac:dyDescent="0.55000000000000004">
      <c r="GM773" s="7"/>
    </row>
    <row r="774" spans="195:195" x14ac:dyDescent="0.55000000000000004">
      <c r="GM774" s="7"/>
    </row>
    <row r="775" spans="195:195" x14ac:dyDescent="0.55000000000000004">
      <c r="GM775" s="7"/>
    </row>
    <row r="776" spans="195:195" x14ac:dyDescent="0.55000000000000004">
      <c r="GM776" s="7"/>
    </row>
    <row r="777" spans="195:195" x14ac:dyDescent="0.55000000000000004">
      <c r="GM777" s="7"/>
    </row>
    <row r="778" spans="195:195" x14ac:dyDescent="0.55000000000000004">
      <c r="GM778" s="7"/>
    </row>
    <row r="779" spans="195:195" x14ac:dyDescent="0.55000000000000004">
      <c r="GM779" s="7"/>
    </row>
    <row r="780" spans="195:195" x14ac:dyDescent="0.55000000000000004">
      <c r="GM780" s="7"/>
    </row>
    <row r="781" spans="195:195" x14ac:dyDescent="0.55000000000000004">
      <c r="GM781" s="7"/>
    </row>
    <row r="782" spans="195:195" x14ac:dyDescent="0.55000000000000004">
      <c r="GM782" s="7"/>
    </row>
    <row r="783" spans="195:195" x14ac:dyDescent="0.55000000000000004">
      <c r="GM783" s="7"/>
    </row>
    <row r="784" spans="195:195" x14ac:dyDescent="0.55000000000000004">
      <c r="GM784" s="7"/>
    </row>
    <row r="785" spans="195:195" x14ac:dyDescent="0.55000000000000004">
      <c r="GM785" s="7"/>
    </row>
    <row r="786" spans="195:195" x14ac:dyDescent="0.55000000000000004">
      <c r="GM786" s="7"/>
    </row>
    <row r="787" spans="195:195" x14ac:dyDescent="0.55000000000000004">
      <c r="GM787" s="7"/>
    </row>
    <row r="788" spans="195:195" x14ac:dyDescent="0.55000000000000004">
      <c r="GM788" s="7"/>
    </row>
    <row r="789" spans="195:195" x14ac:dyDescent="0.55000000000000004">
      <c r="GM789" s="7"/>
    </row>
    <row r="790" spans="195:195" x14ac:dyDescent="0.55000000000000004">
      <c r="GM790" s="7"/>
    </row>
    <row r="791" spans="195:195" x14ac:dyDescent="0.55000000000000004">
      <c r="GM791" s="7"/>
    </row>
    <row r="792" spans="195:195" x14ac:dyDescent="0.55000000000000004">
      <c r="GM792" s="7"/>
    </row>
    <row r="793" spans="195:195" x14ac:dyDescent="0.55000000000000004">
      <c r="GM793" s="7"/>
    </row>
    <row r="794" spans="195:195" x14ac:dyDescent="0.55000000000000004">
      <c r="GM794" s="7"/>
    </row>
    <row r="795" spans="195:195" x14ac:dyDescent="0.55000000000000004">
      <c r="GM795" s="7"/>
    </row>
    <row r="796" spans="195:195" x14ac:dyDescent="0.55000000000000004">
      <c r="GM796" s="7"/>
    </row>
    <row r="797" spans="195:195" x14ac:dyDescent="0.55000000000000004">
      <c r="GM797" s="7"/>
    </row>
    <row r="798" spans="195:195" x14ac:dyDescent="0.55000000000000004">
      <c r="GM798" s="7"/>
    </row>
    <row r="799" spans="195:195" x14ac:dyDescent="0.55000000000000004">
      <c r="GM799" s="7"/>
    </row>
    <row r="800" spans="195:195" x14ac:dyDescent="0.55000000000000004">
      <c r="GM800" s="7"/>
    </row>
  </sheetData>
  <phoneticPr fontId="12"/>
  <conditionalFormatting sqref="I12:J35">
    <cfRule type="colorScale" priority="1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N39:O48">
    <cfRule type="colorScale" priority="2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K39:K48">
    <cfRule type="colorScale" priority="7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L39:L48">
    <cfRule type="colorScale" priority="8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12:D35">
    <cfRule type="colorScale" priority="11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12:E35">
    <cfRule type="colorScale" priority="13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12:F35">
    <cfRule type="colorScale" priority="15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G12:G35">
    <cfRule type="colorScale" priority="17">
      <colorScale>
        <cfvo type="min"/>
        <cfvo type="num" val="0"/>
        <cfvo type="max"/>
        <color rgb="FF2A78D6"/>
        <color rgb="FFFFFFFF"/>
        <color rgb="FFE34948"/>
      </colorScale>
    </cfRule>
  </conditionalFormatting>
  <dataValidations count="5">
    <dataValidation type="list" allowBlank="1" showInputMessage="1" showErrorMessage="1" sqref="B1" xr:uid="{72C4BD43-CD80-42C3-839B-44EE8100ED82}">
      <formula1>"Live,Fixed"</formula1>
    </dataValidation>
    <dataValidation type="list" allowBlank="1" showInputMessage="1" showErrorMessage="1" sqref="B8" xr:uid="{530460CB-1A51-4D7B-BAC7-0892FDF5EC3C}">
      <formula1>"Level,Change"</formula1>
    </dataValidation>
    <dataValidation type="list" allowBlank="1" showInputMessage="1" showErrorMessage="1" sqref="A39:A48" xr:uid="{1D932CE5-1B6C-4F28-AB0D-CA3B101366B3}">
      <formula1>"Yes,No"</formula1>
    </dataValidation>
    <dataValidation type="list" allowBlank="1" showInputMessage="1" showErrorMessage="1" sqref="C39:C48" xr:uid="{C72E0E20-FB10-4F7A-87D4-C7FB758FE28A}">
      <formula1>"CMT,FIXED,ROLLING"</formula1>
    </dataValidation>
    <dataValidation type="list" allowBlank="1" showInputMessage="1" showErrorMessage="1" sqref="D39:D48 H39:H48 F39:F48" xr:uid="{86477BC3-B109-4372-AADD-3780F7070C93}">
      <formula1>$A$12:$A$35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AFB05-4B82-4703-B906-9945985B65B2}">
  <sheetPr codeName="Sheet7"/>
  <dimension ref="A1:BV2000"/>
  <sheetViews>
    <sheetView topLeftCell="A5" zoomScale="76" workbookViewId="0">
      <selection activeCell="K2" sqref="K2"/>
    </sheetView>
  </sheetViews>
  <sheetFormatPr defaultRowHeight="18.5" outlineLevelCol="1" x14ac:dyDescent="0.55000000000000004"/>
  <cols>
    <col min="1" max="1" width="16.58203125" customWidth="1"/>
    <col min="2" max="15" width="11.08203125" customWidth="1"/>
    <col min="31" max="73" width="0" hidden="1" customWidth="1" outlineLevel="1"/>
    <col min="74" max="74" width="8.6640625" collapsed="1"/>
  </cols>
  <sheetData>
    <row r="1" spans="1:73" ht="20" x14ac:dyDescent="0.55000000000000004">
      <c r="A1" s="20" t="s">
        <v>326</v>
      </c>
    </row>
    <row r="2" spans="1:73" x14ac:dyDescent="0.55000000000000004">
      <c r="A2" t="s">
        <v>327</v>
      </c>
      <c r="AE2" s="4" t="s">
        <v>346</v>
      </c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 t="s">
        <v>347</v>
      </c>
      <c r="AU2" s="4"/>
      <c r="AV2" s="4"/>
      <c r="AW2" s="4"/>
      <c r="AX2" s="4"/>
      <c r="AY2" s="4"/>
      <c r="AZ2" s="4"/>
      <c r="BA2" s="4" t="s">
        <v>353</v>
      </c>
      <c r="BB2" s="4"/>
      <c r="BC2" s="4"/>
      <c r="BD2" s="4"/>
      <c r="BE2" s="4"/>
      <c r="BF2" s="4"/>
      <c r="BG2" s="4" t="s">
        <v>355</v>
      </c>
      <c r="BH2" s="4"/>
      <c r="BI2" s="4"/>
      <c r="BJ2" s="4"/>
      <c r="BK2" s="4"/>
      <c r="BL2" s="4"/>
      <c r="BM2" s="4"/>
      <c r="BN2" s="4"/>
      <c r="BO2" s="4" t="s">
        <v>356</v>
      </c>
      <c r="BP2" s="4"/>
      <c r="BQ2" s="4"/>
      <c r="BR2" s="4"/>
      <c r="BS2" s="4"/>
      <c r="BT2" s="4"/>
      <c r="BU2" s="4"/>
    </row>
    <row r="3" spans="1:73" x14ac:dyDescent="0.55000000000000004">
      <c r="A3" s="4" t="s">
        <v>257</v>
      </c>
      <c r="AE3" s="4" cm="1">
        <f t="array" aca="1" ref="AE3:AR1665" ca="1">FutHistory(FUT_Steps)</f>
      </c>
      <c r="AF3" s="4">
        <f ca="1"/>
      </c>
      <c r="AG3" s="4">
        <f ca="1"/>
      </c>
      <c r="AH3" s="4">
        <f ca="1"/>
      </c>
      <c r="AI3" s="4">
        <f ca="1"/>
      </c>
      <c r="AJ3" s="4">
        <f ca="1"/>
      </c>
      <c r="AK3" s="4">
        <f ca="1"/>
      </c>
      <c r="AL3" s="4">
        <f ca="1"/>
      </c>
      <c r="AM3" s="4">
        <f ca="1"/>
      </c>
      <c r="AN3" s="4">
        <f ca="1"/>
      </c>
      <c r="AO3" s="4">
        <f ca="1"/>
      </c>
      <c r="AP3" s="4">
        <f ca="1"/>
      </c>
      <c r="AQ3" s="4">
        <f ca="1"/>
      </c>
      <c r="AR3" s="4">
        <f ca="1"/>
      </c>
      <c r="AS3" s="4"/>
      <c r="AT3" s="4" t="s">
        <v>75</v>
      </c>
      <c r="AU3" s="4" t="s">
        <v>348</v>
      </c>
      <c r="AV3" s="4" t="s">
        <v>349</v>
      </c>
      <c r="AW3" s="4" t="s">
        <v>350</v>
      </c>
      <c r="AX3" s="4" t="s">
        <v>351</v>
      </c>
      <c r="AY3" s="4" t="s">
        <v>352</v>
      </c>
      <c r="AZ3" s="4"/>
      <c r="BA3" s="4" t="s">
        <v>75</v>
      </c>
      <c r="BB3" s="4" t="s">
        <v>354</v>
      </c>
      <c r="BC3" s="4" t="s">
        <v>349</v>
      </c>
      <c r="BD3" s="4" t="s">
        <v>350</v>
      </c>
      <c r="BE3" s="4" t="s">
        <v>352</v>
      </c>
      <c r="BF3" s="4"/>
      <c r="BG3" s="4" cm="1">
        <f t="array" aca="1" ref="BG3:BM189" ca="1">FutOverlay(FUT_Overlay,FUT_Field,FUT_Steps)</f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/>
      <c r="BO3" s="4" t="s">
        <v>357</v>
      </c>
      <c r="BP3" s="4">
        <f ca="1">INDEX(_xlfn.ANCHORARRAY($BG$3),1,2)</f>
      </c>
      <c r="BQ3" s="4">
        <f ca="1">INDEX(_xlfn.ANCHORARRAY($BG$3),1,3)</f>
      </c>
      <c r="BR3" s="4">
        <f ca="1">INDEX(_xlfn.ANCHORARRAY($BG$3),1,4)</f>
      </c>
      <c r="BS3" s="4">
        <f ca="1">INDEX(_xlfn.ANCHORARRAY($BG$3),1,5)</f>
      </c>
      <c r="BT3" s="4">
        <f ca="1">INDEX(_xlfn.ANCHORARRAY($BG$3),1,6)</f>
      </c>
      <c r="BU3" s="4">
        <f ca="1">INDEX(_xlfn.ANCHORARRAY($BG$3),1,7)</f>
      </c>
    </row>
    <row r="4" spans="1:73" x14ac:dyDescent="0.55000000000000004">
      <c r="A4" s="4" t="s">
        <v>328</v>
      </c>
      <c r="B4" s="2" t="s">
        <v>329</v>
      </c>
      <c r="D4" t="s">
        <v>330</v>
      </c>
      <c r="AE4" s="7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T4" s="7" cm="1">
        <f t="array" aca="1" ref="AT4:AT1665" ca="1">FUT_HD</f>
      </c>
      <c r="AU4" cm="1">
        <f t="array" aca="1" ref="AU4:AU1665" ca="1">_xlfn.LET(_xlpm.d,_xlfn.DROP(INDEX(FUT_H,,4),1),_xlpm.m,_xlfn.XLOOKUP(FUT_HD,FUT_AdjDate,IF(FUT_AdjSettle="","",FUT_AdjSettle),""),IF(_xlpm.m&lt;&gt;"",_xlpm.m,IF(ISNUMBER(_xlpm.d),_xlpm.d,0)))</f>
      </c>
      <c r="AV4" cm="1">
        <f t="array" aca="1" ref="AV4:AV1665" ca="1">_xlfn.LET(_xlpm.s,_xlfn.DROP(INDEX(FUT_H,,3),1),_xlpm.u,_xlfn.ANCHORARRAY($AU$4),INDEX(_xlpm.s,ROWS(_xlpm.s))-(SUM(_xlpm.u)-_xlfn.SCAN(0,_xlpm.u,_xlfn.LAMBDA(_xlpm.acc,_xlpm.x,_xlpm.acc+_xlpm.x))))</f>
      </c>
      <c r="AW4" cm="1">
        <f t="array" aca="1" ref="AW4:AW1665" ca="1">_xlfn.LET(_xlpm.n,_xlfn.DROP(INDEX(FUT_H,,13),1),IF(ISNUMBER(_xlpm.n),_xlpm.n*100,NA()))</f>
      </c>
      <c r="AX4" cm="1">
        <f t="array" aca="1" ref="AX4:AX1665" ca="1">_xlfn.LET(_xlpm.n,_xlfn.ANCHORARRAY($AW$4),_xlpm.c,_xlfn.DROP(INDEX(FUT_H,,2),1),_xlpm.r,_xlfn.DROP(INDEX(FUT_H,,6),1),_xlpm.pn,_xlfn.VSTACK("",_xlfn.DROP(_xlpm.n,-1)),_xlpm.pc,_xlfn.VSTACK("",_xlfn.DROP(_xlpm.c,-1)),_xlpm.pr,_xlfn.VSTACK("",_xlfn.DROP(_xlpm.r,-1)),_xlpm.auto,IF(ISNUMBER(_xlpm.n)*ISNUMBER(_xlpm.pn)*(_xlpm.c=_xlpm.pc)*(_xlpm.r=_xlpm.pr),_xlpm.n-_xlpm.pn,0),_xlpm.m,_xlfn.XLOOKUP(FUT_HD,FUT_AdjDate,IF(FUT_AdjNet="","",FUT_AdjNet),""),IF(_xlpm.m&lt;&gt;"",_xlpm.m,_xlpm.auto))</f>
      </c>
      <c r="AY4" cm="1">
        <f t="array" aca="1" ref="AY4:AY1665" ca="1">_xlfn.LET(_xlpm.n,_xlfn.ANCHORARRAY($AW$4),_xlpm.u,_xlfn.ANCHORARRAY($AX$4),_xlpm.last,INDEX(_xlpm.n,ROWS(_xlpm.n)),IF(ISNUMBER(_xlpm.n),_xlpm.last-(SUM(_xlpm.u)-_xlfn.SCAN(0,_xlpm.u,_xlfn.LAMBDA(_xlpm.acc,_xlpm.x,_xlpm.acc+_xlpm.x))),NA()))</f>
      </c>
      <c r="BA4" s="7" cm="1">
        <f t="array" aca="1" ref="BA4:BA488" ca="1">_xlfn._xlws.FILTER(FUT_HD,FUT_HD&gt;=N(FUT_From))</f>
      </c>
      <c r="BB4" cm="1">
        <f t="array" aca="1" ref="BB4:BB488" ca="1">_xlfn._xlws.FILTER(_xlfn.DROP(INDEX(FUT_H,,3),1),FUT_HD&gt;=N(FUT_From))</f>
      </c>
      <c r="BC4" cm="1">
        <f t="array" aca="1" ref="BC4:BC488" ca="1">_xlfn._xlws.FILTER(_xlfn.ANCHORARRAY($AV$4),FUT_HD&gt;=N(FUT_From))</f>
      </c>
      <c r="BD4" cm="1">
        <f t="array" aca="1" ref="BD4:BD488" ca="1">_xlfn._xlws.FILTER(_xlfn.ANCHORARRAY($AW$4),FUT_HD&gt;=N(FUT_From))</f>
      </c>
      <c r="BE4" cm="1">
        <f t="array" aca="1" ref="BE4:BE488" ca="1">_xlfn._xlws.FILTER(_xlfn.ANCHORARRAY($AY$4),FUT_HD&gt;=N(FUT_From))</f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O4" cm="1">
        <f t="array" aca="1" ref="BO4:BO189" ca="1">_xlfn.DROP(INDEX(_xlfn.ANCHORARRAY($BG$3),,1),1)</f>
      </c>
      <c r="BP4" cm="1">
        <f t="array" aca="1" ref="BP4:BP189" ca="1">_xlfn.LET(_xlpm.x,_xlfn.DROP(INDEX(_xlfn.ANCHORARRAY($BG$3),,2),1),IF(_xlpm.x="",NA(),_xlpm.x*IF(FUT_Field="IRR",1,100)))</f>
      </c>
      <c r="BQ4" cm="1">
        <f t="array" aca="1" ref="BQ4:BQ189" ca="1">_xlfn.LET(_xlpm.x,_xlfn.DROP(INDEX(_xlfn.ANCHORARRAY($BG$3),,3),1),IF(_xlpm.x="",NA(),_xlpm.x*IF(FUT_Field="IRR",1,100)))</f>
      </c>
      <c r="BR4" cm="1">
        <f t="array" aca="1" ref="BR4:BR189" ca="1">_xlfn.LET(_xlpm.x,_xlfn.DROP(INDEX(_xlfn.ANCHORARRAY($BG$3),,4),1),IF(_xlpm.x="",NA(),_xlpm.x*IF(FUT_Field="IRR",1,100)))</f>
      </c>
      <c r="BS4" cm="1">
        <f t="array" aca="1" ref="BS4:BS189" ca="1">_xlfn.LET(_xlpm.x,_xlfn.DROP(INDEX(_xlfn.ANCHORARRAY($BG$3),,5),1),IF(_xlpm.x="",NA(),_xlpm.x*IF(FUT_Field="IRR",1,100)))</f>
      </c>
      <c r="BT4" cm="1">
        <f t="array" aca="1" ref="BT4:BT189" ca="1">_xlfn.LET(_xlpm.x,_xlfn.DROP(INDEX(_xlfn.ANCHORARRAY($BG$3),,6),1),IF(_xlpm.x="",NA(),_xlpm.x*IF(FUT_Field="IRR",1,100)))</f>
      </c>
      <c r="BU4" cm="1">
        <f t="array" aca="1" ref="BU4:BU189" ca="1">_xlfn.LET(_xlpm.x,_xlfn.DROP(INDEX(_xlfn.ANCHORARRAY($BG$3),,7),1),IF(_xlpm.x="",NA(),_xlpm.x*IF(FUT_Field="IRR",1,100)))</f>
      </c>
    </row>
    <row r="5" spans="1:73" x14ac:dyDescent="0.55000000000000004">
      <c r="A5" s="4" t="s">
        <v>75</v>
      </c>
      <c r="B5" s="3"/>
      <c r="C5" cm="1">
        <f t="array" aca="1" ref="C5" ca="1">"Using "&amp;TEXT(FUT_Date,"yyyy-mm-dd")</f>
      </c>
      <c r="D5" t="s">
        <v>331</v>
      </c>
      <c r="AE5" s="7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T5" s="7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A5" s="7">
        <f ca="1"/>
      </c>
      <c r="BB5">
        <f ca="1"/>
      </c>
      <c r="BC5">
        <f ca="1"/>
      </c>
      <c r="BD5">
        <f ca="1"/>
      </c>
      <c r="BE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</row>
    <row r="6" spans="1:73" x14ac:dyDescent="0.55000000000000004">
      <c r="A6" s="4" t="s">
        <v>332</v>
      </c>
      <c r="B6" s="2"/>
      <c r="D6" t="s">
        <v>333</v>
      </c>
      <c r="AE6" s="7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T6" s="7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A6" s="7">
        <f ca="1"/>
      </c>
      <c r="BB6">
        <f ca="1"/>
      </c>
      <c r="BC6">
        <f ca="1"/>
      </c>
      <c r="BD6">
        <f ca="1"/>
      </c>
      <c r="BE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</row>
    <row r="7" spans="1:73" x14ac:dyDescent="0.55000000000000004">
      <c r="A7" s="4" t="s">
        <v>334</v>
      </c>
      <c r="B7" s="2"/>
      <c r="D7" t="s">
        <v>335</v>
      </c>
      <c r="AE7" s="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T7" s="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A7" s="7">
        <f ca="1"/>
      </c>
      <c r="BB7">
        <f ca="1"/>
      </c>
      <c r="BC7">
        <f ca="1"/>
      </c>
      <c r="BD7">
        <f ca="1"/>
      </c>
      <c r="BE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</row>
    <row r="8" spans="1:73" x14ac:dyDescent="0.55000000000000004">
      <c r="A8" s="4" t="s">
        <v>264</v>
      </c>
      <c r="B8" s="3">
        <v>45590</v>
      </c>
      <c r="D8" t="s">
        <v>336</v>
      </c>
      <c r="AE8" s="7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T8" s="7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A8" s="7">
        <f ca="1"/>
      </c>
      <c r="BB8">
        <f ca="1"/>
      </c>
      <c r="BC8">
        <f ca="1"/>
      </c>
      <c r="BD8">
        <f ca="1"/>
      </c>
      <c r="BE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</row>
    <row r="9" spans="1:73" x14ac:dyDescent="0.55000000000000004">
      <c r="A9" s="4" t="s">
        <v>337</v>
      </c>
      <c r="B9" s="2" t="s">
        <v>338</v>
      </c>
      <c r="D9" t="s">
        <v>339</v>
      </c>
      <c r="AE9" s="7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T9" s="7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A9" s="7">
        <f ca="1"/>
      </c>
      <c r="BB9">
        <f ca="1"/>
      </c>
      <c r="BC9">
        <f ca="1"/>
      </c>
      <c r="BD9">
        <f ca="1"/>
      </c>
      <c r="BE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</row>
    <row r="10" spans="1:73" x14ac:dyDescent="0.55000000000000004">
      <c r="A10" s="4" t="s">
        <v>340</v>
      </c>
      <c r="B10" s="2" t="s">
        <v>341</v>
      </c>
      <c r="C10" s="2" t="s">
        <v>342</v>
      </c>
      <c r="D10" s="2" t="s">
        <v>343</v>
      </c>
      <c r="E10" s="2" t="s">
        <v>344</v>
      </c>
      <c r="F10" s="2" t="s">
        <v>345</v>
      </c>
      <c r="G10" s="2" t="s">
        <v>329</v>
      </c>
      <c r="AE10" s="7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T10" s="7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A10" s="7">
        <f ca="1"/>
      </c>
      <c r="BB10">
        <f ca="1"/>
      </c>
      <c r="BC10">
        <f ca="1"/>
      </c>
      <c r="BD10">
        <f ca="1"/>
      </c>
      <c r="BE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</row>
    <row r="11" spans="1:73" x14ac:dyDescent="0.55000000000000004">
      <c r="AE11" s="7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T11" s="7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A11" s="7">
        <f ca="1"/>
      </c>
      <c r="BB11">
        <f ca="1"/>
      </c>
      <c r="BC11">
        <f ca="1"/>
      </c>
      <c r="BD11">
        <f ca="1"/>
      </c>
      <c r="BE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</row>
    <row r="12" spans="1:73" x14ac:dyDescent="0.55000000000000004">
      <c r="A12" s="4" t="s">
        <v>358</v>
      </c>
      <c r="Q12" s="4" t="s">
        <v>361</v>
      </c>
      <c r="T12" s="4" t="s">
        <v>362</v>
      </c>
      <c r="W12" s="4" t="s">
        <v>365</v>
      </c>
      <c r="Z12" s="4" t="s">
        <v>369</v>
      </c>
      <c r="AE12" s="7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T12" s="7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A12" s="7">
        <f ca="1"/>
      </c>
      <c r="BB12">
        <f ca="1"/>
      </c>
      <c r="BC12">
        <f ca="1"/>
      </c>
      <c r="BD12">
        <f ca="1"/>
      </c>
      <c r="BE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</row>
    <row r="13" spans="1:73" x14ac:dyDescent="0.55000000000000004">
      <c r="A13" cm="1">
        <f t="array" aca="1" ref="A13" ca="1">FUT_Contract&amp;" contract, "&amp;TEXT(FUT_Date,"yyyy-mm-dd")</f>
      </c>
      <c r="T13" t="s">
        <v>363</v>
      </c>
      <c r="W13" t="s">
        <v>366</v>
      </c>
      <c r="Z13" t="s">
        <v>370</v>
      </c>
      <c r="AE13" s="7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T13" s="7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A13" s="7">
        <f ca="1"/>
      </c>
      <c r="BB13">
        <f ca="1"/>
      </c>
      <c r="BC13">
        <f ca="1"/>
      </c>
      <c r="BD13">
        <f ca="1"/>
      </c>
      <c r="BE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</row>
    <row r="14" spans="1:73" x14ac:dyDescent="0.55000000000000004">
      <c r="A14" s="4" cm="1">
        <f t="array" aca="1" ref="A14:L27" ca="1">FutBasis(FUT_Contract,FUT_Date,FUT_Price,FUT_Repo,FUT_Yields)</f>
      </c>
      <c r="B14" s="4">
        <f ca="1"/>
      </c>
      <c r="C14" s="4">
        <f ca="1"/>
      </c>
      <c r="D14" s="4">
        <f ca="1"/>
      </c>
      <c r="E14" s="4">
        <f ca="1"/>
      </c>
      <c r="F14" s="4">
        <f ca="1"/>
      </c>
      <c r="G14" s="4">
        <f ca="1"/>
      </c>
      <c r="H14" s="4">
        <f ca="1"/>
      </c>
      <c r="I14" s="4">
        <f ca="1"/>
      </c>
      <c r="J14" s="4">
        <f ca="1"/>
      </c>
      <c r="K14" s="4">
        <f ca="1"/>
      </c>
      <c r="L14" s="4">
        <f ca="1"/>
      </c>
      <c r="M14" s="4" t="s">
        <v>359</v>
      </c>
      <c r="N14" s="4" t="s">
        <v>360</v>
      </c>
      <c r="O14" s="4" t="s">
        <v>350</v>
      </c>
      <c r="Q14" s="4" cm="1">
        <f t="array" aca="1" ref="Q14:R19" ca="1">FutRepoSteps()</f>
      </c>
      <c r="R14" s="4">
        <f ca="1"/>
      </c>
      <c r="S14" s="4"/>
      <c r="T14" s="4" t="s">
        <v>128</v>
      </c>
      <c r="U14" s="4" t="s">
        <v>364</v>
      </c>
      <c r="V14" s="4"/>
      <c r="W14" s="4" t="s">
        <v>367</v>
      </c>
      <c r="X14" s="4" t="s">
        <v>368</v>
      </c>
      <c r="Y14" s="4"/>
      <c r="Z14" s="4" t="s">
        <v>75</v>
      </c>
      <c r="AA14" s="4" t="s">
        <v>371</v>
      </c>
      <c r="AB14" s="4" t="s">
        <v>372</v>
      </c>
      <c r="AE14" s="7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T14" s="7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A14" s="7">
        <f ca="1"/>
      </c>
      <c r="BB14">
        <f ca="1"/>
      </c>
      <c r="BC14">
        <f ca="1"/>
      </c>
      <c r="BD14">
        <f ca="1"/>
      </c>
      <c r="BE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</row>
    <row r="15" spans="1:73" x14ac:dyDescent="0.55000000000000004">
      <c r="A15">
        <f ca="1"/>
      </c>
      <c r="B15">
        <f ca="1"/>
      </c>
      <c r="C15" s="7">
        <f ca="1"/>
      </c>
      <c r="D15" s="46">
        <f ca="1"/>
      </c>
      <c r="E15" s="13">
        <f ca="1"/>
      </c>
      <c r="F15" s="7">
        <f ca="1"/>
      </c>
      <c r="G15" s="13">
        <f ca="1"/>
      </c>
      <c r="H15" s="10">
        <f ca="1"/>
      </c>
      <c r="I15" s="10">
        <f ca="1"/>
      </c>
      <c r="J15" s="10">
        <f ca="1"/>
      </c>
      <c r="K15" s="13">
        <f ca="1"/>
      </c>
      <c r="L15">
        <f ca="1"/>
      </c>
      <c r="M15" s="14" cm="1">
        <f t="array" aca="1" ref="M15:O26" ca="1">_xlfn.DROP(_xlfn.DROP(_xlfn.CHOOSECOLS(_xlfn.ANCHORARRAY($A$14),8,9,10),1),-1)*100</f>
      </c>
      <c r="N15" s="14">
        <f ca="1"/>
      </c>
      <c r="O15" s="14">
        <f ca="1"/>
      </c>
      <c r="Q15" s="7">
        <f ca="1"/>
      </c>
      <c r="R15" s="13">
        <f ca="1"/>
      </c>
      <c r="T15" s="3"/>
      <c r="U15" s="2"/>
      <c r="W15" s="2"/>
      <c r="X15" s="2"/>
      <c r="Z15" s="3"/>
      <c r="AA15" s="2"/>
      <c r="AB15" s="2"/>
      <c r="AE15" s="7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T15" s="7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A15" s="7">
        <f ca="1"/>
      </c>
      <c r="BB15">
        <f ca="1"/>
      </c>
      <c r="BC15">
        <f ca="1"/>
      </c>
      <c r="BD15">
        <f ca="1"/>
      </c>
      <c r="BE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</row>
    <row r="16" spans="1:73" x14ac:dyDescent="0.55000000000000004">
      <c r="A16">
        <f ca="1"/>
      </c>
      <c r="B16">
        <f ca="1"/>
      </c>
      <c r="C16" s="7">
        <f ca="1"/>
      </c>
      <c r="D16" s="46">
        <f ca="1"/>
      </c>
      <c r="E16" s="13">
        <f ca="1"/>
      </c>
      <c r="F16" s="7">
        <f ca="1"/>
      </c>
      <c r="G16" s="13">
        <f ca="1"/>
      </c>
      <c r="H16" s="10">
        <f ca="1"/>
      </c>
      <c r="I16" s="10">
        <f ca="1"/>
      </c>
      <c r="J16" s="10">
        <f ca="1"/>
      </c>
      <c r="K16" s="13">
        <f ca="1"/>
      </c>
      <c r="L16">
        <f ca="1"/>
      </c>
      <c r="M16" s="14">
        <f ca="1"/>
      </c>
      <c r="N16" s="14">
        <f ca="1"/>
      </c>
      <c r="O16" s="14">
        <f ca="1"/>
      </c>
      <c r="Q16" s="7">
        <f ca="1"/>
      </c>
      <c r="R16" s="13">
        <f ca="1"/>
      </c>
      <c r="T16" s="3"/>
      <c r="U16" s="2"/>
      <c r="W16" s="2"/>
      <c r="X16" s="2"/>
      <c r="Z16" s="3"/>
      <c r="AA16" s="2"/>
      <c r="AB16" s="2"/>
      <c r="AE16" s="7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T16" s="7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A16" s="7">
        <f ca="1"/>
      </c>
      <c r="BB16">
        <f ca="1"/>
      </c>
      <c r="BC16">
        <f ca="1"/>
      </c>
      <c r="BD16">
        <f ca="1"/>
      </c>
      <c r="BE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</row>
    <row r="17" spans="1:73" x14ac:dyDescent="0.55000000000000004">
      <c r="A17">
        <f ca="1"/>
      </c>
      <c r="B17">
        <f ca="1"/>
      </c>
      <c r="C17" s="7">
        <f ca="1"/>
      </c>
      <c r="D17" s="46">
        <f ca="1"/>
      </c>
      <c r="E17" s="13">
        <f ca="1"/>
      </c>
      <c r="F17" s="7">
        <f ca="1"/>
      </c>
      <c r="G17" s="13">
        <f ca="1"/>
      </c>
      <c r="H17" s="10">
        <f ca="1"/>
      </c>
      <c r="I17" s="10">
        <f ca="1"/>
      </c>
      <c r="J17" s="10">
        <f ca="1"/>
      </c>
      <c r="K17" s="13">
        <f ca="1"/>
      </c>
      <c r="L17">
        <f ca="1"/>
      </c>
      <c r="M17" s="14">
        <f ca="1"/>
      </c>
      <c r="N17" s="14">
        <f ca="1"/>
      </c>
      <c r="O17" s="14">
        <f ca="1"/>
      </c>
      <c r="Q17" s="7">
        <f ca="1"/>
      </c>
      <c r="R17" s="13">
        <f ca="1"/>
      </c>
      <c r="T17" s="3"/>
      <c r="U17" s="2"/>
      <c r="W17" s="2"/>
      <c r="X17" s="2"/>
      <c r="Z17" s="3"/>
      <c r="AA17" s="2"/>
      <c r="AB17" s="2"/>
      <c r="AE17" s="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T17" s="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A17" s="7">
        <f ca="1"/>
      </c>
      <c r="BB17">
        <f ca="1"/>
      </c>
      <c r="BC17">
        <f ca="1"/>
      </c>
      <c r="BD17">
        <f ca="1"/>
      </c>
      <c r="BE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</row>
    <row r="18" spans="1:73" x14ac:dyDescent="0.55000000000000004">
      <c r="A18">
        <f ca="1"/>
      </c>
      <c r="B18">
        <f ca="1"/>
      </c>
      <c r="C18" s="7">
        <f ca="1"/>
      </c>
      <c r="D18" s="46">
        <f ca="1"/>
      </c>
      <c r="E18" s="13">
        <f ca="1"/>
      </c>
      <c r="F18" s="7">
        <f ca="1"/>
      </c>
      <c r="G18" s="13">
        <f ca="1"/>
      </c>
      <c r="H18" s="10">
        <f ca="1"/>
      </c>
      <c r="I18" s="10">
        <f ca="1"/>
      </c>
      <c r="J18" s="10">
        <f ca="1"/>
      </c>
      <c r="K18" s="13">
        <f ca="1"/>
      </c>
      <c r="L18">
        <f ca="1"/>
      </c>
      <c r="M18" s="14">
        <f ca="1"/>
      </c>
      <c r="N18" s="14">
        <f ca="1"/>
      </c>
      <c r="O18" s="14">
        <f ca="1"/>
      </c>
      <c r="Q18" s="7">
        <f ca="1"/>
      </c>
      <c r="R18" s="13">
        <f ca="1"/>
      </c>
      <c r="T18" s="3"/>
      <c r="U18" s="2"/>
      <c r="W18" s="2"/>
      <c r="X18" s="2"/>
      <c r="Z18" s="3"/>
      <c r="AA18" s="2"/>
      <c r="AB18" s="2"/>
      <c r="AE18" s="7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T18" s="7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A18" s="7">
        <f ca="1"/>
      </c>
      <c r="BB18">
        <f ca="1"/>
      </c>
      <c r="BC18">
        <f ca="1"/>
      </c>
      <c r="BD18">
        <f ca="1"/>
      </c>
      <c r="BE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</row>
    <row r="19" spans="1:73" x14ac:dyDescent="0.55000000000000004">
      <c r="A19">
        <f ca="1"/>
      </c>
      <c r="B19">
        <f ca="1"/>
      </c>
      <c r="C19" s="7">
        <f ca="1"/>
      </c>
      <c r="D19" s="46">
        <f ca="1"/>
      </c>
      <c r="E19" s="13">
        <f ca="1"/>
      </c>
      <c r="F19" s="7">
        <f ca="1"/>
      </c>
      <c r="G19" s="13">
        <f ca="1"/>
      </c>
      <c r="H19" s="10">
        <f ca="1"/>
      </c>
      <c r="I19" s="10">
        <f ca="1"/>
      </c>
      <c r="J19" s="10">
        <f ca="1"/>
      </c>
      <c r="K19" s="13">
        <f ca="1"/>
      </c>
      <c r="L19">
        <f ca="1"/>
      </c>
      <c r="M19" s="14">
        <f ca="1"/>
      </c>
      <c r="N19" s="14">
        <f ca="1"/>
      </c>
      <c r="O19" s="14">
        <f ca="1"/>
      </c>
      <c r="Q19" s="7">
        <f ca="1"/>
      </c>
      <c r="R19" s="13">
        <f ca="1"/>
      </c>
      <c r="T19" s="3"/>
      <c r="U19" s="2"/>
      <c r="W19" s="2"/>
      <c r="X19" s="2"/>
      <c r="Z19" s="3"/>
      <c r="AA19" s="2"/>
      <c r="AB19" s="2"/>
      <c r="AE19" s="7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T19" s="7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A19" s="7">
        <f ca="1"/>
      </c>
      <c r="BB19">
        <f ca="1"/>
      </c>
      <c r="BC19">
        <f ca="1"/>
      </c>
      <c r="BD19">
        <f ca="1"/>
      </c>
      <c r="BE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</row>
    <row r="20" spans="1:73" x14ac:dyDescent="0.55000000000000004">
      <c r="A20">
        <f ca="1"/>
      </c>
      <c r="B20">
        <f ca="1"/>
      </c>
      <c r="C20" s="7">
        <f ca="1"/>
      </c>
      <c r="D20" s="46">
        <f ca="1"/>
      </c>
      <c r="E20" s="13">
        <f ca="1"/>
      </c>
      <c r="F20" s="7">
        <f ca="1"/>
      </c>
      <c r="G20" s="13">
        <f ca="1"/>
      </c>
      <c r="H20" s="10">
        <f ca="1"/>
      </c>
      <c r="I20" s="10">
        <f ca="1"/>
      </c>
      <c r="J20" s="10">
        <f ca="1"/>
      </c>
      <c r="K20" s="13">
        <f ca="1"/>
      </c>
      <c r="L20">
        <f ca="1"/>
      </c>
      <c r="M20" s="14">
        <f ca="1"/>
      </c>
      <c r="N20" s="14">
        <f ca="1"/>
      </c>
      <c r="O20" s="14">
        <f ca="1"/>
      </c>
      <c r="Q20" s="7"/>
      <c r="R20" s="13"/>
      <c r="T20" s="3"/>
      <c r="U20" s="2"/>
      <c r="W20" s="2"/>
      <c r="X20" s="2"/>
      <c r="Z20" s="3"/>
      <c r="AA20" s="2"/>
      <c r="AB20" s="2"/>
      <c r="AE20" s="7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T20" s="7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A20" s="7">
        <f ca="1"/>
      </c>
      <c r="BB20">
        <f ca="1"/>
      </c>
      <c r="BC20">
        <f ca="1"/>
      </c>
      <c r="BD20">
        <f ca="1"/>
      </c>
      <c r="BE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</row>
    <row r="21" spans="1:73" x14ac:dyDescent="0.55000000000000004">
      <c r="A21">
        <f ca="1"/>
      </c>
      <c r="B21">
        <f ca="1"/>
      </c>
      <c r="C21" s="7">
        <f ca="1"/>
      </c>
      <c r="D21" s="46">
        <f ca="1"/>
      </c>
      <c r="E21" s="13">
        <f ca="1"/>
      </c>
      <c r="F21" s="7">
        <f ca="1"/>
      </c>
      <c r="G21" s="13">
        <f ca="1"/>
      </c>
      <c r="H21" s="10">
        <f ca="1"/>
      </c>
      <c r="I21" s="10">
        <f ca="1"/>
      </c>
      <c r="J21" s="10">
        <f ca="1"/>
      </c>
      <c r="K21" s="13">
        <f ca="1"/>
      </c>
      <c r="L21">
        <f ca="1"/>
      </c>
      <c r="M21" s="14">
        <f ca="1"/>
      </c>
      <c r="N21" s="14">
        <f ca="1"/>
      </c>
      <c r="O21" s="14">
        <f ca="1"/>
      </c>
      <c r="Q21" s="7"/>
      <c r="R21" s="13"/>
      <c r="T21" s="3"/>
      <c r="U21" s="2"/>
      <c r="W21" s="2"/>
      <c r="X21" s="2"/>
      <c r="Z21" s="3"/>
      <c r="AA21" s="2"/>
      <c r="AB21" s="2"/>
      <c r="AE21" s="7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T21" s="7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A21" s="7">
        <f ca="1"/>
      </c>
      <c r="BB21">
        <f ca="1"/>
      </c>
      <c r="BC21">
        <f ca="1"/>
      </c>
      <c r="BD21">
        <f ca="1"/>
      </c>
      <c r="BE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</row>
    <row r="22" spans="1:73" x14ac:dyDescent="0.55000000000000004">
      <c r="A22">
        <f ca="1"/>
      </c>
      <c r="B22">
        <f ca="1"/>
      </c>
      <c r="C22" s="7">
        <f ca="1"/>
      </c>
      <c r="D22" s="46">
        <f ca="1"/>
      </c>
      <c r="E22" s="13">
        <f ca="1"/>
      </c>
      <c r="F22" s="7">
        <f ca="1"/>
      </c>
      <c r="G22" s="13">
        <f ca="1"/>
      </c>
      <c r="H22" s="10">
        <f ca="1"/>
      </c>
      <c r="I22" s="10">
        <f ca="1"/>
      </c>
      <c r="J22" s="10">
        <f ca="1"/>
      </c>
      <c r="K22" s="13">
        <f ca="1"/>
      </c>
      <c r="L22">
        <f ca="1"/>
      </c>
      <c r="M22" s="14">
        <f ca="1"/>
      </c>
      <c r="N22" s="14">
        <f ca="1"/>
      </c>
      <c r="O22" s="14">
        <f ca="1"/>
      </c>
      <c r="Q22" s="7"/>
      <c r="R22" s="13"/>
      <c r="T22" s="3"/>
      <c r="U22" s="2"/>
      <c r="W22" s="2"/>
      <c r="X22" s="2"/>
      <c r="Z22" s="3"/>
      <c r="AA22" s="2"/>
      <c r="AB22" s="2"/>
      <c r="AE22" s="7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T22" s="7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A22" s="7">
        <f ca="1"/>
      </c>
      <c r="BB22">
        <f ca="1"/>
      </c>
      <c r="BC22">
        <f ca="1"/>
      </c>
      <c r="BD22">
        <f ca="1"/>
      </c>
      <c r="BE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</row>
    <row r="23" spans="1:73" x14ac:dyDescent="0.55000000000000004">
      <c r="A23">
        <f ca="1"/>
      </c>
      <c r="B23">
        <f ca="1"/>
      </c>
      <c r="C23" s="7">
        <f ca="1"/>
      </c>
      <c r="D23" s="46">
        <f ca="1"/>
      </c>
      <c r="E23" s="13">
        <f ca="1"/>
      </c>
      <c r="F23" s="7">
        <f ca="1"/>
      </c>
      <c r="G23" s="13">
        <f ca="1"/>
      </c>
      <c r="H23" s="10">
        <f ca="1"/>
      </c>
      <c r="I23" s="10">
        <f ca="1"/>
      </c>
      <c r="J23" s="10">
        <f ca="1"/>
      </c>
      <c r="K23" s="13">
        <f ca="1"/>
      </c>
      <c r="L23">
        <f ca="1"/>
      </c>
      <c r="M23" s="14">
        <f ca="1"/>
      </c>
      <c r="N23" s="14">
        <f ca="1"/>
      </c>
      <c r="O23" s="14">
        <f ca="1"/>
      </c>
      <c r="Q23" s="7"/>
      <c r="R23" s="13"/>
      <c r="T23" s="3"/>
      <c r="U23" s="2"/>
      <c r="W23" s="2"/>
      <c r="X23" s="2"/>
      <c r="Z23" s="3"/>
      <c r="AA23" s="2"/>
      <c r="AB23" s="2"/>
      <c r="AE23" s="7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T23" s="7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BA23" s="7">
        <f ca="1"/>
      </c>
      <c r="BB23">
        <f ca="1"/>
      </c>
      <c r="BC23">
        <f ca="1"/>
      </c>
      <c r="BD23">
        <f ca="1"/>
      </c>
      <c r="BE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</row>
    <row r="24" spans="1:73" x14ac:dyDescent="0.55000000000000004">
      <c r="A24">
        <f ca="1"/>
      </c>
      <c r="B24">
        <f ca="1"/>
      </c>
      <c r="C24" s="7">
        <f ca="1"/>
      </c>
      <c r="D24" s="46">
        <f ca="1"/>
      </c>
      <c r="E24" s="13">
        <f ca="1"/>
      </c>
      <c r="F24" s="7">
        <f ca="1"/>
      </c>
      <c r="G24" s="13">
        <f ca="1"/>
      </c>
      <c r="H24" s="10">
        <f ca="1"/>
      </c>
      <c r="I24" s="10">
        <f ca="1"/>
      </c>
      <c r="J24" s="10">
        <f ca="1"/>
      </c>
      <c r="K24" s="13">
        <f ca="1"/>
      </c>
      <c r="L24">
        <f ca="1"/>
      </c>
      <c r="M24" s="14">
        <f ca="1"/>
      </c>
      <c r="N24" s="14">
        <f ca="1"/>
      </c>
      <c r="O24" s="14">
        <f ca="1"/>
      </c>
      <c r="Q24" s="7"/>
      <c r="R24" s="13"/>
      <c r="T24" s="3"/>
      <c r="U24" s="2"/>
      <c r="W24" s="2"/>
      <c r="X24" s="2"/>
      <c r="Z24" s="3"/>
      <c r="AA24" s="2"/>
      <c r="AB24" s="2"/>
      <c r="AE24" s="7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P24">
        <f ca="1"/>
      </c>
      <c r="AQ24">
        <f ca="1"/>
      </c>
      <c r="AR24">
        <f ca="1"/>
      </c>
      <c r="AT24" s="7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BA24" s="7">
        <f ca="1"/>
      </c>
      <c r="BB24">
        <f ca="1"/>
      </c>
      <c r="BC24">
        <f ca="1"/>
      </c>
      <c r="BD24">
        <f ca="1"/>
      </c>
      <c r="BE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</row>
    <row r="25" spans="1:73" x14ac:dyDescent="0.55000000000000004">
      <c r="A25">
        <f ca="1"/>
      </c>
      <c r="B25">
        <f ca="1"/>
      </c>
      <c r="C25" s="7">
        <f ca="1"/>
      </c>
      <c r="D25" s="46">
        <f ca="1"/>
      </c>
      <c r="E25" s="13">
        <f ca="1"/>
      </c>
      <c r="F25" s="7">
        <f ca="1"/>
      </c>
      <c r="G25" s="13">
        <f ca="1"/>
      </c>
      <c r="H25" s="10">
        <f ca="1"/>
      </c>
      <c r="I25" s="10">
        <f ca="1"/>
      </c>
      <c r="J25" s="10">
        <f ca="1"/>
      </c>
      <c r="K25" s="13">
        <f ca="1"/>
      </c>
      <c r="L25">
        <f ca="1"/>
      </c>
      <c r="M25" s="14">
        <f ca="1"/>
      </c>
      <c r="N25" s="14">
        <f ca="1"/>
      </c>
      <c r="O25" s="14">
        <f ca="1"/>
      </c>
      <c r="Q25" s="7"/>
      <c r="R25" s="13"/>
      <c r="T25" s="3"/>
      <c r="U25" s="2"/>
      <c r="W25" s="2"/>
      <c r="X25" s="2"/>
      <c r="Z25" s="3"/>
      <c r="AA25" s="2"/>
      <c r="AB25" s="2"/>
      <c r="AE25" s="7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P25">
        <f ca="1"/>
      </c>
      <c r="AQ25">
        <f ca="1"/>
      </c>
      <c r="AR25">
        <f ca="1"/>
      </c>
      <c r="AT25" s="7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BA25" s="7">
        <f ca="1"/>
      </c>
      <c r="BB25">
        <f ca="1"/>
      </c>
      <c r="BC25">
        <f ca="1"/>
      </c>
      <c r="BD25">
        <f ca="1"/>
      </c>
      <c r="BE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</row>
    <row r="26" spans="1:73" x14ac:dyDescent="0.55000000000000004">
      <c r="A26">
        <f ca="1"/>
      </c>
      <c r="B26">
        <f ca="1"/>
      </c>
      <c r="C26" s="7">
        <f ca="1"/>
      </c>
      <c r="D26" s="46">
        <f ca="1"/>
      </c>
      <c r="E26" s="13">
        <f ca="1"/>
      </c>
      <c r="F26" s="7">
        <f ca="1"/>
      </c>
      <c r="G26" s="13">
        <f ca="1"/>
      </c>
      <c r="H26" s="10">
        <f ca="1"/>
      </c>
      <c r="I26" s="10">
        <f ca="1"/>
      </c>
      <c r="J26" s="10">
        <f ca="1"/>
      </c>
      <c r="K26" s="13">
        <f ca="1"/>
      </c>
      <c r="L26">
        <f ca="1"/>
      </c>
      <c r="M26" s="14">
        <f ca="1"/>
      </c>
      <c r="N26" s="14">
        <f ca="1"/>
      </c>
      <c r="O26" s="14">
        <f ca="1"/>
      </c>
      <c r="Q26" s="7"/>
      <c r="R26" s="13"/>
      <c r="T26" s="3"/>
      <c r="U26" s="2"/>
      <c r="W26" s="2"/>
      <c r="X26" s="2"/>
      <c r="Z26" s="3"/>
      <c r="AA26" s="2"/>
      <c r="AB26" s="2"/>
      <c r="AE26" s="7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P26">
        <f ca="1"/>
      </c>
      <c r="AQ26">
        <f ca="1"/>
      </c>
      <c r="AR26">
        <f ca="1"/>
      </c>
      <c r="AT26" s="7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BA26" s="7">
        <f ca="1"/>
      </c>
      <c r="BB26">
        <f ca="1"/>
      </c>
      <c r="BC26">
        <f ca="1"/>
      </c>
      <c r="BD26">
        <f ca="1"/>
      </c>
      <c r="BE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</row>
    <row r="27" spans="1:73" x14ac:dyDescent="0.55000000000000004">
      <c r="A27">
        <f ca="1"/>
      </c>
      <c r="B27">
        <f ca="1"/>
      </c>
      <c r="C27" s="7">
        <f ca="1"/>
      </c>
      <c r="D27" s="46">
        <f ca="1"/>
      </c>
      <c r="E27" s="13">
        <f ca="1"/>
      </c>
      <c r="F27" s="7">
        <f ca="1"/>
      </c>
      <c r="G27" s="13">
        <f ca="1"/>
      </c>
      <c r="H27" s="10">
        <f ca="1"/>
      </c>
      <c r="I27" s="10">
        <f ca="1"/>
      </c>
      <c r="J27" s="10">
        <f ca="1"/>
      </c>
      <c r="K27" s="13">
        <f ca="1"/>
      </c>
      <c r="L27">
        <f ca="1"/>
      </c>
      <c r="M27" s="14"/>
      <c r="N27" s="14"/>
      <c r="O27" s="14"/>
      <c r="Q27" s="7"/>
      <c r="R27" s="13"/>
      <c r="T27" s="3"/>
      <c r="U27" s="2"/>
      <c r="W27" s="2"/>
      <c r="X27" s="2"/>
      <c r="Z27" s="3"/>
      <c r="AA27" s="2"/>
      <c r="AB27" s="2"/>
      <c r="AE27" s="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P27">
        <f ca="1"/>
      </c>
      <c r="AQ27">
        <f ca="1"/>
      </c>
      <c r="AR27">
        <f ca="1"/>
      </c>
      <c r="AT27" s="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BA27" s="7">
        <f ca="1"/>
      </c>
      <c r="BB27">
        <f ca="1"/>
      </c>
      <c r="BC27">
        <f ca="1"/>
      </c>
      <c r="BD27">
        <f ca="1"/>
      </c>
      <c r="BE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</row>
    <row r="28" spans="1:73" x14ac:dyDescent="0.55000000000000004">
      <c r="C28" s="7"/>
      <c r="D28" s="46"/>
      <c r="E28" s="13"/>
      <c r="F28" s="7"/>
      <c r="G28" s="13"/>
      <c r="H28" s="10"/>
      <c r="I28" s="10"/>
      <c r="J28" s="10"/>
      <c r="K28" s="13"/>
      <c r="M28" s="14"/>
      <c r="N28" s="14"/>
      <c r="O28" s="14"/>
      <c r="Q28" s="7"/>
      <c r="R28" s="13"/>
      <c r="T28" s="3"/>
      <c r="U28" s="2"/>
      <c r="W28" s="2"/>
      <c r="X28" s="2"/>
      <c r="Z28" s="3"/>
      <c r="AA28" s="2"/>
      <c r="AB28" s="2"/>
      <c r="AE28" s="7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P28">
        <f ca="1"/>
      </c>
      <c r="AQ28">
        <f ca="1"/>
      </c>
      <c r="AR28">
        <f ca="1"/>
      </c>
      <c r="AT28" s="7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BA28" s="7">
        <f ca="1"/>
      </c>
      <c r="BB28">
        <f ca="1"/>
      </c>
      <c r="BC28">
        <f ca="1"/>
      </c>
      <c r="BD28">
        <f ca="1"/>
      </c>
      <c r="BE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</row>
    <row r="29" spans="1:73" x14ac:dyDescent="0.55000000000000004">
      <c r="C29" s="7"/>
      <c r="D29" s="46"/>
      <c r="E29" s="13"/>
      <c r="F29" s="7"/>
      <c r="G29" s="13"/>
      <c r="H29" s="10"/>
      <c r="I29" s="10"/>
      <c r="J29" s="10"/>
      <c r="K29" s="13"/>
      <c r="M29" s="14"/>
      <c r="N29" s="14"/>
      <c r="O29" s="14"/>
      <c r="Q29" s="7"/>
      <c r="R29" s="13"/>
      <c r="T29" s="3"/>
      <c r="U29" s="2"/>
      <c r="W29" s="2"/>
      <c r="X29" s="2"/>
      <c r="Z29" s="3"/>
      <c r="AA29" s="2"/>
      <c r="AB29" s="2"/>
      <c r="AE29" s="7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P29">
        <f ca="1"/>
      </c>
      <c r="AQ29">
        <f ca="1"/>
      </c>
      <c r="AR29">
        <f ca="1"/>
      </c>
      <c r="AT29" s="7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BA29" s="7">
        <f ca="1"/>
      </c>
      <c r="BB29">
        <f ca="1"/>
      </c>
      <c r="BC29">
        <f ca="1"/>
      </c>
      <c r="BD29">
        <f ca="1"/>
      </c>
      <c r="BE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</row>
    <row r="30" spans="1:73" x14ac:dyDescent="0.55000000000000004">
      <c r="C30" s="7"/>
      <c r="D30" s="46"/>
      <c r="E30" s="13"/>
      <c r="F30" s="7"/>
      <c r="G30" s="13"/>
      <c r="H30" s="10"/>
      <c r="I30" s="10"/>
      <c r="J30" s="10"/>
      <c r="K30" s="13"/>
      <c r="M30" s="14"/>
      <c r="N30" s="14"/>
      <c r="O30" s="14"/>
      <c r="Q30" s="7"/>
      <c r="R30" s="13"/>
      <c r="T30" s="3"/>
      <c r="U30" s="2"/>
      <c r="W30" s="2"/>
      <c r="X30" s="2"/>
      <c r="Z30" s="3"/>
      <c r="AA30" s="2"/>
      <c r="AB30" s="2"/>
      <c r="AE30" s="7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P30">
        <f ca="1"/>
      </c>
      <c r="AQ30">
        <f ca="1"/>
      </c>
      <c r="AR30">
        <f ca="1"/>
      </c>
      <c r="AT30" s="7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BA30" s="7">
        <f ca="1"/>
      </c>
      <c r="BB30">
        <f ca="1"/>
      </c>
      <c r="BC30">
        <f ca="1"/>
      </c>
      <c r="BD30">
        <f ca="1"/>
      </c>
      <c r="BE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</row>
    <row r="31" spans="1:73" x14ac:dyDescent="0.55000000000000004">
      <c r="C31" s="7"/>
      <c r="D31" s="46"/>
      <c r="E31" s="13"/>
      <c r="F31" s="7"/>
      <c r="G31" s="13"/>
      <c r="H31" s="10"/>
      <c r="I31" s="10"/>
      <c r="J31" s="10"/>
      <c r="K31" s="13"/>
      <c r="M31" s="14"/>
      <c r="N31" s="14"/>
      <c r="O31" s="14"/>
      <c r="Q31" s="7"/>
      <c r="R31" s="13"/>
      <c r="T31" s="3"/>
      <c r="U31" s="2"/>
      <c r="W31" s="2"/>
      <c r="X31" s="2"/>
      <c r="Z31" s="3"/>
      <c r="AA31" s="2"/>
      <c r="AB31" s="2"/>
      <c r="AE31" s="7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P31">
        <f ca="1"/>
      </c>
      <c r="AQ31">
        <f ca="1"/>
      </c>
      <c r="AR31">
        <f ca="1"/>
      </c>
      <c r="AT31" s="7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BA31" s="7">
        <f ca="1"/>
      </c>
      <c r="BB31">
        <f ca="1"/>
      </c>
      <c r="BC31">
        <f ca="1"/>
      </c>
      <c r="BD31">
        <f ca="1"/>
      </c>
      <c r="BE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</row>
    <row r="32" spans="1:73" x14ac:dyDescent="0.55000000000000004">
      <c r="C32" s="7"/>
      <c r="D32" s="46"/>
      <c r="E32" s="13"/>
      <c r="F32" s="7"/>
      <c r="G32" s="13"/>
      <c r="H32" s="10"/>
      <c r="I32" s="10"/>
      <c r="J32" s="10"/>
      <c r="K32" s="13"/>
      <c r="M32" s="14"/>
      <c r="N32" s="14"/>
      <c r="O32" s="14"/>
      <c r="Q32" s="7"/>
      <c r="R32" s="13"/>
      <c r="T32" s="3"/>
      <c r="U32" s="2"/>
      <c r="W32" s="2"/>
      <c r="X32" s="2"/>
      <c r="Z32" s="3"/>
      <c r="AA32" s="2"/>
      <c r="AB32" s="2"/>
      <c r="AE32" s="7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P32">
        <f ca="1"/>
      </c>
      <c r="AQ32">
        <f ca="1"/>
      </c>
      <c r="AR32">
        <f ca="1"/>
      </c>
      <c r="AT32" s="7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BA32" s="7">
        <f ca="1"/>
      </c>
      <c r="BB32">
        <f ca="1"/>
      </c>
      <c r="BC32">
        <f ca="1"/>
      </c>
      <c r="BD32">
        <f ca="1"/>
      </c>
      <c r="BE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</row>
    <row r="33" spans="3:73" x14ac:dyDescent="0.55000000000000004">
      <c r="C33" s="7"/>
      <c r="D33" s="46"/>
      <c r="E33" s="13"/>
      <c r="F33" s="7"/>
      <c r="G33" s="13"/>
      <c r="H33" s="10"/>
      <c r="I33" s="10"/>
      <c r="J33" s="10"/>
      <c r="K33" s="13"/>
      <c r="M33" s="14"/>
      <c r="N33" s="14"/>
      <c r="O33" s="14"/>
      <c r="Q33" s="7"/>
      <c r="R33" s="13"/>
      <c r="T33" s="3"/>
      <c r="U33" s="2"/>
      <c r="W33" s="2"/>
      <c r="X33" s="2"/>
      <c r="Z33" s="3"/>
      <c r="AA33" s="2"/>
      <c r="AB33" s="2"/>
      <c r="AE33" s="7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P33">
        <f ca="1"/>
      </c>
      <c r="AQ33">
        <f ca="1"/>
      </c>
      <c r="AR33">
        <f ca="1"/>
      </c>
      <c r="AT33" s="7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BA33" s="7">
        <f ca="1"/>
      </c>
      <c r="BB33">
        <f ca="1"/>
      </c>
      <c r="BC33">
        <f ca="1"/>
      </c>
      <c r="BD33">
        <f ca="1"/>
      </c>
      <c r="BE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</row>
    <row r="34" spans="3:73" x14ac:dyDescent="0.55000000000000004">
      <c r="C34" s="7"/>
      <c r="D34" s="46"/>
      <c r="E34" s="13"/>
      <c r="F34" s="7"/>
      <c r="G34" s="13"/>
      <c r="H34" s="10"/>
      <c r="I34" s="10"/>
      <c r="J34" s="10"/>
      <c r="K34" s="13"/>
      <c r="M34" s="14"/>
      <c r="N34" s="14"/>
      <c r="O34" s="14"/>
      <c r="Q34" s="7"/>
      <c r="R34" s="13"/>
      <c r="T34" s="3"/>
      <c r="U34" s="2"/>
      <c r="W34" s="2"/>
      <c r="X34" s="2"/>
      <c r="Z34" s="3"/>
      <c r="AA34" s="2"/>
      <c r="AB34" s="2"/>
      <c r="AE34" s="7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P34">
        <f ca="1"/>
      </c>
      <c r="AQ34">
        <f ca="1"/>
      </c>
      <c r="AR34">
        <f ca="1"/>
      </c>
      <c r="AT34" s="7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BA34" s="7">
        <f ca="1"/>
      </c>
      <c r="BB34">
        <f ca="1"/>
      </c>
      <c r="BC34">
        <f ca="1"/>
      </c>
      <c r="BD34">
        <f ca="1"/>
      </c>
      <c r="BE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</row>
    <row r="35" spans="3:73" x14ac:dyDescent="0.55000000000000004">
      <c r="C35" s="7"/>
      <c r="D35" s="46"/>
      <c r="E35" s="13"/>
      <c r="F35" s="7"/>
      <c r="G35" s="13"/>
      <c r="H35" s="10"/>
      <c r="I35" s="10"/>
      <c r="J35" s="10"/>
      <c r="K35" s="13"/>
      <c r="M35" s="14"/>
      <c r="N35" s="14"/>
      <c r="O35" s="14"/>
      <c r="Z35" s="3"/>
      <c r="AA35" s="2"/>
      <c r="AB35" s="2"/>
      <c r="AE35" s="7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P35">
        <f ca="1"/>
      </c>
      <c r="AQ35">
        <f ca="1"/>
      </c>
      <c r="AR35">
        <f ca="1"/>
      </c>
      <c r="AT35" s="7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BA35" s="7">
        <f ca="1"/>
      </c>
      <c r="BB35">
        <f ca="1"/>
      </c>
      <c r="BC35">
        <f ca="1"/>
      </c>
      <c r="BD35">
        <f ca="1"/>
      </c>
      <c r="BE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</row>
    <row r="36" spans="3:73" x14ac:dyDescent="0.55000000000000004">
      <c r="C36" s="7"/>
      <c r="D36" s="46"/>
      <c r="E36" s="13"/>
      <c r="F36" s="7"/>
      <c r="G36" s="13"/>
      <c r="H36" s="10"/>
      <c r="I36" s="10"/>
      <c r="J36" s="10"/>
      <c r="K36" s="13"/>
      <c r="M36" s="14"/>
      <c r="N36" s="14"/>
      <c r="O36" s="14"/>
      <c r="Z36" s="3"/>
      <c r="AA36" s="2"/>
      <c r="AB36" s="2"/>
      <c r="AE36" s="7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P36">
        <f ca="1"/>
      </c>
      <c r="AQ36">
        <f ca="1"/>
      </c>
      <c r="AR36">
        <f ca="1"/>
      </c>
      <c r="AT36" s="7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BA36" s="7">
        <f ca="1"/>
      </c>
      <c r="BB36">
        <f ca="1"/>
      </c>
      <c r="BC36">
        <f ca="1"/>
      </c>
      <c r="BD36">
        <f ca="1"/>
      </c>
      <c r="BE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</row>
    <row r="37" spans="3:73" x14ac:dyDescent="0.55000000000000004">
      <c r="C37" s="7"/>
      <c r="D37" s="46"/>
      <c r="E37" s="13"/>
      <c r="F37" s="7"/>
      <c r="G37" s="13"/>
      <c r="H37" s="10"/>
      <c r="I37" s="10"/>
      <c r="J37" s="10"/>
      <c r="K37" s="13"/>
      <c r="M37" s="14"/>
      <c r="N37" s="14"/>
      <c r="O37" s="14"/>
      <c r="Z37" s="3"/>
      <c r="AA37" s="2"/>
      <c r="AB37" s="2"/>
      <c r="AE37" s="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P37">
        <f ca="1"/>
      </c>
      <c r="AQ37">
        <f ca="1"/>
      </c>
      <c r="AR37">
        <f ca="1"/>
      </c>
      <c r="AT37" s="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BA37" s="7">
        <f ca="1"/>
      </c>
      <c r="BB37">
        <f ca="1"/>
      </c>
      <c r="BC37">
        <f ca="1"/>
      </c>
      <c r="BD37">
        <f ca="1"/>
      </c>
      <c r="BE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</row>
    <row r="38" spans="3:73" x14ac:dyDescent="0.55000000000000004">
      <c r="C38" s="7"/>
      <c r="D38" s="46"/>
      <c r="E38" s="13"/>
      <c r="F38" s="7"/>
      <c r="G38" s="13"/>
      <c r="H38" s="10"/>
      <c r="I38" s="10"/>
      <c r="J38" s="10"/>
      <c r="K38" s="13"/>
      <c r="M38" s="14"/>
      <c r="N38" s="14"/>
      <c r="O38" s="14"/>
      <c r="Z38" s="3"/>
      <c r="AA38" s="2"/>
      <c r="AB38" s="2"/>
      <c r="AE38" s="7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P38">
        <f ca="1"/>
      </c>
      <c r="AQ38">
        <f ca="1"/>
      </c>
      <c r="AR38">
        <f ca="1"/>
      </c>
      <c r="AT38" s="7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BA38" s="7">
        <f ca="1"/>
      </c>
      <c r="BB38">
        <f ca="1"/>
      </c>
      <c r="BC38">
        <f ca="1"/>
      </c>
      <c r="BD38">
        <f ca="1"/>
      </c>
      <c r="BE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</row>
    <row r="39" spans="3:73" x14ac:dyDescent="0.55000000000000004">
      <c r="C39" s="7"/>
      <c r="D39" s="46"/>
      <c r="E39" s="13"/>
      <c r="F39" s="7"/>
      <c r="G39" s="13"/>
      <c r="H39" s="10"/>
      <c r="I39" s="10"/>
      <c r="J39" s="10"/>
      <c r="K39" s="13"/>
      <c r="M39" s="14"/>
      <c r="N39" s="14"/>
      <c r="O39" s="14"/>
      <c r="Z39" s="3"/>
      <c r="AA39" s="2"/>
      <c r="AB39" s="2"/>
      <c r="AE39" s="7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P39">
        <f ca="1"/>
      </c>
      <c r="AQ39">
        <f ca="1"/>
      </c>
      <c r="AR39">
        <f ca="1"/>
      </c>
      <c r="AT39" s="7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BA39" s="7">
        <f ca="1"/>
      </c>
      <c r="BB39">
        <f ca="1"/>
      </c>
      <c r="BC39">
        <f ca="1"/>
      </c>
      <c r="BD39">
        <f ca="1"/>
      </c>
      <c r="BE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</row>
    <row r="40" spans="3:73" x14ac:dyDescent="0.55000000000000004">
      <c r="C40" s="7"/>
      <c r="D40" s="46"/>
      <c r="E40" s="13"/>
      <c r="F40" s="7"/>
      <c r="G40" s="13"/>
      <c r="H40" s="10"/>
      <c r="I40" s="10"/>
      <c r="J40" s="10"/>
      <c r="K40" s="13"/>
      <c r="M40" s="14"/>
      <c r="N40" s="14"/>
      <c r="O40" s="14"/>
      <c r="Z40" s="3"/>
      <c r="AA40" s="2"/>
      <c r="AB40" s="2"/>
      <c r="AE40" s="7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P40">
        <f ca="1"/>
      </c>
      <c r="AQ40">
        <f ca="1"/>
      </c>
      <c r="AR40">
        <f ca="1"/>
      </c>
      <c r="AT40" s="7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BA40" s="7">
        <f ca="1"/>
      </c>
      <c r="BB40">
        <f ca="1"/>
      </c>
      <c r="BC40">
        <f ca="1"/>
      </c>
      <c r="BD40">
        <f ca="1"/>
      </c>
      <c r="BE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</row>
    <row r="41" spans="3:73" x14ac:dyDescent="0.55000000000000004">
      <c r="Z41" s="3"/>
      <c r="AA41" s="2"/>
      <c r="AB41" s="2"/>
      <c r="AE41" s="7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P41">
        <f ca="1"/>
      </c>
      <c r="AQ41">
        <f ca="1"/>
      </c>
      <c r="AR41">
        <f ca="1"/>
      </c>
      <c r="AT41" s="7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BA41" s="7">
        <f ca="1"/>
      </c>
      <c r="BB41">
        <f ca="1"/>
      </c>
      <c r="BC41">
        <f ca="1"/>
      </c>
      <c r="BD41">
        <f ca="1"/>
      </c>
      <c r="BE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</row>
    <row r="42" spans="3:73" x14ac:dyDescent="0.55000000000000004">
      <c r="Z42" s="3"/>
      <c r="AA42" s="2"/>
      <c r="AB42" s="2"/>
      <c r="AE42" s="7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P42">
        <f ca="1"/>
      </c>
      <c r="AQ42">
        <f ca="1"/>
      </c>
      <c r="AR42">
        <f ca="1"/>
      </c>
      <c r="AT42" s="7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BA42" s="7">
        <f ca="1"/>
      </c>
      <c r="BB42">
        <f ca="1"/>
      </c>
      <c r="BC42">
        <f ca="1"/>
      </c>
      <c r="BD42">
        <f ca="1"/>
      </c>
      <c r="BE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</row>
    <row r="43" spans="3:73" x14ac:dyDescent="0.55000000000000004">
      <c r="Z43" s="3"/>
      <c r="AA43" s="2"/>
      <c r="AB43" s="2"/>
      <c r="AE43" s="7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P43">
        <f ca="1"/>
      </c>
      <c r="AQ43">
        <f ca="1"/>
      </c>
      <c r="AR43">
        <f ca="1"/>
      </c>
      <c r="AT43" s="7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BA43" s="7">
        <f ca="1"/>
      </c>
      <c r="BB43">
        <f ca="1"/>
      </c>
      <c r="BC43">
        <f ca="1"/>
      </c>
      <c r="BD43">
        <f ca="1"/>
      </c>
      <c r="BE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</row>
    <row r="44" spans="3:73" x14ac:dyDescent="0.55000000000000004">
      <c r="Z44" s="3"/>
      <c r="AA44" s="2"/>
      <c r="AB44" s="2"/>
      <c r="AE44" s="7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P44">
        <f ca="1"/>
      </c>
      <c r="AQ44">
        <f ca="1"/>
      </c>
      <c r="AR44">
        <f ca="1"/>
      </c>
      <c r="AT44" s="7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BA44" s="7">
        <f ca="1"/>
      </c>
      <c r="BB44">
        <f ca="1"/>
      </c>
      <c r="BC44">
        <f ca="1"/>
      </c>
      <c r="BD44">
        <f ca="1"/>
      </c>
      <c r="BE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</row>
    <row r="45" spans="3:73" x14ac:dyDescent="0.55000000000000004">
      <c r="Z45" s="3"/>
      <c r="AA45" s="2"/>
      <c r="AB45" s="2"/>
      <c r="AE45" s="7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P45">
        <f ca="1"/>
      </c>
      <c r="AQ45">
        <f ca="1"/>
      </c>
      <c r="AR45">
        <f ca="1"/>
      </c>
      <c r="AT45" s="7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BA45" s="7">
        <f ca="1"/>
      </c>
      <c r="BB45">
        <f ca="1"/>
      </c>
      <c r="BC45">
        <f ca="1"/>
      </c>
      <c r="BD45">
        <f ca="1"/>
      </c>
      <c r="BE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</row>
    <row r="46" spans="3:73" x14ac:dyDescent="0.55000000000000004">
      <c r="Z46" s="3"/>
      <c r="AA46" s="2"/>
      <c r="AB46" s="2"/>
      <c r="AE46" s="7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P46">
        <f ca="1"/>
      </c>
      <c r="AQ46">
        <f ca="1"/>
      </c>
      <c r="AR46">
        <f ca="1"/>
      </c>
      <c r="AT46" s="7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BA46" s="7">
        <f ca="1"/>
      </c>
      <c r="BB46">
        <f ca="1"/>
      </c>
      <c r="BC46">
        <f ca="1"/>
      </c>
      <c r="BD46">
        <f ca="1"/>
      </c>
      <c r="BE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</row>
    <row r="47" spans="3:73" x14ac:dyDescent="0.55000000000000004">
      <c r="Z47" s="3"/>
      <c r="AA47" s="2"/>
      <c r="AB47" s="2"/>
      <c r="AE47" s="7">
        <f ca="1"/>
      </c>
      <c r="AF47">
        <f ca="1"/>
      </c>
      <c r="AG47">
        <f ca="1"/>
      </c>
      <c r="AH47">
        <f ca="1"/>
      </c>
      <c r="AI47">
        <f ca="1"/>
      </c>
      <c r="AJ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P47">
        <f ca="1"/>
      </c>
      <c r="AQ47">
        <f ca="1"/>
      </c>
      <c r="AR47">
        <f ca="1"/>
      </c>
      <c r="AT47" s="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BA47" s="7">
        <f ca="1"/>
      </c>
      <c r="BB47">
        <f ca="1"/>
      </c>
      <c r="BC47">
        <f ca="1"/>
      </c>
      <c r="BD47">
        <f ca="1"/>
      </c>
      <c r="BE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</row>
    <row r="48" spans="3:73" x14ac:dyDescent="0.55000000000000004">
      <c r="Z48" s="3"/>
      <c r="AA48" s="2"/>
      <c r="AB48" s="2"/>
      <c r="AE48" s="7">
        <f ca="1"/>
      </c>
      <c r="AF48">
        <f ca="1"/>
      </c>
      <c r="AG48">
        <f ca="1"/>
      </c>
      <c r="AH48">
        <f ca="1"/>
      </c>
      <c r="AI48">
        <f ca="1"/>
      </c>
      <c r="AJ48">
        <f ca="1"/>
      </c>
      <c r="AK48">
        <f ca="1"/>
      </c>
      <c r="AL48">
        <f ca="1"/>
      </c>
      <c r="AM48">
        <f ca="1"/>
      </c>
      <c r="AN48">
        <f ca="1"/>
      </c>
      <c r="AO48">
        <f ca="1"/>
      </c>
      <c r="AP48">
        <f ca="1"/>
      </c>
      <c r="AQ48">
        <f ca="1"/>
      </c>
      <c r="AR48">
        <f ca="1"/>
      </c>
      <c r="AT48" s="7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BA48" s="7">
        <f ca="1"/>
      </c>
      <c r="BB48">
        <f ca="1"/>
      </c>
      <c r="BC48">
        <f ca="1"/>
      </c>
      <c r="BD48">
        <f ca="1"/>
      </c>
      <c r="BE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</row>
    <row r="49" spans="26:73" x14ac:dyDescent="0.55000000000000004">
      <c r="Z49" s="3"/>
      <c r="AA49" s="2"/>
      <c r="AB49" s="2"/>
      <c r="AE49" s="7">
        <f ca="1"/>
      </c>
      <c r="AF49">
        <f ca="1"/>
      </c>
      <c r="AG49">
        <f ca="1"/>
      </c>
      <c r="AH49">
        <f ca="1"/>
      </c>
      <c r="AI49">
        <f ca="1"/>
      </c>
      <c r="AJ49">
        <f ca="1"/>
      </c>
      <c r="AK49">
        <f ca="1"/>
      </c>
      <c r="AL49">
        <f ca="1"/>
      </c>
      <c r="AM49">
        <f ca="1"/>
      </c>
      <c r="AN49">
        <f ca="1"/>
      </c>
      <c r="AO49">
        <f ca="1"/>
      </c>
      <c r="AP49">
        <f ca="1"/>
      </c>
      <c r="AQ49">
        <f ca="1"/>
      </c>
      <c r="AR49">
        <f ca="1"/>
      </c>
      <c r="AT49" s="7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BA49" s="7">
        <f ca="1"/>
      </c>
      <c r="BB49">
        <f ca="1"/>
      </c>
      <c r="BC49">
        <f ca="1"/>
      </c>
      <c r="BD49">
        <f ca="1"/>
      </c>
      <c r="BE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</row>
    <row r="50" spans="26:73" x14ac:dyDescent="0.55000000000000004">
      <c r="Z50" s="3"/>
      <c r="AA50" s="2"/>
      <c r="AB50" s="2"/>
      <c r="AE50" s="7">
        <f ca="1"/>
      </c>
      <c r="AF50">
        <f ca="1"/>
      </c>
      <c r="AG50">
        <f ca="1"/>
      </c>
      <c r="AH50">
        <f ca="1"/>
      </c>
      <c r="AI50">
        <f ca="1"/>
      </c>
      <c r="AJ50">
        <f ca="1"/>
      </c>
      <c r="AK50">
        <f ca="1"/>
      </c>
      <c r="AL50">
        <f ca="1"/>
      </c>
      <c r="AM50">
        <f ca="1"/>
      </c>
      <c r="AN50">
        <f ca="1"/>
      </c>
      <c r="AO50">
        <f ca="1"/>
      </c>
      <c r="AP50">
        <f ca="1"/>
      </c>
      <c r="AQ50">
        <f ca="1"/>
      </c>
      <c r="AR50">
        <f ca="1"/>
      </c>
      <c r="AT50" s="7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BA50" s="7">
        <f ca="1"/>
      </c>
      <c r="BB50">
        <f ca="1"/>
      </c>
      <c r="BC50">
        <f ca="1"/>
      </c>
      <c r="BD50">
        <f ca="1"/>
      </c>
      <c r="BE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</row>
    <row r="51" spans="26:73" x14ac:dyDescent="0.55000000000000004">
      <c r="Z51" s="3"/>
      <c r="AA51" s="2"/>
      <c r="AB51" s="2"/>
      <c r="AE51" s="7">
        <f ca="1"/>
      </c>
      <c r="AF51">
        <f ca="1"/>
      </c>
      <c r="AG51">
        <f ca="1"/>
      </c>
      <c r="AH51">
        <f ca="1"/>
      </c>
      <c r="AI51">
        <f ca="1"/>
      </c>
      <c r="AJ51">
        <f ca="1"/>
      </c>
      <c r="AK51">
        <f ca="1"/>
      </c>
      <c r="AL51">
        <f ca="1"/>
      </c>
      <c r="AM51">
        <f ca="1"/>
      </c>
      <c r="AN51">
        <f ca="1"/>
      </c>
      <c r="AO51">
        <f ca="1"/>
      </c>
      <c r="AP51">
        <f ca="1"/>
      </c>
      <c r="AQ51">
        <f ca="1"/>
      </c>
      <c r="AR51">
        <f ca="1"/>
      </c>
      <c r="AT51" s="7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BA51" s="7">
        <f ca="1"/>
      </c>
      <c r="BB51">
        <f ca="1"/>
      </c>
      <c r="BC51">
        <f ca="1"/>
      </c>
      <c r="BD51">
        <f ca="1"/>
      </c>
      <c r="BE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</row>
    <row r="52" spans="26:73" x14ac:dyDescent="0.55000000000000004">
      <c r="Z52" s="3"/>
      <c r="AA52" s="2"/>
      <c r="AB52" s="2"/>
      <c r="AE52" s="7">
        <f ca="1"/>
      </c>
      <c r="AF52">
        <f ca="1"/>
      </c>
      <c r="AG52">
        <f ca="1"/>
      </c>
      <c r="AH52">
        <f ca="1"/>
      </c>
      <c r="AI52">
        <f ca="1"/>
      </c>
      <c r="AJ52">
        <f ca="1"/>
      </c>
      <c r="AK52">
        <f ca="1"/>
      </c>
      <c r="AL52">
        <f ca="1"/>
      </c>
      <c r="AM52">
        <f ca="1"/>
      </c>
      <c r="AN52">
        <f ca="1"/>
      </c>
      <c r="AO52">
        <f ca="1"/>
      </c>
      <c r="AP52">
        <f ca="1"/>
      </c>
      <c r="AQ52">
        <f ca="1"/>
      </c>
      <c r="AR52">
        <f ca="1"/>
      </c>
      <c r="AT52" s="7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BA52" s="7">
        <f ca="1"/>
      </c>
      <c r="BB52">
        <f ca="1"/>
      </c>
      <c r="BC52">
        <f ca="1"/>
      </c>
      <c r="BD52">
        <f ca="1"/>
      </c>
      <c r="BE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</row>
    <row r="53" spans="26:73" x14ac:dyDescent="0.55000000000000004">
      <c r="Z53" s="3"/>
      <c r="AA53" s="2"/>
      <c r="AB53" s="2"/>
      <c r="AE53" s="7">
        <f ca="1"/>
      </c>
      <c r="AF53">
        <f ca="1"/>
      </c>
      <c r="AG53">
        <f ca="1"/>
      </c>
      <c r="AH53">
        <f ca="1"/>
      </c>
      <c r="AI53">
        <f ca="1"/>
      </c>
      <c r="AJ53">
        <f ca="1"/>
      </c>
      <c r="AK53">
        <f ca="1"/>
      </c>
      <c r="AL53">
        <f ca="1"/>
      </c>
      <c r="AM53">
        <f ca="1"/>
      </c>
      <c r="AN53">
        <f ca="1"/>
      </c>
      <c r="AO53">
        <f ca="1"/>
      </c>
      <c r="AP53">
        <f ca="1"/>
      </c>
      <c r="AQ53">
        <f ca="1"/>
      </c>
      <c r="AR53">
        <f ca="1"/>
      </c>
      <c r="AT53" s="7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BA53" s="7">
        <f ca="1"/>
      </c>
      <c r="BB53">
        <f ca="1"/>
      </c>
      <c r="BC53">
        <f ca="1"/>
      </c>
      <c r="BD53">
        <f ca="1"/>
      </c>
      <c r="BE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</row>
    <row r="54" spans="26:73" x14ac:dyDescent="0.55000000000000004">
      <c r="Z54" s="3"/>
      <c r="AA54" s="2"/>
      <c r="AB54" s="2"/>
      <c r="AE54" s="7">
        <f ca="1"/>
      </c>
      <c r="AF54">
        <f ca="1"/>
      </c>
      <c r="AG54">
        <f ca="1"/>
      </c>
      <c r="AH54">
        <f ca="1"/>
      </c>
      <c r="AI54">
        <f ca="1"/>
      </c>
      <c r="AJ54">
        <f ca="1"/>
      </c>
      <c r="AK54">
        <f ca="1"/>
      </c>
      <c r="AL54">
        <f ca="1"/>
      </c>
      <c r="AM54">
        <f ca="1"/>
      </c>
      <c r="AN54">
        <f ca="1"/>
      </c>
      <c r="AO54">
        <f ca="1"/>
      </c>
      <c r="AP54">
        <f ca="1"/>
      </c>
      <c r="AQ54">
        <f ca="1"/>
      </c>
      <c r="AR54">
        <f ca="1"/>
      </c>
      <c r="AT54" s="7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BA54" s="7">
        <f ca="1"/>
      </c>
      <c r="BB54">
        <f ca="1"/>
      </c>
      <c r="BC54">
        <f ca="1"/>
      </c>
      <c r="BD54">
        <f ca="1"/>
      </c>
      <c r="BE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</row>
    <row r="55" spans="26:73" x14ac:dyDescent="0.55000000000000004">
      <c r="AE55" s="7">
        <f ca="1"/>
      </c>
      <c r="AF55">
        <f ca="1"/>
      </c>
      <c r="AG55">
        <f ca="1"/>
      </c>
      <c r="AH55">
        <f ca="1"/>
      </c>
      <c r="AI55">
        <f ca="1"/>
      </c>
      <c r="AJ55">
        <f ca="1"/>
      </c>
      <c r="AK55">
        <f ca="1"/>
      </c>
      <c r="AL55">
        <f ca="1"/>
      </c>
      <c r="AM55">
        <f ca="1"/>
      </c>
      <c r="AN55">
        <f ca="1"/>
      </c>
      <c r="AO55">
        <f ca="1"/>
      </c>
      <c r="AP55">
        <f ca="1"/>
      </c>
      <c r="AQ55">
        <f ca="1"/>
      </c>
      <c r="AR55">
        <f ca="1"/>
      </c>
      <c r="AT55" s="7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BA55" s="7">
        <f ca="1"/>
      </c>
      <c r="BB55">
        <f ca="1"/>
      </c>
      <c r="BC55">
        <f ca="1"/>
      </c>
      <c r="BD55">
        <f ca="1"/>
      </c>
      <c r="BE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</row>
    <row r="56" spans="26:73" x14ac:dyDescent="0.55000000000000004">
      <c r="AE56" s="7">
        <f ca="1"/>
      </c>
      <c r="AF56">
        <f ca="1"/>
      </c>
      <c r="AG56">
        <f ca="1"/>
      </c>
      <c r="AH56">
        <f ca="1"/>
      </c>
      <c r="AI56">
        <f ca="1"/>
      </c>
      <c r="AJ56">
        <f ca="1"/>
      </c>
      <c r="AK56">
        <f ca="1"/>
      </c>
      <c r="AL56">
        <f ca="1"/>
      </c>
      <c r="AM56">
        <f ca="1"/>
      </c>
      <c r="AN56">
        <f ca="1"/>
      </c>
      <c r="AO56">
        <f ca="1"/>
      </c>
      <c r="AP56">
        <f ca="1"/>
      </c>
      <c r="AQ56">
        <f ca="1"/>
      </c>
      <c r="AR56">
        <f ca="1"/>
      </c>
      <c r="AT56" s="7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BA56" s="7">
        <f ca="1"/>
      </c>
      <c r="BB56">
        <f ca="1"/>
      </c>
      <c r="BC56">
        <f ca="1"/>
      </c>
      <c r="BD56">
        <f ca="1"/>
      </c>
      <c r="BE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</row>
    <row r="57" spans="26:73" x14ac:dyDescent="0.55000000000000004">
      <c r="AE57" s="7">
        <f ca="1"/>
      </c>
      <c r="AF57">
        <f ca="1"/>
      </c>
      <c r="AG57">
        <f ca="1"/>
      </c>
      <c r="AH57">
        <f ca="1"/>
      </c>
      <c r="AI57">
        <f ca="1"/>
      </c>
      <c r="AJ57">
        <f ca="1"/>
      </c>
      <c r="AK57">
        <f ca="1"/>
      </c>
      <c r="AL57">
        <f ca="1"/>
      </c>
      <c r="AM57">
        <f ca="1"/>
      </c>
      <c r="AN57">
        <f ca="1"/>
      </c>
      <c r="AO57">
        <f ca="1"/>
      </c>
      <c r="AP57">
        <f ca="1"/>
      </c>
      <c r="AQ57">
        <f ca="1"/>
      </c>
      <c r="AR57">
        <f ca="1"/>
      </c>
      <c r="AT57" s="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BA57" s="7">
        <f ca="1"/>
      </c>
      <c r="BB57">
        <f ca="1"/>
      </c>
      <c r="BC57">
        <f ca="1"/>
      </c>
      <c r="BD57">
        <f ca="1"/>
      </c>
      <c r="BE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</row>
    <row r="58" spans="26:73" x14ac:dyDescent="0.55000000000000004">
      <c r="AE58" s="7">
        <f ca="1"/>
      </c>
      <c r="AF58">
        <f ca="1"/>
      </c>
      <c r="AG58">
        <f ca="1"/>
      </c>
      <c r="AH58">
        <f ca="1"/>
      </c>
      <c r="AI58">
        <f ca="1"/>
      </c>
      <c r="AJ58">
        <f ca="1"/>
      </c>
      <c r="AK58">
        <f ca="1"/>
      </c>
      <c r="AL58">
        <f ca="1"/>
      </c>
      <c r="AM58">
        <f ca="1"/>
      </c>
      <c r="AN58">
        <f ca="1"/>
      </c>
      <c r="AO58">
        <f ca="1"/>
      </c>
      <c r="AP58">
        <f ca="1"/>
      </c>
      <c r="AQ58">
        <f ca="1"/>
      </c>
      <c r="AR58">
        <f ca="1"/>
      </c>
      <c r="AT58" s="7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BA58" s="7">
        <f ca="1"/>
      </c>
      <c r="BB58">
        <f ca="1"/>
      </c>
      <c r="BC58">
        <f ca="1"/>
      </c>
      <c r="BD58">
        <f ca="1"/>
      </c>
      <c r="BE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</row>
    <row r="59" spans="26:73" x14ac:dyDescent="0.55000000000000004">
      <c r="AE59" s="7">
        <f ca="1"/>
      </c>
      <c r="AF59">
        <f ca="1"/>
      </c>
      <c r="AG59">
        <f ca="1"/>
      </c>
      <c r="AH59">
        <f ca="1"/>
      </c>
      <c r="AI59">
        <f ca="1"/>
      </c>
      <c r="AJ59">
        <f ca="1"/>
      </c>
      <c r="AK59">
        <f ca="1"/>
      </c>
      <c r="AL59">
        <f ca="1"/>
      </c>
      <c r="AM59">
        <f ca="1"/>
      </c>
      <c r="AN59">
        <f ca="1"/>
      </c>
      <c r="AO59">
        <f ca="1"/>
      </c>
      <c r="AP59">
        <f ca="1"/>
      </c>
      <c r="AQ59">
        <f ca="1"/>
      </c>
      <c r="AR59">
        <f ca="1"/>
      </c>
      <c r="AT59" s="7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BA59" s="7">
        <f ca="1"/>
      </c>
      <c r="BB59">
        <f ca="1"/>
      </c>
      <c r="BC59">
        <f ca="1"/>
      </c>
      <c r="BD59">
        <f ca="1"/>
      </c>
      <c r="BE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</row>
    <row r="60" spans="26:73" x14ac:dyDescent="0.55000000000000004">
      <c r="AE60" s="7">
        <f ca="1"/>
      </c>
      <c r="AF60">
        <f ca="1"/>
      </c>
      <c r="AG60">
        <f ca="1"/>
      </c>
      <c r="AH60">
        <f ca="1"/>
      </c>
      <c r="AI60">
        <f ca="1"/>
      </c>
      <c r="AJ60">
        <f ca="1"/>
      </c>
      <c r="AK60">
        <f ca="1"/>
      </c>
      <c r="AL60">
        <f ca="1"/>
      </c>
      <c r="AM60">
        <f ca="1"/>
      </c>
      <c r="AN60">
        <f ca="1"/>
      </c>
      <c r="AO60">
        <f ca="1"/>
      </c>
      <c r="AP60">
        <f ca="1"/>
      </c>
      <c r="AQ60">
        <f ca="1"/>
      </c>
      <c r="AR60">
        <f ca="1"/>
      </c>
      <c r="AT60" s="7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BA60" s="7">
        <f ca="1"/>
      </c>
      <c r="BB60">
        <f ca="1"/>
      </c>
      <c r="BC60">
        <f ca="1"/>
      </c>
      <c r="BD60">
        <f ca="1"/>
      </c>
      <c r="BE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</row>
    <row r="61" spans="26:73" x14ac:dyDescent="0.55000000000000004">
      <c r="AE61" s="7">
        <f ca="1"/>
      </c>
      <c r="AF61">
        <f ca="1"/>
      </c>
      <c r="AG61">
        <f ca="1"/>
      </c>
      <c r="AH61">
        <f ca="1"/>
      </c>
      <c r="AI61">
        <f ca="1"/>
      </c>
      <c r="AJ61">
        <f ca="1"/>
      </c>
      <c r="AK61">
        <f ca="1"/>
      </c>
      <c r="AL61">
        <f ca="1"/>
      </c>
      <c r="AM61">
        <f ca="1"/>
      </c>
      <c r="AN61">
        <f ca="1"/>
      </c>
      <c r="AO61">
        <f ca="1"/>
      </c>
      <c r="AP61">
        <f ca="1"/>
      </c>
      <c r="AQ61">
        <f ca="1"/>
      </c>
      <c r="AR61">
        <f ca="1"/>
      </c>
      <c r="AT61" s="7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BA61" s="7">
        <f ca="1"/>
      </c>
      <c r="BB61">
        <f ca="1"/>
      </c>
      <c r="BC61">
        <f ca="1"/>
      </c>
      <c r="BD61">
        <f ca="1"/>
      </c>
      <c r="BE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</row>
    <row r="62" spans="26:73" x14ac:dyDescent="0.55000000000000004">
      <c r="AE62" s="7">
        <f ca="1"/>
      </c>
      <c r="AF62">
        <f ca="1"/>
      </c>
      <c r="AG62">
        <f ca="1"/>
      </c>
      <c r="AH62">
        <f ca="1"/>
      </c>
      <c r="AI62">
        <f ca="1"/>
      </c>
      <c r="AJ62">
        <f ca="1"/>
      </c>
      <c r="AK62">
        <f ca="1"/>
      </c>
      <c r="AL62">
        <f ca="1"/>
      </c>
      <c r="AM62">
        <f ca="1"/>
      </c>
      <c r="AN62">
        <f ca="1"/>
      </c>
      <c r="AO62">
        <f ca="1"/>
      </c>
      <c r="AP62">
        <f ca="1"/>
      </c>
      <c r="AQ62">
        <f ca="1"/>
      </c>
      <c r="AR62">
        <f ca="1"/>
      </c>
      <c r="AT62" s="7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BA62" s="7">
        <f ca="1"/>
      </c>
      <c r="BB62">
        <f ca="1"/>
      </c>
      <c r="BC62">
        <f ca="1"/>
      </c>
      <c r="BD62">
        <f ca="1"/>
      </c>
      <c r="BE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</row>
    <row r="63" spans="26:73" x14ac:dyDescent="0.55000000000000004">
      <c r="AE63" s="7">
        <f ca="1"/>
      </c>
      <c r="AF63">
        <f ca="1"/>
      </c>
      <c r="AG63">
        <f ca="1"/>
      </c>
      <c r="AH63">
        <f ca="1"/>
      </c>
      <c r="AI63">
        <f ca="1"/>
      </c>
      <c r="AJ63">
        <f ca="1"/>
      </c>
      <c r="AK63">
        <f ca="1"/>
      </c>
      <c r="AL63">
        <f ca="1"/>
      </c>
      <c r="AM63">
        <f ca="1"/>
      </c>
      <c r="AN63">
        <f ca="1"/>
      </c>
      <c r="AO63">
        <f ca="1"/>
      </c>
      <c r="AP63">
        <f ca="1"/>
      </c>
      <c r="AQ63">
        <f ca="1"/>
      </c>
      <c r="AR63">
        <f ca="1"/>
      </c>
      <c r="AT63" s="7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BA63" s="7">
        <f ca="1"/>
      </c>
      <c r="BB63">
        <f ca="1"/>
      </c>
      <c r="BC63">
        <f ca="1"/>
      </c>
      <c r="BD63">
        <f ca="1"/>
      </c>
      <c r="BE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</row>
    <row r="64" spans="26:73" x14ac:dyDescent="0.55000000000000004">
      <c r="AE64" s="7">
        <f ca="1"/>
      </c>
      <c r="AF64">
        <f ca="1"/>
      </c>
      <c r="AG64">
        <f ca="1"/>
      </c>
      <c r="AH64">
        <f ca="1"/>
      </c>
      <c r="AI64">
        <f ca="1"/>
      </c>
      <c r="AJ64">
        <f ca="1"/>
      </c>
      <c r="AK64">
        <f ca="1"/>
      </c>
      <c r="AL64">
        <f ca="1"/>
      </c>
      <c r="AM64">
        <f ca="1"/>
      </c>
      <c r="AN64">
        <f ca="1"/>
      </c>
      <c r="AO64">
        <f ca="1"/>
      </c>
      <c r="AP64">
        <f ca="1"/>
      </c>
      <c r="AQ64">
        <f ca="1"/>
      </c>
      <c r="AR64">
        <f ca="1"/>
      </c>
      <c r="AT64" s="7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BA64" s="7">
        <f ca="1"/>
      </c>
      <c r="BB64">
        <f ca="1"/>
      </c>
      <c r="BC64">
        <f ca="1"/>
      </c>
      <c r="BD64">
        <f ca="1"/>
      </c>
      <c r="BE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</row>
    <row r="65" spans="31:73" x14ac:dyDescent="0.55000000000000004">
      <c r="AE65" s="7">
        <f ca="1"/>
      </c>
      <c r="AF65">
        <f ca="1"/>
      </c>
      <c r="AG65">
        <f ca="1"/>
      </c>
      <c r="AH65">
        <f ca="1"/>
      </c>
      <c r="AI65">
        <f ca="1"/>
      </c>
      <c r="AJ65">
        <f ca="1"/>
      </c>
      <c r="AK65">
        <f ca="1"/>
      </c>
      <c r="AL65">
        <f ca="1"/>
      </c>
      <c r="AM65">
        <f ca="1"/>
      </c>
      <c r="AN65">
        <f ca="1"/>
      </c>
      <c r="AO65">
        <f ca="1"/>
      </c>
      <c r="AP65">
        <f ca="1"/>
      </c>
      <c r="AQ65">
        <f ca="1"/>
      </c>
      <c r="AR65">
        <f ca="1"/>
      </c>
      <c r="AT65" s="7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BA65" s="7">
        <f ca="1"/>
      </c>
      <c r="BB65">
        <f ca="1"/>
      </c>
      <c r="BC65">
        <f ca="1"/>
      </c>
      <c r="BD65">
        <f ca="1"/>
      </c>
      <c r="BE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</row>
    <row r="66" spans="31:73" x14ac:dyDescent="0.55000000000000004">
      <c r="AE66" s="7">
        <f ca="1"/>
      </c>
      <c r="AF66">
        <f ca="1"/>
      </c>
      <c r="AG66">
        <f ca="1"/>
      </c>
      <c r="AH66">
        <f ca="1"/>
      </c>
      <c r="AI66">
        <f ca="1"/>
      </c>
      <c r="AJ66">
        <f ca="1"/>
      </c>
      <c r="AK66">
        <f ca="1"/>
      </c>
      <c r="AL66">
        <f ca="1"/>
      </c>
      <c r="AM66">
        <f ca="1"/>
      </c>
      <c r="AN66">
        <f ca="1"/>
      </c>
      <c r="AO66">
        <f ca="1"/>
      </c>
      <c r="AP66">
        <f ca="1"/>
      </c>
      <c r="AQ66">
        <f ca="1"/>
      </c>
      <c r="AR66">
        <f ca="1"/>
      </c>
      <c r="AT66" s="7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BA66" s="7">
        <f ca="1"/>
      </c>
      <c r="BB66">
        <f ca="1"/>
      </c>
      <c r="BC66">
        <f ca="1"/>
      </c>
      <c r="BD66">
        <f ca="1"/>
      </c>
      <c r="BE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</row>
    <row r="67" spans="31:73" x14ac:dyDescent="0.55000000000000004">
      <c r="AE67" s="7">
        <f ca="1"/>
      </c>
      <c r="AF67">
        <f ca="1"/>
      </c>
      <c r="AG67">
        <f ca="1"/>
      </c>
      <c r="AH67">
        <f ca="1"/>
      </c>
      <c r="AI67">
        <f ca="1"/>
      </c>
      <c r="AJ67">
        <f ca="1"/>
      </c>
      <c r="AK67">
        <f ca="1"/>
      </c>
      <c r="AL67">
        <f ca="1"/>
      </c>
      <c r="AM67">
        <f ca="1"/>
      </c>
      <c r="AN67">
        <f ca="1"/>
      </c>
      <c r="AO67">
        <f ca="1"/>
      </c>
      <c r="AP67">
        <f ca="1"/>
      </c>
      <c r="AQ67">
        <f ca="1"/>
      </c>
      <c r="AR67">
        <f ca="1"/>
      </c>
      <c r="AT67" s="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BA67" s="7">
        <f ca="1"/>
      </c>
      <c r="BB67">
        <f ca="1"/>
      </c>
      <c r="BC67">
        <f ca="1"/>
      </c>
      <c r="BD67">
        <f ca="1"/>
      </c>
      <c r="BE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</row>
    <row r="68" spans="31:73" x14ac:dyDescent="0.55000000000000004">
      <c r="AE68" s="7">
        <f ca="1"/>
      </c>
      <c r="AF68">
        <f ca="1"/>
      </c>
      <c r="AG68">
        <f ca="1"/>
      </c>
      <c r="AH68">
        <f ca="1"/>
      </c>
      <c r="AI68">
        <f ca="1"/>
      </c>
      <c r="AJ68">
        <f ca="1"/>
      </c>
      <c r="AK68">
        <f ca="1"/>
      </c>
      <c r="AL68">
        <f ca="1"/>
      </c>
      <c r="AM68">
        <f ca="1"/>
      </c>
      <c r="AN68">
        <f ca="1"/>
      </c>
      <c r="AO68">
        <f ca="1"/>
      </c>
      <c r="AP68">
        <f ca="1"/>
      </c>
      <c r="AQ68">
        <f ca="1"/>
      </c>
      <c r="AR68">
        <f ca="1"/>
      </c>
      <c r="AT68" s="7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BA68" s="7">
        <f ca="1"/>
      </c>
      <c r="BB68">
        <f ca="1"/>
      </c>
      <c r="BC68">
        <f ca="1"/>
      </c>
      <c r="BD68">
        <f ca="1"/>
      </c>
      <c r="BE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</row>
    <row r="69" spans="31:73" x14ac:dyDescent="0.55000000000000004">
      <c r="AE69" s="7">
        <f ca="1"/>
      </c>
      <c r="AF69">
        <f ca="1"/>
      </c>
      <c r="AG69">
        <f ca="1"/>
      </c>
      <c r="AH69">
        <f ca="1"/>
      </c>
      <c r="AI69">
        <f ca="1"/>
      </c>
      <c r="AJ69">
        <f ca="1"/>
      </c>
      <c r="AK69">
        <f ca="1"/>
      </c>
      <c r="AL69">
        <f ca="1"/>
      </c>
      <c r="AM69">
        <f ca="1"/>
      </c>
      <c r="AN69">
        <f ca="1"/>
      </c>
      <c r="AO69">
        <f ca="1"/>
      </c>
      <c r="AP69">
        <f ca="1"/>
      </c>
      <c r="AQ69">
        <f ca="1"/>
      </c>
      <c r="AR69">
        <f ca="1"/>
      </c>
      <c r="AT69" s="7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BA69" s="7">
        <f ca="1"/>
      </c>
      <c r="BB69">
        <f ca="1"/>
      </c>
      <c r="BC69">
        <f ca="1"/>
      </c>
      <c r="BD69">
        <f ca="1"/>
      </c>
      <c r="BE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</row>
    <row r="70" spans="31:73" x14ac:dyDescent="0.55000000000000004">
      <c r="AE70" s="7">
        <f ca="1"/>
      </c>
      <c r="AF70">
        <f ca="1"/>
      </c>
      <c r="AG70">
        <f ca="1"/>
      </c>
      <c r="AH70">
        <f ca="1"/>
      </c>
      <c r="AI70">
        <f ca="1"/>
      </c>
      <c r="AJ70">
        <f ca="1"/>
      </c>
      <c r="AK70">
        <f ca="1"/>
      </c>
      <c r="AL70">
        <f ca="1"/>
      </c>
      <c r="AM70">
        <f ca="1"/>
      </c>
      <c r="AN70">
        <f ca="1"/>
      </c>
      <c r="AO70">
        <f ca="1"/>
      </c>
      <c r="AP70">
        <f ca="1"/>
      </c>
      <c r="AQ70">
        <f ca="1"/>
      </c>
      <c r="AR70">
        <f ca="1"/>
      </c>
      <c r="AT70" s="7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BA70" s="7">
        <f ca="1"/>
      </c>
      <c r="BB70">
        <f ca="1"/>
      </c>
      <c r="BC70">
        <f ca="1"/>
      </c>
      <c r="BD70">
        <f ca="1"/>
      </c>
      <c r="BE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</row>
    <row r="71" spans="31:73" x14ac:dyDescent="0.55000000000000004">
      <c r="AE71" s="7">
        <f ca="1"/>
      </c>
      <c r="AF71">
        <f ca="1"/>
      </c>
      <c r="AG71">
        <f ca="1"/>
      </c>
      <c r="AH71">
        <f ca="1"/>
      </c>
      <c r="AI71">
        <f ca="1"/>
      </c>
      <c r="AJ71">
        <f ca="1"/>
      </c>
      <c r="AK71">
        <f ca="1"/>
      </c>
      <c r="AL71">
        <f ca="1"/>
      </c>
      <c r="AM71">
        <f ca="1"/>
      </c>
      <c r="AN71">
        <f ca="1"/>
      </c>
      <c r="AO71">
        <f ca="1"/>
      </c>
      <c r="AP71">
        <f ca="1"/>
      </c>
      <c r="AQ71">
        <f ca="1"/>
      </c>
      <c r="AR71">
        <f ca="1"/>
      </c>
      <c r="AT71" s="7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BA71" s="7">
        <f ca="1"/>
      </c>
      <c r="BB71">
        <f ca="1"/>
      </c>
      <c r="BC71">
        <f ca="1"/>
      </c>
      <c r="BD71">
        <f ca="1"/>
      </c>
      <c r="BE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</row>
    <row r="72" spans="31:73" x14ac:dyDescent="0.55000000000000004">
      <c r="AE72" s="7">
        <f ca="1"/>
      </c>
      <c r="AF72">
        <f ca="1"/>
      </c>
      <c r="AG72">
        <f ca="1"/>
      </c>
      <c r="AH72">
        <f ca="1"/>
      </c>
      <c r="AI72">
        <f ca="1"/>
      </c>
      <c r="AJ72">
        <f ca="1"/>
      </c>
      <c r="AK72">
        <f ca="1"/>
      </c>
      <c r="AL72">
        <f ca="1"/>
      </c>
      <c r="AM72">
        <f ca="1"/>
      </c>
      <c r="AN72">
        <f ca="1"/>
      </c>
      <c r="AO72">
        <f ca="1"/>
      </c>
      <c r="AP72">
        <f ca="1"/>
      </c>
      <c r="AQ72">
        <f ca="1"/>
      </c>
      <c r="AR72">
        <f ca="1"/>
      </c>
      <c r="AT72" s="7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BA72" s="7">
        <f ca="1"/>
      </c>
      <c r="BB72">
        <f ca="1"/>
      </c>
      <c r="BC72">
        <f ca="1"/>
      </c>
      <c r="BD72">
        <f ca="1"/>
      </c>
      <c r="BE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</row>
    <row r="73" spans="31:73" x14ac:dyDescent="0.55000000000000004">
      <c r="AE73" s="7">
        <f ca="1"/>
      </c>
      <c r="AF73">
        <f ca="1"/>
      </c>
      <c r="AG73">
        <f ca="1"/>
      </c>
      <c r="AH73">
        <f ca="1"/>
      </c>
      <c r="AI73">
        <f ca="1"/>
      </c>
      <c r="AJ73">
        <f ca="1"/>
      </c>
      <c r="AK73">
        <f ca="1"/>
      </c>
      <c r="AL73">
        <f ca="1"/>
      </c>
      <c r="AM73">
        <f ca="1"/>
      </c>
      <c r="AN73">
        <f ca="1"/>
      </c>
      <c r="AO73">
        <f ca="1"/>
      </c>
      <c r="AP73">
        <f ca="1"/>
      </c>
      <c r="AQ73">
        <f ca="1"/>
      </c>
      <c r="AR73">
        <f ca="1"/>
      </c>
      <c r="AT73" s="7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BA73" s="7">
        <f ca="1"/>
      </c>
      <c r="BB73">
        <f ca="1"/>
      </c>
      <c r="BC73">
        <f ca="1"/>
      </c>
      <c r="BD73">
        <f ca="1"/>
      </c>
      <c r="BE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</row>
    <row r="74" spans="31:73" x14ac:dyDescent="0.55000000000000004">
      <c r="AE74" s="7">
        <f ca="1"/>
      </c>
      <c r="AF74">
        <f ca="1"/>
      </c>
      <c r="AG74">
        <f ca="1"/>
      </c>
      <c r="AH74">
        <f ca="1"/>
      </c>
      <c r="AI74">
        <f ca="1"/>
      </c>
      <c r="AJ74">
        <f ca="1"/>
      </c>
      <c r="AK74">
        <f ca="1"/>
      </c>
      <c r="AL74">
        <f ca="1"/>
      </c>
      <c r="AM74">
        <f ca="1"/>
      </c>
      <c r="AN74">
        <f ca="1"/>
      </c>
      <c r="AO74">
        <f ca="1"/>
      </c>
      <c r="AP74">
        <f ca="1"/>
      </c>
      <c r="AQ74">
        <f ca="1"/>
      </c>
      <c r="AR74">
        <f ca="1"/>
      </c>
      <c r="AT74" s="7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BA74" s="7">
        <f ca="1"/>
      </c>
      <c r="BB74">
        <f ca="1"/>
      </c>
      <c r="BC74">
        <f ca="1"/>
      </c>
      <c r="BD74">
        <f ca="1"/>
      </c>
      <c r="BE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</row>
    <row r="75" spans="31:73" x14ac:dyDescent="0.55000000000000004">
      <c r="AE75" s="7">
        <f ca="1"/>
      </c>
      <c r="AF75">
        <f ca="1"/>
      </c>
      <c r="AG75">
        <f ca="1"/>
      </c>
      <c r="AH75">
        <f ca="1"/>
      </c>
      <c r="AI75">
        <f ca="1"/>
      </c>
      <c r="AJ75">
        <f ca="1"/>
      </c>
      <c r="AK75">
        <f ca="1"/>
      </c>
      <c r="AL75">
        <f ca="1"/>
      </c>
      <c r="AM75">
        <f ca="1"/>
      </c>
      <c r="AN75">
        <f ca="1"/>
      </c>
      <c r="AO75">
        <f ca="1"/>
      </c>
      <c r="AP75">
        <f ca="1"/>
      </c>
      <c r="AQ75">
        <f ca="1"/>
      </c>
      <c r="AR75">
        <f ca="1"/>
      </c>
      <c r="AT75" s="7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BA75" s="7">
        <f ca="1"/>
      </c>
      <c r="BB75">
        <f ca="1"/>
      </c>
      <c r="BC75">
        <f ca="1"/>
      </c>
      <c r="BD75">
        <f ca="1"/>
      </c>
      <c r="BE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</row>
    <row r="76" spans="31:73" x14ac:dyDescent="0.55000000000000004">
      <c r="AE76" s="7">
        <f ca="1"/>
      </c>
      <c r="AF76">
        <f ca="1"/>
      </c>
      <c r="AG76">
        <f ca="1"/>
      </c>
      <c r="AH76">
        <f ca="1"/>
      </c>
      <c r="AI76">
        <f ca="1"/>
      </c>
      <c r="AJ76">
        <f ca="1"/>
      </c>
      <c r="AK76">
        <f ca="1"/>
      </c>
      <c r="AL76">
        <f ca="1"/>
      </c>
      <c r="AM76">
        <f ca="1"/>
      </c>
      <c r="AN76">
        <f ca="1"/>
      </c>
      <c r="AO76">
        <f ca="1"/>
      </c>
      <c r="AP76">
        <f ca="1"/>
      </c>
      <c r="AQ76">
        <f ca="1"/>
      </c>
      <c r="AR76">
        <f ca="1"/>
      </c>
      <c r="AT76" s="7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BA76" s="7">
        <f ca="1"/>
      </c>
      <c r="BB76">
        <f ca="1"/>
      </c>
      <c r="BC76">
        <f ca="1"/>
      </c>
      <c r="BD76">
        <f ca="1"/>
      </c>
      <c r="BE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</row>
    <row r="77" spans="31:73" x14ac:dyDescent="0.55000000000000004">
      <c r="AE77" s="7">
        <f ca="1"/>
      </c>
      <c r="AF77">
        <f ca="1"/>
      </c>
      <c r="AG77">
        <f ca="1"/>
      </c>
      <c r="AH77">
        <f ca="1"/>
      </c>
      <c r="AI77">
        <f ca="1"/>
      </c>
      <c r="AJ77">
        <f ca="1"/>
      </c>
      <c r="AK77">
        <f ca="1"/>
      </c>
      <c r="AL77">
        <f ca="1"/>
      </c>
      <c r="AM77">
        <f ca="1"/>
      </c>
      <c r="AN77">
        <f ca="1"/>
      </c>
      <c r="AO77">
        <f ca="1"/>
      </c>
      <c r="AP77">
        <f ca="1"/>
      </c>
      <c r="AQ77">
        <f ca="1"/>
      </c>
      <c r="AR77">
        <f ca="1"/>
      </c>
      <c r="AT77" s="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BA77" s="7">
        <f ca="1"/>
      </c>
      <c r="BB77">
        <f ca="1"/>
      </c>
      <c r="BC77">
        <f ca="1"/>
      </c>
      <c r="BD77">
        <f ca="1"/>
      </c>
      <c r="BE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</row>
    <row r="78" spans="31:73" x14ac:dyDescent="0.55000000000000004">
      <c r="AE78" s="7">
        <f ca="1"/>
      </c>
      <c r="AF78">
        <f ca="1"/>
      </c>
      <c r="AG78">
        <f ca="1"/>
      </c>
      <c r="AH78">
        <f ca="1"/>
      </c>
      <c r="AI78">
        <f ca="1"/>
      </c>
      <c r="AJ78">
        <f ca="1"/>
      </c>
      <c r="AK78">
        <f ca="1"/>
      </c>
      <c r="AL78">
        <f ca="1"/>
      </c>
      <c r="AM78">
        <f ca="1"/>
      </c>
      <c r="AN78">
        <f ca="1"/>
      </c>
      <c r="AO78">
        <f ca="1"/>
      </c>
      <c r="AP78">
        <f ca="1"/>
      </c>
      <c r="AQ78">
        <f ca="1"/>
      </c>
      <c r="AR78">
        <f ca="1"/>
      </c>
      <c r="AT78" s="7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BA78" s="7">
        <f ca="1"/>
      </c>
      <c r="BB78">
        <f ca="1"/>
      </c>
      <c r="BC78">
        <f ca="1"/>
      </c>
      <c r="BD78">
        <f ca="1"/>
      </c>
      <c r="BE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</row>
    <row r="79" spans="31:73" x14ac:dyDescent="0.55000000000000004">
      <c r="AE79" s="7">
        <f ca="1"/>
      </c>
      <c r="AF79">
        <f ca="1"/>
      </c>
      <c r="AG79">
        <f ca="1"/>
      </c>
      <c r="AH79">
        <f ca="1"/>
      </c>
      <c r="AI79">
        <f ca="1"/>
      </c>
      <c r="AJ79">
        <f ca="1"/>
      </c>
      <c r="AK79">
        <f ca="1"/>
      </c>
      <c r="AL79">
        <f ca="1"/>
      </c>
      <c r="AM79">
        <f ca="1"/>
      </c>
      <c r="AN79">
        <f ca="1"/>
      </c>
      <c r="AO79">
        <f ca="1"/>
      </c>
      <c r="AP79">
        <f ca="1"/>
      </c>
      <c r="AQ79">
        <f ca="1"/>
      </c>
      <c r="AR79">
        <f ca="1"/>
      </c>
      <c r="AT79" s="7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BA79" s="7">
        <f ca="1"/>
      </c>
      <c r="BB79">
        <f ca="1"/>
      </c>
      <c r="BC79">
        <f ca="1"/>
      </c>
      <c r="BD79">
        <f ca="1"/>
      </c>
      <c r="BE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</row>
    <row r="80" spans="31:73" x14ac:dyDescent="0.55000000000000004">
      <c r="AE80" s="7">
        <f ca="1"/>
      </c>
      <c r="AF80">
        <f ca="1"/>
      </c>
      <c r="AG80">
        <f ca="1"/>
      </c>
      <c r="AH80">
        <f ca="1"/>
      </c>
      <c r="AI80">
        <f ca="1"/>
      </c>
      <c r="AJ80">
        <f ca="1"/>
      </c>
      <c r="AK80">
        <f ca="1"/>
      </c>
      <c r="AL80">
        <f ca="1"/>
      </c>
      <c r="AM80">
        <f ca="1"/>
      </c>
      <c r="AN80">
        <f ca="1"/>
      </c>
      <c r="AO80">
        <f ca="1"/>
      </c>
      <c r="AP80">
        <f ca="1"/>
      </c>
      <c r="AQ80">
        <f ca="1"/>
      </c>
      <c r="AR80">
        <f ca="1"/>
      </c>
      <c r="AT80" s="7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BA80" s="7">
        <f ca="1"/>
      </c>
      <c r="BB80">
        <f ca="1"/>
      </c>
      <c r="BC80">
        <f ca="1"/>
      </c>
      <c r="BD80">
        <f ca="1"/>
      </c>
      <c r="BE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</row>
    <row r="81" spans="31:73" x14ac:dyDescent="0.55000000000000004">
      <c r="AE81" s="7">
        <f ca="1"/>
      </c>
      <c r="AF81">
        <f ca="1"/>
      </c>
      <c r="AG81">
        <f ca="1"/>
      </c>
      <c r="AH81">
        <f ca="1"/>
      </c>
      <c r="AI81">
        <f ca="1"/>
      </c>
      <c r="AJ81">
        <f ca="1"/>
      </c>
      <c r="AK81">
        <f ca="1"/>
      </c>
      <c r="AL81">
        <f ca="1"/>
      </c>
      <c r="AM81">
        <f ca="1"/>
      </c>
      <c r="AN81">
        <f ca="1"/>
      </c>
      <c r="AO81">
        <f ca="1"/>
      </c>
      <c r="AP81">
        <f ca="1"/>
      </c>
      <c r="AQ81">
        <f ca="1"/>
      </c>
      <c r="AR81">
        <f ca="1"/>
      </c>
      <c r="AT81" s="7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BA81" s="7">
        <f ca="1"/>
      </c>
      <c r="BB81">
        <f ca="1"/>
      </c>
      <c r="BC81">
        <f ca="1"/>
      </c>
      <c r="BD81">
        <f ca="1"/>
      </c>
      <c r="BE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</row>
    <row r="82" spans="31:73" x14ac:dyDescent="0.55000000000000004">
      <c r="AE82" s="7">
        <f ca="1"/>
      </c>
      <c r="AF82">
        <f ca="1"/>
      </c>
      <c r="AG82">
        <f ca="1"/>
      </c>
      <c r="AH82">
        <f ca="1"/>
      </c>
      <c r="AI82">
        <f ca="1"/>
      </c>
      <c r="AJ82">
        <f ca="1"/>
      </c>
      <c r="AK82">
        <f ca="1"/>
      </c>
      <c r="AL82">
        <f ca="1"/>
      </c>
      <c r="AM82">
        <f ca="1"/>
      </c>
      <c r="AN82">
        <f ca="1"/>
      </c>
      <c r="AO82">
        <f ca="1"/>
      </c>
      <c r="AP82">
        <f ca="1"/>
      </c>
      <c r="AQ82">
        <f ca="1"/>
      </c>
      <c r="AR82">
        <f ca="1"/>
      </c>
      <c r="AT82" s="7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BA82" s="7">
        <f ca="1"/>
      </c>
      <c r="BB82">
        <f ca="1"/>
      </c>
      <c r="BC82">
        <f ca="1"/>
      </c>
      <c r="BD82">
        <f ca="1"/>
      </c>
      <c r="BE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</row>
    <row r="83" spans="31:73" x14ac:dyDescent="0.55000000000000004">
      <c r="AE83" s="7">
        <f ca="1"/>
      </c>
      <c r="AF83">
        <f ca="1"/>
      </c>
      <c r="AG83">
        <f ca="1"/>
      </c>
      <c r="AH83">
        <f ca="1"/>
      </c>
      <c r="AI83">
        <f ca="1"/>
      </c>
      <c r="AJ83">
        <f ca="1"/>
      </c>
      <c r="AK83">
        <f ca="1"/>
      </c>
      <c r="AL83">
        <f ca="1"/>
      </c>
      <c r="AM83">
        <f ca="1"/>
      </c>
      <c r="AN83">
        <f ca="1"/>
      </c>
      <c r="AO83">
        <f ca="1"/>
      </c>
      <c r="AP83">
        <f ca="1"/>
      </c>
      <c r="AQ83">
        <f ca="1"/>
      </c>
      <c r="AR83">
        <f ca="1"/>
      </c>
      <c r="AT83" s="7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BA83" s="7">
        <f ca="1"/>
      </c>
      <c r="BB83">
        <f ca="1"/>
      </c>
      <c r="BC83">
        <f ca="1"/>
      </c>
      <c r="BD83">
        <f ca="1"/>
      </c>
      <c r="BE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</row>
    <row r="84" spans="31:73" x14ac:dyDescent="0.55000000000000004">
      <c r="AE84" s="7">
        <f ca="1"/>
      </c>
      <c r="AF84">
        <f ca="1"/>
      </c>
      <c r="AG84">
        <f ca="1"/>
      </c>
      <c r="AH84">
        <f ca="1"/>
      </c>
      <c r="AI84">
        <f ca="1"/>
      </c>
      <c r="AJ84">
        <f ca="1"/>
      </c>
      <c r="AK84">
        <f ca="1"/>
      </c>
      <c r="AL84">
        <f ca="1"/>
      </c>
      <c r="AM84">
        <f ca="1"/>
      </c>
      <c r="AN84">
        <f ca="1"/>
      </c>
      <c r="AO84">
        <f ca="1"/>
      </c>
      <c r="AP84">
        <f ca="1"/>
      </c>
      <c r="AQ84">
        <f ca="1"/>
      </c>
      <c r="AR84">
        <f ca="1"/>
      </c>
      <c r="AT84" s="7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BA84" s="7">
        <f ca="1"/>
      </c>
      <c r="BB84">
        <f ca="1"/>
      </c>
      <c r="BC84">
        <f ca="1"/>
      </c>
      <c r="BD84">
        <f ca="1"/>
      </c>
      <c r="BE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</row>
    <row r="85" spans="31:73" x14ac:dyDescent="0.55000000000000004">
      <c r="AE85" s="7">
        <f ca="1"/>
      </c>
      <c r="AF85">
        <f ca="1"/>
      </c>
      <c r="AG85">
        <f ca="1"/>
      </c>
      <c r="AH85">
        <f ca="1"/>
      </c>
      <c r="AI85">
        <f ca="1"/>
      </c>
      <c r="AJ85">
        <f ca="1"/>
      </c>
      <c r="AK85">
        <f ca="1"/>
      </c>
      <c r="AL85">
        <f ca="1"/>
      </c>
      <c r="AM85">
        <f ca="1"/>
      </c>
      <c r="AN85">
        <f ca="1"/>
      </c>
      <c r="AO85">
        <f ca="1"/>
      </c>
      <c r="AP85">
        <f ca="1"/>
      </c>
      <c r="AQ85">
        <f ca="1"/>
      </c>
      <c r="AR85">
        <f ca="1"/>
      </c>
      <c r="AT85" s="7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BA85" s="7">
        <f ca="1"/>
      </c>
      <c r="BB85">
        <f ca="1"/>
      </c>
      <c r="BC85">
        <f ca="1"/>
      </c>
      <c r="BD85">
        <f ca="1"/>
      </c>
      <c r="BE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</row>
    <row r="86" spans="31:73" x14ac:dyDescent="0.55000000000000004">
      <c r="AE86" s="7">
        <f ca="1"/>
      </c>
      <c r="AF86">
        <f ca="1"/>
      </c>
      <c r="AG86">
        <f ca="1"/>
      </c>
      <c r="AH86">
        <f ca="1"/>
      </c>
      <c r="AI86">
        <f ca="1"/>
      </c>
      <c r="AJ86">
        <f ca="1"/>
      </c>
      <c r="AK86">
        <f ca="1"/>
      </c>
      <c r="AL86">
        <f ca="1"/>
      </c>
      <c r="AM86">
        <f ca="1"/>
      </c>
      <c r="AN86">
        <f ca="1"/>
      </c>
      <c r="AO86">
        <f ca="1"/>
      </c>
      <c r="AP86">
        <f ca="1"/>
      </c>
      <c r="AQ86">
        <f ca="1"/>
      </c>
      <c r="AR86">
        <f ca="1"/>
      </c>
      <c r="AT86" s="7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BA86" s="7">
        <f ca="1"/>
      </c>
      <c r="BB86">
        <f ca="1"/>
      </c>
      <c r="BC86">
        <f ca="1"/>
      </c>
      <c r="BD86">
        <f ca="1"/>
      </c>
      <c r="BE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</row>
    <row r="87" spans="31:73" x14ac:dyDescent="0.55000000000000004">
      <c r="AE87" s="7">
        <f ca="1"/>
      </c>
      <c r="AF87">
        <f ca="1"/>
      </c>
      <c r="AG87">
        <f ca="1"/>
      </c>
      <c r="AH87">
        <f ca="1"/>
      </c>
      <c r="AI87">
        <f ca="1"/>
      </c>
      <c r="AJ87">
        <f ca="1"/>
      </c>
      <c r="AK87">
        <f ca="1"/>
      </c>
      <c r="AL87">
        <f ca="1"/>
      </c>
      <c r="AM87">
        <f ca="1"/>
      </c>
      <c r="AN87">
        <f ca="1"/>
      </c>
      <c r="AO87">
        <f ca="1"/>
      </c>
      <c r="AP87">
        <f ca="1"/>
      </c>
      <c r="AQ87">
        <f ca="1"/>
      </c>
      <c r="AR87">
        <f ca="1"/>
      </c>
      <c r="AT87" s="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BA87" s="7">
        <f ca="1"/>
      </c>
      <c r="BB87">
        <f ca="1"/>
      </c>
      <c r="BC87">
        <f ca="1"/>
      </c>
      <c r="BD87">
        <f ca="1"/>
      </c>
      <c r="BE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</row>
    <row r="88" spans="31:73" x14ac:dyDescent="0.55000000000000004">
      <c r="AE88" s="7">
        <f ca="1"/>
      </c>
      <c r="AF88">
        <f ca="1"/>
      </c>
      <c r="AG88">
        <f ca="1"/>
      </c>
      <c r="AH88">
        <f ca="1"/>
      </c>
      <c r="AI88">
        <f ca="1"/>
      </c>
      <c r="AJ88">
        <f ca="1"/>
      </c>
      <c r="AK88">
        <f ca="1"/>
      </c>
      <c r="AL88">
        <f ca="1"/>
      </c>
      <c r="AM88">
        <f ca="1"/>
      </c>
      <c r="AN88">
        <f ca="1"/>
      </c>
      <c r="AO88">
        <f ca="1"/>
      </c>
      <c r="AP88">
        <f ca="1"/>
      </c>
      <c r="AQ88">
        <f ca="1"/>
      </c>
      <c r="AR88">
        <f ca="1"/>
      </c>
      <c r="AT88" s="7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BA88" s="7">
        <f ca="1"/>
      </c>
      <c r="BB88">
        <f ca="1"/>
      </c>
      <c r="BC88">
        <f ca="1"/>
      </c>
      <c r="BD88">
        <f ca="1"/>
      </c>
      <c r="BE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</row>
    <row r="89" spans="31:73" x14ac:dyDescent="0.55000000000000004">
      <c r="AE89" s="7">
        <f ca="1"/>
      </c>
      <c r="AF89">
        <f ca="1"/>
      </c>
      <c r="AG89">
        <f ca="1"/>
      </c>
      <c r="AH89">
        <f ca="1"/>
      </c>
      <c r="AI89">
        <f ca="1"/>
      </c>
      <c r="AJ89">
        <f ca="1"/>
      </c>
      <c r="AK89">
        <f ca="1"/>
      </c>
      <c r="AL89">
        <f ca="1"/>
      </c>
      <c r="AM89">
        <f ca="1"/>
      </c>
      <c r="AN89">
        <f ca="1"/>
      </c>
      <c r="AO89">
        <f ca="1"/>
      </c>
      <c r="AP89">
        <f ca="1"/>
      </c>
      <c r="AQ89">
        <f ca="1"/>
      </c>
      <c r="AR89">
        <f ca="1"/>
      </c>
      <c r="AT89" s="7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BA89" s="7">
        <f ca="1"/>
      </c>
      <c r="BB89">
        <f ca="1"/>
      </c>
      <c r="BC89">
        <f ca="1"/>
      </c>
      <c r="BD89">
        <f ca="1"/>
      </c>
      <c r="BE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</row>
    <row r="90" spans="31:73" x14ac:dyDescent="0.55000000000000004">
      <c r="AE90" s="7">
        <f ca="1"/>
      </c>
      <c r="AF90">
        <f ca="1"/>
      </c>
      <c r="AG90">
        <f ca="1"/>
      </c>
      <c r="AH90">
        <f ca="1"/>
      </c>
      <c r="AI90">
        <f ca="1"/>
      </c>
      <c r="AJ90">
        <f ca="1"/>
      </c>
      <c r="AK90">
        <f ca="1"/>
      </c>
      <c r="AL90">
        <f ca="1"/>
      </c>
      <c r="AM90">
        <f ca="1"/>
      </c>
      <c r="AN90">
        <f ca="1"/>
      </c>
      <c r="AO90">
        <f ca="1"/>
      </c>
      <c r="AP90">
        <f ca="1"/>
      </c>
      <c r="AQ90">
        <f ca="1"/>
      </c>
      <c r="AR90">
        <f ca="1"/>
      </c>
      <c r="AT90" s="7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BA90" s="7">
        <f ca="1"/>
      </c>
      <c r="BB90">
        <f ca="1"/>
      </c>
      <c r="BC90">
        <f ca="1"/>
      </c>
      <c r="BD90">
        <f ca="1"/>
      </c>
      <c r="BE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</row>
    <row r="91" spans="31:73" x14ac:dyDescent="0.55000000000000004">
      <c r="AE91" s="7">
        <f ca="1"/>
      </c>
      <c r="AF91">
        <f ca="1"/>
      </c>
      <c r="AG91">
        <f ca="1"/>
      </c>
      <c r="AH91">
        <f ca="1"/>
      </c>
      <c r="AI91">
        <f ca="1"/>
      </c>
      <c r="AJ91">
        <f ca="1"/>
      </c>
      <c r="AK91">
        <f ca="1"/>
      </c>
      <c r="AL91">
        <f ca="1"/>
      </c>
      <c r="AM91">
        <f ca="1"/>
      </c>
      <c r="AN91">
        <f ca="1"/>
      </c>
      <c r="AO91">
        <f ca="1"/>
      </c>
      <c r="AP91">
        <f ca="1"/>
      </c>
      <c r="AQ91">
        <f ca="1"/>
      </c>
      <c r="AR91">
        <f ca="1"/>
      </c>
      <c r="AT91" s="7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BA91" s="7">
        <f ca="1"/>
      </c>
      <c r="BB91">
        <f ca="1"/>
      </c>
      <c r="BC91">
        <f ca="1"/>
      </c>
      <c r="BD91">
        <f ca="1"/>
      </c>
      <c r="BE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</row>
    <row r="92" spans="31:73" x14ac:dyDescent="0.55000000000000004">
      <c r="AE92" s="7">
        <f ca="1"/>
      </c>
      <c r="AF92">
        <f ca="1"/>
      </c>
      <c r="AG92">
        <f ca="1"/>
      </c>
      <c r="AH92">
        <f ca="1"/>
      </c>
      <c r="AI92">
        <f ca="1"/>
      </c>
      <c r="AJ92">
        <f ca="1"/>
      </c>
      <c r="AK92">
        <f ca="1"/>
      </c>
      <c r="AL92">
        <f ca="1"/>
      </c>
      <c r="AM92">
        <f ca="1"/>
      </c>
      <c r="AN92">
        <f ca="1"/>
      </c>
      <c r="AO92">
        <f ca="1"/>
      </c>
      <c r="AP92">
        <f ca="1"/>
      </c>
      <c r="AQ92">
        <f ca="1"/>
      </c>
      <c r="AR92">
        <f ca="1"/>
      </c>
      <c r="AT92" s="7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BA92" s="7">
        <f ca="1"/>
      </c>
      <c r="BB92">
        <f ca="1"/>
      </c>
      <c r="BC92">
        <f ca="1"/>
      </c>
      <c r="BD92">
        <f ca="1"/>
      </c>
      <c r="BE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</row>
    <row r="93" spans="31:73" x14ac:dyDescent="0.55000000000000004">
      <c r="AE93" s="7">
        <f ca="1"/>
      </c>
      <c r="AF93">
        <f ca="1"/>
      </c>
      <c r="AG93">
        <f ca="1"/>
      </c>
      <c r="AH93">
        <f ca="1"/>
      </c>
      <c r="AI93">
        <f ca="1"/>
      </c>
      <c r="AJ93">
        <f ca="1"/>
      </c>
      <c r="AK93">
        <f ca="1"/>
      </c>
      <c r="AL93">
        <f ca="1"/>
      </c>
      <c r="AM93">
        <f ca="1"/>
      </c>
      <c r="AN93">
        <f ca="1"/>
      </c>
      <c r="AO93">
        <f ca="1"/>
      </c>
      <c r="AP93">
        <f ca="1"/>
      </c>
      <c r="AQ93">
        <f ca="1"/>
      </c>
      <c r="AR93">
        <f ca="1"/>
      </c>
      <c r="AT93" s="7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BA93" s="7">
        <f ca="1"/>
      </c>
      <c r="BB93">
        <f ca="1"/>
      </c>
      <c r="BC93">
        <f ca="1"/>
      </c>
      <c r="BD93">
        <f ca="1"/>
      </c>
      <c r="BE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</row>
    <row r="94" spans="31:73" x14ac:dyDescent="0.55000000000000004">
      <c r="AE94" s="7">
        <f ca="1"/>
      </c>
      <c r="AF94">
        <f ca="1"/>
      </c>
      <c r="AG94">
        <f ca="1"/>
      </c>
      <c r="AH94">
        <f ca="1"/>
      </c>
      <c r="AI94">
        <f ca="1"/>
      </c>
      <c r="AJ94">
        <f ca="1"/>
      </c>
      <c r="AK94">
        <f ca="1"/>
      </c>
      <c r="AL94">
        <f ca="1"/>
      </c>
      <c r="AM94">
        <f ca="1"/>
      </c>
      <c r="AN94">
        <f ca="1"/>
      </c>
      <c r="AO94">
        <f ca="1"/>
      </c>
      <c r="AP94">
        <f ca="1"/>
      </c>
      <c r="AQ94">
        <f ca="1"/>
      </c>
      <c r="AR94">
        <f ca="1"/>
      </c>
      <c r="AT94" s="7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BA94" s="7">
        <f ca="1"/>
      </c>
      <c r="BB94">
        <f ca="1"/>
      </c>
      <c r="BC94">
        <f ca="1"/>
      </c>
      <c r="BD94">
        <f ca="1"/>
      </c>
      <c r="BE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</row>
    <row r="95" spans="31:73" x14ac:dyDescent="0.55000000000000004">
      <c r="AE95" s="7">
        <f ca="1"/>
      </c>
      <c r="AF95">
        <f ca="1"/>
      </c>
      <c r="AG95">
        <f ca="1"/>
      </c>
      <c r="AH95">
        <f ca="1"/>
      </c>
      <c r="AI95">
        <f ca="1"/>
      </c>
      <c r="AJ95">
        <f ca="1"/>
      </c>
      <c r="AK95">
        <f ca="1"/>
      </c>
      <c r="AL95">
        <f ca="1"/>
      </c>
      <c r="AM95">
        <f ca="1"/>
      </c>
      <c r="AN95">
        <f ca="1"/>
      </c>
      <c r="AO95">
        <f ca="1"/>
      </c>
      <c r="AP95">
        <f ca="1"/>
      </c>
      <c r="AQ95">
        <f ca="1"/>
      </c>
      <c r="AR95">
        <f ca="1"/>
      </c>
      <c r="AT95" s="7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BA95" s="7">
        <f ca="1"/>
      </c>
      <c r="BB95">
        <f ca="1"/>
      </c>
      <c r="BC95">
        <f ca="1"/>
      </c>
      <c r="BD95">
        <f ca="1"/>
      </c>
      <c r="BE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</row>
    <row r="96" spans="31:73" x14ac:dyDescent="0.55000000000000004">
      <c r="AE96" s="7">
        <f ca="1"/>
      </c>
      <c r="AF96">
        <f ca="1"/>
      </c>
      <c r="AG96">
        <f ca="1"/>
      </c>
      <c r="AH96">
        <f ca="1"/>
      </c>
      <c r="AI96">
        <f ca="1"/>
      </c>
      <c r="AJ96">
        <f ca="1"/>
      </c>
      <c r="AK96">
        <f ca="1"/>
      </c>
      <c r="AL96">
        <f ca="1"/>
      </c>
      <c r="AM96">
        <f ca="1"/>
      </c>
      <c r="AN96">
        <f ca="1"/>
      </c>
      <c r="AO96">
        <f ca="1"/>
      </c>
      <c r="AP96">
        <f ca="1"/>
      </c>
      <c r="AQ96">
        <f ca="1"/>
      </c>
      <c r="AR96">
        <f ca="1"/>
      </c>
      <c r="AT96" s="7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BA96" s="7">
        <f ca="1"/>
      </c>
      <c r="BB96">
        <f ca="1"/>
      </c>
      <c r="BC96">
        <f ca="1"/>
      </c>
      <c r="BD96">
        <f ca="1"/>
      </c>
      <c r="BE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</row>
    <row r="97" spans="31:73" x14ac:dyDescent="0.55000000000000004">
      <c r="AE97" s="7">
        <f ca="1"/>
      </c>
      <c r="AF97">
        <f ca="1"/>
      </c>
      <c r="AG97">
        <f ca="1"/>
      </c>
      <c r="AH97">
        <f ca="1"/>
      </c>
      <c r="AI97">
        <f ca="1"/>
      </c>
      <c r="AJ97">
        <f ca="1"/>
      </c>
      <c r="AK97">
        <f ca="1"/>
      </c>
      <c r="AL97">
        <f ca="1"/>
      </c>
      <c r="AM97">
        <f ca="1"/>
      </c>
      <c r="AN97">
        <f ca="1"/>
      </c>
      <c r="AO97">
        <f ca="1"/>
      </c>
      <c r="AP97">
        <f ca="1"/>
      </c>
      <c r="AQ97">
        <f ca="1"/>
      </c>
      <c r="AR97">
        <f ca="1"/>
      </c>
      <c r="AT97" s="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BA97" s="7">
        <f ca="1"/>
      </c>
      <c r="BB97">
        <f ca="1"/>
      </c>
      <c r="BC97">
        <f ca="1"/>
      </c>
      <c r="BD97">
        <f ca="1"/>
      </c>
      <c r="BE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</row>
    <row r="98" spans="31:73" x14ac:dyDescent="0.55000000000000004">
      <c r="AE98" s="7">
        <f ca="1"/>
      </c>
      <c r="AF98">
        <f ca="1"/>
      </c>
      <c r="AG98">
        <f ca="1"/>
      </c>
      <c r="AH98">
        <f ca="1"/>
      </c>
      <c r="AI98">
        <f ca="1"/>
      </c>
      <c r="AJ98">
        <f ca="1"/>
      </c>
      <c r="AK98">
        <f ca="1"/>
      </c>
      <c r="AL98">
        <f ca="1"/>
      </c>
      <c r="AM98">
        <f ca="1"/>
      </c>
      <c r="AN98">
        <f ca="1"/>
      </c>
      <c r="AO98">
        <f ca="1"/>
      </c>
      <c r="AP98">
        <f ca="1"/>
      </c>
      <c r="AQ98">
        <f ca="1"/>
      </c>
      <c r="AR98">
        <f ca="1"/>
      </c>
      <c r="AT98" s="7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BA98" s="7">
        <f ca="1"/>
      </c>
      <c r="BB98">
        <f ca="1"/>
      </c>
      <c r="BC98">
        <f ca="1"/>
      </c>
      <c r="BD98">
        <f ca="1"/>
      </c>
      <c r="BE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</row>
    <row r="99" spans="31:73" x14ac:dyDescent="0.55000000000000004">
      <c r="AE99" s="7">
        <f ca="1"/>
      </c>
      <c r="AF99">
        <f ca="1"/>
      </c>
      <c r="AG99">
        <f ca="1"/>
      </c>
      <c r="AH99">
        <f ca="1"/>
      </c>
      <c r="AI99">
        <f ca="1"/>
      </c>
      <c r="AJ99">
        <f ca="1"/>
      </c>
      <c r="AK99">
        <f ca="1"/>
      </c>
      <c r="AL99">
        <f ca="1"/>
      </c>
      <c r="AM99">
        <f ca="1"/>
      </c>
      <c r="AN99">
        <f ca="1"/>
      </c>
      <c r="AO99">
        <f ca="1"/>
      </c>
      <c r="AP99">
        <f ca="1"/>
      </c>
      <c r="AQ99">
        <f ca="1"/>
      </c>
      <c r="AR99">
        <f ca="1"/>
      </c>
      <c r="AT99" s="7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BA99" s="7">
        <f ca="1"/>
      </c>
      <c r="BB99">
        <f ca="1"/>
      </c>
      <c r="BC99">
        <f ca="1"/>
      </c>
      <c r="BD99">
        <f ca="1"/>
      </c>
      <c r="BE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</row>
    <row r="100" spans="31:73" x14ac:dyDescent="0.55000000000000004">
      <c r="AE100" s="7">
        <f ca="1"/>
      </c>
      <c r="AF100">
        <f ca="1"/>
      </c>
      <c r="AG100">
        <f ca="1"/>
      </c>
      <c r="AH100">
        <f ca="1"/>
      </c>
      <c r="AI100">
        <f ca="1"/>
      </c>
      <c r="AJ100">
        <f ca="1"/>
      </c>
      <c r="AK100">
        <f ca="1"/>
      </c>
      <c r="AL100">
        <f ca="1"/>
      </c>
      <c r="AM100">
        <f ca="1"/>
      </c>
      <c r="AN100">
        <f ca="1"/>
      </c>
      <c r="AO100">
        <f ca="1"/>
      </c>
      <c r="AP100">
        <f ca="1"/>
      </c>
      <c r="AQ100">
        <f ca="1"/>
      </c>
      <c r="AR100">
        <f ca="1"/>
      </c>
      <c r="AT100" s="7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BA100" s="7">
        <f ca="1"/>
      </c>
      <c r="BB100">
        <f ca="1"/>
      </c>
      <c r="BC100">
        <f ca="1"/>
      </c>
      <c r="BD100">
        <f ca="1"/>
      </c>
      <c r="BE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</row>
    <row r="101" spans="31:73" x14ac:dyDescent="0.55000000000000004">
      <c r="AE101" s="7">
        <f ca="1"/>
      </c>
      <c r="AF101">
        <f ca="1"/>
      </c>
      <c r="AG101">
        <f ca="1"/>
      </c>
      <c r="AH101">
        <f ca="1"/>
      </c>
      <c r="AI101">
        <f ca="1"/>
      </c>
      <c r="AJ101">
        <f ca="1"/>
      </c>
      <c r="AK101">
        <f ca="1"/>
      </c>
      <c r="AL101">
        <f ca="1"/>
      </c>
      <c r="AM101">
        <f ca="1"/>
      </c>
      <c r="AN101">
        <f ca="1"/>
      </c>
      <c r="AO101">
        <f ca="1"/>
      </c>
      <c r="AP101">
        <f ca="1"/>
      </c>
      <c r="AQ101">
        <f ca="1"/>
      </c>
      <c r="AR101">
        <f ca="1"/>
      </c>
      <c r="AT101" s="7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BA101" s="7">
        <f ca="1"/>
      </c>
      <c r="BB101">
        <f ca="1"/>
      </c>
      <c r="BC101">
        <f ca="1"/>
      </c>
      <c r="BD101">
        <f ca="1"/>
      </c>
      <c r="BE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</row>
    <row r="102" spans="31:73" x14ac:dyDescent="0.55000000000000004">
      <c r="AE102" s="7">
        <f ca="1"/>
      </c>
      <c r="AF102">
        <f ca="1"/>
      </c>
      <c r="AG102">
        <f ca="1"/>
      </c>
      <c r="AH102">
        <f ca="1"/>
      </c>
      <c r="AI102">
        <f ca="1"/>
      </c>
      <c r="AJ102">
        <f ca="1"/>
      </c>
      <c r="AK102">
        <f ca="1"/>
      </c>
      <c r="AL102">
        <f ca="1"/>
      </c>
      <c r="AM102">
        <f ca="1"/>
      </c>
      <c r="AN102">
        <f ca="1"/>
      </c>
      <c r="AO102">
        <f ca="1"/>
      </c>
      <c r="AP102">
        <f ca="1"/>
      </c>
      <c r="AQ102">
        <f ca="1"/>
      </c>
      <c r="AR102">
        <f ca="1"/>
      </c>
      <c r="AT102" s="7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BA102" s="7">
        <f ca="1"/>
      </c>
      <c r="BB102">
        <f ca="1"/>
      </c>
      <c r="BC102">
        <f ca="1"/>
      </c>
      <c r="BD102">
        <f ca="1"/>
      </c>
      <c r="BE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</row>
    <row r="103" spans="31:73" x14ac:dyDescent="0.55000000000000004">
      <c r="AE103" s="7">
        <f ca="1"/>
      </c>
      <c r="AF103">
        <f ca="1"/>
      </c>
      <c r="AG103">
        <f ca="1"/>
      </c>
      <c r="AH103">
        <f ca="1"/>
      </c>
      <c r="AI103">
        <f ca="1"/>
      </c>
      <c r="AJ103">
        <f ca="1"/>
      </c>
      <c r="AK103">
        <f ca="1"/>
      </c>
      <c r="AL103">
        <f ca="1"/>
      </c>
      <c r="AM103">
        <f ca="1"/>
      </c>
      <c r="AN103">
        <f ca="1"/>
      </c>
      <c r="AO103">
        <f ca="1"/>
      </c>
      <c r="AP103">
        <f ca="1"/>
      </c>
      <c r="AQ103">
        <f ca="1"/>
      </c>
      <c r="AR103">
        <f ca="1"/>
      </c>
      <c r="AT103" s="7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BA103" s="7">
        <f ca="1"/>
      </c>
      <c r="BB103">
        <f ca="1"/>
      </c>
      <c r="BC103">
        <f ca="1"/>
      </c>
      <c r="BD103">
        <f ca="1"/>
      </c>
      <c r="BE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</row>
    <row r="104" spans="31:73" x14ac:dyDescent="0.55000000000000004">
      <c r="AE104" s="7">
        <f ca="1"/>
      </c>
      <c r="AF104">
        <f ca="1"/>
      </c>
      <c r="AG104">
        <f ca="1"/>
      </c>
      <c r="AH104">
        <f ca="1"/>
      </c>
      <c r="AI104">
        <f ca="1"/>
      </c>
      <c r="AJ104">
        <f ca="1"/>
      </c>
      <c r="AK104">
        <f ca="1"/>
      </c>
      <c r="AL104">
        <f ca="1"/>
      </c>
      <c r="AM104">
        <f ca="1"/>
      </c>
      <c r="AN104">
        <f ca="1"/>
      </c>
      <c r="AO104">
        <f ca="1"/>
      </c>
      <c r="AP104">
        <f ca="1"/>
      </c>
      <c r="AQ104">
        <f ca="1"/>
      </c>
      <c r="AR104">
        <f ca="1"/>
      </c>
      <c r="AT104" s="7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BA104" s="7">
        <f ca="1"/>
      </c>
      <c r="BB104">
        <f ca="1"/>
      </c>
      <c r="BC104">
        <f ca="1"/>
      </c>
      <c r="BD104">
        <f ca="1"/>
      </c>
      <c r="BE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</row>
    <row r="105" spans="31:73" x14ac:dyDescent="0.55000000000000004">
      <c r="AE105" s="7">
        <f ca="1"/>
      </c>
      <c r="AF105">
        <f ca="1"/>
      </c>
      <c r="AG105">
        <f ca="1"/>
      </c>
      <c r="AH105">
        <f ca="1"/>
      </c>
      <c r="AI105">
        <f ca="1"/>
      </c>
      <c r="AJ105">
        <f ca="1"/>
      </c>
      <c r="AK105">
        <f ca="1"/>
      </c>
      <c r="AL105">
        <f ca="1"/>
      </c>
      <c r="AM105">
        <f ca="1"/>
      </c>
      <c r="AN105">
        <f ca="1"/>
      </c>
      <c r="AO105">
        <f ca="1"/>
      </c>
      <c r="AP105">
        <f ca="1"/>
      </c>
      <c r="AQ105">
        <f ca="1"/>
      </c>
      <c r="AR105">
        <f ca="1"/>
      </c>
      <c r="AT105" s="7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BA105" s="7">
        <f ca="1"/>
      </c>
      <c r="BB105">
        <f ca="1"/>
      </c>
      <c r="BC105">
        <f ca="1"/>
      </c>
      <c r="BD105">
        <f ca="1"/>
      </c>
      <c r="BE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</row>
    <row r="106" spans="31:73" x14ac:dyDescent="0.55000000000000004">
      <c r="AE106" s="7">
        <f ca="1"/>
      </c>
      <c r="AF106">
        <f ca="1"/>
      </c>
      <c r="AG106">
        <f ca="1"/>
      </c>
      <c r="AH106">
        <f ca="1"/>
      </c>
      <c r="AI106">
        <f ca="1"/>
      </c>
      <c r="AJ106">
        <f ca="1"/>
      </c>
      <c r="AK106">
        <f ca="1"/>
      </c>
      <c r="AL106">
        <f ca="1"/>
      </c>
      <c r="AM106">
        <f ca="1"/>
      </c>
      <c r="AN106">
        <f ca="1"/>
      </c>
      <c r="AO106">
        <f ca="1"/>
      </c>
      <c r="AP106">
        <f ca="1"/>
      </c>
      <c r="AQ106">
        <f ca="1"/>
      </c>
      <c r="AR106">
        <f ca="1"/>
      </c>
      <c r="AT106" s="7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BA106" s="7">
        <f ca="1"/>
      </c>
      <c r="BB106">
        <f ca="1"/>
      </c>
      <c r="BC106">
        <f ca="1"/>
      </c>
      <c r="BD106">
        <f ca="1"/>
      </c>
      <c r="BE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</row>
    <row r="107" spans="31:73" x14ac:dyDescent="0.55000000000000004">
      <c r="AE107" s="7">
        <f ca="1"/>
      </c>
      <c r="AF107">
        <f ca="1"/>
      </c>
      <c r="AG107">
        <f ca="1"/>
      </c>
      <c r="AH107">
        <f ca="1"/>
      </c>
      <c r="AI107">
        <f ca="1"/>
      </c>
      <c r="AJ107">
        <f ca="1"/>
      </c>
      <c r="AK107">
        <f ca="1"/>
      </c>
      <c r="AL107">
        <f ca="1"/>
      </c>
      <c r="AM107">
        <f ca="1"/>
      </c>
      <c r="AN107">
        <f ca="1"/>
      </c>
      <c r="AO107">
        <f ca="1"/>
      </c>
      <c r="AP107">
        <f ca="1"/>
      </c>
      <c r="AQ107">
        <f ca="1"/>
      </c>
      <c r="AR107">
        <f ca="1"/>
      </c>
      <c r="AT107" s="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BA107" s="7">
        <f ca="1"/>
      </c>
      <c r="BB107">
        <f ca="1"/>
      </c>
      <c r="BC107">
        <f ca="1"/>
      </c>
      <c r="BD107">
        <f ca="1"/>
      </c>
      <c r="BE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</row>
    <row r="108" spans="31:73" x14ac:dyDescent="0.55000000000000004">
      <c r="AE108" s="7">
        <f ca="1"/>
      </c>
      <c r="AF108">
        <f ca="1"/>
      </c>
      <c r="AG108">
        <f ca="1"/>
      </c>
      <c r="AH108">
        <f ca="1"/>
      </c>
      <c r="AI108">
        <f ca="1"/>
      </c>
      <c r="AJ108">
        <f ca="1"/>
      </c>
      <c r="AK108">
        <f ca="1"/>
      </c>
      <c r="AL108">
        <f ca="1"/>
      </c>
      <c r="AM108">
        <f ca="1"/>
      </c>
      <c r="AN108">
        <f ca="1"/>
      </c>
      <c r="AO108">
        <f ca="1"/>
      </c>
      <c r="AP108">
        <f ca="1"/>
      </c>
      <c r="AQ108">
        <f ca="1"/>
      </c>
      <c r="AR108">
        <f ca="1"/>
      </c>
      <c r="AT108" s="7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BA108" s="7">
        <f ca="1"/>
      </c>
      <c r="BB108">
        <f ca="1"/>
      </c>
      <c r="BC108">
        <f ca="1"/>
      </c>
      <c r="BD108">
        <f ca="1"/>
      </c>
      <c r="BE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</row>
    <row r="109" spans="31:73" x14ac:dyDescent="0.55000000000000004">
      <c r="AE109" s="7">
        <f ca="1"/>
      </c>
      <c r="AF109">
        <f ca="1"/>
      </c>
      <c r="AG109">
        <f ca="1"/>
      </c>
      <c r="AH109">
        <f ca="1"/>
      </c>
      <c r="AI109">
        <f ca="1"/>
      </c>
      <c r="AJ109">
        <f ca="1"/>
      </c>
      <c r="AK109">
        <f ca="1"/>
      </c>
      <c r="AL109">
        <f ca="1"/>
      </c>
      <c r="AM109">
        <f ca="1"/>
      </c>
      <c r="AN109">
        <f ca="1"/>
      </c>
      <c r="AO109">
        <f ca="1"/>
      </c>
      <c r="AP109">
        <f ca="1"/>
      </c>
      <c r="AQ109">
        <f ca="1"/>
      </c>
      <c r="AR109">
        <f ca="1"/>
      </c>
      <c r="AT109" s="7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BA109" s="7">
        <f ca="1"/>
      </c>
      <c r="BB109">
        <f ca="1"/>
      </c>
      <c r="BC109">
        <f ca="1"/>
      </c>
      <c r="BD109">
        <f ca="1"/>
      </c>
      <c r="BE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</row>
    <row r="110" spans="31:73" x14ac:dyDescent="0.55000000000000004">
      <c r="AE110" s="7">
        <f ca="1"/>
      </c>
      <c r="AF110">
        <f ca="1"/>
      </c>
      <c r="AG110">
        <f ca="1"/>
      </c>
      <c r="AH110">
        <f ca="1"/>
      </c>
      <c r="AI110">
        <f ca="1"/>
      </c>
      <c r="AJ110">
        <f ca="1"/>
      </c>
      <c r="AK110">
        <f ca="1"/>
      </c>
      <c r="AL110">
        <f ca="1"/>
      </c>
      <c r="AM110">
        <f ca="1"/>
      </c>
      <c r="AN110">
        <f ca="1"/>
      </c>
      <c r="AO110">
        <f ca="1"/>
      </c>
      <c r="AP110">
        <f ca="1"/>
      </c>
      <c r="AQ110">
        <f ca="1"/>
      </c>
      <c r="AR110">
        <f ca="1"/>
      </c>
      <c r="AT110" s="7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BA110" s="7">
        <f ca="1"/>
      </c>
      <c r="BB110">
        <f ca="1"/>
      </c>
      <c r="BC110">
        <f ca="1"/>
      </c>
      <c r="BD110">
        <f ca="1"/>
      </c>
      <c r="BE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</row>
    <row r="111" spans="31:73" x14ac:dyDescent="0.55000000000000004">
      <c r="AE111" s="7">
        <f ca="1"/>
      </c>
      <c r="AF111">
        <f ca="1"/>
      </c>
      <c r="AG111">
        <f ca="1"/>
      </c>
      <c r="AH111">
        <f ca="1"/>
      </c>
      <c r="AI111">
        <f ca="1"/>
      </c>
      <c r="AJ111">
        <f ca="1"/>
      </c>
      <c r="AK111">
        <f ca="1"/>
      </c>
      <c r="AL111">
        <f ca="1"/>
      </c>
      <c r="AM111">
        <f ca="1"/>
      </c>
      <c r="AN111">
        <f ca="1"/>
      </c>
      <c r="AO111">
        <f ca="1"/>
      </c>
      <c r="AP111">
        <f ca="1"/>
      </c>
      <c r="AQ111">
        <f ca="1"/>
      </c>
      <c r="AR111">
        <f ca="1"/>
      </c>
      <c r="AT111" s="7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BA111" s="7">
        <f ca="1"/>
      </c>
      <c r="BB111">
        <f ca="1"/>
      </c>
      <c r="BC111">
        <f ca="1"/>
      </c>
      <c r="BD111">
        <f ca="1"/>
      </c>
      <c r="BE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</row>
    <row r="112" spans="31:73" x14ac:dyDescent="0.55000000000000004">
      <c r="AE112" s="7">
        <f ca="1"/>
      </c>
      <c r="AF112">
        <f ca="1"/>
      </c>
      <c r="AG112">
        <f ca="1"/>
      </c>
      <c r="AH112">
        <f ca="1"/>
      </c>
      <c r="AI112">
        <f ca="1"/>
      </c>
      <c r="AJ112">
        <f ca="1"/>
      </c>
      <c r="AK112">
        <f ca="1"/>
      </c>
      <c r="AL112">
        <f ca="1"/>
      </c>
      <c r="AM112">
        <f ca="1"/>
      </c>
      <c r="AN112">
        <f ca="1"/>
      </c>
      <c r="AO112">
        <f ca="1"/>
      </c>
      <c r="AP112">
        <f ca="1"/>
      </c>
      <c r="AQ112">
        <f ca="1"/>
      </c>
      <c r="AR112">
        <f ca="1"/>
      </c>
      <c r="AT112" s="7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BA112" s="7">
        <f ca="1"/>
      </c>
      <c r="BB112">
        <f ca="1"/>
      </c>
      <c r="BC112">
        <f ca="1"/>
      </c>
      <c r="BD112">
        <f ca="1"/>
      </c>
      <c r="BE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</row>
    <row r="113" spans="31:73" x14ac:dyDescent="0.55000000000000004">
      <c r="AE113" s="7">
        <f ca="1"/>
      </c>
      <c r="AF113">
        <f ca="1"/>
      </c>
      <c r="AG113">
        <f ca="1"/>
      </c>
      <c r="AH113">
        <f ca="1"/>
      </c>
      <c r="AI113">
        <f ca="1"/>
      </c>
      <c r="AJ113">
        <f ca="1"/>
      </c>
      <c r="AK113">
        <f ca="1"/>
      </c>
      <c r="AL113">
        <f ca="1"/>
      </c>
      <c r="AM113">
        <f ca="1"/>
      </c>
      <c r="AN113">
        <f ca="1"/>
      </c>
      <c r="AO113">
        <f ca="1"/>
      </c>
      <c r="AP113">
        <f ca="1"/>
      </c>
      <c r="AQ113">
        <f ca="1"/>
      </c>
      <c r="AR113">
        <f ca="1"/>
      </c>
      <c r="AT113" s="7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BA113" s="7">
        <f ca="1"/>
      </c>
      <c r="BB113">
        <f ca="1"/>
      </c>
      <c r="BC113">
        <f ca="1"/>
      </c>
      <c r="BD113">
        <f ca="1"/>
      </c>
      <c r="BE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</row>
    <row r="114" spans="31:73" x14ac:dyDescent="0.55000000000000004">
      <c r="AE114" s="7">
        <f ca="1"/>
      </c>
      <c r="AF114">
        <f ca="1"/>
      </c>
      <c r="AG114">
        <f ca="1"/>
      </c>
      <c r="AH114">
        <f ca="1"/>
      </c>
      <c r="AI114">
        <f ca="1"/>
      </c>
      <c r="AJ114">
        <f ca="1"/>
      </c>
      <c r="AK114">
        <f ca="1"/>
      </c>
      <c r="AL114">
        <f ca="1"/>
      </c>
      <c r="AM114">
        <f ca="1"/>
      </c>
      <c r="AN114">
        <f ca="1"/>
      </c>
      <c r="AO114">
        <f ca="1"/>
      </c>
      <c r="AP114">
        <f ca="1"/>
      </c>
      <c r="AQ114">
        <f ca="1"/>
      </c>
      <c r="AR114">
        <f ca="1"/>
      </c>
      <c r="AT114" s="7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BA114" s="7">
        <f ca="1"/>
      </c>
      <c r="BB114">
        <f ca="1"/>
      </c>
      <c r="BC114">
        <f ca="1"/>
      </c>
      <c r="BD114">
        <f ca="1"/>
      </c>
      <c r="BE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</row>
    <row r="115" spans="31:73" x14ac:dyDescent="0.55000000000000004">
      <c r="AE115" s="7">
        <f ca="1"/>
      </c>
      <c r="AF115">
        <f ca="1"/>
      </c>
      <c r="AG115">
        <f ca="1"/>
      </c>
      <c r="AH115">
        <f ca="1"/>
      </c>
      <c r="AI115">
        <f ca="1"/>
      </c>
      <c r="AJ115">
        <f ca="1"/>
      </c>
      <c r="AK115">
        <f ca="1"/>
      </c>
      <c r="AL115">
        <f ca="1"/>
      </c>
      <c r="AM115">
        <f ca="1"/>
      </c>
      <c r="AN115">
        <f ca="1"/>
      </c>
      <c r="AO115">
        <f ca="1"/>
      </c>
      <c r="AP115">
        <f ca="1"/>
      </c>
      <c r="AQ115">
        <f ca="1"/>
      </c>
      <c r="AR115">
        <f ca="1"/>
      </c>
      <c r="AT115" s="7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BA115" s="7">
        <f ca="1"/>
      </c>
      <c r="BB115">
        <f ca="1"/>
      </c>
      <c r="BC115">
        <f ca="1"/>
      </c>
      <c r="BD115">
        <f ca="1"/>
      </c>
      <c r="BE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</row>
    <row r="116" spans="31:73" x14ac:dyDescent="0.55000000000000004">
      <c r="AE116" s="7">
        <f ca="1"/>
      </c>
      <c r="AF116">
        <f ca="1"/>
      </c>
      <c r="AG116">
        <f ca="1"/>
      </c>
      <c r="AH116">
        <f ca="1"/>
      </c>
      <c r="AI116">
        <f ca="1"/>
      </c>
      <c r="AJ116">
        <f ca="1"/>
      </c>
      <c r="AK116">
        <f ca="1"/>
      </c>
      <c r="AL116">
        <f ca="1"/>
      </c>
      <c r="AM116">
        <f ca="1"/>
      </c>
      <c r="AN116">
        <f ca="1"/>
      </c>
      <c r="AO116">
        <f ca="1"/>
      </c>
      <c r="AP116">
        <f ca="1"/>
      </c>
      <c r="AQ116">
        <f ca="1"/>
      </c>
      <c r="AR116">
        <f ca="1"/>
      </c>
      <c r="AT116" s="7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BA116" s="7">
        <f ca="1"/>
      </c>
      <c r="BB116">
        <f ca="1"/>
      </c>
      <c r="BC116">
        <f ca="1"/>
      </c>
      <c r="BD116">
        <f ca="1"/>
      </c>
      <c r="BE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</row>
    <row r="117" spans="31:73" x14ac:dyDescent="0.55000000000000004">
      <c r="AE117" s="7">
        <f ca="1"/>
      </c>
      <c r="AF117">
        <f ca="1"/>
      </c>
      <c r="AG117">
        <f ca="1"/>
      </c>
      <c r="AH117">
        <f ca="1"/>
      </c>
      <c r="AI117">
        <f ca="1"/>
      </c>
      <c r="AJ117">
        <f ca="1"/>
      </c>
      <c r="AK117">
        <f ca="1"/>
      </c>
      <c r="AL117">
        <f ca="1"/>
      </c>
      <c r="AM117">
        <f ca="1"/>
      </c>
      <c r="AN117">
        <f ca="1"/>
      </c>
      <c r="AO117">
        <f ca="1"/>
      </c>
      <c r="AP117">
        <f ca="1"/>
      </c>
      <c r="AQ117">
        <f ca="1"/>
      </c>
      <c r="AR117">
        <f ca="1"/>
      </c>
      <c r="AT117" s="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BA117" s="7">
        <f ca="1"/>
      </c>
      <c r="BB117">
        <f ca="1"/>
      </c>
      <c r="BC117">
        <f ca="1"/>
      </c>
      <c r="BD117">
        <f ca="1"/>
      </c>
      <c r="BE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</row>
    <row r="118" spans="31:73" x14ac:dyDescent="0.55000000000000004">
      <c r="AE118" s="7">
        <f ca="1"/>
      </c>
      <c r="AF118">
        <f ca="1"/>
      </c>
      <c r="AG118">
        <f ca="1"/>
      </c>
      <c r="AH118">
        <f ca="1"/>
      </c>
      <c r="AI118">
        <f ca="1"/>
      </c>
      <c r="AJ118">
        <f ca="1"/>
      </c>
      <c r="AK118">
        <f ca="1"/>
      </c>
      <c r="AL118">
        <f ca="1"/>
      </c>
      <c r="AM118">
        <f ca="1"/>
      </c>
      <c r="AN118">
        <f ca="1"/>
      </c>
      <c r="AO118">
        <f ca="1"/>
      </c>
      <c r="AP118">
        <f ca="1"/>
      </c>
      <c r="AQ118">
        <f ca="1"/>
      </c>
      <c r="AR118">
        <f ca="1"/>
      </c>
      <c r="AT118" s="7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BA118" s="7">
        <f ca="1"/>
      </c>
      <c r="BB118">
        <f ca="1"/>
      </c>
      <c r="BC118">
        <f ca="1"/>
      </c>
      <c r="BD118">
        <f ca="1"/>
      </c>
      <c r="BE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</row>
    <row r="119" spans="31:73" x14ac:dyDescent="0.55000000000000004">
      <c r="AE119" s="7">
        <f ca="1"/>
      </c>
      <c r="AF119">
        <f ca="1"/>
      </c>
      <c r="AG119">
        <f ca="1"/>
      </c>
      <c r="AH119">
        <f ca="1"/>
      </c>
      <c r="AI119">
        <f ca="1"/>
      </c>
      <c r="AJ119">
        <f ca="1"/>
      </c>
      <c r="AK119">
        <f ca="1"/>
      </c>
      <c r="AL119">
        <f ca="1"/>
      </c>
      <c r="AM119">
        <f ca="1"/>
      </c>
      <c r="AN119">
        <f ca="1"/>
      </c>
      <c r="AO119">
        <f ca="1"/>
      </c>
      <c r="AP119">
        <f ca="1"/>
      </c>
      <c r="AQ119">
        <f ca="1"/>
      </c>
      <c r="AR119">
        <f ca="1"/>
      </c>
      <c r="AT119" s="7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BA119" s="7">
        <f ca="1"/>
      </c>
      <c r="BB119">
        <f ca="1"/>
      </c>
      <c r="BC119">
        <f ca="1"/>
      </c>
      <c r="BD119">
        <f ca="1"/>
      </c>
      <c r="BE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</row>
    <row r="120" spans="31:73" x14ac:dyDescent="0.55000000000000004">
      <c r="AE120" s="7">
        <f ca="1"/>
      </c>
      <c r="AF120">
        <f ca="1"/>
      </c>
      <c r="AG120">
        <f ca="1"/>
      </c>
      <c r="AH120">
        <f ca="1"/>
      </c>
      <c r="AI120">
        <f ca="1"/>
      </c>
      <c r="AJ120">
        <f ca="1"/>
      </c>
      <c r="AK120">
        <f ca="1"/>
      </c>
      <c r="AL120">
        <f ca="1"/>
      </c>
      <c r="AM120">
        <f ca="1"/>
      </c>
      <c r="AN120">
        <f ca="1"/>
      </c>
      <c r="AO120">
        <f ca="1"/>
      </c>
      <c r="AP120">
        <f ca="1"/>
      </c>
      <c r="AQ120">
        <f ca="1"/>
      </c>
      <c r="AR120">
        <f ca="1"/>
      </c>
      <c r="AT120" s="7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BA120" s="7">
        <f ca="1"/>
      </c>
      <c r="BB120">
        <f ca="1"/>
      </c>
      <c r="BC120">
        <f ca="1"/>
      </c>
      <c r="BD120">
        <f ca="1"/>
      </c>
      <c r="BE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</row>
    <row r="121" spans="31:73" x14ac:dyDescent="0.55000000000000004">
      <c r="AE121" s="7">
        <f ca="1"/>
      </c>
      <c r="AF121">
        <f ca="1"/>
      </c>
      <c r="AG121">
        <f ca="1"/>
      </c>
      <c r="AH121">
        <f ca="1"/>
      </c>
      <c r="AI121">
        <f ca="1"/>
      </c>
      <c r="AJ121">
        <f ca="1"/>
      </c>
      <c r="AK121">
        <f ca="1"/>
      </c>
      <c r="AL121">
        <f ca="1"/>
      </c>
      <c r="AM121">
        <f ca="1"/>
      </c>
      <c r="AN121">
        <f ca="1"/>
      </c>
      <c r="AO121">
        <f ca="1"/>
      </c>
      <c r="AP121">
        <f ca="1"/>
      </c>
      <c r="AQ121">
        <f ca="1"/>
      </c>
      <c r="AR121">
        <f ca="1"/>
      </c>
      <c r="AT121" s="7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BA121" s="7">
        <f ca="1"/>
      </c>
      <c r="BB121">
        <f ca="1"/>
      </c>
      <c r="BC121">
        <f ca="1"/>
      </c>
      <c r="BD121">
        <f ca="1"/>
      </c>
      <c r="BE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</row>
    <row r="122" spans="31:73" x14ac:dyDescent="0.55000000000000004">
      <c r="AE122" s="7">
        <f ca="1"/>
      </c>
      <c r="AF122">
        <f ca="1"/>
      </c>
      <c r="AG122">
        <f ca="1"/>
      </c>
      <c r="AH122">
        <f ca="1"/>
      </c>
      <c r="AI122">
        <f ca="1"/>
      </c>
      <c r="AJ122">
        <f ca="1"/>
      </c>
      <c r="AK122">
        <f ca="1"/>
      </c>
      <c r="AL122">
        <f ca="1"/>
      </c>
      <c r="AM122">
        <f ca="1"/>
      </c>
      <c r="AN122">
        <f ca="1"/>
      </c>
      <c r="AO122">
        <f ca="1"/>
      </c>
      <c r="AP122">
        <f ca="1"/>
      </c>
      <c r="AQ122">
        <f ca="1"/>
      </c>
      <c r="AR122">
        <f ca="1"/>
      </c>
      <c r="AT122" s="7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BA122" s="7">
        <f ca="1"/>
      </c>
      <c r="BB122">
        <f ca="1"/>
      </c>
      <c r="BC122">
        <f ca="1"/>
      </c>
      <c r="BD122">
        <f ca="1"/>
      </c>
      <c r="BE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</row>
    <row r="123" spans="31:73" x14ac:dyDescent="0.55000000000000004">
      <c r="AE123" s="7">
        <f ca="1"/>
      </c>
      <c r="AF123">
        <f ca="1"/>
      </c>
      <c r="AG123">
        <f ca="1"/>
      </c>
      <c r="AH123">
        <f ca="1"/>
      </c>
      <c r="AI123">
        <f ca="1"/>
      </c>
      <c r="AJ123">
        <f ca="1"/>
      </c>
      <c r="AK123">
        <f ca="1"/>
      </c>
      <c r="AL123">
        <f ca="1"/>
      </c>
      <c r="AM123">
        <f ca="1"/>
      </c>
      <c r="AN123">
        <f ca="1"/>
      </c>
      <c r="AO123">
        <f ca="1"/>
      </c>
      <c r="AP123">
        <f ca="1"/>
      </c>
      <c r="AQ123">
        <f ca="1"/>
      </c>
      <c r="AR123">
        <f ca="1"/>
      </c>
      <c r="AT123" s="7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BA123" s="7">
        <f ca="1"/>
      </c>
      <c r="BB123">
        <f ca="1"/>
      </c>
      <c r="BC123">
        <f ca="1"/>
      </c>
      <c r="BD123">
        <f ca="1"/>
      </c>
      <c r="BE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</row>
    <row r="124" spans="31:73" x14ac:dyDescent="0.55000000000000004">
      <c r="AE124" s="7">
        <f ca="1"/>
      </c>
      <c r="AF124">
        <f ca="1"/>
      </c>
      <c r="AG124">
        <f ca="1"/>
      </c>
      <c r="AH124">
        <f ca="1"/>
      </c>
      <c r="AI124">
        <f ca="1"/>
      </c>
      <c r="AJ124">
        <f ca="1"/>
      </c>
      <c r="AK124">
        <f ca="1"/>
      </c>
      <c r="AL124">
        <f ca="1"/>
      </c>
      <c r="AM124">
        <f ca="1"/>
      </c>
      <c r="AN124">
        <f ca="1"/>
      </c>
      <c r="AO124">
        <f ca="1"/>
      </c>
      <c r="AP124">
        <f ca="1"/>
      </c>
      <c r="AQ124">
        <f ca="1"/>
      </c>
      <c r="AR124">
        <f ca="1"/>
      </c>
      <c r="AT124" s="7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BA124" s="7">
        <f ca="1"/>
      </c>
      <c r="BB124">
        <f ca="1"/>
      </c>
      <c r="BC124">
        <f ca="1"/>
      </c>
      <c r="BD124">
        <f ca="1"/>
      </c>
      <c r="BE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</row>
    <row r="125" spans="31:73" x14ac:dyDescent="0.55000000000000004">
      <c r="AE125" s="7">
        <f ca="1"/>
      </c>
      <c r="AF125">
        <f ca="1"/>
      </c>
      <c r="AG125">
        <f ca="1"/>
      </c>
      <c r="AH125">
        <f ca="1"/>
      </c>
      <c r="AI125">
        <f ca="1"/>
      </c>
      <c r="AJ125">
        <f ca="1"/>
      </c>
      <c r="AK125">
        <f ca="1"/>
      </c>
      <c r="AL125">
        <f ca="1"/>
      </c>
      <c r="AM125">
        <f ca="1"/>
      </c>
      <c r="AN125">
        <f ca="1"/>
      </c>
      <c r="AO125">
        <f ca="1"/>
      </c>
      <c r="AP125">
        <f ca="1"/>
      </c>
      <c r="AQ125">
        <f ca="1"/>
      </c>
      <c r="AR125">
        <f ca="1"/>
      </c>
      <c r="AT125" s="7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BA125" s="7">
        <f ca="1"/>
      </c>
      <c r="BB125">
        <f ca="1"/>
      </c>
      <c r="BC125">
        <f ca="1"/>
      </c>
      <c r="BD125">
        <f ca="1"/>
      </c>
      <c r="BE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</row>
    <row r="126" spans="31:73" x14ac:dyDescent="0.55000000000000004">
      <c r="AE126" s="7">
        <f ca="1"/>
      </c>
      <c r="AF126">
        <f ca="1"/>
      </c>
      <c r="AG126">
        <f ca="1"/>
      </c>
      <c r="AH126">
        <f ca="1"/>
      </c>
      <c r="AI126">
        <f ca="1"/>
      </c>
      <c r="AJ126">
        <f ca="1"/>
      </c>
      <c r="AK126">
        <f ca="1"/>
      </c>
      <c r="AL126">
        <f ca="1"/>
      </c>
      <c r="AM126">
        <f ca="1"/>
      </c>
      <c r="AN126">
        <f ca="1"/>
      </c>
      <c r="AO126">
        <f ca="1"/>
      </c>
      <c r="AP126">
        <f ca="1"/>
      </c>
      <c r="AQ126">
        <f ca="1"/>
      </c>
      <c r="AR126">
        <f ca="1"/>
      </c>
      <c r="AT126" s="7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BA126" s="7">
        <f ca="1"/>
      </c>
      <c r="BB126">
        <f ca="1"/>
      </c>
      <c r="BC126">
        <f ca="1"/>
      </c>
      <c r="BD126">
        <f ca="1"/>
      </c>
      <c r="BE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</row>
    <row r="127" spans="31:73" x14ac:dyDescent="0.55000000000000004">
      <c r="AE127" s="7">
        <f ca="1"/>
      </c>
      <c r="AF127">
        <f ca="1"/>
      </c>
      <c r="AG127">
        <f ca="1"/>
      </c>
      <c r="AH127">
        <f ca="1"/>
      </c>
      <c r="AI127">
        <f ca="1"/>
      </c>
      <c r="AJ127">
        <f ca="1"/>
      </c>
      <c r="AK127">
        <f ca="1"/>
      </c>
      <c r="AL127">
        <f ca="1"/>
      </c>
      <c r="AM127">
        <f ca="1"/>
      </c>
      <c r="AN127">
        <f ca="1"/>
      </c>
      <c r="AO127">
        <f ca="1"/>
      </c>
      <c r="AP127">
        <f ca="1"/>
      </c>
      <c r="AQ127">
        <f ca="1"/>
      </c>
      <c r="AR127">
        <f ca="1"/>
      </c>
      <c r="AT127" s="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BA127" s="7">
        <f ca="1"/>
      </c>
      <c r="BB127">
        <f ca="1"/>
      </c>
      <c r="BC127">
        <f ca="1"/>
      </c>
      <c r="BD127">
        <f ca="1"/>
      </c>
      <c r="BE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</row>
    <row r="128" spans="31:73" x14ac:dyDescent="0.55000000000000004">
      <c r="AE128" s="7">
        <f ca="1"/>
      </c>
      <c r="AF128">
        <f ca="1"/>
      </c>
      <c r="AG128">
        <f ca="1"/>
      </c>
      <c r="AH128">
        <f ca="1"/>
      </c>
      <c r="AI128">
        <f ca="1"/>
      </c>
      <c r="AJ128">
        <f ca="1"/>
      </c>
      <c r="AK128">
        <f ca="1"/>
      </c>
      <c r="AL128">
        <f ca="1"/>
      </c>
      <c r="AM128">
        <f ca="1"/>
      </c>
      <c r="AN128">
        <f ca="1"/>
      </c>
      <c r="AO128">
        <f ca="1"/>
      </c>
      <c r="AP128">
        <f ca="1"/>
      </c>
      <c r="AQ128">
        <f ca="1"/>
      </c>
      <c r="AR128">
        <f ca="1"/>
      </c>
      <c r="AT128" s="7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BA128" s="7">
        <f ca="1"/>
      </c>
      <c r="BB128">
        <f ca="1"/>
      </c>
      <c r="BC128">
        <f ca="1"/>
      </c>
      <c r="BD128">
        <f ca="1"/>
      </c>
      <c r="BE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</row>
    <row r="129" spans="31:73" x14ac:dyDescent="0.55000000000000004">
      <c r="AE129" s="7">
        <f ca="1"/>
      </c>
      <c r="AF129">
        <f ca="1"/>
      </c>
      <c r="AG129">
        <f ca="1"/>
      </c>
      <c r="AH129">
        <f ca="1"/>
      </c>
      <c r="AI129">
        <f ca="1"/>
      </c>
      <c r="AJ129">
        <f ca="1"/>
      </c>
      <c r="AK129">
        <f ca="1"/>
      </c>
      <c r="AL129">
        <f ca="1"/>
      </c>
      <c r="AM129">
        <f ca="1"/>
      </c>
      <c r="AN129">
        <f ca="1"/>
      </c>
      <c r="AO129">
        <f ca="1"/>
      </c>
      <c r="AP129">
        <f ca="1"/>
      </c>
      <c r="AQ129">
        <f ca="1"/>
      </c>
      <c r="AR129">
        <f ca="1"/>
      </c>
      <c r="AT129" s="7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BA129" s="7">
        <f ca="1"/>
      </c>
      <c r="BB129">
        <f ca="1"/>
      </c>
      <c r="BC129">
        <f ca="1"/>
      </c>
      <c r="BD129">
        <f ca="1"/>
      </c>
      <c r="BE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</row>
    <row r="130" spans="31:73" x14ac:dyDescent="0.55000000000000004">
      <c r="AE130" s="7">
        <f ca="1"/>
      </c>
      <c r="AF130">
        <f ca="1"/>
      </c>
      <c r="AG130">
        <f ca="1"/>
      </c>
      <c r="AH130">
        <f ca="1"/>
      </c>
      <c r="AI130">
        <f ca="1"/>
      </c>
      <c r="AJ130">
        <f ca="1"/>
      </c>
      <c r="AK130">
        <f ca="1"/>
      </c>
      <c r="AL130">
        <f ca="1"/>
      </c>
      <c r="AM130">
        <f ca="1"/>
      </c>
      <c r="AN130">
        <f ca="1"/>
      </c>
      <c r="AO130">
        <f ca="1"/>
      </c>
      <c r="AP130">
        <f ca="1"/>
      </c>
      <c r="AQ130">
        <f ca="1"/>
      </c>
      <c r="AR130">
        <f ca="1"/>
      </c>
      <c r="AT130" s="7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BA130" s="7">
        <f ca="1"/>
      </c>
      <c r="BB130">
        <f ca="1"/>
      </c>
      <c r="BC130">
        <f ca="1"/>
      </c>
      <c r="BD130">
        <f ca="1"/>
      </c>
      <c r="BE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</row>
    <row r="131" spans="31:73" x14ac:dyDescent="0.55000000000000004">
      <c r="AE131" s="7">
        <f ca="1"/>
      </c>
      <c r="AF131">
        <f ca="1"/>
      </c>
      <c r="AG131">
        <f ca="1"/>
      </c>
      <c r="AH131">
        <f ca="1"/>
      </c>
      <c r="AI131">
        <f ca="1"/>
      </c>
      <c r="AJ131">
        <f ca="1"/>
      </c>
      <c r="AK131">
        <f ca="1"/>
      </c>
      <c r="AL131">
        <f ca="1"/>
      </c>
      <c r="AM131">
        <f ca="1"/>
      </c>
      <c r="AN131">
        <f ca="1"/>
      </c>
      <c r="AO131">
        <f ca="1"/>
      </c>
      <c r="AP131">
        <f ca="1"/>
      </c>
      <c r="AQ131">
        <f ca="1"/>
      </c>
      <c r="AR131">
        <f ca="1"/>
      </c>
      <c r="AT131" s="7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BA131" s="7">
        <f ca="1"/>
      </c>
      <c r="BB131">
        <f ca="1"/>
      </c>
      <c r="BC131">
        <f ca="1"/>
      </c>
      <c r="BD131">
        <f ca="1"/>
      </c>
      <c r="BE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</row>
    <row r="132" spans="31:73" x14ac:dyDescent="0.55000000000000004">
      <c r="AE132" s="7">
        <f ca="1"/>
      </c>
      <c r="AF132">
        <f ca="1"/>
      </c>
      <c r="AG132">
        <f ca="1"/>
      </c>
      <c r="AH132">
        <f ca="1"/>
      </c>
      <c r="AI132">
        <f ca="1"/>
      </c>
      <c r="AJ132">
        <f ca="1"/>
      </c>
      <c r="AK132">
        <f ca="1"/>
      </c>
      <c r="AL132">
        <f ca="1"/>
      </c>
      <c r="AM132">
        <f ca="1"/>
      </c>
      <c r="AN132">
        <f ca="1"/>
      </c>
      <c r="AO132">
        <f ca="1"/>
      </c>
      <c r="AP132">
        <f ca="1"/>
      </c>
      <c r="AQ132">
        <f ca="1"/>
      </c>
      <c r="AR132">
        <f ca="1"/>
      </c>
      <c r="AT132" s="7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BA132" s="7">
        <f ca="1"/>
      </c>
      <c r="BB132">
        <f ca="1"/>
      </c>
      <c r="BC132">
        <f ca="1"/>
      </c>
      <c r="BD132">
        <f ca="1"/>
      </c>
      <c r="BE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</row>
    <row r="133" spans="31:73" x14ac:dyDescent="0.55000000000000004">
      <c r="AE133" s="7">
        <f ca="1"/>
      </c>
      <c r="AF133">
        <f ca="1"/>
      </c>
      <c r="AG133">
        <f ca="1"/>
      </c>
      <c r="AH133">
        <f ca="1"/>
      </c>
      <c r="AI133">
        <f ca="1"/>
      </c>
      <c r="AJ133">
        <f ca="1"/>
      </c>
      <c r="AK133">
        <f ca="1"/>
      </c>
      <c r="AL133">
        <f ca="1"/>
      </c>
      <c r="AM133">
        <f ca="1"/>
      </c>
      <c r="AN133">
        <f ca="1"/>
      </c>
      <c r="AO133">
        <f ca="1"/>
      </c>
      <c r="AP133">
        <f ca="1"/>
      </c>
      <c r="AQ133">
        <f ca="1"/>
      </c>
      <c r="AR133">
        <f ca="1"/>
      </c>
      <c r="AT133" s="7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BA133" s="7">
        <f ca="1"/>
      </c>
      <c r="BB133">
        <f ca="1"/>
      </c>
      <c r="BC133">
        <f ca="1"/>
      </c>
      <c r="BD133">
        <f ca="1"/>
      </c>
      <c r="BE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</row>
    <row r="134" spans="31:73" x14ac:dyDescent="0.55000000000000004">
      <c r="AE134" s="7">
        <f ca="1"/>
      </c>
      <c r="AF134">
        <f ca="1"/>
      </c>
      <c r="AG134">
        <f ca="1"/>
      </c>
      <c r="AH134">
        <f ca="1"/>
      </c>
      <c r="AI134">
        <f ca="1"/>
      </c>
      <c r="AJ134">
        <f ca="1"/>
      </c>
      <c r="AK134">
        <f ca="1"/>
      </c>
      <c r="AL134">
        <f ca="1"/>
      </c>
      <c r="AM134">
        <f ca="1"/>
      </c>
      <c r="AN134">
        <f ca="1"/>
      </c>
      <c r="AO134">
        <f ca="1"/>
      </c>
      <c r="AP134">
        <f ca="1"/>
      </c>
      <c r="AQ134">
        <f ca="1"/>
      </c>
      <c r="AR134">
        <f ca="1"/>
      </c>
      <c r="AT134" s="7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BA134" s="7">
        <f ca="1"/>
      </c>
      <c r="BB134">
        <f ca="1"/>
      </c>
      <c r="BC134">
        <f ca="1"/>
      </c>
      <c r="BD134">
        <f ca="1"/>
      </c>
      <c r="BE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</row>
    <row r="135" spans="31:73" x14ac:dyDescent="0.55000000000000004">
      <c r="AE135" s="7">
        <f ca="1"/>
      </c>
      <c r="AF135">
        <f ca="1"/>
      </c>
      <c r="AG135">
        <f ca="1"/>
      </c>
      <c r="AH135">
        <f ca="1"/>
      </c>
      <c r="AI135">
        <f ca="1"/>
      </c>
      <c r="AJ135">
        <f ca="1"/>
      </c>
      <c r="AK135">
        <f ca="1"/>
      </c>
      <c r="AL135">
        <f ca="1"/>
      </c>
      <c r="AM135">
        <f ca="1"/>
      </c>
      <c r="AN135">
        <f ca="1"/>
      </c>
      <c r="AO135">
        <f ca="1"/>
      </c>
      <c r="AP135">
        <f ca="1"/>
      </c>
      <c r="AQ135">
        <f ca="1"/>
      </c>
      <c r="AR135">
        <f ca="1"/>
      </c>
      <c r="AT135" s="7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BA135" s="7">
        <f ca="1"/>
      </c>
      <c r="BB135">
        <f ca="1"/>
      </c>
      <c r="BC135">
        <f ca="1"/>
      </c>
      <c r="BD135">
        <f ca="1"/>
      </c>
      <c r="BE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</row>
    <row r="136" spans="31:73" x14ac:dyDescent="0.55000000000000004">
      <c r="AE136" s="7">
        <f ca="1"/>
      </c>
      <c r="AF136">
        <f ca="1"/>
      </c>
      <c r="AG136">
        <f ca="1"/>
      </c>
      <c r="AH136">
        <f ca="1"/>
      </c>
      <c r="AI136">
        <f ca="1"/>
      </c>
      <c r="AJ136">
        <f ca="1"/>
      </c>
      <c r="AK136">
        <f ca="1"/>
      </c>
      <c r="AL136">
        <f ca="1"/>
      </c>
      <c r="AM136">
        <f ca="1"/>
      </c>
      <c r="AN136">
        <f ca="1"/>
      </c>
      <c r="AO136">
        <f ca="1"/>
      </c>
      <c r="AP136">
        <f ca="1"/>
      </c>
      <c r="AQ136">
        <f ca="1"/>
      </c>
      <c r="AR136">
        <f ca="1"/>
      </c>
      <c r="AT136" s="7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BA136" s="7">
        <f ca="1"/>
      </c>
      <c r="BB136">
        <f ca="1"/>
      </c>
      <c r="BC136">
        <f ca="1"/>
      </c>
      <c r="BD136">
        <f ca="1"/>
      </c>
      <c r="BE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</row>
    <row r="137" spans="31:73" x14ac:dyDescent="0.55000000000000004">
      <c r="AE137" s="7">
        <f ca="1"/>
      </c>
      <c r="AF137">
        <f ca="1"/>
      </c>
      <c r="AG137">
        <f ca="1"/>
      </c>
      <c r="AH137">
        <f ca="1"/>
      </c>
      <c r="AI137">
        <f ca="1"/>
      </c>
      <c r="AJ137">
        <f ca="1"/>
      </c>
      <c r="AK137">
        <f ca="1"/>
      </c>
      <c r="AL137">
        <f ca="1"/>
      </c>
      <c r="AM137">
        <f ca="1"/>
      </c>
      <c r="AN137">
        <f ca="1"/>
      </c>
      <c r="AO137">
        <f ca="1"/>
      </c>
      <c r="AP137">
        <f ca="1"/>
      </c>
      <c r="AQ137">
        <f ca="1"/>
      </c>
      <c r="AR137">
        <f ca="1"/>
      </c>
      <c r="AT137" s="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BA137" s="7">
        <f ca="1"/>
      </c>
      <c r="BB137">
        <f ca="1"/>
      </c>
      <c r="BC137">
        <f ca="1"/>
      </c>
      <c r="BD137">
        <f ca="1"/>
      </c>
      <c r="BE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</row>
    <row r="138" spans="31:73" x14ac:dyDescent="0.55000000000000004">
      <c r="AE138" s="7">
        <f ca="1"/>
      </c>
      <c r="AF138">
        <f ca="1"/>
      </c>
      <c r="AG138">
        <f ca="1"/>
      </c>
      <c r="AH138">
        <f ca="1"/>
      </c>
      <c r="AI138">
        <f ca="1"/>
      </c>
      <c r="AJ138">
        <f ca="1"/>
      </c>
      <c r="AK138">
        <f ca="1"/>
      </c>
      <c r="AL138">
        <f ca="1"/>
      </c>
      <c r="AM138">
        <f ca="1"/>
      </c>
      <c r="AN138">
        <f ca="1"/>
      </c>
      <c r="AO138">
        <f ca="1"/>
      </c>
      <c r="AP138">
        <f ca="1"/>
      </c>
      <c r="AQ138">
        <f ca="1"/>
      </c>
      <c r="AR138">
        <f ca="1"/>
      </c>
      <c r="AT138" s="7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BA138" s="7">
        <f ca="1"/>
      </c>
      <c r="BB138">
        <f ca="1"/>
      </c>
      <c r="BC138">
        <f ca="1"/>
      </c>
      <c r="BD138">
        <f ca="1"/>
      </c>
      <c r="BE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</row>
    <row r="139" spans="31:73" x14ac:dyDescent="0.55000000000000004">
      <c r="AE139" s="7">
        <f ca="1"/>
      </c>
      <c r="AF139">
        <f ca="1"/>
      </c>
      <c r="AG139">
        <f ca="1"/>
      </c>
      <c r="AH139">
        <f ca="1"/>
      </c>
      <c r="AI139">
        <f ca="1"/>
      </c>
      <c r="AJ139">
        <f ca="1"/>
      </c>
      <c r="AK139">
        <f ca="1"/>
      </c>
      <c r="AL139">
        <f ca="1"/>
      </c>
      <c r="AM139">
        <f ca="1"/>
      </c>
      <c r="AN139">
        <f ca="1"/>
      </c>
      <c r="AO139">
        <f ca="1"/>
      </c>
      <c r="AP139">
        <f ca="1"/>
      </c>
      <c r="AQ139">
        <f ca="1"/>
      </c>
      <c r="AR139">
        <f ca="1"/>
      </c>
      <c r="AT139" s="7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BA139" s="7">
        <f ca="1"/>
      </c>
      <c r="BB139">
        <f ca="1"/>
      </c>
      <c r="BC139">
        <f ca="1"/>
      </c>
      <c r="BD139">
        <f ca="1"/>
      </c>
      <c r="BE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</row>
    <row r="140" spans="31:73" x14ac:dyDescent="0.55000000000000004">
      <c r="AE140" s="7">
        <f ca="1"/>
      </c>
      <c r="AF140">
        <f ca="1"/>
      </c>
      <c r="AG140">
        <f ca="1"/>
      </c>
      <c r="AH140">
        <f ca="1"/>
      </c>
      <c r="AI140">
        <f ca="1"/>
      </c>
      <c r="AJ140">
        <f ca="1"/>
      </c>
      <c r="AK140">
        <f ca="1"/>
      </c>
      <c r="AL140">
        <f ca="1"/>
      </c>
      <c r="AM140">
        <f ca="1"/>
      </c>
      <c r="AN140">
        <f ca="1"/>
      </c>
      <c r="AO140">
        <f ca="1"/>
      </c>
      <c r="AP140">
        <f ca="1"/>
      </c>
      <c r="AQ140">
        <f ca="1"/>
      </c>
      <c r="AR140">
        <f ca="1"/>
      </c>
      <c r="AT140" s="7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BA140" s="7">
        <f ca="1"/>
      </c>
      <c r="BB140">
        <f ca="1"/>
      </c>
      <c r="BC140">
        <f ca="1"/>
      </c>
      <c r="BD140">
        <f ca="1"/>
      </c>
      <c r="BE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</row>
    <row r="141" spans="31:73" x14ac:dyDescent="0.55000000000000004">
      <c r="AE141" s="7">
        <f ca="1"/>
      </c>
      <c r="AF141">
        <f ca="1"/>
      </c>
      <c r="AG141">
        <f ca="1"/>
      </c>
      <c r="AH141">
        <f ca="1"/>
      </c>
      <c r="AI141">
        <f ca="1"/>
      </c>
      <c r="AJ141">
        <f ca="1"/>
      </c>
      <c r="AK141">
        <f ca="1"/>
      </c>
      <c r="AL141">
        <f ca="1"/>
      </c>
      <c r="AM141">
        <f ca="1"/>
      </c>
      <c r="AN141">
        <f ca="1"/>
      </c>
      <c r="AO141">
        <f ca="1"/>
      </c>
      <c r="AP141">
        <f ca="1"/>
      </c>
      <c r="AQ141">
        <f ca="1"/>
      </c>
      <c r="AR141">
        <f ca="1"/>
      </c>
      <c r="AT141" s="7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BA141" s="7">
        <f ca="1"/>
      </c>
      <c r="BB141">
        <f ca="1"/>
      </c>
      <c r="BC141">
        <f ca="1"/>
      </c>
      <c r="BD141">
        <f ca="1"/>
      </c>
      <c r="BE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</row>
    <row r="142" spans="31:73" x14ac:dyDescent="0.55000000000000004">
      <c r="AE142" s="7">
        <f ca="1"/>
      </c>
      <c r="AF142">
        <f ca="1"/>
      </c>
      <c r="AG142">
        <f ca="1"/>
      </c>
      <c r="AH142">
        <f ca="1"/>
      </c>
      <c r="AI142">
        <f ca="1"/>
      </c>
      <c r="AJ142">
        <f ca="1"/>
      </c>
      <c r="AK142">
        <f ca="1"/>
      </c>
      <c r="AL142">
        <f ca="1"/>
      </c>
      <c r="AM142">
        <f ca="1"/>
      </c>
      <c r="AN142">
        <f ca="1"/>
      </c>
      <c r="AO142">
        <f ca="1"/>
      </c>
      <c r="AP142">
        <f ca="1"/>
      </c>
      <c r="AQ142">
        <f ca="1"/>
      </c>
      <c r="AR142">
        <f ca="1"/>
      </c>
      <c r="AT142" s="7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BA142" s="7">
        <f ca="1"/>
      </c>
      <c r="BB142">
        <f ca="1"/>
      </c>
      <c r="BC142">
        <f ca="1"/>
      </c>
      <c r="BD142">
        <f ca="1"/>
      </c>
      <c r="BE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</row>
    <row r="143" spans="31:73" x14ac:dyDescent="0.55000000000000004">
      <c r="AE143" s="7">
        <f ca="1"/>
      </c>
      <c r="AF143">
        <f ca="1"/>
      </c>
      <c r="AG143">
        <f ca="1"/>
      </c>
      <c r="AH143">
        <f ca="1"/>
      </c>
      <c r="AI143">
        <f ca="1"/>
      </c>
      <c r="AJ143">
        <f ca="1"/>
      </c>
      <c r="AK143">
        <f ca="1"/>
      </c>
      <c r="AL143">
        <f ca="1"/>
      </c>
      <c r="AM143">
        <f ca="1"/>
      </c>
      <c r="AN143">
        <f ca="1"/>
      </c>
      <c r="AO143">
        <f ca="1"/>
      </c>
      <c r="AP143">
        <f ca="1"/>
      </c>
      <c r="AQ143">
        <f ca="1"/>
      </c>
      <c r="AR143">
        <f ca="1"/>
      </c>
      <c r="AT143" s="7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BA143" s="7">
        <f ca="1"/>
      </c>
      <c r="BB143">
        <f ca="1"/>
      </c>
      <c r="BC143">
        <f ca="1"/>
      </c>
      <c r="BD143">
        <f ca="1"/>
      </c>
      <c r="BE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</row>
    <row r="144" spans="31:73" x14ac:dyDescent="0.55000000000000004">
      <c r="AE144" s="7">
        <f ca="1"/>
      </c>
      <c r="AF144">
        <f ca="1"/>
      </c>
      <c r="AG144">
        <f ca="1"/>
      </c>
      <c r="AH144">
        <f ca="1"/>
      </c>
      <c r="AI144">
        <f ca="1"/>
      </c>
      <c r="AJ144">
        <f ca="1"/>
      </c>
      <c r="AK144">
        <f ca="1"/>
      </c>
      <c r="AL144">
        <f ca="1"/>
      </c>
      <c r="AM144">
        <f ca="1"/>
      </c>
      <c r="AN144">
        <f ca="1"/>
      </c>
      <c r="AO144">
        <f ca="1"/>
      </c>
      <c r="AP144">
        <f ca="1"/>
      </c>
      <c r="AQ144">
        <f ca="1"/>
      </c>
      <c r="AR144">
        <f ca="1"/>
      </c>
      <c r="AT144" s="7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BA144" s="7">
        <f ca="1"/>
      </c>
      <c r="BB144">
        <f ca="1"/>
      </c>
      <c r="BC144">
        <f ca="1"/>
      </c>
      <c r="BD144">
        <f ca="1"/>
      </c>
      <c r="BE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</row>
    <row r="145" spans="31:73" x14ac:dyDescent="0.55000000000000004">
      <c r="AE145" s="7">
        <f ca="1"/>
      </c>
      <c r="AF145">
        <f ca="1"/>
      </c>
      <c r="AG145">
        <f ca="1"/>
      </c>
      <c r="AH145">
        <f ca="1"/>
      </c>
      <c r="AI145">
        <f ca="1"/>
      </c>
      <c r="AJ145">
        <f ca="1"/>
      </c>
      <c r="AK145">
        <f ca="1"/>
      </c>
      <c r="AL145">
        <f ca="1"/>
      </c>
      <c r="AM145">
        <f ca="1"/>
      </c>
      <c r="AN145">
        <f ca="1"/>
      </c>
      <c r="AO145">
        <f ca="1"/>
      </c>
      <c r="AP145">
        <f ca="1"/>
      </c>
      <c r="AQ145">
        <f ca="1"/>
      </c>
      <c r="AR145">
        <f ca="1"/>
      </c>
      <c r="AT145" s="7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BA145" s="7">
        <f ca="1"/>
      </c>
      <c r="BB145">
        <f ca="1"/>
      </c>
      <c r="BC145">
        <f ca="1"/>
      </c>
      <c r="BD145">
        <f ca="1"/>
      </c>
      <c r="BE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</row>
    <row r="146" spans="31:73" x14ac:dyDescent="0.55000000000000004">
      <c r="AE146" s="7">
        <f ca="1"/>
      </c>
      <c r="AF146">
        <f ca="1"/>
      </c>
      <c r="AG146">
        <f ca="1"/>
      </c>
      <c r="AH146">
        <f ca="1"/>
      </c>
      <c r="AI146">
        <f ca="1"/>
      </c>
      <c r="AJ146">
        <f ca="1"/>
      </c>
      <c r="AK146">
        <f ca="1"/>
      </c>
      <c r="AL146">
        <f ca="1"/>
      </c>
      <c r="AM146">
        <f ca="1"/>
      </c>
      <c r="AN146">
        <f ca="1"/>
      </c>
      <c r="AO146">
        <f ca="1"/>
      </c>
      <c r="AP146">
        <f ca="1"/>
      </c>
      <c r="AQ146">
        <f ca="1"/>
      </c>
      <c r="AR146">
        <f ca="1"/>
      </c>
      <c r="AT146" s="7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BA146" s="7">
        <f ca="1"/>
      </c>
      <c r="BB146">
        <f ca="1"/>
      </c>
      <c r="BC146">
        <f ca="1"/>
      </c>
      <c r="BD146">
        <f ca="1"/>
      </c>
      <c r="BE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</row>
    <row r="147" spans="31:73" x14ac:dyDescent="0.55000000000000004">
      <c r="AE147" s="7">
        <f ca="1"/>
      </c>
      <c r="AF147">
        <f ca="1"/>
      </c>
      <c r="AG147">
        <f ca="1"/>
      </c>
      <c r="AH147">
        <f ca="1"/>
      </c>
      <c r="AI147">
        <f ca="1"/>
      </c>
      <c r="AJ147">
        <f ca="1"/>
      </c>
      <c r="AK147">
        <f ca="1"/>
      </c>
      <c r="AL147">
        <f ca="1"/>
      </c>
      <c r="AM147">
        <f ca="1"/>
      </c>
      <c r="AN147">
        <f ca="1"/>
      </c>
      <c r="AO147">
        <f ca="1"/>
      </c>
      <c r="AP147">
        <f ca="1"/>
      </c>
      <c r="AQ147">
        <f ca="1"/>
      </c>
      <c r="AR147">
        <f ca="1"/>
      </c>
      <c r="AT147" s="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BA147" s="7">
        <f ca="1"/>
      </c>
      <c r="BB147">
        <f ca="1"/>
      </c>
      <c r="BC147">
        <f ca="1"/>
      </c>
      <c r="BD147">
        <f ca="1"/>
      </c>
      <c r="BE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</row>
    <row r="148" spans="31:73" x14ac:dyDescent="0.55000000000000004">
      <c r="AE148" s="7">
        <f ca="1"/>
      </c>
      <c r="AF148">
        <f ca="1"/>
      </c>
      <c r="AG148">
        <f ca="1"/>
      </c>
      <c r="AH148">
        <f ca="1"/>
      </c>
      <c r="AI148">
        <f ca="1"/>
      </c>
      <c r="AJ148">
        <f ca="1"/>
      </c>
      <c r="AK148">
        <f ca="1"/>
      </c>
      <c r="AL148">
        <f ca="1"/>
      </c>
      <c r="AM148">
        <f ca="1"/>
      </c>
      <c r="AN148">
        <f ca="1"/>
      </c>
      <c r="AO148">
        <f ca="1"/>
      </c>
      <c r="AP148">
        <f ca="1"/>
      </c>
      <c r="AQ148">
        <f ca="1"/>
      </c>
      <c r="AR148">
        <f ca="1"/>
      </c>
      <c r="AT148" s="7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BA148" s="7">
        <f ca="1"/>
      </c>
      <c r="BB148">
        <f ca="1"/>
      </c>
      <c r="BC148">
        <f ca="1"/>
      </c>
      <c r="BD148">
        <f ca="1"/>
      </c>
      <c r="BE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</row>
    <row r="149" spans="31:73" x14ac:dyDescent="0.55000000000000004">
      <c r="AE149" s="7">
        <f ca="1"/>
      </c>
      <c r="AF149">
        <f ca="1"/>
      </c>
      <c r="AG149">
        <f ca="1"/>
      </c>
      <c r="AH149">
        <f ca="1"/>
      </c>
      <c r="AI149">
        <f ca="1"/>
      </c>
      <c r="AJ149">
        <f ca="1"/>
      </c>
      <c r="AK149">
        <f ca="1"/>
      </c>
      <c r="AL149">
        <f ca="1"/>
      </c>
      <c r="AM149">
        <f ca="1"/>
      </c>
      <c r="AN149">
        <f ca="1"/>
      </c>
      <c r="AO149">
        <f ca="1"/>
      </c>
      <c r="AP149">
        <f ca="1"/>
      </c>
      <c r="AQ149">
        <f ca="1"/>
      </c>
      <c r="AR149">
        <f ca="1"/>
      </c>
      <c r="AT149" s="7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BA149" s="7">
        <f ca="1"/>
      </c>
      <c r="BB149">
        <f ca="1"/>
      </c>
      <c r="BC149">
        <f ca="1"/>
      </c>
      <c r="BD149">
        <f ca="1"/>
      </c>
      <c r="BE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</row>
    <row r="150" spans="31:73" x14ac:dyDescent="0.55000000000000004">
      <c r="AE150" s="7">
        <f ca="1"/>
      </c>
      <c r="AF150">
        <f ca="1"/>
      </c>
      <c r="AG150">
        <f ca="1"/>
      </c>
      <c r="AH150">
        <f ca="1"/>
      </c>
      <c r="AI150">
        <f ca="1"/>
      </c>
      <c r="AJ150">
        <f ca="1"/>
      </c>
      <c r="AK150">
        <f ca="1"/>
      </c>
      <c r="AL150">
        <f ca="1"/>
      </c>
      <c r="AM150">
        <f ca="1"/>
      </c>
      <c r="AN150">
        <f ca="1"/>
      </c>
      <c r="AO150">
        <f ca="1"/>
      </c>
      <c r="AP150">
        <f ca="1"/>
      </c>
      <c r="AQ150">
        <f ca="1"/>
      </c>
      <c r="AR150">
        <f ca="1"/>
      </c>
      <c r="AT150" s="7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BA150" s="7">
        <f ca="1"/>
      </c>
      <c r="BB150">
        <f ca="1"/>
      </c>
      <c r="BC150">
        <f ca="1"/>
      </c>
      <c r="BD150">
        <f ca="1"/>
      </c>
      <c r="BE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</row>
    <row r="151" spans="31:73" x14ac:dyDescent="0.55000000000000004">
      <c r="AE151" s="7">
        <f ca="1"/>
      </c>
      <c r="AF151">
        <f ca="1"/>
      </c>
      <c r="AG151">
        <f ca="1"/>
      </c>
      <c r="AH151">
        <f ca="1"/>
      </c>
      <c r="AI151">
        <f ca="1"/>
      </c>
      <c r="AJ151">
        <f ca="1"/>
      </c>
      <c r="AK151">
        <f ca="1"/>
      </c>
      <c r="AL151">
        <f ca="1"/>
      </c>
      <c r="AM151">
        <f ca="1"/>
      </c>
      <c r="AN151">
        <f ca="1"/>
      </c>
      <c r="AO151">
        <f ca="1"/>
      </c>
      <c r="AP151">
        <f ca="1"/>
      </c>
      <c r="AQ151">
        <f ca="1"/>
      </c>
      <c r="AR151">
        <f ca="1"/>
      </c>
      <c r="AT151" s="7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BA151" s="7">
        <f ca="1"/>
      </c>
      <c r="BB151">
        <f ca="1"/>
      </c>
      <c r="BC151">
        <f ca="1"/>
      </c>
      <c r="BD151">
        <f ca="1"/>
      </c>
      <c r="BE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</row>
    <row r="152" spans="31:73" x14ac:dyDescent="0.55000000000000004">
      <c r="AE152" s="7">
        <f ca="1"/>
      </c>
      <c r="AF152">
        <f ca="1"/>
      </c>
      <c r="AG152">
        <f ca="1"/>
      </c>
      <c r="AH152">
        <f ca="1"/>
      </c>
      <c r="AI152">
        <f ca="1"/>
      </c>
      <c r="AJ152">
        <f ca="1"/>
      </c>
      <c r="AK152">
        <f ca="1"/>
      </c>
      <c r="AL152">
        <f ca="1"/>
      </c>
      <c r="AM152">
        <f ca="1"/>
      </c>
      <c r="AN152">
        <f ca="1"/>
      </c>
      <c r="AO152">
        <f ca="1"/>
      </c>
      <c r="AP152">
        <f ca="1"/>
      </c>
      <c r="AQ152">
        <f ca="1"/>
      </c>
      <c r="AR152">
        <f ca="1"/>
      </c>
      <c r="AT152" s="7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BA152" s="7">
        <f ca="1"/>
      </c>
      <c r="BB152">
        <f ca="1"/>
      </c>
      <c r="BC152">
        <f ca="1"/>
      </c>
      <c r="BD152">
        <f ca="1"/>
      </c>
      <c r="BE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</row>
    <row r="153" spans="31:73" x14ac:dyDescent="0.55000000000000004">
      <c r="AE153" s="7">
        <f ca="1"/>
      </c>
      <c r="AF153">
        <f ca="1"/>
      </c>
      <c r="AG153">
        <f ca="1"/>
      </c>
      <c r="AH153">
        <f ca="1"/>
      </c>
      <c r="AI153">
        <f ca="1"/>
      </c>
      <c r="AJ153">
        <f ca="1"/>
      </c>
      <c r="AK153">
        <f ca="1"/>
      </c>
      <c r="AL153">
        <f ca="1"/>
      </c>
      <c r="AM153">
        <f ca="1"/>
      </c>
      <c r="AN153">
        <f ca="1"/>
      </c>
      <c r="AO153">
        <f ca="1"/>
      </c>
      <c r="AP153">
        <f ca="1"/>
      </c>
      <c r="AQ153">
        <f ca="1"/>
      </c>
      <c r="AR153">
        <f ca="1"/>
      </c>
      <c r="AT153" s="7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BA153" s="7">
        <f ca="1"/>
      </c>
      <c r="BB153">
        <f ca="1"/>
      </c>
      <c r="BC153">
        <f ca="1"/>
      </c>
      <c r="BD153">
        <f ca="1"/>
      </c>
      <c r="BE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</row>
    <row r="154" spans="31:73" x14ac:dyDescent="0.55000000000000004">
      <c r="AE154" s="7">
        <f ca="1"/>
      </c>
      <c r="AF154">
        <f ca="1"/>
      </c>
      <c r="AG154">
        <f ca="1"/>
      </c>
      <c r="AH154">
        <f ca="1"/>
      </c>
      <c r="AI154">
        <f ca="1"/>
      </c>
      <c r="AJ154">
        <f ca="1"/>
      </c>
      <c r="AK154">
        <f ca="1"/>
      </c>
      <c r="AL154">
        <f ca="1"/>
      </c>
      <c r="AM154">
        <f ca="1"/>
      </c>
      <c r="AN154">
        <f ca="1"/>
      </c>
      <c r="AO154">
        <f ca="1"/>
      </c>
      <c r="AP154">
        <f ca="1"/>
      </c>
      <c r="AQ154">
        <f ca="1"/>
      </c>
      <c r="AR154">
        <f ca="1"/>
      </c>
      <c r="AT154" s="7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BA154" s="7">
        <f ca="1"/>
      </c>
      <c r="BB154">
        <f ca="1"/>
      </c>
      <c r="BC154">
        <f ca="1"/>
      </c>
      <c r="BD154">
        <f ca="1"/>
      </c>
      <c r="BE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</row>
    <row r="155" spans="31:73" x14ac:dyDescent="0.55000000000000004">
      <c r="AE155" s="7">
        <f ca="1"/>
      </c>
      <c r="AF155">
        <f ca="1"/>
      </c>
      <c r="AG155">
        <f ca="1"/>
      </c>
      <c r="AH155">
        <f ca="1"/>
      </c>
      <c r="AI155">
        <f ca="1"/>
      </c>
      <c r="AJ155">
        <f ca="1"/>
      </c>
      <c r="AK155">
        <f ca="1"/>
      </c>
      <c r="AL155">
        <f ca="1"/>
      </c>
      <c r="AM155">
        <f ca="1"/>
      </c>
      <c r="AN155">
        <f ca="1"/>
      </c>
      <c r="AO155">
        <f ca="1"/>
      </c>
      <c r="AP155">
        <f ca="1"/>
      </c>
      <c r="AQ155">
        <f ca="1"/>
      </c>
      <c r="AR155">
        <f ca="1"/>
      </c>
      <c r="AT155" s="7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BA155" s="7">
        <f ca="1"/>
      </c>
      <c r="BB155">
        <f ca="1"/>
      </c>
      <c r="BC155">
        <f ca="1"/>
      </c>
      <c r="BD155">
        <f ca="1"/>
      </c>
      <c r="BE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</row>
    <row r="156" spans="31:73" x14ac:dyDescent="0.55000000000000004">
      <c r="AE156" s="7">
        <f ca="1"/>
      </c>
      <c r="AF156">
        <f ca="1"/>
      </c>
      <c r="AG156">
        <f ca="1"/>
      </c>
      <c r="AH156">
        <f ca="1"/>
      </c>
      <c r="AI156">
        <f ca="1"/>
      </c>
      <c r="AJ156">
        <f ca="1"/>
      </c>
      <c r="AK156">
        <f ca="1"/>
      </c>
      <c r="AL156">
        <f ca="1"/>
      </c>
      <c r="AM156">
        <f ca="1"/>
      </c>
      <c r="AN156">
        <f ca="1"/>
      </c>
      <c r="AO156">
        <f ca="1"/>
      </c>
      <c r="AP156">
        <f ca="1"/>
      </c>
      <c r="AQ156">
        <f ca="1"/>
      </c>
      <c r="AR156">
        <f ca="1"/>
      </c>
      <c r="AT156" s="7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BA156" s="7">
        <f ca="1"/>
      </c>
      <c r="BB156">
        <f ca="1"/>
      </c>
      <c r="BC156">
        <f ca="1"/>
      </c>
      <c r="BD156">
        <f ca="1"/>
      </c>
      <c r="BE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</row>
    <row r="157" spans="31:73" x14ac:dyDescent="0.55000000000000004">
      <c r="AE157" s="7">
        <f ca="1"/>
      </c>
      <c r="AF157">
        <f ca="1"/>
      </c>
      <c r="AG157">
        <f ca="1"/>
      </c>
      <c r="AH157">
        <f ca="1"/>
      </c>
      <c r="AI157">
        <f ca="1"/>
      </c>
      <c r="AJ157">
        <f ca="1"/>
      </c>
      <c r="AK157">
        <f ca="1"/>
      </c>
      <c r="AL157">
        <f ca="1"/>
      </c>
      <c r="AM157">
        <f ca="1"/>
      </c>
      <c r="AN157">
        <f ca="1"/>
      </c>
      <c r="AO157">
        <f ca="1"/>
      </c>
      <c r="AP157">
        <f ca="1"/>
      </c>
      <c r="AQ157">
        <f ca="1"/>
      </c>
      <c r="AR157">
        <f ca="1"/>
      </c>
      <c r="AT157" s="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BA157" s="7">
        <f ca="1"/>
      </c>
      <c r="BB157">
        <f ca="1"/>
      </c>
      <c r="BC157">
        <f ca="1"/>
      </c>
      <c r="BD157">
        <f ca="1"/>
      </c>
      <c r="BE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</row>
    <row r="158" spans="31:73" x14ac:dyDescent="0.55000000000000004">
      <c r="AE158" s="7">
        <f ca="1"/>
      </c>
      <c r="AF158">
        <f ca="1"/>
      </c>
      <c r="AG158">
        <f ca="1"/>
      </c>
      <c r="AH158">
        <f ca="1"/>
      </c>
      <c r="AI158">
        <f ca="1"/>
      </c>
      <c r="AJ158">
        <f ca="1"/>
      </c>
      <c r="AK158">
        <f ca="1"/>
      </c>
      <c r="AL158">
        <f ca="1"/>
      </c>
      <c r="AM158">
        <f ca="1"/>
      </c>
      <c r="AN158">
        <f ca="1"/>
      </c>
      <c r="AO158">
        <f ca="1"/>
      </c>
      <c r="AP158">
        <f ca="1"/>
      </c>
      <c r="AQ158">
        <f ca="1"/>
      </c>
      <c r="AR158">
        <f ca="1"/>
      </c>
      <c r="AT158" s="7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BA158" s="7">
        <f ca="1"/>
      </c>
      <c r="BB158">
        <f ca="1"/>
      </c>
      <c r="BC158">
        <f ca="1"/>
      </c>
      <c r="BD158">
        <f ca="1"/>
      </c>
      <c r="BE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</row>
    <row r="159" spans="31:73" x14ac:dyDescent="0.55000000000000004">
      <c r="AE159" s="7">
        <f ca="1"/>
      </c>
      <c r="AF159">
        <f ca="1"/>
      </c>
      <c r="AG159">
        <f ca="1"/>
      </c>
      <c r="AH159">
        <f ca="1"/>
      </c>
      <c r="AI159">
        <f ca="1"/>
      </c>
      <c r="AJ159">
        <f ca="1"/>
      </c>
      <c r="AK159">
        <f ca="1"/>
      </c>
      <c r="AL159">
        <f ca="1"/>
      </c>
      <c r="AM159">
        <f ca="1"/>
      </c>
      <c r="AN159">
        <f ca="1"/>
      </c>
      <c r="AO159">
        <f ca="1"/>
      </c>
      <c r="AP159">
        <f ca="1"/>
      </c>
      <c r="AQ159">
        <f ca="1"/>
      </c>
      <c r="AR159">
        <f ca="1"/>
      </c>
      <c r="AT159" s="7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BA159" s="7">
        <f ca="1"/>
      </c>
      <c r="BB159">
        <f ca="1"/>
      </c>
      <c r="BC159">
        <f ca="1"/>
      </c>
      <c r="BD159">
        <f ca="1"/>
      </c>
      <c r="BE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</row>
    <row r="160" spans="31:73" x14ac:dyDescent="0.55000000000000004">
      <c r="AE160" s="7">
        <f ca="1"/>
      </c>
      <c r="AF160">
        <f ca="1"/>
      </c>
      <c r="AG160">
        <f ca="1"/>
      </c>
      <c r="AH160">
        <f ca="1"/>
      </c>
      <c r="AI160">
        <f ca="1"/>
      </c>
      <c r="AJ160">
        <f ca="1"/>
      </c>
      <c r="AK160">
        <f ca="1"/>
      </c>
      <c r="AL160">
        <f ca="1"/>
      </c>
      <c r="AM160">
        <f ca="1"/>
      </c>
      <c r="AN160">
        <f ca="1"/>
      </c>
      <c r="AO160">
        <f ca="1"/>
      </c>
      <c r="AP160">
        <f ca="1"/>
      </c>
      <c r="AQ160">
        <f ca="1"/>
      </c>
      <c r="AR160">
        <f ca="1"/>
      </c>
      <c r="AT160" s="7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BA160" s="7">
        <f ca="1"/>
      </c>
      <c r="BB160">
        <f ca="1"/>
      </c>
      <c r="BC160">
        <f ca="1"/>
      </c>
      <c r="BD160">
        <f ca="1"/>
      </c>
      <c r="BE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</row>
    <row r="161" spans="31:73" x14ac:dyDescent="0.55000000000000004">
      <c r="AE161" s="7">
        <f ca="1"/>
      </c>
      <c r="AF161">
        <f ca="1"/>
      </c>
      <c r="AG161">
        <f ca="1"/>
      </c>
      <c r="AH161">
        <f ca="1"/>
      </c>
      <c r="AI161">
        <f ca="1"/>
      </c>
      <c r="AJ161">
        <f ca="1"/>
      </c>
      <c r="AK161">
        <f ca="1"/>
      </c>
      <c r="AL161">
        <f ca="1"/>
      </c>
      <c r="AM161">
        <f ca="1"/>
      </c>
      <c r="AN161">
        <f ca="1"/>
      </c>
      <c r="AO161">
        <f ca="1"/>
      </c>
      <c r="AP161">
        <f ca="1"/>
      </c>
      <c r="AQ161">
        <f ca="1"/>
      </c>
      <c r="AR161">
        <f ca="1"/>
      </c>
      <c r="AT161" s="7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BA161" s="7">
        <f ca="1"/>
      </c>
      <c r="BB161">
        <f ca="1"/>
      </c>
      <c r="BC161">
        <f ca="1"/>
      </c>
      <c r="BD161">
        <f ca="1"/>
      </c>
      <c r="BE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</row>
    <row r="162" spans="31:73" x14ac:dyDescent="0.55000000000000004">
      <c r="AE162" s="7">
        <f ca="1"/>
      </c>
      <c r="AF162">
        <f ca="1"/>
      </c>
      <c r="AG162">
        <f ca="1"/>
      </c>
      <c r="AH162">
        <f ca="1"/>
      </c>
      <c r="AI162">
        <f ca="1"/>
      </c>
      <c r="AJ162">
        <f ca="1"/>
      </c>
      <c r="AK162">
        <f ca="1"/>
      </c>
      <c r="AL162">
        <f ca="1"/>
      </c>
      <c r="AM162">
        <f ca="1"/>
      </c>
      <c r="AN162">
        <f ca="1"/>
      </c>
      <c r="AO162">
        <f ca="1"/>
      </c>
      <c r="AP162">
        <f ca="1"/>
      </c>
      <c r="AQ162">
        <f ca="1"/>
      </c>
      <c r="AR162">
        <f ca="1"/>
      </c>
      <c r="AT162" s="7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BA162" s="7">
        <f ca="1"/>
      </c>
      <c r="BB162">
        <f ca="1"/>
      </c>
      <c r="BC162">
        <f ca="1"/>
      </c>
      <c r="BD162">
        <f ca="1"/>
      </c>
      <c r="BE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</row>
    <row r="163" spans="31:73" x14ac:dyDescent="0.55000000000000004">
      <c r="AE163" s="7">
        <f ca="1"/>
      </c>
      <c r="AF163">
        <f ca="1"/>
      </c>
      <c r="AG163">
        <f ca="1"/>
      </c>
      <c r="AH163">
        <f ca="1"/>
      </c>
      <c r="AI163">
        <f ca="1"/>
      </c>
      <c r="AJ163">
        <f ca="1"/>
      </c>
      <c r="AK163">
        <f ca="1"/>
      </c>
      <c r="AL163">
        <f ca="1"/>
      </c>
      <c r="AM163">
        <f ca="1"/>
      </c>
      <c r="AN163">
        <f ca="1"/>
      </c>
      <c r="AO163">
        <f ca="1"/>
      </c>
      <c r="AP163">
        <f ca="1"/>
      </c>
      <c r="AQ163">
        <f ca="1"/>
      </c>
      <c r="AR163">
        <f ca="1"/>
      </c>
      <c r="AT163" s="7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BA163" s="7">
        <f ca="1"/>
      </c>
      <c r="BB163">
        <f ca="1"/>
      </c>
      <c r="BC163">
        <f ca="1"/>
      </c>
      <c r="BD163">
        <f ca="1"/>
      </c>
      <c r="BE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</row>
    <row r="164" spans="31:73" x14ac:dyDescent="0.55000000000000004">
      <c r="AE164" s="7">
        <f ca="1"/>
      </c>
      <c r="AF164">
        <f ca="1"/>
      </c>
      <c r="AG164">
        <f ca="1"/>
      </c>
      <c r="AH164">
        <f ca="1"/>
      </c>
      <c r="AI164">
        <f ca="1"/>
      </c>
      <c r="AJ164">
        <f ca="1"/>
      </c>
      <c r="AK164">
        <f ca="1"/>
      </c>
      <c r="AL164">
        <f ca="1"/>
      </c>
      <c r="AM164">
        <f ca="1"/>
      </c>
      <c r="AN164">
        <f ca="1"/>
      </c>
      <c r="AO164">
        <f ca="1"/>
      </c>
      <c r="AP164">
        <f ca="1"/>
      </c>
      <c r="AQ164">
        <f ca="1"/>
      </c>
      <c r="AR164">
        <f ca="1"/>
      </c>
      <c r="AT164" s="7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BA164" s="7">
        <f ca="1"/>
      </c>
      <c r="BB164">
        <f ca="1"/>
      </c>
      <c r="BC164">
        <f ca="1"/>
      </c>
      <c r="BD164">
        <f ca="1"/>
      </c>
      <c r="BE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</row>
    <row r="165" spans="31:73" x14ac:dyDescent="0.55000000000000004">
      <c r="AE165" s="7">
        <f ca="1"/>
      </c>
      <c r="AF165">
        <f ca="1"/>
      </c>
      <c r="AG165">
        <f ca="1"/>
      </c>
      <c r="AH165">
        <f ca="1"/>
      </c>
      <c r="AI165">
        <f ca="1"/>
      </c>
      <c r="AJ165">
        <f ca="1"/>
      </c>
      <c r="AK165">
        <f ca="1"/>
      </c>
      <c r="AL165">
        <f ca="1"/>
      </c>
      <c r="AM165">
        <f ca="1"/>
      </c>
      <c r="AN165">
        <f ca="1"/>
      </c>
      <c r="AO165">
        <f ca="1"/>
      </c>
      <c r="AP165">
        <f ca="1"/>
      </c>
      <c r="AQ165">
        <f ca="1"/>
      </c>
      <c r="AR165">
        <f ca="1"/>
      </c>
      <c r="AT165" s="7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BA165" s="7">
        <f ca="1"/>
      </c>
      <c r="BB165">
        <f ca="1"/>
      </c>
      <c r="BC165">
        <f ca="1"/>
      </c>
      <c r="BD165">
        <f ca="1"/>
      </c>
      <c r="BE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</row>
    <row r="166" spans="31:73" x14ac:dyDescent="0.55000000000000004">
      <c r="AE166" s="7">
        <f ca="1"/>
      </c>
      <c r="AF166">
        <f ca="1"/>
      </c>
      <c r="AG166">
        <f ca="1"/>
      </c>
      <c r="AH166">
        <f ca="1"/>
      </c>
      <c r="AI166">
        <f ca="1"/>
      </c>
      <c r="AJ166">
        <f ca="1"/>
      </c>
      <c r="AK166">
        <f ca="1"/>
      </c>
      <c r="AL166">
        <f ca="1"/>
      </c>
      <c r="AM166">
        <f ca="1"/>
      </c>
      <c r="AN166">
        <f ca="1"/>
      </c>
      <c r="AO166">
        <f ca="1"/>
      </c>
      <c r="AP166">
        <f ca="1"/>
      </c>
      <c r="AQ166">
        <f ca="1"/>
      </c>
      <c r="AR166">
        <f ca="1"/>
      </c>
      <c r="AT166" s="7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BA166" s="7">
        <f ca="1"/>
      </c>
      <c r="BB166">
        <f ca="1"/>
      </c>
      <c r="BC166">
        <f ca="1"/>
      </c>
      <c r="BD166">
        <f ca="1"/>
      </c>
      <c r="BE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</row>
    <row r="167" spans="31:73" x14ac:dyDescent="0.55000000000000004">
      <c r="AE167" s="7">
        <f ca="1"/>
      </c>
      <c r="AF167">
        <f ca="1"/>
      </c>
      <c r="AG167">
        <f ca="1"/>
      </c>
      <c r="AH167">
        <f ca="1"/>
      </c>
      <c r="AI167">
        <f ca="1"/>
      </c>
      <c r="AJ167">
        <f ca="1"/>
      </c>
      <c r="AK167">
        <f ca="1"/>
      </c>
      <c r="AL167">
        <f ca="1"/>
      </c>
      <c r="AM167">
        <f ca="1"/>
      </c>
      <c r="AN167">
        <f ca="1"/>
      </c>
      <c r="AO167">
        <f ca="1"/>
      </c>
      <c r="AP167">
        <f ca="1"/>
      </c>
      <c r="AQ167">
        <f ca="1"/>
      </c>
      <c r="AR167">
        <f ca="1"/>
      </c>
      <c r="AT167" s="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BA167" s="7">
        <f ca="1"/>
      </c>
      <c r="BB167">
        <f ca="1"/>
      </c>
      <c r="BC167">
        <f ca="1"/>
      </c>
      <c r="BD167">
        <f ca="1"/>
      </c>
      <c r="BE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</row>
    <row r="168" spans="31:73" x14ac:dyDescent="0.55000000000000004">
      <c r="AE168" s="7">
        <f ca="1"/>
      </c>
      <c r="AF168">
        <f ca="1"/>
      </c>
      <c r="AG168">
        <f ca="1"/>
      </c>
      <c r="AH168">
        <f ca="1"/>
      </c>
      <c r="AI168">
        <f ca="1"/>
      </c>
      <c r="AJ168">
        <f ca="1"/>
      </c>
      <c r="AK168">
        <f ca="1"/>
      </c>
      <c r="AL168">
        <f ca="1"/>
      </c>
      <c r="AM168">
        <f ca="1"/>
      </c>
      <c r="AN168">
        <f ca="1"/>
      </c>
      <c r="AO168">
        <f ca="1"/>
      </c>
      <c r="AP168">
        <f ca="1"/>
      </c>
      <c r="AQ168">
        <f ca="1"/>
      </c>
      <c r="AR168">
        <f ca="1"/>
      </c>
      <c r="AT168" s="7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BA168" s="7">
        <f ca="1"/>
      </c>
      <c r="BB168">
        <f ca="1"/>
      </c>
      <c r="BC168">
        <f ca="1"/>
      </c>
      <c r="BD168">
        <f ca="1"/>
      </c>
      <c r="BE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</row>
    <row r="169" spans="31:73" x14ac:dyDescent="0.55000000000000004">
      <c r="AE169" s="7">
        <f ca="1"/>
      </c>
      <c r="AF169">
        <f ca="1"/>
      </c>
      <c r="AG169">
        <f ca="1"/>
      </c>
      <c r="AH169">
        <f ca="1"/>
      </c>
      <c r="AI169">
        <f ca="1"/>
      </c>
      <c r="AJ169">
        <f ca="1"/>
      </c>
      <c r="AK169">
        <f ca="1"/>
      </c>
      <c r="AL169">
        <f ca="1"/>
      </c>
      <c r="AM169">
        <f ca="1"/>
      </c>
      <c r="AN169">
        <f ca="1"/>
      </c>
      <c r="AO169">
        <f ca="1"/>
      </c>
      <c r="AP169">
        <f ca="1"/>
      </c>
      <c r="AQ169">
        <f ca="1"/>
      </c>
      <c r="AR169">
        <f ca="1"/>
      </c>
      <c r="AT169" s="7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BA169" s="7">
        <f ca="1"/>
      </c>
      <c r="BB169">
        <f ca="1"/>
      </c>
      <c r="BC169">
        <f ca="1"/>
      </c>
      <c r="BD169">
        <f ca="1"/>
      </c>
      <c r="BE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</row>
    <row r="170" spans="31:73" x14ac:dyDescent="0.55000000000000004">
      <c r="AE170" s="7">
        <f ca="1"/>
      </c>
      <c r="AF170">
        <f ca="1"/>
      </c>
      <c r="AG170">
        <f ca="1"/>
      </c>
      <c r="AH170">
        <f ca="1"/>
      </c>
      <c r="AI170">
        <f ca="1"/>
      </c>
      <c r="AJ170">
        <f ca="1"/>
      </c>
      <c r="AK170">
        <f ca="1"/>
      </c>
      <c r="AL170">
        <f ca="1"/>
      </c>
      <c r="AM170">
        <f ca="1"/>
      </c>
      <c r="AN170">
        <f ca="1"/>
      </c>
      <c r="AO170">
        <f ca="1"/>
      </c>
      <c r="AP170">
        <f ca="1"/>
      </c>
      <c r="AQ170">
        <f ca="1"/>
      </c>
      <c r="AR170">
        <f ca="1"/>
      </c>
      <c r="AT170" s="7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BA170" s="7">
        <f ca="1"/>
      </c>
      <c r="BB170">
        <f ca="1"/>
      </c>
      <c r="BC170">
        <f ca="1"/>
      </c>
      <c r="BD170">
        <f ca="1"/>
      </c>
      <c r="BE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</row>
    <row r="171" spans="31:73" x14ac:dyDescent="0.55000000000000004">
      <c r="AE171" s="7">
        <f ca="1"/>
      </c>
      <c r="AF171">
        <f ca="1"/>
      </c>
      <c r="AG171">
        <f ca="1"/>
      </c>
      <c r="AH171">
        <f ca="1"/>
      </c>
      <c r="AI171">
        <f ca="1"/>
      </c>
      <c r="AJ171">
        <f ca="1"/>
      </c>
      <c r="AK171">
        <f ca="1"/>
      </c>
      <c r="AL171">
        <f ca="1"/>
      </c>
      <c r="AM171">
        <f ca="1"/>
      </c>
      <c r="AN171">
        <f ca="1"/>
      </c>
      <c r="AO171">
        <f ca="1"/>
      </c>
      <c r="AP171">
        <f ca="1"/>
      </c>
      <c r="AQ171">
        <f ca="1"/>
      </c>
      <c r="AR171">
        <f ca="1"/>
      </c>
      <c r="AT171" s="7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BA171" s="7">
        <f ca="1"/>
      </c>
      <c r="BB171">
        <f ca="1"/>
      </c>
      <c r="BC171">
        <f ca="1"/>
      </c>
      <c r="BD171">
        <f ca="1"/>
      </c>
      <c r="BE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</row>
    <row r="172" spans="31:73" x14ac:dyDescent="0.55000000000000004">
      <c r="AE172" s="7">
        <f ca="1"/>
      </c>
      <c r="AF172">
        <f ca="1"/>
      </c>
      <c r="AG172">
        <f ca="1"/>
      </c>
      <c r="AH172">
        <f ca="1"/>
      </c>
      <c r="AI172">
        <f ca="1"/>
      </c>
      <c r="AJ172">
        <f ca="1"/>
      </c>
      <c r="AK172">
        <f ca="1"/>
      </c>
      <c r="AL172">
        <f ca="1"/>
      </c>
      <c r="AM172">
        <f ca="1"/>
      </c>
      <c r="AN172">
        <f ca="1"/>
      </c>
      <c r="AO172">
        <f ca="1"/>
      </c>
      <c r="AP172">
        <f ca="1"/>
      </c>
      <c r="AQ172">
        <f ca="1"/>
      </c>
      <c r="AR172">
        <f ca="1"/>
      </c>
      <c r="AT172" s="7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BA172" s="7">
        <f ca="1"/>
      </c>
      <c r="BB172">
        <f ca="1"/>
      </c>
      <c r="BC172">
        <f ca="1"/>
      </c>
      <c r="BD172">
        <f ca="1"/>
      </c>
      <c r="BE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</row>
    <row r="173" spans="31:73" x14ac:dyDescent="0.55000000000000004">
      <c r="AE173" s="7">
        <f ca="1"/>
      </c>
      <c r="AF173">
        <f ca="1"/>
      </c>
      <c r="AG173">
        <f ca="1"/>
      </c>
      <c r="AH173">
        <f ca="1"/>
      </c>
      <c r="AI173">
        <f ca="1"/>
      </c>
      <c r="AJ173">
        <f ca="1"/>
      </c>
      <c r="AK173">
        <f ca="1"/>
      </c>
      <c r="AL173">
        <f ca="1"/>
      </c>
      <c r="AM173">
        <f ca="1"/>
      </c>
      <c r="AN173">
        <f ca="1"/>
      </c>
      <c r="AO173">
        <f ca="1"/>
      </c>
      <c r="AP173">
        <f ca="1"/>
      </c>
      <c r="AQ173">
        <f ca="1"/>
      </c>
      <c r="AR173">
        <f ca="1"/>
      </c>
      <c r="AT173" s="7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BA173" s="7">
        <f ca="1"/>
      </c>
      <c r="BB173">
        <f ca="1"/>
      </c>
      <c r="BC173">
        <f ca="1"/>
      </c>
      <c r="BD173">
        <f ca="1"/>
      </c>
      <c r="BE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</row>
    <row r="174" spans="31:73" x14ac:dyDescent="0.55000000000000004">
      <c r="AE174" s="7">
        <f ca="1"/>
      </c>
      <c r="AF174">
        <f ca="1"/>
      </c>
      <c r="AG174">
        <f ca="1"/>
      </c>
      <c r="AH174">
        <f ca="1"/>
      </c>
      <c r="AI174">
        <f ca="1"/>
      </c>
      <c r="AJ174">
        <f ca="1"/>
      </c>
      <c r="AK174">
        <f ca="1"/>
      </c>
      <c r="AL174">
        <f ca="1"/>
      </c>
      <c r="AM174">
        <f ca="1"/>
      </c>
      <c r="AN174">
        <f ca="1"/>
      </c>
      <c r="AO174">
        <f ca="1"/>
      </c>
      <c r="AP174">
        <f ca="1"/>
      </c>
      <c r="AQ174">
        <f ca="1"/>
      </c>
      <c r="AR174">
        <f ca="1"/>
      </c>
      <c r="AT174" s="7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BA174" s="7">
        <f ca="1"/>
      </c>
      <c r="BB174">
        <f ca="1"/>
      </c>
      <c r="BC174">
        <f ca="1"/>
      </c>
      <c r="BD174">
        <f ca="1"/>
      </c>
      <c r="BE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</row>
    <row r="175" spans="31:73" x14ac:dyDescent="0.55000000000000004">
      <c r="AE175" s="7">
        <f ca="1"/>
      </c>
      <c r="AF175">
        <f ca="1"/>
      </c>
      <c r="AG175">
        <f ca="1"/>
      </c>
      <c r="AH175">
        <f ca="1"/>
      </c>
      <c r="AI175">
        <f ca="1"/>
      </c>
      <c r="AJ175">
        <f ca="1"/>
      </c>
      <c r="AK175">
        <f ca="1"/>
      </c>
      <c r="AL175">
        <f ca="1"/>
      </c>
      <c r="AM175">
        <f ca="1"/>
      </c>
      <c r="AN175">
        <f ca="1"/>
      </c>
      <c r="AO175">
        <f ca="1"/>
      </c>
      <c r="AP175">
        <f ca="1"/>
      </c>
      <c r="AQ175">
        <f ca="1"/>
      </c>
      <c r="AR175">
        <f ca="1"/>
      </c>
      <c r="AT175" s="7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BA175" s="7">
        <f ca="1"/>
      </c>
      <c r="BB175">
        <f ca="1"/>
      </c>
      <c r="BC175">
        <f ca="1"/>
      </c>
      <c r="BD175">
        <f ca="1"/>
      </c>
      <c r="BE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</row>
    <row r="176" spans="31:73" x14ac:dyDescent="0.55000000000000004">
      <c r="AE176" s="7">
        <f ca="1"/>
      </c>
      <c r="AF176">
        <f ca="1"/>
      </c>
      <c r="AG176">
        <f ca="1"/>
      </c>
      <c r="AH176">
        <f ca="1"/>
      </c>
      <c r="AI176">
        <f ca="1"/>
      </c>
      <c r="AJ176">
        <f ca="1"/>
      </c>
      <c r="AK176">
        <f ca="1"/>
      </c>
      <c r="AL176">
        <f ca="1"/>
      </c>
      <c r="AM176">
        <f ca="1"/>
      </c>
      <c r="AN176">
        <f ca="1"/>
      </c>
      <c r="AO176">
        <f ca="1"/>
      </c>
      <c r="AP176">
        <f ca="1"/>
      </c>
      <c r="AQ176">
        <f ca="1"/>
      </c>
      <c r="AR176">
        <f ca="1"/>
      </c>
      <c r="AT176" s="7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BA176" s="7">
        <f ca="1"/>
      </c>
      <c r="BB176">
        <f ca="1"/>
      </c>
      <c r="BC176">
        <f ca="1"/>
      </c>
      <c r="BD176">
        <f ca="1"/>
      </c>
      <c r="BE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</row>
    <row r="177" spans="31:73" x14ac:dyDescent="0.55000000000000004">
      <c r="AE177" s="7">
        <f ca="1"/>
      </c>
      <c r="AF177">
        <f ca="1"/>
      </c>
      <c r="AG177">
        <f ca="1"/>
      </c>
      <c r="AH177">
        <f ca="1"/>
      </c>
      <c r="AI177">
        <f ca="1"/>
      </c>
      <c r="AJ177">
        <f ca="1"/>
      </c>
      <c r="AK177">
        <f ca="1"/>
      </c>
      <c r="AL177">
        <f ca="1"/>
      </c>
      <c r="AM177">
        <f ca="1"/>
      </c>
      <c r="AN177">
        <f ca="1"/>
      </c>
      <c r="AO177">
        <f ca="1"/>
      </c>
      <c r="AP177">
        <f ca="1"/>
      </c>
      <c r="AQ177">
        <f ca="1"/>
      </c>
      <c r="AR177">
        <f ca="1"/>
      </c>
      <c r="AT177" s="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BA177" s="7">
        <f ca="1"/>
      </c>
      <c r="BB177">
        <f ca="1"/>
      </c>
      <c r="BC177">
        <f ca="1"/>
      </c>
      <c r="BD177">
        <f ca="1"/>
      </c>
      <c r="BE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</row>
    <row r="178" spans="31:73" x14ac:dyDescent="0.55000000000000004">
      <c r="AE178" s="7">
        <f ca="1"/>
      </c>
      <c r="AF178">
        <f ca="1"/>
      </c>
      <c r="AG178">
        <f ca="1"/>
      </c>
      <c r="AH178">
        <f ca="1"/>
      </c>
      <c r="AI178">
        <f ca="1"/>
      </c>
      <c r="AJ178">
        <f ca="1"/>
      </c>
      <c r="AK178">
        <f ca="1"/>
      </c>
      <c r="AL178">
        <f ca="1"/>
      </c>
      <c r="AM178">
        <f ca="1"/>
      </c>
      <c r="AN178">
        <f ca="1"/>
      </c>
      <c r="AO178">
        <f ca="1"/>
      </c>
      <c r="AP178">
        <f ca="1"/>
      </c>
      <c r="AQ178">
        <f ca="1"/>
      </c>
      <c r="AR178">
        <f ca="1"/>
      </c>
      <c r="AT178" s="7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BA178" s="7">
        <f ca="1"/>
      </c>
      <c r="BB178">
        <f ca="1"/>
      </c>
      <c r="BC178">
        <f ca="1"/>
      </c>
      <c r="BD178">
        <f ca="1"/>
      </c>
      <c r="BE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</row>
    <row r="179" spans="31:73" x14ac:dyDescent="0.55000000000000004">
      <c r="AE179" s="7">
        <f ca="1"/>
      </c>
      <c r="AF179">
        <f ca="1"/>
      </c>
      <c r="AG179">
        <f ca="1"/>
      </c>
      <c r="AH179">
        <f ca="1"/>
      </c>
      <c r="AI179">
        <f ca="1"/>
      </c>
      <c r="AJ179">
        <f ca="1"/>
      </c>
      <c r="AK179">
        <f ca="1"/>
      </c>
      <c r="AL179">
        <f ca="1"/>
      </c>
      <c r="AM179">
        <f ca="1"/>
      </c>
      <c r="AN179">
        <f ca="1"/>
      </c>
      <c r="AO179">
        <f ca="1"/>
      </c>
      <c r="AP179">
        <f ca="1"/>
      </c>
      <c r="AQ179">
        <f ca="1"/>
      </c>
      <c r="AR179">
        <f ca="1"/>
      </c>
      <c r="AT179" s="7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BA179" s="7">
        <f ca="1"/>
      </c>
      <c r="BB179">
        <f ca="1"/>
      </c>
      <c r="BC179">
        <f ca="1"/>
      </c>
      <c r="BD179">
        <f ca="1"/>
      </c>
      <c r="BE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</row>
    <row r="180" spans="31:73" x14ac:dyDescent="0.55000000000000004">
      <c r="AE180" s="7">
        <f ca="1"/>
      </c>
      <c r="AF180">
        <f ca="1"/>
      </c>
      <c r="AG180">
        <f ca="1"/>
      </c>
      <c r="AH180">
        <f ca="1"/>
      </c>
      <c r="AI180">
        <f ca="1"/>
      </c>
      <c r="AJ180">
        <f ca="1"/>
      </c>
      <c r="AK180">
        <f ca="1"/>
      </c>
      <c r="AL180">
        <f ca="1"/>
      </c>
      <c r="AM180">
        <f ca="1"/>
      </c>
      <c r="AN180">
        <f ca="1"/>
      </c>
      <c r="AO180">
        <f ca="1"/>
      </c>
      <c r="AP180">
        <f ca="1"/>
      </c>
      <c r="AQ180">
        <f ca="1"/>
      </c>
      <c r="AR180">
        <f ca="1"/>
      </c>
      <c r="AT180" s="7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BA180" s="7">
        <f ca="1"/>
      </c>
      <c r="BB180">
        <f ca="1"/>
      </c>
      <c r="BC180">
        <f ca="1"/>
      </c>
      <c r="BD180">
        <f ca="1"/>
      </c>
      <c r="BE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</row>
    <row r="181" spans="31:73" x14ac:dyDescent="0.55000000000000004">
      <c r="AE181" s="7">
        <f ca="1"/>
      </c>
      <c r="AF181">
        <f ca="1"/>
      </c>
      <c r="AG181">
        <f ca="1"/>
      </c>
      <c r="AH181">
        <f ca="1"/>
      </c>
      <c r="AI181">
        <f ca="1"/>
      </c>
      <c r="AJ181">
        <f ca="1"/>
      </c>
      <c r="AK181">
        <f ca="1"/>
      </c>
      <c r="AL181">
        <f ca="1"/>
      </c>
      <c r="AM181">
        <f ca="1"/>
      </c>
      <c r="AN181">
        <f ca="1"/>
      </c>
      <c r="AO181">
        <f ca="1"/>
      </c>
      <c r="AP181">
        <f ca="1"/>
      </c>
      <c r="AQ181">
        <f ca="1"/>
      </c>
      <c r="AR181">
        <f ca="1"/>
      </c>
      <c r="AT181" s="7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BA181" s="7">
        <f ca="1"/>
      </c>
      <c r="BB181">
        <f ca="1"/>
      </c>
      <c r="BC181">
        <f ca="1"/>
      </c>
      <c r="BD181">
        <f ca="1"/>
      </c>
      <c r="BE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</row>
    <row r="182" spans="31:73" x14ac:dyDescent="0.55000000000000004">
      <c r="AE182" s="7">
        <f ca="1"/>
      </c>
      <c r="AF182">
        <f ca="1"/>
      </c>
      <c r="AG182">
        <f ca="1"/>
      </c>
      <c r="AH182">
        <f ca="1"/>
      </c>
      <c r="AI182">
        <f ca="1"/>
      </c>
      <c r="AJ182">
        <f ca="1"/>
      </c>
      <c r="AK182">
        <f ca="1"/>
      </c>
      <c r="AL182">
        <f ca="1"/>
      </c>
      <c r="AM182">
        <f ca="1"/>
      </c>
      <c r="AN182">
        <f ca="1"/>
      </c>
      <c r="AO182">
        <f ca="1"/>
      </c>
      <c r="AP182">
        <f ca="1"/>
      </c>
      <c r="AQ182">
        <f ca="1"/>
      </c>
      <c r="AR182">
        <f ca="1"/>
      </c>
      <c r="AT182" s="7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BA182" s="7">
        <f ca="1"/>
      </c>
      <c r="BB182">
        <f ca="1"/>
      </c>
      <c r="BC182">
        <f ca="1"/>
      </c>
      <c r="BD182">
        <f ca="1"/>
      </c>
      <c r="BE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</row>
    <row r="183" spans="31:73" x14ac:dyDescent="0.55000000000000004">
      <c r="AE183" s="7">
        <f ca="1"/>
      </c>
      <c r="AF183">
        <f ca="1"/>
      </c>
      <c r="AG183">
        <f ca="1"/>
      </c>
      <c r="AH183">
        <f ca="1"/>
      </c>
      <c r="AI183">
        <f ca="1"/>
      </c>
      <c r="AJ183">
        <f ca="1"/>
      </c>
      <c r="AK183">
        <f ca="1"/>
      </c>
      <c r="AL183">
        <f ca="1"/>
      </c>
      <c r="AM183">
        <f ca="1"/>
      </c>
      <c r="AN183">
        <f ca="1"/>
      </c>
      <c r="AO183">
        <f ca="1"/>
      </c>
      <c r="AP183">
        <f ca="1"/>
      </c>
      <c r="AQ183">
        <f ca="1"/>
      </c>
      <c r="AR183">
        <f ca="1"/>
      </c>
      <c r="AT183" s="7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BA183" s="7">
        <f ca="1"/>
      </c>
      <c r="BB183">
        <f ca="1"/>
      </c>
      <c r="BC183">
        <f ca="1"/>
      </c>
      <c r="BD183">
        <f ca="1"/>
      </c>
      <c r="BE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</row>
    <row r="184" spans="31:73" x14ac:dyDescent="0.55000000000000004">
      <c r="AE184" s="7">
        <f ca="1"/>
      </c>
      <c r="AF184">
        <f ca="1"/>
      </c>
      <c r="AG184">
        <f ca="1"/>
      </c>
      <c r="AH184">
        <f ca="1"/>
      </c>
      <c r="AI184">
        <f ca="1"/>
      </c>
      <c r="AJ184">
        <f ca="1"/>
      </c>
      <c r="AK184">
        <f ca="1"/>
      </c>
      <c r="AL184">
        <f ca="1"/>
      </c>
      <c r="AM184">
        <f ca="1"/>
      </c>
      <c r="AN184">
        <f ca="1"/>
      </c>
      <c r="AO184">
        <f ca="1"/>
      </c>
      <c r="AP184">
        <f ca="1"/>
      </c>
      <c r="AQ184">
        <f ca="1"/>
      </c>
      <c r="AR184">
        <f ca="1"/>
      </c>
      <c r="AT184" s="7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BA184" s="7">
        <f ca="1"/>
      </c>
      <c r="BB184">
        <f ca="1"/>
      </c>
      <c r="BC184">
        <f ca="1"/>
      </c>
      <c r="BD184">
        <f ca="1"/>
      </c>
      <c r="BE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</row>
    <row r="185" spans="31:73" x14ac:dyDescent="0.55000000000000004">
      <c r="AE185" s="7">
        <f ca="1"/>
      </c>
      <c r="AF185">
        <f ca="1"/>
      </c>
      <c r="AG185">
        <f ca="1"/>
      </c>
      <c r="AH185">
        <f ca="1"/>
      </c>
      <c r="AI185">
        <f ca="1"/>
      </c>
      <c r="AJ185">
        <f ca="1"/>
      </c>
      <c r="AK185">
        <f ca="1"/>
      </c>
      <c r="AL185">
        <f ca="1"/>
      </c>
      <c r="AM185">
        <f ca="1"/>
      </c>
      <c r="AN185">
        <f ca="1"/>
      </c>
      <c r="AO185">
        <f ca="1"/>
      </c>
      <c r="AP185">
        <f ca="1"/>
      </c>
      <c r="AQ185">
        <f ca="1"/>
      </c>
      <c r="AR185">
        <f ca="1"/>
      </c>
      <c r="AT185" s="7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BA185" s="7">
        <f ca="1"/>
      </c>
      <c r="BB185">
        <f ca="1"/>
      </c>
      <c r="BC185">
        <f ca="1"/>
      </c>
      <c r="BD185">
        <f ca="1"/>
      </c>
      <c r="BE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</row>
    <row r="186" spans="31:73" x14ac:dyDescent="0.55000000000000004">
      <c r="AE186" s="7">
        <f ca="1"/>
      </c>
      <c r="AF186">
        <f ca="1"/>
      </c>
      <c r="AG186">
        <f ca="1"/>
      </c>
      <c r="AH186">
        <f ca="1"/>
      </c>
      <c r="AI186">
        <f ca="1"/>
      </c>
      <c r="AJ186">
        <f ca="1"/>
      </c>
      <c r="AK186">
        <f ca="1"/>
      </c>
      <c r="AL186">
        <f ca="1"/>
      </c>
      <c r="AM186">
        <f ca="1"/>
      </c>
      <c r="AN186">
        <f ca="1"/>
      </c>
      <c r="AO186">
        <f ca="1"/>
      </c>
      <c r="AP186">
        <f ca="1"/>
      </c>
      <c r="AQ186">
        <f ca="1"/>
      </c>
      <c r="AR186">
        <f ca="1"/>
      </c>
      <c r="AT186" s="7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BA186" s="7">
        <f ca="1"/>
      </c>
      <c r="BB186">
        <f ca="1"/>
      </c>
      <c r="BC186">
        <f ca="1"/>
      </c>
      <c r="BD186">
        <f ca="1"/>
      </c>
      <c r="BE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</row>
    <row r="187" spans="31:73" x14ac:dyDescent="0.55000000000000004">
      <c r="AE187" s="7">
        <f ca="1"/>
      </c>
      <c r="AF187">
        <f ca="1"/>
      </c>
      <c r="AG187">
        <f ca="1"/>
      </c>
      <c r="AH187">
        <f ca="1"/>
      </c>
      <c r="AI187">
        <f ca="1"/>
      </c>
      <c r="AJ187">
        <f ca="1"/>
      </c>
      <c r="AK187">
        <f ca="1"/>
      </c>
      <c r="AL187">
        <f ca="1"/>
      </c>
      <c r="AM187">
        <f ca="1"/>
      </c>
      <c r="AN187">
        <f ca="1"/>
      </c>
      <c r="AO187">
        <f ca="1"/>
      </c>
      <c r="AP187">
        <f ca="1"/>
      </c>
      <c r="AQ187">
        <f ca="1"/>
      </c>
      <c r="AR187">
        <f ca="1"/>
      </c>
      <c r="AT187" s="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BA187" s="7">
        <f ca="1"/>
      </c>
      <c r="BB187">
        <f ca="1"/>
      </c>
      <c r="BC187">
        <f ca="1"/>
      </c>
      <c r="BD187">
        <f ca="1"/>
      </c>
      <c r="BE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</row>
    <row r="188" spans="31:73" x14ac:dyDescent="0.55000000000000004">
      <c r="AE188" s="7">
        <f ca="1"/>
      </c>
      <c r="AF188">
        <f ca="1"/>
      </c>
      <c r="AG188">
        <f ca="1"/>
      </c>
      <c r="AH188">
        <f ca="1"/>
      </c>
      <c r="AI188">
        <f ca="1"/>
      </c>
      <c r="AJ188">
        <f ca="1"/>
      </c>
      <c r="AK188">
        <f ca="1"/>
      </c>
      <c r="AL188">
        <f ca="1"/>
      </c>
      <c r="AM188">
        <f ca="1"/>
      </c>
      <c r="AN188">
        <f ca="1"/>
      </c>
      <c r="AO188">
        <f ca="1"/>
      </c>
      <c r="AP188">
        <f ca="1"/>
      </c>
      <c r="AQ188">
        <f ca="1"/>
      </c>
      <c r="AR188">
        <f ca="1"/>
      </c>
      <c r="AT188" s="7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BA188" s="7">
        <f ca="1"/>
      </c>
      <c r="BB188">
        <f ca="1"/>
      </c>
      <c r="BC188">
        <f ca="1"/>
      </c>
      <c r="BD188">
        <f ca="1"/>
      </c>
      <c r="BE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</row>
    <row r="189" spans="31:73" x14ac:dyDescent="0.55000000000000004">
      <c r="AE189" s="7">
        <f ca="1"/>
      </c>
      <c r="AF189">
        <f ca="1"/>
      </c>
      <c r="AG189">
        <f ca="1"/>
      </c>
      <c r="AH189">
        <f ca="1"/>
      </c>
      <c r="AI189">
        <f ca="1"/>
      </c>
      <c r="AJ189">
        <f ca="1"/>
      </c>
      <c r="AK189">
        <f ca="1"/>
      </c>
      <c r="AL189">
        <f ca="1"/>
      </c>
      <c r="AM189">
        <f ca="1"/>
      </c>
      <c r="AN189">
        <f ca="1"/>
      </c>
      <c r="AO189">
        <f ca="1"/>
      </c>
      <c r="AP189">
        <f ca="1"/>
      </c>
      <c r="AQ189">
        <f ca="1"/>
      </c>
      <c r="AR189">
        <f ca="1"/>
      </c>
      <c r="AT189" s="7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BA189" s="7">
        <f ca="1"/>
      </c>
      <c r="BB189">
        <f ca="1"/>
      </c>
      <c r="BC189">
        <f ca="1"/>
      </c>
      <c r="BD189">
        <f ca="1"/>
      </c>
      <c r="BE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</row>
    <row r="190" spans="31:73" x14ac:dyDescent="0.55000000000000004">
      <c r="AE190" s="7">
        <f ca="1"/>
      </c>
      <c r="AF190">
        <f ca="1"/>
      </c>
      <c r="AG190">
        <f ca="1"/>
      </c>
      <c r="AH190">
        <f ca="1"/>
      </c>
      <c r="AI190">
        <f ca="1"/>
      </c>
      <c r="AJ190">
        <f ca="1"/>
      </c>
      <c r="AK190">
        <f ca="1"/>
      </c>
      <c r="AL190">
        <f ca="1"/>
      </c>
      <c r="AM190">
        <f ca="1"/>
      </c>
      <c r="AN190">
        <f ca="1"/>
      </c>
      <c r="AO190">
        <f ca="1"/>
      </c>
      <c r="AP190">
        <f ca="1"/>
      </c>
      <c r="AQ190">
        <f ca="1"/>
      </c>
      <c r="AR190">
        <f ca="1"/>
      </c>
      <c r="AT190" s="7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BA190" s="7">
        <f ca="1"/>
      </c>
      <c r="BB190">
        <f ca="1"/>
      </c>
      <c r="BC190">
        <f ca="1"/>
      </c>
      <c r="BD190">
        <f ca="1"/>
      </c>
      <c r="BE190">
        <f ca="1"/>
      </c>
    </row>
    <row r="191" spans="31:73" x14ac:dyDescent="0.55000000000000004">
      <c r="AE191" s="7">
        <f ca="1"/>
      </c>
      <c r="AF191">
        <f ca="1"/>
      </c>
      <c r="AG191">
        <f ca="1"/>
      </c>
      <c r="AH191">
        <f ca="1"/>
      </c>
      <c r="AI191">
        <f ca="1"/>
      </c>
      <c r="AJ191">
        <f ca="1"/>
      </c>
      <c r="AK191">
        <f ca="1"/>
      </c>
      <c r="AL191">
        <f ca="1"/>
      </c>
      <c r="AM191">
        <f ca="1"/>
      </c>
      <c r="AN191">
        <f ca="1"/>
      </c>
      <c r="AO191">
        <f ca="1"/>
      </c>
      <c r="AP191">
        <f ca="1"/>
      </c>
      <c r="AQ191">
        <f ca="1"/>
      </c>
      <c r="AR191">
        <f ca="1"/>
      </c>
      <c r="AT191" s="7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BA191" s="7">
        <f ca="1"/>
      </c>
      <c r="BB191">
        <f ca="1"/>
      </c>
      <c r="BC191">
        <f ca="1"/>
      </c>
      <c r="BD191">
        <f ca="1"/>
      </c>
      <c r="BE191">
        <f ca="1"/>
      </c>
    </row>
    <row r="192" spans="31:73" x14ac:dyDescent="0.55000000000000004">
      <c r="AE192" s="7">
        <f ca="1"/>
      </c>
      <c r="AF192">
        <f ca="1"/>
      </c>
      <c r="AG192">
        <f ca="1"/>
      </c>
      <c r="AH192">
        <f ca="1"/>
      </c>
      <c r="AI192">
        <f ca="1"/>
      </c>
      <c r="AJ192">
        <f ca="1"/>
      </c>
      <c r="AK192">
        <f ca="1"/>
      </c>
      <c r="AL192">
        <f ca="1"/>
      </c>
      <c r="AM192">
        <f ca="1"/>
      </c>
      <c r="AN192">
        <f ca="1"/>
      </c>
      <c r="AO192">
        <f ca="1"/>
      </c>
      <c r="AP192">
        <f ca="1"/>
      </c>
      <c r="AQ192">
        <f ca="1"/>
      </c>
      <c r="AR192">
        <f ca="1"/>
      </c>
      <c r="AT192" s="7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BA192" s="7">
        <f ca="1"/>
      </c>
      <c r="BB192">
        <f ca="1"/>
      </c>
      <c r="BC192">
        <f ca="1"/>
      </c>
      <c r="BD192">
        <f ca="1"/>
      </c>
      <c r="BE192">
        <f ca="1"/>
      </c>
    </row>
    <row r="193" spans="31:57" x14ac:dyDescent="0.55000000000000004">
      <c r="AE193" s="7">
        <f ca="1"/>
      </c>
      <c r="AF193">
        <f ca="1"/>
      </c>
      <c r="AG193">
        <f ca="1"/>
      </c>
      <c r="AH193">
        <f ca="1"/>
      </c>
      <c r="AI193">
        <f ca="1"/>
      </c>
      <c r="AJ193">
        <f ca="1"/>
      </c>
      <c r="AK193">
        <f ca="1"/>
      </c>
      <c r="AL193">
        <f ca="1"/>
      </c>
      <c r="AM193">
        <f ca="1"/>
      </c>
      <c r="AN193">
        <f ca="1"/>
      </c>
      <c r="AO193">
        <f ca="1"/>
      </c>
      <c r="AP193">
        <f ca="1"/>
      </c>
      <c r="AQ193">
        <f ca="1"/>
      </c>
      <c r="AR193">
        <f ca="1"/>
      </c>
      <c r="AT193" s="7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BA193" s="7">
        <f ca="1"/>
      </c>
      <c r="BB193">
        <f ca="1"/>
      </c>
      <c r="BC193">
        <f ca="1"/>
      </c>
      <c r="BD193">
        <f ca="1"/>
      </c>
      <c r="BE193">
        <f ca="1"/>
      </c>
    </row>
    <row r="194" spans="31:57" x14ac:dyDescent="0.55000000000000004">
      <c r="AE194" s="7">
        <f ca="1"/>
      </c>
      <c r="AF194">
        <f ca="1"/>
      </c>
      <c r="AG194">
        <f ca="1"/>
      </c>
      <c r="AH194">
        <f ca="1"/>
      </c>
      <c r="AI194">
        <f ca="1"/>
      </c>
      <c r="AJ194">
        <f ca="1"/>
      </c>
      <c r="AK194">
        <f ca="1"/>
      </c>
      <c r="AL194">
        <f ca="1"/>
      </c>
      <c r="AM194">
        <f ca="1"/>
      </c>
      <c r="AN194">
        <f ca="1"/>
      </c>
      <c r="AO194">
        <f ca="1"/>
      </c>
      <c r="AP194">
        <f ca="1"/>
      </c>
      <c r="AQ194">
        <f ca="1"/>
      </c>
      <c r="AR194">
        <f ca="1"/>
      </c>
      <c r="AT194" s="7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BA194" s="7">
        <f ca="1"/>
      </c>
      <c r="BB194">
        <f ca="1"/>
      </c>
      <c r="BC194">
        <f ca="1"/>
      </c>
      <c r="BD194">
        <f ca="1"/>
      </c>
      <c r="BE194">
        <f ca="1"/>
      </c>
    </row>
    <row r="195" spans="31:57" x14ac:dyDescent="0.55000000000000004">
      <c r="AE195" s="7">
        <f ca="1"/>
      </c>
      <c r="AF195">
        <f ca="1"/>
      </c>
      <c r="AG195">
        <f ca="1"/>
      </c>
      <c r="AH195">
        <f ca="1"/>
      </c>
      <c r="AI195">
        <f ca="1"/>
      </c>
      <c r="AJ195">
        <f ca="1"/>
      </c>
      <c r="AK195">
        <f ca="1"/>
      </c>
      <c r="AL195">
        <f ca="1"/>
      </c>
      <c r="AM195">
        <f ca="1"/>
      </c>
      <c r="AN195">
        <f ca="1"/>
      </c>
      <c r="AO195">
        <f ca="1"/>
      </c>
      <c r="AP195">
        <f ca="1"/>
      </c>
      <c r="AQ195">
        <f ca="1"/>
      </c>
      <c r="AR195">
        <f ca="1"/>
      </c>
      <c r="AT195" s="7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BA195" s="7">
        <f ca="1"/>
      </c>
      <c r="BB195">
        <f ca="1"/>
      </c>
      <c r="BC195">
        <f ca="1"/>
      </c>
      <c r="BD195">
        <f ca="1"/>
      </c>
      <c r="BE195">
        <f ca="1"/>
      </c>
    </row>
    <row r="196" spans="31:57" x14ac:dyDescent="0.55000000000000004">
      <c r="AE196" s="7">
        <f ca="1"/>
      </c>
      <c r="AF196">
        <f ca="1"/>
      </c>
      <c r="AG196">
        <f ca="1"/>
      </c>
      <c r="AH196">
        <f ca="1"/>
      </c>
      <c r="AI196">
        <f ca="1"/>
      </c>
      <c r="AJ196">
        <f ca="1"/>
      </c>
      <c r="AK196">
        <f ca="1"/>
      </c>
      <c r="AL196">
        <f ca="1"/>
      </c>
      <c r="AM196">
        <f ca="1"/>
      </c>
      <c r="AN196">
        <f ca="1"/>
      </c>
      <c r="AO196">
        <f ca="1"/>
      </c>
      <c r="AP196">
        <f ca="1"/>
      </c>
      <c r="AQ196">
        <f ca="1"/>
      </c>
      <c r="AR196">
        <f ca="1"/>
      </c>
      <c r="AT196" s="7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BA196" s="7">
        <f ca="1"/>
      </c>
      <c r="BB196">
        <f ca="1"/>
      </c>
      <c r="BC196">
        <f ca="1"/>
      </c>
      <c r="BD196">
        <f ca="1"/>
      </c>
      <c r="BE196">
        <f ca="1"/>
      </c>
    </row>
    <row r="197" spans="31:57" x14ac:dyDescent="0.55000000000000004">
      <c r="AE197" s="7">
        <f ca="1"/>
      </c>
      <c r="AF197">
        <f ca="1"/>
      </c>
      <c r="AG197">
        <f ca="1"/>
      </c>
      <c r="AH197">
        <f ca="1"/>
      </c>
      <c r="AI197">
        <f ca="1"/>
      </c>
      <c r="AJ197">
        <f ca="1"/>
      </c>
      <c r="AK197">
        <f ca="1"/>
      </c>
      <c r="AL197">
        <f ca="1"/>
      </c>
      <c r="AM197">
        <f ca="1"/>
      </c>
      <c r="AN197">
        <f ca="1"/>
      </c>
      <c r="AO197">
        <f ca="1"/>
      </c>
      <c r="AP197">
        <f ca="1"/>
      </c>
      <c r="AQ197">
        <f ca="1"/>
      </c>
      <c r="AR197">
        <f ca="1"/>
      </c>
      <c r="AT197" s="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BA197" s="7">
        <f ca="1"/>
      </c>
      <c r="BB197">
        <f ca="1"/>
      </c>
      <c r="BC197">
        <f ca="1"/>
      </c>
      <c r="BD197">
        <f ca="1"/>
      </c>
      <c r="BE197">
        <f ca="1"/>
      </c>
    </row>
    <row r="198" spans="31:57" x14ac:dyDescent="0.55000000000000004">
      <c r="AE198" s="7">
        <f ca="1"/>
      </c>
      <c r="AF198">
        <f ca="1"/>
      </c>
      <c r="AG198">
        <f ca="1"/>
      </c>
      <c r="AH198">
        <f ca="1"/>
      </c>
      <c r="AI198">
        <f ca="1"/>
      </c>
      <c r="AJ198">
        <f ca="1"/>
      </c>
      <c r="AK198">
        <f ca="1"/>
      </c>
      <c r="AL198">
        <f ca="1"/>
      </c>
      <c r="AM198">
        <f ca="1"/>
      </c>
      <c r="AN198">
        <f ca="1"/>
      </c>
      <c r="AO198">
        <f ca="1"/>
      </c>
      <c r="AP198">
        <f ca="1"/>
      </c>
      <c r="AQ198">
        <f ca="1"/>
      </c>
      <c r="AR198">
        <f ca="1"/>
      </c>
      <c r="AT198" s="7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BA198" s="7">
        <f ca="1"/>
      </c>
      <c r="BB198">
        <f ca="1"/>
      </c>
      <c r="BC198">
        <f ca="1"/>
      </c>
      <c r="BD198">
        <f ca="1"/>
      </c>
      <c r="BE198">
        <f ca="1"/>
      </c>
    </row>
    <row r="199" spans="31:57" x14ac:dyDescent="0.55000000000000004">
      <c r="AE199" s="7">
        <f ca="1"/>
      </c>
      <c r="AF199">
        <f ca="1"/>
      </c>
      <c r="AG199">
        <f ca="1"/>
      </c>
      <c r="AH199">
        <f ca="1"/>
      </c>
      <c r="AI199">
        <f ca="1"/>
      </c>
      <c r="AJ199">
        <f ca="1"/>
      </c>
      <c r="AK199">
        <f ca="1"/>
      </c>
      <c r="AL199">
        <f ca="1"/>
      </c>
      <c r="AM199">
        <f ca="1"/>
      </c>
      <c r="AN199">
        <f ca="1"/>
      </c>
      <c r="AO199">
        <f ca="1"/>
      </c>
      <c r="AP199">
        <f ca="1"/>
      </c>
      <c r="AQ199">
        <f ca="1"/>
      </c>
      <c r="AR199">
        <f ca="1"/>
      </c>
      <c r="AT199" s="7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BA199" s="7">
        <f ca="1"/>
      </c>
      <c r="BB199">
        <f ca="1"/>
      </c>
      <c r="BC199">
        <f ca="1"/>
      </c>
      <c r="BD199">
        <f ca="1"/>
      </c>
      <c r="BE199">
        <f ca="1"/>
      </c>
    </row>
    <row r="200" spans="31:57" x14ac:dyDescent="0.55000000000000004">
      <c r="AE200" s="7">
        <f ca="1"/>
      </c>
      <c r="AF200">
        <f ca="1"/>
      </c>
      <c r="AG200">
        <f ca="1"/>
      </c>
      <c r="AH200">
        <f ca="1"/>
      </c>
      <c r="AI200">
        <f ca="1"/>
      </c>
      <c r="AJ200">
        <f ca="1"/>
      </c>
      <c r="AK200">
        <f ca="1"/>
      </c>
      <c r="AL200">
        <f ca="1"/>
      </c>
      <c r="AM200">
        <f ca="1"/>
      </c>
      <c r="AN200">
        <f ca="1"/>
      </c>
      <c r="AO200">
        <f ca="1"/>
      </c>
      <c r="AP200">
        <f ca="1"/>
      </c>
      <c r="AQ200">
        <f ca="1"/>
      </c>
      <c r="AR200">
        <f ca="1"/>
      </c>
      <c r="AT200" s="7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BA200" s="7">
        <f ca="1"/>
      </c>
      <c r="BB200">
        <f ca="1"/>
      </c>
      <c r="BC200">
        <f ca="1"/>
      </c>
      <c r="BD200">
        <f ca="1"/>
      </c>
      <c r="BE200">
        <f ca="1"/>
      </c>
    </row>
    <row r="201" spans="31:57" x14ac:dyDescent="0.55000000000000004">
      <c r="AE201" s="7">
        <f ca="1"/>
      </c>
      <c r="AF201">
        <f ca="1"/>
      </c>
      <c r="AG201">
        <f ca="1"/>
      </c>
      <c r="AH201">
        <f ca="1"/>
      </c>
      <c r="AI201">
        <f ca="1"/>
      </c>
      <c r="AJ201">
        <f ca="1"/>
      </c>
      <c r="AK201">
        <f ca="1"/>
      </c>
      <c r="AL201">
        <f ca="1"/>
      </c>
      <c r="AM201">
        <f ca="1"/>
      </c>
      <c r="AN201">
        <f ca="1"/>
      </c>
      <c r="AO201">
        <f ca="1"/>
      </c>
      <c r="AP201">
        <f ca="1"/>
      </c>
      <c r="AQ201">
        <f ca="1"/>
      </c>
      <c r="AR201">
        <f ca="1"/>
      </c>
      <c r="AT201" s="7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BA201" s="7">
        <f ca="1"/>
      </c>
      <c r="BB201">
        <f ca="1"/>
      </c>
      <c r="BC201">
        <f ca="1"/>
      </c>
      <c r="BD201">
        <f ca="1"/>
      </c>
      <c r="BE201">
        <f ca="1"/>
      </c>
    </row>
    <row r="202" spans="31:57" x14ac:dyDescent="0.55000000000000004">
      <c r="AE202" s="7">
        <f ca="1"/>
      </c>
      <c r="AF202">
        <f ca="1"/>
      </c>
      <c r="AG202">
        <f ca="1"/>
      </c>
      <c r="AH202">
        <f ca="1"/>
      </c>
      <c r="AI202">
        <f ca="1"/>
      </c>
      <c r="AJ202">
        <f ca="1"/>
      </c>
      <c r="AK202">
        <f ca="1"/>
      </c>
      <c r="AL202">
        <f ca="1"/>
      </c>
      <c r="AM202">
        <f ca="1"/>
      </c>
      <c r="AN202">
        <f ca="1"/>
      </c>
      <c r="AO202">
        <f ca="1"/>
      </c>
      <c r="AP202">
        <f ca="1"/>
      </c>
      <c r="AQ202">
        <f ca="1"/>
      </c>
      <c r="AR202">
        <f ca="1"/>
      </c>
      <c r="AT202" s="7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BA202" s="7">
        <f ca="1"/>
      </c>
      <c r="BB202">
        <f ca="1"/>
      </c>
      <c r="BC202">
        <f ca="1"/>
      </c>
      <c r="BD202">
        <f ca="1"/>
      </c>
      <c r="BE202">
        <f ca="1"/>
      </c>
    </row>
    <row r="203" spans="31:57" x14ac:dyDescent="0.55000000000000004">
      <c r="AE203" s="7">
        <f ca="1"/>
      </c>
      <c r="AF203">
        <f ca="1"/>
      </c>
      <c r="AG203">
        <f ca="1"/>
      </c>
      <c r="AH203">
        <f ca="1"/>
      </c>
      <c r="AI203">
        <f ca="1"/>
      </c>
      <c r="AJ203">
        <f ca="1"/>
      </c>
      <c r="AK203">
        <f ca="1"/>
      </c>
      <c r="AL203">
        <f ca="1"/>
      </c>
      <c r="AM203">
        <f ca="1"/>
      </c>
      <c r="AN203">
        <f ca="1"/>
      </c>
      <c r="AO203">
        <f ca="1"/>
      </c>
      <c r="AP203">
        <f ca="1"/>
      </c>
      <c r="AQ203">
        <f ca="1"/>
      </c>
      <c r="AR203">
        <f ca="1"/>
      </c>
      <c r="AT203" s="7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BA203" s="7">
        <f ca="1"/>
      </c>
      <c r="BB203">
        <f ca="1"/>
      </c>
      <c r="BC203">
        <f ca="1"/>
      </c>
      <c r="BD203">
        <f ca="1"/>
      </c>
      <c r="BE203">
        <f ca="1"/>
      </c>
    </row>
    <row r="204" spans="31:57" x14ac:dyDescent="0.55000000000000004">
      <c r="AE204" s="7">
        <f ca="1"/>
      </c>
      <c r="AF204">
        <f ca="1"/>
      </c>
      <c r="AG204">
        <f ca="1"/>
      </c>
      <c r="AH204">
        <f ca="1"/>
      </c>
      <c r="AI204">
        <f ca="1"/>
      </c>
      <c r="AJ204">
        <f ca="1"/>
      </c>
      <c r="AK204">
        <f ca="1"/>
      </c>
      <c r="AL204">
        <f ca="1"/>
      </c>
      <c r="AM204">
        <f ca="1"/>
      </c>
      <c r="AN204">
        <f ca="1"/>
      </c>
      <c r="AO204">
        <f ca="1"/>
      </c>
      <c r="AP204">
        <f ca="1"/>
      </c>
      <c r="AQ204">
        <f ca="1"/>
      </c>
      <c r="AR204">
        <f ca="1"/>
      </c>
      <c r="AT204" s="7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BA204" s="7">
        <f ca="1"/>
      </c>
      <c r="BB204">
        <f ca="1"/>
      </c>
      <c r="BC204">
        <f ca="1"/>
      </c>
      <c r="BD204">
        <f ca="1"/>
      </c>
      <c r="BE204">
        <f ca="1"/>
      </c>
    </row>
    <row r="205" spans="31:57" x14ac:dyDescent="0.55000000000000004">
      <c r="AE205" s="7">
        <f ca="1"/>
      </c>
      <c r="AF205">
        <f ca="1"/>
      </c>
      <c r="AG205">
        <f ca="1"/>
      </c>
      <c r="AH205">
        <f ca="1"/>
      </c>
      <c r="AI205">
        <f ca="1"/>
      </c>
      <c r="AJ205">
        <f ca="1"/>
      </c>
      <c r="AK205">
        <f ca="1"/>
      </c>
      <c r="AL205">
        <f ca="1"/>
      </c>
      <c r="AM205">
        <f ca="1"/>
      </c>
      <c r="AN205">
        <f ca="1"/>
      </c>
      <c r="AO205">
        <f ca="1"/>
      </c>
      <c r="AP205">
        <f ca="1"/>
      </c>
      <c r="AQ205">
        <f ca="1"/>
      </c>
      <c r="AR205">
        <f ca="1"/>
      </c>
      <c r="AT205" s="7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BA205" s="7">
        <f ca="1"/>
      </c>
      <c r="BB205">
        <f ca="1"/>
      </c>
      <c r="BC205">
        <f ca="1"/>
      </c>
      <c r="BD205">
        <f ca="1"/>
      </c>
      <c r="BE205">
        <f ca="1"/>
      </c>
    </row>
    <row r="206" spans="31:57" x14ac:dyDescent="0.55000000000000004">
      <c r="AE206" s="7">
        <f ca="1"/>
      </c>
      <c r="AF206">
        <f ca="1"/>
      </c>
      <c r="AG206">
        <f ca="1"/>
      </c>
      <c r="AH206">
        <f ca="1"/>
      </c>
      <c r="AI206">
        <f ca="1"/>
      </c>
      <c r="AJ206">
        <f ca="1"/>
      </c>
      <c r="AK206">
        <f ca="1"/>
      </c>
      <c r="AL206">
        <f ca="1"/>
      </c>
      <c r="AM206">
        <f ca="1"/>
      </c>
      <c r="AN206">
        <f ca="1"/>
      </c>
      <c r="AO206">
        <f ca="1"/>
      </c>
      <c r="AP206">
        <f ca="1"/>
      </c>
      <c r="AQ206">
        <f ca="1"/>
      </c>
      <c r="AR206">
        <f ca="1"/>
      </c>
      <c r="AT206" s="7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BA206" s="7">
        <f ca="1"/>
      </c>
      <c r="BB206">
        <f ca="1"/>
      </c>
      <c r="BC206">
        <f ca="1"/>
      </c>
      <c r="BD206">
        <f ca="1"/>
      </c>
      <c r="BE206">
        <f ca="1"/>
      </c>
    </row>
    <row r="207" spans="31:57" x14ac:dyDescent="0.55000000000000004">
      <c r="AE207" s="7">
        <f ca="1"/>
      </c>
      <c r="AF207">
        <f ca="1"/>
      </c>
      <c r="AG207">
        <f ca="1"/>
      </c>
      <c r="AH207">
        <f ca="1"/>
      </c>
      <c r="AI207">
        <f ca="1"/>
      </c>
      <c r="AJ207">
        <f ca="1"/>
      </c>
      <c r="AK207">
        <f ca="1"/>
      </c>
      <c r="AL207">
        <f ca="1"/>
      </c>
      <c r="AM207">
        <f ca="1"/>
      </c>
      <c r="AN207">
        <f ca="1"/>
      </c>
      <c r="AO207">
        <f ca="1"/>
      </c>
      <c r="AP207">
        <f ca="1"/>
      </c>
      <c r="AQ207">
        <f ca="1"/>
      </c>
      <c r="AR207">
        <f ca="1"/>
      </c>
      <c r="AT207" s="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BA207" s="7">
        <f ca="1"/>
      </c>
      <c r="BB207">
        <f ca="1"/>
      </c>
      <c r="BC207">
        <f ca="1"/>
      </c>
      <c r="BD207">
        <f ca="1"/>
      </c>
      <c r="BE207">
        <f ca="1"/>
      </c>
    </row>
    <row r="208" spans="31:57" x14ac:dyDescent="0.55000000000000004">
      <c r="AE208" s="7">
        <f ca="1"/>
      </c>
      <c r="AF208">
        <f ca="1"/>
      </c>
      <c r="AG208">
        <f ca="1"/>
      </c>
      <c r="AH208">
        <f ca="1"/>
      </c>
      <c r="AI208">
        <f ca="1"/>
      </c>
      <c r="AJ208">
        <f ca="1"/>
      </c>
      <c r="AK208">
        <f ca="1"/>
      </c>
      <c r="AL208">
        <f ca="1"/>
      </c>
      <c r="AM208">
        <f ca="1"/>
      </c>
      <c r="AN208">
        <f ca="1"/>
      </c>
      <c r="AO208">
        <f ca="1"/>
      </c>
      <c r="AP208">
        <f ca="1"/>
      </c>
      <c r="AQ208">
        <f ca="1"/>
      </c>
      <c r="AR208">
        <f ca="1"/>
      </c>
      <c r="AT208" s="7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BA208" s="7">
        <f ca="1"/>
      </c>
      <c r="BB208">
        <f ca="1"/>
      </c>
      <c r="BC208">
        <f ca="1"/>
      </c>
      <c r="BD208">
        <f ca="1"/>
      </c>
      <c r="BE208">
        <f ca="1"/>
      </c>
    </row>
    <row r="209" spans="31:57" x14ac:dyDescent="0.55000000000000004">
      <c r="AE209" s="7">
        <f ca="1"/>
      </c>
      <c r="AF209">
        <f ca="1"/>
      </c>
      <c r="AG209">
        <f ca="1"/>
      </c>
      <c r="AH209">
        <f ca="1"/>
      </c>
      <c r="AI209">
        <f ca="1"/>
      </c>
      <c r="AJ209">
        <f ca="1"/>
      </c>
      <c r="AK209">
        <f ca="1"/>
      </c>
      <c r="AL209">
        <f ca="1"/>
      </c>
      <c r="AM209">
        <f ca="1"/>
      </c>
      <c r="AN209">
        <f ca="1"/>
      </c>
      <c r="AO209">
        <f ca="1"/>
      </c>
      <c r="AP209">
        <f ca="1"/>
      </c>
      <c r="AQ209">
        <f ca="1"/>
      </c>
      <c r="AR209">
        <f ca="1"/>
      </c>
      <c r="AT209" s="7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BA209" s="7">
        <f ca="1"/>
      </c>
      <c r="BB209">
        <f ca="1"/>
      </c>
      <c r="BC209">
        <f ca="1"/>
      </c>
      <c r="BD209">
        <f ca="1"/>
      </c>
      <c r="BE209">
        <f ca="1"/>
      </c>
    </row>
    <row r="210" spans="31:57" x14ac:dyDescent="0.55000000000000004">
      <c r="AE210" s="7">
        <f ca="1"/>
      </c>
      <c r="AF210">
        <f ca="1"/>
      </c>
      <c r="AG210">
        <f ca="1"/>
      </c>
      <c r="AH210">
        <f ca="1"/>
      </c>
      <c r="AI210">
        <f ca="1"/>
      </c>
      <c r="AJ210">
        <f ca="1"/>
      </c>
      <c r="AK210">
        <f ca="1"/>
      </c>
      <c r="AL210">
        <f ca="1"/>
      </c>
      <c r="AM210">
        <f ca="1"/>
      </c>
      <c r="AN210">
        <f ca="1"/>
      </c>
      <c r="AO210">
        <f ca="1"/>
      </c>
      <c r="AP210">
        <f ca="1"/>
      </c>
      <c r="AQ210">
        <f ca="1"/>
      </c>
      <c r="AR210">
        <f ca="1"/>
      </c>
      <c r="AT210" s="7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BA210" s="7">
        <f ca="1"/>
      </c>
      <c r="BB210">
        <f ca="1"/>
      </c>
      <c r="BC210">
        <f ca="1"/>
      </c>
      <c r="BD210">
        <f ca="1"/>
      </c>
      <c r="BE210">
        <f ca="1"/>
      </c>
    </row>
    <row r="211" spans="31:57" x14ac:dyDescent="0.55000000000000004">
      <c r="AE211" s="7">
        <f ca="1"/>
      </c>
      <c r="AF211">
        <f ca="1"/>
      </c>
      <c r="AG211">
        <f ca="1"/>
      </c>
      <c r="AH211">
        <f ca="1"/>
      </c>
      <c r="AI211">
        <f ca="1"/>
      </c>
      <c r="AJ211">
        <f ca="1"/>
      </c>
      <c r="AK211">
        <f ca="1"/>
      </c>
      <c r="AL211">
        <f ca="1"/>
      </c>
      <c r="AM211">
        <f ca="1"/>
      </c>
      <c r="AN211">
        <f ca="1"/>
      </c>
      <c r="AO211">
        <f ca="1"/>
      </c>
      <c r="AP211">
        <f ca="1"/>
      </c>
      <c r="AQ211">
        <f ca="1"/>
      </c>
      <c r="AR211">
        <f ca="1"/>
      </c>
      <c r="AT211" s="7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BA211" s="7">
        <f ca="1"/>
      </c>
      <c r="BB211">
        <f ca="1"/>
      </c>
      <c r="BC211">
        <f ca="1"/>
      </c>
      <c r="BD211">
        <f ca="1"/>
      </c>
      <c r="BE211">
        <f ca="1"/>
      </c>
    </row>
    <row r="212" spans="31:57" x14ac:dyDescent="0.55000000000000004">
      <c r="AE212" s="7">
        <f ca="1"/>
      </c>
      <c r="AF212">
        <f ca="1"/>
      </c>
      <c r="AG212">
        <f ca="1"/>
      </c>
      <c r="AH212">
        <f ca="1"/>
      </c>
      <c r="AI212">
        <f ca="1"/>
      </c>
      <c r="AJ212">
        <f ca="1"/>
      </c>
      <c r="AK212">
        <f ca="1"/>
      </c>
      <c r="AL212">
        <f ca="1"/>
      </c>
      <c r="AM212">
        <f ca="1"/>
      </c>
      <c r="AN212">
        <f ca="1"/>
      </c>
      <c r="AO212">
        <f ca="1"/>
      </c>
      <c r="AP212">
        <f ca="1"/>
      </c>
      <c r="AQ212">
        <f ca="1"/>
      </c>
      <c r="AR212">
        <f ca="1"/>
      </c>
      <c r="AT212" s="7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BA212" s="7">
        <f ca="1"/>
      </c>
      <c r="BB212">
        <f ca="1"/>
      </c>
      <c r="BC212">
        <f ca="1"/>
      </c>
      <c r="BD212">
        <f ca="1"/>
      </c>
      <c r="BE212">
        <f ca="1"/>
      </c>
    </row>
    <row r="213" spans="31:57" x14ac:dyDescent="0.55000000000000004">
      <c r="AE213" s="7">
        <f ca="1"/>
      </c>
      <c r="AF213">
        <f ca="1"/>
      </c>
      <c r="AG213">
        <f ca="1"/>
      </c>
      <c r="AH213">
        <f ca="1"/>
      </c>
      <c r="AI213">
        <f ca="1"/>
      </c>
      <c r="AJ213">
        <f ca="1"/>
      </c>
      <c r="AK213">
        <f ca="1"/>
      </c>
      <c r="AL213">
        <f ca="1"/>
      </c>
      <c r="AM213">
        <f ca="1"/>
      </c>
      <c r="AN213">
        <f ca="1"/>
      </c>
      <c r="AO213">
        <f ca="1"/>
      </c>
      <c r="AP213">
        <f ca="1"/>
      </c>
      <c r="AQ213">
        <f ca="1"/>
      </c>
      <c r="AR213">
        <f ca="1"/>
      </c>
      <c r="AT213" s="7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BA213" s="7">
        <f ca="1"/>
      </c>
      <c r="BB213">
        <f ca="1"/>
      </c>
      <c r="BC213">
        <f ca="1"/>
      </c>
      <c r="BD213">
        <f ca="1"/>
      </c>
      <c r="BE213">
        <f ca="1"/>
      </c>
    </row>
    <row r="214" spans="31:57" x14ac:dyDescent="0.55000000000000004">
      <c r="AE214" s="7">
        <f ca="1"/>
      </c>
      <c r="AF214">
        <f ca="1"/>
      </c>
      <c r="AG214">
        <f ca="1"/>
      </c>
      <c r="AH214">
        <f ca="1"/>
      </c>
      <c r="AI214">
        <f ca="1"/>
      </c>
      <c r="AJ214">
        <f ca="1"/>
      </c>
      <c r="AK214">
        <f ca="1"/>
      </c>
      <c r="AL214">
        <f ca="1"/>
      </c>
      <c r="AM214">
        <f ca="1"/>
      </c>
      <c r="AN214">
        <f ca="1"/>
      </c>
      <c r="AO214">
        <f ca="1"/>
      </c>
      <c r="AP214">
        <f ca="1"/>
      </c>
      <c r="AQ214">
        <f ca="1"/>
      </c>
      <c r="AR214">
        <f ca="1"/>
      </c>
      <c r="AT214" s="7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BA214" s="7">
        <f ca="1"/>
      </c>
      <c r="BB214">
        <f ca="1"/>
      </c>
      <c r="BC214">
        <f ca="1"/>
      </c>
      <c r="BD214">
        <f ca="1"/>
      </c>
      <c r="BE214">
        <f ca="1"/>
      </c>
    </row>
    <row r="215" spans="31:57" x14ac:dyDescent="0.55000000000000004">
      <c r="AE215" s="7">
        <f ca="1"/>
      </c>
      <c r="AF215">
        <f ca="1"/>
      </c>
      <c r="AG215">
        <f ca="1"/>
      </c>
      <c r="AH215">
        <f ca="1"/>
      </c>
      <c r="AI215">
        <f ca="1"/>
      </c>
      <c r="AJ215">
        <f ca="1"/>
      </c>
      <c r="AK215">
        <f ca="1"/>
      </c>
      <c r="AL215">
        <f ca="1"/>
      </c>
      <c r="AM215">
        <f ca="1"/>
      </c>
      <c r="AN215">
        <f ca="1"/>
      </c>
      <c r="AO215">
        <f ca="1"/>
      </c>
      <c r="AP215">
        <f ca="1"/>
      </c>
      <c r="AQ215">
        <f ca="1"/>
      </c>
      <c r="AR215">
        <f ca="1"/>
      </c>
      <c r="AT215" s="7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BA215" s="7">
        <f ca="1"/>
      </c>
      <c r="BB215">
        <f ca="1"/>
      </c>
      <c r="BC215">
        <f ca="1"/>
      </c>
      <c r="BD215">
        <f ca="1"/>
      </c>
      <c r="BE215">
        <f ca="1"/>
      </c>
    </row>
    <row r="216" spans="31:57" x14ac:dyDescent="0.55000000000000004">
      <c r="AE216" s="7">
        <f ca="1"/>
      </c>
      <c r="AF216">
        <f ca="1"/>
      </c>
      <c r="AG216">
        <f ca="1"/>
      </c>
      <c r="AH216">
        <f ca="1"/>
      </c>
      <c r="AI216">
        <f ca="1"/>
      </c>
      <c r="AJ216">
        <f ca="1"/>
      </c>
      <c r="AK216">
        <f ca="1"/>
      </c>
      <c r="AL216">
        <f ca="1"/>
      </c>
      <c r="AM216">
        <f ca="1"/>
      </c>
      <c r="AN216">
        <f ca="1"/>
      </c>
      <c r="AO216">
        <f ca="1"/>
      </c>
      <c r="AP216">
        <f ca="1"/>
      </c>
      <c r="AQ216">
        <f ca="1"/>
      </c>
      <c r="AR216">
        <f ca="1"/>
      </c>
      <c r="AT216" s="7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BA216" s="7">
        <f ca="1"/>
      </c>
      <c r="BB216">
        <f ca="1"/>
      </c>
      <c r="BC216">
        <f ca="1"/>
      </c>
      <c r="BD216">
        <f ca="1"/>
      </c>
      <c r="BE216">
        <f ca="1"/>
      </c>
    </row>
    <row r="217" spans="31:57" x14ac:dyDescent="0.55000000000000004">
      <c r="AE217" s="7">
        <f ca="1"/>
      </c>
      <c r="AF217">
        <f ca="1"/>
      </c>
      <c r="AG217">
        <f ca="1"/>
      </c>
      <c r="AH217">
        <f ca="1"/>
      </c>
      <c r="AI217">
        <f ca="1"/>
      </c>
      <c r="AJ217">
        <f ca="1"/>
      </c>
      <c r="AK217">
        <f ca="1"/>
      </c>
      <c r="AL217">
        <f ca="1"/>
      </c>
      <c r="AM217">
        <f ca="1"/>
      </c>
      <c r="AN217">
        <f ca="1"/>
      </c>
      <c r="AO217">
        <f ca="1"/>
      </c>
      <c r="AP217">
        <f ca="1"/>
      </c>
      <c r="AQ217">
        <f ca="1"/>
      </c>
      <c r="AR217">
        <f ca="1"/>
      </c>
      <c r="AT217" s="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BA217" s="7">
        <f ca="1"/>
      </c>
      <c r="BB217">
        <f ca="1"/>
      </c>
      <c r="BC217">
        <f ca="1"/>
      </c>
      <c r="BD217">
        <f ca="1"/>
      </c>
      <c r="BE217">
        <f ca="1"/>
      </c>
    </row>
    <row r="218" spans="31:57" x14ac:dyDescent="0.55000000000000004">
      <c r="AE218" s="7">
        <f ca="1"/>
      </c>
      <c r="AF218">
        <f ca="1"/>
      </c>
      <c r="AG218">
        <f ca="1"/>
      </c>
      <c r="AH218">
        <f ca="1"/>
      </c>
      <c r="AI218">
        <f ca="1"/>
      </c>
      <c r="AJ218">
        <f ca="1"/>
      </c>
      <c r="AK218">
        <f ca="1"/>
      </c>
      <c r="AL218">
        <f ca="1"/>
      </c>
      <c r="AM218">
        <f ca="1"/>
      </c>
      <c r="AN218">
        <f ca="1"/>
      </c>
      <c r="AO218">
        <f ca="1"/>
      </c>
      <c r="AP218">
        <f ca="1"/>
      </c>
      <c r="AQ218">
        <f ca="1"/>
      </c>
      <c r="AR218">
        <f ca="1"/>
      </c>
      <c r="AT218" s="7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BA218" s="7">
        <f ca="1"/>
      </c>
      <c r="BB218">
        <f ca="1"/>
      </c>
      <c r="BC218">
        <f ca="1"/>
      </c>
      <c r="BD218">
        <f ca="1"/>
      </c>
      <c r="BE218">
        <f ca="1"/>
      </c>
    </row>
    <row r="219" spans="31:57" x14ac:dyDescent="0.55000000000000004">
      <c r="AE219" s="7">
        <f ca="1"/>
      </c>
      <c r="AF219">
        <f ca="1"/>
      </c>
      <c r="AG219">
        <f ca="1"/>
      </c>
      <c r="AH219">
        <f ca="1"/>
      </c>
      <c r="AI219">
        <f ca="1"/>
      </c>
      <c r="AJ219">
        <f ca="1"/>
      </c>
      <c r="AK219">
        <f ca="1"/>
      </c>
      <c r="AL219">
        <f ca="1"/>
      </c>
      <c r="AM219">
        <f ca="1"/>
      </c>
      <c r="AN219">
        <f ca="1"/>
      </c>
      <c r="AO219">
        <f ca="1"/>
      </c>
      <c r="AP219">
        <f ca="1"/>
      </c>
      <c r="AQ219">
        <f ca="1"/>
      </c>
      <c r="AR219">
        <f ca="1"/>
      </c>
      <c r="AT219" s="7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BA219" s="7">
        <f ca="1"/>
      </c>
      <c r="BB219">
        <f ca="1"/>
      </c>
      <c r="BC219">
        <f ca="1"/>
      </c>
      <c r="BD219">
        <f ca="1"/>
      </c>
      <c r="BE219">
        <f ca="1"/>
      </c>
    </row>
    <row r="220" spans="31:57" x14ac:dyDescent="0.55000000000000004">
      <c r="AE220" s="7">
        <f ca="1"/>
      </c>
      <c r="AF220">
        <f ca="1"/>
      </c>
      <c r="AG220">
        <f ca="1"/>
      </c>
      <c r="AH220">
        <f ca="1"/>
      </c>
      <c r="AI220">
        <f ca="1"/>
      </c>
      <c r="AJ220">
        <f ca="1"/>
      </c>
      <c r="AK220">
        <f ca="1"/>
      </c>
      <c r="AL220">
        <f ca="1"/>
      </c>
      <c r="AM220">
        <f ca="1"/>
      </c>
      <c r="AN220">
        <f ca="1"/>
      </c>
      <c r="AO220">
        <f ca="1"/>
      </c>
      <c r="AP220">
        <f ca="1"/>
      </c>
      <c r="AQ220">
        <f ca="1"/>
      </c>
      <c r="AR220">
        <f ca="1"/>
      </c>
      <c r="AT220" s="7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BA220" s="7">
        <f ca="1"/>
      </c>
      <c r="BB220">
        <f ca="1"/>
      </c>
      <c r="BC220">
        <f ca="1"/>
      </c>
      <c r="BD220">
        <f ca="1"/>
      </c>
      <c r="BE220">
        <f ca="1"/>
      </c>
    </row>
    <row r="221" spans="31:57" x14ac:dyDescent="0.55000000000000004">
      <c r="AE221" s="7">
        <f ca="1"/>
      </c>
      <c r="AF221">
        <f ca="1"/>
      </c>
      <c r="AG221">
        <f ca="1"/>
      </c>
      <c r="AH221">
        <f ca="1"/>
      </c>
      <c r="AI221">
        <f ca="1"/>
      </c>
      <c r="AJ221">
        <f ca="1"/>
      </c>
      <c r="AK221">
        <f ca="1"/>
      </c>
      <c r="AL221">
        <f ca="1"/>
      </c>
      <c r="AM221">
        <f ca="1"/>
      </c>
      <c r="AN221">
        <f ca="1"/>
      </c>
      <c r="AO221">
        <f ca="1"/>
      </c>
      <c r="AP221">
        <f ca="1"/>
      </c>
      <c r="AQ221">
        <f ca="1"/>
      </c>
      <c r="AR221">
        <f ca="1"/>
      </c>
      <c r="AT221" s="7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BA221" s="7">
        <f ca="1"/>
      </c>
      <c r="BB221">
        <f ca="1"/>
      </c>
      <c r="BC221">
        <f ca="1"/>
      </c>
      <c r="BD221">
        <f ca="1"/>
      </c>
      <c r="BE221">
        <f ca="1"/>
      </c>
    </row>
    <row r="222" spans="31:57" x14ac:dyDescent="0.55000000000000004">
      <c r="AE222" s="7">
        <f ca="1"/>
      </c>
      <c r="AF222">
        <f ca="1"/>
      </c>
      <c r="AG222">
        <f ca="1"/>
      </c>
      <c r="AH222">
        <f ca="1"/>
      </c>
      <c r="AI222">
        <f ca="1"/>
      </c>
      <c r="AJ222">
        <f ca="1"/>
      </c>
      <c r="AK222">
        <f ca="1"/>
      </c>
      <c r="AL222">
        <f ca="1"/>
      </c>
      <c r="AM222">
        <f ca="1"/>
      </c>
      <c r="AN222">
        <f ca="1"/>
      </c>
      <c r="AO222">
        <f ca="1"/>
      </c>
      <c r="AP222">
        <f ca="1"/>
      </c>
      <c r="AQ222">
        <f ca="1"/>
      </c>
      <c r="AR222">
        <f ca="1"/>
      </c>
      <c r="AT222" s="7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BA222" s="7">
        <f ca="1"/>
      </c>
      <c r="BB222">
        <f ca="1"/>
      </c>
      <c r="BC222">
        <f ca="1"/>
      </c>
      <c r="BD222">
        <f ca="1"/>
      </c>
      <c r="BE222">
        <f ca="1"/>
      </c>
    </row>
    <row r="223" spans="31:57" x14ac:dyDescent="0.55000000000000004">
      <c r="AE223" s="7">
        <f ca="1"/>
      </c>
      <c r="AF223">
        <f ca="1"/>
      </c>
      <c r="AG223">
        <f ca="1"/>
      </c>
      <c r="AH223">
        <f ca="1"/>
      </c>
      <c r="AI223">
        <f ca="1"/>
      </c>
      <c r="AJ223">
        <f ca="1"/>
      </c>
      <c r="AK223">
        <f ca="1"/>
      </c>
      <c r="AL223">
        <f ca="1"/>
      </c>
      <c r="AM223">
        <f ca="1"/>
      </c>
      <c r="AN223">
        <f ca="1"/>
      </c>
      <c r="AO223">
        <f ca="1"/>
      </c>
      <c r="AP223">
        <f ca="1"/>
      </c>
      <c r="AQ223">
        <f ca="1"/>
      </c>
      <c r="AR223">
        <f ca="1"/>
      </c>
      <c r="AT223" s="7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BA223" s="7">
        <f ca="1"/>
      </c>
      <c r="BB223">
        <f ca="1"/>
      </c>
      <c r="BC223">
        <f ca="1"/>
      </c>
      <c r="BD223">
        <f ca="1"/>
      </c>
      <c r="BE223">
        <f ca="1"/>
      </c>
    </row>
    <row r="224" spans="31:57" x14ac:dyDescent="0.55000000000000004">
      <c r="AE224" s="7">
        <f ca="1"/>
      </c>
      <c r="AF224">
        <f ca="1"/>
      </c>
      <c r="AG224">
        <f ca="1"/>
      </c>
      <c r="AH224">
        <f ca="1"/>
      </c>
      <c r="AI224">
        <f ca="1"/>
      </c>
      <c r="AJ224">
        <f ca="1"/>
      </c>
      <c r="AK224">
        <f ca="1"/>
      </c>
      <c r="AL224">
        <f ca="1"/>
      </c>
      <c r="AM224">
        <f ca="1"/>
      </c>
      <c r="AN224">
        <f ca="1"/>
      </c>
      <c r="AO224">
        <f ca="1"/>
      </c>
      <c r="AP224">
        <f ca="1"/>
      </c>
      <c r="AQ224">
        <f ca="1"/>
      </c>
      <c r="AR224">
        <f ca="1"/>
      </c>
      <c r="AT224" s="7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BA224" s="7">
        <f ca="1"/>
      </c>
      <c r="BB224">
        <f ca="1"/>
      </c>
      <c r="BC224">
        <f ca="1"/>
      </c>
      <c r="BD224">
        <f ca="1"/>
      </c>
      <c r="BE224">
        <f ca="1"/>
      </c>
    </row>
    <row r="225" spans="31:57" x14ac:dyDescent="0.55000000000000004">
      <c r="AE225" s="7">
        <f ca="1"/>
      </c>
      <c r="AF225">
        <f ca="1"/>
      </c>
      <c r="AG225">
        <f ca="1"/>
      </c>
      <c r="AH225">
        <f ca="1"/>
      </c>
      <c r="AI225">
        <f ca="1"/>
      </c>
      <c r="AJ225">
        <f ca="1"/>
      </c>
      <c r="AK225">
        <f ca="1"/>
      </c>
      <c r="AL225">
        <f ca="1"/>
      </c>
      <c r="AM225">
        <f ca="1"/>
      </c>
      <c r="AN225">
        <f ca="1"/>
      </c>
      <c r="AO225">
        <f ca="1"/>
      </c>
      <c r="AP225">
        <f ca="1"/>
      </c>
      <c r="AQ225">
        <f ca="1"/>
      </c>
      <c r="AR225">
        <f ca="1"/>
      </c>
      <c r="AT225" s="7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BA225" s="7">
        <f ca="1"/>
      </c>
      <c r="BB225">
        <f ca="1"/>
      </c>
      <c r="BC225">
        <f ca="1"/>
      </c>
      <c r="BD225">
        <f ca="1"/>
      </c>
      <c r="BE225">
        <f ca="1"/>
      </c>
    </row>
    <row r="226" spans="31:57" x14ac:dyDescent="0.55000000000000004">
      <c r="AE226" s="7">
        <f ca="1"/>
      </c>
      <c r="AF226">
        <f ca="1"/>
      </c>
      <c r="AG226">
        <f ca="1"/>
      </c>
      <c r="AH226">
        <f ca="1"/>
      </c>
      <c r="AI226">
        <f ca="1"/>
      </c>
      <c r="AJ226">
        <f ca="1"/>
      </c>
      <c r="AK226">
        <f ca="1"/>
      </c>
      <c r="AL226">
        <f ca="1"/>
      </c>
      <c r="AM226">
        <f ca="1"/>
      </c>
      <c r="AN226">
        <f ca="1"/>
      </c>
      <c r="AO226">
        <f ca="1"/>
      </c>
      <c r="AP226">
        <f ca="1"/>
      </c>
      <c r="AQ226">
        <f ca="1"/>
      </c>
      <c r="AR226">
        <f ca="1"/>
      </c>
      <c r="AT226" s="7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BA226" s="7">
        <f ca="1"/>
      </c>
      <c r="BB226">
        <f ca="1"/>
      </c>
      <c r="BC226">
        <f ca="1"/>
      </c>
      <c r="BD226">
        <f ca="1"/>
      </c>
      <c r="BE226">
        <f ca="1"/>
      </c>
    </row>
    <row r="227" spans="31:57" x14ac:dyDescent="0.55000000000000004">
      <c r="AE227" s="7">
        <f ca="1"/>
      </c>
      <c r="AF227">
        <f ca="1"/>
      </c>
      <c r="AG227">
        <f ca="1"/>
      </c>
      <c r="AH227">
        <f ca="1"/>
      </c>
      <c r="AI227">
        <f ca="1"/>
      </c>
      <c r="AJ227">
        <f ca="1"/>
      </c>
      <c r="AK227">
        <f ca="1"/>
      </c>
      <c r="AL227">
        <f ca="1"/>
      </c>
      <c r="AM227">
        <f ca="1"/>
      </c>
      <c r="AN227">
        <f ca="1"/>
      </c>
      <c r="AO227">
        <f ca="1"/>
      </c>
      <c r="AP227">
        <f ca="1"/>
      </c>
      <c r="AQ227">
        <f ca="1"/>
      </c>
      <c r="AR227">
        <f ca="1"/>
      </c>
      <c r="AT227" s="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BA227" s="7">
        <f ca="1"/>
      </c>
      <c r="BB227">
        <f ca="1"/>
      </c>
      <c r="BC227">
        <f ca="1"/>
      </c>
      <c r="BD227">
        <f ca="1"/>
      </c>
      <c r="BE227">
        <f ca="1"/>
      </c>
    </row>
    <row r="228" spans="31:57" x14ac:dyDescent="0.55000000000000004">
      <c r="AE228" s="7">
        <f ca="1"/>
      </c>
      <c r="AF228">
        <f ca="1"/>
      </c>
      <c r="AG228">
        <f ca="1"/>
      </c>
      <c r="AH228">
        <f ca="1"/>
      </c>
      <c r="AI228">
        <f ca="1"/>
      </c>
      <c r="AJ228">
        <f ca="1"/>
      </c>
      <c r="AK228">
        <f ca="1"/>
      </c>
      <c r="AL228">
        <f ca="1"/>
      </c>
      <c r="AM228">
        <f ca="1"/>
      </c>
      <c r="AN228">
        <f ca="1"/>
      </c>
      <c r="AO228">
        <f ca="1"/>
      </c>
      <c r="AP228">
        <f ca="1"/>
      </c>
      <c r="AQ228">
        <f ca="1"/>
      </c>
      <c r="AR228">
        <f ca="1"/>
      </c>
      <c r="AT228" s="7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BA228" s="7">
        <f ca="1"/>
      </c>
      <c r="BB228">
        <f ca="1"/>
      </c>
      <c r="BC228">
        <f ca="1"/>
      </c>
      <c r="BD228">
        <f ca="1"/>
      </c>
      <c r="BE228">
        <f ca="1"/>
      </c>
    </row>
    <row r="229" spans="31:57" x14ac:dyDescent="0.55000000000000004">
      <c r="AE229" s="7">
        <f ca="1"/>
      </c>
      <c r="AF229">
        <f ca="1"/>
      </c>
      <c r="AG229">
        <f ca="1"/>
      </c>
      <c r="AH229">
        <f ca="1"/>
      </c>
      <c r="AI229">
        <f ca="1"/>
      </c>
      <c r="AJ229">
        <f ca="1"/>
      </c>
      <c r="AK229">
        <f ca="1"/>
      </c>
      <c r="AL229">
        <f ca="1"/>
      </c>
      <c r="AM229">
        <f ca="1"/>
      </c>
      <c r="AN229">
        <f ca="1"/>
      </c>
      <c r="AO229">
        <f ca="1"/>
      </c>
      <c r="AP229">
        <f ca="1"/>
      </c>
      <c r="AQ229">
        <f ca="1"/>
      </c>
      <c r="AR229">
        <f ca="1"/>
      </c>
      <c r="AT229" s="7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BA229" s="7">
        <f ca="1"/>
      </c>
      <c r="BB229">
        <f ca="1"/>
      </c>
      <c r="BC229">
        <f ca="1"/>
      </c>
      <c r="BD229">
        <f ca="1"/>
      </c>
      <c r="BE229">
        <f ca="1"/>
      </c>
    </row>
    <row r="230" spans="31:57" x14ac:dyDescent="0.55000000000000004">
      <c r="AE230" s="7">
        <f ca="1"/>
      </c>
      <c r="AF230">
        <f ca="1"/>
      </c>
      <c r="AG230">
        <f ca="1"/>
      </c>
      <c r="AH230">
        <f ca="1"/>
      </c>
      <c r="AI230">
        <f ca="1"/>
      </c>
      <c r="AJ230">
        <f ca="1"/>
      </c>
      <c r="AK230">
        <f ca="1"/>
      </c>
      <c r="AL230">
        <f ca="1"/>
      </c>
      <c r="AM230">
        <f ca="1"/>
      </c>
      <c r="AN230">
        <f ca="1"/>
      </c>
      <c r="AO230">
        <f ca="1"/>
      </c>
      <c r="AP230">
        <f ca="1"/>
      </c>
      <c r="AQ230">
        <f ca="1"/>
      </c>
      <c r="AR230">
        <f ca="1"/>
      </c>
      <c r="AT230" s="7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BA230" s="7">
        <f ca="1"/>
      </c>
      <c r="BB230">
        <f ca="1"/>
      </c>
      <c r="BC230">
        <f ca="1"/>
      </c>
      <c r="BD230">
        <f ca="1"/>
      </c>
      <c r="BE230">
        <f ca="1"/>
      </c>
    </row>
    <row r="231" spans="31:57" x14ac:dyDescent="0.55000000000000004">
      <c r="AE231" s="7">
        <f ca="1"/>
      </c>
      <c r="AF231">
        <f ca="1"/>
      </c>
      <c r="AG231">
        <f ca="1"/>
      </c>
      <c r="AH231">
        <f ca="1"/>
      </c>
      <c r="AI231">
        <f ca="1"/>
      </c>
      <c r="AJ231">
        <f ca="1"/>
      </c>
      <c r="AK231">
        <f ca="1"/>
      </c>
      <c r="AL231">
        <f ca="1"/>
      </c>
      <c r="AM231">
        <f ca="1"/>
      </c>
      <c r="AN231">
        <f ca="1"/>
      </c>
      <c r="AO231">
        <f ca="1"/>
      </c>
      <c r="AP231">
        <f ca="1"/>
      </c>
      <c r="AQ231">
        <f ca="1"/>
      </c>
      <c r="AR231">
        <f ca="1"/>
      </c>
      <c r="AT231" s="7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BA231" s="7">
        <f ca="1"/>
      </c>
      <c r="BB231">
        <f ca="1"/>
      </c>
      <c r="BC231">
        <f ca="1"/>
      </c>
      <c r="BD231">
        <f ca="1"/>
      </c>
      <c r="BE231">
        <f ca="1"/>
      </c>
    </row>
    <row r="232" spans="31:57" x14ac:dyDescent="0.55000000000000004">
      <c r="AE232" s="7">
        <f ca="1"/>
      </c>
      <c r="AF232">
        <f ca="1"/>
      </c>
      <c r="AG232">
        <f ca="1"/>
      </c>
      <c r="AH232">
        <f ca="1"/>
      </c>
      <c r="AI232">
        <f ca="1"/>
      </c>
      <c r="AJ232">
        <f ca="1"/>
      </c>
      <c r="AK232">
        <f ca="1"/>
      </c>
      <c r="AL232">
        <f ca="1"/>
      </c>
      <c r="AM232">
        <f ca="1"/>
      </c>
      <c r="AN232">
        <f ca="1"/>
      </c>
      <c r="AO232">
        <f ca="1"/>
      </c>
      <c r="AP232">
        <f ca="1"/>
      </c>
      <c r="AQ232">
        <f ca="1"/>
      </c>
      <c r="AR232">
        <f ca="1"/>
      </c>
      <c r="AT232" s="7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BA232" s="7">
        <f ca="1"/>
      </c>
      <c r="BB232">
        <f ca="1"/>
      </c>
      <c r="BC232">
        <f ca="1"/>
      </c>
      <c r="BD232">
        <f ca="1"/>
      </c>
      <c r="BE232">
        <f ca="1"/>
      </c>
    </row>
    <row r="233" spans="31:57" x14ac:dyDescent="0.55000000000000004">
      <c r="AE233" s="7">
        <f ca="1"/>
      </c>
      <c r="AF233">
        <f ca="1"/>
      </c>
      <c r="AG233">
        <f ca="1"/>
      </c>
      <c r="AH233">
        <f ca="1"/>
      </c>
      <c r="AI233">
        <f ca="1"/>
      </c>
      <c r="AJ233">
        <f ca="1"/>
      </c>
      <c r="AK233">
        <f ca="1"/>
      </c>
      <c r="AL233">
        <f ca="1"/>
      </c>
      <c r="AM233">
        <f ca="1"/>
      </c>
      <c r="AN233">
        <f ca="1"/>
      </c>
      <c r="AO233">
        <f ca="1"/>
      </c>
      <c r="AP233">
        <f ca="1"/>
      </c>
      <c r="AQ233">
        <f ca="1"/>
      </c>
      <c r="AR233">
        <f ca="1"/>
      </c>
      <c r="AT233" s="7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BA233" s="7">
        <f ca="1"/>
      </c>
      <c r="BB233">
        <f ca="1"/>
      </c>
      <c r="BC233">
        <f ca="1"/>
      </c>
      <c r="BD233">
        <f ca="1"/>
      </c>
      <c r="BE233">
        <f ca="1"/>
      </c>
    </row>
    <row r="234" spans="31:57" x14ac:dyDescent="0.55000000000000004">
      <c r="AE234" s="7">
        <f ca="1"/>
      </c>
      <c r="AF234">
        <f ca="1"/>
      </c>
      <c r="AG234">
        <f ca="1"/>
      </c>
      <c r="AH234">
        <f ca="1"/>
      </c>
      <c r="AI234">
        <f ca="1"/>
      </c>
      <c r="AJ234">
        <f ca="1"/>
      </c>
      <c r="AK234">
        <f ca="1"/>
      </c>
      <c r="AL234">
        <f ca="1"/>
      </c>
      <c r="AM234">
        <f ca="1"/>
      </c>
      <c r="AN234">
        <f ca="1"/>
      </c>
      <c r="AO234">
        <f ca="1"/>
      </c>
      <c r="AP234">
        <f ca="1"/>
      </c>
      <c r="AQ234">
        <f ca="1"/>
      </c>
      <c r="AR234">
        <f ca="1"/>
      </c>
      <c r="AT234" s="7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BA234" s="7">
        <f ca="1"/>
      </c>
      <c r="BB234">
        <f ca="1"/>
      </c>
      <c r="BC234">
        <f ca="1"/>
      </c>
      <c r="BD234">
        <f ca="1"/>
      </c>
      <c r="BE234">
        <f ca="1"/>
      </c>
    </row>
    <row r="235" spans="31:57" x14ac:dyDescent="0.55000000000000004">
      <c r="AE235" s="7">
        <f ca="1"/>
      </c>
      <c r="AF235">
        <f ca="1"/>
      </c>
      <c r="AG235">
        <f ca="1"/>
      </c>
      <c r="AH235">
        <f ca="1"/>
      </c>
      <c r="AI235">
        <f ca="1"/>
      </c>
      <c r="AJ235">
        <f ca="1"/>
      </c>
      <c r="AK235">
        <f ca="1"/>
      </c>
      <c r="AL235">
        <f ca="1"/>
      </c>
      <c r="AM235">
        <f ca="1"/>
      </c>
      <c r="AN235">
        <f ca="1"/>
      </c>
      <c r="AO235">
        <f ca="1"/>
      </c>
      <c r="AP235">
        <f ca="1"/>
      </c>
      <c r="AQ235">
        <f ca="1"/>
      </c>
      <c r="AR235">
        <f ca="1"/>
      </c>
      <c r="AT235" s="7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BA235" s="7">
        <f ca="1"/>
      </c>
      <c r="BB235">
        <f ca="1"/>
      </c>
      <c r="BC235">
        <f ca="1"/>
      </c>
      <c r="BD235">
        <f ca="1"/>
      </c>
      <c r="BE235">
        <f ca="1"/>
      </c>
    </row>
    <row r="236" spans="31:57" x14ac:dyDescent="0.55000000000000004">
      <c r="AE236" s="7">
        <f ca="1"/>
      </c>
      <c r="AF236">
        <f ca="1"/>
      </c>
      <c r="AG236">
        <f ca="1"/>
      </c>
      <c r="AH236">
        <f ca="1"/>
      </c>
      <c r="AI236">
        <f ca="1"/>
      </c>
      <c r="AJ236">
        <f ca="1"/>
      </c>
      <c r="AK236">
        <f ca="1"/>
      </c>
      <c r="AL236">
        <f ca="1"/>
      </c>
      <c r="AM236">
        <f ca="1"/>
      </c>
      <c r="AN236">
        <f ca="1"/>
      </c>
      <c r="AO236">
        <f ca="1"/>
      </c>
      <c r="AP236">
        <f ca="1"/>
      </c>
      <c r="AQ236">
        <f ca="1"/>
      </c>
      <c r="AR236">
        <f ca="1"/>
      </c>
      <c r="AT236" s="7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BA236" s="7">
        <f ca="1"/>
      </c>
      <c r="BB236">
        <f ca="1"/>
      </c>
      <c r="BC236">
        <f ca="1"/>
      </c>
      <c r="BD236">
        <f ca="1"/>
      </c>
      <c r="BE236">
        <f ca="1"/>
      </c>
    </row>
    <row r="237" spans="31:57" x14ac:dyDescent="0.55000000000000004">
      <c r="AE237" s="7">
        <f ca="1"/>
      </c>
      <c r="AF237">
        <f ca="1"/>
      </c>
      <c r="AG237">
        <f ca="1"/>
      </c>
      <c r="AH237">
        <f ca="1"/>
      </c>
      <c r="AI237">
        <f ca="1"/>
      </c>
      <c r="AJ237">
        <f ca="1"/>
      </c>
      <c r="AK237">
        <f ca="1"/>
      </c>
      <c r="AL237">
        <f ca="1"/>
      </c>
      <c r="AM237">
        <f ca="1"/>
      </c>
      <c r="AN237">
        <f ca="1"/>
      </c>
      <c r="AO237">
        <f ca="1"/>
      </c>
      <c r="AP237">
        <f ca="1"/>
      </c>
      <c r="AQ237">
        <f ca="1"/>
      </c>
      <c r="AR237">
        <f ca="1"/>
      </c>
      <c r="AT237" s="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BA237" s="7">
        <f ca="1"/>
      </c>
      <c r="BB237">
        <f ca="1"/>
      </c>
      <c r="BC237">
        <f ca="1"/>
      </c>
      <c r="BD237">
        <f ca="1"/>
      </c>
      <c r="BE237">
        <f ca="1"/>
      </c>
    </row>
    <row r="238" spans="31:57" x14ac:dyDescent="0.55000000000000004">
      <c r="AE238" s="7">
        <f ca="1"/>
      </c>
      <c r="AF238">
        <f ca="1"/>
      </c>
      <c r="AG238">
        <f ca="1"/>
      </c>
      <c r="AH238">
        <f ca="1"/>
      </c>
      <c r="AI238">
        <f ca="1"/>
      </c>
      <c r="AJ238">
        <f ca="1"/>
      </c>
      <c r="AK238">
        <f ca="1"/>
      </c>
      <c r="AL238">
        <f ca="1"/>
      </c>
      <c r="AM238">
        <f ca="1"/>
      </c>
      <c r="AN238">
        <f ca="1"/>
      </c>
      <c r="AO238">
        <f ca="1"/>
      </c>
      <c r="AP238">
        <f ca="1"/>
      </c>
      <c r="AQ238">
        <f ca="1"/>
      </c>
      <c r="AR238">
        <f ca="1"/>
      </c>
      <c r="AT238" s="7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BA238" s="7">
        <f ca="1"/>
      </c>
      <c r="BB238">
        <f ca="1"/>
      </c>
      <c r="BC238">
        <f ca="1"/>
      </c>
      <c r="BD238">
        <f ca="1"/>
      </c>
      <c r="BE238">
        <f ca="1"/>
      </c>
    </row>
    <row r="239" spans="31:57" x14ac:dyDescent="0.55000000000000004">
      <c r="AE239" s="7">
        <f ca="1"/>
      </c>
      <c r="AF239">
        <f ca="1"/>
      </c>
      <c r="AG239">
        <f ca="1"/>
      </c>
      <c r="AH239">
        <f ca="1"/>
      </c>
      <c r="AI239">
        <f ca="1"/>
      </c>
      <c r="AJ239">
        <f ca="1"/>
      </c>
      <c r="AK239">
        <f ca="1"/>
      </c>
      <c r="AL239">
        <f ca="1"/>
      </c>
      <c r="AM239">
        <f ca="1"/>
      </c>
      <c r="AN239">
        <f ca="1"/>
      </c>
      <c r="AO239">
        <f ca="1"/>
      </c>
      <c r="AP239">
        <f ca="1"/>
      </c>
      <c r="AQ239">
        <f ca="1"/>
      </c>
      <c r="AR239">
        <f ca="1"/>
      </c>
      <c r="AT239" s="7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BA239" s="7">
        <f ca="1"/>
      </c>
      <c r="BB239">
        <f ca="1"/>
      </c>
      <c r="BC239">
        <f ca="1"/>
      </c>
      <c r="BD239">
        <f ca="1"/>
      </c>
      <c r="BE239">
        <f ca="1"/>
      </c>
    </row>
    <row r="240" spans="31:57" x14ac:dyDescent="0.55000000000000004">
      <c r="AE240" s="7">
        <f ca="1"/>
      </c>
      <c r="AF240">
        <f ca="1"/>
      </c>
      <c r="AG240">
        <f ca="1"/>
      </c>
      <c r="AH240">
        <f ca="1"/>
      </c>
      <c r="AI240">
        <f ca="1"/>
      </c>
      <c r="AJ240">
        <f ca="1"/>
      </c>
      <c r="AK240">
        <f ca="1"/>
      </c>
      <c r="AL240">
        <f ca="1"/>
      </c>
      <c r="AM240">
        <f ca="1"/>
      </c>
      <c r="AN240">
        <f ca="1"/>
      </c>
      <c r="AO240">
        <f ca="1"/>
      </c>
      <c r="AP240">
        <f ca="1"/>
      </c>
      <c r="AQ240">
        <f ca="1"/>
      </c>
      <c r="AR240">
        <f ca="1"/>
      </c>
      <c r="AT240" s="7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BA240" s="7">
        <f ca="1"/>
      </c>
      <c r="BB240">
        <f ca="1"/>
      </c>
      <c r="BC240">
        <f ca="1"/>
      </c>
      <c r="BD240">
        <f ca="1"/>
      </c>
      <c r="BE240">
        <f ca="1"/>
      </c>
    </row>
    <row r="241" spans="31:57" x14ac:dyDescent="0.55000000000000004">
      <c r="AE241" s="7">
        <f ca="1"/>
      </c>
      <c r="AF241">
        <f ca="1"/>
      </c>
      <c r="AG241">
        <f ca="1"/>
      </c>
      <c r="AH241">
        <f ca="1"/>
      </c>
      <c r="AI241">
        <f ca="1"/>
      </c>
      <c r="AJ241">
        <f ca="1"/>
      </c>
      <c r="AK241">
        <f ca="1"/>
      </c>
      <c r="AL241">
        <f ca="1"/>
      </c>
      <c r="AM241">
        <f ca="1"/>
      </c>
      <c r="AN241">
        <f ca="1"/>
      </c>
      <c r="AO241">
        <f ca="1"/>
      </c>
      <c r="AP241">
        <f ca="1"/>
      </c>
      <c r="AQ241">
        <f ca="1"/>
      </c>
      <c r="AR241">
        <f ca="1"/>
      </c>
      <c r="AT241" s="7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BA241" s="7">
        <f ca="1"/>
      </c>
      <c r="BB241">
        <f ca="1"/>
      </c>
      <c r="BC241">
        <f ca="1"/>
      </c>
      <c r="BD241">
        <f ca="1"/>
      </c>
      <c r="BE241">
        <f ca="1"/>
      </c>
    </row>
    <row r="242" spans="31:57" x14ac:dyDescent="0.55000000000000004">
      <c r="AE242" s="7">
        <f ca="1"/>
      </c>
      <c r="AF242">
        <f ca="1"/>
      </c>
      <c r="AG242">
        <f ca="1"/>
      </c>
      <c r="AH242">
        <f ca="1"/>
      </c>
      <c r="AI242">
        <f ca="1"/>
      </c>
      <c r="AJ242">
        <f ca="1"/>
      </c>
      <c r="AK242">
        <f ca="1"/>
      </c>
      <c r="AL242">
        <f ca="1"/>
      </c>
      <c r="AM242">
        <f ca="1"/>
      </c>
      <c r="AN242">
        <f ca="1"/>
      </c>
      <c r="AO242">
        <f ca="1"/>
      </c>
      <c r="AP242">
        <f ca="1"/>
      </c>
      <c r="AQ242">
        <f ca="1"/>
      </c>
      <c r="AR242">
        <f ca="1"/>
      </c>
      <c r="AT242" s="7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BA242" s="7">
        <f ca="1"/>
      </c>
      <c r="BB242">
        <f ca="1"/>
      </c>
      <c r="BC242">
        <f ca="1"/>
      </c>
      <c r="BD242">
        <f ca="1"/>
      </c>
      <c r="BE242">
        <f ca="1"/>
      </c>
    </row>
    <row r="243" spans="31:57" x14ac:dyDescent="0.55000000000000004">
      <c r="AE243" s="7">
        <f ca="1"/>
      </c>
      <c r="AF243">
        <f ca="1"/>
      </c>
      <c r="AG243">
        <f ca="1"/>
      </c>
      <c r="AH243">
        <f ca="1"/>
      </c>
      <c r="AI243">
        <f ca="1"/>
      </c>
      <c r="AJ243">
        <f ca="1"/>
      </c>
      <c r="AK243">
        <f ca="1"/>
      </c>
      <c r="AL243">
        <f ca="1"/>
      </c>
      <c r="AM243">
        <f ca="1"/>
      </c>
      <c r="AN243">
        <f ca="1"/>
      </c>
      <c r="AO243">
        <f ca="1"/>
      </c>
      <c r="AP243">
        <f ca="1"/>
      </c>
      <c r="AQ243">
        <f ca="1"/>
      </c>
      <c r="AR243">
        <f ca="1"/>
      </c>
      <c r="AT243" s="7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BA243" s="7">
        <f ca="1"/>
      </c>
      <c r="BB243">
        <f ca="1"/>
      </c>
      <c r="BC243">
        <f ca="1"/>
      </c>
      <c r="BD243">
        <f ca="1"/>
      </c>
      <c r="BE243">
        <f ca="1"/>
      </c>
    </row>
    <row r="244" spans="31:57" x14ac:dyDescent="0.55000000000000004">
      <c r="AE244" s="7">
        <f ca="1"/>
      </c>
      <c r="AF244">
        <f ca="1"/>
      </c>
      <c r="AG244">
        <f ca="1"/>
      </c>
      <c r="AH244">
        <f ca="1"/>
      </c>
      <c r="AI244">
        <f ca="1"/>
      </c>
      <c r="AJ244">
        <f ca="1"/>
      </c>
      <c r="AK244">
        <f ca="1"/>
      </c>
      <c r="AL244">
        <f ca="1"/>
      </c>
      <c r="AM244">
        <f ca="1"/>
      </c>
      <c r="AN244">
        <f ca="1"/>
      </c>
      <c r="AO244">
        <f ca="1"/>
      </c>
      <c r="AP244">
        <f ca="1"/>
      </c>
      <c r="AQ244">
        <f ca="1"/>
      </c>
      <c r="AR244">
        <f ca="1"/>
      </c>
      <c r="AT244" s="7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BA244" s="7">
        <f ca="1"/>
      </c>
      <c r="BB244">
        <f ca="1"/>
      </c>
      <c r="BC244">
        <f ca="1"/>
      </c>
      <c r="BD244">
        <f ca="1"/>
      </c>
      <c r="BE244">
        <f ca="1"/>
      </c>
    </row>
    <row r="245" spans="31:57" x14ac:dyDescent="0.55000000000000004">
      <c r="AE245" s="7">
        <f ca="1"/>
      </c>
      <c r="AF245">
        <f ca="1"/>
      </c>
      <c r="AG245">
        <f ca="1"/>
      </c>
      <c r="AH245">
        <f ca="1"/>
      </c>
      <c r="AI245">
        <f ca="1"/>
      </c>
      <c r="AJ245">
        <f ca="1"/>
      </c>
      <c r="AK245">
        <f ca="1"/>
      </c>
      <c r="AL245">
        <f ca="1"/>
      </c>
      <c r="AM245">
        <f ca="1"/>
      </c>
      <c r="AN245">
        <f ca="1"/>
      </c>
      <c r="AO245">
        <f ca="1"/>
      </c>
      <c r="AP245">
        <f ca="1"/>
      </c>
      <c r="AQ245">
        <f ca="1"/>
      </c>
      <c r="AR245">
        <f ca="1"/>
      </c>
      <c r="AT245" s="7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BA245" s="7">
        <f ca="1"/>
      </c>
      <c r="BB245">
        <f ca="1"/>
      </c>
      <c r="BC245">
        <f ca="1"/>
      </c>
      <c r="BD245">
        <f ca="1"/>
      </c>
      <c r="BE245">
        <f ca="1"/>
      </c>
    </row>
    <row r="246" spans="31:57" x14ac:dyDescent="0.55000000000000004">
      <c r="AE246" s="7">
        <f ca="1"/>
      </c>
      <c r="AF246">
        <f ca="1"/>
      </c>
      <c r="AG246">
        <f ca="1"/>
      </c>
      <c r="AH246">
        <f ca="1"/>
      </c>
      <c r="AI246">
        <f ca="1"/>
      </c>
      <c r="AJ246">
        <f ca="1"/>
      </c>
      <c r="AK246">
        <f ca="1"/>
      </c>
      <c r="AL246">
        <f ca="1"/>
      </c>
      <c r="AM246">
        <f ca="1"/>
      </c>
      <c r="AN246">
        <f ca="1"/>
      </c>
      <c r="AO246">
        <f ca="1"/>
      </c>
      <c r="AP246">
        <f ca="1"/>
      </c>
      <c r="AQ246">
        <f ca="1"/>
      </c>
      <c r="AR246">
        <f ca="1"/>
      </c>
      <c r="AT246" s="7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BA246" s="7">
        <f ca="1"/>
      </c>
      <c r="BB246">
        <f ca="1"/>
      </c>
      <c r="BC246">
        <f ca="1"/>
      </c>
      <c r="BD246">
        <f ca="1"/>
      </c>
      <c r="BE246">
        <f ca="1"/>
      </c>
    </row>
    <row r="247" spans="31:57" x14ac:dyDescent="0.55000000000000004">
      <c r="AE247" s="7">
        <f ca="1"/>
      </c>
      <c r="AF247">
        <f ca="1"/>
      </c>
      <c r="AG247">
        <f ca="1"/>
      </c>
      <c r="AH247">
        <f ca="1"/>
      </c>
      <c r="AI247">
        <f ca="1"/>
      </c>
      <c r="AJ247">
        <f ca="1"/>
      </c>
      <c r="AK247">
        <f ca="1"/>
      </c>
      <c r="AL247">
        <f ca="1"/>
      </c>
      <c r="AM247">
        <f ca="1"/>
      </c>
      <c r="AN247">
        <f ca="1"/>
      </c>
      <c r="AO247">
        <f ca="1"/>
      </c>
      <c r="AP247">
        <f ca="1"/>
      </c>
      <c r="AQ247">
        <f ca="1"/>
      </c>
      <c r="AR247">
        <f ca="1"/>
      </c>
      <c r="AT247" s="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BA247" s="7">
        <f ca="1"/>
      </c>
      <c r="BB247">
        <f ca="1"/>
      </c>
      <c r="BC247">
        <f ca="1"/>
      </c>
      <c r="BD247">
        <f ca="1"/>
      </c>
      <c r="BE247">
        <f ca="1"/>
      </c>
    </row>
    <row r="248" spans="31:57" x14ac:dyDescent="0.55000000000000004">
      <c r="AE248" s="7">
        <f ca="1"/>
      </c>
      <c r="AF248">
        <f ca="1"/>
      </c>
      <c r="AG248">
        <f ca="1"/>
      </c>
      <c r="AH248">
        <f ca="1"/>
      </c>
      <c r="AI248">
        <f ca="1"/>
      </c>
      <c r="AJ248">
        <f ca="1"/>
      </c>
      <c r="AK248">
        <f ca="1"/>
      </c>
      <c r="AL248">
        <f ca="1"/>
      </c>
      <c r="AM248">
        <f ca="1"/>
      </c>
      <c r="AN248">
        <f ca="1"/>
      </c>
      <c r="AO248">
        <f ca="1"/>
      </c>
      <c r="AP248">
        <f ca="1"/>
      </c>
      <c r="AQ248">
        <f ca="1"/>
      </c>
      <c r="AR248">
        <f ca="1"/>
      </c>
      <c r="AT248" s="7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BA248" s="7">
        <f ca="1"/>
      </c>
      <c r="BB248">
        <f ca="1"/>
      </c>
      <c r="BC248">
        <f ca="1"/>
      </c>
      <c r="BD248">
        <f ca="1"/>
      </c>
      <c r="BE248">
        <f ca="1"/>
      </c>
    </row>
    <row r="249" spans="31:57" x14ac:dyDescent="0.55000000000000004">
      <c r="AE249" s="7">
        <f ca="1"/>
      </c>
      <c r="AF249">
        <f ca="1"/>
      </c>
      <c r="AG249">
        <f ca="1"/>
      </c>
      <c r="AH249">
        <f ca="1"/>
      </c>
      <c r="AI249">
        <f ca="1"/>
      </c>
      <c r="AJ249">
        <f ca="1"/>
      </c>
      <c r="AK249">
        <f ca="1"/>
      </c>
      <c r="AL249">
        <f ca="1"/>
      </c>
      <c r="AM249">
        <f ca="1"/>
      </c>
      <c r="AN249">
        <f ca="1"/>
      </c>
      <c r="AO249">
        <f ca="1"/>
      </c>
      <c r="AP249">
        <f ca="1"/>
      </c>
      <c r="AQ249">
        <f ca="1"/>
      </c>
      <c r="AR249">
        <f ca="1"/>
      </c>
      <c r="AT249" s="7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BA249" s="7">
        <f ca="1"/>
      </c>
      <c r="BB249">
        <f ca="1"/>
      </c>
      <c r="BC249">
        <f ca="1"/>
      </c>
      <c r="BD249">
        <f ca="1"/>
      </c>
      <c r="BE249">
        <f ca="1"/>
      </c>
    </row>
    <row r="250" spans="31:57" x14ac:dyDescent="0.55000000000000004">
      <c r="AE250" s="7">
        <f ca="1"/>
      </c>
      <c r="AF250">
        <f ca="1"/>
      </c>
      <c r="AG250">
        <f ca="1"/>
      </c>
      <c r="AH250">
        <f ca="1"/>
      </c>
      <c r="AI250">
        <f ca="1"/>
      </c>
      <c r="AJ250">
        <f ca="1"/>
      </c>
      <c r="AK250">
        <f ca="1"/>
      </c>
      <c r="AL250">
        <f ca="1"/>
      </c>
      <c r="AM250">
        <f ca="1"/>
      </c>
      <c r="AN250">
        <f ca="1"/>
      </c>
      <c r="AO250">
        <f ca="1"/>
      </c>
      <c r="AP250">
        <f ca="1"/>
      </c>
      <c r="AQ250">
        <f ca="1"/>
      </c>
      <c r="AR250">
        <f ca="1"/>
      </c>
      <c r="AT250" s="7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BA250" s="7">
        <f ca="1"/>
      </c>
      <c r="BB250">
        <f ca="1"/>
      </c>
      <c r="BC250">
        <f ca="1"/>
      </c>
      <c r="BD250">
        <f ca="1"/>
      </c>
      <c r="BE250">
        <f ca="1"/>
      </c>
    </row>
    <row r="251" spans="31:57" x14ac:dyDescent="0.55000000000000004">
      <c r="AE251" s="7">
        <f ca="1"/>
      </c>
      <c r="AF251">
        <f ca="1"/>
      </c>
      <c r="AG251">
        <f ca="1"/>
      </c>
      <c r="AH251">
        <f ca="1"/>
      </c>
      <c r="AI251">
        <f ca="1"/>
      </c>
      <c r="AJ251">
        <f ca="1"/>
      </c>
      <c r="AK251">
        <f ca="1"/>
      </c>
      <c r="AL251">
        <f ca="1"/>
      </c>
      <c r="AM251">
        <f ca="1"/>
      </c>
      <c r="AN251">
        <f ca="1"/>
      </c>
      <c r="AO251">
        <f ca="1"/>
      </c>
      <c r="AP251">
        <f ca="1"/>
      </c>
      <c r="AQ251">
        <f ca="1"/>
      </c>
      <c r="AR251">
        <f ca="1"/>
      </c>
      <c r="AT251" s="7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BA251" s="7">
        <f ca="1"/>
      </c>
      <c r="BB251">
        <f ca="1"/>
      </c>
      <c r="BC251">
        <f ca="1"/>
      </c>
      <c r="BD251">
        <f ca="1"/>
      </c>
      <c r="BE251">
        <f ca="1"/>
      </c>
    </row>
    <row r="252" spans="31:57" x14ac:dyDescent="0.55000000000000004">
      <c r="AE252" s="7">
        <f ca="1"/>
      </c>
      <c r="AF252">
        <f ca="1"/>
      </c>
      <c r="AG252">
        <f ca="1"/>
      </c>
      <c r="AH252">
        <f ca="1"/>
      </c>
      <c r="AI252">
        <f ca="1"/>
      </c>
      <c r="AJ252">
        <f ca="1"/>
      </c>
      <c r="AK252">
        <f ca="1"/>
      </c>
      <c r="AL252">
        <f ca="1"/>
      </c>
      <c r="AM252">
        <f ca="1"/>
      </c>
      <c r="AN252">
        <f ca="1"/>
      </c>
      <c r="AO252">
        <f ca="1"/>
      </c>
      <c r="AP252">
        <f ca="1"/>
      </c>
      <c r="AQ252">
        <f ca="1"/>
      </c>
      <c r="AR252">
        <f ca="1"/>
      </c>
      <c r="AT252" s="7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BA252" s="7">
        <f ca="1"/>
      </c>
      <c r="BB252">
        <f ca="1"/>
      </c>
      <c r="BC252">
        <f ca="1"/>
      </c>
      <c r="BD252">
        <f ca="1"/>
      </c>
      <c r="BE252">
        <f ca="1"/>
      </c>
    </row>
    <row r="253" spans="31:57" x14ac:dyDescent="0.55000000000000004">
      <c r="AE253" s="7">
        <f ca="1"/>
      </c>
      <c r="AF253">
        <f ca="1"/>
      </c>
      <c r="AG253">
        <f ca="1"/>
      </c>
      <c r="AH253">
        <f ca="1"/>
      </c>
      <c r="AI253">
        <f ca="1"/>
      </c>
      <c r="AJ253">
        <f ca="1"/>
      </c>
      <c r="AK253">
        <f ca="1"/>
      </c>
      <c r="AL253">
        <f ca="1"/>
      </c>
      <c r="AM253">
        <f ca="1"/>
      </c>
      <c r="AN253">
        <f ca="1"/>
      </c>
      <c r="AO253">
        <f ca="1"/>
      </c>
      <c r="AP253">
        <f ca="1"/>
      </c>
      <c r="AQ253">
        <f ca="1"/>
      </c>
      <c r="AR253">
        <f ca="1"/>
      </c>
      <c r="AT253" s="7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BA253" s="7">
        <f ca="1"/>
      </c>
      <c r="BB253">
        <f ca="1"/>
      </c>
      <c r="BC253">
        <f ca="1"/>
      </c>
      <c r="BD253">
        <f ca="1"/>
      </c>
      <c r="BE253">
        <f ca="1"/>
      </c>
    </row>
    <row r="254" spans="31:57" x14ac:dyDescent="0.55000000000000004">
      <c r="AE254" s="7">
        <f ca="1"/>
      </c>
      <c r="AF254">
        <f ca="1"/>
      </c>
      <c r="AG254">
        <f ca="1"/>
      </c>
      <c r="AH254">
        <f ca="1"/>
      </c>
      <c r="AI254">
        <f ca="1"/>
      </c>
      <c r="AJ254">
        <f ca="1"/>
      </c>
      <c r="AK254">
        <f ca="1"/>
      </c>
      <c r="AL254">
        <f ca="1"/>
      </c>
      <c r="AM254">
        <f ca="1"/>
      </c>
      <c r="AN254">
        <f ca="1"/>
      </c>
      <c r="AO254">
        <f ca="1"/>
      </c>
      <c r="AP254">
        <f ca="1"/>
      </c>
      <c r="AQ254">
        <f ca="1"/>
      </c>
      <c r="AR254">
        <f ca="1"/>
      </c>
      <c r="AT254" s="7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BA254" s="7">
        <f ca="1"/>
      </c>
      <c r="BB254">
        <f ca="1"/>
      </c>
      <c r="BC254">
        <f ca="1"/>
      </c>
      <c r="BD254">
        <f ca="1"/>
      </c>
      <c r="BE254">
        <f ca="1"/>
      </c>
    </row>
    <row r="255" spans="31:57" x14ac:dyDescent="0.55000000000000004">
      <c r="AE255" s="7">
        <f ca="1"/>
      </c>
      <c r="AF255">
        <f ca="1"/>
      </c>
      <c r="AG255">
        <f ca="1"/>
      </c>
      <c r="AH255">
        <f ca="1"/>
      </c>
      <c r="AI255">
        <f ca="1"/>
      </c>
      <c r="AJ255">
        <f ca="1"/>
      </c>
      <c r="AK255">
        <f ca="1"/>
      </c>
      <c r="AL255">
        <f ca="1"/>
      </c>
      <c r="AM255">
        <f ca="1"/>
      </c>
      <c r="AN255">
        <f ca="1"/>
      </c>
      <c r="AO255">
        <f ca="1"/>
      </c>
      <c r="AP255">
        <f ca="1"/>
      </c>
      <c r="AQ255">
        <f ca="1"/>
      </c>
      <c r="AR255">
        <f ca="1"/>
      </c>
      <c r="AT255" s="7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BA255" s="7">
        <f ca="1"/>
      </c>
      <c r="BB255">
        <f ca="1"/>
      </c>
      <c r="BC255">
        <f ca="1"/>
      </c>
      <c r="BD255">
        <f ca="1"/>
      </c>
      <c r="BE255">
        <f ca="1"/>
      </c>
    </row>
    <row r="256" spans="31:57" x14ac:dyDescent="0.55000000000000004">
      <c r="AE256" s="7">
        <f ca="1"/>
      </c>
      <c r="AF256">
        <f ca="1"/>
      </c>
      <c r="AG256">
        <f ca="1"/>
      </c>
      <c r="AH256">
        <f ca="1"/>
      </c>
      <c r="AI256">
        <f ca="1"/>
      </c>
      <c r="AJ256">
        <f ca="1"/>
      </c>
      <c r="AK256">
        <f ca="1"/>
      </c>
      <c r="AL256">
        <f ca="1"/>
      </c>
      <c r="AM256">
        <f ca="1"/>
      </c>
      <c r="AN256">
        <f ca="1"/>
      </c>
      <c r="AO256">
        <f ca="1"/>
      </c>
      <c r="AP256">
        <f ca="1"/>
      </c>
      <c r="AQ256">
        <f ca="1"/>
      </c>
      <c r="AR256">
        <f ca="1"/>
      </c>
      <c r="AT256" s="7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BA256" s="7">
        <f ca="1"/>
      </c>
      <c r="BB256">
        <f ca="1"/>
      </c>
      <c r="BC256">
        <f ca="1"/>
      </c>
      <c r="BD256">
        <f ca="1"/>
      </c>
      <c r="BE256">
        <f ca="1"/>
      </c>
    </row>
    <row r="257" spans="31:57" x14ac:dyDescent="0.55000000000000004">
      <c r="AE257" s="7">
        <f ca="1"/>
      </c>
      <c r="AF257">
        <f ca="1"/>
      </c>
      <c r="AG257">
        <f ca="1"/>
      </c>
      <c r="AH257">
        <f ca="1"/>
      </c>
      <c r="AI257">
        <f ca="1"/>
      </c>
      <c r="AJ257">
        <f ca="1"/>
      </c>
      <c r="AK257">
        <f ca="1"/>
      </c>
      <c r="AL257">
        <f ca="1"/>
      </c>
      <c r="AM257">
        <f ca="1"/>
      </c>
      <c r="AN257">
        <f ca="1"/>
      </c>
      <c r="AO257">
        <f ca="1"/>
      </c>
      <c r="AP257">
        <f ca="1"/>
      </c>
      <c r="AQ257">
        <f ca="1"/>
      </c>
      <c r="AR257">
        <f ca="1"/>
      </c>
      <c r="AT257" s="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BA257" s="7">
        <f ca="1"/>
      </c>
      <c r="BB257">
        <f ca="1"/>
      </c>
      <c r="BC257">
        <f ca="1"/>
      </c>
      <c r="BD257">
        <f ca="1"/>
      </c>
      <c r="BE257">
        <f ca="1"/>
      </c>
    </row>
    <row r="258" spans="31:57" x14ac:dyDescent="0.55000000000000004">
      <c r="AE258" s="7">
        <f ca="1"/>
      </c>
      <c r="AF258">
        <f ca="1"/>
      </c>
      <c r="AG258">
        <f ca="1"/>
      </c>
      <c r="AH258">
        <f ca="1"/>
      </c>
      <c r="AI258">
        <f ca="1"/>
      </c>
      <c r="AJ258">
        <f ca="1"/>
      </c>
      <c r="AK258">
        <f ca="1"/>
      </c>
      <c r="AL258">
        <f ca="1"/>
      </c>
      <c r="AM258">
        <f ca="1"/>
      </c>
      <c r="AN258">
        <f ca="1"/>
      </c>
      <c r="AO258">
        <f ca="1"/>
      </c>
      <c r="AP258">
        <f ca="1"/>
      </c>
      <c r="AQ258">
        <f ca="1"/>
      </c>
      <c r="AR258">
        <f ca="1"/>
      </c>
      <c r="AT258" s="7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BA258" s="7">
        <f ca="1"/>
      </c>
      <c r="BB258">
        <f ca="1"/>
      </c>
      <c r="BC258">
        <f ca="1"/>
      </c>
      <c r="BD258">
        <f ca="1"/>
      </c>
      <c r="BE258">
        <f ca="1"/>
      </c>
    </row>
    <row r="259" spans="31:57" x14ac:dyDescent="0.55000000000000004">
      <c r="AE259" s="7">
        <f ca="1"/>
      </c>
      <c r="AF259">
        <f ca="1"/>
      </c>
      <c r="AG259">
        <f ca="1"/>
      </c>
      <c r="AH259">
        <f ca="1"/>
      </c>
      <c r="AI259">
        <f ca="1"/>
      </c>
      <c r="AJ259">
        <f ca="1"/>
      </c>
      <c r="AK259">
        <f ca="1"/>
      </c>
      <c r="AL259">
        <f ca="1"/>
      </c>
      <c r="AM259">
        <f ca="1"/>
      </c>
      <c r="AN259">
        <f ca="1"/>
      </c>
      <c r="AO259">
        <f ca="1"/>
      </c>
      <c r="AP259">
        <f ca="1"/>
      </c>
      <c r="AQ259">
        <f ca="1"/>
      </c>
      <c r="AR259">
        <f ca="1"/>
      </c>
      <c r="AT259" s="7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BA259" s="7">
        <f ca="1"/>
      </c>
      <c r="BB259">
        <f ca="1"/>
      </c>
      <c r="BC259">
        <f ca="1"/>
      </c>
      <c r="BD259">
        <f ca="1"/>
      </c>
      <c r="BE259">
        <f ca="1"/>
      </c>
    </row>
    <row r="260" spans="31:57" x14ac:dyDescent="0.55000000000000004">
      <c r="AE260" s="7">
        <f ca="1"/>
      </c>
      <c r="AF260">
        <f ca="1"/>
      </c>
      <c r="AG260">
        <f ca="1"/>
      </c>
      <c r="AH260">
        <f ca="1"/>
      </c>
      <c r="AI260">
        <f ca="1"/>
      </c>
      <c r="AJ260">
        <f ca="1"/>
      </c>
      <c r="AK260">
        <f ca="1"/>
      </c>
      <c r="AL260">
        <f ca="1"/>
      </c>
      <c r="AM260">
        <f ca="1"/>
      </c>
      <c r="AN260">
        <f ca="1"/>
      </c>
      <c r="AO260">
        <f ca="1"/>
      </c>
      <c r="AP260">
        <f ca="1"/>
      </c>
      <c r="AQ260">
        <f ca="1"/>
      </c>
      <c r="AR260">
        <f ca="1"/>
      </c>
      <c r="AT260" s="7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BA260" s="7">
        <f ca="1"/>
      </c>
      <c r="BB260">
        <f ca="1"/>
      </c>
      <c r="BC260">
        <f ca="1"/>
      </c>
      <c r="BD260">
        <f ca="1"/>
      </c>
      <c r="BE260">
        <f ca="1"/>
      </c>
    </row>
    <row r="261" spans="31:57" x14ac:dyDescent="0.55000000000000004">
      <c r="AE261" s="7">
        <f ca="1"/>
      </c>
      <c r="AF261">
        <f ca="1"/>
      </c>
      <c r="AG261">
        <f ca="1"/>
      </c>
      <c r="AH261">
        <f ca="1"/>
      </c>
      <c r="AI261">
        <f ca="1"/>
      </c>
      <c r="AJ261">
        <f ca="1"/>
      </c>
      <c r="AK261">
        <f ca="1"/>
      </c>
      <c r="AL261">
        <f ca="1"/>
      </c>
      <c r="AM261">
        <f ca="1"/>
      </c>
      <c r="AN261">
        <f ca="1"/>
      </c>
      <c r="AO261">
        <f ca="1"/>
      </c>
      <c r="AP261">
        <f ca="1"/>
      </c>
      <c r="AQ261">
        <f ca="1"/>
      </c>
      <c r="AR261">
        <f ca="1"/>
      </c>
      <c r="AT261" s="7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BA261" s="7">
        <f ca="1"/>
      </c>
      <c r="BB261">
        <f ca="1"/>
      </c>
      <c r="BC261">
        <f ca="1"/>
      </c>
      <c r="BD261">
        <f ca="1"/>
      </c>
      <c r="BE261">
        <f ca="1"/>
      </c>
    </row>
    <row r="262" spans="31:57" x14ac:dyDescent="0.55000000000000004">
      <c r="AE262" s="7">
        <f ca="1"/>
      </c>
      <c r="AF262">
        <f ca="1"/>
      </c>
      <c r="AG262">
        <f ca="1"/>
      </c>
      <c r="AH262">
        <f ca="1"/>
      </c>
      <c r="AI262">
        <f ca="1"/>
      </c>
      <c r="AJ262">
        <f ca="1"/>
      </c>
      <c r="AK262">
        <f ca="1"/>
      </c>
      <c r="AL262">
        <f ca="1"/>
      </c>
      <c r="AM262">
        <f ca="1"/>
      </c>
      <c r="AN262">
        <f ca="1"/>
      </c>
      <c r="AO262">
        <f ca="1"/>
      </c>
      <c r="AP262">
        <f ca="1"/>
      </c>
      <c r="AQ262">
        <f ca="1"/>
      </c>
      <c r="AR262">
        <f ca="1"/>
      </c>
      <c r="AT262" s="7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BA262" s="7">
        <f ca="1"/>
      </c>
      <c r="BB262">
        <f ca="1"/>
      </c>
      <c r="BC262">
        <f ca="1"/>
      </c>
      <c r="BD262">
        <f ca="1"/>
      </c>
      <c r="BE262">
        <f ca="1"/>
      </c>
    </row>
    <row r="263" spans="31:57" x14ac:dyDescent="0.55000000000000004">
      <c r="AE263" s="7">
        <f ca="1"/>
      </c>
      <c r="AF263">
        <f ca="1"/>
      </c>
      <c r="AG263">
        <f ca="1"/>
      </c>
      <c r="AH263">
        <f ca="1"/>
      </c>
      <c r="AI263">
        <f ca="1"/>
      </c>
      <c r="AJ263">
        <f ca="1"/>
      </c>
      <c r="AK263">
        <f ca="1"/>
      </c>
      <c r="AL263">
        <f ca="1"/>
      </c>
      <c r="AM263">
        <f ca="1"/>
      </c>
      <c r="AN263">
        <f ca="1"/>
      </c>
      <c r="AO263">
        <f ca="1"/>
      </c>
      <c r="AP263">
        <f ca="1"/>
      </c>
      <c r="AQ263">
        <f ca="1"/>
      </c>
      <c r="AR263">
        <f ca="1"/>
      </c>
      <c r="AT263" s="7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BA263" s="7">
        <f ca="1"/>
      </c>
      <c r="BB263">
        <f ca="1"/>
      </c>
      <c r="BC263">
        <f ca="1"/>
      </c>
      <c r="BD263">
        <f ca="1"/>
      </c>
      <c r="BE263">
        <f ca="1"/>
      </c>
    </row>
    <row r="264" spans="31:57" x14ac:dyDescent="0.55000000000000004">
      <c r="AE264" s="7">
        <f ca="1"/>
      </c>
      <c r="AF264">
        <f ca="1"/>
      </c>
      <c r="AG264">
        <f ca="1"/>
      </c>
      <c r="AH264">
        <f ca="1"/>
      </c>
      <c r="AI264">
        <f ca="1"/>
      </c>
      <c r="AJ264">
        <f ca="1"/>
      </c>
      <c r="AK264">
        <f ca="1"/>
      </c>
      <c r="AL264">
        <f ca="1"/>
      </c>
      <c r="AM264">
        <f ca="1"/>
      </c>
      <c r="AN264">
        <f ca="1"/>
      </c>
      <c r="AO264">
        <f ca="1"/>
      </c>
      <c r="AP264">
        <f ca="1"/>
      </c>
      <c r="AQ264">
        <f ca="1"/>
      </c>
      <c r="AR264">
        <f ca="1"/>
      </c>
      <c r="AT264" s="7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BA264" s="7">
        <f ca="1"/>
      </c>
      <c r="BB264">
        <f ca="1"/>
      </c>
      <c r="BC264">
        <f ca="1"/>
      </c>
      <c r="BD264">
        <f ca="1"/>
      </c>
      <c r="BE264">
        <f ca="1"/>
      </c>
    </row>
    <row r="265" spans="31:57" x14ac:dyDescent="0.55000000000000004">
      <c r="AE265" s="7">
        <f ca="1"/>
      </c>
      <c r="AF265">
        <f ca="1"/>
      </c>
      <c r="AG265">
        <f ca="1"/>
      </c>
      <c r="AH265">
        <f ca="1"/>
      </c>
      <c r="AI265">
        <f ca="1"/>
      </c>
      <c r="AJ265">
        <f ca="1"/>
      </c>
      <c r="AK265">
        <f ca="1"/>
      </c>
      <c r="AL265">
        <f ca="1"/>
      </c>
      <c r="AM265">
        <f ca="1"/>
      </c>
      <c r="AN265">
        <f ca="1"/>
      </c>
      <c r="AO265">
        <f ca="1"/>
      </c>
      <c r="AP265">
        <f ca="1"/>
      </c>
      <c r="AQ265">
        <f ca="1"/>
      </c>
      <c r="AR265">
        <f ca="1"/>
      </c>
      <c r="AT265" s="7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BA265" s="7">
        <f ca="1"/>
      </c>
      <c r="BB265">
        <f ca="1"/>
      </c>
      <c r="BC265">
        <f ca="1"/>
      </c>
      <c r="BD265">
        <f ca="1"/>
      </c>
      <c r="BE265">
        <f ca="1"/>
      </c>
    </row>
    <row r="266" spans="31:57" x14ac:dyDescent="0.55000000000000004">
      <c r="AE266" s="7">
        <f ca="1"/>
      </c>
      <c r="AF266">
        <f ca="1"/>
      </c>
      <c r="AG266">
        <f ca="1"/>
      </c>
      <c r="AH266">
        <f ca="1"/>
      </c>
      <c r="AI266">
        <f ca="1"/>
      </c>
      <c r="AJ266">
        <f ca="1"/>
      </c>
      <c r="AK266">
        <f ca="1"/>
      </c>
      <c r="AL266">
        <f ca="1"/>
      </c>
      <c r="AM266">
        <f ca="1"/>
      </c>
      <c r="AN266">
        <f ca="1"/>
      </c>
      <c r="AO266">
        <f ca="1"/>
      </c>
      <c r="AP266">
        <f ca="1"/>
      </c>
      <c r="AQ266">
        <f ca="1"/>
      </c>
      <c r="AR266">
        <f ca="1"/>
      </c>
      <c r="AT266" s="7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BA266" s="7">
        <f ca="1"/>
      </c>
      <c r="BB266">
        <f ca="1"/>
      </c>
      <c r="BC266">
        <f ca="1"/>
      </c>
      <c r="BD266">
        <f ca="1"/>
      </c>
      <c r="BE266">
        <f ca="1"/>
      </c>
    </row>
    <row r="267" spans="31:57" x14ac:dyDescent="0.55000000000000004">
      <c r="AE267" s="7">
        <f ca="1"/>
      </c>
      <c r="AF267">
        <f ca="1"/>
      </c>
      <c r="AG267">
        <f ca="1"/>
      </c>
      <c r="AH267">
        <f ca="1"/>
      </c>
      <c r="AI267">
        <f ca="1"/>
      </c>
      <c r="AJ267">
        <f ca="1"/>
      </c>
      <c r="AK267">
        <f ca="1"/>
      </c>
      <c r="AL267">
        <f ca="1"/>
      </c>
      <c r="AM267">
        <f ca="1"/>
      </c>
      <c r="AN267">
        <f ca="1"/>
      </c>
      <c r="AO267">
        <f ca="1"/>
      </c>
      <c r="AP267">
        <f ca="1"/>
      </c>
      <c r="AQ267">
        <f ca="1"/>
      </c>
      <c r="AR267">
        <f ca="1"/>
      </c>
      <c r="AT267" s="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BA267" s="7">
        <f ca="1"/>
      </c>
      <c r="BB267">
        <f ca="1"/>
      </c>
      <c r="BC267">
        <f ca="1"/>
      </c>
      <c r="BD267">
        <f ca="1"/>
      </c>
      <c r="BE267">
        <f ca="1"/>
      </c>
    </row>
    <row r="268" spans="31:57" x14ac:dyDescent="0.55000000000000004">
      <c r="AE268" s="7">
        <f ca="1"/>
      </c>
      <c r="AF268">
        <f ca="1"/>
      </c>
      <c r="AG268">
        <f ca="1"/>
      </c>
      <c r="AH268">
        <f ca="1"/>
      </c>
      <c r="AI268">
        <f ca="1"/>
      </c>
      <c r="AJ268">
        <f ca="1"/>
      </c>
      <c r="AK268">
        <f ca="1"/>
      </c>
      <c r="AL268">
        <f ca="1"/>
      </c>
      <c r="AM268">
        <f ca="1"/>
      </c>
      <c r="AN268">
        <f ca="1"/>
      </c>
      <c r="AO268">
        <f ca="1"/>
      </c>
      <c r="AP268">
        <f ca="1"/>
      </c>
      <c r="AQ268">
        <f ca="1"/>
      </c>
      <c r="AR268">
        <f ca="1"/>
      </c>
      <c r="AT268" s="7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BA268" s="7">
        <f ca="1"/>
      </c>
      <c r="BB268">
        <f ca="1"/>
      </c>
      <c r="BC268">
        <f ca="1"/>
      </c>
      <c r="BD268">
        <f ca="1"/>
      </c>
      <c r="BE268">
        <f ca="1"/>
      </c>
    </row>
    <row r="269" spans="31:57" x14ac:dyDescent="0.55000000000000004">
      <c r="AE269" s="7">
        <f ca="1"/>
      </c>
      <c r="AF269">
        <f ca="1"/>
      </c>
      <c r="AG269">
        <f ca="1"/>
      </c>
      <c r="AH269">
        <f ca="1"/>
      </c>
      <c r="AI269">
        <f ca="1"/>
      </c>
      <c r="AJ269">
        <f ca="1"/>
      </c>
      <c r="AK269">
        <f ca="1"/>
      </c>
      <c r="AL269">
        <f ca="1"/>
      </c>
      <c r="AM269">
        <f ca="1"/>
      </c>
      <c r="AN269">
        <f ca="1"/>
      </c>
      <c r="AO269">
        <f ca="1"/>
      </c>
      <c r="AP269">
        <f ca="1"/>
      </c>
      <c r="AQ269">
        <f ca="1"/>
      </c>
      <c r="AR269">
        <f ca="1"/>
      </c>
      <c r="AT269" s="7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BA269" s="7">
        <f ca="1"/>
      </c>
      <c r="BB269">
        <f ca="1"/>
      </c>
      <c r="BC269">
        <f ca="1"/>
      </c>
      <c r="BD269">
        <f ca="1"/>
      </c>
      <c r="BE269">
        <f ca="1"/>
      </c>
    </row>
    <row r="270" spans="31:57" x14ac:dyDescent="0.55000000000000004">
      <c r="AE270" s="7">
        <f ca="1"/>
      </c>
      <c r="AF270">
        <f ca="1"/>
      </c>
      <c r="AG270">
        <f ca="1"/>
      </c>
      <c r="AH270">
        <f ca="1"/>
      </c>
      <c r="AI270">
        <f ca="1"/>
      </c>
      <c r="AJ270">
        <f ca="1"/>
      </c>
      <c r="AK270">
        <f ca="1"/>
      </c>
      <c r="AL270">
        <f ca="1"/>
      </c>
      <c r="AM270">
        <f ca="1"/>
      </c>
      <c r="AN270">
        <f ca="1"/>
      </c>
      <c r="AO270">
        <f ca="1"/>
      </c>
      <c r="AP270">
        <f ca="1"/>
      </c>
      <c r="AQ270">
        <f ca="1"/>
      </c>
      <c r="AR270">
        <f ca="1"/>
      </c>
      <c r="AT270" s="7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BA270" s="7">
        <f ca="1"/>
      </c>
      <c r="BB270">
        <f ca="1"/>
      </c>
      <c r="BC270">
        <f ca="1"/>
      </c>
      <c r="BD270">
        <f ca="1"/>
      </c>
      <c r="BE270">
        <f ca="1"/>
      </c>
    </row>
    <row r="271" spans="31:57" x14ac:dyDescent="0.55000000000000004">
      <c r="AE271" s="7">
        <f ca="1"/>
      </c>
      <c r="AF271">
        <f ca="1"/>
      </c>
      <c r="AG271">
        <f ca="1"/>
      </c>
      <c r="AH271">
        <f ca="1"/>
      </c>
      <c r="AI271">
        <f ca="1"/>
      </c>
      <c r="AJ271">
        <f ca="1"/>
      </c>
      <c r="AK271">
        <f ca="1"/>
      </c>
      <c r="AL271">
        <f ca="1"/>
      </c>
      <c r="AM271">
        <f ca="1"/>
      </c>
      <c r="AN271">
        <f ca="1"/>
      </c>
      <c r="AO271">
        <f ca="1"/>
      </c>
      <c r="AP271">
        <f ca="1"/>
      </c>
      <c r="AQ271">
        <f ca="1"/>
      </c>
      <c r="AR271">
        <f ca="1"/>
      </c>
      <c r="AT271" s="7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BA271" s="7">
        <f ca="1"/>
      </c>
      <c r="BB271">
        <f ca="1"/>
      </c>
      <c r="BC271">
        <f ca="1"/>
      </c>
      <c r="BD271">
        <f ca="1"/>
      </c>
      <c r="BE271">
        <f ca="1"/>
      </c>
    </row>
    <row r="272" spans="31:57" x14ac:dyDescent="0.55000000000000004">
      <c r="AE272" s="7">
        <f ca="1"/>
      </c>
      <c r="AF272">
        <f ca="1"/>
      </c>
      <c r="AG272">
        <f ca="1"/>
      </c>
      <c r="AH272">
        <f ca="1"/>
      </c>
      <c r="AI272">
        <f ca="1"/>
      </c>
      <c r="AJ272">
        <f ca="1"/>
      </c>
      <c r="AK272">
        <f ca="1"/>
      </c>
      <c r="AL272">
        <f ca="1"/>
      </c>
      <c r="AM272">
        <f ca="1"/>
      </c>
      <c r="AN272">
        <f ca="1"/>
      </c>
      <c r="AO272">
        <f ca="1"/>
      </c>
      <c r="AP272">
        <f ca="1"/>
      </c>
      <c r="AQ272">
        <f ca="1"/>
      </c>
      <c r="AR272">
        <f ca="1"/>
      </c>
      <c r="AT272" s="7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BA272" s="7">
        <f ca="1"/>
      </c>
      <c r="BB272">
        <f ca="1"/>
      </c>
      <c r="BC272">
        <f ca="1"/>
      </c>
      <c r="BD272">
        <f ca="1"/>
      </c>
      <c r="BE272">
        <f ca="1"/>
      </c>
    </row>
    <row r="273" spans="31:57" x14ac:dyDescent="0.55000000000000004">
      <c r="AE273" s="7">
        <f ca="1"/>
      </c>
      <c r="AF273">
        <f ca="1"/>
      </c>
      <c r="AG273">
        <f ca="1"/>
      </c>
      <c r="AH273">
        <f ca="1"/>
      </c>
      <c r="AI273">
        <f ca="1"/>
      </c>
      <c r="AJ273">
        <f ca="1"/>
      </c>
      <c r="AK273">
        <f ca="1"/>
      </c>
      <c r="AL273">
        <f ca="1"/>
      </c>
      <c r="AM273">
        <f ca="1"/>
      </c>
      <c r="AN273">
        <f ca="1"/>
      </c>
      <c r="AO273">
        <f ca="1"/>
      </c>
      <c r="AP273">
        <f ca="1"/>
      </c>
      <c r="AQ273">
        <f ca="1"/>
      </c>
      <c r="AR273">
        <f ca="1"/>
      </c>
      <c r="AT273" s="7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BA273" s="7">
        <f ca="1"/>
      </c>
      <c r="BB273">
        <f ca="1"/>
      </c>
      <c r="BC273">
        <f ca="1"/>
      </c>
      <c r="BD273">
        <f ca="1"/>
      </c>
      <c r="BE273">
        <f ca="1"/>
      </c>
    </row>
    <row r="274" spans="31:57" x14ac:dyDescent="0.55000000000000004">
      <c r="AE274" s="7">
        <f ca="1"/>
      </c>
      <c r="AF274">
        <f ca="1"/>
      </c>
      <c r="AG274">
        <f ca="1"/>
      </c>
      <c r="AH274">
        <f ca="1"/>
      </c>
      <c r="AI274">
        <f ca="1"/>
      </c>
      <c r="AJ274">
        <f ca="1"/>
      </c>
      <c r="AK274">
        <f ca="1"/>
      </c>
      <c r="AL274">
        <f ca="1"/>
      </c>
      <c r="AM274">
        <f ca="1"/>
      </c>
      <c r="AN274">
        <f ca="1"/>
      </c>
      <c r="AO274">
        <f ca="1"/>
      </c>
      <c r="AP274">
        <f ca="1"/>
      </c>
      <c r="AQ274">
        <f ca="1"/>
      </c>
      <c r="AR274">
        <f ca="1"/>
      </c>
      <c r="AT274" s="7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BA274" s="7">
        <f ca="1"/>
      </c>
      <c r="BB274">
        <f ca="1"/>
      </c>
      <c r="BC274">
        <f ca="1"/>
      </c>
      <c r="BD274">
        <f ca="1"/>
      </c>
      <c r="BE274">
        <f ca="1"/>
      </c>
    </row>
    <row r="275" spans="31:57" x14ac:dyDescent="0.55000000000000004">
      <c r="AE275" s="7">
        <f ca="1"/>
      </c>
      <c r="AF275">
        <f ca="1"/>
      </c>
      <c r="AG275">
        <f ca="1"/>
      </c>
      <c r="AH275">
        <f ca="1"/>
      </c>
      <c r="AI275">
        <f ca="1"/>
      </c>
      <c r="AJ275">
        <f ca="1"/>
      </c>
      <c r="AK275">
        <f ca="1"/>
      </c>
      <c r="AL275">
        <f ca="1"/>
      </c>
      <c r="AM275">
        <f ca="1"/>
      </c>
      <c r="AN275">
        <f ca="1"/>
      </c>
      <c r="AO275">
        <f ca="1"/>
      </c>
      <c r="AP275">
        <f ca="1"/>
      </c>
      <c r="AQ275">
        <f ca="1"/>
      </c>
      <c r="AR275">
        <f ca="1"/>
      </c>
      <c r="AT275" s="7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BA275" s="7">
        <f ca="1"/>
      </c>
      <c r="BB275">
        <f ca="1"/>
      </c>
      <c r="BC275">
        <f ca="1"/>
      </c>
      <c r="BD275">
        <f ca="1"/>
      </c>
      <c r="BE275">
        <f ca="1"/>
      </c>
    </row>
    <row r="276" spans="31:57" x14ac:dyDescent="0.55000000000000004">
      <c r="AE276" s="7">
        <f ca="1"/>
      </c>
      <c r="AF276">
        <f ca="1"/>
      </c>
      <c r="AG276">
        <f ca="1"/>
      </c>
      <c r="AH276">
        <f ca="1"/>
      </c>
      <c r="AI276">
        <f ca="1"/>
      </c>
      <c r="AJ276">
        <f ca="1"/>
      </c>
      <c r="AK276">
        <f ca="1"/>
      </c>
      <c r="AL276">
        <f ca="1"/>
      </c>
      <c r="AM276">
        <f ca="1"/>
      </c>
      <c r="AN276">
        <f ca="1"/>
      </c>
      <c r="AO276">
        <f ca="1"/>
      </c>
      <c r="AP276">
        <f ca="1"/>
      </c>
      <c r="AQ276">
        <f ca="1"/>
      </c>
      <c r="AR276">
        <f ca="1"/>
      </c>
      <c r="AT276" s="7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BA276" s="7">
        <f ca="1"/>
      </c>
      <c r="BB276">
        <f ca="1"/>
      </c>
      <c r="BC276">
        <f ca="1"/>
      </c>
      <c r="BD276">
        <f ca="1"/>
      </c>
      <c r="BE276">
        <f ca="1"/>
      </c>
    </row>
    <row r="277" spans="31:57" x14ac:dyDescent="0.55000000000000004">
      <c r="AE277" s="7">
        <f ca="1"/>
      </c>
      <c r="AF277">
        <f ca="1"/>
      </c>
      <c r="AG277">
        <f ca="1"/>
      </c>
      <c r="AH277">
        <f ca="1"/>
      </c>
      <c r="AI277">
        <f ca="1"/>
      </c>
      <c r="AJ277">
        <f ca="1"/>
      </c>
      <c r="AK277">
        <f ca="1"/>
      </c>
      <c r="AL277">
        <f ca="1"/>
      </c>
      <c r="AM277">
        <f ca="1"/>
      </c>
      <c r="AN277">
        <f ca="1"/>
      </c>
      <c r="AO277">
        <f ca="1"/>
      </c>
      <c r="AP277">
        <f ca="1"/>
      </c>
      <c r="AQ277">
        <f ca="1"/>
      </c>
      <c r="AR277">
        <f ca="1"/>
      </c>
      <c r="AT277" s="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BA277" s="7">
        <f ca="1"/>
      </c>
      <c r="BB277">
        <f ca="1"/>
      </c>
      <c r="BC277">
        <f ca="1"/>
      </c>
      <c r="BD277">
        <f ca="1"/>
      </c>
      <c r="BE277">
        <f ca="1"/>
      </c>
    </row>
    <row r="278" spans="31:57" x14ac:dyDescent="0.55000000000000004">
      <c r="AE278" s="7">
        <f ca="1"/>
      </c>
      <c r="AF278">
        <f ca="1"/>
      </c>
      <c r="AG278">
        <f ca="1"/>
      </c>
      <c r="AH278">
        <f ca="1"/>
      </c>
      <c r="AI278">
        <f ca="1"/>
      </c>
      <c r="AJ278">
        <f ca="1"/>
      </c>
      <c r="AK278">
        <f ca="1"/>
      </c>
      <c r="AL278">
        <f ca="1"/>
      </c>
      <c r="AM278">
        <f ca="1"/>
      </c>
      <c r="AN278">
        <f ca="1"/>
      </c>
      <c r="AO278">
        <f ca="1"/>
      </c>
      <c r="AP278">
        <f ca="1"/>
      </c>
      <c r="AQ278">
        <f ca="1"/>
      </c>
      <c r="AR278">
        <f ca="1"/>
      </c>
      <c r="AT278" s="7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BA278" s="7">
        <f ca="1"/>
      </c>
      <c r="BB278">
        <f ca="1"/>
      </c>
      <c r="BC278">
        <f ca="1"/>
      </c>
      <c r="BD278">
        <f ca="1"/>
      </c>
      <c r="BE278">
        <f ca="1"/>
      </c>
    </row>
    <row r="279" spans="31:57" x14ac:dyDescent="0.55000000000000004">
      <c r="AE279" s="7">
        <f ca="1"/>
      </c>
      <c r="AF279">
        <f ca="1"/>
      </c>
      <c r="AG279">
        <f ca="1"/>
      </c>
      <c r="AH279">
        <f ca="1"/>
      </c>
      <c r="AI279">
        <f ca="1"/>
      </c>
      <c r="AJ279">
        <f ca="1"/>
      </c>
      <c r="AK279">
        <f ca="1"/>
      </c>
      <c r="AL279">
        <f ca="1"/>
      </c>
      <c r="AM279">
        <f ca="1"/>
      </c>
      <c r="AN279">
        <f ca="1"/>
      </c>
      <c r="AO279">
        <f ca="1"/>
      </c>
      <c r="AP279">
        <f ca="1"/>
      </c>
      <c r="AQ279">
        <f ca="1"/>
      </c>
      <c r="AR279">
        <f ca="1"/>
      </c>
      <c r="AT279" s="7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BA279" s="7">
        <f ca="1"/>
      </c>
      <c r="BB279">
        <f ca="1"/>
      </c>
      <c r="BC279">
        <f ca="1"/>
      </c>
      <c r="BD279">
        <f ca="1"/>
      </c>
      <c r="BE279">
        <f ca="1"/>
      </c>
    </row>
    <row r="280" spans="31:57" x14ac:dyDescent="0.55000000000000004">
      <c r="AE280" s="7">
        <f ca="1"/>
      </c>
      <c r="AF280">
        <f ca="1"/>
      </c>
      <c r="AG280">
        <f ca="1"/>
      </c>
      <c r="AH280">
        <f ca="1"/>
      </c>
      <c r="AI280">
        <f ca="1"/>
      </c>
      <c r="AJ280">
        <f ca="1"/>
      </c>
      <c r="AK280">
        <f ca="1"/>
      </c>
      <c r="AL280">
        <f ca="1"/>
      </c>
      <c r="AM280">
        <f ca="1"/>
      </c>
      <c r="AN280">
        <f ca="1"/>
      </c>
      <c r="AO280">
        <f ca="1"/>
      </c>
      <c r="AP280">
        <f ca="1"/>
      </c>
      <c r="AQ280">
        <f ca="1"/>
      </c>
      <c r="AR280">
        <f ca="1"/>
      </c>
      <c r="AT280" s="7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BA280" s="7">
        <f ca="1"/>
      </c>
      <c r="BB280">
        <f ca="1"/>
      </c>
      <c r="BC280">
        <f ca="1"/>
      </c>
      <c r="BD280">
        <f ca="1"/>
      </c>
      <c r="BE280">
        <f ca="1"/>
      </c>
    </row>
    <row r="281" spans="31:57" x14ac:dyDescent="0.55000000000000004">
      <c r="AE281" s="7">
        <f ca="1"/>
      </c>
      <c r="AF281">
        <f ca="1"/>
      </c>
      <c r="AG281">
        <f ca="1"/>
      </c>
      <c r="AH281">
        <f ca="1"/>
      </c>
      <c r="AI281">
        <f ca="1"/>
      </c>
      <c r="AJ281">
        <f ca="1"/>
      </c>
      <c r="AK281">
        <f ca="1"/>
      </c>
      <c r="AL281">
        <f ca="1"/>
      </c>
      <c r="AM281">
        <f ca="1"/>
      </c>
      <c r="AN281">
        <f ca="1"/>
      </c>
      <c r="AO281">
        <f ca="1"/>
      </c>
      <c r="AP281">
        <f ca="1"/>
      </c>
      <c r="AQ281">
        <f ca="1"/>
      </c>
      <c r="AR281">
        <f ca="1"/>
      </c>
      <c r="AT281" s="7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BA281" s="7">
        <f ca="1"/>
      </c>
      <c r="BB281">
        <f ca="1"/>
      </c>
      <c r="BC281">
        <f ca="1"/>
      </c>
      <c r="BD281">
        <f ca="1"/>
      </c>
      <c r="BE281">
        <f ca="1"/>
      </c>
    </row>
    <row r="282" spans="31:57" x14ac:dyDescent="0.55000000000000004">
      <c r="AE282" s="7">
        <f ca="1"/>
      </c>
      <c r="AF282">
        <f ca="1"/>
      </c>
      <c r="AG282">
        <f ca="1"/>
      </c>
      <c r="AH282">
        <f ca="1"/>
      </c>
      <c r="AI282">
        <f ca="1"/>
      </c>
      <c r="AJ282">
        <f ca="1"/>
      </c>
      <c r="AK282">
        <f ca="1"/>
      </c>
      <c r="AL282">
        <f ca="1"/>
      </c>
      <c r="AM282">
        <f ca="1"/>
      </c>
      <c r="AN282">
        <f ca="1"/>
      </c>
      <c r="AO282">
        <f ca="1"/>
      </c>
      <c r="AP282">
        <f ca="1"/>
      </c>
      <c r="AQ282">
        <f ca="1"/>
      </c>
      <c r="AR282">
        <f ca="1"/>
      </c>
      <c r="AT282" s="7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BA282" s="7">
        <f ca="1"/>
      </c>
      <c r="BB282">
        <f ca="1"/>
      </c>
      <c r="BC282">
        <f ca="1"/>
      </c>
      <c r="BD282">
        <f ca="1"/>
      </c>
      <c r="BE282">
        <f ca="1"/>
      </c>
    </row>
    <row r="283" spans="31:57" x14ac:dyDescent="0.55000000000000004">
      <c r="AE283" s="7">
        <f ca="1"/>
      </c>
      <c r="AF283">
        <f ca="1"/>
      </c>
      <c r="AG283">
        <f ca="1"/>
      </c>
      <c r="AH283">
        <f ca="1"/>
      </c>
      <c r="AI283">
        <f ca="1"/>
      </c>
      <c r="AJ283">
        <f ca="1"/>
      </c>
      <c r="AK283">
        <f ca="1"/>
      </c>
      <c r="AL283">
        <f ca="1"/>
      </c>
      <c r="AM283">
        <f ca="1"/>
      </c>
      <c r="AN283">
        <f ca="1"/>
      </c>
      <c r="AO283">
        <f ca="1"/>
      </c>
      <c r="AP283">
        <f ca="1"/>
      </c>
      <c r="AQ283">
        <f ca="1"/>
      </c>
      <c r="AR283">
        <f ca="1"/>
      </c>
      <c r="AT283" s="7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BA283" s="7">
        <f ca="1"/>
      </c>
      <c r="BB283">
        <f ca="1"/>
      </c>
      <c r="BC283">
        <f ca="1"/>
      </c>
      <c r="BD283">
        <f ca="1"/>
      </c>
      <c r="BE283">
        <f ca="1"/>
      </c>
    </row>
    <row r="284" spans="31:57" x14ac:dyDescent="0.55000000000000004">
      <c r="AE284" s="7">
        <f ca="1"/>
      </c>
      <c r="AF284">
        <f ca="1"/>
      </c>
      <c r="AG284">
        <f ca="1"/>
      </c>
      <c r="AH284">
        <f ca="1"/>
      </c>
      <c r="AI284">
        <f ca="1"/>
      </c>
      <c r="AJ284">
        <f ca="1"/>
      </c>
      <c r="AK284">
        <f ca="1"/>
      </c>
      <c r="AL284">
        <f ca="1"/>
      </c>
      <c r="AM284">
        <f ca="1"/>
      </c>
      <c r="AN284">
        <f ca="1"/>
      </c>
      <c r="AO284">
        <f ca="1"/>
      </c>
      <c r="AP284">
        <f ca="1"/>
      </c>
      <c r="AQ284">
        <f ca="1"/>
      </c>
      <c r="AR284">
        <f ca="1"/>
      </c>
      <c r="AT284" s="7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BA284" s="7">
        <f ca="1"/>
      </c>
      <c r="BB284">
        <f ca="1"/>
      </c>
      <c r="BC284">
        <f ca="1"/>
      </c>
      <c r="BD284">
        <f ca="1"/>
      </c>
      <c r="BE284">
        <f ca="1"/>
      </c>
    </row>
    <row r="285" spans="31:57" x14ac:dyDescent="0.55000000000000004">
      <c r="AE285" s="7">
        <f ca="1"/>
      </c>
      <c r="AF285">
        <f ca="1"/>
      </c>
      <c r="AG285">
        <f ca="1"/>
      </c>
      <c r="AH285">
        <f ca="1"/>
      </c>
      <c r="AI285">
        <f ca="1"/>
      </c>
      <c r="AJ285">
        <f ca="1"/>
      </c>
      <c r="AK285">
        <f ca="1"/>
      </c>
      <c r="AL285">
        <f ca="1"/>
      </c>
      <c r="AM285">
        <f ca="1"/>
      </c>
      <c r="AN285">
        <f ca="1"/>
      </c>
      <c r="AO285">
        <f ca="1"/>
      </c>
      <c r="AP285">
        <f ca="1"/>
      </c>
      <c r="AQ285">
        <f ca="1"/>
      </c>
      <c r="AR285">
        <f ca="1"/>
      </c>
      <c r="AT285" s="7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BA285" s="7">
        <f ca="1"/>
      </c>
      <c r="BB285">
        <f ca="1"/>
      </c>
      <c r="BC285">
        <f ca="1"/>
      </c>
      <c r="BD285">
        <f ca="1"/>
      </c>
      <c r="BE285">
        <f ca="1"/>
      </c>
    </row>
    <row r="286" spans="31:57" x14ac:dyDescent="0.55000000000000004">
      <c r="AE286" s="7">
        <f ca="1"/>
      </c>
      <c r="AF286">
        <f ca="1"/>
      </c>
      <c r="AG286">
        <f ca="1"/>
      </c>
      <c r="AH286">
        <f ca="1"/>
      </c>
      <c r="AI286">
        <f ca="1"/>
      </c>
      <c r="AJ286">
        <f ca="1"/>
      </c>
      <c r="AK286">
        <f ca="1"/>
      </c>
      <c r="AL286">
        <f ca="1"/>
      </c>
      <c r="AM286">
        <f ca="1"/>
      </c>
      <c r="AN286">
        <f ca="1"/>
      </c>
      <c r="AO286">
        <f ca="1"/>
      </c>
      <c r="AP286">
        <f ca="1"/>
      </c>
      <c r="AQ286">
        <f ca="1"/>
      </c>
      <c r="AR286">
        <f ca="1"/>
      </c>
      <c r="AT286" s="7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BA286" s="7">
        <f ca="1"/>
      </c>
      <c r="BB286">
        <f ca="1"/>
      </c>
      <c r="BC286">
        <f ca="1"/>
      </c>
      <c r="BD286">
        <f ca="1"/>
      </c>
      <c r="BE286">
        <f ca="1"/>
      </c>
    </row>
    <row r="287" spans="31:57" x14ac:dyDescent="0.55000000000000004">
      <c r="AE287" s="7">
        <f ca="1"/>
      </c>
      <c r="AF287">
        <f ca="1"/>
      </c>
      <c r="AG287">
        <f ca="1"/>
      </c>
      <c r="AH287">
        <f ca="1"/>
      </c>
      <c r="AI287">
        <f ca="1"/>
      </c>
      <c r="AJ287">
        <f ca="1"/>
      </c>
      <c r="AK287">
        <f ca="1"/>
      </c>
      <c r="AL287">
        <f ca="1"/>
      </c>
      <c r="AM287">
        <f ca="1"/>
      </c>
      <c r="AN287">
        <f ca="1"/>
      </c>
      <c r="AO287">
        <f ca="1"/>
      </c>
      <c r="AP287">
        <f ca="1"/>
      </c>
      <c r="AQ287">
        <f ca="1"/>
      </c>
      <c r="AR287">
        <f ca="1"/>
      </c>
      <c r="AT287" s="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BA287" s="7">
        <f ca="1"/>
      </c>
      <c r="BB287">
        <f ca="1"/>
      </c>
      <c r="BC287">
        <f ca="1"/>
      </c>
      <c r="BD287">
        <f ca="1"/>
      </c>
      <c r="BE287">
        <f ca="1"/>
      </c>
    </row>
    <row r="288" spans="31:57" x14ac:dyDescent="0.55000000000000004">
      <c r="AE288" s="7">
        <f ca="1"/>
      </c>
      <c r="AF288">
        <f ca="1"/>
      </c>
      <c r="AG288">
        <f ca="1"/>
      </c>
      <c r="AH288">
        <f ca="1"/>
      </c>
      <c r="AI288">
        <f ca="1"/>
      </c>
      <c r="AJ288">
        <f ca="1"/>
      </c>
      <c r="AK288">
        <f ca="1"/>
      </c>
      <c r="AL288">
        <f ca="1"/>
      </c>
      <c r="AM288">
        <f ca="1"/>
      </c>
      <c r="AN288">
        <f ca="1"/>
      </c>
      <c r="AO288">
        <f ca="1"/>
      </c>
      <c r="AP288">
        <f ca="1"/>
      </c>
      <c r="AQ288">
        <f ca="1"/>
      </c>
      <c r="AR288">
        <f ca="1"/>
      </c>
      <c r="AT288" s="7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BA288" s="7">
        <f ca="1"/>
      </c>
      <c r="BB288">
        <f ca="1"/>
      </c>
      <c r="BC288">
        <f ca="1"/>
      </c>
      <c r="BD288">
        <f ca="1"/>
      </c>
      <c r="BE288">
        <f ca="1"/>
      </c>
    </row>
    <row r="289" spans="31:57" x14ac:dyDescent="0.55000000000000004">
      <c r="AE289" s="7">
        <f ca="1"/>
      </c>
      <c r="AF289">
        <f ca="1"/>
      </c>
      <c r="AG289">
        <f ca="1"/>
      </c>
      <c r="AH289">
        <f ca="1"/>
      </c>
      <c r="AI289">
        <f ca="1"/>
      </c>
      <c r="AJ289">
        <f ca="1"/>
      </c>
      <c r="AK289">
        <f ca="1"/>
      </c>
      <c r="AL289">
        <f ca="1"/>
      </c>
      <c r="AM289">
        <f ca="1"/>
      </c>
      <c r="AN289">
        <f ca="1"/>
      </c>
      <c r="AO289">
        <f ca="1"/>
      </c>
      <c r="AP289">
        <f ca="1"/>
      </c>
      <c r="AQ289">
        <f ca="1"/>
      </c>
      <c r="AR289">
        <f ca="1"/>
      </c>
      <c r="AT289" s="7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BA289" s="7">
        <f ca="1"/>
      </c>
      <c r="BB289">
        <f ca="1"/>
      </c>
      <c r="BC289">
        <f ca="1"/>
      </c>
      <c r="BD289">
        <f ca="1"/>
      </c>
      <c r="BE289">
        <f ca="1"/>
      </c>
    </row>
    <row r="290" spans="31:57" x14ac:dyDescent="0.55000000000000004">
      <c r="AE290" s="7">
        <f ca="1"/>
      </c>
      <c r="AF290">
        <f ca="1"/>
      </c>
      <c r="AG290">
        <f ca="1"/>
      </c>
      <c r="AH290">
        <f ca="1"/>
      </c>
      <c r="AI290">
        <f ca="1"/>
      </c>
      <c r="AJ290">
        <f ca="1"/>
      </c>
      <c r="AK290">
        <f ca="1"/>
      </c>
      <c r="AL290">
        <f ca="1"/>
      </c>
      <c r="AM290">
        <f ca="1"/>
      </c>
      <c r="AN290">
        <f ca="1"/>
      </c>
      <c r="AO290">
        <f ca="1"/>
      </c>
      <c r="AP290">
        <f ca="1"/>
      </c>
      <c r="AQ290">
        <f ca="1"/>
      </c>
      <c r="AR290">
        <f ca="1"/>
      </c>
      <c r="AT290" s="7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BA290" s="7">
        <f ca="1"/>
      </c>
      <c r="BB290">
        <f ca="1"/>
      </c>
      <c r="BC290">
        <f ca="1"/>
      </c>
      <c r="BD290">
        <f ca="1"/>
      </c>
      <c r="BE290">
        <f ca="1"/>
      </c>
    </row>
    <row r="291" spans="31:57" x14ac:dyDescent="0.55000000000000004">
      <c r="AE291" s="7">
        <f ca="1"/>
      </c>
      <c r="AF291">
        <f ca="1"/>
      </c>
      <c r="AG291">
        <f ca="1"/>
      </c>
      <c r="AH291">
        <f ca="1"/>
      </c>
      <c r="AI291">
        <f ca="1"/>
      </c>
      <c r="AJ291">
        <f ca="1"/>
      </c>
      <c r="AK291">
        <f ca="1"/>
      </c>
      <c r="AL291">
        <f ca="1"/>
      </c>
      <c r="AM291">
        <f ca="1"/>
      </c>
      <c r="AN291">
        <f ca="1"/>
      </c>
      <c r="AO291">
        <f ca="1"/>
      </c>
      <c r="AP291">
        <f ca="1"/>
      </c>
      <c r="AQ291">
        <f ca="1"/>
      </c>
      <c r="AR291">
        <f ca="1"/>
      </c>
      <c r="AT291" s="7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BA291" s="7">
        <f ca="1"/>
      </c>
      <c r="BB291">
        <f ca="1"/>
      </c>
      <c r="BC291">
        <f ca="1"/>
      </c>
      <c r="BD291">
        <f ca="1"/>
      </c>
      <c r="BE291">
        <f ca="1"/>
      </c>
    </row>
    <row r="292" spans="31:57" x14ac:dyDescent="0.55000000000000004">
      <c r="AE292" s="7">
        <f ca="1"/>
      </c>
      <c r="AF292">
        <f ca="1"/>
      </c>
      <c r="AG292">
        <f ca="1"/>
      </c>
      <c r="AH292">
        <f ca="1"/>
      </c>
      <c r="AI292">
        <f ca="1"/>
      </c>
      <c r="AJ292">
        <f ca="1"/>
      </c>
      <c r="AK292">
        <f ca="1"/>
      </c>
      <c r="AL292">
        <f ca="1"/>
      </c>
      <c r="AM292">
        <f ca="1"/>
      </c>
      <c r="AN292">
        <f ca="1"/>
      </c>
      <c r="AO292">
        <f ca="1"/>
      </c>
      <c r="AP292">
        <f ca="1"/>
      </c>
      <c r="AQ292">
        <f ca="1"/>
      </c>
      <c r="AR292">
        <f ca="1"/>
      </c>
      <c r="AT292" s="7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BA292" s="7">
        <f ca="1"/>
      </c>
      <c r="BB292">
        <f ca="1"/>
      </c>
      <c r="BC292">
        <f ca="1"/>
      </c>
      <c r="BD292">
        <f ca="1"/>
      </c>
      <c r="BE292">
        <f ca="1"/>
      </c>
    </row>
    <row r="293" spans="31:57" x14ac:dyDescent="0.55000000000000004">
      <c r="AE293" s="7">
        <f ca="1"/>
      </c>
      <c r="AF293">
        <f ca="1"/>
      </c>
      <c r="AG293">
        <f ca="1"/>
      </c>
      <c r="AH293">
        <f ca="1"/>
      </c>
      <c r="AI293">
        <f ca="1"/>
      </c>
      <c r="AJ293">
        <f ca="1"/>
      </c>
      <c r="AK293">
        <f ca="1"/>
      </c>
      <c r="AL293">
        <f ca="1"/>
      </c>
      <c r="AM293">
        <f ca="1"/>
      </c>
      <c r="AN293">
        <f ca="1"/>
      </c>
      <c r="AO293">
        <f ca="1"/>
      </c>
      <c r="AP293">
        <f ca="1"/>
      </c>
      <c r="AQ293">
        <f ca="1"/>
      </c>
      <c r="AR293">
        <f ca="1"/>
      </c>
      <c r="AT293" s="7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BA293" s="7">
        <f ca="1"/>
      </c>
      <c r="BB293">
        <f ca="1"/>
      </c>
      <c r="BC293">
        <f ca="1"/>
      </c>
      <c r="BD293">
        <f ca="1"/>
      </c>
      <c r="BE293">
        <f ca="1"/>
      </c>
    </row>
    <row r="294" spans="31:57" x14ac:dyDescent="0.55000000000000004">
      <c r="AE294" s="7">
        <f ca="1"/>
      </c>
      <c r="AF294">
        <f ca="1"/>
      </c>
      <c r="AG294">
        <f ca="1"/>
      </c>
      <c r="AH294">
        <f ca="1"/>
      </c>
      <c r="AI294">
        <f ca="1"/>
      </c>
      <c r="AJ294">
        <f ca="1"/>
      </c>
      <c r="AK294">
        <f ca="1"/>
      </c>
      <c r="AL294">
        <f ca="1"/>
      </c>
      <c r="AM294">
        <f ca="1"/>
      </c>
      <c r="AN294">
        <f ca="1"/>
      </c>
      <c r="AO294">
        <f ca="1"/>
      </c>
      <c r="AP294">
        <f ca="1"/>
      </c>
      <c r="AQ294">
        <f ca="1"/>
      </c>
      <c r="AR294">
        <f ca="1"/>
      </c>
      <c r="AT294" s="7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BA294" s="7">
        <f ca="1"/>
      </c>
      <c r="BB294">
        <f ca="1"/>
      </c>
      <c r="BC294">
        <f ca="1"/>
      </c>
      <c r="BD294">
        <f ca="1"/>
      </c>
      <c r="BE294">
        <f ca="1"/>
      </c>
    </row>
    <row r="295" spans="31:57" x14ac:dyDescent="0.55000000000000004">
      <c r="AE295" s="7">
        <f ca="1"/>
      </c>
      <c r="AF295">
        <f ca="1"/>
      </c>
      <c r="AG295">
        <f ca="1"/>
      </c>
      <c r="AH295">
        <f ca="1"/>
      </c>
      <c r="AI295">
        <f ca="1"/>
      </c>
      <c r="AJ295">
        <f ca="1"/>
      </c>
      <c r="AK295">
        <f ca="1"/>
      </c>
      <c r="AL295">
        <f ca="1"/>
      </c>
      <c r="AM295">
        <f ca="1"/>
      </c>
      <c r="AN295">
        <f ca="1"/>
      </c>
      <c r="AO295">
        <f ca="1"/>
      </c>
      <c r="AP295">
        <f ca="1"/>
      </c>
      <c r="AQ295">
        <f ca="1"/>
      </c>
      <c r="AR295">
        <f ca="1"/>
      </c>
      <c r="AT295" s="7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BA295" s="7">
        <f ca="1"/>
      </c>
      <c r="BB295">
        <f ca="1"/>
      </c>
      <c r="BC295">
        <f ca="1"/>
      </c>
      <c r="BD295">
        <f ca="1"/>
      </c>
      <c r="BE295">
        <f ca="1"/>
      </c>
    </row>
    <row r="296" spans="31:57" x14ac:dyDescent="0.55000000000000004">
      <c r="AE296" s="7">
        <f ca="1"/>
      </c>
      <c r="AF296">
        <f ca="1"/>
      </c>
      <c r="AG296">
        <f ca="1"/>
      </c>
      <c r="AH296">
        <f ca="1"/>
      </c>
      <c r="AI296">
        <f ca="1"/>
      </c>
      <c r="AJ296">
        <f ca="1"/>
      </c>
      <c r="AK296">
        <f ca="1"/>
      </c>
      <c r="AL296">
        <f ca="1"/>
      </c>
      <c r="AM296">
        <f ca="1"/>
      </c>
      <c r="AN296">
        <f ca="1"/>
      </c>
      <c r="AO296">
        <f ca="1"/>
      </c>
      <c r="AP296">
        <f ca="1"/>
      </c>
      <c r="AQ296">
        <f ca="1"/>
      </c>
      <c r="AR296">
        <f ca="1"/>
      </c>
      <c r="AT296" s="7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BA296" s="7">
        <f ca="1"/>
      </c>
      <c r="BB296">
        <f ca="1"/>
      </c>
      <c r="BC296">
        <f ca="1"/>
      </c>
      <c r="BD296">
        <f ca="1"/>
      </c>
      <c r="BE296">
        <f ca="1"/>
      </c>
    </row>
    <row r="297" spans="31:57" x14ac:dyDescent="0.55000000000000004">
      <c r="AE297" s="7">
        <f ca="1"/>
      </c>
      <c r="AF297">
        <f ca="1"/>
      </c>
      <c r="AG297">
        <f ca="1"/>
      </c>
      <c r="AH297">
        <f ca="1"/>
      </c>
      <c r="AI297">
        <f ca="1"/>
      </c>
      <c r="AJ297">
        <f ca="1"/>
      </c>
      <c r="AK297">
        <f ca="1"/>
      </c>
      <c r="AL297">
        <f ca="1"/>
      </c>
      <c r="AM297">
        <f ca="1"/>
      </c>
      <c r="AN297">
        <f ca="1"/>
      </c>
      <c r="AO297">
        <f ca="1"/>
      </c>
      <c r="AP297">
        <f ca="1"/>
      </c>
      <c r="AQ297">
        <f ca="1"/>
      </c>
      <c r="AR297">
        <f ca="1"/>
      </c>
      <c r="AT297" s="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BA297" s="7">
        <f ca="1"/>
      </c>
      <c r="BB297">
        <f ca="1"/>
      </c>
      <c r="BC297">
        <f ca="1"/>
      </c>
      <c r="BD297">
        <f ca="1"/>
      </c>
      <c r="BE297">
        <f ca="1"/>
      </c>
    </row>
    <row r="298" spans="31:57" x14ac:dyDescent="0.55000000000000004">
      <c r="AE298" s="7">
        <f ca="1"/>
      </c>
      <c r="AF298">
        <f ca="1"/>
      </c>
      <c r="AG298">
        <f ca="1"/>
      </c>
      <c r="AH298">
        <f ca="1"/>
      </c>
      <c r="AI298">
        <f ca="1"/>
      </c>
      <c r="AJ298">
        <f ca="1"/>
      </c>
      <c r="AK298">
        <f ca="1"/>
      </c>
      <c r="AL298">
        <f ca="1"/>
      </c>
      <c r="AM298">
        <f ca="1"/>
      </c>
      <c r="AN298">
        <f ca="1"/>
      </c>
      <c r="AO298">
        <f ca="1"/>
      </c>
      <c r="AP298">
        <f ca="1"/>
      </c>
      <c r="AQ298">
        <f ca="1"/>
      </c>
      <c r="AR298">
        <f ca="1"/>
      </c>
      <c r="AT298" s="7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BA298" s="7">
        <f ca="1"/>
      </c>
      <c r="BB298">
        <f ca="1"/>
      </c>
      <c r="BC298">
        <f ca="1"/>
      </c>
      <c r="BD298">
        <f ca="1"/>
      </c>
      <c r="BE298">
        <f ca="1"/>
      </c>
    </row>
    <row r="299" spans="31:57" x14ac:dyDescent="0.55000000000000004">
      <c r="AE299" s="7">
        <f ca="1"/>
      </c>
      <c r="AF299">
        <f ca="1"/>
      </c>
      <c r="AG299">
        <f ca="1"/>
      </c>
      <c r="AH299">
        <f ca="1"/>
      </c>
      <c r="AI299">
        <f ca="1"/>
      </c>
      <c r="AJ299">
        <f ca="1"/>
      </c>
      <c r="AK299">
        <f ca="1"/>
      </c>
      <c r="AL299">
        <f ca="1"/>
      </c>
      <c r="AM299">
        <f ca="1"/>
      </c>
      <c r="AN299">
        <f ca="1"/>
      </c>
      <c r="AO299">
        <f ca="1"/>
      </c>
      <c r="AP299">
        <f ca="1"/>
      </c>
      <c r="AQ299">
        <f ca="1"/>
      </c>
      <c r="AR299">
        <f ca="1"/>
      </c>
      <c r="AT299" s="7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BA299" s="7">
        <f ca="1"/>
      </c>
      <c r="BB299">
        <f ca="1"/>
      </c>
      <c r="BC299">
        <f ca="1"/>
      </c>
      <c r="BD299">
        <f ca="1"/>
      </c>
      <c r="BE299">
        <f ca="1"/>
      </c>
    </row>
    <row r="300" spans="31:57" x14ac:dyDescent="0.55000000000000004">
      <c r="AE300" s="7">
        <f ca="1"/>
      </c>
      <c r="AF300">
        <f ca="1"/>
      </c>
      <c r="AG300">
        <f ca="1"/>
      </c>
      <c r="AH300">
        <f ca="1"/>
      </c>
      <c r="AI300">
        <f ca="1"/>
      </c>
      <c r="AJ300">
        <f ca="1"/>
      </c>
      <c r="AK300">
        <f ca="1"/>
      </c>
      <c r="AL300">
        <f ca="1"/>
      </c>
      <c r="AM300">
        <f ca="1"/>
      </c>
      <c r="AN300">
        <f ca="1"/>
      </c>
      <c r="AO300">
        <f ca="1"/>
      </c>
      <c r="AP300">
        <f ca="1"/>
      </c>
      <c r="AQ300">
        <f ca="1"/>
      </c>
      <c r="AR300">
        <f ca="1"/>
      </c>
      <c r="AT300" s="7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BA300" s="7">
        <f ca="1"/>
      </c>
      <c r="BB300">
        <f ca="1"/>
      </c>
      <c r="BC300">
        <f ca="1"/>
      </c>
      <c r="BD300">
        <f ca="1"/>
      </c>
      <c r="BE300">
        <f ca="1"/>
      </c>
    </row>
    <row r="301" spans="31:57" x14ac:dyDescent="0.55000000000000004">
      <c r="AE301" s="7">
        <f ca="1"/>
      </c>
      <c r="AF301">
        <f ca="1"/>
      </c>
      <c r="AG301">
        <f ca="1"/>
      </c>
      <c r="AH301">
        <f ca="1"/>
      </c>
      <c r="AI301">
        <f ca="1"/>
      </c>
      <c r="AJ301">
        <f ca="1"/>
      </c>
      <c r="AK301">
        <f ca="1"/>
      </c>
      <c r="AL301">
        <f ca="1"/>
      </c>
      <c r="AM301">
        <f ca="1"/>
      </c>
      <c r="AN301">
        <f ca="1"/>
      </c>
      <c r="AO301">
        <f ca="1"/>
      </c>
      <c r="AP301">
        <f ca="1"/>
      </c>
      <c r="AQ301">
        <f ca="1"/>
      </c>
      <c r="AR301">
        <f ca="1"/>
      </c>
      <c r="AT301" s="7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BA301" s="7">
        <f ca="1"/>
      </c>
      <c r="BB301">
        <f ca="1"/>
      </c>
      <c r="BC301">
        <f ca="1"/>
      </c>
      <c r="BD301">
        <f ca="1"/>
      </c>
      <c r="BE301">
        <f ca="1"/>
      </c>
    </row>
    <row r="302" spans="31:57" x14ac:dyDescent="0.55000000000000004">
      <c r="AE302" s="7">
        <f ca="1"/>
      </c>
      <c r="AF302">
        <f ca="1"/>
      </c>
      <c r="AG302">
        <f ca="1"/>
      </c>
      <c r="AH302">
        <f ca="1"/>
      </c>
      <c r="AI302">
        <f ca="1"/>
      </c>
      <c r="AJ302">
        <f ca="1"/>
      </c>
      <c r="AK302">
        <f ca="1"/>
      </c>
      <c r="AL302">
        <f ca="1"/>
      </c>
      <c r="AM302">
        <f ca="1"/>
      </c>
      <c r="AN302">
        <f ca="1"/>
      </c>
      <c r="AO302">
        <f ca="1"/>
      </c>
      <c r="AP302">
        <f ca="1"/>
      </c>
      <c r="AQ302">
        <f ca="1"/>
      </c>
      <c r="AR302">
        <f ca="1"/>
      </c>
      <c r="AT302" s="7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BA302" s="7">
        <f ca="1"/>
      </c>
      <c r="BB302">
        <f ca="1"/>
      </c>
      <c r="BC302">
        <f ca="1"/>
      </c>
      <c r="BD302">
        <f ca="1"/>
      </c>
      <c r="BE302">
        <f ca="1"/>
      </c>
    </row>
    <row r="303" spans="31:57" x14ac:dyDescent="0.55000000000000004">
      <c r="AE303" s="7">
        <f ca="1"/>
      </c>
      <c r="AF303">
        <f ca="1"/>
      </c>
      <c r="AG303">
        <f ca="1"/>
      </c>
      <c r="AH303">
        <f ca="1"/>
      </c>
      <c r="AI303">
        <f ca="1"/>
      </c>
      <c r="AJ303">
        <f ca="1"/>
      </c>
      <c r="AK303">
        <f ca="1"/>
      </c>
      <c r="AL303">
        <f ca="1"/>
      </c>
      <c r="AM303">
        <f ca="1"/>
      </c>
      <c r="AN303">
        <f ca="1"/>
      </c>
      <c r="AO303">
        <f ca="1"/>
      </c>
      <c r="AP303">
        <f ca="1"/>
      </c>
      <c r="AQ303">
        <f ca="1"/>
      </c>
      <c r="AR303">
        <f ca="1"/>
      </c>
      <c r="AT303" s="7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BA303" s="7">
        <f ca="1"/>
      </c>
      <c r="BB303">
        <f ca="1"/>
      </c>
      <c r="BC303">
        <f ca="1"/>
      </c>
      <c r="BD303">
        <f ca="1"/>
      </c>
      <c r="BE303">
        <f ca="1"/>
      </c>
    </row>
    <row r="304" spans="31:57" x14ac:dyDescent="0.55000000000000004">
      <c r="AE304" s="7">
        <f ca="1"/>
      </c>
      <c r="AF304">
        <f ca="1"/>
      </c>
      <c r="AG304">
        <f ca="1"/>
      </c>
      <c r="AH304">
        <f ca="1"/>
      </c>
      <c r="AI304">
        <f ca="1"/>
      </c>
      <c r="AJ304">
        <f ca="1"/>
      </c>
      <c r="AK304">
        <f ca="1"/>
      </c>
      <c r="AL304">
        <f ca="1"/>
      </c>
      <c r="AM304">
        <f ca="1"/>
      </c>
      <c r="AN304">
        <f ca="1"/>
      </c>
      <c r="AO304">
        <f ca="1"/>
      </c>
      <c r="AP304">
        <f ca="1"/>
      </c>
      <c r="AQ304">
        <f ca="1"/>
      </c>
      <c r="AR304">
        <f ca="1"/>
      </c>
      <c r="AT304" s="7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BA304" s="7">
        <f ca="1"/>
      </c>
      <c r="BB304">
        <f ca="1"/>
      </c>
      <c r="BC304">
        <f ca="1"/>
      </c>
      <c r="BD304">
        <f ca="1"/>
      </c>
      <c r="BE304">
        <f ca="1"/>
      </c>
    </row>
    <row r="305" spans="31:57" x14ac:dyDescent="0.55000000000000004">
      <c r="AE305" s="7">
        <f ca="1"/>
      </c>
      <c r="AF305">
        <f ca="1"/>
      </c>
      <c r="AG305">
        <f ca="1"/>
      </c>
      <c r="AH305">
        <f ca="1"/>
      </c>
      <c r="AI305">
        <f ca="1"/>
      </c>
      <c r="AJ305">
        <f ca="1"/>
      </c>
      <c r="AK305">
        <f ca="1"/>
      </c>
      <c r="AL305">
        <f ca="1"/>
      </c>
      <c r="AM305">
        <f ca="1"/>
      </c>
      <c r="AN305">
        <f ca="1"/>
      </c>
      <c r="AO305">
        <f ca="1"/>
      </c>
      <c r="AP305">
        <f ca="1"/>
      </c>
      <c r="AQ305">
        <f ca="1"/>
      </c>
      <c r="AR305">
        <f ca="1"/>
      </c>
      <c r="AT305" s="7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BA305" s="7">
        <f ca="1"/>
      </c>
      <c r="BB305">
        <f ca="1"/>
      </c>
      <c r="BC305">
        <f ca="1"/>
      </c>
      <c r="BD305">
        <f ca="1"/>
      </c>
      <c r="BE305">
        <f ca="1"/>
      </c>
    </row>
    <row r="306" spans="31:57" x14ac:dyDescent="0.55000000000000004">
      <c r="AE306" s="7">
        <f ca="1"/>
      </c>
      <c r="AF306">
        <f ca="1"/>
      </c>
      <c r="AG306">
        <f ca="1"/>
      </c>
      <c r="AH306">
        <f ca="1"/>
      </c>
      <c r="AI306">
        <f ca="1"/>
      </c>
      <c r="AJ306">
        <f ca="1"/>
      </c>
      <c r="AK306">
        <f ca="1"/>
      </c>
      <c r="AL306">
        <f ca="1"/>
      </c>
      <c r="AM306">
        <f ca="1"/>
      </c>
      <c r="AN306">
        <f ca="1"/>
      </c>
      <c r="AO306">
        <f ca="1"/>
      </c>
      <c r="AP306">
        <f ca="1"/>
      </c>
      <c r="AQ306">
        <f ca="1"/>
      </c>
      <c r="AR306">
        <f ca="1"/>
      </c>
      <c r="AT306" s="7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BA306" s="7">
        <f ca="1"/>
      </c>
      <c r="BB306">
        <f ca="1"/>
      </c>
      <c r="BC306">
        <f ca="1"/>
      </c>
      <c r="BD306">
        <f ca="1"/>
      </c>
      <c r="BE306">
        <f ca="1"/>
      </c>
    </row>
    <row r="307" spans="31:57" x14ac:dyDescent="0.55000000000000004">
      <c r="AE307" s="7">
        <f ca="1"/>
      </c>
      <c r="AF307">
        <f ca="1"/>
      </c>
      <c r="AG307">
        <f ca="1"/>
      </c>
      <c r="AH307">
        <f ca="1"/>
      </c>
      <c r="AI307">
        <f ca="1"/>
      </c>
      <c r="AJ307">
        <f ca="1"/>
      </c>
      <c r="AK307">
        <f ca="1"/>
      </c>
      <c r="AL307">
        <f ca="1"/>
      </c>
      <c r="AM307">
        <f ca="1"/>
      </c>
      <c r="AN307">
        <f ca="1"/>
      </c>
      <c r="AO307">
        <f ca="1"/>
      </c>
      <c r="AP307">
        <f ca="1"/>
      </c>
      <c r="AQ307">
        <f ca="1"/>
      </c>
      <c r="AR307">
        <f ca="1"/>
      </c>
      <c r="AT307" s="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BA307" s="7">
        <f ca="1"/>
      </c>
      <c r="BB307">
        <f ca="1"/>
      </c>
      <c r="BC307">
        <f ca="1"/>
      </c>
      <c r="BD307">
        <f ca="1"/>
      </c>
      <c r="BE307">
        <f ca="1"/>
      </c>
    </row>
    <row r="308" spans="31:57" x14ac:dyDescent="0.55000000000000004">
      <c r="AE308" s="7">
        <f ca="1"/>
      </c>
      <c r="AF308">
        <f ca="1"/>
      </c>
      <c r="AG308">
        <f ca="1"/>
      </c>
      <c r="AH308">
        <f ca="1"/>
      </c>
      <c r="AI308">
        <f ca="1"/>
      </c>
      <c r="AJ308">
        <f ca="1"/>
      </c>
      <c r="AK308">
        <f ca="1"/>
      </c>
      <c r="AL308">
        <f ca="1"/>
      </c>
      <c r="AM308">
        <f ca="1"/>
      </c>
      <c r="AN308">
        <f ca="1"/>
      </c>
      <c r="AO308">
        <f ca="1"/>
      </c>
      <c r="AP308">
        <f ca="1"/>
      </c>
      <c r="AQ308">
        <f ca="1"/>
      </c>
      <c r="AR308">
        <f ca="1"/>
      </c>
      <c r="AT308" s="7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BA308" s="7">
        <f ca="1"/>
      </c>
      <c r="BB308">
        <f ca="1"/>
      </c>
      <c r="BC308">
        <f ca="1"/>
      </c>
      <c r="BD308">
        <f ca="1"/>
      </c>
      <c r="BE308">
        <f ca="1"/>
      </c>
    </row>
    <row r="309" spans="31:57" x14ac:dyDescent="0.55000000000000004">
      <c r="AE309" s="7">
        <f ca="1"/>
      </c>
      <c r="AF309">
        <f ca="1"/>
      </c>
      <c r="AG309">
        <f ca="1"/>
      </c>
      <c r="AH309">
        <f ca="1"/>
      </c>
      <c r="AI309">
        <f ca="1"/>
      </c>
      <c r="AJ309">
        <f ca="1"/>
      </c>
      <c r="AK309">
        <f ca="1"/>
      </c>
      <c r="AL309">
        <f ca="1"/>
      </c>
      <c r="AM309">
        <f ca="1"/>
      </c>
      <c r="AN309">
        <f ca="1"/>
      </c>
      <c r="AO309">
        <f ca="1"/>
      </c>
      <c r="AP309">
        <f ca="1"/>
      </c>
      <c r="AQ309">
        <f ca="1"/>
      </c>
      <c r="AR309">
        <f ca="1"/>
      </c>
      <c r="AT309" s="7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BA309" s="7">
        <f ca="1"/>
      </c>
      <c r="BB309">
        <f ca="1"/>
      </c>
      <c r="BC309">
        <f ca="1"/>
      </c>
      <c r="BD309">
        <f ca="1"/>
      </c>
      <c r="BE309">
        <f ca="1"/>
      </c>
    </row>
    <row r="310" spans="31:57" x14ac:dyDescent="0.55000000000000004">
      <c r="AE310" s="7">
        <f ca="1"/>
      </c>
      <c r="AF310">
        <f ca="1"/>
      </c>
      <c r="AG310">
        <f ca="1"/>
      </c>
      <c r="AH310">
        <f ca="1"/>
      </c>
      <c r="AI310">
        <f ca="1"/>
      </c>
      <c r="AJ310">
        <f ca="1"/>
      </c>
      <c r="AK310">
        <f ca="1"/>
      </c>
      <c r="AL310">
        <f ca="1"/>
      </c>
      <c r="AM310">
        <f ca="1"/>
      </c>
      <c r="AN310">
        <f ca="1"/>
      </c>
      <c r="AO310">
        <f ca="1"/>
      </c>
      <c r="AP310">
        <f ca="1"/>
      </c>
      <c r="AQ310">
        <f ca="1"/>
      </c>
      <c r="AR310">
        <f ca="1"/>
      </c>
      <c r="AT310" s="7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BA310" s="7">
        <f ca="1"/>
      </c>
      <c r="BB310">
        <f ca="1"/>
      </c>
      <c r="BC310">
        <f ca="1"/>
      </c>
      <c r="BD310">
        <f ca="1"/>
      </c>
      <c r="BE310">
        <f ca="1"/>
      </c>
    </row>
    <row r="311" spans="31:57" x14ac:dyDescent="0.55000000000000004">
      <c r="AE311" s="7">
        <f ca="1"/>
      </c>
      <c r="AF311">
        <f ca="1"/>
      </c>
      <c r="AG311">
        <f ca="1"/>
      </c>
      <c r="AH311">
        <f ca="1"/>
      </c>
      <c r="AI311">
        <f ca="1"/>
      </c>
      <c r="AJ311">
        <f ca="1"/>
      </c>
      <c r="AK311">
        <f ca="1"/>
      </c>
      <c r="AL311">
        <f ca="1"/>
      </c>
      <c r="AM311">
        <f ca="1"/>
      </c>
      <c r="AN311">
        <f ca="1"/>
      </c>
      <c r="AO311">
        <f ca="1"/>
      </c>
      <c r="AP311">
        <f ca="1"/>
      </c>
      <c r="AQ311">
        <f ca="1"/>
      </c>
      <c r="AR311">
        <f ca="1"/>
      </c>
      <c r="AT311" s="7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BA311" s="7">
        <f ca="1"/>
      </c>
      <c r="BB311">
        <f ca="1"/>
      </c>
      <c r="BC311">
        <f ca="1"/>
      </c>
      <c r="BD311">
        <f ca="1"/>
      </c>
      <c r="BE311">
        <f ca="1"/>
      </c>
    </row>
    <row r="312" spans="31:57" x14ac:dyDescent="0.55000000000000004">
      <c r="AE312" s="7">
        <f ca="1"/>
      </c>
      <c r="AF312">
        <f ca="1"/>
      </c>
      <c r="AG312">
        <f ca="1"/>
      </c>
      <c r="AH312">
        <f ca="1"/>
      </c>
      <c r="AI312">
        <f ca="1"/>
      </c>
      <c r="AJ312">
        <f ca="1"/>
      </c>
      <c r="AK312">
        <f ca="1"/>
      </c>
      <c r="AL312">
        <f ca="1"/>
      </c>
      <c r="AM312">
        <f ca="1"/>
      </c>
      <c r="AN312">
        <f ca="1"/>
      </c>
      <c r="AO312">
        <f ca="1"/>
      </c>
      <c r="AP312">
        <f ca="1"/>
      </c>
      <c r="AQ312">
        <f ca="1"/>
      </c>
      <c r="AR312">
        <f ca="1"/>
      </c>
      <c r="AT312" s="7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BA312" s="7">
        <f ca="1"/>
      </c>
      <c r="BB312">
        <f ca="1"/>
      </c>
      <c r="BC312">
        <f ca="1"/>
      </c>
      <c r="BD312">
        <f ca="1"/>
      </c>
      <c r="BE312">
        <f ca="1"/>
      </c>
    </row>
    <row r="313" spans="31:57" x14ac:dyDescent="0.55000000000000004">
      <c r="AE313" s="7">
        <f ca="1"/>
      </c>
      <c r="AF313">
        <f ca="1"/>
      </c>
      <c r="AG313">
        <f ca="1"/>
      </c>
      <c r="AH313">
        <f ca="1"/>
      </c>
      <c r="AI313">
        <f ca="1"/>
      </c>
      <c r="AJ313">
        <f ca="1"/>
      </c>
      <c r="AK313">
        <f ca="1"/>
      </c>
      <c r="AL313">
        <f ca="1"/>
      </c>
      <c r="AM313">
        <f ca="1"/>
      </c>
      <c r="AN313">
        <f ca="1"/>
      </c>
      <c r="AO313">
        <f ca="1"/>
      </c>
      <c r="AP313">
        <f ca="1"/>
      </c>
      <c r="AQ313">
        <f ca="1"/>
      </c>
      <c r="AR313">
        <f ca="1"/>
      </c>
      <c r="AT313" s="7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BA313" s="7">
        <f ca="1"/>
      </c>
      <c r="BB313">
        <f ca="1"/>
      </c>
      <c r="BC313">
        <f ca="1"/>
      </c>
      <c r="BD313">
        <f ca="1"/>
      </c>
      <c r="BE313">
        <f ca="1"/>
      </c>
    </row>
    <row r="314" spans="31:57" x14ac:dyDescent="0.55000000000000004">
      <c r="AE314" s="7">
        <f ca="1"/>
      </c>
      <c r="AF314">
        <f ca="1"/>
      </c>
      <c r="AG314">
        <f ca="1"/>
      </c>
      <c r="AH314">
        <f ca="1"/>
      </c>
      <c r="AI314">
        <f ca="1"/>
      </c>
      <c r="AJ314">
        <f ca="1"/>
      </c>
      <c r="AK314">
        <f ca="1"/>
      </c>
      <c r="AL314">
        <f ca="1"/>
      </c>
      <c r="AM314">
        <f ca="1"/>
      </c>
      <c r="AN314">
        <f ca="1"/>
      </c>
      <c r="AO314">
        <f ca="1"/>
      </c>
      <c r="AP314">
        <f ca="1"/>
      </c>
      <c r="AQ314">
        <f ca="1"/>
      </c>
      <c r="AR314">
        <f ca="1"/>
      </c>
      <c r="AT314" s="7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BA314" s="7">
        <f ca="1"/>
      </c>
      <c r="BB314">
        <f ca="1"/>
      </c>
      <c r="BC314">
        <f ca="1"/>
      </c>
      <c r="BD314">
        <f ca="1"/>
      </c>
      <c r="BE314">
        <f ca="1"/>
      </c>
    </row>
    <row r="315" spans="31:57" x14ac:dyDescent="0.55000000000000004">
      <c r="AE315" s="7">
        <f ca="1"/>
      </c>
      <c r="AF315">
        <f ca="1"/>
      </c>
      <c r="AG315">
        <f ca="1"/>
      </c>
      <c r="AH315">
        <f ca="1"/>
      </c>
      <c r="AI315">
        <f ca="1"/>
      </c>
      <c r="AJ315">
        <f ca="1"/>
      </c>
      <c r="AK315">
        <f ca="1"/>
      </c>
      <c r="AL315">
        <f ca="1"/>
      </c>
      <c r="AM315">
        <f ca="1"/>
      </c>
      <c r="AN315">
        <f ca="1"/>
      </c>
      <c r="AO315">
        <f ca="1"/>
      </c>
      <c r="AP315">
        <f ca="1"/>
      </c>
      <c r="AQ315">
        <f ca="1"/>
      </c>
      <c r="AR315">
        <f ca="1"/>
      </c>
      <c r="AT315" s="7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BA315" s="7">
        <f ca="1"/>
      </c>
      <c r="BB315">
        <f ca="1"/>
      </c>
      <c r="BC315">
        <f ca="1"/>
      </c>
      <c r="BD315">
        <f ca="1"/>
      </c>
      <c r="BE315">
        <f ca="1"/>
      </c>
    </row>
    <row r="316" spans="31:57" x14ac:dyDescent="0.55000000000000004">
      <c r="AE316" s="7">
        <f ca="1"/>
      </c>
      <c r="AF316">
        <f ca="1"/>
      </c>
      <c r="AG316">
        <f ca="1"/>
      </c>
      <c r="AH316">
        <f ca="1"/>
      </c>
      <c r="AI316">
        <f ca="1"/>
      </c>
      <c r="AJ316">
        <f ca="1"/>
      </c>
      <c r="AK316">
        <f ca="1"/>
      </c>
      <c r="AL316">
        <f ca="1"/>
      </c>
      <c r="AM316">
        <f ca="1"/>
      </c>
      <c r="AN316">
        <f ca="1"/>
      </c>
      <c r="AO316">
        <f ca="1"/>
      </c>
      <c r="AP316">
        <f ca="1"/>
      </c>
      <c r="AQ316">
        <f ca="1"/>
      </c>
      <c r="AR316">
        <f ca="1"/>
      </c>
      <c r="AT316" s="7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BA316" s="7">
        <f ca="1"/>
      </c>
      <c r="BB316">
        <f ca="1"/>
      </c>
      <c r="BC316">
        <f ca="1"/>
      </c>
      <c r="BD316">
        <f ca="1"/>
      </c>
      <c r="BE316">
        <f ca="1"/>
      </c>
    </row>
    <row r="317" spans="31:57" x14ac:dyDescent="0.55000000000000004">
      <c r="AE317" s="7">
        <f ca="1"/>
      </c>
      <c r="AF317">
        <f ca="1"/>
      </c>
      <c r="AG317">
        <f ca="1"/>
      </c>
      <c r="AH317">
        <f ca="1"/>
      </c>
      <c r="AI317">
        <f ca="1"/>
      </c>
      <c r="AJ317">
        <f ca="1"/>
      </c>
      <c r="AK317">
        <f ca="1"/>
      </c>
      <c r="AL317">
        <f ca="1"/>
      </c>
      <c r="AM317">
        <f ca="1"/>
      </c>
      <c r="AN317">
        <f ca="1"/>
      </c>
      <c r="AO317">
        <f ca="1"/>
      </c>
      <c r="AP317">
        <f ca="1"/>
      </c>
      <c r="AQ317">
        <f ca="1"/>
      </c>
      <c r="AR317">
        <f ca="1"/>
      </c>
      <c r="AT317" s="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BA317" s="7">
        <f ca="1"/>
      </c>
      <c r="BB317">
        <f ca="1"/>
      </c>
      <c r="BC317">
        <f ca="1"/>
      </c>
      <c r="BD317">
        <f ca="1"/>
      </c>
      <c r="BE317">
        <f ca="1"/>
      </c>
    </row>
    <row r="318" spans="31:57" x14ac:dyDescent="0.55000000000000004">
      <c r="AE318" s="7">
        <f ca="1"/>
      </c>
      <c r="AF318">
        <f ca="1"/>
      </c>
      <c r="AG318">
        <f ca="1"/>
      </c>
      <c r="AH318">
        <f ca="1"/>
      </c>
      <c r="AI318">
        <f ca="1"/>
      </c>
      <c r="AJ318">
        <f ca="1"/>
      </c>
      <c r="AK318">
        <f ca="1"/>
      </c>
      <c r="AL318">
        <f ca="1"/>
      </c>
      <c r="AM318">
        <f ca="1"/>
      </c>
      <c r="AN318">
        <f ca="1"/>
      </c>
      <c r="AO318">
        <f ca="1"/>
      </c>
      <c r="AP318">
        <f ca="1"/>
      </c>
      <c r="AQ318">
        <f ca="1"/>
      </c>
      <c r="AR318">
        <f ca="1"/>
      </c>
      <c r="AT318" s="7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BA318" s="7">
        <f ca="1"/>
      </c>
      <c r="BB318">
        <f ca="1"/>
      </c>
      <c r="BC318">
        <f ca="1"/>
      </c>
      <c r="BD318">
        <f ca="1"/>
      </c>
      <c r="BE318">
        <f ca="1"/>
      </c>
    </row>
    <row r="319" spans="31:57" x14ac:dyDescent="0.55000000000000004">
      <c r="AE319" s="7">
        <f ca="1"/>
      </c>
      <c r="AF319">
        <f ca="1"/>
      </c>
      <c r="AG319">
        <f ca="1"/>
      </c>
      <c r="AH319">
        <f ca="1"/>
      </c>
      <c r="AI319">
        <f ca="1"/>
      </c>
      <c r="AJ319">
        <f ca="1"/>
      </c>
      <c r="AK319">
        <f ca="1"/>
      </c>
      <c r="AL319">
        <f ca="1"/>
      </c>
      <c r="AM319">
        <f ca="1"/>
      </c>
      <c r="AN319">
        <f ca="1"/>
      </c>
      <c r="AO319">
        <f ca="1"/>
      </c>
      <c r="AP319">
        <f ca="1"/>
      </c>
      <c r="AQ319">
        <f ca="1"/>
      </c>
      <c r="AR319">
        <f ca="1"/>
      </c>
      <c r="AT319" s="7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BA319" s="7">
        <f ca="1"/>
      </c>
      <c r="BB319">
        <f ca="1"/>
      </c>
      <c r="BC319">
        <f ca="1"/>
      </c>
      <c r="BD319">
        <f ca="1"/>
      </c>
      <c r="BE319">
        <f ca="1"/>
      </c>
    </row>
    <row r="320" spans="31:57" x14ac:dyDescent="0.55000000000000004">
      <c r="AE320" s="7">
        <f ca="1"/>
      </c>
      <c r="AF320">
        <f ca="1"/>
      </c>
      <c r="AG320">
        <f ca="1"/>
      </c>
      <c r="AH320">
        <f ca="1"/>
      </c>
      <c r="AI320">
        <f ca="1"/>
      </c>
      <c r="AJ320">
        <f ca="1"/>
      </c>
      <c r="AK320">
        <f ca="1"/>
      </c>
      <c r="AL320">
        <f ca="1"/>
      </c>
      <c r="AM320">
        <f ca="1"/>
      </c>
      <c r="AN320">
        <f ca="1"/>
      </c>
      <c r="AO320">
        <f ca="1"/>
      </c>
      <c r="AP320">
        <f ca="1"/>
      </c>
      <c r="AQ320">
        <f ca="1"/>
      </c>
      <c r="AR320">
        <f ca="1"/>
      </c>
      <c r="AT320" s="7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BA320" s="7">
        <f ca="1"/>
      </c>
      <c r="BB320">
        <f ca="1"/>
      </c>
      <c r="BC320">
        <f ca="1"/>
      </c>
      <c r="BD320">
        <f ca="1"/>
      </c>
      <c r="BE320">
        <f ca="1"/>
      </c>
    </row>
    <row r="321" spans="31:57" x14ac:dyDescent="0.55000000000000004">
      <c r="AE321" s="7">
        <f ca="1"/>
      </c>
      <c r="AF321">
        <f ca="1"/>
      </c>
      <c r="AG321">
        <f ca="1"/>
      </c>
      <c r="AH321">
        <f ca="1"/>
      </c>
      <c r="AI321">
        <f ca="1"/>
      </c>
      <c r="AJ321">
        <f ca="1"/>
      </c>
      <c r="AK321">
        <f ca="1"/>
      </c>
      <c r="AL321">
        <f ca="1"/>
      </c>
      <c r="AM321">
        <f ca="1"/>
      </c>
      <c r="AN321">
        <f ca="1"/>
      </c>
      <c r="AO321">
        <f ca="1"/>
      </c>
      <c r="AP321">
        <f ca="1"/>
      </c>
      <c r="AQ321">
        <f ca="1"/>
      </c>
      <c r="AR321">
        <f ca="1"/>
      </c>
      <c r="AT321" s="7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BA321" s="7">
        <f ca="1"/>
      </c>
      <c r="BB321">
        <f ca="1"/>
      </c>
      <c r="BC321">
        <f ca="1"/>
      </c>
      <c r="BD321">
        <f ca="1"/>
      </c>
      <c r="BE321">
        <f ca="1"/>
      </c>
    </row>
    <row r="322" spans="31:57" x14ac:dyDescent="0.55000000000000004">
      <c r="AE322" s="7">
        <f ca="1"/>
      </c>
      <c r="AF322">
        <f ca="1"/>
      </c>
      <c r="AG322">
        <f ca="1"/>
      </c>
      <c r="AH322">
        <f ca="1"/>
      </c>
      <c r="AI322">
        <f ca="1"/>
      </c>
      <c r="AJ322">
        <f ca="1"/>
      </c>
      <c r="AK322">
        <f ca="1"/>
      </c>
      <c r="AL322">
        <f ca="1"/>
      </c>
      <c r="AM322">
        <f ca="1"/>
      </c>
      <c r="AN322">
        <f ca="1"/>
      </c>
      <c r="AO322">
        <f ca="1"/>
      </c>
      <c r="AP322">
        <f ca="1"/>
      </c>
      <c r="AQ322">
        <f ca="1"/>
      </c>
      <c r="AR322">
        <f ca="1"/>
      </c>
      <c r="AT322" s="7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BA322" s="7">
        <f ca="1"/>
      </c>
      <c r="BB322">
        <f ca="1"/>
      </c>
      <c r="BC322">
        <f ca="1"/>
      </c>
      <c r="BD322">
        <f ca="1"/>
      </c>
      <c r="BE322">
        <f ca="1"/>
      </c>
    </row>
    <row r="323" spans="31:57" x14ac:dyDescent="0.55000000000000004">
      <c r="AE323" s="7">
        <f ca="1"/>
      </c>
      <c r="AF323">
        <f ca="1"/>
      </c>
      <c r="AG323">
        <f ca="1"/>
      </c>
      <c r="AH323">
        <f ca="1"/>
      </c>
      <c r="AI323">
        <f ca="1"/>
      </c>
      <c r="AJ323">
        <f ca="1"/>
      </c>
      <c r="AK323">
        <f ca="1"/>
      </c>
      <c r="AL323">
        <f ca="1"/>
      </c>
      <c r="AM323">
        <f ca="1"/>
      </c>
      <c r="AN323">
        <f ca="1"/>
      </c>
      <c r="AO323">
        <f ca="1"/>
      </c>
      <c r="AP323">
        <f ca="1"/>
      </c>
      <c r="AQ323">
        <f ca="1"/>
      </c>
      <c r="AR323">
        <f ca="1"/>
      </c>
      <c r="AT323" s="7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BA323" s="7">
        <f ca="1"/>
      </c>
      <c r="BB323">
        <f ca="1"/>
      </c>
      <c r="BC323">
        <f ca="1"/>
      </c>
      <c r="BD323">
        <f ca="1"/>
      </c>
      <c r="BE323">
        <f ca="1"/>
      </c>
    </row>
    <row r="324" spans="31:57" x14ac:dyDescent="0.55000000000000004">
      <c r="AE324" s="7">
        <f ca="1"/>
      </c>
      <c r="AF324">
        <f ca="1"/>
      </c>
      <c r="AG324">
        <f ca="1"/>
      </c>
      <c r="AH324">
        <f ca="1"/>
      </c>
      <c r="AI324">
        <f ca="1"/>
      </c>
      <c r="AJ324">
        <f ca="1"/>
      </c>
      <c r="AK324">
        <f ca="1"/>
      </c>
      <c r="AL324">
        <f ca="1"/>
      </c>
      <c r="AM324">
        <f ca="1"/>
      </c>
      <c r="AN324">
        <f ca="1"/>
      </c>
      <c r="AO324">
        <f ca="1"/>
      </c>
      <c r="AP324">
        <f ca="1"/>
      </c>
      <c r="AQ324">
        <f ca="1"/>
      </c>
      <c r="AR324">
        <f ca="1"/>
      </c>
      <c r="AT324" s="7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BA324" s="7">
        <f ca="1"/>
      </c>
      <c r="BB324">
        <f ca="1"/>
      </c>
      <c r="BC324">
        <f ca="1"/>
      </c>
      <c r="BD324">
        <f ca="1"/>
      </c>
      <c r="BE324">
        <f ca="1"/>
      </c>
    </row>
    <row r="325" spans="31:57" x14ac:dyDescent="0.55000000000000004">
      <c r="AE325" s="7">
        <f ca="1"/>
      </c>
      <c r="AF325">
        <f ca="1"/>
      </c>
      <c r="AG325">
        <f ca="1"/>
      </c>
      <c r="AH325">
        <f ca="1"/>
      </c>
      <c r="AI325">
        <f ca="1"/>
      </c>
      <c r="AJ325">
        <f ca="1"/>
      </c>
      <c r="AK325">
        <f ca="1"/>
      </c>
      <c r="AL325">
        <f ca="1"/>
      </c>
      <c r="AM325">
        <f ca="1"/>
      </c>
      <c r="AN325">
        <f ca="1"/>
      </c>
      <c r="AO325">
        <f ca="1"/>
      </c>
      <c r="AP325">
        <f ca="1"/>
      </c>
      <c r="AQ325">
        <f ca="1"/>
      </c>
      <c r="AR325">
        <f ca="1"/>
      </c>
      <c r="AT325" s="7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BA325" s="7">
        <f ca="1"/>
      </c>
      <c r="BB325">
        <f ca="1"/>
      </c>
      <c r="BC325">
        <f ca="1"/>
      </c>
      <c r="BD325">
        <f ca="1"/>
      </c>
      <c r="BE325">
        <f ca="1"/>
      </c>
    </row>
    <row r="326" spans="31:57" x14ac:dyDescent="0.55000000000000004">
      <c r="AE326" s="7">
        <f ca="1"/>
      </c>
      <c r="AF326">
        <f ca="1"/>
      </c>
      <c r="AG326">
        <f ca="1"/>
      </c>
      <c r="AH326">
        <f ca="1"/>
      </c>
      <c r="AI326">
        <f ca="1"/>
      </c>
      <c r="AJ326">
        <f ca="1"/>
      </c>
      <c r="AK326">
        <f ca="1"/>
      </c>
      <c r="AL326">
        <f ca="1"/>
      </c>
      <c r="AM326">
        <f ca="1"/>
      </c>
      <c r="AN326">
        <f ca="1"/>
      </c>
      <c r="AO326">
        <f ca="1"/>
      </c>
      <c r="AP326">
        <f ca="1"/>
      </c>
      <c r="AQ326">
        <f ca="1"/>
      </c>
      <c r="AR326">
        <f ca="1"/>
      </c>
      <c r="AT326" s="7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BA326" s="7">
        <f ca="1"/>
      </c>
      <c r="BB326">
        <f ca="1"/>
      </c>
      <c r="BC326">
        <f ca="1"/>
      </c>
      <c r="BD326">
        <f ca="1"/>
      </c>
      <c r="BE326">
        <f ca="1"/>
      </c>
    </row>
    <row r="327" spans="31:57" x14ac:dyDescent="0.55000000000000004">
      <c r="AE327" s="7">
        <f ca="1"/>
      </c>
      <c r="AF327">
        <f ca="1"/>
      </c>
      <c r="AG327">
        <f ca="1"/>
      </c>
      <c r="AH327">
        <f ca="1"/>
      </c>
      <c r="AI327">
        <f ca="1"/>
      </c>
      <c r="AJ327">
        <f ca="1"/>
      </c>
      <c r="AK327">
        <f ca="1"/>
      </c>
      <c r="AL327">
        <f ca="1"/>
      </c>
      <c r="AM327">
        <f ca="1"/>
      </c>
      <c r="AN327">
        <f ca="1"/>
      </c>
      <c r="AO327">
        <f ca="1"/>
      </c>
      <c r="AP327">
        <f ca="1"/>
      </c>
      <c r="AQ327">
        <f ca="1"/>
      </c>
      <c r="AR327">
        <f ca="1"/>
      </c>
      <c r="AT327" s="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BA327" s="7">
        <f ca="1"/>
      </c>
      <c r="BB327">
        <f ca="1"/>
      </c>
      <c r="BC327">
        <f ca="1"/>
      </c>
      <c r="BD327">
        <f ca="1"/>
      </c>
      <c r="BE327">
        <f ca="1"/>
      </c>
    </row>
    <row r="328" spans="31:57" x14ac:dyDescent="0.55000000000000004">
      <c r="AE328" s="7">
        <f ca="1"/>
      </c>
      <c r="AF328">
        <f ca="1"/>
      </c>
      <c r="AG328">
        <f ca="1"/>
      </c>
      <c r="AH328">
        <f ca="1"/>
      </c>
      <c r="AI328">
        <f ca="1"/>
      </c>
      <c r="AJ328">
        <f ca="1"/>
      </c>
      <c r="AK328">
        <f ca="1"/>
      </c>
      <c r="AL328">
        <f ca="1"/>
      </c>
      <c r="AM328">
        <f ca="1"/>
      </c>
      <c r="AN328">
        <f ca="1"/>
      </c>
      <c r="AO328">
        <f ca="1"/>
      </c>
      <c r="AP328">
        <f ca="1"/>
      </c>
      <c r="AQ328">
        <f ca="1"/>
      </c>
      <c r="AR328">
        <f ca="1"/>
      </c>
      <c r="AT328" s="7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BA328" s="7">
        <f ca="1"/>
      </c>
      <c r="BB328">
        <f ca="1"/>
      </c>
      <c r="BC328">
        <f ca="1"/>
      </c>
      <c r="BD328">
        <f ca="1"/>
      </c>
      <c r="BE328">
        <f ca="1"/>
      </c>
    </row>
    <row r="329" spans="31:57" x14ac:dyDescent="0.55000000000000004">
      <c r="AE329" s="7">
        <f ca="1"/>
      </c>
      <c r="AF329">
        <f ca="1"/>
      </c>
      <c r="AG329">
        <f ca="1"/>
      </c>
      <c r="AH329">
        <f ca="1"/>
      </c>
      <c r="AI329">
        <f ca="1"/>
      </c>
      <c r="AJ329">
        <f ca="1"/>
      </c>
      <c r="AK329">
        <f ca="1"/>
      </c>
      <c r="AL329">
        <f ca="1"/>
      </c>
      <c r="AM329">
        <f ca="1"/>
      </c>
      <c r="AN329">
        <f ca="1"/>
      </c>
      <c r="AO329">
        <f ca="1"/>
      </c>
      <c r="AP329">
        <f ca="1"/>
      </c>
      <c r="AQ329">
        <f ca="1"/>
      </c>
      <c r="AR329">
        <f ca="1"/>
      </c>
      <c r="AT329" s="7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BA329" s="7">
        <f ca="1"/>
      </c>
      <c r="BB329">
        <f ca="1"/>
      </c>
      <c r="BC329">
        <f ca="1"/>
      </c>
      <c r="BD329">
        <f ca="1"/>
      </c>
      <c r="BE329">
        <f ca="1"/>
      </c>
    </row>
    <row r="330" spans="31:57" x14ac:dyDescent="0.55000000000000004">
      <c r="AE330" s="7">
        <f ca="1"/>
      </c>
      <c r="AF330">
        <f ca="1"/>
      </c>
      <c r="AG330">
        <f ca="1"/>
      </c>
      <c r="AH330">
        <f ca="1"/>
      </c>
      <c r="AI330">
        <f ca="1"/>
      </c>
      <c r="AJ330">
        <f ca="1"/>
      </c>
      <c r="AK330">
        <f ca="1"/>
      </c>
      <c r="AL330">
        <f ca="1"/>
      </c>
      <c r="AM330">
        <f ca="1"/>
      </c>
      <c r="AN330">
        <f ca="1"/>
      </c>
      <c r="AO330">
        <f ca="1"/>
      </c>
      <c r="AP330">
        <f ca="1"/>
      </c>
      <c r="AQ330">
        <f ca="1"/>
      </c>
      <c r="AR330">
        <f ca="1"/>
      </c>
      <c r="AT330" s="7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BA330" s="7">
        <f ca="1"/>
      </c>
      <c r="BB330">
        <f ca="1"/>
      </c>
      <c r="BC330">
        <f ca="1"/>
      </c>
      <c r="BD330">
        <f ca="1"/>
      </c>
      <c r="BE330">
        <f ca="1"/>
      </c>
    </row>
    <row r="331" spans="31:57" x14ac:dyDescent="0.55000000000000004">
      <c r="AE331" s="7">
        <f ca="1"/>
      </c>
      <c r="AF331">
        <f ca="1"/>
      </c>
      <c r="AG331">
        <f ca="1"/>
      </c>
      <c r="AH331">
        <f ca="1"/>
      </c>
      <c r="AI331">
        <f ca="1"/>
      </c>
      <c r="AJ331">
        <f ca="1"/>
      </c>
      <c r="AK331">
        <f ca="1"/>
      </c>
      <c r="AL331">
        <f ca="1"/>
      </c>
      <c r="AM331">
        <f ca="1"/>
      </c>
      <c r="AN331">
        <f ca="1"/>
      </c>
      <c r="AO331">
        <f ca="1"/>
      </c>
      <c r="AP331">
        <f ca="1"/>
      </c>
      <c r="AQ331">
        <f ca="1"/>
      </c>
      <c r="AR331">
        <f ca="1"/>
      </c>
      <c r="AT331" s="7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BA331" s="7">
        <f ca="1"/>
      </c>
      <c r="BB331">
        <f ca="1"/>
      </c>
      <c r="BC331">
        <f ca="1"/>
      </c>
      <c r="BD331">
        <f ca="1"/>
      </c>
      <c r="BE331">
        <f ca="1"/>
      </c>
    </row>
    <row r="332" spans="31:57" x14ac:dyDescent="0.55000000000000004">
      <c r="AE332" s="7">
        <f ca="1"/>
      </c>
      <c r="AF332">
        <f ca="1"/>
      </c>
      <c r="AG332">
        <f ca="1"/>
      </c>
      <c r="AH332">
        <f ca="1"/>
      </c>
      <c r="AI332">
        <f ca="1"/>
      </c>
      <c r="AJ332">
        <f ca="1"/>
      </c>
      <c r="AK332">
        <f ca="1"/>
      </c>
      <c r="AL332">
        <f ca="1"/>
      </c>
      <c r="AM332">
        <f ca="1"/>
      </c>
      <c r="AN332">
        <f ca="1"/>
      </c>
      <c r="AO332">
        <f ca="1"/>
      </c>
      <c r="AP332">
        <f ca="1"/>
      </c>
      <c r="AQ332">
        <f ca="1"/>
      </c>
      <c r="AR332">
        <f ca="1"/>
      </c>
      <c r="AT332" s="7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BA332" s="7">
        <f ca="1"/>
      </c>
      <c r="BB332">
        <f ca="1"/>
      </c>
      <c r="BC332">
        <f ca="1"/>
      </c>
      <c r="BD332">
        <f ca="1"/>
      </c>
      <c r="BE332">
        <f ca="1"/>
      </c>
    </row>
    <row r="333" spans="31:57" x14ac:dyDescent="0.55000000000000004">
      <c r="AE333" s="7">
        <f ca="1"/>
      </c>
      <c r="AF333">
        <f ca="1"/>
      </c>
      <c r="AG333">
        <f ca="1"/>
      </c>
      <c r="AH333">
        <f ca="1"/>
      </c>
      <c r="AI333">
        <f ca="1"/>
      </c>
      <c r="AJ333">
        <f ca="1"/>
      </c>
      <c r="AK333">
        <f ca="1"/>
      </c>
      <c r="AL333">
        <f ca="1"/>
      </c>
      <c r="AM333">
        <f ca="1"/>
      </c>
      <c r="AN333">
        <f ca="1"/>
      </c>
      <c r="AO333">
        <f ca="1"/>
      </c>
      <c r="AP333">
        <f ca="1"/>
      </c>
      <c r="AQ333">
        <f ca="1"/>
      </c>
      <c r="AR333">
        <f ca="1"/>
      </c>
      <c r="AT333" s="7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BA333" s="7">
        <f ca="1"/>
      </c>
      <c r="BB333">
        <f ca="1"/>
      </c>
      <c r="BC333">
        <f ca="1"/>
      </c>
      <c r="BD333">
        <f ca="1"/>
      </c>
      <c r="BE333">
        <f ca="1"/>
      </c>
    </row>
    <row r="334" spans="31:57" x14ac:dyDescent="0.55000000000000004">
      <c r="AE334" s="7">
        <f ca="1"/>
      </c>
      <c r="AF334">
        <f ca="1"/>
      </c>
      <c r="AG334">
        <f ca="1"/>
      </c>
      <c r="AH334">
        <f ca="1"/>
      </c>
      <c r="AI334">
        <f ca="1"/>
      </c>
      <c r="AJ334">
        <f ca="1"/>
      </c>
      <c r="AK334">
        <f ca="1"/>
      </c>
      <c r="AL334">
        <f ca="1"/>
      </c>
      <c r="AM334">
        <f ca="1"/>
      </c>
      <c r="AN334">
        <f ca="1"/>
      </c>
      <c r="AO334">
        <f ca="1"/>
      </c>
      <c r="AP334">
        <f ca="1"/>
      </c>
      <c r="AQ334">
        <f ca="1"/>
      </c>
      <c r="AR334">
        <f ca="1"/>
      </c>
      <c r="AT334" s="7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BA334" s="7">
        <f ca="1"/>
      </c>
      <c r="BB334">
        <f ca="1"/>
      </c>
      <c r="BC334">
        <f ca="1"/>
      </c>
      <c r="BD334">
        <f ca="1"/>
      </c>
      <c r="BE334">
        <f ca="1"/>
      </c>
    </row>
    <row r="335" spans="31:57" x14ac:dyDescent="0.55000000000000004">
      <c r="AE335" s="7">
        <f ca="1"/>
      </c>
      <c r="AF335">
        <f ca="1"/>
      </c>
      <c r="AG335">
        <f ca="1"/>
      </c>
      <c r="AH335">
        <f ca="1"/>
      </c>
      <c r="AI335">
        <f ca="1"/>
      </c>
      <c r="AJ335">
        <f ca="1"/>
      </c>
      <c r="AK335">
        <f ca="1"/>
      </c>
      <c r="AL335">
        <f ca="1"/>
      </c>
      <c r="AM335">
        <f ca="1"/>
      </c>
      <c r="AN335">
        <f ca="1"/>
      </c>
      <c r="AO335">
        <f ca="1"/>
      </c>
      <c r="AP335">
        <f ca="1"/>
      </c>
      <c r="AQ335">
        <f ca="1"/>
      </c>
      <c r="AR335">
        <f ca="1"/>
      </c>
      <c r="AT335" s="7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BA335" s="7">
        <f ca="1"/>
      </c>
      <c r="BB335">
        <f ca="1"/>
      </c>
      <c r="BC335">
        <f ca="1"/>
      </c>
      <c r="BD335">
        <f ca="1"/>
      </c>
      <c r="BE335">
        <f ca="1"/>
      </c>
    </row>
    <row r="336" spans="31:57" x14ac:dyDescent="0.55000000000000004">
      <c r="AE336" s="7">
        <f ca="1"/>
      </c>
      <c r="AF336">
        <f ca="1"/>
      </c>
      <c r="AG336">
        <f ca="1"/>
      </c>
      <c r="AH336">
        <f ca="1"/>
      </c>
      <c r="AI336">
        <f ca="1"/>
      </c>
      <c r="AJ336">
        <f ca="1"/>
      </c>
      <c r="AK336">
        <f ca="1"/>
      </c>
      <c r="AL336">
        <f ca="1"/>
      </c>
      <c r="AM336">
        <f ca="1"/>
      </c>
      <c r="AN336">
        <f ca="1"/>
      </c>
      <c r="AO336">
        <f ca="1"/>
      </c>
      <c r="AP336">
        <f ca="1"/>
      </c>
      <c r="AQ336">
        <f ca="1"/>
      </c>
      <c r="AR336">
        <f ca="1"/>
      </c>
      <c r="AT336" s="7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BA336" s="7">
        <f ca="1"/>
      </c>
      <c r="BB336">
        <f ca="1"/>
      </c>
      <c r="BC336">
        <f ca="1"/>
      </c>
      <c r="BD336">
        <f ca="1"/>
      </c>
      <c r="BE336">
        <f ca="1"/>
      </c>
    </row>
    <row r="337" spans="31:57" x14ac:dyDescent="0.55000000000000004">
      <c r="AE337" s="7">
        <f ca="1"/>
      </c>
      <c r="AF337">
        <f ca="1"/>
      </c>
      <c r="AG337">
        <f ca="1"/>
      </c>
      <c r="AH337">
        <f ca="1"/>
      </c>
      <c r="AI337">
        <f ca="1"/>
      </c>
      <c r="AJ337">
        <f ca="1"/>
      </c>
      <c r="AK337">
        <f ca="1"/>
      </c>
      <c r="AL337">
        <f ca="1"/>
      </c>
      <c r="AM337">
        <f ca="1"/>
      </c>
      <c r="AN337">
        <f ca="1"/>
      </c>
      <c r="AO337">
        <f ca="1"/>
      </c>
      <c r="AP337">
        <f ca="1"/>
      </c>
      <c r="AQ337">
        <f ca="1"/>
      </c>
      <c r="AR337">
        <f ca="1"/>
      </c>
      <c r="AT337" s="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BA337" s="7">
        <f ca="1"/>
      </c>
      <c r="BB337">
        <f ca="1"/>
      </c>
      <c r="BC337">
        <f ca="1"/>
      </c>
      <c r="BD337">
        <f ca="1"/>
      </c>
      <c r="BE337">
        <f ca="1"/>
      </c>
    </row>
    <row r="338" spans="31:57" x14ac:dyDescent="0.55000000000000004">
      <c r="AE338" s="7">
        <f ca="1"/>
      </c>
      <c r="AF338">
        <f ca="1"/>
      </c>
      <c r="AG338">
        <f ca="1"/>
      </c>
      <c r="AH338">
        <f ca="1"/>
      </c>
      <c r="AI338">
        <f ca="1"/>
      </c>
      <c r="AJ338">
        <f ca="1"/>
      </c>
      <c r="AK338">
        <f ca="1"/>
      </c>
      <c r="AL338">
        <f ca="1"/>
      </c>
      <c r="AM338">
        <f ca="1"/>
      </c>
      <c r="AN338">
        <f ca="1"/>
      </c>
      <c r="AO338">
        <f ca="1"/>
      </c>
      <c r="AP338">
        <f ca="1"/>
      </c>
      <c r="AQ338">
        <f ca="1"/>
      </c>
      <c r="AR338">
        <f ca="1"/>
      </c>
      <c r="AT338" s="7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BA338" s="7">
        <f ca="1"/>
      </c>
      <c r="BB338">
        <f ca="1"/>
      </c>
      <c r="BC338">
        <f ca="1"/>
      </c>
      <c r="BD338">
        <f ca="1"/>
      </c>
      <c r="BE338">
        <f ca="1"/>
      </c>
    </row>
    <row r="339" spans="31:57" x14ac:dyDescent="0.55000000000000004">
      <c r="AE339" s="7">
        <f ca="1"/>
      </c>
      <c r="AF339">
        <f ca="1"/>
      </c>
      <c r="AG339">
        <f ca="1"/>
      </c>
      <c r="AH339">
        <f ca="1"/>
      </c>
      <c r="AI339">
        <f ca="1"/>
      </c>
      <c r="AJ339">
        <f ca="1"/>
      </c>
      <c r="AK339">
        <f ca="1"/>
      </c>
      <c r="AL339">
        <f ca="1"/>
      </c>
      <c r="AM339">
        <f ca="1"/>
      </c>
      <c r="AN339">
        <f ca="1"/>
      </c>
      <c r="AO339">
        <f ca="1"/>
      </c>
      <c r="AP339">
        <f ca="1"/>
      </c>
      <c r="AQ339">
        <f ca="1"/>
      </c>
      <c r="AR339">
        <f ca="1"/>
      </c>
      <c r="AT339" s="7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BA339" s="7">
        <f ca="1"/>
      </c>
      <c r="BB339">
        <f ca="1"/>
      </c>
      <c r="BC339">
        <f ca="1"/>
      </c>
      <c r="BD339">
        <f ca="1"/>
      </c>
      <c r="BE339">
        <f ca="1"/>
      </c>
    </row>
    <row r="340" spans="31:57" x14ac:dyDescent="0.55000000000000004">
      <c r="AE340" s="7">
        <f ca="1"/>
      </c>
      <c r="AF340">
        <f ca="1"/>
      </c>
      <c r="AG340">
        <f ca="1"/>
      </c>
      <c r="AH340">
        <f ca="1"/>
      </c>
      <c r="AI340">
        <f ca="1"/>
      </c>
      <c r="AJ340">
        <f ca="1"/>
      </c>
      <c r="AK340">
        <f ca="1"/>
      </c>
      <c r="AL340">
        <f ca="1"/>
      </c>
      <c r="AM340">
        <f ca="1"/>
      </c>
      <c r="AN340">
        <f ca="1"/>
      </c>
      <c r="AO340">
        <f ca="1"/>
      </c>
      <c r="AP340">
        <f ca="1"/>
      </c>
      <c r="AQ340">
        <f ca="1"/>
      </c>
      <c r="AR340">
        <f ca="1"/>
      </c>
      <c r="AT340" s="7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BA340" s="7">
        <f ca="1"/>
      </c>
      <c r="BB340">
        <f ca="1"/>
      </c>
      <c r="BC340">
        <f ca="1"/>
      </c>
      <c r="BD340">
        <f ca="1"/>
      </c>
      <c r="BE340">
        <f ca="1"/>
      </c>
    </row>
    <row r="341" spans="31:57" x14ac:dyDescent="0.55000000000000004">
      <c r="AE341" s="7">
        <f ca="1"/>
      </c>
      <c r="AF341">
        <f ca="1"/>
      </c>
      <c r="AG341">
        <f ca="1"/>
      </c>
      <c r="AH341">
        <f ca="1"/>
      </c>
      <c r="AI341">
        <f ca="1"/>
      </c>
      <c r="AJ341">
        <f ca="1"/>
      </c>
      <c r="AK341">
        <f ca="1"/>
      </c>
      <c r="AL341">
        <f ca="1"/>
      </c>
      <c r="AM341">
        <f ca="1"/>
      </c>
      <c r="AN341">
        <f ca="1"/>
      </c>
      <c r="AO341">
        <f ca="1"/>
      </c>
      <c r="AP341">
        <f ca="1"/>
      </c>
      <c r="AQ341">
        <f ca="1"/>
      </c>
      <c r="AR341">
        <f ca="1"/>
      </c>
      <c r="AT341" s="7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BA341" s="7">
        <f ca="1"/>
      </c>
      <c r="BB341">
        <f ca="1"/>
      </c>
      <c r="BC341">
        <f ca="1"/>
      </c>
      <c r="BD341">
        <f ca="1"/>
      </c>
      <c r="BE341">
        <f ca="1"/>
      </c>
    </row>
    <row r="342" spans="31:57" x14ac:dyDescent="0.55000000000000004">
      <c r="AE342" s="7">
        <f ca="1"/>
      </c>
      <c r="AF342">
        <f ca="1"/>
      </c>
      <c r="AG342">
        <f ca="1"/>
      </c>
      <c r="AH342">
        <f ca="1"/>
      </c>
      <c r="AI342">
        <f ca="1"/>
      </c>
      <c r="AJ342">
        <f ca="1"/>
      </c>
      <c r="AK342">
        <f ca="1"/>
      </c>
      <c r="AL342">
        <f ca="1"/>
      </c>
      <c r="AM342">
        <f ca="1"/>
      </c>
      <c r="AN342">
        <f ca="1"/>
      </c>
      <c r="AO342">
        <f ca="1"/>
      </c>
      <c r="AP342">
        <f ca="1"/>
      </c>
      <c r="AQ342">
        <f ca="1"/>
      </c>
      <c r="AR342">
        <f ca="1"/>
      </c>
      <c r="AT342" s="7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BA342" s="7">
        <f ca="1"/>
      </c>
      <c r="BB342">
        <f ca="1"/>
      </c>
      <c r="BC342">
        <f ca="1"/>
      </c>
      <c r="BD342">
        <f ca="1"/>
      </c>
      <c r="BE342">
        <f ca="1"/>
      </c>
    </row>
    <row r="343" spans="31:57" x14ac:dyDescent="0.55000000000000004">
      <c r="AE343" s="7">
        <f ca="1"/>
      </c>
      <c r="AF343">
        <f ca="1"/>
      </c>
      <c r="AG343">
        <f ca="1"/>
      </c>
      <c r="AH343">
        <f ca="1"/>
      </c>
      <c r="AI343">
        <f ca="1"/>
      </c>
      <c r="AJ343">
        <f ca="1"/>
      </c>
      <c r="AK343">
        <f ca="1"/>
      </c>
      <c r="AL343">
        <f ca="1"/>
      </c>
      <c r="AM343">
        <f ca="1"/>
      </c>
      <c r="AN343">
        <f ca="1"/>
      </c>
      <c r="AO343">
        <f ca="1"/>
      </c>
      <c r="AP343">
        <f ca="1"/>
      </c>
      <c r="AQ343">
        <f ca="1"/>
      </c>
      <c r="AR343">
        <f ca="1"/>
      </c>
      <c r="AT343" s="7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BA343" s="7">
        <f ca="1"/>
      </c>
      <c r="BB343">
        <f ca="1"/>
      </c>
      <c r="BC343">
        <f ca="1"/>
      </c>
      <c r="BD343">
        <f ca="1"/>
      </c>
      <c r="BE343">
        <f ca="1"/>
      </c>
    </row>
    <row r="344" spans="31:57" x14ac:dyDescent="0.55000000000000004">
      <c r="AE344" s="7">
        <f ca="1"/>
      </c>
      <c r="AF344">
        <f ca="1"/>
      </c>
      <c r="AG344">
        <f ca="1"/>
      </c>
      <c r="AH344">
        <f ca="1"/>
      </c>
      <c r="AI344">
        <f ca="1"/>
      </c>
      <c r="AJ344">
        <f ca="1"/>
      </c>
      <c r="AK344">
        <f ca="1"/>
      </c>
      <c r="AL344">
        <f ca="1"/>
      </c>
      <c r="AM344">
        <f ca="1"/>
      </c>
      <c r="AN344">
        <f ca="1"/>
      </c>
      <c r="AO344">
        <f ca="1"/>
      </c>
      <c r="AP344">
        <f ca="1"/>
      </c>
      <c r="AQ344">
        <f ca="1"/>
      </c>
      <c r="AR344">
        <f ca="1"/>
      </c>
      <c r="AT344" s="7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BA344" s="7">
        <f ca="1"/>
      </c>
      <c r="BB344">
        <f ca="1"/>
      </c>
      <c r="BC344">
        <f ca="1"/>
      </c>
      <c r="BD344">
        <f ca="1"/>
      </c>
      <c r="BE344">
        <f ca="1"/>
      </c>
    </row>
    <row r="345" spans="31:57" x14ac:dyDescent="0.55000000000000004">
      <c r="AE345" s="7">
        <f ca="1"/>
      </c>
      <c r="AF345">
        <f ca="1"/>
      </c>
      <c r="AG345">
        <f ca="1"/>
      </c>
      <c r="AH345">
        <f ca="1"/>
      </c>
      <c r="AI345">
        <f ca="1"/>
      </c>
      <c r="AJ345">
        <f ca="1"/>
      </c>
      <c r="AK345">
        <f ca="1"/>
      </c>
      <c r="AL345">
        <f ca="1"/>
      </c>
      <c r="AM345">
        <f ca="1"/>
      </c>
      <c r="AN345">
        <f ca="1"/>
      </c>
      <c r="AO345">
        <f ca="1"/>
      </c>
      <c r="AP345">
        <f ca="1"/>
      </c>
      <c r="AQ345">
        <f ca="1"/>
      </c>
      <c r="AR345">
        <f ca="1"/>
      </c>
      <c r="AT345" s="7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BA345" s="7">
        <f ca="1"/>
      </c>
      <c r="BB345">
        <f ca="1"/>
      </c>
      <c r="BC345">
        <f ca="1"/>
      </c>
      <c r="BD345">
        <f ca="1"/>
      </c>
      <c r="BE345">
        <f ca="1"/>
      </c>
    </row>
    <row r="346" spans="31:57" x14ac:dyDescent="0.55000000000000004">
      <c r="AE346" s="7">
        <f ca="1"/>
      </c>
      <c r="AF346">
        <f ca="1"/>
      </c>
      <c r="AG346">
        <f ca="1"/>
      </c>
      <c r="AH346">
        <f ca="1"/>
      </c>
      <c r="AI346">
        <f ca="1"/>
      </c>
      <c r="AJ346">
        <f ca="1"/>
      </c>
      <c r="AK346">
        <f ca="1"/>
      </c>
      <c r="AL346">
        <f ca="1"/>
      </c>
      <c r="AM346">
        <f ca="1"/>
      </c>
      <c r="AN346">
        <f ca="1"/>
      </c>
      <c r="AO346">
        <f ca="1"/>
      </c>
      <c r="AP346">
        <f ca="1"/>
      </c>
      <c r="AQ346">
        <f ca="1"/>
      </c>
      <c r="AR346">
        <f ca="1"/>
      </c>
      <c r="AT346" s="7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BA346" s="7">
        <f ca="1"/>
      </c>
      <c r="BB346">
        <f ca="1"/>
      </c>
      <c r="BC346">
        <f ca="1"/>
      </c>
      <c r="BD346">
        <f ca="1"/>
      </c>
      <c r="BE346">
        <f ca="1"/>
      </c>
    </row>
    <row r="347" spans="31:57" x14ac:dyDescent="0.55000000000000004">
      <c r="AE347" s="7">
        <f ca="1"/>
      </c>
      <c r="AF347">
        <f ca="1"/>
      </c>
      <c r="AG347">
        <f ca="1"/>
      </c>
      <c r="AH347">
        <f ca="1"/>
      </c>
      <c r="AI347">
        <f ca="1"/>
      </c>
      <c r="AJ347">
        <f ca="1"/>
      </c>
      <c r="AK347">
        <f ca="1"/>
      </c>
      <c r="AL347">
        <f ca="1"/>
      </c>
      <c r="AM347">
        <f ca="1"/>
      </c>
      <c r="AN347">
        <f ca="1"/>
      </c>
      <c r="AO347">
        <f ca="1"/>
      </c>
      <c r="AP347">
        <f ca="1"/>
      </c>
      <c r="AQ347">
        <f ca="1"/>
      </c>
      <c r="AR347">
        <f ca="1"/>
      </c>
      <c r="AT347" s="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BA347" s="7">
        <f ca="1"/>
      </c>
      <c r="BB347">
        <f ca="1"/>
      </c>
      <c r="BC347">
        <f ca="1"/>
      </c>
      <c r="BD347">
        <f ca="1"/>
      </c>
      <c r="BE347">
        <f ca="1"/>
      </c>
    </row>
    <row r="348" spans="31:57" x14ac:dyDescent="0.55000000000000004">
      <c r="AE348" s="7">
        <f ca="1"/>
      </c>
      <c r="AF348">
        <f ca="1"/>
      </c>
      <c r="AG348">
        <f ca="1"/>
      </c>
      <c r="AH348">
        <f ca="1"/>
      </c>
      <c r="AI348">
        <f ca="1"/>
      </c>
      <c r="AJ348">
        <f ca="1"/>
      </c>
      <c r="AK348">
        <f ca="1"/>
      </c>
      <c r="AL348">
        <f ca="1"/>
      </c>
      <c r="AM348">
        <f ca="1"/>
      </c>
      <c r="AN348">
        <f ca="1"/>
      </c>
      <c r="AO348">
        <f ca="1"/>
      </c>
      <c r="AP348">
        <f ca="1"/>
      </c>
      <c r="AQ348">
        <f ca="1"/>
      </c>
      <c r="AR348">
        <f ca="1"/>
      </c>
      <c r="AT348" s="7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BA348" s="7">
        <f ca="1"/>
      </c>
      <c r="BB348">
        <f ca="1"/>
      </c>
      <c r="BC348">
        <f ca="1"/>
      </c>
      <c r="BD348">
        <f ca="1"/>
      </c>
      <c r="BE348">
        <f ca="1"/>
      </c>
    </row>
    <row r="349" spans="31:57" x14ac:dyDescent="0.55000000000000004">
      <c r="AE349" s="7">
        <f ca="1"/>
      </c>
      <c r="AF349">
        <f ca="1"/>
      </c>
      <c r="AG349">
        <f ca="1"/>
      </c>
      <c r="AH349">
        <f ca="1"/>
      </c>
      <c r="AI349">
        <f ca="1"/>
      </c>
      <c r="AJ349">
        <f ca="1"/>
      </c>
      <c r="AK349">
        <f ca="1"/>
      </c>
      <c r="AL349">
        <f ca="1"/>
      </c>
      <c r="AM349">
        <f ca="1"/>
      </c>
      <c r="AN349">
        <f ca="1"/>
      </c>
      <c r="AO349">
        <f ca="1"/>
      </c>
      <c r="AP349">
        <f ca="1"/>
      </c>
      <c r="AQ349">
        <f ca="1"/>
      </c>
      <c r="AR349">
        <f ca="1"/>
      </c>
      <c r="AT349" s="7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BA349" s="7">
        <f ca="1"/>
      </c>
      <c r="BB349">
        <f ca="1"/>
      </c>
      <c r="BC349">
        <f ca="1"/>
      </c>
      <c r="BD349">
        <f ca="1"/>
      </c>
      <c r="BE349">
        <f ca="1"/>
      </c>
    </row>
    <row r="350" spans="31:57" x14ac:dyDescent="0.55000000000000004">
      <c r="AE350" s="7">
        <f ca="1"/>
      </c>
      <c r="AF350">
        <f ca="1"/>
      </c>
      <c r="AG350">
        <f ca="1"/>
      </c>
      <c r="AH350">
        <f ca="1"/>
      </c>
      <c r="AI350">
        <f ca="1"/>
      </c>
      <c r="AJ350">
        <f ca="1"/>
      </c>
      <c r="AK350">
        <f ca="1"/>
      </c>
      <c r="AL350">
        <f ca="1"/>
      </c>
      <c r="AM350">
        <f ca="1"/>
      </c>
      <c r="AN350">
        <f ca="1"/>
      </c>
      <c r="AO350">
        <f ca="1"/>
      </c>
      <c r="AP350">
        <f ca="1"/>
      </c>
      <c r="AQ350">
        <f ca="1"/>
      </c>
      <c r="AR350">
        <f ca="1"/>
      </c>
      <c r="AT350" s="7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BA350" s="7">
        <f ca="1"/>
      </c>
      <c r="BB350">
        <f ca="1"/>
      </c>
      <c r="BC350">
        <f ca="1"/>
      </c>
      <c r="BD350">
        <f ca="1"/>
      </c>
      <c r="BE350">
        <f ca="1"/>
      </c>
    </row>
    <row r="351" spans="31:57" x14ac:dyDescent="0.55000000000000004">
      <c r="AE351" s="7">
        <f ca="1"/>
      </c>
      <c r="AF351">
        <f ca="1"/>
      </c>
      <c r="AG351">
        <f ca="1"/>
      </c>
      <c r="AH351">
        <f ca="1"/>
      </c>
      <c r="AI351">
        <f ca="1"/>
      </c>
      <c r="AJ351">
        <f ca="1"/>
      </c>
      <c r="AK351">
        <f ca="1"/>
      </c>
      <c r="AL351">
        <f ca="1"/>
      </c>
      <c r="AM351">
        <f ca="1"/>
      </c>
      <c r="AN351">
        <f ca="1"/>
      </c>
      <c r="AO351">
        <f ca="1"/>
      </c>
      <c r="AP351">
        <f ca="1"/>
      </c>
      <c r="AQ351">
        <f ca="1"/>
      </c>
      <c r="AR351">
        <f ca="1"/>
      </c>
      <c r="AT351" s="7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BA351" s="7">
        <f ca="1"/>
      </c>
      <c r="BB351">
        <f ca="1"/>
      </c>
      <c r="BC351">
        <f ca="1"/>
      </c>
      <c r="BD351">
        <f ca="1"/>
      </c>
      <c r="BE351">
        <f ca="1"/>
      </c>
    </row>
    <row r="352" spans="31:57" x14ac:dyDescent="0.55000000000000004">
      <c r="AE352" s="7">
        <f ca="1"/>
      </c>
      <c r="AF352">
        <f ca="1"/>
      </c>
      <c r="AG352">
        <f ca="1"/>
      </c>
      <c r="AH352">
        <f ca="1"/>
      </c>
      <c r="AI352">
        <f ca="1"/>
      </c>
      <c r="AJ352">
        <f ca="1"/>
      </c>
      <c r="AK352">
        <f ca="1"/>
      </c>
      <c r="AL352">
        <f ca="1"/>
      </c>
      <c r="AM352">
        <f ca="1"/>
      </c>
      <c r="AN352">
        <f ca="1"/>
      </c>
      <c r="AO352">
        <f ca="1"/>
      </c>
      <c r="AP352">
        <f ca="1"/>
      </c>
      <c r="AQ352">
        <f ca="1"/>
      </c>
      <c r="AR352">
        <f ca="1"/>
      </c>
      <c r="AT352" s="7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BA352" s="7">
        <f ca="1"/>
      </c>
      <c r="BB352">
        <f ca="1"/>
      </c>
      <c r="BC352">
        <f ca="1"/>
      </c>
      <c r="BD352">
        <f ca="1"/>
      </c>
      <c r="BE352">
        <f ca="1"/>
      </c>
    </row>
    <row r="353" spans="31:57" x14ac:dyDescent="0.55000000000000004">
      <c r="AE353" s="7">
        <f ca="1"/>
      </c>
      <c r="AF353">
        <f ca="1"/>
      </c>
      <c r="AG353">
        <f ca="1"/>
      </c>
      <c r="AH353">
        <f ca="1"/>
      </c>
      <c r="AI353">
        <f ca="1"/>
      </c>
      <c r="AJ353">
        <f ca="1"/>
      </c>
      <c r="AK353">
        <f ca="1"/>
      </c>
      <c r="AL353">
        <f ca="1"/>
      </c>
      <c r="AM353">
        <f ca="1"/>
      </c>
      <c r="AN353">
        <f ca="1"/>
      </c>
      <c r="AO353">
        <f ca="1"/>
      </c>
      <c r="AP353">
        <f ca="1"/>
      </c>
      <c r="AQ353">
        <f ca="1"/>
      </c>
      <c r="AR353">
        <f ca="1"/>
      </c>
      <c r="AT353" s="7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BA353" s="7">
        <f ca="1"/>
      </c>
      <c r="BB353">
        <f ca="1"/>
      </c>
      <c r="BC353">
        <f ca="1"/>
      </c>
      <c r="BD353">
        <f ca="1"/>
      </c>
      <c r="BE353">
        <f ca="1"/>
      </c>
    </row>
    <row r="354" spans="31:57" x14ac:dyDescent="0.55000000000000004">
      <c r="AE354" s="7">
        <f ca="1"/>
      </c>
      <c r="AF354">
        <f ca="1"/>
      </c>
      <c r="AG354">
        <f ca="1"/>
      </c>
      <c r="AH354">
        <f ca="1"/>
      </c>
      <c r="AI354">
        <f ca="1"/>
      </c>
      <c r="AJ354">
        <f ca="1"/>
      </c>
      <c r="AK354">
        <f ca="1"/>
      </c>
      <c r="AL354">
        <f ca="1"/>
      </c>
      <c r="AM354">
        <f ca="1"/>
      </c>
      <c r="AN354">
        <f ca="1"/>
      </c>
      <c r="AO354">
        <f ca="1"/>
      </c>
      <c r="AP354">
        <f ca="1"/>
      </c>
      <c r="AQ354">
        <f ca="1"/>
      </c>
      <c r="AR354">
        <f ca="1"/>
      </c>
      <c r="AT354" s="7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BA354" s="7">
        <f ca="1"/>
      </c>
      <c r="BB354">
        <f ca="1"/>
      </c>
      <c r="BC354">
        <f ca="1"/>
      </c>
      <c r="BD354">
        <f ca="1"/>
      </c>
      <c r="BE354">
        <f ca="1"/>
      </c>
    </row>
    <row r="355" spans="31:57" x14ac:dyDescent="0.55000000000000004">
      <c r="AE355" s="7">
        <f ca="1"/>
      </c>
      <c r="AF355">
        <f ca="1"/>
      </c>
      <c r="AG355">
        <f ca="1"/>
      </c>
      <c r="AH355">
        <f ca="1"/>
      </c>
      <c r="AI355">
        <f ca="1"/>
      </c>
      <c r="AJ355">
        <f ca="1"/>
      </c>
      <c r="AK355">
        <f ca="1"/>
      </c>
      <c r="AL355">
        <f ca="1"/>
      </c>
      <c r="AM355">
        <f ca="1"/>
      </c>
      <c r="AN355">
        <f ca="1"/>
      </c>
      <c r="AO355">
        <f ca="1"/>
      </c>
      <c r="AP355">
        <f ca="1"/>
      </c>
      <c r="AQ355">
        <f ca="1"/>
      </c>
      <c r="AR355">
        <f ca="1"/>
      </c>
      <c r="AT355" s="7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BA355" s="7">
        <f ca="1"/>
      </c>
      <c r="BB355">
        <f ca="1"/>
      </c>
      <c r="BC355">
        <f ca="1"/>
      </c>
      <c r="BD355">
        <f ca="1"/>
      </c>
      <c r="BE355">
        <f ca="1"/>
      </c>
    </row>
    <row r="356" spans="31:57" x14ac:dyDescent="0.55000000000000004">
      <c r="AE356" s="7">
        <f ca="1"/>
      </c>
      <c r="AF356">
        <f ca="1"/>
      </c>
      <c r="AG356">
        <f ca="1"/>
      </c>
      <c r="AH356">
        <f ca="1"/>
      </c>
      <c r="AI356">
        <f ca="1"/>
      </c>
      <c r="AJ356">
        <f ca="1"/>
      </c>
      <c r="AK356">
        <f ca="1"/>
      </c>
      <c r="AL356">
        <f ca="1"/>
      </c>
      <c r="AM356">
        <f ca="1"/>
      </c>
      <c r="AN356">
        <f ca="1"/>
      </c>
      <c r="AO356">
        <f ca="1"/>
      </c>
      <c r="AP356">
        <f ca="1"/>
      </c>
      <c r="AQ356">
        <f ca="1"/>
      </c>
      <c r="AR356">
        <f ca="1"/>
      </c>
      <c r="AT356" s="7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BA356" s="7">
        <f ca="1"/>
      </c>
      <c r="BB356">
        <f ca="1"/>
      </c>
      <c r="BC356">
        <f ca="1"/>
      </c>
      <c r="BD356">
        <f ca="1"/>
      </c>
      <c r="BE356">
        <f ca="1"/>
      </c>
    </row>
    <row r="357" spans="31:57" x14ac:dyDescent="0.55000000000000004">
      <c r="AE357" s="7">
        <f ca="1"/>
      </c>
      <c r="AF357">
        <f ca="1"/>
      </c>
      <c r="AG357">
        <f ca="1"/>
      </c>
      <c r="AH357">
        <f ca="1"/>
      </c>
      <c r="AI357">
        <f ca="1"/>
      </c>
      <c r="AJ357">
        <f ca="1"/>
      </c>
      <c r="AK357">
        <f ca="1"/>
      </c>
      <c r="AL357">
        <f ca="1"/>
      </c>
      <c r="AM357">
        <f ca="1"/>
      </c>
      <c r="AN357">
        <f ca="1"/>
      </c>
      <c r="AO357">
        <f ca="1"/>
      </c>
      <c r="AP357">
        <f ca="1"/>
      </c>
      <c r="AQ357">
        <f ca="1"/>
      </c>
      <c r="AR357">
        <f ca="1"/>
      </c>
      <c r="AT357" s="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BA357" s="7">
        <f ca="1"/>
      </c>
      <c r="BB357">
        <f ca="1"/>
      </c>
      <c r="BC357">
        <f ca="1"/>
      </c>
      <c r="BD357">
        <f ca="1"/>
      </c>
      <c r="BE357">
        <f ca="1"/>
      </c>
    </row>
    <row r="358" spans="31:57" x14ac:dyDescent="0.55000000000000004">
      <c r="AE358" s="7">
        <f ca="1"/>
      </c>
      <c r="AF358">
        <f ca="1"/>
      </c>
      <c r="AG358">
        <f ca="1"/>
      </c>
      <c r="AH358">
        <f ca="1"/>
      </c>
      <c r="AI358">
        <f ca="1"/>
      </c>
      <c r="AJ358">
        <f ca="1"/>
      </c>
      <c r="AK358">
        <f ca="1"/>
      </c>
      <c r="AL358">
        <f ca="1"/>
      </c>
      <c r="AM358">
        <f ca="1"/>
      </c>
      <c r="AN358">
        <f ca="1"/>
      </c>
      <c r="AO358">
        <f ca="1"/>
      </c>
      <c r="AP358">
        <f ca="1"/>
      </c>
      <c r="AQ358">
        <f ca="1"/>
      </c>
      <c r="AR358">
        <f ca="1"/>
      </c>
      <c r="AT358" s="7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BA358" s="7">
        <f ca="1"/>
      </c>
      <c r="BB358">
        <f ca="1"/>
      </c>
      <c r="BC358">
        <f ca="1"/>
      </c>
      <c r="BD358">
        <f ca="1"/>
      </c>
      <c r="BE358">
        <f ca="1"/>
      </c>
    </row>
    <row r="359" spans="31:57" x14ac:dyDescent="0.55000000000000004">
      <c r="AE359" s="7">
        <f ca="1"/>
      </c>
      <c r="AF359">
        <f ca="1"/>
      </c>
      <c r="AG359">
        <f ca="1"/>
      </c>
      <c r="AH359">
        <f ca="1"/>
      </c>
      <c r="AI359">
        <f ca="1"/>
      </c>
      <c r="AJ359">
        <f ca="1"/>
      </c>
      <c r="AK359">
        <f ca="1"/>
      </c>
      <c r="AL359">
        <f ca="1"/>
      </c>
      <c r="AM359">
        <f ca="1"/>
      </c>
      <c r="AN359">
        <f ca="1"/>
      </c>
      <c r="AO359">
        <f ca="1"/>
      </c>
      <c r="AP359">
        <f ca="1"/>
      </c>
      <c r="AQ359">
        <f ca="1"/>
      </c>
      <c r="AR359">
        <f ca="1"/>
      </c>
      <c r="AT359" s="7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BA359" s="7">
        <f ca="1"/>
      </c>
      <c r="BB359">
        <f ca="1"/>
      </c>
      <c r="BC359">
        <f ca="1"/>
      </c>
      <c r="BD359">
        <f ca="1"/>
      </c>
      <c r="BE359">
        <f ca="1"/>
      </c>
    </row>
    <row r="360" spans="31:57" x14ac:dyDescent="0.55000000000000004">
      <c r="AE360" s="7">
        <f ca="1"/>
      </c>
      <c r="AF360">
        <f ca="1"/>
      </c>
      <c r="AG360">
        <f ca="1"/>
      </c>
      <c r="AH360">
        <f ca="1"/>
      </c>
      <c r="AI360">
        <f ca="1"/>
      </c>
      <c r="AJ360">
        <f ca="1"/>
      </c>
      <c r="AK360">
        <f ca="1"/>
      </c>
      <c r="AL360">
        <f ca="1"/>
      </c>
      <c r="AM360">
        <f ca="1"/>
      </c>
      <c r="AN360">
        <f ca="1"/>
      </c>
      <c r="AO360">
        <f ca="1"/>
      </c>
      <c r="AP360">
        <f ca="1"/>
      </c>
      <c r="AQ360">
        <f ca="1"/>
      </c>
      <c r="AR360">
        <f ca="1"/>
      </c>
      <c r="AT360" s="7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BA360" s="7">
        <f ca="1"/>
      </c>
      <c r="BB360">
        <f ca="1"/>
      </c>
      <c r="BC360">
        <f ca="1"/>
      </c>
      <c r="BD360">
        <f ca="1"/>
      </c>
      <c r="BE360">
        <f ca="1"/>
      </c>
    </row>
    <row r="361" spans="31:57" x14ac:dyDescent="0.55000000000000004">
      <c r="AE361" s="7">
        <f ca="1"/>
      </c>
      <c r="AF361">
        <f ca="1"/>
      </c>
      <c r="AG361">
        <f ca="1"/>
      </c>
      <c r="AH361">
        <f ca="1"/>
      </c>
      <c r="AI361">
        <f ca="1"/>
      </c>
      <c r="AJ361">
        <f ca="1"/>
      </c>
      <c r="AK361">
        <f ca="1"/>
      </c>
      <c r="AL361">
        <f ca="1"/>
      </c>
      <c r="AM361">
        <f ca="1"/>
      </c>
      <c r="AN361">
        <f ca="1"/>
      </c>
      <c r="AO361">
        <f ca="1"/>
      </c>
      <c r="AP361">
        <f ca="1"/>
      </c>
      <c r="AQ361">
        <f ca="1"/>
      </c>
      <c r="AR361">
        <f ca="1"/>
      </c>
      <c r="AT361" s="7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BA361" s="7">
        <f ca="1"/>
      </c>
      <c r="BB361">
        <f ca="1"/>
      </c>
      <c r="BC361">
        <f ca="1"/>
      </c>
      <c r="BD361">
        <f ca="1"/>
      </c>
      <c r="BE361">
        <f ca="1"/>
      </c>
    </row>
    <row r="362" spans="31:57" x14ac:dyDescent="0.55000000000000004">
      <c r="AE362" s="7">
        <f ca="1"/>
      </c>
      <c r="AF362">
        <f ca="1"/>
      </c>
      <c r="AG362">
        <f ca="1"/>
      </c>
      <c r="AH362">
        <f ca="1"/>
      </c>
      <c r="AI362">
        <f ca="1"/>
      </c>
      <c r="AJ362">
        <f ca="1"/>
      </c>
      <c r="AK362">
        <f ca="1"/>
      </c>
      <c r="AL362">
        <f ca="1"/>
      </c>
      <c r="AM362">
        <f ca="1"/>
      </c>
      <c r="AN362">
        <f ca="1"/>
      </c>
      <c r="AO362">
        <f ca="1"/>
      </c>
      <c r="AP362">
        <f ca="1"/>
      </c>
      <c r="AQ362">
        <f ca="1"/>
      </c>
      <c r="AR362">
        <f ca="1"/>
      </c>
      <c r="AT362" s="7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BA362" s="7">
        <f ca="1"/>
      </c>
      <c r="BB362">
        <f ca="1"/>
      </c>
      <c r="BC362">
        <f ca="1"/>
      </c>
      <c r="BD362">
        <f ca="1"/>
      </c>
      <c r="BE362">
        <f ca="1"/>
      </c>
    </row>
    <row r="363" spans="31:57" x14ac:dyDescent="0.55000000000000004">
      <c r="AE363" s="7">
        <f ca="1"/>
      </c>
      <c r="AF363">
        <f ca="1"/>
      </c>
      <c r="AG363">
        <f ca="1"/>
      </c>
      <c r="AH363">
        <f ca="1"/>
      </c>
      <c r="AI363">
        <f ca="1"/>
      </c>
      <c r="AJ363">
        <f ca="1"/>
      </c>
      <c r="AK363">
        <f ca="1"/>
      </c>
      <c r="AL363">
        <f ca="1"/>
      </c>
      <c r="AM363">
        <f ca="1"/>
      </c>
      <c r="AN363">
        <f ca="1"/>
      </c>
      <c r="AO363">
        <f ca="1"/>
      </c>
      <c r="AP363">
        <f ca="1"/>
      </c>
      <c r="AQ363">
        <f ca="1"/>
      </c>
      <c r="AR363">
        <f ca="1"/>
      </c>
      <c r="AT363" s="7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BA363" s="7">
        <f ca="1"/>
      </c>
      <c r="BB363">
        <f ca="1"/>
      </c>
      <c r="BC363">
        <f ca="1"/>
      </c>
      <c r="BD363">
        <f ca="1"/>
      </c>
      <c r="BE363">
        <f ca="1"/>
      </c>
    </row>
    <row r="364" spans="31:57" x14ac:dyDescent="0.55000000000000004">
      <c r="AE364" s="7">
        <f ca="1"/>
      </c>
      <c r="AF364">
        <f ca="1"/>
      </c>
      <c r="AG364">
        <f ca="1"/>
      </c>
      <c r="AH364">
        <f ca="1"/>
      </c>
      <c r="AI364">
        <f ca="1"/>
      </c>
      <c r="AJ364">
        <f ca="1"/>
      </c>
      <c r="AK364">
        <f ca="1"/>
      </c>
      <c r="AL364">
        <f ca="1"/>
      </c>
      <c r="AM364">
        <f ca="1"/>
      </c>
      <c r="AN364">
        <f ca="1"/>
      </c>
      <c r="AO364">
        <f ca="1"/>
      </c>
      <c r="AP364">
        <f ca="1"/>
      </c>
      <c r="AQ364">
        <f ca="1"/>
      </c>
      <c r="AR364">
        <f ca="1"/>
      </c>
      <c r="AT364" s="7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BA364" s="7">
        <f ca="1"/>
      </c>
      <c r="BB364">
        <f ca="1"/>
      </c>
      <c r="BC364">
        <f ca="1"/>
      </c>
      <c r="BD364">
        <f ca="1"/>
      </c>
      <c r="BE364">
        <f ca="1"/>
      </c>
    </row>
    <row r="365" spans="31:57" x14ac:dyDescent="0.55000000000000004">
      <c r="AE365" s="7">
        <f ca="1"/>
      </c>
      <c r="AF365">
        <f ca="1"/>
      </c>
      <c r="AG365">
        <f ca="1"/>
      </c>
      <c r="AH365">
        <f ca="1"/>
      </c>
      <c r="AI365">
        <f ca="1"/>
      </c>
      <c r="AJ365">
        <f ca="1"/>
      </c>
      <c r="AK365">
        <f ca="1"/>
      </c>
      <c r="AL365">
        <f ca="1"/>
      </c>
      <c r="AM365">
        <f ca="1"/>
      </c>
      <c r="AN365">
        <f ca="1"/>
      </c>
      <c r="AO365">
        <f ca="1"/>
      </c>
      <c r="AP365">
        <f ca="1"/>
      </c>
      <c r="AQ365">
        <f ca="1"/>
      </c>
      <c r="AR365">
        <f ca="1"/>
      </c>
      <c r="AT365" s="7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BA365" s="7">
        <f ca="1"/>
      </c>
      <c r="BB365">
        <f ca="1"/>
      </c>
      <c r="BC365">
        <f ca="1"/>
      </c>
      <c r="BD365">
        <f ca="1"/>
      </c>
      <c r="BE365">
        <f ca="1"/>
      </c>
    </row>
    <row r="366" spans="31:57" x14ac:dyDescent="0.55000000000000004">
      <c r="AE366" s="7">
        <f ca="1"/>
      </c>
      <c r="AF366">
        <f ca="1"/>
      </c>
      <c r="AG366">
        <f ca="1"/>
      </c>
      <c r="AH366">
        <f ca="1"/>
      </c>
      <c r="AI366">
        <f ca="1"/>
      </c>
      <c r="AJ366">
        <f ca="1"/>
      </c>
      <c r="AK366">
        <f ca="1"/>
      </c>
      <c r="AL366">
        <f ca="1"/>
      </c>
      <c r="AM366">
        <f ca="1"/>
      </c>
      <c r="AN366">
        <f ca="1"/>
      </c>
      <c r="AO366">
        <f ca="1"/>
      </c>
      <c r="AP366">
        <f ca="1"/>
      </c>
      <c r="AQ366">
        <f ca="1"/>
      </c>
      <c r="AR366">
        <f ca="1"/>
      </c>
      <c r="AT366" s="7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BA366" s="7">
        <f ca="1"/>
      </c>
      <c r="BB366">
        <f ca="1"/>
      </c>
      <c r="BC366">
        <f ca="1"/>
      </c>
      <c r="BD366">
        <f ca="1"/>
      </c>
      <c r="BE366">
        <f ca="1"/>
      </c>
    </row>
    <row r="367" spans="31:57" x14ac:dyDescent="0.55000000000000004">
      <c r="AE367" s="7">
        <f ca="1"/>
      </c>
      <c r="AF367">
        <f ca="1"/>
      </c>
      <c r="AG367">
        <f ca="1"/>
      </c>
      <c r="AH367">
        <f ca="1"/>
      </c>
      <c r="AI367">
        <f ca="1"/>
      </c>
      <c r="AJ367">
        <f ca="1"/>
      </c>
      <c r="AK367">
        <f ca="1"/>
      </c>
      <c r="AL367">
        <f ca="1"/>
      </c>
      <c r="AM367">
        <f ca="1"/>
      </c>
      <c r="AN367">
        <f ca="1"/>
      </c>
      <c r="AO367">
        <f ca="1"/>
      </c>
      <c r="AP367">
        <f ca="1"/>
      </c>
      <c r="AQ367">
        <f ca="1"/>
      </c>
      <c r="AR367">
        <f ca="1"/>
      </c>
      <c r="AT367" s="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BA367" s="7">
        <f ca="1"/>
      </c>
      <c r="BB367">
        <f ca="1"/>
      </c>
      <c r="BC367">
        <f ca="1"/>
      </c>
      <c r="BD367">
        <f ca="1"/>
      </c>
      <c r="BE367">
        <f ca="1"/>
      </c>
    </row>
    <row r="368" spans="31:57" x14ac:dyDescent="0.55000000000000004">
      <c r="AE368" s="7">
        <f ca="1"/>
      </c>
      <c r="AF368">
        <f ca="1"/>
      </c>
      <c r="AG368">
        <f ca="1"/>
      </c>
      <c r="AH368">
        <f ca="1"/>
      </c>
      <c r="AI368">
        <f ca="1"/>
      </c>
      <c r="AJ368">
        <f ca="1"/>
      </c>
      <c r="AK368">
        <f ca="1"/>
      </c>
      <c r="AL368">
        <f ca="1"/>
      </c>
      <c r="AM368">
        <f ca="1"/>
      </c>
      <c r="AN368">
        <f ca="1"/>
      </c>
      <c r="AO368">
        <f ca="1"/>
      </c>
      <c r="AP368">
        <f ca="1"/>
      </c>
      <c r="AQ368">
        <f ca="1"/>
      </c>
      <c r="AR368">
        <f ca="1"/>
      </c>
      <c r="AT368" s="7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BA368" s="7">
        <f ca="1"/>
      </c>
      <c r="BB368">
        <f ca="1"/>
      </c>
      <c r="BC368">
        <f ca="1"/>
      </c>
      <c r="BD368">
        <f ca="1"/>
      </c>
      <c r="BE368">
        <f ca="1"/>
      </c>
    </row>
    <row r="369" spans="31:57" x14ac:dyDescent="0.55000000000000004">
      <c r="AE369" s="7">
        <f ca="1"/>
      </c>
      <c r="AF369">
        <f ca="1"/>
      </c>
      <c r="AG369">
        <f ca="1"/>
      </c>
      <c r="AH369">
        <f ca="1"/>
      </c>
      <c r="AI369">
        <f ca="1"/>
      </c>
      <c r="AJ369">
        <f ca="1"/>
      </c>
      <c r="AK369">
        <f ca="1"/>
      </c>
      <c r="AL369">
        <f ca="1"/>
      </c>
      <c r="AM369">
        <f ca="1"/>
      </c>
      <c r="AN369">
        <f ca="1"/>
      </c>
      <c r="AO369">
        <f ca="1"/>
      </c>
      <c r="AP369">
        <f ca="1"/>
      </c>
      <c r="AQ369">
        <f ca="1"/>
      </c>
      <c r="AR369">
        <f ca="1"/>
      </c>
      <c r="AT369" s="7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BA369" s="7">
        <f ca="1"/>
      </c>
      <c r="BB369">
        <f ca="1"/>
      </c>
      <c r="BC369">
        <f ca="1"/>
      </c>
      <c r="BD369">
        <f ca="1"/>
      </c>
      <c r="BE369">
        <f ca="1"/>
      </c>
    </row>
    <row r="370" spans="31:57" x14ac:dyDescent="0.55000000000000004">
      <c r="AE370" s="7">
        <f ca="1"/>
      </c>
      <c r="AF370">
        <f ca="1"/>
      </c>
      <c r="AG370">
        <f ca="1"/>
      </c>
      <c r="AH370">
        <f ca="1"/>
      </c>
      <c r="AI370">
        <f ca="1"/>
      </c>
      <c r="AJ370">
        <f ca="1"/>
      </c>
      <c r="AK370">
        <f ca="1"/>
      </c>
      <c r="AL370">
        <f ca="1"/>
      </c>
      <c r="AM370">
        <f ca="1"/>
      </c>
      <c r="AN370">
        <f ca="1"/>
      </c>
      <c r="AO370">
        <f ca="1"/>
      </c>
      <c r="AP370">
        <f ca="1"/>
      </c>
      <c r="AQ370">
        <f ca="1"/>
      </c>
      <c r="AR370">
        <f ca="1"/>
      </c>
      <c r="AT370" s="7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BA370" s="7">
        <f ca="1"/>
      </c>
      <c r="BB370">
        <f ca="1"/>
      </c>
      <c r="BC370">
        <f ca="1"/>
      </c>
      <c r="BD370">
        <f ca="1"/>
      </c>
      <c r="BE370">
        <f ca="1"/>
      </c>
    </row>
    <row r="371" spans="31:57" x14ac:dyDescent="0.55000000000000004">
      <c r="AE371" s="7">
        <f ca="1"/>
      </c>
      <c r="AF371">
        <f ca="1"/>
      </c>
      <c r="AG371">
        <f ca="1"/>
      </c>
      <c r="AH371">
        <f ca="1"/>
      </c>
      <c r="AI371">
        <f ca="1"/>
      </c>
      <c r="AJ371">
        <f ca="1"/>
      </c>
      <c r="AK371">
        <f ca="1"/>
      </c>
      <c r="AL371">
        <f ca="1"/>
      </c>
      <c r="AM371">
        <f ca="1"/>
      </c>
      <c r="AN371">
        <f ca="1"/>
      </c>
      <c r="AO371">
        <f ca="1"/>
      </c>
      <c r="AP371">
        <f ca="1"/>
      </c>
      <c r="AQ371">
        <f ca="1"/>
      </c>
      <c r="AR371">
        <f ca="1"/>
      </c>
      <c r="AT371" s="7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BA371" s="7">
        <f ca="1"/>
      </c>
      <c r="BB371">
        <f ca="1"/>
      </c>
      <c r="BC371">
        <f ca="1"/>
      </c>
      <c r="BD371">
        <f ca="1"/>
      </c>
      <c r="BE371">
        <f ca="1"/>
      </c>
    </row>
    <row r="372" spans="31:57" x14ac:dyDescent="0.55000000000000004">
      <c r="AE372" s="7">
        <f ca="1"/>
      </c>
      <c r="AF372">
        <f ca="1"/>
      </c>
      <c r="AG372">
        <f ca="1"/>
      </c>
      <c r="AH372">
        <f ca="1"/>
      </c>
      <c r="AI372">
        <f ca="1"/>
      </c>
      <c r="AJ372">
        <f ca="1"/>
      </c>
      <c r="AK372">
        <f ca="1"/>
      </c>
      <c r="AL372">
        <f ca="1"/>
      </c>
      <c r="AM372">
        <f ca="1"/>
      </c>
      <c r="AN372">
        <f ca="1"/>
      </c>
      <c r="AO372">
        <f ca="1"/>
      </c>
      <c r="AP372">
        <f ca="1"/>
      </c>
      <c r="AQ372">
        <f ca="1"/>
      </c>
      <c r="AR372">
        <f ca="1"/>
      </c>
      <c r="AT372" s="7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BA372" s="7">
        <f ca="1"/>
      </c>
      <c r="BB372">
        <f ca="1"/>
      </c>
      <c r="BC372">
        <f ca="1"/>
      </c>
      <c r="BD372">
        <f ca="1"/>
      </c>
      <c r="BE372">
        <f ca="1"/>
      </c>
    </row>
    <row r="373" spans="31:57" x14ac:dyDescent="0.55000000000000004">
      <c r="AE373" s="7">
        <f ca="1"/>
      </c>
      <c r="AF373">
        <f ca="1"/>
      </c>
      <c r="AG373">
        <f ca="1"/>
      </c>
      <c r="AH373">
        <f ca="1"/>
      </c>
      <c r="AI373">
        <f ca="1"/>
      </c>
      <c r="AJ373">
        <f ca="1"/>
      </c>
      <c r="AK373">
        <f ca="1"/>
      </c>
      <c r="AL373">
        <f ca="1"/>
      </c>
      <c r="AM373">
        <f ca="1"/>
      </c>
      <c r="AN373">
        <f ca="1"/>
      </c>
      <c r="AO373">
        <f ca="1"/>
      </c>
      <c r="AP373">
        <f ca="1"/>
      </c>
      <c r="AQ373">
        <f ca="1"/>
      </c>
      <c r="AR373">
        <f ca="1"/>
      </c>
      <c r="AT373" s="7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BA373" s="7">
        <f ca="1"/>
      </c>
      <c r="BB373">
        <f ca="1"/>
      </c>
      <c r="BC373">
        <f ca="1"/>
      </c>
      <c r="BD373">
        <f ca="1"/>
      </c>
      <c r="BE373">
        <f ca="1"/>
      </c>
    </row>
    <row r="374" spans="31:57" x14ac:dyDescent="0.55000000000000004">
      <c r="AE374" s="7">
        <f ca="1"/>
      </c>
      <c r="AF374">
        <f ca="1"/>
      </c>
      <c r="AG374">
        <f ca="1"/>
      </c>
      <c r="AH374">
        <f ca="1"/>
      </c>
      <c r="AI374">
        <f ca="1"/>
      </c>
      <c r="AJ374">
        <f ca="1"/>
      </c>
      <c r="AK374">
        <f ca="1"/>
      </c>
      <c r="AL374">
        <f ca="1"/>
      </c>
      <c r="AM374">
        <f ca="1"/>
      </c>
      <c r="AN374">
        <f ca="1"/>
      </c>
      <c r="AO374">
        <f ca="1"/>
      </c>
      <c r="AP374">
        <f ca="1"/>
      </c>
      <c r="AQ374">
        <f ca="1"/>
      </c>
      <c r="AR374">
        <f ca="1"/>
      </c>
      <c r="AT374" s="7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BA374" s="7">
        <f ca="1"/>
      </c>
      <c r="BB374">
        <f ca="1"/>
      </c>
      <c r="BC374">
        <f ca="1"/>
      </c>
      <c r="BD374">
        <f ca="1"/>
      </c>
      <c r="BE374">
        <f ca="1"/>
      </c>
    </row>
    <row r="375" spans="31:57" x14ac:dyDescent="0.55000000000000004">
      <c r="AE375" s="7">
        <f ca="1"/>
      </c>
      <c r="AF375">
        <f ca="1"/>
      </c>
      <c r="AG375">
        <f ca="1"/>
      </c>
      <c r="AH375">
        <f ca="1"/>
      </c>
      <c r="AI375">
        <f ca="1"/>
      </c>
      <c r="AJ375">
        <f ca="1"/>
      </c>
      <c r="AK375">
        <f ca="1"/>
      </c>
      <c r="AL375">
        <f ca="1"/>
      </c>
      <c r="AM375">
        <f ca="1"/>
      </c>
      <c r="AN375">
        <f ca="1"/>
      </c>
      <c r="AO375">
        <f ca="1"/>
      </c>
      <c r="AP375">
        <f ca="1"/>
      </c>
      <c r="AQ375">
        <f ca="1"/>
      </c>
      <c r="AR375">
        <f ca="1"/>
      </c>
      <c r="AT375" s="7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BA375" s="7">
        <f ca="1"/>
      </c>
      <c r="BB375">
        <f ca="1"/>
      </c>
      <c r="BC375">
        <f ca="1"/>
      </c>
      <c r="BD375">
        <f ca="1"/>
      </c>
      <c r="BE375">
        <f ca="1"/>
      </c>
    </row>
    <row r="376" spans="31:57" x14ac:dyDescent="0.55000000000000004">
      <c r="AE376" s="7">
        <f ca="1"/>
      </c>
      <c r="AF376">
        <f ca="1"/>
      </c>
      <c r="AG376">
        <f ca="1"/>
      </c>
      <c r="AH376">
        <f ca="1"/>
      </c>
      <c r="AI376">
        <f ca="1"/>
      </c>
      <c r="AJ376">
        <f ca="1"/>
      </c>
      <c r="AK376">
        <f ca="1"/>
      </c>
      <c r="AL376">
        <f ca="1"/>
      </c>
      <c r="AM376">
        <f ca="1"/>
      </c>
      <c r="AN376">
        <f ca="1"/>
      </c>
      <c r="AO376">
        <f ca="1"/>
      </c>
      <c r="AP376">
        <f ca="1"/>
      </c>
      <c r="AQ376">
        <f ca="1"/>
      </c>
      <c r="AR376">
        <f ca="1"/>
      </c>
      <c r="AT376" s="7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BA376" s="7">
        <f ca="1"/>
      </c>
      <c r="BB376">
        <f ca="1"/>
      </c>
      <c r="BC376">
        <f ca="1"/>
      </c>
      <c r="BD376">
        <f ca="1"/>
      </c>
      <c r="BE376">
        <f ca="1"/>
      </c>
    </row>
    <row r="377" spans="31:57" x14ac:dyDescent="0.55000000000000004">
      <c r="AE377" s="7">
        <f ca="1"/>
      </c>
      <c r="AF377">
        <f ca="1"/>
      </c>
      <c r="AG377">
        <f ca="1"/>
      </c>
      <c r="AH377">
        <f ca="1"/>
      </c>
      <c r="AI377">
        <f ca="1"/>
      </c>
      <c r="AJ377">
        <f ca="1"/>
      </c>
      <c r="AK377">
        <f ca="1"/>
      </c>
      <c r="AL377">
        <f ca="1"/>
      </c>
      <c r="AM377">
        <f ca="1"/>
      </c>
      <c r="AN377">
        <f ca="1"/>
      </c>
      <c r="AO377">
        <f ca="1"/>
      </c>
      <c r="AP377">
        <f ca="1"/>
      </c>
      <c r="AQ377">
        <f ca="1"/>
      </c>
      <c r="AR377">
        <f ca="1"/>
      </c>
      <c r="AT377" s="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BA377" s="7">
        <f ca="1"/>
      </c>
      <c r="BB377">
        <f ca="1"/>
      </c>
      <c r="BC377">
        <f ca="1"/>
      </c>
      <c r="BD377">
        <f ca="1"/>
      </c>
      <c r="BE377">
        <f ca="1"/>
      </c>
    </row>
    <row r="378" spans="31:57" x14ac:dyDescent="0.55000000000000004">
      <c r="AE378" s="7">
        <f ca="1"/>
      </c>
      <c r="AF378">
        <f ca="1"/>
      </c>
      <c r="AG378">
        <f ca="1"/>
      </c>
      <c r="AH378">
        <f ca="1"/>
      </c>
      <c r="AI378">
        <f ca="1"/>
      </c>
      <c r="AJ378">
        <f ca="1"/>
      </c>
      <c r="AK378">
        <f ca="1"/>
      </c>
      <c r="AL378">
        <f ca="1"/>
      </c>
      <c r="AM378">
        <f ca="1"/>
      </c>
      <c r="AN378">
        <f ca="1"/>
      </c>
      <c r="AO378">
        <f ca="1"/>
      </c>
      <c r="AP378">
        <f ca="1"/>
      </c>
      <c r="AQ378">
        <f ca="1"/>
      </c>
      <c r="AR378">
        <f ca="1"/>
      </c>
      <c r="AT378" s="7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BA378" s="7">
        <f ca="1"/>
      </c>
      <c r="BB378">
        <f ca="1"/>
      </c>
      <c r="BC378">
        <f ca="1"/>
      </c>
      <c r="BD378">
        <f ca="1"/>
      </c>
      <c r="BE378">
        <f ca="1"/>
      </c>
    </row>
    <row r="379" spans="31:57" x14ac:dyDescent="0.55000000000000004">
      <c r="AE379" s="7">
        <f ca="1"/>
      </c>
      <c r="AF379">
        <f ca="1"/>
      </c>
      <c r="AG379">
        <f ca="1"/>
      </c>
      <c r="AH379">
        <f ca="1"/>
      </c>
      <c r="AI379">
        <f ca="1"/>
      </c>
      <c r="AJ379">
        <f ca="1"/>
      </c>
      <c r="AK379">
        <f ca="1"/>
      </c>
      <c r="AL379">
        <f ca="1"/>
      </c>
      <c r="AM379">
        <f ca="1"/>
      </c>
      <c r="AN379">
        <f ca="1"/>
      </c>
      <c r="AO379">
        <f ca="1"/>
      </c>
      <c r="AP379">
        <f ca="1"/>
      </c>
      <c r="AQ379">
        <f ca="1"/>
      </c>
      <c r="AR379">
        <f ca="1"/>
      </c>
      <c r="AT379" s="7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BA379" s="7">
        <f ca="1"/>
      </c>
      <c r="BB379">
        <f ca="1"/>
      </c>
      <c r="BC379">
        <f ca="1"/>
      </c>
      <c r="BD379">
        <f ca="1"/>
      </c>
      <c r="BE379">
        <f ca="1"/>
      </c>
    </row>
    <row r="380" spans="31:57" x14ac:dyDescent="0.55000000000000004">
      <c r="AE380" s="7">
        <f ca="1"/>
      </c>
      <c r="AF380">
        <f ca="1"/>
      </c>
      <c r="AG380">
        <f ca="1"/>
      </c>
      <c r="AH380">
        <f ca="1"/>
      </c>
      <c r="AI380">
        <f ca="1"/>
      </c>
      <c r="AJ380">
        <f ca="1"/>
      </c>
      <c r="AK380">
        <f ca="1"/>
      </c>
      <c r="AL380">
        <f ca="1"/>
      </c>
      <c r="AM380">
        <f ca="1"/>
      </c>
      <c r="AN380">
        <f ca="1"/>
      </c>
      <c r="AO380">
        <f ca="1"/>
      </c>
      <c r="AP380">
        <f ca="1"/>
      </c>
      <c r="AQ380">
        <f ca="1"/>
      </c>
      <c r="AR380">
        <f ca="1"/>
      </c>
      <c r="AT380" s="7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BA380" s="7">
        <f ca="1"/>
      </c>
      <c r="BB380">
        <f ca="1"/>
      </c>
      <c r="BC380">
        <f ca="1"/>
      </c>
      <c r="BD380">
        <f ca="1"/>
      </c>
      <c r="BE380">
        <f ca="1"/>
      </c>
    </row>
    <row r="381" spans="31:57" x14ac:dyDescent="0.55000000000000004">
      <c r="AE381" s="7">
        <f ca="1"/>
      </c>
      <c r="AF381">
        <f ca="1"/>
      </c>
      <c r="AG381">
        <f ca="1"/>
      </c>
      <c r="AH381">
        <f ca="1"/>
      </c>
      <c r="AI381">
        <f ca="1"/>
      </c>
      <c r="AJ381">
        <f ca="1"/>
      </c>
      <c r="AK381">
        <f ca="1"/>
      </c>
      <c r="AL381">
        <f ca="1"/>
      </c>
      <c r="AM381">
        <f ca="1"/>
      </c>
      <c r="AN381">
        <f ca="1"/>
      </c>
      <c r="AO381">
        <f ca="1"/>
      </c>
      <c r="AP381">
        <f ca="1"/>
      </c>
      <c r="AQ381">
        <f ca="1"/>
      </c>
      <c r="AR381">
        <f ca="1"/>
      </c>
      <c r="AT381" s="7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BA381" s="7">
        <f ca="1"/>
      </c>
      <c r="BB381">
        <f ca="1"/>
      </c>
      <c r="BC381">
        <f ca="1"/>
      </c>
      <c r="BD381">
        <f ca="1"/>
      </c>
      <c r="BE381">
        <f ca="1"/>
      </c>
    </row>
    <row r="382" spans="31:57" x14ac:dyDescent="0.55000000000000004">
      <c r="AE382" s="7">
        <f ca="1"/>
      </c>
      <c r="AF382">
        <f ca="1"/>
      </c>
      <c r="AG382">
        <f ca="1"/>
      </c>
      <c r="AH382">
        <f ca="1"/>
      </c>
      <c r="AI382">
        <f ca="1"/>
      </c>
      <c r="AJ382">
        <f ca="1"/>
      </c>
      <c r="AK382">
        <f ca="1"/>
      </c>
      <c r="AL382">
        <f ca="1"/>
      </c>
      <c r="AM382">
        <f ca="1"/>
      </c>
      <c r="AN382">
        <f ca="1"/>
      </c>
      <c r="AO382">
        <f ca="1"/>
      </c>
      <c r="AP382">
        <f ca="1"/>
      </c>
      <c r="AQ382">
        <f ca="1"/>
      </c>
      <c r="AR382">
        <f ca="1"/>
      </c>
      <c r="AT382" s="7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BA382" s="7">
        <f ca="1"/>
      </c>
      <c r="BB382">
        <f ca="1"/>
      </c>
      <c r="BC382">
        <f ca="1"/>
      </c>
      <c r="BD382">
        <f ca="1"/>
      </c>
      <c r="BE382">
        <f ca="1"/>
      </c>
    </row>
    <row r="383" spans="31:57" x14ac:dyDescent="0.55000000000000004">
      <c r="AE383" s="7">
        <f ca="1"/>
      </c>
      <c r="AF383">
        <f ca="1"/>
      </c>
      <c r="AG383">
        <f ca="1"/>
      </c>
      <c r="AH383">
        <f ca="1"/>
      </c>
      <c r="AI383">
        <f ca="1"/>
      </c>
      <c r="AJ383">
        <f ca="1"/>
      </c>
      <c r="AK383">
        <f ca="1"/>
      </c>
      <c r="AL383">
        <f ca="1"/>
      </c>
      <c r="AM383">
        <f ca="1"/>
      </c>
      <c r="AN383">
        <f ca="1"/>
      </c>
      <c r="AO383">
        <f ca="1"/>
      </c>
      <c r="AP383">
        <f ca="1"/>
      </c>
      <c r="AQ383">
        <f ca="1"/>
      </c>
      <c r="AR383">
        <f ca="1"/>
      </c>
      <c r="AT383" s="7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BA383" s="7">
        <f ca="1"/>
      </c>
      <c r="BB383">
        <f ca="1"/>
      </c>
      <c r="BC383">
        <f ca="1"/>
      </c>
      <c r="BD383">
        <f ca="1"/>
      </c>
      <c r="BE383">
        <f ca="1"/>
      </c>
    </row>
    <row r="384" spans="31:57" x14ac:dyDescent="0.55000000000000004">
      <c r="AE384" s="7">
        <f ca="1"/>
      </c>
      <c r="AF384">
        <f ca="1"/>
      </c>
      <c r="AG384">
        <f ca="1"/>
      </c>
      <c r="AH384">
        <f ca="1"/>
      </c>
      <c r="AI384">
        <f ca="1"/>
      </c>
      <c r="AJ384">
        <f ca="1"/>
      </c>
      <c r="AK384">
        <f ca="1"/>
      </c>
      <c r="AL384">
        <f ca="1"/>
      </c>
      <c r="AM384">
        <f ca="1"/>
      </c>
      <c r="AN384">
        <f ca="1"/>
      </c>
      <c r="AO384">
        <f ca="1"/>
      </c>
      <c r="AP384">
        <f ca="1"/>
      </c>
      <c r="AQ384">
        <f ca="1"/>
      </c>
      <c r="AR384">
        <f ca="1"/>
      </c>
      <c r="AT384" s="7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BA384" s="7">
        <f ca="1"/>
      </c>
      <c r="BB384">
        <f ca="1"/>
      </c>
      <c r="BC384">
        <f ca="1"/>
      </c>
      <c r="BD384">
        <f ca="1"/>
      </c>
      <c r="BE384">
        <f ca="1"/>
      </c>
    </row>
    <row r="385" spans="31:57" x14ac:dyDescent="0.55000000000000004">
      <c r="AE385" s="7">
        <f ca="1"/>
      </c>
      <c r="AF385">
        <f ca="1"/>
      </c>
      <c r="AG385">
        <f ca="1"/>
      </c>
      <c r="AH385">
        <f ca="1"/>
      </c>
      <c r="AI385">
        <f ca="1"/>
      </c>
      <c r="AJ385">
        <f ca="1"/>
      </c>
      <c r="AK385">
        <f ca="1"/>
      </c>
      <c r="AL385">
        <f ca="1"/>
      </c>
      <c r="AM385">
        <f ca="1"/>
      </c>
      <c r="AN385">
        <f ca="1"/>
      </c>
      <c r="AO385">
        <f ca="1"/>
      </c>
      <c r="AP385">
        <f ca="1"/>
      </c>
      <c r="AQ385">
        <f ca="1"/>
      </c>
      <c r="AR385">
        <f ca="1"/>
      </c>
      <c r="AT385" s="7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BA385" s="7">
        <f ca="1"/>
      </c>
      <c r="BB385">
        <f ca="1"/>
      </c>
      <c r="BC385">
        <f ca="1"/>
      </c>
      <c r="BD385">
        <f ca="1"/>
      </c>
      <c r="BE385">
        <f ca="1"/>
      </c>
    </row>
    <row r="386" spans="31:57" x14ac:dyDescent="0.55000000000000004">
      <c r="AE386" s="7">
        <f ca="1"/>
      </c>
      <c r="AF386">
        <f ca="1"/>
      </c>
      <c r="AG386">
        <f ca="1"/>
      </c>
      <c r="AH386">
        <f ca="1"/>
      </c>
      <c r="AI386">
        <f ca="1"/>
      </c>
      <c r="AJ386">
        <f ca="1"/>
      </c>
      <c r="AK386">
        <f ca="1"/>
      </c>
      <c r="AL386">
        <f ca="1"/>
      </c>
      <c r="AM386">
        <f ca="1"/>
      </c>
      <c r="AN386">
        <f ca="1"/>
      </c>
      <c r="AO386">
        <f ca="1"/>
      </c>
      <c r="AP386">
        <f ca="1"/>
      </c>
      <c r="AQ386">
        <f ca="1"/>
      </c>
      <c r="AR386">
        <f ca="1"/>
      </c>
      <c r="AT386" s="7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BA386" s="7">
        <f ca="1"/>
      </c>
      <c r="BB386">
        <f ca="1"/>
      </c>
      <c r="BC386">
        <f ca="1"/>
      </c>
      <c r="BD386">
        <f ca="1"/>
      </c>
      <c r="BE386">
        <f ca="1"/>
      </c>
    </row>
    <row r="387" spans="31:57" x14ac:dyDescent="0.55000000000000004">
      <c r="AE387" s="7">
        <f ca="1"/>
      </c>
      <c r="AF387">
        <f ca="1"/>
      </c>
      <c r="AG387">
        <f ca="1"/>
      </c>
      <c r="AH387">
        <f ca="1"/>
      </c>
      <c r="AI387">
        <f ca="1"/>
      </c>
      <c r="AJ387">
        <f ca="1"/>
      </c>
      <c r="AK387">
        <f ca="1"/>
      </c>
      <c r="AL387">
        <f ca="1"/>
      </c>
      <c r="AM387">
        <f ca="1"/>
      </c>
      <c r="AN387">
        <f ca="1"/>
      </c>
      <c r="AO387">
        <f ca="1"/>
      </c>
      <c r="AP387">
        <f ca="1"/>
      </c>
      <c r="AQ387">
        <f ca="1"/>
      </c>
      <c r="AR387">
        <f ca="1"/>
      </c>
      <c r="AT387" s="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BA387" s="7">
        <f ca="1"/>
      </c>
      <c r="BB387">
        <f ca="1"/>
      </c>
      <c r="BC387">
        <f ca="1"/>
      </c>
      <c r="BD387">
        <f ca="1"/>
      </c>
      <c r="BE387">
        <f ca="1"/>
      </c>
    </row>
    <row r="388" spans="31:57" x14ac:dyDescent="0.55000000000000004">
      <c r="AE388" s="7">
        <f ca="1"/>
      </c>
      <c r="AF388">
        <f ca="1"/>
      </c>
      <c r="AG388">
        <f ca="1"/>
      </c>
      <c r="AH388">
        <f ca="1"/>
      </c>
      <c r="AI388">
        <f ca="1"/>
      </c>
      <c r="AJ388">
        <f ca="1"/>
      </c>
      <c r="AK388">
        <f ca="1"/>
      </c>
      <c r="AL388">
        <f ca="1"/>
      </c>
      <c r="AM388">
        <f ca="1"/>
      </c>
      <c r="AN388">
        <f ca="1"/>
      </c>
      <c r="AO388">
        <f ca="1"/>
      </c>
      <c r="AP388">
        <f ca="1"/>
      </c>
      <c r="AQ388">
        <f ca="1"/>
      </c>
      <c r="AR388">
        <f ca="1"/>
      </c>
      <c r="AT388" s="7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BA388" s="7">
        <f ca="1"/>
      </c>
      <c r="BB388">
        <f ca="1"/>
      </c>
      <c r="BC388">
        <f ca="1"/>
      </c>
      <c r="BD388">
        <f ca="1"/>
      </c>
      <c r="BE388">
        <f ca="1"/>
      </c>
    </row>
    <row r="389" spans="31:57" x14ac:dyDescent="0.55000000000000004">
      <c r="AE389" s="7">
        <f ca="1"/>
      </c>
      <c r="AF389">
        <f ca="1"/>
      </c>
      <c r="AG389">
        <f ca="1"/>
      </c>
      <c r="AH389">
        <f ca="1"/>
      </c>
      <c r="AI389">
        <f ca="1"/>
      </c>
      <c r="AJ389">
        <f ca="1"/>
      </c>
      <c r="AK389">
        <f ca="1"/>
      </c>
      <c r="AL389">
        <f ca="1"/>
      </c>
      <c r="AM389">
        <f ca="1"/>
      </c>
      <c r="AN389">
        <f ca="1"/>
      </c>
      <c r="AO389">
        <f ca="1"/>
      </c>
      <c r="AP389">
        <f ca="1"/>
      </c>
      <c r="AQ389">
        <f ca="1"/>
      </c>
      <c r="AR389">
        <f ca="1"/>
      </c>
      <c r="AT389" s="7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BA389" s="7">
        <f ca="1"/>
      </c>
      <c r="BB389">
        <f ca="1"/>
      </c>
      <c r="BC389">
        <f ca="1"/>
      </c>
      <c r="BD389">
        <f ca="1"/>
      </c>
      <c r="BE389">
        <f ca="1"/>
      </c>
    </row>
    <row r="390" spans="31:57" x14ac:dyDescent="0.55000000000000004">
      <c r="AE390" s="7">
        <f ca="1"/>
      </c>
      <c r="AF390">
        <f ca="1"/>
      </c>
      <c r="AG390">
        <f ca="1"/>
      </c>
      <c r="AH390">
        <f ca="1"/>
      </c>
      <c r="AI390">
        <f ca="1"/>
      </c>
      <c r="AJ390">
        <f ca="1"/>
      </c>
      <c r="AK390">
        <f ca="1"/>
      </c>
      <c r="AL390">
        <f ca="1"/>
      </c>
      <c r="AM390">
        <f ca="1"/>
      </c>
      <c r="AN390">
        <f ca="1"/>
      </c>
      <c r="AO390">
        <f ca="1"/>
      </c>
      <c r="AP390">
        <f ca="1"/>
      </c>
      <c r="AQ390">
        <f ca="1"/>
      </c>
      <c r="AR390">
        <f ca="1"/>
      </c>
      <c r="AT390" s="7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BA390" s="7">
        <f ca="1"/>
      </c>
      <c r="BB390">
        <f ca="1"/>
      </c>
      <c r="BC390">
        <f ca="1"/>
      </c>
      <c r="BD390">
        <f ca="1"/>
      </c>
      <c r="BE390">
        <f ca="1"/>
      </c>
    </row>
    <row r="391" spans="31:57" x14ac:dyDescent="0.55000000000000004">
      <c r="AE391" s="7">
        <f ca="1"/>
      </c>
      <c r="AF391">
        <f ca="1"/>
      </c>
      <c r="AG391">
        <f ca="1"/>
      </c>
      <c r="AH391">
        <f ca="1"/>
      </c>
      <c r="AI391">
        <f ca="1"/>
      </c>
      <c r="AJ391">
        <f ca="1"/>
      </c>
      <c r="AK391">
        <f ca="1"/>
      </c>
      <c r="AL391">
        <f ca="1"/>
      </c>
      <c r="AM391">
        <f ca="1"/>
      </c>
      <c r="AN391">
        <f ca="1"/>
      </c>
      <c r="AO391">
        <f ca="1"/>
      </c>
      <c r="AP391">
        <f ca="1"/>
      </c>
      <c r="AQ391">
        <f ca="1"/>
      </c>
      <c r="AR391">
        <f ca="1"/>
      </c>
      <c r="AT391" s="7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BA391" s="7">
        <f ca="1"/>
      </c>
      <c r="BB391">
        <f ca="1"/>
      </c>
      <c r="BC391">
        <f ca="1"/>
      </c>
      <c r="BD391">
        <f ca="1"/>
      </c>
      <c r="BE391">
        <f ca="1"/>
      </c>
    </row>
    <row r="392" spans="31:57" x14ac:dyDescent="0.55000000000000004">
      <c r="AE392" s="7">
        <f ca="1"/>
      </c>
      <c r="AF392">
        <f ca="1"/>
      </c>
      <c r="AG392">
        <f ca="1"/>
      </c>
      <c r="AH392">
        <f ca="1"/>
      </c>
      <c r="AI392">
        <f ca="1"/>
      </c>
      <c r="AJ392">
        <f ca="1"/>
      </c>
      <c r="AK392">
        <f ca="1"/>
      </c>
      <c r="AL392">
        <f ca="1"/>
      </c>
      <c r="AM392">
        <f ca="1"/>
      </c>
      <c r="AN392">
        <f ca="1"/>
      </c>
      <c r="AO392">
        <f ca="1"/>
      </c>
      <c r="AP392">
        <f ca="1"/>
      </c>
      <c r="AQ392">
        <f ca="1"/>
      </c>
      <c r="AR392">
        <f ca="1"/>
      </c>
      <c r="AT392" s="7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BA392" s="7">
        <f ca="1"/>
      </c>
      <c r="BB392">
        <f ca="1"/>
      </c>
      <c r="BC392">
        <f ca="1"/>
      </c>
      <c r="BD392">
        <f ca="1"/>
      </c>
      <c r="BE392">
        <f ca="1"/>
      </c>
    </row>
    <row r="393" spans="31:57" x14ac:dyDescent="0.55000000000000004">
      <c r="AE393" s="7">
        <f ca="1"/>
      </c>
      <c r="AF393">
        <f ca="1"/>
      </c>
      <c r="AG393">
        <f ca="1"/>
      </c>
      <c r="AH393">
        <f ca="1"/>
      </c>
      <c r="AI393">
        <f ca="1"/>
      </c>
      <c r="AJ393">
        <f ca="1"/>
      </c>
      <c r="AK393">
        <f ca="1"/>
      </c>
      <c r="AL393">
        <f ca="1"/>
      </c>
      <c r="AM393">
        <f ca="1"/>
      </c>
      <c r="AN393">
        <f ca="1"/>
      </c>
      <c r="AO393">
        <f ca="1"/>
      </c>
      <c r="AP393">
        <f ca="1"/>
      </c>
      <c r="AQ393">
        <f ca="1"/>
      </c>
      <c r="AR393">
        <f ca="1"/>
      </c>
      <c r="AT393" s="7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BA393" s="7">
        <f ca="1"/>
      </c>
      <c r="BB393">
        <f ca="1"/>
      </c>
      <c r="BC393">
        <f ca="1"/>
      </c>
      <c r="BD393">
        <f ca="1"/>
      </c>
      <c r="BE393">
        <f ca="1"/>
      </c>
    </row>
    <row r="394" spans="31:57" x14ac:dyDescent="0.55000000000000004">
      <c r="AE394" s="7">
        <f ca="1"/>
      </c>
      <c r="AF394">
        <f ca="1"/>
      </c>
      <c r="AG394">
        <f ca="1"/>
      </c>
      <c r="AH394">
        <f ca="1"/>
      </c>
      <c r="AI394">
        <f ca="1"/>
      </c>
      <c r="AJ394">
        <f ca="1"/>
      </c>
      <c r="AK394">
        <f ca="1"/>
      </c>
      <c r="AL394">
        <f ca="1"/>
      </c>
      <c r="AM394">
        <f ca="1"/>
      </c>
      <c r="AN394">
        <f ca="1"/>
      </c>
      <c r="AO394">
        <f ca="1"/>
      </c>
      <c r="AP394">
        <f ca="1"/>
      </c>
      <c r="AQ394">
        <f ca="1"/>
      </c>
      <c r="AR394">
        <f ca="1"/>
      </c>
      <c r="AT394" s="7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BA394" s="7">
        <f ca="1"/>
      </c>
      <c r="BB394">
        <f ca="1"/>
      </c>
      <c r="BC394">
        <f ca="1"/>
      </c>
      <c r="BD394">
        <f ca="1"/>
      </c>
      <c r="BE394">
        <f ca="1"/>
      </c>
    </row>
    <row r="395" spans="31:57" x14ac:dyDescent="0.55000000000000004">
      <c r="AE395" s="7">
        <f ca="1"/>
      </c>
      <c r="AF395">
        <f ca="1"/>
      </c>
      <c r="AG395">
        <f ca="1"/>
      </c>
      <c r="AH395">
        <f ca="1"/>
      </c>
      <c r="AI395">
        <f ca="1"/>
      </c>
      <c r="AJ395">
        <f ca="1"/>
      </c>
      <c r="AK395">
        <f ca="1"/>
      </c>
      <c r="AL395">
        <f ca="1"/>
      </c>
      <c r="AM395">
        <f ca="1"/>
      </c>
      <c r="AN395">
        <f ca="1"/>
      </c>
      <c r="AO395">
        <f ca="1"/>
      </c>
      <c r="AP395">
        <f ca="1"/>
      </c>
      <c r="AQ395">
        <f ca="1"/>
      </c>
      <c r="AR395">
        <f ca="1"/>
      </c>
      <c r="AT395" s="7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BA395" s="7">
        <f ca="1"/>
      </c>
      <c r="BB395">
        <f ca="1"/>
      </c>
      <c r="BC395">
        <f ca="1"/>
      </c>
      <c r="BD395">
        <f ca="1"/>
      </c>
      <c r="BE395">
        <f ca="1"/>
      </c>
    </row>
    <row r="396" spans="31:57" x14ac:dyDescent="0.55000000000000004">
      <c r="AE396" s="7">
        <f ca="1"/>
      </c>
      <c r="AF396">
        <f ca="1"/>
      </c>
      <c r="AG396">
        <f ca="1"/>
      </c>
      <c r="AH396">
        <f ca="1"/>
      </c>
      <c r="AI396">
        <f ca="1"/>
      </c>
      <c r="AJ396">
        <f ca="1"/>
      </c>
      <c r="AK396">
        <f ca="1"/>
      </c>
      <c r="AL396">
        <f ca="1"/>
      </c>
      <c r="AM396">
        <f ca="1"/>
      </c>
      <c r="AN396">
        <f ca="1"/>
      </c>
      <c r="AO396">
        <f ca="1"/>
      </c>
      <c r="AP396">
        <f ca="1"/>
      </c>
      <c r="AQ396">
        <f ca="1"/>
      </c>
      <c r="AR396">
        <f ca="1"/>
      </c>
      <c r="AT396" s="7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BA396" s="7">
        <f ca="1"/>
      </c>
      <c r="BB396">
        <f ca="1"/>
      </c>
      <c r="BC396">
        <f ca="1"/>
      </c>
      <c r="BD396">
        <f ca="1"/>
      </c>
      <c r="BE396">
        <f ca="1"/>
      </c>
    </row>
    <row r="397" spans="31:57" x14ac:dyDescent="0.55000000000000004">
      <c r="AE397" s="7">
        <f ca="1"/>
      </c>
      <c r="AF397">
        <f ca="1"/>
      </c>
      <c r="AG397">
        <f ca="1"/>
      </c>
      <c r="AH397">
        <f ca="1"/>
      </c>
      <c r="AI397">
        <f ca="1"/>
      </c>
      <c r="AJ397">
        <f ca="1"/>
      </c>
      <c r="AK397">
        <f ca="1"/>
      </c>
      <c r="AL397">
        <f ca="1"/>
      </c>
      <c r="AM397">
        <f ca="1"/>
      </c>
      <c r="AN397">
        <f ca="1"/>
      </c>
      <c r="AO397">
        <f ca="1"/>
      </c>
      <c r="AP397">
        <f ca="1"/>
      </c>
      <c r="AQ397">
        <f ca="1"/>
      </c>
      <c r="AR397">
        <f ca="1"/>
      </c>
      <c r="AT397" s="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BA397" s="7">
        <f ca="1"/>
      </c>
      <c r="BB397">
        <f ca="1"/>
      </c>
      <c r="BC397">
        <f ca="1"/>
      </c>
      <c r="BD397">
        <f ca="1"/>
      </c>
      <c r="BE397">
        <f ca="1"/>
      </c>
    </row>
    <row r="398" spans="31:57" x14ac:dyDescent="0.55000000000000004">
      <c r="AE398" s="7">
        <f ca="1"/>
      </c>
      <c r="AF398">
        <f ca="1"/>
      </c>
      <c r="AG398">
        <f ca="1"/>
      </c>
      <c r="AH398">
        <f ca="1"/>
      </c>
      <c r="AI398">
        <f ca="1"/>
      </c>
      <c r="AJ398">
        <f ca="1"/>
      </c>
      <c r="AK398">
        <f ca="1"/>
      </c>
      <c r="AL398">
        <f ca="1"/>
      </c>
      <c r="AM398">
        <f ca="1"/>
      </c>
      <c r="AN398">
        <f ca="1"/>
      </c>
      <c r="AO398">
        <f ca="1"/>
      </c>
      <c r="AP398">
        <f ca="1"/>
      </c>
      <c r="AQ398">
        <f ca="1"/>
      </c>
      <c r="AR398">
        <f ca="1"/>
      </c>
      <c r="AT398" s="7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BA398" s="7">
        <f ca="1"/>
      </c>
      <c r="BB398">
        <f ca="1"/>
      </c>
      <c r="BC398">
        <f ca="1"/>
      </c>
      <c r="BD398">
        <f ca="1"/>
      </c>
      <c r="BE398">
        <f ca="1"/>
      </c>
    </row>
    <row r="399" spans="31:57" x14ac:dyDescent="0.55000000000000004">
      <c r="AE399" s="7">
        <f ca="1"/>
      </c>
      <c r="AF399">
        <f ca="1"/>
      </c>
      <c r="AG399">
        <f ca="1"/>
      </c>
      <c r="AH399">
        <f ca="1"/>
      </c>
      <c r="AI399">
        <f ca="1"/>
      </c>
      <c r="AJ399">
        <f ca="1"/>
      </c>
      <c r="AK399">
        <f ca="1"/>
      </c>
      <c r="AL399">
        <f ca="1"/>
      </c>
      <c r="AM399">
        <f ca="1"/>
      </c>
      <c r="AN399">
        <f ca="1"/>
      </c>
      <c r="AO399">
        <f ca="1"/>
      </c>
      <c r="AP399">
        <f ca="1"/>
      </c>
      <c r="AQ399">
        <f ca="1"/>
      </c>
      <c r="AR399">
        <f ca="1"/>
      </c>
      <c r="AT399" s="7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BA399" s="7">
        <f ca="1"/>
      </c>
      <c r="BB399">
        <f ca="1"/>
      </c>
      <c r="BC399">
        <f ca="1"/>
      </c>
      <c r="BD399">
        <f ca="1"/>
      </c>
      <c r="BE399">
        <f ca="1"/>
      </c>
    </row>
    <row r="400" spans="31:57" x14ac:dyDescent="0.55000000000000004">
      <c r="AE400" s="7">
        <f ca="1"/>
      </c>
      <c r="AF400">
        <f ca="1"/>
      </c>
      <c r="AG400">
        <f ca="1"/>
      </c>
      <c r="AH400">
        <f ca="1"/>
      </c>
      <c r="AI400">
        <f ca="1"/>
      </c>
      <c r="AJ400">
        <f ca="1"/>
      </c>
      <c r="AK400">
        <f ca="1"/>
      </c>
      <c r="AL400">
        <f ca="1"/>
      </c>
      <c r="AM400">
        <f ca="1"/>
      </c>
      <c r="AN400">
        <f ca="1"/>
      </c>
      <c r="AO400">
        <f ca="1"/>
      </c>
      <c r="AP400">
        <f ca="1"/>
      </c>
      <c r="AQ400">
        <f ca="1"/>
      </c>
      <c r="AR400">
        <f ca="1"/>
      </c>
      <c r="AT400" s="7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BA400" s="7">
        <f ca="1"/>
      </c>
      <c r="BB400">
        <f ca="1"/>
      </c>
      <c r="BC400">
        <f ca="1"/>
      </c>
      <c r="BD400">
        <f ca="1"/>
      </c>
      <c r="BE400">
        <f ca="1"/>
      </c>
    </row>
    <row r="401" spans="31:57" x14ac:dyDescent="0.55000000000000004">
      <c r="AE401" s="7">
        <f ca="1"/>
      </c>
      <c r="AF401">
        <f ca="1"/>
      </c>
      <c r="AG401">
        <f ca="1"/>
      </c>
      <c r="AH401">
        <f ca="1"/>
      </c>
      <c r="AI401">
        <f ca="1"/>
      </c>
      <c r="AJ401">
        <f ca="1"/>
      </c>
      <c r="AK401">
        <f ca="1"/>
      </c>
      <c r="AL401">
        <f ca="1"/>
      </c>
      <c r="AM401">
        <f ca="1"/>
      </c>
      <c r="AN401">
        <f ca="1"/>
      </c>
      <c r="AO401">
        <f ca="1"/>
      </c>
      <c r="AP401">
        <f ca="1"/>
      </c>
      <c r="AQ401">
        <f ca="1"/>
      </c>
      <c r="AR401">
        <f ca="1"/>
      </c>
      <c r="AT401" s="7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BA401" s="7">
        <f ca="1"/>
      </c>
      <c r="BB401">
        <f ca="1"/>
      </c>
      <c r="BC401">
        <f ca="1"/>
      </c>
      <c r="BD401">
        <f ca="1"/>
      </c>
      <c r="BE401">
        <f ca="1"/>
      </c>
    </row>
    <row r="402" spans="31:57" x14ac:dyDescent="0.55000000000000004">
      <c r="AE402" s="7">
        <f ca="1"/>
      </c>
      <c r="AF402">
        <f ca="1"/>
      </c>
      <c r="AG402">
        <f ca="1"/>
      </c>
      <c r="AH402">
        <f ca="1"/>
      </c>
      <c r="AI402">
        <f ca="1"/>
      </c>
      <c r="AJ402">
        <f ca="1"/>
      </c>
      <c r="AK402">
        <f ca="1"/>
      </c>
      <c r="AL402">
        <f ca="1"/>
      </c>
      <c r="AM402">
        <f ca="1"/>
      </c>
      <c r="AN402">
        <f ca="1"/>
      </c>
      <c r="AO402">
        <f ca="1"/>
      </c>
      <c r="AP402">
        <f ca="1"/>
      </c>
      <c r="AQ402">
        <f ca="1"/>
      </c>
      <c r="AR402">
        <f ca="1"/>
      </c>
      <c r="AT402" s="7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BA402" s="7">
        <f ca="1"/>
      </c>
      <c r="BB402">
        <f ca="1"/>
      </c>
      <c r="BC402">
        <f ca="1"/>
      </c>
      <c r="BD402">
        <f ca="1"/>
      </c>
      <c r="BE402">
        <f ca="1"/>
      </c>
    </row>
    <row r="403" spans="31:57" x14ac:dyDescent="0.55000000000000004">
      <c r="AE403" s="7">
        <f ca="1"/>
      </c>
      <c r="AF403">
        <f ca="1"/>
      </c>
      <c r="AG403">
        <f ca="1"/>
      </c>
      <c r="AH403">
        <f ca="1"/>
      </c>
      <c r="AI403">
        <f ca="1"/>
      </c>
      <c r="AJ403">
        <f ca="1"/>
      </c>
      <c r="AK403">
        <f ca="1"/>
      </c>
      <c r="AL403">
        <f ca="1"/>
      </c>
      <c r="AM403">
        <f ca="1"/>
      </c>
      <c r="AN403">
        <f ca="1"/>
      </c>
      <c r="AO403">
        <f ca="1"/>
      </c>
      <c r="AP403">
        <f ca="1"/>
      </c>
      <c r="AQ403">
        <f ca="1"/>
      </c>
      <c r="AR403">
        <f ca="1"/>
      </c>
      <c r="AT403" s="7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BA403" s="7">
        <f ca="1"/>
      </c>
      <c r="BB403">
        <f ca="1"/>
      </c>
      <c r="BC403">
        <f ca="1"/>
      </c>
      <c r="BD403">
        <f ca="1"/>
      </c>
      <c r="BE403">
        <f ca="1"/>
      </c>
    </row>
    <row r="404" spans="31:57" x14ac:dyDescent="0.55000000000000004">
      <c r="AE404" s="7">
        <f ca="1"/>
      </c>
      <c r="AF404">
        <f ca="1"/>
      </c>
      <c r="AG404">
        <f ca="1"/>
      </c>
      <c r="AH404">
        <f ca="1"/>
      </c>
      <c r="AI404">
        <f ca="1"/>
      </c>
      <c r="AJ404">
        <f ca="1"/>
      </c>
      <c r="AK404">
        <f ca="1"/>
      </c>
      <c r="AL404">
        <f ca="1"/>
      </c>
      <c r="AM404">
        <f ca="1"/>
      </c>
      <c r="AN404">
        <f ca="1"/>
      </c>
      <c r="AO404">
        <f ca="1"/>
      </c>
      <c r="AP404">
        <f ca="1"/>
      </c>
      <c r="AQ404">
        <f ca="1"/>
      </c>
      <c r="AR404">
        <f ca="1"/>
      </c>
      <c r="AT404" s="7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BA404" s="7">
        <f ca="1"/>
      </c>
      <c r="BB404">
        <f ca="1"/>
      </c>
      <c r="BC404">
        <f ca="1"/>
      </c>
      <c r="BD404">
        <f ca="1"/>
      </c>
      <c r="BE404">
        <f ca="1"/>
      </c>
    </row>
    <row r="405" spans="31:57" x14ac:dyDescent="0.55000000000000004">
      <c r="AE405" s="7">
        <f ca="1"/>
      </c>
      <c r="AF405">
        <f ca="1"/>
      </c>
      <c r="AG405">
        <f ca="1"/>
      </c>
      <c r="AH405">
        <f ca="1"/>
      </c>
      <c r="AI405">
        <f ca="1"/>
      </c>
      <c r="AJ405">
        <f ca="1"/>
      </c>
      <c r="AK405">
        <f ca="1"/>
      </c>
      <c r="AL405">
        <f ca="1"/>
      </c>
      <c r="AM405">
        <f ca="1"/>
      </c>
      <c r="AN405">
        <f ca="1"/>
      </c>
      <c r="AO405">
        <f ca="1"/>
      </c>
      <c r="AP405">
        <f ca="1"/>
      </c>
      <c r="AQ405">
        <f ca="1"/>
      </c>
      <c r="AR405">
        <f ca="1"/>
      </c>
      <c r="AT405" s="7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BA405" s="7">
        <f ca="1"/>
      </c>
      <c r="BB405">
        <f ca="1"/>
      </c>
      <c r="BC405">
        <f ca="1"/>
      </c>
      <c r="BD405">
        <f ca="1"/>
      </c>
      <c r="BE405">
        <f ca="1"/>
      </c>
    </row>
    <row r="406" spans="31:57" x14ac:dyDescent="0.55000000000000004">
      <c r="AE406" s="7">
        <f ca="1"/>
      </c>
      <c r="AF406">
        <f ca="1"/>
      </c>
      <c r="AG406">
        <f ca="1"/>
      </c>
      <c r="AH406">
        <f ca="1"/>
      </c>
      <c r="AI406">
        <f ca="1"/>
      </c>
      <c r="AJ406">
        <f ca="1"/>
      </c>
      <c r="AK406">
        <f ca="1"/>
      </c>
      <c r="AL406">
        <f ca="1"/>
      </c>
      <c r="AM406">
        <f ca="1"/>
      </c>
      <c r="AN406">
        <f ca="1"/>
      </c>
      <c r="AO406">
        <f ca="1"/>
      </c>
      <c r="AP406">
        <f ca="1"/>
      </c>
      <c r="AQ406">
        <f ca="1"/>
      </c>
      <c r="AR406">
        <f ca="1"/>
      </c>
      <c r="AT406" s="7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BA406" s="7">
        <f ca="1"/>
      </c>
      <c r="BB406">
        <f ca="1"/>
      </c>
      <c r="BC406">
        <f ca="1"/>
      </c>
      <c r="BD406">
        <f ca="1"/>
      </c>
      <c r="BE406">
        <f ca="1"/>
      </c>
    </row>
    <row r="407" spans="31:57" x14ac:dyDescent="0.55000000000000004">
      <c r="AE407" s="7">
        <f ca="1"/>
      </c>
      <c r="AF407">
        <f ca="1"/>
      </c>
      <c r="AG407">
        <f ca="1"/>
      </c>
      <c r="AH407">
        <f ca="1"/>
      </c>
      <c r="AI407">
        <f ca="1"/>
      </c>
      <c r="AJ407">
        <f ca="1"/>
      </c>
      <c r="AK407">
        <f ca="1"/>
      </c>
      <c r="AL407">
        <f ca="1"/>
      </c>
      <c r="AM407">
        <f ca="1"/>
      </c>
      <c r="AN407">
        <f ca="1"/>
      </c>
      <c r="AO407">
        <f ca="1"/>
      </c>
      <c r="AP407">
        <f ca="1"/>
      </c>
      <c r="AQ407">
        <f ca="1"/>
      </c>
      <c r="AR407">
        <f ca="1"/>
      </c>
      <c r="AT407" s="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BA407" s="7">
        <f ca="1"/>
      </c>
      <c r="BB407">
        <f ca="1"/>
      </c>
      <c r="BC407">
        <f ca="1"/>
      </c>
      <c r="BD407">
        <f ca="1"/>
      </c>
      <c r="BE407">
        <f ca="1"/>
      </c>
    </row>
    <row r="408" spans="31:57" x14ac:dyDescent="0.55000000000000004">
      <c r="AE408" s="7">
        <f ca="1"/>
      </c>
      <c r="AF408">
        <f ca="1"/>
      </c>
      <c r="AG408">
        <f ca="1"/>
      </c>
      <c r="AH408">
        <f ca="1"/>
      </c>
      <c r="AI408">
        <f ca="1"/>
      </c>
      <c r="AJ408">
        <f ca="1"/>
      </c>
      <c r="AK408">
        <f ca="1"/>
      </c>
      <c r="AL408">
        <f ca="1"/>
      </c>
      <c r="AM408">
        <f ca="1"/>
      </c>
      <c r="AN408">
        <f ca="1"/>
      </c>
      <c r="AO408">
        <f ca="1"/>
      </c>
      <c r="AP408">
        <f ca="1"/>
      </c>
      <c r="AQ408">
        <f ca="1"/>
      </c>
      <c r="AR408">
        <f ca="1"/>
      </c>
      <c r="AT408" s="7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BA408" s="7">
        <f ca="1"/>
      </c>
      <c r="BB408">
        <f ca="1"/>
      </c>
      <c r="BC408">
        <f ca="1"/>
      </c>
      <c r="BD408">
        <f ca="1"/>
      </c>
      <c r="BE408">
        <f ca="1"/>
      </c>
    </row>
    <row r="409" spans="31:57" x14ac:dyDescent="0.55000000000000004">
      <c r="AE409" s="7">
        <f ca="1"/>
      </c>
      <c r="AF409">
        <f ca="1"/>
      </c>
      <c r="AG409">
        <f ca="1"/>
      </c>
      <c r="AH409">
        <f ca="1"/>
      </c>
      <c r="AI409">
        <f ca="1"/>
      </c>
      <c r="AJ409">
        <f ca="1"/>
      </c>
      <c r="AK409">
        <f ca="1"/>
      </c>
      <c r="AL409">
        <f ca="1"/>
      </c>
      <c r="AM409">
        <f ca="1"/>
      </c>
      <c r="AN409">
        <f ca="1"/>
      </c>
      <c r="AO409">
        <f ca="1"/>
      </c>
      <c r="AP409">
        <f ca="1"/>
      </c>
      <c r="AQ409">
        <f ca="1"/>
      </c>
      <c r="AR409">
        <f ca="1"/>
      </c>
      <c r="AT409" s="7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BA409" s="7">
        <f ca="1"/>
      </c>
      <c r="BB409">
        <f ca="1"/>
      </c>
      <c r="BC409">
        <f ca="1"/>
      </c>
      <c r="BD409">
        <f ca="1"/>
      </c>
      <c r="BE409">
        <f ca="1"/>
      </c>
    </row>
    <row r="410" spans="31:57" x14ac:dyDescent="0.55000000000000004">
      <c r="AE410" s="7">
        <f ca="1"/>
      </c>
      <c r="AF410">
        <f ca="1"/>
      </c>
      <c r="AG410">
        <f ca="1"/>
      </c>
      <c r="AH410">
        <f ca="1"/>
      </c>
      <c r="AI410">
        <f ca="1"/>
      </c>
      <c r="AJ410">
        <f ca="1"/>
      </c>
      <c r="AK410">
        <f ca="1"/>
      </c>
      <c r="AL410">
        <f ca="1"/>
      </c>
      <c r="AM410">
        <f ca="1"/>
      </c>
      <c r="AN410">
        <f ca="1"/>
      </c>
      <c r="AO410">
        <f ca="1"/>
      </c>
      <c r="AP410">
        <f ca="1"/>
      </c>
      <c r="AQ410">
        <f ca="1"/>
      </c>
      <c r="AR410">
        <f ca="1"/>
      </c>
      <c r="AT410" s="7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BA410" s="7">
        <f ca="1"/>
      </c>
      <c r="BB410">
        <f ca="1"/>
      </c>
      <c r="BC410">
        <f ca="1"/>
      </c>
      <c r="BD410">
        <f ca="1"/>
      </c>
      <c r="BE410">
        <f ca="1"/>
      </c>
    </row>
    <row r="411" spans="31:57" x14ac:dyDescent="0.55000000000000004">
      <c r="AE411" s="7">
        <f ca="1"/>
      </c>
      <c r="AF411">
        <f ca="1"/>
      </c>
      <c r="AG411">
        <f ca="1"/>
      </c>
      <c r="AH411">
        <f ca="1"/>
      </c>
      <c r="AI411">
        <f ca="1"/>
      </c>
      <c r="AJ411">
        <f ca="1"/>
      </c>
      <c r="AK411">
        <f ca="1"/>
      </c>
      <c r="AL411">
        <f ca="1"/>
      </c>
      <c r="AM411">
        <f ca="1"/>
      </c>
      <c r="AN411">
        <f ca="1"/>
      </c>
      <c r="AO411">
        <f ca="1"/>
      </c>
      <c r="AP411">
        <f ca="1"/>
      </c>
      <c r="AQ411">
        <f ca="1"/>
      </c>
      <c r="AR411">
        <f ca="1"/>
      </c>
      <c r="AT411" s="7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BA411" s="7">
        <f ca="1"/>
      </c>
      <c r="BB411">
        <f ca="1"/>
      </c>
      <c r="BC411">
        <f ca="1"/>
      </c>
      <c r="BD411">
        <f ca="1"/>
      </c>
      <c r="BE411">
        <f ca="1"/>
      </c>
    </row>
    <row r="412" spans="31:57" x14ac:dyDescent="0.55000000000000004">
      <c r="AE412" s="7">
        <f ca="1"/>
      </c>
      <c r="AF412">
        <f ca="1"/>
      </c>
      <c r="AG412">
        <f ca="1"/>
      </c>
      <c r="AH412">
        <f ca="1"/>
      </c>
      <c r="AI412">
        <f ca="1"/>
      </c>
      <c r="AJ412">
        <f ca="1"/>
      </c>
      <c r="AK412">
        <f ca="1"/>
      </c>
      <c r="AL412">
        <f ca="1"/>
      </c>
      <c r="AM412">
        <f ca="1"/>
      </c>
      <c r="AN412">
        <f ca="1"/>
      </c>
      <c r="AO412">
        <f ca="1"/>
      </c>
      <c r="AP412">
        <f ca="1"/>
      </c>
      <c r="AQ412">
        <f ca="1"/>
      </c>
      <c r="AR412">
        <f ca="1"/>
      </c>
      <c r="AT412" s="7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BA412" s="7">
        <f ca="1"/>
      </c>
      <c r="BB412">
        <f ca="1"/>
      </c>
      <c r="BC412">
        <f ca="1"/>
      </c>
      <c r="BD412">
        <f ca="1"/>
      </c>
      <c r="BE412">
        <f ca="1"/>
      </c>
    </row>
    <row r="413" spans="31:57" x14ac:dyDescent="0.55000000000000004">
      <c r="AE413" s="7">
        <f ca="1"/>
      </c>
      <c r="AF413">
        <f ca="1"/>
      </c>
      <c r="AG413">
        <f ca="1"/>
      </c>
      <c r="AH413">
        <f ca="1"/>
      </c>
      <c r="AI413">
        <f ca="1"/>
      </c>
      <c r="AJ413">
        <f ca="1"/>
      </c>
      <c r="AK413">
        <f ca="1"/>
      </c>
      <c r="AL413">
        <f ca="1"/>
      </c>
      <c r="AM413">
        <f ca="1"/>
      </c>
      <c r="AN413">
        <f ca="1"/>
      </c>
      <c r="AO413">
        <f ca="1"/>
      </c>
      <c r="AP413">
        <f ca="1"/>
      </c>
      <c r="AQ413">
        <f ca="1"/>
      </c>
      <c r="AR413">
        <f ca="1"/>
      </c>
      <c r="AT413" s="7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BA413" s="7">
        <f ca="1"/>
      </c>
      <c r="BB413">
        <f ca="1"/>
      </c>
      <c r="BC413">
        <f ca="1"/>
      </c>
      <c r="BD413">
        <f ca="1"/>
      </c>
      <c r="BE413">
        <f ca="1"/>
      </c>
    </row>
    <row r="414" spans="31:57" x14ac:dyDescent="0.55000000000000004">
      <c r="AE414" s="7">
        <f ca="1"/>
      </c>
      <c r="AF414">
        <f ca="1"/>
      </c>
      <c r="AG414">
        <f ca="1"/>
      </c>
      <c r="AH414">
        <f ca="1"/>
      </c>
      <c r="AI414">
        <f ca="1"/>
      </c>
      <c r="AJ414">
        <f ca="1"/>
      </c>
      <c r="AK414">
        <f ca="1"/>
      </c>
      <c r="AL414">
        <f ca="1"/>
      </c>
      <c r="AM414">
        <f ca="1"/>
      </c>
      <c r="AN414">
        <f ca="1"/>
      </c>
      <c r="AO414">
        <f ca="1"/>
      </c>
      <c r="AP414">
        <f ca="1"/>
      </c>
      <c r="AQ414">
        <f ca="1"/>
      </c>
      <c r="AR414">
        <f ca="1"/>
      </c>
      <c r="AT414" s="7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BA414" s="7">
        <f ca="1"/>
      </c>
      <c r="BB414">
        <f ca="1"/>
      </c>
      <c r="BC414">
        <f ca="1"/>
      </c>
      <c r="BD414">
        <f ca="1"/>
      </c>
      <c r="BE414">
        <f ca="1"/>
      </c>
    </row>
    <row r="415" spans="31:57" x14ac:dyDescent="0.55000000000000004">
      <c r="AE415" s="7">
        <f ca="1"/>
      </c>
      <c r="AF415">
        <f ca="1"/>
      </c>
      <c r="AG415">
        <f ca="1"/>
      </c>
      <c r="AH415">
        <f ca="1"/>
      </c>
      <c r="AI415">
        <f ca="1"/>
      </c>
      <c r="AJ415">
        <f ca="1"/>
      </c>
      <c r="AK415">
        <f ca="1"/>
      </c>
      <c r="AL415">
        <f ca="1"/>
      </c>
      <c r="AM415">
        <f ca="1"/>
      </c>
      <c r="AN415">
        <f ca="1"/>
      </c>
      <c r="AO415">
        <f ca="1"/>
      </c>
      <c r="AP415">
        <f ca="1"/>
      </c>
      <c r="AQ415">
        <f ca="1"/>
      </c>
      <c r="AR415">
        <f ca="1"/>
      </c>
      <c r="AT415" s="7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BA415" s="7">
        <f ca="1"/>
      </c>
      <c r="BB415">
        <f ca="1"/>
      </c>
      <c r="BC415">
        <f ca="1"/>
      </c>
      <c r="BD415">
        <f ca="1"/>
      </c>
      <c r="BE415">
        <f ca="1"/>
      </c>
    </row>
    <row r="416" spans="31:57" x14ac:dyDescent="0.55000000000000004">
      <c r="AE416" s="7">
        <f ca="1"/>
      </c>
      <c r="AF416">
        <f ca="1"/>
      </c>
      <c r="AG416">
        <f ca="1"/>
      </c>
      <c r="AH416">
        <f ca="1"/>
      </c>
      <c r="AI416">
        <f ca="1"/>
      </c>
      <c r="AJ416">
        <f ca="1"/>
      </c>
      <c r="AK416">
        <f ca="1"/>
      </c>
      <c r="AL416">
        <f ca="1"/>
      </c>
      <c r="AM416">
        <f ca="1"/>
      </c>
      <c r="AN416">
        <f ca="1"/>
      </c>
      <c r="AO416">
        <f ca="1"/>
      </c>
      <c r="AP416">
        <f ca="1"/>
      </c>
      <c r="AQ416">
        <f ca="1"/>
      </c>
      <c r="AR416">
        <f ca="1"/>
      </c>
      <c r="AT416" s="7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BA416" s="7">
        <f ca="1"/>
      </c>
      <c r="BB416">
        <f ca="1"/>
      </c>
      <c r="BC416">
        <f ca="1"/>
      </c>
      <c r="BD416">
        <f ca="1"/>
      </c>
      <c r="BE416">
        <f ca="1"/>
      </c>
    </row>
    <row r="417" spans="31:57" x14ac:dyDescent="0.55000000000000004">
      <c r="AE417" s="7">
        <f ca="1"/>
      </c>
      <c r="AF417">
        <f ca="1"/>
      </c>
      <c r="AG417">
        <f ca="1"/>
      </c>
      <c r="AH417">
        <f ca="1"/>
      </c>
      <c r="AI417">
        <f ca="1"/>
      </c>
      <c r="AJ417">
        <f ca="1"/>
      </c>
      <c r="AK417">
        <f ca="1"/>
      </c>
      <c r="AL417">
        <f ca="1"/>
      </c>
      <c r="AM417">
        <f ca="1"/>
      </c>
      <c r="AN417">
        <f ca="1"/>
      </c>
      <c r="AO417">
        <f ca="1"/>
      </c>
      <c r="AP417">
        <f ca="1"/>
      </c>
      <c r="AQ417">
        <f ca="1"/>
      </c>
      <c r="AR417">
        <f ca="1"/>
      </c>
      <c r="AT417" s="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BA417" s="7">
        <f ca="1"/>
      </c>
      <c r="BB417">
        <f ca="1"/>
      </c>
      <c r="BC417">
        <f ca="1"/>
      </c>
      <c r="BD417">
        <f ca="1"/>
      </c>
      <c r="BE417">
        <f ca="1"/>
      </c>
    </row>
    <row r="418" spans="31:57" x14ac:dyDescent="0.55000000000000004">
      <c r="AE418" s="7">
        <f ca="1"/>
      </c>
      <c r="AF418">
        <f ca="1"/>
      </c>
      <c r="AG418">
        <f ca="1"/>
      </c>
      <c r="AH418">
        <f ca="1"/>
      </c>
      <c r="AI418">
        <f ca="1"/>
      </c>
      <c r="AJ418">
        <f ca="1"/>
      </c>
      <c r="AK418">
        <f ca="1"/>
      </c>
      <c r="AL418">
        <f ca="1"/>
      </c>
      <c r="AM418">
        <f ca="1"/>
      </c>
      <c r="AN418">
        <f ca="1"/>
      </c>
      <c r="AO418">
        <f ca="1"/>
      </c>
      <c r="AP418">
        <f ca="1"/>
      </c>
      <c r="AQ418">
        <f ca="1"/>
      </c>
      <c r="AR418">
        <f ca="1"/>
      </c>
      <c r="AT418" s="7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BA418" s="7">
        <f ca="1"/>
      </c>
      <c r="BB418">
        <f ca="1"/>
      </c>
      <c r="BC418">
        <f ca="1"/>
      </c>
      <c r="BD418">
        <f ca="1"/>
      </c>
      <c r="BE418">
        <f ca="1"/>
      </c>
    </row>
    <row r="419" spans="31:57" x14ac:dyDescent="0.55000000000000004">
      <c r="AE419" s="7">
        <f ca="1"/>
      </c>
      <c r="AF419">
        <f ca="1"/>
      </c>
      <c r="AG419">
        <f ca="1"/>
      </c>
      <c r="AH419">
        <f ca="1"/>
      </c>
      <c r="AI419">
        <f ca="1"/>
      </c>
      <c r="AJ419">
        <f ca="1"/>
      </c>
      <c r="AK419">
        <f ca="1"/>
      </c>
      <c r="AL419">
        <f ca="1"/>
      </c>
      <c r="AM419">
        <f ca="1"/>
      </c>
      <c r="AN419">
        <f ca="1"/>
      </c>
      <c r="AO419">
        <f ca="1"/>
      </c>
      <c r="AP419">
        <f ca="1"/>
      </c>
      <c r="AQ419">
        <f ca="1"/>
      </c>
      <c r="AR419">
        <f ca="1"/>
      </c>
      <c r="AT419" s="7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BA419" s="7">
        <f ca="1"/>
      </c>
      <c r="BB419">
        <f ca="1"/>
      </c>
      <c r="BC419">
        <f ca="1"/>
      </c>
      <c r="BD419">
        <f ca="1"/>
      </c>
      <c r="BE419">
        <f ca="1"/>
      </c>
    </row>
    <row r="420" spans="31:57" x14ac:dyDescent="0.55000000000000004">
      <c r="AE420" s="7">
        <f ca="1"/>
      </c>
      <c r="AF420">
        <f ca="1"/>
      </c>
      <c r="AG420">
        <f ca="1"/>
      </c>
      <c r="AH420">
        <f ca="1"/>
      </c>
      <c r="AI420">
        <f ca="1"/>
      </c>
      <c r="AJ420">
        <f ca="1"/>
      </c>
      <c r="AK420">
        <f ca="1"/>
      </c>
      <c r="AL420">
        <f ca="1"/>
      </c>
      <c r="AM420">
        <f ca="1"/>
      </c>
      <c r="AN420">
        <f ca="1"/>
      </c>
      <c r="AO420">
        <f ca="1"/>
      </c>
      <c r="AP420">
        <f ca="1"/>
      </c>
      <c r="AQ420">
        <f ca="1"/>
      </c>
      <c r="AR420">
        <f ca="1"/>
      </c>
      <c r="AT420" s="7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BA420" s="7">
        <f ca="1"/>
      </c>
      <c r="BB420">
        <f ca="1"/>
      </c>
      <c r="BC420">
        <f ca="1"/>
      </c>
      <c r="BD420">
        <f ca="1"/>
      </c>
      <c r="BE420">
        <f ca="1"/>
      </c>
    </row>
    <row r="421" spans="31:57" x14ac:dyDescent="0.55000000000000004">
      <c r="AE421" s="7">
        <f ca="1"/>
      </c>
      <c r="AF421">
        <f ca="1"/>
      </c>
      <c r="AG421">
        <f ca="1"/>
      </c>
      <c r="AH421">
        <f ca="1"/>
      </c>
      <c r="AI421">
        <f ca="1"/>
      </c>
      <c r="AJ421">
        <f ca="1"/>
      </c>
      <c r="AK421">
        <f ca="1"/>
      </c>
      <c r="AL421">
        <f ca="1"/>
      </c>
      <c r="AM421">
        <f ca="1"/>
      </c>
      <c r="AN421">
        <f ca="1"/>
      </c>
      <c r="AO421">
        <f ca="1"/>
      </c>
      <c r="AP421">
        <f ca="1"/>
      </c>
      <c r="AQ421">
        <f ca="1"/>
      </c>
      <c r="AR421">
        <f ca="1"/>
      </c>
      <c r="AT421" s="7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BA421" s="7">
        <f ca="1"/>
      </c>
      <c r="BB421">
        <f ca="1"/>
      </c>
      <c r="BC421">
        <f ca="1"/>
      </c>
      <c r="BD421">
        <f ca="1"/>
      </c>
      <c r="BE421">
        <f ca="1"/>
      </c>
    </row>
    <row r="422" spans="31:57" x14ac:dyDescent="0.55000000000000004">
      <c r="AE422" s="7">
        <f ca="1"/>
      </c>
      <c r="AF422">
        <f ca="1"/>
      </c>
      <c r="AG422">
        <f ca="1"/>
      </c>
      <c r="AH422">
        <f ca="1"/>
      </c>
      <c r="AI422">
        <f ca="1"/>
      </c>
      <c r="AJ422">
        <f ca="1"/>
      </c>
      <c r="AK422">
        <f ca="1"/>
      </c>
      <c r="AL422">
        <f ca="1"/>
      </c>
      <c r="AM422">
        <f ca="1"/>
      </c>
      <c r="AN422">
        <f ca="1"/>
      </c>
      <c r="AO422">
        <f ca="1"/>
      </c>
      <c r="AP422">
        <f ca="1"/>
      </c>
      <c r="AQ422">
        <f ca="1"/>
      </c>
      <c r="AR422">
        <f ca="1"/>
      </c>
      <c r="AT422" s="7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BA422" s="7">
        <f ca="1"/>
      </c>
      <c r="BB422">
        <f ca="1"/>
      </c>
      <c r="BC422">
        <f ca="1"/>
      </c>
      <c r="BD422">
        <f ca="1"/>
      </c>
      <c r="BE422">
        <f ca="1"/>
      </c>
    </row>
    <row r="423" spans="31:57" x14ac:dyDescent="0.55000000000000004">
      <c r="AE423" s="7">
        <f ca="1"/>
      </c>
      <c r="AF423">
        <f ca="1"/>
      </c>
      <c r="AG423">
        <f ca="1"/>
      </c>
      <c r="AH423">
        <f ca="1"/>
      </c>
      <c r="AI423">
        <f ca="1"/>
      </c>
      <c r="AJ423">
        <f ca="1"/>
      </c>
      <c r="AK423">
        <f ca="1"/>
      </c>
      <c r="AL423">
        <f ca="1"/>
      </c>
      <c r="AM423">
        <f ca="1"/>
      </c>
      <c r="AN423">
        <f ca="1"/>
      </c>
      <c r="AO423">
        <f ca="1"/>
      </c>
      <c r="AP423">
        <f ca="1"/>
      </c>
      <c r="AQ423">
        <f ca="1"/>
      </c>
      <c r="AR423">
        <f ca="1"/>
      </c>
      <c r="AT423" s="7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BA423" s="7">
        <f ca="1"/>
      </c>
      <c r="BB423">
        <f ca="1"/>
      </c>
      <c r="BC423">
        <f ca="1"/>
      </c>
      <c r="BD423">
        <f ca="1"/>
      </c>
      <c r="BE423">
        <f ca="1"/>
      </c>
    </row>
    <row r="424" spans="31:57" x14ac:dyDescent="0.55000000000000004">
      <c r="AE424" s="7">
        <f ca="1"/>
      </c>
      <c r="AF424">
        <f ca="1"/>
      </c>
      <c r="AG424">
        <f ca="1"/>
      </c>
      <c r="AH424">
        <f ca="1"/>
      </c>
      <c r="AI424">
        <f ca="1"/>
      </c>
      <c r="AJ424">
        <f ca="1"/>
      </c>
      <c r="AK424">
        <f ca="1"/>
      </c>
      <c r="AL424">
        <f ca="1"/>
      </c>
      <c r="AM424">
        <f ca="1"/>
      </c>
      <c r="AN424">
        <f ca="1"/>
      </c>
      <c r="AO424">
        <f ca="1"/>
      </c>
      <c r="AP424">
        <f ca="1"/>
      </c>
      <c r="AQ424">
        <f ca="1"/>
      </c>
      <c r="AR424">
        <f ca="1"/>
      </c>
      <c r="AT424" s="7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BA424" s="7">
        <f ca="1"/>
      </c>
      <c r="BB424">
        <f ca="1"/>
      </c>
      <c r="BC424">
        <f ca="1"/>
      </c>
      <c r="BD424">
        <f ca="1"/>
      </c>
      <c r="BE424">
        <f ca="1"/>
      </c>
    </row>
    <row r="425" spans="31:57" x14ac:dyDescent="0.55000000000000004">
      <c r="AE425" s="7">
        <f ca="1"/>
      </c>
      <c r="AF425">
        <f ca="1"/>
      </c>
      <c r="AG425">
        <f ca="1"/>
      </c>
      <c r="AH425">
        <f ca="1"/>
      </c>
      <c r="AI425">
        <f ca="1"/>
      </c>
      <c r="AJ425">
        <f ca="1"/>
      </c>
      <c r="AK425">
        <f ca="1"/>
      </c>
      <c r="AL425">
        <f ca="1"/>
      </c>
      <c r="AM425">
        <f ca="1"/>
      </c>
      <c r="AN425">
        <f ca="1"/>
      </c>
      <c r="AO425">
        <f ca="1"/>
      </c>
      <c r="AP425">
        <f ca="1"/>
      </c>
      <c r="AQ425">
        <f ca="1"/>
      </c>
      <c r="AR425">
        <f ca="1"/>
      </c>
      <c r="AT425" s="7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BA425" s="7">
        <f ca="1"/>
      </c>
      <c r="BB425">
        <f ca="1"/>
      </c>
      <c r="BC425">
        <f ca="1"/>
      </c>
      <c r="BD425">
        <f ca="1"/>
      </c>
      <c r="BE425">
        <f ca="1"/>
      </c>
    </row>
    <row r="426" spans="31:57" x14ac:dyDescent="0.55000000000000004">
      <c r="AE426" s="7">
        <f ca="1"/>
      </c>
      <c r="AF426">
        <f ca="1"/>
      </c>
      <c r="AG426">
        <f ca="1"/>
      </c>
      <c r="AH426">
        <f ca="1"/>
      </c>
      <c r="AI426">
        <f ca="1"/>
      </c>
      <c r="AJ426">
        <f ca="1"/>
      </c>
      <c r="AK426">
        <f ca="1"/>
      </c>
      <c r="AL426">
        <f ca="1"/>
      </c>
      <c r="AM426">
        <f ca="1"/>
      </c>
      <c r="AN426">
        <f ca="1"/>
      </c>
      <c r="AO426">
        <f ca="1"/>
      </c>
      <c r="AP426">
        <f ca="1"/>
      </c>
      <c r="AQ426">
        <f ca="1"/>
      </c>
      <c r="AR426">
        <f ca="1"/>
      </c>
      <c r="AT426" s="7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BA426" s="7">
        <f ca="1"/>
      </c>
      <c r="BB426">
        <f ca="1"/>
      </c>
      <c r="BC426">
        <f ca="1"/>
      </c>
      <c r="BD426">
        <f ca="1"/>
      </c>
      <c r="BE426">
        <f ca="1"/>
      </c>
    </row>
    <row r="427" spans="31:57" x14ac:dyDescent="0.55000000000000004">
      <c r="AE427" s="7">
        <f ca="1"/>
      </c>
      <c r="AF427">
        <f ca="1"/>
      </c>
      <c r="AG427">
        <f ca="1"/>
      </c>
      <c r="AH427">
        <f ca="1"/>
      </c>
      <c r="AI427">
        <f ca="1"/>
      </c>
      <c r="AJ427">
        <f ca="1"/>
      </c>
      <c r="AK427">
        <f ca="1"/>
      </c>
      <c r="AL427">
        <f ca="1"/>
      </c>
      <c r="AM427">
        <f ca="1"/>
      </c>
      <c r="AN427">
        <f ca="1"/>
      </c>
      <c r="AO427">
        <f ca="1"/>
      </c>
      <c r="AP427">
        <f ca="1"/>
      </c>
      <c r="AQ427">
        <f ca="1"/>
      </c>
      <c r="AR427">
        <f ca="1"/>
      </c>
      <c r="AT427" s="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BA427" s="7">
        <f ca="1"/>
      </c>
      <c r="BB427">
        <f ca="1"/>
      </c>
      <c r="BC427">
        <f ca="1"/>
      </c>
      <c r="BD427">
        <f ca="1"/>
      </c>
      <c r="BE427">
        <f ca="1"/>
      </c>
    </row>
    <row r="428" spans="31:57" x14ac:dyDescent="0.55000000000000004">
      <c r="AE428" s="7">
        <f ca="1"/>
      </c>
      <c r="AF428">
        <f ca="1"/>
      </c>
      <c r="AG428">
        <f ca="1"/>
      </c>
      <c r="AH428">
        <f ca="1"/>
      </c>
      <c r="AI428">
        <f ca="1"/>
      </c>
      <c r="AJ428">
        <f ca="1"/>
      </c>
      <c r="AK428">
        <f ca="1"/>
      </c>
      <c r="AL428">
        <f ca="1"/>
      </c>
      <c r="AM428">
        <f ca="1"/>
      </c>
      <c r="AN428">
        <f ca="1"/>
      </c>
      <c r="AO428">
        <f ca="1"/>
      </c>
      <c r="AP428">
        <f ca="1"/>
      </c>
      <c r="AQ428">
        <f ca="1"/>
      </c>
      <c r="AR428">
        <f ca="1"/>
      </c>
      <c r="AT428" s="7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BA428" s="7">
        <f ca="1"/>
      </c>
      <c r="BB428">
        <f ca="1"/>
      </c>
      <c r="BC428">
        <f ca="1"/>
      </c>
      <c r="BD428">
        <f ca="1"/>
      </c>
      <c r="BE428">
        <f ca="1"/>
      </c>
    </row>
    <row r="429" spans="31:57" x14ac:dyDescent="0.55000000000000004">
      <c r="AE429" s="7">
        <f ca="1"/>
      </c>
      <c r="AF429">
        <f ca="1"/>
      </c>
      <c r="AG429">
        <f ca="1"/>
      </c>
      <c r="AH429">
        <f ca="1"/>
      </c>
      <c r="AI429">
        <f ca="1"/>
      </c>
      <c r="AJ429">
        <f ca="1"/>
      </c>
      <c r="AK429">
        <f ca="1"/>
      </c>
      <c r="AL429">
        <f ca="1"/>
      </c>
      <c r="AM429">
        <f ca="1"/>
      </c>
      <c r="AN429">
        <f ca="1"/>
      </c>
      <c r="AO429">
        <f ca="1"/>
      </c>
      <c r="AP429">
        <f ca="1"/>
      </c>
      <c r="AQ429">
        <f ca="1"/>
      </c>
      <c r="AR429">
        <f ca="1"/>
      </c>
      <c r="AT429" s="7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BA429" s="7">
        <f ca="1"/>
      </c>
      <c r="BB429">
        <f ca="1"/>
      </c>
      <c r="BC429">
        <f ca="1"/>
      </c>
      <c r="BD429">
        <f ca="1"/>
      </c>
      <c r="BE429">
        <f ca="1"/>
      </c>
    </row>
    <row r="430" spans="31:57" x14ac:dyDescent="0.55000000000000004">
      <c r="AE430" s="7">
        <f ca="1"/>
      </c>
      <c r="AF430">
        <f ca="1"/>
      </c>
      <c r="AG430">
        <f ca="1"/>
      </c>
      <c r="AH430">
        <f ca="1"/>
      </c>
      <c r="AI430">
        <f ca="1"/>
      </c>
      <c r="AJ430">
        <f ca="1"/>
      </c>
      <c r="AK430">
        <f ca="1"/>
      </c>
      <c r="AL430">
        <f ca="1"/>
      </c>
      <c r="AM430">
        <f ca="1"/>
      </c>
      <c r="AN430">
        <f ca="1"/>
      </c>
      <c r="AO430">
        <f ca="1"/>
      </c>
      <c r="AP430">
        <f ca="1"/>
      </c>
      <c r="AQ430">
        <f ca="1"/>
      </c>
      <c r="AR430">
        <f ca="1"/>
      </c>
      <c r="AT430" s="7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BA430" s="7">
        <f ca="1"/>
      </c>
      <c r="BB430">
        <f ca="1"/>
      </c>
      <c r="BC430">
        <f ca="1"/>
      </c>
      <c r="BD430">
        <f ca="1"/>
      </c>
      <c r="BE430">
        <f ca="1"/>
      </c>
    </row>
    <row r="431" spans="31:57" x14ac:dyDescent="0.55000000000000004">
      <c r="AE431" s="7">
        <f ca="1"/>
      </c>
      <c r="AF431">
        <f ca="1"/>
      </c>
      <c r="AG431">
        <f ca="1"/>
      </c>
      <c r="AH431">
        <f ca="1"/>
      </c>
      <c r="AI431">
        <f ca="1"/>
      </c>
      <c r="AJ431">
        <f ca="1"/>
      </c>
      <c r="AK431">
        <f ca="1"/>
      </c>
      <c r="AL431">
        <f ca="1"/>
      </c>
      <c r="AM431">
        <f ca="1"/>
      </c>
      <c r="AN431">
        <f ca="1"/>
      </c>
      <c r="AO431">
        <f ca="1"/>
      </c>
      <c r="AP431">
        <f ca="1"/>
      </c>
      <c r="AQ431">
        <f ca="1"/>
      </c>
      <c r="AR431">
        <f ca="1"/>
      </c>
      <c r="AT431" s="7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BA431" s="7">
        <f ca="1"/>
      </c>
      <c r="BB431">
        <f ca="1"/>
      </c>
      <c r="BC431">
        <f ca="1"/>
      </c>
      <c r="BD431">
        <f ca="1"/>
      </c>
      <c r="BE431">
        <f ca="1"/>
      </c>
    </row>
    <row r="432" spans="31:57" x14ac:dyDescent="0.55000000000000004">
      <c r="AE432" s="7">
        <f ca="1"/>
      </c>
      <c r="AF432">
        <f ca="1"/>
      </c>
      <c r="AG432">
        <f ca="1"/>
      </c>
      <c r="AH432">
        <f ca="1"/>
      </c>
      <c r="AI432">
        <f ca="1"/>
      </c>
      <c r="AJ432">
        <f ca="1"/>
      </c>
      <c r="AK432">
        <f ca="1"/>
      </c>
      <c r="AL432">
        <f ca="1"/>
      </c>
      <c r="AM432">
        <f ca="1"/>
      </c>
      <c r="AN432">
        <f ca="1"/>
      </c>
      <c r="AO432">
        <f ca="1"/>
      </c>
      <c r="AP432">
        <f ca="1"/>
      </c>
      <c r="AQ432">
        <f ca="1"/>
      </c>
      <c r="AR432">
        <f ca="1"/>
      </c>
      <c r="AT432" s="7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BA432" s="7">
        <f ca="1"/>
      </c>
      <c r="BB432">
        <f ca="1"/>
      </c>
      <c r="BC432">
        <f ca="1"/>
      </c>
      <c r="BD432">
        <f ca="1"/>
      </c>
      <c r="BE432">
        <f ca="1"/>
      </c>
    </row>
    <row r="433" spans="31:57" x14ac:dyDescent="0.55000000000000004">
      <c r="AE433" s="7">
        <f ca="1"/>
      </c>
      <c r="AF433">
        <f ca="1"/>
      </c>
      <c r="AG433">
        <f ca="1"/>
      </c>
      <c r="AH433">
        <f ca="1"/>
      </c>
      <c r="AI433">
        <f ca="1"/>
      </c>
      <c r="AJ433">
        <f ca="1"/>
      </c>
      <c r="AK433">
        <f ca="1"/>
      </c>
      <c r="AL433">
        <f ca="1"/>
      </c>
      <c r="AM433">
        <f ca="1"/>
      </c>
      <c r="AN433">
        <f ca="1"/>
      </c>
      <c r="AO433">
        <f ca="1"/>
      </c>
      <c r="AP433">
        <f ca="1"/>
      </c>
      <c r="AQ433">
        <f ca="1"/>
      </c>
      <c r="AR433">
        <f ca="1"/>
      </c>
      <c r="AT433" s="7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BA433" s="7">
        <f ca="1"/>
      </c>
      <c r="BB433">
        <f ca="1"/>
      </c>
      <c r="BC433">
        <f ca="1"/>
      </c>
      <c r="BD433">
        <f ca="1"/>
      </c>
      <c r="BE433">
        <f ca="1"/>
      </c>
    </row>
    <row r="434" spans="31:57" x14ac:dyDescent="0.55000000000000004">
      <c r="AE434" s="7">
        <f ca="1"/>
      </c>
      <c r="AF434">
        <f ca="1"/>
      </c>
      <c r="AG434">
        <f ca="1"/>
      </c>
      <c r="AH434">
        <f ca="1"/>
      </c>
      <c r="AI434">
        <f ca="1"/>
      </c>
      <c r="AJ434">
        <f ca="1"/>
      </c>
      <c r="AK434">
        <f ca="1"/>
      </c>
      <c r="AL434">
        <f ca="1"/>
      </c>
      <c r="AM434">
        <f ca="1"/>
      </c>
      <c r="AN434">
        <f ca="1"/>
      </c>
      <c r="AO434">
        <f ca="1"/>
      </c>
      <c r="AP434">
        <f ca="1"/>
      </c>
      <c r="AQ434">
        <f ca="1"/>
      </c>
      <c r="AR434">
        <f ca="1"/>
      </c>
      <c r="AT434" s="7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BA434" s="7">
        <f ca="1"/>
      </c>
      <c r="BB434">
        <f ca="1"/>
      </c>
      <c r="BC434">
        <f ca="1"/>
      </c>
      <c r="BD434">
        <f ca="1"/>
      </c>
      <c r="BE434">
        <f ca="1"/>
      </c>
    </row>
    <row r="435" spans="31:57" x14ac:dyDescent="0.55000000000000004">
      <c r="AE435" s="7">
        <f ca="1"/>
      </c>
      <c r="AF435">
        <f ca="1"/>
      </c>
      <c r="AG435">
        <f ca="1"/>
      </c>
      <c r="AH435">
        <f ca="1"/>
      </c>
      <c r="AI435">
        <f ca="1"/>
      </c>
      <c r="AJ435">
        <f ca="1"/>
      </c>
      <c r="AK435">
        <f ca="1"/>
      </c>
      <c r="AL435">
        <f ca="1"/>
      </c>
      <c r="AM435">
        <f ca="1"/>
      </c>
      <c r="AN435">
        <f ca="1"/>
      </c>
      <c r="AO435">
        <f ca="1"/>
      </c>
      <c r="AP435">
        <f ca="1"/>
      </c>
      <c r="AQ435">
        <f ca="1"/>
      </c>
      <c r="AR435">
        <f ca="1"/>
      </c>
      <c r="AT435" s="7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BA435" s="7">
        <f ca="1"/>
      </c>
      <c r="BB435">
        <f ca="1"/>
      </c>
      <c r="BC435">
        <f ca="1"/>
      </c>
      <c r="BD435">
        <f ca="1"/>
      </c>
      <c r="BE435">
        <f ca="1"/>
      </c>
    </row>
    <row r="436" spans="31:57" x14ac:dyDescent="0.55000000000000004">
      <c r="AE436" s="7">
        <f ca="1"/>
      </c>
      <c r="AF436">
        <f ca="1"/>
      </c>
      <c r="AG436">
        <f ca="1"/>
      </c>
      <c r="AH436">
        <f ca="1"/>
      </c>
      <c r="AI436">
        <f ca="1"/>
      </c>
      <c r="AJ436">
        <f ca="1"/>
      </c>
      <c r="AK436">
        <f ca="1"/>
      </c>
      <c r="AL436">
        <f ca="1"/>
      </c>
      <c r="AM436">
        <f ca="1"/>
      </c>
      <c r="AN436">
        <f ca="1"/>
      </c>
      <c r="AO436">
        <f ca="1"/>
      </c>
      <c r="AP436">
        <f ca="1"/>
      </c>
      <c r="AQ436">
        <f ca="1"/>
      </c>
      <c r="AR436">
        <f ca="1"/>
      </c>
      <c r="AT436" s="7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BA436" s="7">
        <f ca="1"/>
      </c>
      <c r="BB436">
        <f ca="1"/>
      </c>
      <c r="BC436">
        <f ca="1"/>
      </c>
      <c r="BD436">
        <f ca="1"/>
      </c>
      <c r="BE436">
        <f ca="1"/>
      </c>
    </row>
    <row r="437" spans="31:57" x14ac:dyDescent="0.55000000000000004">
      <c r="AE437" s="7">
        <f ca="1"/>
      </c>
      <c r="AF437">
        <f ca="1"/>
      </c>
      <c r="AG437">
        <f ca="1"/>
      </c>
      <c r="AH437">
        <f ca="1"/>
      </c>
      <c r="AI437">
        <f ca="1"/>
      </c>
      <c r="AJ437">
        <f ca="1"/>
      </c>
      <c r="AK437">
        <f ca="1"/>
      </c>
      <c r="AL437">
        <f ca="1"/>
      </c>
      <c r="AM437">
        <f ca="1"/>
      </c>
      <c r="AN437">
        <f ca="1"/>
      </c>
      <c r="AO437">
        <f ca="1"/>
      </c>
      <c r="AP437">
        <f ca="1"/>
      </c>
      <c r="AQ437">
        <f ca="1"/>
      </c>
      <c r="AR437">
        <f ca="1"/>
      </c>
      <c r="AT437" s="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BA437" s="7">
        <f ca="1"/>
      </c>
      <c r="BB437">
        <f ca="1"/>
      </c>
      <c r="BC437">
        <f ca="1"/>
      </c>
      <c r="BD437">
        <f ca="1"/>
      </c>
      <c r="BE437">
        <f ca="1"/>
      </c>
    </row>
    <row r="438" spans="31:57" x14ac:dyDescent="0.55000000000000004">
      <c r="AE438" s="7">
        <f ca="1"/>
      </c>
      <c r="AF438">
        <f ca="1"/>
      </c>
      <c r="AG438">
        <f ca="1"/>
      </c>
      <c r="AH438">
        <f ca="1"/>
      </c>
      <c r="AI438">
        <f ca="1"/>
      </c>
      <c r="AJ438">
        <f ca="1"/>
      </c>
      <c r="AK438">
        <f ca="1"/>
      </c>
      <c r="AL438">
        <f ca="1"/>
      </c>
      <c r="AM438">
        <f ca="1"/>
      </c>
      <c r="AN438">
        <f ca="1"/>
      </c>
      <c r="AO438">
        <f ca="1"/>
      </c>
      <c r="AP438">
        <f ca="1"/>
      </c>
      <c r="AQ438">
        <f ca="1"/>
      </c>
      <c r="AR438">
        <f ca="1"/>
      </c>
      <c r="AT438" s="7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BA438" s="7">
        <f ca="1"/>
      </c>
      <c r="BB438">
        <f ca="1"/>
      </c>
      <c r="BC438">
        <f ca="1"/>
      </c>
      <c r="BD438">
        <f ca="1"/>
      </c>
      <c r="BE438">
        <f ca="1"/>
      </c>
    </row>
    <row r="439" spans="31:57" x14ac:dyDescent="0.55000000000000004">
      <c r="AE439" s="7">
        <f ca="1"/>
      </c>
      <c r="AF439">
        <f ca="1"/>
      </c>
      <c r="AG439">
        <f ca="1"/>
      </c>
      <c r="AH439">
        <f ca="1"/>
      </c>
      <c r="AI439">
        <f ca="1"/>
      </c>
      <c r="AJ439">
        <f ca="1"/>
      </c>
      <c r="AK439">
        <f ca="1"/>
      </c>
      <c r="AL439">
        <f ca="1"/>
      </c>
      <c r="AM439">
        <f ca="1"/>
      </c>
      <c r="AN439">
        <f ca="1"/>
      </c>
      <c r="AO439">
        <f ca="1"/>
      </c>
      <c r="AP439">
        <f ca="1"/>
      </c>
      <c r="AQ439">
        <f ca="1"/>
      </c>
      <c r="AR439">
        <f ca="1"/>
      </c>
      <c r="AT439" s="7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BA439" s="7">
        <f ca="1"/>
      </c>
      <c r="BB439">
        <f ca="1"/>
      </c>
      <c r="BC439">
        <f ca="1"/>
      </c>
      <c r="BD439">
        <f ca="1"/>
      </c>
      <c r="BE439">
        <f ca="1"/>
      </c>
    </row>
    <row r="440" spans="31:57" x14ac:dyDescent="0.55000000000000004">
      <c r="AE440" s="7">
        <f ca="1"/>
      </c>
      <c r="AF440">
        <f ca="1"/>
      </c>
      <c r="AG440">
        <f ca="1"/>
      </c>
      <c r="AH440">
        <f ca="1"/>
      </c>
      <c r="AI440">
        <f ca="1"/>
      </c>
      <c r="AJ440">
        <f ca="1"/>
      </c>
      <c r="AK440">
        <f ca="1"/>
      </c>
      <c r="AL440">
        <f ca="1"/>
      </c>
      <c r="AM440">
        <f ca="1"/>
      </c>
      <c r="AN440">
        <f ca="1"/>
      </c>
      <c r="AO440">
        <f ca="1"/>
      </c>
      <c r="AP440">
        <f ca="1"/>
      </c>
      <c r="AQ440">
        <f ca="1"/>
      </c>
      <c r="AR440">
        <f ca="1"/>
      </c>
      <c r="AT440" s="7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BA440" s="7">
        <f ca="1"/>
      </c>
      <c r="BB440">
        <f ca="1"/>
      </c>
      <c r="BC440">
        <f ca="1"/>
      </c>
      <c r="BD440">
        <f ca="1"/>
      </c>
      <c r="BE440">
        <f ca="1"/>
      </c>
    </row>
    <row r="441" spans="31:57" x14ac:dyDescent="0.55000000000000004">
      <c r="AE441" s="7">
        <f ca="1"/>
      </c>
      <c r="AF441">
        <f ca="1"/>
      </c>
      <c r="AG441">
        <f ca="1"/>
      </c>
      <c r="AH441">
        <f ca="1"/>
      </c>
      <c r="AI441">
        <f ca="1"/>
      </c>
      <c r="AJ441">
        <f ca="1"/>
      </c>
      <c r="AK441">
        <f ca="1"/>
      </c>
      <c r="AL441">
        <f ca="1"/>
      </c>
      <c r="AM441">
        <f ca="1"/>
      </c>
      <c r="AN441">
        <f ca="1"/>
      </c>
      <c r="AO441">
        <f ca="1"/>
      </c>
      <c r="AP441">
        <f ca="1"/>
      </c>
      <c r="AQ441">
        <f ca="1"/>
      </c>
      <c r="AR441">
        <f ca="1"/>
      </c>
      <c r="AT441" s="7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BA441" s="7">
        <f ca="1"/>
      </c>
      <c r="BB441">
        <f ca="1"/>
      </c>
      <c r="BC441">
        <f ca="1"/>
      </c>
      <c r="BD441">
        <f ca="1"/>
      </c>
      <c r="BE441">
        <f ca="1"/>
      </c>
    </row>
    <row r="442" spans="31:57" x14ac:dyDescent="0.55000000000000004">
      <c r="AE442" s="7">
        <f ca="1"/>
      </c>
      <c r="AF442">
        <f ca="1"/>
      </c>
      <c r="AG442">
        <f ca="1"/>
      </c>
      <c r="AH442">
        <f ca="1"/>
      </c>
      <c r="AI442">
        <f ca="1"/>
      </c>
      <c r="AJ442">
        <f ca="1"/>
      </c>
      <c r="AK442">
        <f ca="1"/>
      </c>
      <c r="AL442">
        <f ca="1"/>
      </c>
      <c r="AM442">
        <f ca="1"/>
      </c>
      <c r="AN442">
        <f ca="1"/>
      </c>
      <c r="AO442">
        <f ca="1"/>
      </c>
      <c r="AP442">
        <f ca="1"/>
      </c>
      <c r="AQ442">
        <f ca="1"/>
      </c>
      <c r="AR442">
        <f ca="1"/>
      </c>
      <c r="AT442" s="7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BA442" s="7">
        <f ca="1"/>
      </c>
      <c r="BB442">
        <f ca="1"/>
      </c>
      <c r="BC442">
        <f ca="1"/>
      </c>
      <c r="BD442">
        <f ca="1"/>
      </c>
      <c r="BE442">
        <f ca="1"/>
      </c>
    </row>
    <row r="443" spans="31:57" x14ac:dyDescent="0.55000000000000004">
      <c r="AE443" s="7">
        <f ca="1"/>
      </c>
      <c r="AF443">
        <f ca="1"/>
      </c>
      <c r="AG443">
        <f ca="1"/>
      </c>
      <c r="AH443">
        <f ca="1"/>
      </c>
      <c r="AI443">
        <f ca="1"/>
      </c>
      <c r="AJ443">
        <f ca="1"/>
      </c>
      <c r="AK443">
        <f ca="1"/>
      </c>
      <c r="AL443">
        <f ca="1"/>
      </c>
      <c r="AM443">
        <f ca="1"/>
      </c>
      <c r="AN443">
        <f ca="1"/>
      </c>
      <c r="AO443">
        <f ca="1"/>
      </c>
      <c r="AP443">
        <f ca="1"/>
      </c>
      <c r="AQ443">
        <f ca="1"/>
      </c>
      <c r="AR443">
        <f ca="1"/>
      </c>
      <c r="AT443" s="7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BA443" s="7">
        <f ca="1"/>
      </c>
      <c r="BB443">
        <f ca="1"/>
      </c>
      <c r="BC443">
        <f ca="1"/>
      </c>
      <c r="BD443">
        <f ca="1"/>
      </c>
      <c r="BE443">
        <f ca="1"/>
      </c>
    </row>
    <row r="444" spans="31:57" x14ac:dyDescent="0.55000000000000004">
      <c r="AE444" s="7">
        <f ca="1"/>
      </c>
      <c r="AF444">
        <f ca="1"/>
      </c>
      <c r="AG444">
        <f ca="1"/>
      </c>
      <c r="AH444">
        <f ca="1"/>
      </c>
      <c r="AI444">
        <f ca="1"/>
      </c>
      <c r="AJ444">
        <f ca="1"/>
      </c>
      <c r="AK444">
        <f ca="1"/>
      </c>
      <c r="AL444">
        <f ca="1"/>
      </c>
      <c r="AM444">
        <f ca="1"/>
      </c>
      <c r="AN444">
        <f ca="1"/>
      </c>
      <c r="AO444">
        <f ca="1"/>
      </c>
      <c r="AP444">
        <f ca="1"/>
      </c>
      <c r="AQ444">
        <f ca="1"/>
      </c>
      <c r="AR444">
        <f ca="1"/>
      </c>
      <c r="AT444" s="7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BA444" s="7">
        <f ca="1"/>
      </c>
      <c r="BB444">
        <f ca="1"/>
      </c>
      <c r="BC444">
        <f ca="1"/>
      </c>
      <c r="BD444">
        <f ca="1"/>
      </c>
      <c r="BE444">
        <f ca="1"/>
      </c>
    </row>
    <row r="445" spans="31:57" x14ac:dyDescent="0.55000000000000004">
      <c r="AE445" s="7">
        <f ca="1"/>
      </c>
      <c r="AF445">
        <f ca="1"/>
      </c>
      <c r="AG445">
        <f ca="1"/>
      </c>
      <c r="AH445">
        <f ca="1"/>
      </c>
      <c r="AI445">
        <f ca="1"/>
      </c>
      <c r="AJ445">
        <f ca="1"/>
      </c>
      <c r="AK445">
        <f ca="1"/>
      </c>
      <c r="AL445">
        <f ca="1"/>
      </c>
      <c r="AM445">
        <f ca="1"/>
      </c>
      <c r="AN445">
        <f ca="1"/>
      </c>
      <c r="AO445">
        <f ca="1"/>
      </c>
      <c r="AP445">
        <f ca="1"/>
      </c>
      <c r="AQ445">
        <f ca="1"/>
      </c>
      <c r="AR445">
        <f ca="1"/>
      </c>
      <c r="AT445" s="7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BA445" s="7">
        <f ca="1"/>
      </c>
      <c r="BB445">
        <f ca="1"/>
      </c>
      <c r="BC445">
        <f ca="1"/>
      </c>
      <c r="BD445">
        <f ca="1"/>
      </c>
      <c r="BE445">
        <f ca="1"/>
      </c>
    </row>
    <row r="446" spans="31:57" x14ac:dyDescent="0.55000000000000004">
      <c r="AE446" s="7">
        <f ca="1"/>
      </c>
      <c r="AF446">
        <f ca="1"/>
      </c>
      <c r="AG446">
        <f ca="1"/>
      </c>
      <c r="AH446">
        <f ca="1"/>
      </c>
      <c r="AI446">
        <f ca="1"/>
      </c>
      <c r="AJ446">
        <f ca="1"/>
      </c>
      <c r="AK446">
        <f ca="1"/>
      </c>
      <c r="AL446">
        <f ca="1"/>
      </c>
      <c r="AM446">
        <f ca="1"/>
      </c>
      <c r="AN446">
        <f ca="1"/>
      </c>
      <c r="AO446">
        <f ca="1"/>
      </c>
      <c r="AP446">
        <f ca="1"/>
      </c>
      <c r="AQ446">
        <f ca="1"/>
      </c>
      <c r="AR446">
        <f ca="1"/>
      </c>
      <c r="AT446" s="7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BA446" s="7">
        <f ca="1"/>
      </c>
      <c r="BB446">
        <f ca="1"/>
      </c>
      <c r="BC446">
        <f ca="1"/>
      </c>
      <c r="BD446">
        <f ca="1"/>
      </c>
      <c r="BE446">
        <f ca="1"/>
      </c>
    </row>
    <row r="447" spans="31:57" x14ac:dyDescent="0.55000000000000004">
      <c r="AE447" s="7">
        <f ca="1"/>
      </c>
      <c r="AF447">
        <f ca="1"/>
      </c>
      <c r="AG447">
        <f ca="1"/>
      </c>
      <c r="AH447">
        <f ca="1"/>
      </c>
      <c r="AI447">
        <f ca="1"/>
      </c>
      <c r="AJ447">
        <f ca="1"/>
      </c>
      <c r="AK447">
        <f ca="1"/>
      </c>
      <c r="AL447">
        <f ca="1"/>
      </c>
      <c r="AM447">
        <f ca="1"/>
      </c>
      <c r="AN447">
        <f ca="1"/>
      </c>
      <c r="AO447">
        <f ca="1"/>
      </c>
      <c r="AP447">
        <f ca="1"/>
      </c>
      <c r="AQ447">
        <f ca="1"/>
      </c>
      <c r="AR447">
        <f ca="1"/>
      </c>
      <c r="AT447" s="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BA447" s="7">
        <f ca="1"/>
      </c>
      <c r="BB447">
        <f ca="1"/>
      </c>
      <c r="BC447">
        <f ca="1"/>
      </c>
      <c r="BD447">
        <f ca="1"/>
      </c>
      <c r="BE447">
        <f ca="1"/>
      </c>
    </row>
    <row r="448" spans="31:57" x14ac:dyDescent="0.55000000000000004">
      <c r="AE448" s="7">
        <f ca="1"/>
      </c>
      <c r="AF448">
        <f ca="1"/>
      </c>
      <c r="AG448">
        <f ca="1"/>
      </c>
      <c r="AH448">
        <f ca="1"/>
      </c>
      <c r="AI448">
        <f ca="1"/>
      </c>
      <c r="AJ448">
        <f ca="1"/>
      </c>
      <c r="AK448">
        <f ca="1"/>
      </c>
      <c r="AL448">
        <f ca="1"/>
      </c>
      <c r="AM448">
        <f ca="1"/>
      </c>
      <c r="AN448">
        <f ca="1"/>
      </c>
      <c r="AO448">
        <f ca="1"/>
      </c>
      <c r="AP448">
        <f ca="1"/>
      </c>
      <c r="AQ448">
        <f ca="1"/>
      </c>
      <c r="AR448">
        <f ca="1"/>
      </c>
      <c r="AT448" s="7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BA448" s="7">
        <f ca="1"/>
      </c>
      <c r="BB448">
        <f ca="1"/>
      </c>
      <c r="BC448">
        <f ca="1"/>
      </c>
      <c r="BD448">
        <f ca="1"/>
      </c>
      <c r="BE448">
        <f ca="1"/>
      </c>
    </row>
    <row r="449" spans="31:57" x14ac:dyDescent="0.55000000000000004">
      <c r="AE449" s="7">
        <f ca="1"/>
      </c>
      <c r="AF449">
        <f ca="1"/>
      </c>
      <c r="AG449">
        <f ca="1"/>
      </c>
      <c r="AH449">
        <f ca="1"/>
      </c>
      <c r="AI449">
        <f ca="1"/>
      </c>
      <c r="AJ449">
        <f ca="1"/>
      </c>
      <c r="AK449">
        <f ca="1"/>
      </c>
      <c r="AL449">
        <f ca="1"/>
      </c>
      <c r="AM449">
        <f ca="1"/>
      </c>
      <c r="AN449">
        <f ca="1"/>
      </c>
      <c r="AO449">
        <f ca="1"/>
      </c>
      <c r="AP449">
        <f ca="1"/>
      </c>
      <c r="AQ449">
        <f ca="1"/>
      </c>
      <c r="AR449">
        <f ca="1"/>
      </c>
      <c r="AT449" s="7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BA449" s="7">
        <f ca="1"/>
      </c>
      <c r="BB449">
        <f ca="1"/>
      </c>
      <c r="BC449">
        <f ca="1"/>
      </c>
      <c r="BD449">
        <f ca="1"/>
      </c>
      <c r="BE449">
        <f ca="1"/>
      </c>
    </row>
    <row r="450" spans="31:57" x14ac:dyDescent="0.55000000000000004">
      <c r="AE450" s="7">
        <f ca="1"/>
      </c>
      <c r="AF450">
        <f ca="1"/>
      </c>
      <c r="AG450">
        <f ca="1"/>
      </c>
      <c r="AH450">
        <f ca="1"/>
      </c>
      <c r="AI450">
        <f ca="1"/>
      </c>
      <c r="AJ450">
        <f ca="1"/>
      </c>
      <c r="AK450">
        <f ca="1"/>
      </c>
      <c r="AL450">
        <f ca="1"/>
      </c>
      <c r="AM450">
        <f ca="1"/>
      </c>
      <c r="AN450">
        <f ca="1"/>
      </c>
      <c r="AO450">
        <f ca="1"/>
      </c>
      <c r="AP450">
        <f ca="1"/>
      </c>
      <c r="AQ450">
        <f ca="1"/>
      </c>
      <c r="AR450">
        <f ca="1"/>
      </c>
      <c r="AT450" s="7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BA450" s="7">
        <f ca="1"/>
      </c>
      <c r="BB450">
        <f ca="1"/>
      </c>
      <c r="BC450">
        <f ca="1"/>
      </c>
      <c r="BD450">
        <f ca="1"/>
      </c>
      <c r="BE450">
        <f ca="1"/>
      </c>
    </row>
    <row r="451" spans="31:57" x14ac:dyDescent="0.55000000000000004">
      <c r="AE451" s="7">
        <f ca="1"/>
      </c>
      <c r="AF451">
        <f ca="1"/>
      </c>
      <c r="AG451">
        <f ca="1"/>
      </c>
      <c r="AH451">
        <f ca="1"/>
      </c>
      <c r="AI451">
        <f ca="1"/>
      </c>
      <c r="AJ451">
        <f ca="1"/>
      </c>
      <c r="AK451">
        <f ca="1"/>
      </c>
      <c r="AL451">
        <f ca="1"/>
      </c>
      <c r="AM451">
        <f ca="1"/>
      </c>
      <c r="AN451">
        <f ca="1"/>
      </c>
      <c r="AO451">
        <f ca="1"/>
      </c>
      <c r="AP451">
        <f ca="1"/>
      </c>
      <c r="AQ451">
        <f ca="1"/>
      </c>
      <c r="AR451">
        <f ca="1"/>
      </c>
      <c r="AT451" s="7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BA451" s="7">
        <f ca="1"/>
      </c>
      <c r="BB451">
        <f ca="1"/>
      </c>
      <c r="BC451">
        <f ca="1"/>
      </c>
      <c r="BD451">
        <f ca="1"/>
      </c>
      <c r="BE451">
        <f ca="1"/>
      </c>
    </row>
    <row r="452" spans="31:57" x14ac:dyDescent="0.55000000000000004">
      <c r="AE452" s="7">
        <f ca="1"/>
      </c>
      <c r="AF452">
        <f ca="1"/>
      </c>
      <c r="AG452">
        <f ca="1"/>
      </c>
      <c r="AH452">
        <f ca="1"/>
      </c>
      <c r="AI452">
        <f ca="1"/>
      </c>
      <c r="AJ452">
        <f ca="1"/>
      </c>
      <c r="AK452">
        <f ca="1"/>
      </c>
      <c r="AL452">
        <f ca="1"/>
      </c>
      <c r="AM452">
        <f ca="1"/>
      </c>
      <c r="AN452">
        <f ca="1"/>
      </c>
      <c r="AO452">
        <f ca="1"/>
      </c>
      <c r="AP452">
        <f ca="1"/>
      </c>
      <c r="AQ452">
        <f ca="1"/>
      </c>
      <c r="AR452">
        <f ca="1"/>
      </c>
      <c r="AT452" s="7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BA452" s="7">
        <f ca="1"/>
      </c>
      <c r="BB452">
        <f ca="1"/>
      </c>
      <c r="BC452">
        <f ca="1"/>
      </c>
      <c r="BD452">
        <f ca="1"/>
      </c>
      <c r="BE452">
        <f ca="1"/>
      </c>
    </row>
    <row r="453" spans="31:57" x14ac:dyDescent="0.55000000000000004">
      <c r="AE453" s="7">
        <f ca="1"/>
      </c>
      <c r="AF453">
        <f ca="1"/>
      </c>
      <c r="AG453">
        <f ca="1"/>
      </c>
      <c r="AH453">
        <f ca="1"/>
      </c>
      <c r="AI453">
        <f ca="1"/>
      </c>
      <c r="AJ453">
        <f ca="1"/>
      </c>
      <c r="AK453">
        <f ca="1"/>
      </c>
      <c r="AL453">
        <f ca="1"/>
      </c>
      <c r="AM453">
        <f ca="1"/>
      </c>
      <c r="AN453">
        <f ca="1"/>
      </c>
      <c r="AO453">
        <f ca="1"/>
      </c>
      <c r="AP453">
        <f ca="1"/>
      </c>
      <c r="AQ453">
        <f ca="1"/>
      </c>
      <c r="AR453">
        <f ca="1"/>
      </c>
      <c r="AT453" s="7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BA453" s="7">
        <f ca="1"/>
      </c>
      <c r="BB453">
        <f ca="1"/>
      </c>
      <c r="BC453">
        <f ca="1"/>
      </c>
      <c r="BD453">
        <f ca="1"/>
      </c>
      <c r="BE453">
        <f ca="1"/>
      </c>
    </row>
    <row r="454" spans="31:57" x14ac:dyDescent="0.55000000000000004">
      <c r="AE454" s="7">
        <f ca="1"/>
      </c>
      <c r="AF454">
        <f ca="1"/>
      </c>
      <c r="AG454">
        <f ca="1"/>
      </c>
      <c r="AH454">
        <f ca="1"/>
      </c>
      <c r="AI454">
        <f ca="1"/>
      </c>
      <c r="AJ454">
        <f ca="1"/>
      </c>
      <c r="AK454">
        <f ca="1"/>
      </c>
      <c r="AL454">
        <f ca="1"/>
      </c>
      <c r="AM454">
        <f ca="1"/>
      </c>
      <c r="AN454">
        <f ca="1"/>
      </c>
      <c r="AO454">
        <f ca="1"/>
      </c>
      <c r="AP454">
        <f ca="1"/>
      </c>
      <c r="AQ454">
        <f ca="1"/>
      </c>
      <c r="AR454">
        <f ca="1"/>
      </c>
      <c r="AT454" s="7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BA454" s="7">
        <f ca="1"/>
      </c>
      <c r="BB454">
        <f ca="1"/>
      </c>
      <c r="BC454">
        <f ca="1"/>
      </c>
      <c r="BD454">
        <f ca="1"/>
      </c>
      <c r="BE454">
        <f ca="1"/>
      </c>
    </row>
    <row r="455" spans="31:57" x14ac:dyDescent="0.55000000000000004">
      <c r="AE455" s="7">
        <f ca="1"/>
      </c>
      <c r="AF455">
        <f ca="1"/>
      </c>
      <c r="AG455">
        <f ca="1"/>
      </c>
      <c r="AH455">
        <f ca="1"/>
      </c>
      <c r="AI455">
        <f ca="1"/>
      </c>
      <c r="AJ455">
        <f ca="1"/>
      </c>
      <c r="AK455">
        <f ca="1"/>
      </c>
      <c r="AL455">
        <f ca="1"/>
      </c>
      <c r="AM455">
        <f ca="1"/>
      </c>
      <c r="AN455">
        <f ca="1"/>
      </c>
      <c r="AO455">
        <f ca="1"/>
      </c>
      <c r="AP455">
        <f ca="1"/>
      </c>
      <c r="AQ455">
        <f ca="1"/>
      </c>
      <c r="AR455">
        <f ca="1"/>
      </c>
      <c r="AT455" s="7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BA455" s="7">
        <f ca="1"/>
      </c>
      <c r="BB455">
        <f ca="1"/>
      </c>
      <c r="BC455">
        <f ca="1"/>
      </c>
      <c r="BD455">
        <f ca="1"/>
      </c>
      <c r="BE455">
        <f ca="1"/>
      </c>
    </row>
    <row r="456" spans="31:57" x14ac:dyDescent="0.55000000000000004">
      <c r="AE456" s="7">
        <f ca="1"/>
      </c>
      <c r="AF456">
        <f ca="1"/>
      </c>
      <c r="AG456">
        <f ca="1"/>
      </c>
      <c r="AH456">
        <f ca="1"/>
      </c>
      <c r="AI456">
        <f ca="1"/>
      </c>
      <c r="AJ456">
        <f ca="1"/>
      </c>
      <c r="AK456">
        <f ca="1"/>
      </c>
      <c r="AL456">
        <f ca="1"/>
      </c>
      <c r="AM456">
        <f ca="1"/>
      </c>
      <c r="AN456">
        <f ca="1"/>
      </c>
      <c r="AO456">
        <f ca="1"/>
      </c>
      <c r="AP456">
        <f ca="1"/>
      </c>
      <c r="AQ456">
        <f ca="1"/>
      </c>
      <c r="AR456">
        <f ca="1"/>
      </c>
      <c r="AT456" s="7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BA456" s="7">
        <f ca="1"/>
      </c>
      <c r="BB456">
        <f ca="1"/>
      </c>
      <c r="BC456">
        <f ca="1"/>
      </c>
      <c r="BD456">
        <f ca="1"/>
      </c>
      <c r="BE456">
        <f ca="1"/>
      </c>
    </row>
    <row r="457" spans="31:57" x14ac:dyDescent="0.55000000000000004">
      <c r="AE457" s="7">
        <f ca="1"/>
      </c>
      <c r="AF457">
        <f ca="1"/>
      </c>
      <c r="AG457">
        <f ca="1"/>
      </c>
      <c r="AH457">
        <f ca="1"/>
      </c>
      <c r="AI457">
        <f ca="1"/>
      </c>
      <c r="AJ457">
        <f ca="1"/>
      </c>
      <c r="AK457">
        <f ca="1"/>
      </c>
      <c r="AL457">
        <f ca="1"/>
      </c>
      <c r="AM457">
        <f ca="1"/>
      </c>
      <c r="AN457">
        <f ca="1"/>
      </c>
      <c r="AO457">
        <f ca="1"/>
      </c>
      <c r="AP457">
        <f ca="1"/>
      </c>
      <c r="AQ457">
        <f ca="1"/>
      </c>
      <c r="AR457">
        <f ca="1"/>
      </c>
      <c r="AT457" s="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BA457" s="7">
        <f ca="1"/>
      </c>
      <c r="BB457">
        <f ca="1"/>
      </c>
      <c r="BC457">
        <f ca="1"/>
      </c>
      <c r="BD457">
        <f ca="1"/>
      </c>
      <c r="BE457">
        <f ca="1"/>
      </c>
    </row>
    <row r="458" spans="31:57" x14ac:dyDescent="0.55000000000000004">
      <c r="AE458" s="7">
        <f ca="1"/>
      </c>
      <c r="AF458">
        <f ca="1"/>
      </c>
      <c r="AG458">
        <f ca="1"/>
      </c>
      <c r="AH458">
        <f ca="1"/>
      </c>
      <c r="AI458">
        <f ca="1"/>
      </c>
      <c r="AJ458">
        <f ca="1"/>
      </c>
      <c r="AK458">
        <f ca="1"/>
      </c>
      <c r="AL458">
        <f ca="1"/>
      </c>
      <c r="AM458">
        <f ca="1"/>
      </c>
      <c r="AN458">
        <f ca="1"/>
      </c>
      <c r="AO458">
        <f ca="1"/>
      </c>
      <c r="AP458">
        <f ca="1"/>
      </c>
      <c r="AQ458">
        <f ca="1"/>
      </c>
      <c r="AR458">
        <f ca="1"/>
      </c>
      <c r="AT458" s="7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BA458" s="7">
        <f ca="1"/>
      </c>
      <c r="BB458">
        <f ca="1"/>
      </c>
      <c r="BC458">
        <f ca="1"/>
      </c>
      <c r="BD458">
        <f ca="1"/>
      </c>
      <c r="BE458">
        <f ca="1"/>
      </c>
    </row>
    <row r="459" spans="31:57" x14ac:dyDescent="0.55000000000000004">
      <c r="AE459" s="7">
        <f ca="1"/>
      </c>
      <c r="AF459">
        <f ca="1"/>
      </c>
      <c r="AG459">
        <f ca="1"/>
      </c>
      <c r="AH459">
        <f ca="1"/>
      </c>
      <c r="AI459">
        <f ca="1"/>
      </c>
      <c r="AJ459">
        <f ca="1"/>
      </c>
      <c r="AK459">
        <f ca="1"/>
      </c>
      <c r="AL459">
        <f ca="1"/>
      </c>
      <c r="AM459">
        <f ca="1"/>
      </c>
      <c r="AN459">
        <f ca="1"/>
      </c>
      <c r="AO459">
        <f ca="1"/>
      </c>
      <c r="AP459">
        <f ca="1"/>
      </c>
      <c r="AQ459">
        <f ca="1"/>
      </c>
      <c r="AR459">
        <f ca="1"/>
      </c>
      <c r="AT459" s="7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BA459" s="7">
        <f ca="1"/>
      </c>
      <c r="BB459">
        <f ca="1"/>
      </c>
      <c r="BC459">
        <f ca="1"/>
      </c>
      <c r="BD459">
        <f ca="1"/>
      </c>
      <c r="BE459">
        <f ca="1"/>
      </c>
    </row>
    <row r="460" spans="31:57" x14ac:dyDescent="0.55000000000000004">
      <c r="AE460" s="7">
        <f ca="1"/>
      </c>
      <c r="AF460">
        <f ca="1"/>
      </c>
      <c r="AG460">
        <f ca="1"/>
      </c>
      <c r="AH460">
        <f ca="1"/>
      </c>
      <c r="AI460">
        <f ca="1"/>
      </c>
      <c r="AJ460">
        <f ca="1"/>
      </c>
      <c r="AK460">
        <f ca="1"/>
      </c>
      <c r="AL460">
        <f ca="1"/>
      </c>
      <c r="AM460">
        <f ca="1"/>
      </c>
      <c r="AN460">
        <f ca="1"/>
      </c>
      <c r="AO460">
        <f ca="1"/>
      </c>
      <c r="AP460">
        <f ca="1"/>
      </c>
      <c r="AQ460">
        <f ca="1"/>
      </c>
      <c r="AR460">
        <f ca="1"/>
      </c>
      <c r="AT460" s="7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BA460" s="7">
        <f ca="1"/>
      </c>
      <c r="BB460">
        <f ca="1"/>
      </c>
      <c r="BC460">
        <f ca="1"/>
      </c>
      <c r="BD460">
        <f ca="1"/>
      </c>
      <c r="BE460">
        <f ca="1"/>
      </c>
    </row>
    <row r="461" spans="31:57" x14ac:dyDescent="0.55000000000000004">
      <c r="AE461" s="7">
        <f ca="1"/>
      </c>
      <c r="AF461">
        <f ca="1"/>
      </c>
      <c r="AG461">
        <f ca="1"/>
      </c>
      <c r="AH461">
        <f ca="1"/>
      </c>
      <c r="AI461">
        <f ca="1"/>
      </c>
      <c r="AJ461">
        <f ca="1"/>
      </c>
      <c r="AK461">
        <f ca="1"/>
      </c>
      <c r="AL461">
        <f ca="1"/>
      </c>
      <c r="AM461">
        <f ca="1"/>
      </c>
      <c r="AN461">
        <f ca="1"/>
      </c>
      <c r="AO461">
        <f ca="1"/>
      </c>
      <c r="AP461">
        <f ca="1"/>
      </c>
      <c r="AQ461">
        <f ca="1"/>
      </c>
      <c r="AR461">
        <f ca="1"/>
      </c>
      <c r="AT461" s="7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BA461" s="7">
        <f ca="1"/>
      </c>
      <c r="BB461">
        <f ca="1"/>
      </c>
      <c r="BC461">
        <f ca="1"/>
      </c>
      <c r="BD461">
        <f ca="1"/>
      </c>
      <c r="BE461">
        <f ca="1"/>
      </c>
    </row>
    <row r="462" spans="31:57" x14ac:dyDescent="0.55000000000000004">
      <c r="AE462" s="7">
        <f ca="1"/>
      </c>
      <c r="AF462">
        <f ca="1"/>
      </c>
      <c r="AG462">
        <f ca="1"/>
      </c>
      <c r="AH462">
        <f ca="1"/>
      </c>
      <c r="AI462">
        <f ca="1"/>
      </c>
      <c r="AJ462">
        <f ca="1"/>
      </c>
      <c r="AK462">
        <f ca="1"/>
      </c>
      <c r="AL462">
        <f ca="1"/>
      </c>
      <c r="AM462">
        <f ca="1"/>
      </c>
      <c r="AN462">
        <f ca="1"/>
      </c>
      <c r="AO462">
        <f ca="1"/>
      </c>
      <c r="AP462">
        <f ca="1"/>
      </c>
      <c r="AQ462">
        <f ca="1"/>
      </c>
      <c r="AR462">
        <f ca="1"/>
      </c>
      <c r="AT462" s="7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BA462" s="7">
        <f ca="1"/>
      </c>
      <c r="BB462">
        <f ca="1"/>
      </c>
      <c r="BC462">
        <f ca="1"/>
      </c>
      <c r="BD462">
        <f ca="1"/>
      </c>
      <c r="BE462">
        <f ca="1"/>
      </c>
    </row>
    <row r="463" spans="31:57" x14ac:dyDescent="0.55000000000000004">
      <c r="AE463" s="7">
        <f ca="1"/>
      </c>
      <c r="AF463">
        <f ca="1"/>
      </c>
      <c r="AG463">
        <f ca="1"/>
      </c>
      <c r="AH463">
        <f ca="1"/>
      </c>
      <c r="AI463">
        <f ca="1"/>
      </c>
      <c r="AJ463">
        <f ca="1"/>
      </c>
      <c r="AK463">
        <f ca="1"/>
      </c>
      <c r="AL463">
        <f ca="1"/>
      </c>
      <c r="AM463">
        <f ca="1"/>
      </c>
      <c r="AN463">
        <f ca="1"/>
      </c>
      <c r="AO463">
        <f ca="1"/>
      </c>
      <c r="AP463">
        <f ca="1"/>
      </c>
      <c r="AQ463">
        <f ca="1"/>
      </c>
      <c r="AR463">
        <f ca="1"/>
      </c>
      <c r="AT463" s="7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BA463" s="7">
        <f ca="1"/>
      </c>
      <c r="BB463">
        <f ca="1"/>
      </c>
      <c r="BC463">
        <f ca="1"/>
      </c>
      <c r="BD463">
        <f ca="1"/>
      </c>
      <c r="BE463">
        <f ca="1"/>
      </c>
    </row>
    <row r="464" spans="31:57" x14ac:dyDescent="0.55000000000000004">
      <c r="AE464" s="7">
        <f ca="1"/>
      </c>
      <c r="AF464">
        <f ca="1"/>
      </c>
      <c r="AG464">
        <f ca="1"/>
      </c>
      <c r="AH464">
        <f ca="1"/>
      </c>
      <c r="AI464">
        <f ca="1"/>
      </c>
      <c r="AJ464">
        <f ca="1"/>
      </c>
      <c r="AK464">
        <f ca="1"/>
      </c>
      <c r="AL464">
        <f ca="1"/>
      </c>
      <c r="AM464">
        <f ca="1"/>
      </c>
      <c r="AN464">
        <f ca="1"/>
      </c>
      <c r="AO464">
        <f ca="1"/>
      </c>
      <c r="AP464">
        <f ca="1"/>
      </c>
      <c r="AQ464">
        <f ca="1"/>
      </c>
      <c r="AR464">
        <f ca="1"/>
      </c>
      <c r="AT464" s="7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BA464" s="7">
        <f ca="1"/>
      </c>
      <c r="BB464">
        <f ca="1"/>
      </c>
      <c r="BC464">
        <f ca="1"/>
      </c>
      <c r="BD464">
        <f ca="1"/>
      </c>
      <c r="BE464">
        <f ca="1"/>
      </c>
    </row>
    <row r="465" spans="31:57" x14ac:dyDescent="0.55000000000000004">
      <c r="AE465" s="7">
        <f ca="1"/>
      </c>
      <c r="AF465">
        <f ca="1"/>
      </c>
      <c r="AG465">
        <f ca="1"/>
      </c>
      <c r="AH465">
        <f ca="1"/>
      </c>
      <c r="AI465">
        <f ca="1"/>
      </c>
      <c r="AJ465">
        <f ca="1"/>
      </c>
      <c r="AK465">
        <f ca="1"/>
      </c>
      <c r="AL465">
        <f ca="1"/>
      </c>
      <c r="AM465">
        <f ca="1"/>
      </c>
      <c r="AN465">
        <f ca="1"/>
      </c>
      <c r="AO465">
        <f ca="1"/>
      </c>
      <c r="AP465">
        <f ca="1"/>
      </c>
      <c r="AQ465">
        <f ca="1"/>
      </c>
      <c r="AR465">
        <f ca="1"/>
      </c>
      <c r="AT465" s="7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BA465" s="7">
        <f ca="1"/>
      </c>
      <c r="BB465">
        <f ca="1"/>
      </c>
      <c r="BC465">
        <f ca="1"/>
      </c>
      <c r="BD465">
        <f ca="1"/>
      </c>
      <c r="BE465">
        <f ca="1"/>
      </c>
    </row>
    <row r="466" spans="31:57" x14ac:dyDescent="0.55000000000000004">
      <c r="AE466" s="7">
        <f ca="1"/>
      </c>
      <c r="AF466">
        <f ca="1"/>
      </c>
      <c r="AG466">
        <f ca="1"/>
      </c>
      <c r="AH466">
        <f ca="1"/>
      </c>
      <c r="AI466">
        <f ca="1"/>
      </c>
      <c r="AJ466">
        <f ca="1"/>
      </c>
      <c r="AK466">
        <f ca="1"/>
      </c>
      <c r="AL466">
        <f ca="1"/>
      </c>
      <c r="AM466">
        <f ca="1"/>
      </c>
      <c r="AN466">
        <f ca="1"/>
      </c>
      <c r="AO466">
        <f ca="1"/>
      </c>
      <c r="AP466">
        <f ca="1"/>
      </c>
      <c r="AQ466">
        <f ca="1"/>
      </c>
      <c r="AR466">
        <f ca="1"/>
      </c>
      <c r="AT466" s="7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BA466" s="7">
        <f ca="1"/>
      </c>
      <c r="BB466">
        <f ca="1"/>
      </c>
      <c r="BC466">
        <f ca="1"/>
      </c>
      <c r="BD466">
        <f ca="1"/>
      </c>
      <c r="BE466">
        <f ca="1"/>
      </c>
    </row>
    <row r="467" spans="31:57" x14ac:dyDescent="0.55000000000000004">
      <c r="AE467" s="7">
        <f ca="1"/>
      </c>
      <c r="AF467">
        <f ca="1"/>
      </c>
      <c r="AG467">
        <f ca="1"/>
      </c>
      <c r="AH467">
        <f ca="1"/>
      </c>
      <c r="AI467">
        <f ca="1"/>
      </c>
      <c r="AJ467">
        <f ca="1"/>
      </c>
      <c r="AK467">
        <f ca="1"/>
      </c>
      <c r="AL467">
        <f ca="1"/>
      </c>
      <c r="AM467">
        <f ca="1"/>
      </c>
      <c r="AN467">
        <f ca="1"/>
      </c>
      <c r="AO467">
        <f ca="1"/>
      </c>
      <c r="AP467">
        <f ca="1"/>
      </c>
      <c r="AQ467">
        <f ca="1"/>
      </c>
      <c r="AR467">
        <f ca="1"/>
      </c>
      <c r="AT467" s="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BA467" s="7">
        <f ca="1"/>
      </c>
      <c r="BB467">
        <f ca="1"/>
      </c>
      <c r="BC467">
        <f ca="1"/>
      </c>
      <c r="BD467">
        <f ca="1"/>
      </c>
      <c r="BE467">
        <f ca="1"/>
      </c>
    </row>
    <row r="468" spans="31:57" x14ac:dyDescent="0.55000000000000004">
      <c r="AE468" s="7">
        <f ca="1"/>
      </c>
      <c r="AF468">
        <f ca="1"/>
      </c>
      <c r="AG468">
        <f ca="1"/>
      </c>
      <c r="AH468">
        <f ca="1"/>
      </c>
      <c r="AI468">
        <f ca="1"/>
      </c>
      <c r="AJ468">
        <f ca="1"/>
      </c>
      <c r="AK468">
        <f ca="1"/>
      </c>
      <c r="AL468">
        <f ca="1"/>
      </c>
      <c r="AM468">
        <f ca="1"/>
      </c>
      <c r="AN468">
        <f ca="1"/>
      </c>
      <c r="AO468">
        <f ca="1"/>
      </c>
      <c r="AP468">
        <f ca="1"/>
      </c>
      <c r="AQ468">
        <f ca="1"/>
      </c>
      <c r="AR468">
        <f ca="1"/>
      </c>
      <c r="AT468" s="7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BA468" s="7">
        <f ca="1"/>
      </c>
      <c r="BB468">
        <f ca="1"/>
      </c>
      <c r="BC468">
        <f ca="1"/>
      </c>
      <c r="BD468">
        <f ca="1"/>
      </c>
      <c r="BE468">
        <f ca="1"/>
      </c>
    </row>
    <row r="469" spans="31:57" x14ac:dyDescent="0.55000000000000004">
      <c r="AE469" s="7">
        <f ca="1"/>
      </c>
      <c r="AF469">
        <f ca="1"/>
      </c>
      <c r="AG469">
        <f ca="1"/>
      </c>
      <c r="AH469">
        <f ca="1"/>
      </c>
      <c r="AI469">
        <f ca="1"/>
      </c>
      <c r="AJ469">
        <f ca="1"/>
      </c>
      <c r="AK469">
        <f ca="1"/>
      </c>
      <c r="AL469">
        <f ca="1"/>
      </c>
      <c r="AM469">
        <f ca="1"/>
      </c>
      <c r="AN469">
        <f ca="1"/>
      </c>
      <c r="AO469">
        <f ca="1"/>
      </c>
      <c r="AP469">
        <f ca="1"/>
      </c>
      <c r="AQ469">
        <f ca="1"/>
      </c>
      <c r="AR469">
        <f ca="1"/>
      </c>
      <c r="AT469" s="7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BA469" s="7">
        <f ca="1"/>
      </c>
      <c r="BB469">
        <f ca="1"/>
      </c>
      <c r="BC469">
        <f ca="1"/>
      </c>
      <c r="BD469">
        <f ca="1"/>
      </c>
      <c r="BE469">
        <f ca="1"/>
      </c>
    </row>
    <row r="470" spans="31:57" x14ac:dyDescent="0.55000000000000004">
      <c r="AE470" s="7">
        <f ca="1"/>
      </c>
      <c r="AF470">
        <f ca="1"/>
      </c>
      <c r="AG470">
        <f ca="1"/>
      </c>
      <c r="AH470">
        <f ca="1"/>
      </c>
      <c r="AI470">
        <f ca="1"/>
      </c>
      <c r="AJ470">
        <f ca="1"/>
      </c>
      <c r="AK470">
        <f ca="1"/>
      </c>
      <c r="AL470">
        <f ca="1"/>
      </c>
      <c r="AM470">
        <f ca="1"/>
      </c>
      <c r="AN470">
        <f ca="1"/>
      </c>
      <c r="AO470">
        <f ca="1"/>
      </c>
      <c r="AP470">
        <f ca="1"/>
      </c>
      <c r="AQ470">
        <f ca="1"/>
      </c>
      <c r="AR470">
        <f ca="1"/>
      </c>
      <c r="AT470" s="7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BA470" s="7">
        <f ca="1"/>
      </c>
      <c r="BB470">
        <f ca="1"/>
      </c>
      <c r="BC470">
        <f ca="1"/>
      </c>
      <c r="BD470">
        <f ca="1"/>
      </c>
      <c r="BE470">
        <f ca="1"/>
      </c>
    </row>
    <row r="471" spans="31:57" x14ac:dyDescent="0.55000000000000004">
      <c r="AE471" s="7">
        <f ca="1"/>
      </c>
      <c r="AF471">
        <f ca="1"/>
      </c>
      <c r="AG471">
        <f ca="1"/>
      </c>
      <c r="AH471">
        <f ca="1"/>
      </c>
      <c r="AI471">
        <f ca="1"/>
      </c>
      <c r="AJ471">
        <f ca="1"/>
      </c>
      <c r="AK471">
        <f ca="1"/>
      </c>
      <c r="AL471">
        <f ca="1"/>
      </c>
      <c r="AM471">
        <f ca="1"/>
      </c>
      <c r="AN471">
        <f ca="1"/>
      </c>
      <c r="AO471">
        <f ca="1"/>
      </c>
      <c r="AP471">
        <f ca="1"/>
      </c>
      <c r="AQ471">
        <f ca="1"/>
      </c>
      <c r="AR471">
        <f ca="1"/>
      </c>
      <c r="AT471" s="7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BA471" s="7">
        <f ca="1"/>
      </c>
      <c r="BB471">
        <f ca="1"/>
      </c>
      <c r="BC471">
        <f ca="1"/>
      </c>
      <c r="BD471">
        <f ca="1"/>
      </c>
      <c r="BE471">
        <f ca="1"/>
      </c>
    </row>
    <row r="472" spans="31:57" x14ac:dyDescent="0.55000000000000004">
      <c r="AE472" s="7">
        <f ca="1"/>
      </c>
      <c r="AF472">
        <f ca="1"/>
      </c>
      <c r="AG472">
        <f ca="1"/>
      </c>
      <c r="AH472">
        <f ca="1"/>
      </c>
      <c r="AI472">
        <f ca="1"/>
      </c>
      <c r="AJ472">
        <f ca="1"/>
      </c>
      <c r="AK472">
        <f ca="1"/>
      </c>
      <c r="AL472">
        <f ca="1"/>
      </c>
      <c r="AM472">
        <f ca="1"/>
      </c>
      <c r="AN472">
        <f ca="1"/>
      </c>
      <c r="AO472">
        <f ca="1"/>
      </c>
      <c r="AP472">
        <f ca="1"/>
      </c>
      <c r="AQ472">
        <f ca="1"/>
      </c>
      <c r="AR472">
        <f ca="1"/>
      </c>
      <c r="AT472" s="7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BA472" s="7">
        <f ca="1"/>
      </c>
      <c r="BB472">
        <f ca="1"/>
      </c>
      <c r="BC472">
        <f ca="1"/>
      </c>
      <c r="BD472">
        <f ca="1"/>
      </c>
      <c r="BE472">
        <f ca="1"/>
      </c>
    </row>
    <row r="473" spans="31:57" x14ac:dyDescent="0.55000000000000004">
      <c r="AE473" s="7">
        <f ca="1"/>
      </c>
      <c r="AF473">
        <f ca="1"/>
      </c>
      <c r="AG473">
        <f ca="1"/>
      </c>
      <c r="AH473">
        <f ca="1"/>
      </c>
      <c r="AI473">
        <f ca="1"/>
      </c>
      <c r="AJ473">
        <f ca="1"/>
      </c>
      <c r="AK473">
        <f ca="1"/>
      </c>
      <c r="AL473">
        <f ca="1"/>
      </c>
      <c r="AM473">
        <f ca="1"/>
      </c>
      <c r="AN473">
        <f ca="1"/>
      </c>
      <c r="AO473">
        <f ca="1"/>
      </c>
      <c r="AP473">
        <f ca="1"/>
      </c>
      <c r="AQ473">
        <f ca="1"/>
      </c>
      <c r="AR473">
        <f ca="1"/>
      </c>
      <c r="AT473" s="7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BA473" s="7">
        <f ca="1"/>
      </c>
      <c r="BB473">
        <f ca="1"/>
      </c>
      <c r="BC473">
        <f ca="1"/>
      </c>
      <c r="BD473">
        <f ca="1"/>
      </c>
      <c r="BE473">
        <f ca="1"/>
      </c>
    </row>
    <row r="474" spans="31:57" x14ac:dyDescent="0.55000000000000004">
      <c r="AE474" s="7">
        <f ca="1"/>
      </c>
      <c r="AF474">
        <f ca="1"/>
      </c>
      <c r="AG474">
        <f ca="1"/>
      </c>
      <c r="AH474">
        <f ca="1"/>
      </c>
      <c r="AI474">
        <f ca="1"/>
      </c>
      <c r="AJ474">
        <f ca="1"/>
      </c>
      <c r="AK474">
        <f ca="1"/>
      </c>
      <c r="AL474">
        <f ca="1"/>
      </c>
      <c r="AM474">
        <f ca="1"/>
      </c>
      <c r="AN474">
        <f ca="1"/>
      </c>
      <c r="AO474">
        <f ca="1"/>
      </c>
      <c r="AP474">
        <f ca="1"/>
      </c>
      <c r="AQ474">
        <f ca="1"/>
      </c>
      <c r="AR474">
        <f ca="1"/>
      </c>
      <c r="AT474" s="7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BA474" s="7">
        <f ca="1"/>
      </c>
      <c r="BB474">
        <f ca="1"/>
      </c>
      <c r="BC474">
        <f ca="1"/>
      </c>
      <c r="BD474">
        <f ca="1"/>
      </c>
      <c r="BE474">
        <f ca="1"/>
      </c>
    </row>
    <row r="475" spans="31:57" x14ac:dyDescent="0.55000000000000004">
      <c r="AE475" s="7">
        <f ca="1"/>
      </c>
      <c r="AF475">
        <f ca="1"/>
      </c>
      <c r="AG475">
        <f ca="1"/>
      </c>
      <c r="AH475">
        <f ca="1"/>
      </c>
      <c r="AI475">
        <f ca="1"/>
      </c>
      <c r="AJ475">
        <f ca="1"/>
      </c>
      <c r="AK475">
        <f ca="1"/>
      </c>
      <c r="AL475">
        <f ca="1"/>
      </c>
      <c r="AM475">
        <f ca="1"/>
      </c>
      <c r="AN475">
        <f ca="1"/>
      </c>
      <c r="AO475">
        <f ca="1"/>
      </c>
      <c r="AP475">
        <f ca="1"/>
      </c>
      <c r="AQ475">
        <f ca="1"/>
      </c>
      <c r="AR475">
        <f ca="1"/>
      </c>
      <c r="AT475" s="7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BA475" s="7">
        <f ca="1"/>
      </c>
      <c r="BB475">
        <f ca="1"/>
      </c>
      <c r="BC475">
        <f ca="1"/>
      </c>
      <c r="BD475">
        <f ca="1"/>
      </c>
      <c r="BE475">
        <f ca="1"/>
      </c>
    </row>
    <row r="476" spans="31:57" x14ac:dyDescent="0.55000000000000004">
      <c r="AE476" s="7">
        <f ca="1"/>
      </c>
      <c r="AF476">
        <f ca="1"/>
      </c>
      <c r="AG476">
        <f ca="1"/>
      </c>
      <c r="AH476">
        <f ca="1"/>
      </c>
      <c r="AI476">
        <f ca="1"/>
      </c>
      <c r="AJ476">
        <f ca="1"/>
      </c>
      <c r="AK476">
        <f ca="1"/>
      </c>
      <c r="AL476">
        <f ca="1"/>
      </c>
      <c r="AM476">
        <f ca="1"/>
      </c>
      <c r="AN476">
        <f ca="1"/>
      </c>
      <c r="AO476">
        <f ca="1"/>
      </c>
      <c r="AP476">
        <f ca="1"/>
      </c>
      <c r="AQ476">
        <f ca="1"/>
      </c>
      <c r="AR476">
        <f ca="1"/>
      </c>
      <c r="AT476" s="7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BA476" s="7">
        <f ca="1"/>
      </c>
      <c r="BB476">
        <f ca="1"/>
      </c>
      <c r="BC476">
        <f ca="1"/>
      </c>
      <c r="BD476">
        <f ca="1"/>
      </c>
      <c r="BE476">
        <f ca="1"/>
      </c>
    </row>
    <row r="477" spans="31:57" x14ac:dyDescent="0.55000000000000004">
      <c r="AE477" s="7">
        <f ca="1"/>
      </c>
      <c r="AF477">
        <f ca="1"/>
      </c>
      <c r="AG477">
        <f ca="1"/>
      </c>
      <c r="AH477">
        <f ca="1"/>
      </c>
      <c r="AI477">
        <f ca="1"/>
      </c>
      <c r="AJ477">
        <f ca="1"/>
      </c>
      <c r="AK477">
        <f ca="1"/>
      </c>
      <c r="AL477">
        <f ca="1"/>
      </c>
      <c r="AM477">
        <f ca="1"/>
      </c>
      <c r="AN477">
        <f ca="1"/>
      </c>
      <c r="AO477">
        <f ca="1"/>
      </c>
      <c r="AP477">
        <f ca="1"/>
      </c>
      <c r="AQ477">
        <f ca="1"/>
      </c>
      <c r="AR477">
        <f ca="1"/>
      </c>
      <c r="AT477" s="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BA477" s="7">
        <f ca="1"/>
      </c>
      <c r="BB477">
        <f ca="1"/>
      </c>
      <c r="BC477">
        <f ca="1"/>
      </c>
      <c r="BD477">
        <f ca="1"/>
      </c>
      <c r="BE477">
        <f ca="1"/>
      </c>
    </row>
    <row r="478" spans="31:57" x14ac:dyDescent="0.55000000000000004">
      <c r="AE478" s="7">
        <f ca="1"/>
      </c>
      <c r="AF478">
        <f ca="1"/>
      </c>
      <c r="AG478">
        <f ca="1"/>
      </c>
      <c r="AH478">
        <f ca="1"/>
      </c>
      <c r="AI478">
        <f ca="1"/>
      </c>
      <c r="AJ478">
        <f ca="1"/>
      </c>
      <c r="AK478">
        <f ca="1"/>
      </c>
      <c r="AL478">
        <f ca="1"/>
      </c>
      <c r="AM478">
        <f ca="1"/>
      </c>
      <c r="AN478">
        <f ca="1"/>
      </c>
      <c r="AO478">
        <f ca="1"/>
      </c>
      <c r="AP478">
        <f ca="1"/>
      </c>
      <c r="AQ478">
        <f ca="1"/>
      </c>
      <c r="AR478">
        <f ca="1"/>
      </c>
      <c r="AT478" s="7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BA478" s="7">
        <f ca="1"/>
      </c>
      <c r="BB478">
        <f ca="1"/>
      </c>
      <c r="BC478">
        <f ca="1"/>
      </c>
      <c r="BD478">
        <f ca="1"/>
      </c>
      <c r="BE478">
        <f ca="1"/>
      </c>
    </row>
    <row r="479" spans="31:57" x14ac:dyDescent="0.55000000000000004">
      <c r="AE479" s="7">
        <f ca="1"/>
      </c>
      <c r="AF479">
        <f ca="1"/>
      </c>
      <c r="AG479">
        <f ca="1"/>
      </c>
      <c r="AH479">
        <f ca="1"/>
      </c>
      <c r="AI479">
        <f ca="1"/>
      </c>
      <c r="AJ479">
        <f ca="1"/>
      </c>
      <c r="AK479">
        <f ca="1"/>
      </c>
      <c r="AL479">
        <f ca="1"/>
      </c>
      <c r="AM479">
        <f ca="1"/>
      </c>
      <c r="AN479">
        <f ca="1"/>
      </c>
      <c r="AO479">
        <f ca="1"/>
      </c>
      <c r="AP479">
        <f ca="1"/>
      </c>
      <c r="AQ479">
        <f ca="1"/>
      </c>
      <c r="AR479">
        <f ca="1"/>
      </c>
      <c r="AT479" s="7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BA479" s="7">
        <f ca="1"/>
      </c>
      <c r="BB479">
        <f ca="1"/>
      </c>
      <c r="BC479">
        <f ca="1"/>
      </c>
      <c r="BD479">
        <f ca="1"/>
      </c>
      <c r="BE479">
        <f ca="1"/>
      </c>
    </row>
    <row r="480" spans="31:57" x14ac:dyDescent="0.55000000000000004">
      <c r="AE480" s="7">
        <f ca="1"/>
      </c>
      <c r="AF480">
        <f ca="1"/>
      </c>
      <c r="AG480">
        <f ca="1"/>
      </c>
      <c r="AH480">
        <f ca="1"/>
      </c>
      <c r="AI480">
        <f ca="1"/>
      </c>
      <c r="AJ480">
        <f ca="1"/>
      </c>
      <c r="AK480">
        <f ca="1"/>
      </c>
      <c r="AL480">
        <f ca="1"/>
      </c>
      <c r="AM480">
        <f ca="1"/>
      </c>
      <c r="AN480">
        <f ca="1"/>
      </c>
      <c r="AO480">
        <f ca="1"/>
      </c>
      <c r="AP480">
        <f ca="1"/>
      </c>
      <c r="AQ480">
        <f ca="1"/>
      </c>
      <c r="AR480">
        <f ca="1"/>
      </c>
      <c r="AT480" s="7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BA480" s="7">
        <f ca="1"/>
      </c>
      <c r="BB480">
        <f ca="1"/>
      </c>
      <c r="BC480">
        <f ca="1"/>
      </c>
      <c r="BD480">
        <f ca="1"/>
      </c>
      <c r="BE480">
        <f ca="1"/>
      </c>
    </row>
    <row r="481" spans="31:57" x14ac:dyDescent="0.55000000000000004">
      <c r="AE481" s="7">
        <f ca="1"/>
      </c>
      <c r="AF481">
        <f ca="1"/>
      </c>
      <c r="AG481">
        <f ca="1"/>
      </c>
      <c r="AH481">
        <f ca="1"/>
      </c>
      <c r="AI481">
        <f ca="1"/>
      </c>
      <c r="AJ481">
        <f ca="1"/>
      </c>
      <c r="AK481">
        <f ca="1"/>
      </c>
      <c r="AL481">
        <f ca="1"/>
      </c>
      <c r="AM481">
        <f ca="1"/>
      </c>
      <c r="AN481">
        <f ca="1"/>
      </c>
      <c r="AO481">
        <f ca="1"/>
      </c>
      <c r="AP481">
        <f ca="1"/>
      </c>
      <c r="AQ481">
        <f ca="1"/>
      </c>
      <c r="AR481">
        <f ca="1"/>
      </c>
      <c r="AT481" s="7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BA481" s="7">
        <f ca="1"/>
      </c>
      <c r="BB481">
        <f ca="1"/>
      </c>
      <c r="BC481">
        <f ca="1"/>
      </c>
      <c r="BD481">
        <f ca="1"/>
      </c>
      <c r="BE481">
        <f ca="1"/>
      </c>
    </row>
    <row r="482" spans="31:57" x14ac:dyDescent="0.55000000000000004">
      <c r="AE482" s="7">
        <f ca="1"/>
      </c>
      <c r="AF482">
        <f ca="1"/>
      </c>
      <c r="AG482">
        <f ca="1"/>
      </c>
      <c r="AH482">
        <f ca="1"/>
      </c>
      <c r="AI482">
        <f ca="1"/>
      </c>
      <c r="AJ482">
        <f ca="1"/>
      </c>
      <c r="AK482">
        <f ca="1"/>
      </c>
      <c r="AL482">
        <f ca="1"/>
      </c>
      <c r="AM482">
        <f ca="1"/>
      </c>
      <c r="AN482">
        <f ca="1"/>
      </c>
      <c r="AO482">
        <f ca="1"/>
      </c>
      <c r="AP482">
        <f ca="1"/>
      </c>
      <c r="AQ482">
        <f ca="1"/>
      </c>
      <c r="AR482">
        <f ca="1"/>
      </c>
      <c r="AT482" s="7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BA482" s="7">
        <f ca="1"/>
      </c>
      <c r="BB482">
        <f ca="1"/>
      </c>
      <c r="BC482">
        <f ca="1"/>
      </c>
      <c r="BD482">
        <f ca="1"/>
      </c>
      <c r="BE482">
        <f ca="1"/>
      </c>
    </row>
    <row r="483" spans="31:57" x14ac:dyDescent="0.55000000000000004">
      <c r="AE483" s="7">
        <f ca="1"/>
      </c>
      <c r="AF483">
        <f ca="1"/>
      </c>
      <c r="AG483">
        <f ca="1"/>
      </c>
      <c r="AH483">
        <f ca="1"/>
      </c>
      <c r="AI483">
        <f ca="1"/>
      </c>
      <c r="AJ483">
        <f ca="1"/>
      </c>
      <c r="AK483">
        <f ca="1"/>
      </c>
      <c r="AL483">
        <f ca="1"/>
      </c>
      <c r="AM483">
        <f ca="1"/>
      </c>
      <c r="AN483">
        <f ca="1"/>
      </c>
      <c r="AO483">
        <f ca="1"/>
      </c>
      <c r="AP483">
        <f ca="1"/>
      </c>
      <c r="AQ483">
        <f ca="1"/>
      </c>
      <c r="AR483">
        <f ca="1"/>
      </c>
      <c r="AT483" s="7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BA483" s="7">
        <f ca="1"/>
      </c>
      <c r="BB483">
        <f ca="1"/>
      </c>
      <c r="BC483">
        <f ca="1"/>
      </c>
      <c r="BD483">
        <f ca="1"/>
      </c>
      <c r="BE483">
        <f ca="1"/>
      </c>
    </row>
    <row r="484" spans="31:57" x14ac:dyDescent="0.55000000000000004">
      <c r="AE484" s="7">
        <f ca="1"/>
      </c>
      <c r="AF484">
        <f ca="1"/>
      </c>
      <c r="AG484">
        <f ca="1"/>
      </c>
      <c r="AH484">
        <f ca="1"/>
      </c>
      <c r="AI484">
        <f ca="1"/>
      </c>
      <c r="AJ484">
        <f ca="1"/>
      </c>
      <c r="AK484">
        <f ca="1"/>
      </c>
      <c r="AL484">
        <f ca="1"/>
      </c>
      <c r="AM484">
        <f ca="1"/>
      </c>
      <c r="AN484">
        <f ca="1"/>
      </c>
      <c r="AO484">
        <f ca="1"/>
      </c>
      <c r="AP484">
        <f ca="1"/>
      </c>
      <c r="AQ484">
        <f ca="1"/>
      </c>
      <c r="AR484">
        <f ca="1"/>
      </c>
      <c r="AT484" s="7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BA484" s="7">
        <f ca="1"/>
      </c>
      <c r="BB484">
        <f ca="1"/>
      </c>
      <c r="BC484">
        <f ca="1"/>
      </c>
      <c r="BD484">
        <f ca="1"/>
      </c>
      <c r="BE484">
        <f ca="1"/>
      </c>
    </row>
    <row r="485" spans="31:57" x14ac:dyDescent="0.55000000000000004">
      <c r="AE485" s="7">
        <f ca="1"/>
      </c>
      <c r="AF485">
        <f ca="1"/>
      </c>
      <c r="AG485">
        <f ca="1"/>
      </c>
      <c r="AH485">
        <f ca="1"/>
      </c>
      <c r="AI485">
        <f ca="1"/>
      </c>
      <c r="AJ485">
        <f ca="1"/>
      </c>
      <c r="AK485">
        <f ca="1"/>
      </c>
      <c r="AL485">
        <f ca="1"/>
      </c>
      <c r="AM485">
        <f ca="1"/>
      </c>
      <c r="AN485">
        <f ca="1"/>
      </c>
      <c r="AO485">
        <f ca="1"/>
      </c>
      <c r="AP485">
        <f ca="1"/>
      </c>
      <c r="AQ485">
        <f ca="1"/>
      </c>
      <c r="AR485">
        <f ca="1"/>
      </c>
      <c r="AT485" s="7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BA485" s="7">
        <f ca="1"/>
      </c>
      <c r="BB485">
        <f ca="1"/>
      </c>
      <c r="BC485">
        <f ca="1"/>
      </c>
      <c r="BD485">
        <f ca="1"/>
      </c>
      <c r="BE485">
        <f ca="1"/>
      </c>
    </row>
    <row r="486" spans="31:57" x14ac:dyDescent="0.55000000000000004">
      <c r="AE486" s="7">
        <f ca="1"/>
      </c>
      <c r="AF486">
        <f ca="1"/>
      </c>
      <c r="AG486">
        <f ca="1"/>
      </c>
      <c r="AH486">
        <f ca="1"/>
      </c>
      <c r="AI486">
        <f ca="1"/>
      </c>
      <c r="AJ486">
        <f ca="1"/>
      </c>
      <c r="AK486">
        <f ca="1"/>
      </c>
      <c r="AL486">
        <f ca="1"/>
      </c>
      <c r="AM486">
        <f ca="1"/>
      </c>
      <c r="AN486">
        <f ca="1"/>
      </c>
      <c r="AO486">
        <f ca="1"/>
      </c>
      <c r="AP486">
        <f ca="1"/>
      </c>
      <c r="AQ486">
        <f ca="1"/>
      </c>
      <c r="AR486">
        <f ca="1"/>
      </c>
      <c r="AT486" s="7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BA486" s="7">
        <f ca="1"/>
      </c>
      <c r="BB486">
        <f ca="1"/>
      </c>
      <c r="BC486">
        <f ca="1"/>
      </c>
      <c r="BD486">
        <f ca="1"/>
      </c>
      <c r="BE486">
        <f ca="1"/>
      </c>
    </row>
    <row r="487" spans="31:57" x14ac:dyDescent="0.55000000000000004">
      <c r="AE487" s="7">
        <f ca="1"/>
      </c>
      <c r="AF487">
        <f ca="1"/>
      </c>
      <c r="AG487">
        <f ca="1"/>
      </c>
      <c r="AH487">
        <f ca="1"/>
      </c>
      <c r="AI487">
        <f ca="1"/>
      </c>
      <c r="AJ487">
        <f ca="1"/>
      </c>
      <c r="AK487">
        <f ca="1"/>
      </c>
      <c r="AL487">
        <f ca="1"/>
      </c>
      <c r="AM487">
        <f ca="1"/>
      </c>
      <c r="AN487">
        <f ca="1"/>
      </c>
      <c r="AO487">
        <f ca="1"/>
      </c>
      <c r="AP487">
        <f ca="1"/>
      </c>
      <c r="AQ487">
        <f ca="1"/>
      </c>
      <c r="AR487">
        <f ca="1"/>
      </c>
      <c r="AT487" s="7">
        <f ca="1"/>
      </c>
      <c r="AU487">
        <f ca="1"/>
      </c>
      <c r="AV487">
        <f ca="1"/>
      </c>
      <c r="AW487">
        <f ca="1"/>
      </c>
      <c r="AX487">
        <f ca="1"/>
      </c>
      <c r="AY487">
        <f ca="1"/>
      </c>
      <c r="BA487" s="7">
        <f ca="1"/>
      </c>
      <c r="BB487">
        <f ca="1"/>
      </c>
      <c r="BC487">
        <f ca="1"/>
      </c>
      <c r="BD487">
        <f ca="1"/>
      </c>
      <c r="BE487">
        <f ca="1"/>
      </c>
    </row>
    <row r="488" spans="31:57" x14ac:dyDescent="0.55000000000000004">
      <c r="AE488" s="7">
        <f ca="1"/>
      </c>
      <c r="AF488">
        <f ca="1"/>
      </c>
      <c r="AG488">
        <f ca="1"/>
      </c>
      <c r="AH488">
        <f ca="1"/>
      </c>
      <c r="AI488">
        <f ca="1"/>
      </c>
      <c r="AJ488">
        <f ca="1"/>
      </c>
      <c r="AK488">
        <f ca="1"/>
      </c>
      <c r="AL488">
        <f ca="1"/>
      </c>
      <c r="AM488">
        <f ca="1"/>
      </c>
      <c r="AN488">
        <f ca="1"/>
      </c>
      <c r="AO488">
        <f ca="1"/>
      </c>
      <c r="AP488">
        <f ca="1"/>
      </c>
      <c r="AQ488">
        <f ca="1"/>
      </c>
      <c r="AR488">
        <f ca="1"/>
      </c>
      <c r="AT488" s="7">
        <f ca="1"/>
      </c>
      <c r="AU488">
        <f ca="1"/>
      </c>
      <c r="AV488">
        <f ca="1"/>
      </c>
      <c r="AW488">
        <f ca="1"/>
      </c>
      <c r="AX488">
        <f ca="1"/>
      </c>
      <c r="AY488">
        <f ca="1"/>
      </c>
      <c r="BA488" s="7">
        <f ca="1"/>
      </c>
      <c r="BB488">
        <f ca="1"/>
      </c>
      <c r="BC488">
        <f ca="1"/>
      </c>
      <c r="BD488">
        <f ca="1"/>
      </c>
      <c r="BE488">
        <f ca="1"/>
      </c>
    </row>
    <row r="489" spans="31:57" x14ac:dyDescent="0.55000000000000004">
      <c r="AE489" s="7">
        <f ca="1"/>
      </c>
      <c r="AF489">
        <f ca="1"/>
      </c>
      <c r="AG489">
        <f ca="1"/>
      </c>
      <c r="AH489">
        <f ca="1"/>
      </c>
      <c r="AI489">
        <f ca="1"/>
      </c>
      <c r="AJ489">
        <f ca="1"/>
      </c>
      <c r="AK489">
        <f ca="1"/>
      </c>
      <c r="AL489">
        <f ca="1"/>
      </c>
      <c r="AM489">
        <f ca="1"/>
      </c>
      <c r="AN489">
        <f ca="1"/>
      </c>
      <c r="AO489">
        <f ca="1"/>
      </c>
      <c r="AP489">
        <f ca="1"/>
      </c>
      <c r="AQ489">
        <f ca="1"/>
      </c>
      <c r="AR489">
        <f ca="1"/>
      </c>
      <c r="AT489" s="7">
        <f ca="1"/>
      </c>
      <c r="AU489">
        <f ca="1"/>
      </c>
      <c r="AV489">
        <f ca="1"/>
      </c>
      <c r="AW489">
        <f ca="1"/>
      </c>
      <c r="AX489">
        <f ca="1"/>
      </c>
      <c r="AY489">
        <f ca="1"/>
      </c>
      <c r="BA489" s="7"/>
    </row>
    <row r="490" spans="31:57" x14ac:dyDescent="0.55000000000000004">
      <c r="AE490" s="7">
        <f ca="1"/>
      </c>
      <c r="AF490">
        <f ca="1"/>
      </c>
      <c r="AG490">
        <f ca="1"/>
      </c>
      <c r="AH490">
        <f ca="1"/>
      </c>
      <c r="AI490">
        <f ca="1"/>
      </c>
      <c r="AJ490">
        <f ca="1"/>
      </c>
      <c r="AK490">
        <f ca="1"/>
      </c>
      <c r="AL490">
        <f ca="1"/>
      </c>
      <c r="AM490">
        <f ca="1"/>
      </c>
      <c r="AN490">
        <f ca="1"/>
      </c>
      <c r="AO490">
        <f ca="1"/>
      </c>
      <c r="AP490">
        <f ca="1"/>
      </c>
      <c r="AQ490">
        <f ca="1"/>
      </c>
      <c r="AR490">
        <f ca="1"/>
      </c>
      <c r="AT490" s="7">
        <f ca="1"/>
      </c>
      <c r="AU490">
        <f ca="1"/>
      </c>
      <c r="AV490">
        <f ca="1"/>
      </c>
      <c r="AW490">
        <f ca="1"/>
      </c>
      <c r="AX490">
        <f ca="1"/>
      </c>
      <c r="AY490">
        <f ca="1"/>
      </c>
      <c r="BA490" s="7"/>
    </row>
    <row r="491" spans="31:57" x14ac:dyDescent="0.55000000000000004">
      <c r="AE491" s="7">
        <f ca="1"/>
      </c>
      <c r="AF491">
        <f ca="1"/>
      </c>
      <c r="AG491">
        <f ca="1"/>
      </c>
      <c r="AH491">
        <f ca="1"/>
      </c>
      <c r="AI491">
        <f ca="1"/>
      </c>
      <c r="AJ491">
        <f ca="1"/>
      </c>
      <c r="AK491">
        <f ca="1"/>
      </c>
      <c r="AL491">
        <f ca="1"/>
      </c>
      <c r="AM491">
        <f ca="1"/>
      </c>
      <c r="AN491">
        <f ca="1"/>
      </c>
      <c r="AO491">
        <f ca="1"/>
      </c>
      <c r="AP491">
        <f ca="1"/>
      </c>
      <c r="AQ491">
        <f ca="1"/>
      </c>
      <c r="AR491">
        <f ca="1"/>
      </c>
      <c r="AT491" s="7">
        <f ca="1"/>
      </c>
      <c r="AU491">
        <f ca="1"/>
      </c>
      <c r="AV491">
        <f ca="1"/>
      </c>
      <c r="AW491">
        <f ca="1"/>
      </c>
      <c r="AX491">
        <f ca="1"/>
      </c>
      <c r="AY491">
        <f ca="1"/>
      </c>
      <c r="BA491" s="7"/>
    </row>
    <row r="492" spans="31:57" x14ac:dyDescent="0.55000000000000004">
      <c r="AE492" s="7">
        <f ca="1"/>
      </c>
      <c r="AF492">
        <f ca="1"/>
      </c>
      <c r="AG492">
        <f ca="1"/>
      </c>
      <c r="AH492">
        <f ca="1"/>
      </c>
      <c r="AI492">
        <f ca="1"/>
      </c>
      <c r="AJ492">
        <f ca="1"/>
      </c>
      <c r="AK492">
        <f ca="1"/>
      </c>
      <c r="AL492">
        <f ca="1"/>
      </c>
      <c r="AM492">
        <f ca="1"/>
      </c>
      <c r="AN492">
        <f ca="1"/>
      </c>
      <c r="AO492">
        <f ca="1"/>
      </c>
      <c r="AP492">
        <f ca="1"/>
      </c>
      <c r="AQ492">
        <f ca="1"/>
      </c>
      <c r="AR492">
        <f ca="1"/>
      </c>
      <c r="AT492" s="7">
        <f ca="1"/>
      </c>
      <c r="AU492">
        <f ca="1"/>
      </c>
      <c r="AV492">
        <f ca="1"/>
      </c>
      <c r="AW492">
        <f ca="1"/>
      </c>
      <c r="AX492">
        <f ca="1"/>
      </c>
      <c r="AY492">
        <f ca="1"/>
      </c>
      <c r="BA492" s="7"/>
    </row>
    <row r="493" spans="31:57" x14ac:dyDescent="0.55000000000000004">
      <c r="AE493" s="7">
        <f ca="1"/>
      </c>
      <c r="AF493">
        <f ca="1"/>
      </c>
      <c r="AG493">
        <f ca="1"/>
      </c>
      <c r="AH493">
        <f ca="1"/>
      </c>
      <c r="AI493">
        <f ca="1"/>
      </c>
      <c r="AJ493">
        <f ca="1"/>
      </c>
      <c r="AK493">
        <f ca="1"/>
      </c>
      <c r="AL493">
        <f ca="1"/>
      </c>
      <c r="AM493">
        <f ca="1"/>
      </c>
      <c r="AN493">
        <f ca="1"/>
      </c>
      <c r="AO493">
        <f ca="1"/>
      </c>
      <c r="AP493">
        <f ca="1"/>
      </c>
      <c r="AQ493">
        <f ca="1"/>
      </c>
      <c r="AR493">
        <f ca="1"/>
      </c>
      <c r="AT493" s="7">
        <f ca="1"/>
      </c>
      <c r="AU493">
        <f ca="1"/>
      </c>
      <c r="AV493">
        <f ca="1"/>
      </c>
      <c r="AW493">
        <f ca="1"/>
      </c>
      <c r="AX493">
        <f ca="1"/>
      </c>
      <c r="AY493">
        <f ca="1"/>
      </c>
      <c r="BA493" s="7"/>
    </row>
    <row r="494" spans="31:57" x14ac:dyDescent="0.55000000000000004">
      <c r="AE494" s="7">
        <f ca="1"/>
      </c>
      <c r="AF494">
        <f ca="1"/>
      </c>
      <c r="AG494">
        <f ca="1"/>
      </c>
      <c r="AH494">
        <f ca="1"/>
      </c>
      <c r="AI494">
        <f ca="1"/>
      </c>
      <c r="AJ494">
        <f ca="1"/>
      </c>
      <c r="AK494">
        <f ca="1"/>
      </c>
      <c r="AL494">
        <f ca="1"/>
      </c>
      <c r="AM494">
        <f ca="1"/>
      </c>
      <c r="AN494">
        <f ca="1"/>
      </c>
      <c r="AO494">
        <f ca="1"/>
      </c>
      <c r="AP494">
        <f ca="1"/>
      </c>
      <c r="AQ494">
        <f ca="1"/>
      </c>
      <c r="AR494">
        <f ca="1"/>
      </c>
      <c r="AT494" s="7">
        <f ca="1"/>
      </c>
      <c r="AU494">
        <f ca="1"/>
      </c>
      <c r="AV494">
        <f ca="1"/>
      </c>
      <c r="AW494">
        <f ca="1"/>
      </c>
      <c r="AX494">
        <f ca="1"/>
      </c>
      <c r="AY494">
        <f ca="1"/>
      </c>
      <c r="BA494" s="7"/>
    </row>
    <row r="495" spans="31:57" x14ac:dyDescent="0.55000000000000004">
      <c r="AE495" s="7">
        <f ca="1"/>
      </c>
      <c r="AF495">
        <f ca="1"/>
      </c>
      <c r="AG495">
        <f ca="1"/>
      </c>
      <c r="AH495">
        <f ca="1"/>
      </c>
      <c r="AI495">
        <f ca="1"/>
      </c>
      <c r="AJ495">
        <f ca="1"/>
      </c>
      <c r="AK495">
        <f ca="1"/>
      </c>
      <c r="AL495">
        <f ca="1"/>
      </c>
      <c r="AM495">
        <f ca="1"/>
      </c>
      <c r="AN495">
        <f ca="1"/>
      </c>
      <c r="AO495">
        <f ca="1"/>
      </c>
      <c r="AP495">
        <f ca="1"/>
      </c>
      <c r="AQ495">
        <f ca="1"/>
      </c>
      <c r="AR495">
        <f ca="1"/>
      </c>
      <c r="AT495" s="7">
        <f ca="1"/>
      </c>
      <c r="AU495">
        <f ca="1"/>
      </c>
      <c r="AV495">
        <f ca="1"/>
      </c>
      <c r="AW495">
        <f ca="1"/>
      </c>
      <c r="AX495">
        <f ca="1"/>
      </c>
      <c r="AY495">
        <f ca="1"/>
      </c>
      <c r="BA495" s="7"/>
    </row>
    <row r="496" spans="31:57" x14ac:dyDescent="0.55000000000000004">
      <c r="AE496" s="7">
        <f ca="1"/>
      </c>
      <c r="AF496">
        <f ca="1"/>
      </c>
      <c r="AG496">
        <f ca="1"/>
      </c>
      <c r="AH496">
        <f ca="1"/>
      </c>
      <c r="AI496">
        <f ca="1"/>
      </c>
      <c r="AJ496">
        <f ca="1"/>
      </c>
      <c r="AK496">
        <f ca="1"/>
      </c>
      <c r="AL496">
        <f ca="1"/>
      </c>
      <c r="AM496">
        <f ca="1"/>
      </c>
      <c r="AN496">
        <f ca="1"/>
      </c>
      <c r="AO496">
        <f ca="1"/>
      </c>
      <c r="AP496">
        <f ca="1"/>
      </c>
      <c r="AQ496">
        <f ca="1"/>
      </c>
      <c r="AR496">
        <f ca="1"/>
      </c>
      <c r="AT496" s="7">
        <f ca="1"/>
      </c>
      <c r="AU496">
        <f ca="1"/>
      </c>
      <c r="AV496">
        <f ca="1"/>
      </c>
      <c r="AW496">
        <f ca="1"/>
      </c>
      <c r="AX496">
        <f ca="1"/>
      </c>
      <c r="AY496">
        <f ca="1"/>
      </c>
      <c r="BA496" s="7"/>
    </row>
    <row r="497" spans="31:53" x14ac:dyDescent="0.55000000000000004">
      <c r="AE497" s="7">
        <f ca="1"/>
      </c>
      <c r="AF497">
        <f ca="1"/>
      </c>
      <c r="AG497">
        <f ca="1"/>
      </c>
      <c r="AH497">
        <f ca="1"/>
      </c>
      <c r="AI497">
        <f ca="1"/>
      </c>
      <c r="AJ497">
        <f ca="1"/>
      </c>
      <c r="AK497">
        <f ca="1"/>
      </c>
      <c r="AL497">
        <f ca="1"/>
      </c>
      <c r="AM497">
        <f ca="1"/>
      </c>
      <c r="AN497">
        <f ca="1"/>
      </c>
      <c r="AO497">
        <f ca="1"/>
      </c>
      <c r="AP497">
        <f ca="1"/>
      </c>
      <c r="AQ497">
        <f ca="1"/>
      </c>
      <c r="AR497">
        <f ca="1"/>
      </c>
      <c r="AT497" s="7">
        <f ca="1"/>
      </c>
      <c r="AU497">
        <f ca="1"/>
      </c>
      <c r="AV497">
        <f ca="1"/>
      </c>
      <c r="AW497">
        <f ca="1"/>
      </c>
      <c r="AX497">
        <f ca="1"/>
      </c>
      <c r="AY497">
        <f ca="1"/>
      </c>
      <c r="BA497" s="7"/>
    </row>
    <row r="498" spans="31:53" x14ac:dyDescent="0.55000000000000004">
      <c r="AE498" s="7">
        <f ca="1"/>
      </c>
      <c r="AF498">
        <f ca="1"/>
      </c>
      <c r="AG498">
        <f ca="1"/>
      </c>
      <c r="AH498">
        <f ca="1"/>
      </c>
      <c r="AI498">
        <f ca="1"/>
      </c>
      <c r="AJ498">
        <f ca="1"/>
      </c>
      <c r="AK498">
        <f ca="1"/>
      </c>
      <c r="AL498">
        <f ca="1"/>
      </c>
      <c r="AM498">
        <f ca="1"/>
      </c>
      <c r="AN498">
        <f ca="1"/>
      </c>
      <c r="AO498">
        <f ca="1"/>
      </c>
      <c r="AP498">
        <f ca="1"/>
      </c>
      <c r="AQ498">
        <f ca="1"/>
      </c>
      <c r="AR498">
        <f ca="1"/>
      </c>
      <c r="AT498" s="7">
        <f ca="1"/>
      </c>
      <c r="AU498">
        <f ca="1"/>
      </c>
      <c r="AV498">
        <f ca="1"/>
      </c>
      <c r="AW498">
        <f ca="1"/>
      </c>
      <c r="AX498">
        <f ca="1"/>
      </c>
      <c r="AY498">
        <f ca="1"/>
      </c>
      <c r="BA498" s="7"/>
    </row>
    <row r="499" spans="31:53" x14ac:dyDescent="0.55000000000000004">
      <c r="AE499" s="7">
        <f ca="1"/>
      </c>
      <c r="AF499">
        <f ca="1"/>
      </c>
      <c r="AG499">
        <f ca="1"/>
      </c>
      <c r="AH499">
        <f ca="1"/>
      </c>
      <c r="AI499">
        <f ca="1"/>
      </c>
      <c r="AJ499">
        <f ca="1"/>
      </c>
      <c r="AK499">
        <f ca="1"/>
      </c>
      <c r="AL499">
        <f ca="1"/>
      </c>
      <c r="AM499">
        <f ca="1"/>
      </c>
      <c r="AN499">
        <f ca="1"/>
      </c>
      <c r="AO499">
        <f ca="1"/>
      </c>
      <c r="AP499">
        <f ca="1"/>
      </c>
      <c r="AQ499">
        <f ca="1"/>
      </c>
      <c r="AR499">
        <f ca="1"/>
      </c>
      <c r="AT499" s="7">
        <f ca="1"/>
      </c>
      <c r="AU499">
        <f ca="1"/>
      </c>
      <c r="AV499">
        <f ca="1"/>
      </c>
      <c r="AW499">
        <f ca="1"/>
      </c>
      <c r="AX499">
        <f ca="1"/>
      </c>
      <c r="AY499">
        <f ca="1"/>
      </c>
      <c r="BA499" s="7"/>
    </row>
    <row r="500" spans="31:53" x14ac:dyDescent="0.55000000000000004">
      <c r="AE500" s="7">
        <f ca="1"/>
      </c>
      <c r="AF500">
        <f ca="1"/>
      </c>
      <c r="AG500">
        <f ca="1"/>
      </c>
      <c r="AH500">
        <f ca="1"/>
      </c>
      <c r="AI500">
        <f ca="1"/>
      </c>
      <c r="AJ500">
        <f ca="1"/>
      </c>
      <c r="AK500">
        <f ca="1"/>
      </c>
      <c r="AL500">
        <f ca="1"/>
      </c>
      <c r="AM500">
        <f ca="1"/>
      </c>
      <c r="AN500">
        <f ca="1"/>
      </c>
      <c r="AO500">
        <f ca="1"/>
      </c>
      <c r="AP500">
        <f ca="1"/>
      </c>
      <c r="AQ500">
        <f ca="1"/>
      </c>
      <c r="AR500">
        <f ca="1"/>
      </c>
      <c r="AT500" s="7">
        <f ca="1"/>
      </c>
      <c r="AU500">
        <f ca="1"/>
      </c>
      <c r="AV500">
        <f ca="1"/>
      </c>
      <c r="AW500">
        <f ca="1"/>
      </c>
      <c r="AX500">
        <f ca="1"/>
      </c>
      <c r="AY500">
        <f ca="1"/>
      </c>
      <c r="BA500" s="7"/>
    </row>
    <row r="501" spans="31:53" x14ac:dyDescent="0.55000000000000004">
      <c r="AE501" s="7">
        <f ca="1"/>
      </c>
      <c r="AF501">
        <f ca="1"/>
      </c>
      <c r="AG501">
        <f ca="1"/>
      </c>
      <c r="AH501">
        <f ca="1"/>
      </c>
      <c r="AI501">
        <f ca="1"/>
      </c>
      <c r="AJ501">
        <f ca="1"/>
      </c>
      <c r="AK501">
        <f ca="1"/>
      </c>
      <c r="AL501">
        <f ca="1"/>
      </c>
      <c r="AM501">
        <f ca="1"/>
      </c>
      <c r="AN501">
        <f ca="1"/>
      </c>
      <c r="AO501">
        <f ca="1"/>
      </c>
      <c r="AP501">
        <f ca="1"/>
      </c>
      <c r="AQ501">
        <f ca="1"/>
      </c>
      <c r="AR501">
        <f ca="1"/>
      </c>
      <c r="AT501" s="7">
        <f ca="1"/>
      </c>
      <c r="AU501">
        <f ca="1"/>
      </c>
      <c r="AV501">
        <f ca="1"/>
      </c>
      <c r="AW501">
        <f ca="1"/>
      </c>
      <c r="AX501">
        <f ca="1"/>
      </c>
      <c r="AY501">
        <f ca="1"/>
      </c>
      <c r="BA501" s="7"/>
    </row>
    <row r="502" spans="31:53" x14ac:dyDescent="0.55000000000000004">
      <c r="AE502" s="7">
        <f ca="1"/>
      </c>
      <c r="AF502">
        <f ca="1"/>
      </c>
      <c r="AG502">
        <f ca="1"/>
      </c>
      <c r="AH502">
        <f ca="1"/>
      </c>
      <c r="AI502">
        <f ca="1"/>
      </c>
      <c r="AJ502">
        <f ca="1"/>
      </c>
      <c r="AK502">
        <f ca="1"/>
      </c>
      <c r="AL502">
        <f ca="1"/>
      </c>
      <c r="AM502">
        <f ca="1"/>
      </c>
      <c r="AN502">
        <f ca="1"/>
      </c>
      <c r="AO502">
        <f ca="1"/>
      </c>
      <c r="AP502">
        <f ca="1"/>
      </c>
      <c r="AQ502">
        <f ca="1"/>
      </c>
      <c r="AR502">
        <f ca="1"/>
      </c>
      <c r="AT502" s="7">
        <f ca="1"/>
      </c>
      <c r="AU502">
        <f ca="1"/>
      </c>
      <c r="AV502">
        <f ca="1"/>
      </c>
      <c r="AW502">
        <f ca="1"/>
      </c>
      <c r="AX502">
        <f ca="1"/>
      </c>
      <c r="AY502">
        <f ca="1"/>
      </c>
      <c r="BA502" s="7"/>
    </row>
    <row r="503" spans="31:53" x14ac:dyDescent="0.55000000000000004">
      <c r="AE503" s="7">
        <f ca="1"/>
      </c>
      <c r="AF503">
        <f ca="1"/>
      </c>
      <c r="AG503">
        <f ca="1"/>
      </c>
      <c r="AH503">
        <f ca="1"/>
      </c>
      <c r="AI503">
        <f ca="1"/>
      </c>
      <c r="AJ503">
        <f ca="1"/>
      </c>
      <c r="AK503">
        <f ca="1"/>
      </c>
      <c r="AL503">
        <f ca="1"/>
      </c>
      <c r="AM503">
        <f ca="1"/>
      </c>
      <c r="AN503">
        <f ca="1"/>
      </c>
      <c r="AO503">
        <f ca="1"/>
      </c>
      <c r="AP503">
        <f ca="1"/>
      </c>
      <c r="AQ503">
        <f ca="1"/>
      </c>
      <c r="AR503">
        <f ca="1"/>
      </c>
      <c r="AT503" s="7">
        <f ca="1"/>
      </c>
      <c r="AU503">
        <f ca="1"/>
      </c>
      <c r="AV503">
        <f ca="1"/>
      </c>
      <c r="AW503">
        <f ca="1"/>
      </c>
      <c r="AX503">
        <f ca="1"/>
      </c>
      <c r="AY503">
        <f ca="1"/>
      </c>
      <c r="BA503" s="7"/>
    </row>
    <row r="504" spans="31:53" x14ac:dyDescent="0.55000000000000004">
      <c r="AE504" s="7">
        <f ca="1"/>
      </c>
      <c r="AF504">
        <f ca="1"/>
      </c>
      <c r="AG504">
        <f ca="1"/>
      </c>
      <c r="AH504">
        <f ca="1"/>
      </c>
      <c r="AI504">
        <f ca="1"/>
      </c>
      <c r="AJ504">
        <f ca="1"/>
      </c>
      <c r="AK504">
        <f ca="1"/>
      </c>
      <c r="AL504">
        <f ca="1"/>
      </c>
      <c r="AM504">
        <f ca="1"/>
      </c>
      <c r="AN504">
        <f ca="1"/>
      </c>
      <c r="AO504">
        <f ca="1"/>
      </c>
      <c r="AP504">
        <f ca="1"/>
      </c>
      <c r="AQ504">
        <f ca="1"/>
      </c>
      <c r="AR504">
        <f ca="1"/>
      </c>
      <c r="AT504" s="7">
        <f ca="1"/>
      </c>
      <c r="AU504">
        <f ca="1"/>
      </c>
      <c r="AV504">
        <f ca="1"/>
      </c>
      <c r="AW504">
        <f ca="1"/>
      </c>
      <c r="AX504">
        <f ca="1"/>
      </c>
      <c r="AY504">
        <f ca="1"/>
      </c>
      <c r="BA504" s="7"/>
    </row>
    <row r="505" spans="31:53" x14ac:dyDescent="0.55000000000000004">
      <c r="AE505" s="7">
        <f ca="1"/>
      </c>
      <c r="AF505">
        <f ca="1"/>
      </c>
      <c r="AG505">
        <f ca="1"/>
      </c>
      <c r="AH505">
        <f ca="1"/>
      </c>
      <c r="AI505">
        <f ca="1"/>
      </c>
      <c r="AJ505">
        <f ca="1"/>
      </c>
      <c r="AK505">
        <f ca="1"/>
      </c>
      <c r="AL505">
        <f ca="1"/>
      </c>
      <c r="AM505">
        <f ca="1"/>
      </c>
      <c r="AN505">
        <f ca="1"/>
      </c>
      <c r="AO505">
        <f ca="1"/>
      </c>
      <c r="AP505">
        <f ca="1"/>
      </c>
      <c r="AQ505">
        <f ca="1"/>
      </c>
      <c r="AR505">
        <f ca="1"/>
      </c>
      <c r="AT505" s="7">
        <f ca="1"/>
      </c>
      <c r="AU505">
        <f ca="1"/>
      </c>
      <c r="AV505">
        <f ca="1"/>
      </c>
      <c r="AW505">
        <f ca="1"/>
      </c>
      <c r="AX505">
        <f ca="1"/>
      </c>
      <c r="AY505">
        <f ca="1"/>
      </c>
      <c r="BA505" s="7"/>
    </row>
    <row r="506" spans="31:53" x14ac:dyDescent="0.55000000000000004">
      <c r="AE506" s="7">
        <f ca="1"/>
      </c>
      <c r="AF506">
        <f ca="1"/>
      </c>
      <c r="AG506">
        <f ca="1"/>
      </c>
      <c r="AH506">
        <f ca="1"/>
      </c>
      <c r="AI506">
        <f ca="1"/>
      </c>
      <c r="AJ506">
        <f ca="1"/>
      </c>
      <c r="AK506">
        <f ca="1"/>
      </c>
      <c r="AL506">
        <f ca="1"/>
      </c>
      <c r="AM506">
        <f ca="1"/>
      </c>
      <c r="AN506">
        <f ca="1"/>
      </c>
      <c r="AO506">
        <f ca="1"/>
      </c>
      <c r="AP506">
        <f ca="1"/>
      </c>
      <c r="AQ506">
        <f ca="1"/>
      </c>
      <c r="AR506">
        <f ca="1"/>
      </c>
      <c r="AT506" s="7">
        <f ca="1"/>
      </c>
      <c r="AU506">
        <f ca="1"/>
      </c>
      <c r="AV506">
        <f ca="1"/>
      </c>
      <c r="AW506">
        <f ca="1"/>
      </c>
      <c r="AX506">
        <f ca="1"/>
      </c>
      <c r="AY506">
        <f ca="1"/>
      </c>
      <c r="BA506" s="7"/>
    </row>
    <row r="507" spans="31:53" x14ac:dyDescent="0.55000000000000004">
      <c r="AE507" s="7">
        <f ca="1"/>
      </c>
      <c r="AF507">
        <f ca="1"/>
      </c>
      <c r="AG507">
        <f ca="1"/>
      </c>
      <c r="AH507">
        <f ca="1"/>
      </c>
      <c r="AI507">
        <f ca="1"/>
      </c>
      <c r="AJ507">
        <f ca="1"/>
      </c>
      <c r="AK507">
        <f ca="1"/>
      </c>
      <c r="AL507">
        <f ca="1"/>
      </c>
      <c r="AM507">
        <f ca="1"/>
      </c>
      <c r="AN507">
        <f ca="1"/>
      </c>
      <c r="AO507">
        <f ca="1"/>
      </c>
      <c r="AP507">
        <f ca="1"/>
      </c>
      <c r="AQ507">
        <f ca="1"/>
      </c>
      <c r="AR507">
        <f ca="1"/>
      </c>
      <c r="AT507" s="7">
        <f ca="1"/>
      </c>
      <c r="AU507">
        <f ca="1"/>
      </c>
      <c r="AV507">
        <f ca="1"/>
      </c>
      <c r="AW507">
        <f ca="1"/>
      </c>
      <c r="AX507">
        <f ca="1"/>
      </c>
      <c r="AY507">
        <f ca="1"/>
      </c>
      <c r="BA507" s="7"/>
    </row>
    <row r="508" spans="31:53" x14ac:dyDescent="0.55000000000000004">
      <c r="AE508" s="7">
        <f ca="1"/>
      </c>
      <c r="AF508">
        <f ca="1"/>
      </c>
      <c r="AG508">
        <f ca="1"/>
      </c>
      <c r="AH508">
        <f ca="1"/>
      </c>
      <c r="AI508">
        <f ca="1"/>
      </c>
      <c r="AJ508">
        <f ca="1"/>
      </c>
      <c r="AK508">
        <f ca="1"/>
      </c>
      <c r="AL508">
        <f ca="1"/>
      </c>
      <c r="AM508">
        <f ca="1"/>
      </c>
      <c r="AN508">
        <f ca="1"/>
      </c>
      <c r="AO508">
        <f ca="1"/>
      </c>
      <c r="AP508">
        <f ca="1"/>
      </c>
      <c r="AQ508">
        <f ca="1"/>
      </c>
      <c r="AR508">
        <f ca="1"/>
      </c>
      <c r="AT508" s="7">
        <f ca="1"/>
      </c>
      <c r="AU508">
        <f ca="1"/>
      </c>
      <c r="AV508">
        <f ca="1"/>
      </c>
      <c r="AW508">
        <f ca="1"/>
      </c>
      <c r="AX508">
        <f ca="1"/>
      </c>
      <c r="AY508">
        <f ca="1"/>
      </c>
      <c r="BA508" s="7"/>
    </row>
    <row r="509" spans="31:53" x14ac:dyDescent="0.55000000000000004">
      <c r="AE509" s="7">
        <f ca="1"/>
      </c>
      <c r="AF509">
        <f ca="1"/>
      </c>
      <c r="AG509">
        <f ca="1"/>
      </c>
      <c r="AH509">
        <f ca="1"/>
      </c>
      <c r="AI509">
        <f ca="1"/>
      </c>
      <c r="AJ509">
        <f ca="1"/>
      </c>
      <c r="AK509">
        <f ca="1"/>
      </c>
      <c r="AL509">
        <f ca="1"/>
      </c>
      <c r="AM509">
        <f ca="1"/>
      </c>
      <c r="AN509">
        <f ca="1"/>
      </c>
      <c r="AO509">
        <f ca="1"/>
      </c>
      <c r="AP509">
        <f ca="1"/>
      </c>
      <c r="AQ509">
        <f ca="1"/>
      </c>
      <c r="AR509">
        <f ca="1"/>
      </c>
      <c r="AT509" s="7">
        <f ca="1"/>
      </c>
      <c r="AU509">
        <f ca="1"/>
      </c>
      <c r="AV509">
        <f ca="1"/>
      </c>
      <c r="AW509">
        <f ca="1"/>
      </c>
      <c r="AX509">
        <f ca="1"/>
      </c>
      <c r="AY509">
        <f ca="1"/>
      </c>
      <c r="BA509" s="7"/>
    </row>
    <row r="510" spans="31:53" x14ac:dyDescent="0.55000000000000004">
      <c r="AE510" s="7">
        <f ca="1"/>
      </c>
      <c r="AF510">
        <f ca="1"/>
      </c>
      <c r="AG510">
        <f ca="1"/>
      </c>
      <c r="AH510">
        <f ca="1"/>
      </c>
      <c r="AI510">
        <f ca="1"/>
      </c>
      <c r="AJ510">
        <f ca="1"/>
      </c>
      <c r="AK510">
        <f ca="1"/>
      </c>
      <c r="AL510">
        <f ca="1"/>
      </c>
      <c r="AM510">
        <f ca="1"/>
      </c>
      <c r="AN510">
        <f ca="1"/>
      </c>
      <c r="AO510">
        <f ca="1"/>
      </c>
      <c r="AP510">
        <f ca="1"/>
      </c>
      <c r="AQ510">
        <f ca="1"/>
      </c>
      <c r="AR510">
        <f ca="1"/>
      </c>
      <c r="AT510" s="7">
        <f ca="1"/>
      </c>
      <c r="AU510">
        <f ca="1"/>
      </c>
      <c r="AV510">
        <f ca="1"/>
      </c>
      <c r="AW510">
        <f ca="1"/>
      </c>
      <c r="AX510">
        <f ca="1"/>
      </c>
      <c r="AY510">
        <f ca="1"/>
      </c>
      <c r="BA510" s="7"/>
    </row>
    <row r="511" spans="31:53" x14ac:dyDescent="0.55000000000000004">
      <c r="AE511" s="7">
        <f ca="1"/>
      </c>
      <c r="AF511">
        <f ca="1"/>
      </c>
      <c r="AG511">
        <f ca="1"/>
      </c>
      <c r="AH511">
        <f ca="1"/>
      </c>
      <c r="AI511">
        <f ca="1"/>
      </c>
      <c r="AJ511">
        <f ca="1"/>
      </c>
      <c r="AK511">
        <f ca="1"/>
      </c>
      <c r="AL511">
        <f ca="1"/>
      </c>
      <c r="AM511">
        <f ca="1"/>
      </c>
      <c r="AN511">
        <f ca="1"/>
      </c>
      <c r="AO511">
        <f ca="1"/>
      </c>
      <c r="AP511">
        <f ca="1"/>
      </c>
      <c r="AQ511">
        <f ca="1"/>
      </c>
      <c r="AR511">
        <f ca="1"/>
      </c>
      <c r="AT511" s="7">
        <f ca="1"/>
      </c>
      <c r="AU511">
        <f ca="1"/>
      </c>
      <c r="AV511">
        <f ca="1"/>
      </c>
      <c r="AW511">
        <f ca="1"/>
      </c>
      <c r="AX511">
        <f ca="1"/>
      </c>
      <c r="AY511">
        <f ca="1"/>
      </c>
      <c r="BA511" s="7"/>
    </row>
    <row r="512" spans="31:53" x14ac:dyDescent="0.55000000000000004">
      <c r="AE512" s="7">
        <f ca="1"/>
      </c>
      <c r="AF512">
        <f ca="1"/>
      </c>
      <c r="AG512">
        <f ca="1"/>
      </c>
      <c r="AH512">
        <f ca="1"/>
      </c>
      <c r="AI512">
        <f ca="1"/>
      </c>
      <c r="AJ512">
        <f ca="1"/>
      </c>
      <c r="AK512">
        <f ca="1"/>
      </c>
      <c r="AL512">
        <f ca="1"/>
      </c>
      <c r="AM512">
        <f ca="1"/>
      </c>
      <c r="AN512">
        <f ca="1"/>
      </c>
      <c r="AO512">
        <f ca="1"/>
      </c>
      <c r="AP512">
        <f ca="1"/>
      </c>
      <c r="AQ512">
        <f ca="1"/>
      </c>
      <c r="AR512">
        <f ca="1"/>
      </c>
      <c r="AT512" s="7">
        <f ca="1"/>
      </c>
      <c r="AU512">
        <f ca="1"/>
      </c>
      <c r="AV512">
        <f ca="1"/>
      </c>
      <c r="AW512">
        <f ca="1"/>
      </c>
      <c r="AX512">
        <f ca="1"/>
      </c>
      <c r="AY512">
        <f ca="1"/>
      </c>
      <c r="BA512" s="7"/>
    </row>
    <row r="513" spans="31:53" x14ac:dyDescent="0.55000000000000004">
      <c r="AE513" s="7">
        <f ca="1"/>
      </c>
      <c r="AF513">
        <f ca="1"/>
      </c>
      <c r="AG513">
        <f ca="1"/>
      </c>
      <c r="AH513">
        <f ca="1"/>
      </c>
      <c r="AI513">
        <f ca="1"/>
      </c>
      <c r="AJ513">
        <f ca="1"/>
      </c>
      <c r="AK513">
        <f ca="1"/>
      </c>
      <c r="AL513">
        <f ca="1"/>
      </c>
      <c r="AM513">
        <f ca="1"/>
      </c>
      <c r="AN513">
        <f ca="1"/>
      </c>
      <c r="AO513">
        <f ca="1"/>
      </c>
      <c r="AP513">
        <f ca="1"/>
      </c>
      <c r="AQ513">
        <f ca="1"/>
      </c>
      <c r="AR513">
        <f ca="1"/>
      </c>
      <c r="AT513" s="7">
        <f ca="1"/>
      </c>
      <c r="AU513">
        <f ca="1"/>
      </c>
      <c r="AV513">
        <f ca="1"/>
      </c>
      <c r="AW513">
        <f ca="1"/>
      </c>
      <c r="AX513">
        <f ca="1"/>
      </c>
      <c r="AY513">
        <f ca="1"/>
      </c>
      <c r="BA513" s="7"/>
    </row>
    <row r="514" spans="31:53" x14ac:dyDescent="0.55000000000000004">
      <c r="AE514" s="7">
        <f ca="1"/>
      </c>
      <c r="AF514">
        <f ca="1"/>
      </c>
      <c r="AG514">
        <f ca="1"/>
      </c>
      <c r="AH514">
        <f ca="1"/>
      </c>
      <c r="AI514">
        <f ca="1"/>
      </c>
      <c r="AJ514">
        <f ca="1"/>
      </c>
      <c r="AK514">
        <f ca="1"/>
      </c>
      <c r="AL514">
        <f ca="1"/>
      </c>
      <c r="AM514">
        <f ca="1"/>
      </c>
      <c r="AN514">
        <f ca="1"/>
      </c>
      <c r="AO514">
        <f ca="1"/>
      </c>
      <c r="AP514">
        <f ca="1"/>
      </c>
      <c r="AQ514">
        <f ca="1"/>
      </c>
      <c r="AR514">
        <f ca="1"/>
      </c>
      <c r="AT514" s="7">
        <f ca="1"/>
      </c>
      <c r="AU514">
        <f ca="1"/>
      </c>
      <c r="AV514">
        <f ca="1"/>
      </c>
      <c r="AW514">
        <f ca="1"/>
      </c>
      <c r="AX514">
        <f ca="1"/>
      </c>
      <c r="AY514">
        <f ca="1"/>
      </c>
      <c r="BA514" s="7"/>
    </row>
    <row r="515" spans="31:53" x14ac:dyDescent="0.55000000000000004">
      <c r="AE515" s="7">
        <f ca="1"/>
      </c>
      <c r="AF515">
        <f ca="1"/>
      </c>
      <c r="AG515">
        <f ca="1"/>
      </c>
      <c r="AH515">
        <f ca="1"/>
      </c>
      <c r="AI515">
        <f ca="1"/>
      </c>
      <c r="AJ515">
        <f ca="1"/>
      </c>
      <c r="AK515">
        <f ca="1"/>
      </c>
      <c r="AL515">
        <f ca="1"/>
      </c>
      <c r="AM515">
        <f ca="1"/>
      </c>
      <c r="AN515">
        <f ca="1"/>
      </c>
      <c r="AO515">
        <f ca="1"/>
      </c>
      <c r="AP515">
        <f ca="1"/>
      </c>
      <c r="AQ515">
        <f ca="1"/>
      </c>
      <c r="AR515">
        <f ca="1"/>
      </c>
      <c r="AT515" s="7">
        <f ca="1"/>
      </c>
      <c r="AU515">
        <f ca="1"/>
      </c>
      <c r="AV515">
        <f ca="1"/>
      </c>
      <c r="AW515">
        <f ca="1"/>
      </c>
      <c r="AX515">
        <f ca="1"/>
      </c>
      <c r="AY515">
        <f ca="1"/>
      </c>
      <c r="BA515" s="7"/>
    </row>
    <row r="516" spans="31:53" x14ac:dyDescent="0.55000000000000004">
      <c r="AE516" s="7">
        <f ca="1"/>
      </c>
      <c r="AF516">
        <f ca="1"/>
      </c>
      <c r="AG516">
        <f ca="1"/>
      </c>
      <c r="AH516">
        <f ca="1"/>
      </c>
      <c r="AI516">
        <f ca="1"/>
      </c>
      <c r="AJ516">
        <f ca="1"/>
      </c>
      <c r="AK516">
        <f ca="1"/>
      </c>
      <c r="AL516">
        <f ca="1"/>
      </c>
      <c r="AM516">
        <f ca="1"/>
      </c>
      <c r="AN516">
        <f ca="1"/>
      </c>
      <c r="AO516">
        <f ca="1"/>
      </c>
      <c r="AP516">
        <f ca="1"/>
      </c>
      <c r="AQ516">
        <f ca="1"/>
      </c>
      <c r="AR516">
        <f ca="1"/>
      </c>
      <c r="AT516" s="7">
        <f ca="1"/>
      </c>
      <c r="AU516">
        <f ca="1"/>
      </c>
      <c r="AV516">
        <f ca="1"/>
      </c>
      <c r="AW516">
        <f ca="1"/>
      </c>
      <c r="AX516">
        <f ca="1"/>
      </c>
      <c r="AY516">
        <f ca="1"/>
      </c>
      <c r="BA516" s="7"/>
    </row>
    <row r="517" spans="31:53" x14ac:dyDescent="0.55000000000000004">
      <c r="AE517" s="7">
        <f ca="1"/>
      </c>
      <c r="AF517">
        <f ca="1"/>
      </c>
      <c r="AG517">
        <f ca="1"/>
      </c>
      <c r="AH517">
        <f ca="1"/>
      </c>
      <c r="AI517">
        <f ca="1"/>
      </c>
      <c r="AJ517">
        <f ca="1"/>
      </c>
      <c r="AK517">
        <f ca="1"/>
      </c>
      <c r="AL517">
        <f ca="1"/>
      </c>
      <c r="AM517">
        <f ca="1"/>
      </c>
      <c r="AN517">
        <f ca="1"/>
      </c>
      <c r="AO517">
        <f ca="1"/>
      </c>
      <c r="AP517">
        <f ca="1"/>
      </c>
      <c r="AQ517">
        <f ca="1"/>
      </c>
      <c r="AR517">
        <f ca="1"/>
      </c>
      <c r="AT517" s="7">
        <f ca="1"/>
      </c>
      <c r="AU517">
        <f ca="1"/>
      </c>
      <c r="AV517">
        <f ca="1"/>
      </c>
      <c r="AW517">
        <f ca="1"/>
      </c>
      <c r="AX517">
        <f ca="1"/>
      </c>
      <c r="AY517">
        <f ca="1"/>
      </c>
      <c r="BA517" s="7"/>
    </row>
    <row r="518" spans="31:53" x14ac:dyDescent="0.55000000000000004">
      <c r="AE518" s="7">
        <f ca="1"/>
      </c>
      <c r="AF518">
        <f ca="1"/>
      </c>
      <c r="AG518">
        <f ca="1"/>
      </c>
      <c r="AH518">
        <f ca="1"/>
      </c>
      <c r="AI518">
        <f ca="1"/>
      </c>
      <c r="AJ518">
        <f ca="1"/>
      </c>
      <c r="AK518">
        <f ca="1"/>
      </c>
      <c r="AL518">
        <f ca="1"/>
      </c>
      <c r="AM518">
        <f ca="1"/>
      </c>
      <c r="AN518">
        <f ca="1"/>
      </c>
      <c r="AO518">
        <f ca="1"/>
      </c>
      <c r="AP518">
        <f ca="1"/>
      </c>
      <c r="AQ518">
        <f ca="1"/>
      </c>
      <c r="AR518">
        <f ca="1"/>
      </c>
      <c r="AT518" s="7">
        <f ca="1"/>
      </c>
      <c r="AU518">
        <f ca="1"/>
      </c>
      <c r="AV518">
        <f ca="1"/>
      </c>
      <c r="AW518">
        <f ca="1"/>
      </c>
      <c r="AX518">
        <f ca="1"/>
      </c>
      <c r="AY518">
        <f ca="1"/>
      </c>
      <c r="BA518" s="7"/>
    </row>
    <row r="519" spans="31:53" x14ac:dyDescent="0.55000000000000004">
      <c r="AE519" s="7">
        <f ca="1"/>
      </c>
      <c r="AF519">
        <f ca="1"/>
      </c>
      <c r="AG519">
        <f ca="1"/>
      </c>
      <c r="AH519">
        <f ca="1"/>
      </c>
      <c r="AI519">
        <f ca="1"/>
      </c>
      <c r="AJ519">
        <f ca="1"/>
      </c>
      <c r="AK519">
        <f ca="1"/>
      </c>
      <c r="AL519">
        <f ca="1"/>
      </c>
      <c r="AM519">
        <f ca="1"/>
      </c>
      <c r="AN519">
        <f ca="1"/>
      </c>
      <c r="AO519">
        <f ca="1"/>
      </c>
      <c r="AP519">
        <f ca="1"/>
      </c>
      <c r="AQ519">
        <f ca="1"/>
      </c>
      <c r="AR519">
        <f ca="1"/>
      </c>
      <c r="AT519" s="7">
        <f ca="1"/>
      </c>
      <c r="AU519">
        <f ca="1"/>
      </c>
      <c r="AV519">
        <f ca="1"/>
      </c>
      <c r="AW519">
        <f ca="1"/>
      </c>
      <c r="AX519">
        <f ca="1"/>
      </c>
      <c r="AY519">
        <f ca="1"/>
      </c>
      <c r="BA519" s="7"/>
    </row>
    <row r="520" spans="31:53" x14ac:dyDescent="0.55000000000000004">
      <c r="AE520" s="7">
        <f ca="1"/>
      </c>
      <c r="AF520">
        <f ca="1"/>
      </c>
      <c r="AG520">
        <f ca="1"/>
      </c>
      <c r="AH520">
        <f ca="1"/>
      </c>
      <c r="AI520">
        <f ca="1"/>
      </c>
      <c r="AJ520">
        <f ca="1"/>
      </c>
      <c r="AK520">
        <f ca="1"/>
      </c>
      <c r="AL520">
        <f ca="1"/>
      </c>
      <c r="AM520">
        <f ca="1"/>
      </c>
      <c r="AN520">
        <f ca="1"/>
      </c>
      <c r="AO520">
        <f ca="1"/>
      </c>
      <c r="AP520">
        <f ca="1"/>
      </c>
      <c r="AQ520">
        <f ca="1"/>
      </c>
      <c r="AR520">
        <f ca="1"/>
      </c>
      <c r="AT520" s="7">
        <f ca="1"/>
      </c>
      <c r="AU520">
        <f ca="1"/>
      </c>
      <c r="AV520">
        <f ca="1"/>
      </c>
      <c r="AW520">
        <f ca="1"/>
      </c>
      <c r="AX520">
        <f ca="1"/>
      </c>
      <c r="AY520">
        <f ca="1"/>
      </c>
      <c r="BA520" s="7"/>
    </row>
    <row r="521" spans="31:53" x14ac:dyDescent="0.55000000000000004">
      <c r="AE521" s="7">
        <f ca="1"/>
      </c>
      <c r="AF521">
        <f ca="1"/>
      </c>
      <c r="AG521">
        <f ca="1"/>
      </c>
      <c r="AH521">
        <f ca="1"/>
      </c>
      <c r="AI521">
        <f ca="1"/>
      </c>
      <c r="AJ521">
        <f ca="1"/>
      </c>
      <c r="AK521">
        <f ca="1"/>
      </c>
      <c r="AL521">
        <f ca="1"/>
      </c>
      <c r="AM521">
        <f ca="1"/>
      </c>
      <c r="AN521">
        <f ca="1"/>
      </c>
      <c r="AO521">
        <f ca="1"/>
      </c>
      <c r="AP521">
        <f ca="1"/>
      </c>
      <c r="AQ521">
        <f ca="1"/>
      </c>
      <c r="AR521">
        <f ca="1"/>
      </c>
      <c r="AT521" s="7">
        <f ca="1"/>
      </c>
      <c r="AU521">
        <f ca="1"/>
      </c>
      <c r="AV521">
        <f ca="1"/>
      </c>
      <c r="AW521">
        <f ca="1"/>
      </c>
      <c r="AX521">
        <f ca="1"/>
      </c>
      <c r="AY521">
        <f ca="1"/>
      </c>
      <c r="BA521" s="7"/>
    </row>
    <row r="522" spans="31:53" x14ac:dyDescent="0.55000000000000004">
      <c r="AE522" s="7">
        <f ca="1"/>
      </c>
      <c r="AF522">
        <f ca="1"/>
      </c>
      <c r="AG522">
        <f ca="1"/>
      </c>
      <c r="AH522">
        <f ca="1"/>
      </c>
      <c r="AI522">
        <f ca="1"/>
      </c>
      <c r="AJ522">
        <f ca="1"/>
      </c>
      <c r="AK522">
        <f ca="1"/>
      </c>
      <c r="AL522">
        <f ca="1"/>
      </c>
      <c r="AM522">
        <f ca="1"/>
      </c>
      <c r="AN522">
        <f ca="1"/>
      </c>
      <c r="AO522">
        <f ca="1"/>
      </c>
      <c r="AP522">
        <f ca="1"/>
      </c>
      <c r="AQ522">
        <f ca="1"/>
      </c>
      <c r="AR522">
        <f ca="1"/>
      </c>
      <c r="AT522" s="7">
        <f ca="1"/>
      </c>
      <c r="AU522">
        <f ca="1"/>
      </c>
      <c r="AV522">
        <f ca="1"/>
      </c>
      <c r="AW522">
        <f ca="1"/>
      </c>
      <c r="AX522">
        <f ca="1"/>
      </c>
      <c r="AY522">
        <f ca="1"/>
      </c>
      <c r="BA522" s="7"/>
    </row>
    <row r="523" spans="31:53" x14ac:dyDescent="0.55000000000000004">
      <c r="AE523" s="7">
        <f ca="1"/>
      </c>
      <c r="AF523">
        <f ca="1"/>
      </c>
      <c r="AG523">
        <f ca="1"/>
      </c>
      <c r="AH523">
        <f ca="1"/>
      </c>
      <c r="AI523">
        <f ca="1"/>
      </c>
      <c r="AJ523">
        <f ca="1"/>
      </c>
      <c r="AK523">
        <f ca="1"/>
      </c>
      <c r="AL523">
        <f ca="1"/>
      </c>
      <c r="AM523">
        <f ca="1"/>
      </c>
      <c r="AN523">
        <f ca="1"/>
      </c>
      <c r="AO523">
        <f ca="1"/>
      </c>
      <c r="AP523">
        <f ca="1"/>
      </c>
      <c r="AQ523">
        <f ca="1"/>
      </c>
      <c r="AR523">
        <f ca="1"/>
      </c>
      <c r="AT523" s="7">
        <f ca="1"/>
      </c>
      <c r="AU523">
        <f ca="1"/>
      </c>
      <c r="AV523">
        <f ca="1"/>
      </c>
      <c r="AW523">
        <f ca="1"/>
      </c>
      <c r="AX523">
        <f ca="1"/>
      </c>
      <c r="AY523">
        <f ca="1"/>
      </c>
      <c r="BA523" s="7"/>
    </row>
    <row r="524" spans="31:53" x14ac:dyDescent="0.55000000000000004">
      <c r="AE524" s="7">
        <f ca="1"/>
      </c>
      <c r="AF524">
        <f ca="1"/>
      </c>
      <c r="AG524">
        <f ca="1"/>
      </c>
      <c r="AH524">
        <f ca="1"/>
      </c>
      <c r="AI524">
        <f ca="1"/>
      </c>
      <c r="AJ524">
        <f ca="1"/>
      </c>
      <c r="AK524">
        <f ca="1"/>
      </c>
      <c r="AL524">
        <f ca="1"/>
      </c>
      <c r="AM524">
        <f ca="1"/>
      </c>
      <c r="AN524">
        <f ca="1"/>
      </c>
      <c r="AO524">
        <f ca="1"/>
      </c>
      <c r="AP524">
        <f ca="1"/>
      </c>
      <c r="AQ524">
        <f ca="1"/>
      </c>
      <c r="AR524">
        <f ca="1"/>
      </c>
      <c r="AT524" s="7">
        <f ca="1"/>
      </c>
      <c r="AU524">
        <f ca="1"/>
      </c>
      <c r="AV524">
        <f ca="1"/>
      </c>
      <c r="AW524">
        <f ca="1"/>
      </c>
      <c r="AX524">
        <f ca="1"/>
      </c>
      <c r="AY524">
        <f ca="1"/>
      </c>
      <c r="BA524" s="7"/>
    </row>
    <row r="525" spans="31:53" x14ac:dyDescent="0.55000000000000004">
      <c r="AE525" s="7">
        <f ca="1"/>
      </c>
      <c r="AF525">
        <f ca="1"/>
      </c>
      <c r="AG525">
        <f ca="1"/>
      </c>
      <c r="AH525">
        <f ca="1"/>
      </c>
      <c r="AI525">
        <f ca="1"/>
      </c>
      <c r="AJ525">
        <f ca="1"/>
      </c>
      <c r="AK525">
        <f ca="1"/>
      </c>
      <c r="AL525">
        <f ca="1"/>
      </c>
      <c r="AM525">
        <f ca="1"/>
      </c>
      <c r="AN525">
        <f ca="1"/>
      </c>
      <c r="AO525">
        <f ca="1"/>
      </c>
      <c r="AP525">
        <f ca="1"/>
      </c>
      <c r="AQ525">
        <f ca="1"/>
      </c>
      <c r="AR525">
        <f ca="1"/>
      </c>
      <c r="AT525" s="7">
        <f ca="1"/>
      </c>
      <c r="AU525">
        <f ca="1"/>
      </c>
      <c r="AV525">
        <f ca="1"/>
      </c>
      <c r="AW525">
        <f ca="1"/>
      </c>
      <c r="AX525">
        <f ca="1"/>
      </c>
      <c r="AY525">
        <f ca="1"/>
      </c>
      <c r="BA525" s="7"/>
    </row>
    <row r="526" spans="31:53" x14ac:dyDescent="0.55000000000000004">
      <c r="AE526" s="7">
        <f ca="1"/>
      </c>
      <c r="AF526">
        <f ca="1"/>
      </c>
      <c r="AG526">
        <f ca="1"/>
      </c>
      <c r="AH526">
        <f ca="1"/>
      </c>
      <c r="AI526">
        <f ca="1"/>
      </c>
      <c r="AJ526">
        <f ca="1"/>
      </c>
      <c r="AK526">
        <f ca="1"/>
      </c>
      <c r="AL526">
        <f ca="1"/>
      </c>
      <c r="AM526">
        <f ca="1"/>
      </c>
      <c r="AN526">
        <f ca="1"/>
      </c>
      <c r="AO526">
        <f ca="1"/>
      </c>
      <c r="AP526">
        <f ca="1"/>
      </c>
      <c r="AQ526">
        <f ca="1"/>
      </c>
      <c r="AR526">
        <f ca="1"/>
      </c>
      <c r="AT526" s="7">
        <f ca="1"/>
      </c>
      <c r="AU526">
        <f ca="1"/>
      </c>
      <c r="AV526">
        <f ca="1"/>
      </c>
      <c r="AW526">
        <f ca="1"/>
      </c>
      <c r="AX526">
        <f ca="1"/>
      </c>
      <c r="AY526">
        <f ca="1"/>
      </c>
      <c r="BA526" s="7"/>
    </row>
    <row r="527" spans="31:53" x14ac:dyDescent="0.55000000000000004">
      <c r="AE527" s="7">
        <f ca="1"/>
      </c>
      <c r="AF527">
        <f ca="1"/>
      </c>
      <c r="AG527">
        <f ca="1"/>
      </c>
      <c r="AH527">
        <f ca="1"/>
      </c>
      <c r="AI527">
        <f ca="1"/>
      </c>
      <c r="AJ527">
        <f ca="1"/>
      </c>
      <c r="AK527">
        <f ca="1"/>
      </c>
      <c r="AL527">
        <f ca="1"/>
      </c>
      <c r="AM527">
        <f ca="1"/>
      </c>
      <c r="AN527">
        <f ca="1"/>
      </c>
      <c r="AO527">
        <f ca="1"/>
      </c>
      <c r="AP527">
        <f ca="1"/>
      </c>
      <c r="AQ527">
        <f ca="1"/>
      </c>
      <c r="AR527">
        <f ca="1"/>
      </c>
      <c r="AT527" s="7">
        <f ca="1"/>
      </c>
      <c r="AU527">
        <f ca="1"/>
      </c>
      <c r="AV527">
        <f ca="1"/>
      </c>
      <c r="AW527">
        <f ca="1"/>
      </c>
      <c r="AX527">
        <f ca="1"/>
      </c>
      <c r="AY527">
        <f ca="1"/>
      </c>
      <c r="BA527" s="7"/>
    </row>
    <row r="528" spans="31:53" x14ac:dyDescent="0.55000000000000004">
      <c r="AE528" s="7">
        <f ca="1"/>
      </c>
      <c r="AF528">
        <f ca="1"/>
      </c>
      <c r="AG528">
        <f ca="1"/>
      </c>
      <c r="AH528">
        <f ca="1"/>
      </c>
      <c r="AI528">
        <f ca="1"/>
      </c>
      <c r="AJ528">
        <f ca="1"/>
      </c>
      <c r="AK528">
        <f ca="1"/>
      </c>
      <c r="AL528">
        <f ca="1"/>
      </c>
      <c r="AM528">
        <f ca="1"/>
      </c>
      <c r="AN528">
        <f ca="1"/>
      </c>
      <c r="AO528">
        <f ca="1"/>
      </c>
      <c r="AP528">
        <f ca="1"/>
      </c>
      <c r="AQ528">
        <f ca="1"/>
      </c>
      <c r="AR528">
        <f ca="1"/>
      </c>
      <c r="AT528" s="7">
        <f ca="1"/>
      </c>
      <c r="AU528">
        <f ca="1"/>
      </c>
      <c r="AV528">
        <f ca="1"/>
      </c>
      <c r="AW528">
        <f ca="1"/>
      </c>
      <c r="AX528">
        <f ca="1"/>
      </c>
      <c r="AY528">
        <f ca="1"/>
      </c>
      <c r="BA528" s="7"/>
    </row>
    <row r="529" spans="31:53" x14ac:dyDescent="0.55000000000000004">
      <c r="AE529" s="7">
        <f ca="1"/>
      </c>
      <c r="AF529">
        <f ca="1"/>
      </c>
      <c r="AG529">
        <f ca="1"/>
      </c>
      <c r="AH529">
        <f ca="1"/>
      </c>
      <c r="AI529">
        <f ca="1"/>
      </c>
      <c r="AJ529">
        <f ca="1"/>
      </c>
      <c r="AK529">
        <f ca="1"/>
      </c>
      <c r="AL529">
        <f ca="1"/>
      </c>
      <c r="AM529">
        <f ca="1"/>
      </c>
      <c r="AN529">
        <f ca="1"/>
      </c>
      <c r="AO529">
        <f ca="1"/>
      </c>
      <c r="AP529">
        <f ca="1"/>
      </c>
      <c r="AQ529">
        <f ca="1"/>
      </c>
      <c r="AR529">
        <f ca="1"/>
      </c>
      <c r="AT529" s="7">
        <f ca="1"/>
      </c>
      <c r="AU529">
        <f ca="1"/>
      </c>
      <c r="AV529">
        <f ca="1"/>
      </c>
      <c r="AW529">
        <f ca="1"/>
      </c>
      <c r="AX529">
        <f ca="1"/>
      </c>
      <c r="AY529">
        <f ca="1"/>
      </c>
      <c r="BA529" s="7"/>
    </row>
    <row r="530" spans="31:53" x14ac:dyDescent="0.55000000000000004">
      <c r="AE530" s="7">
        <f ca="1"/>
      </c>
      <c r="AF530">
        <f ca="1"/>
      </c>
      <c r="AG530">
        <f ca="1"/>
      </c>
      <c r="AH530">
        <f ca="1"/>
      </c>
      <c r="AI530">
        <f ca="1"/>
      </c>
      <c r="AJ530">
        <f ca="1"/>
      </c>
      <c r="AK530">
        <f ca="1"/>
      </c>
      <c r="AL530">
        <f ca="1"/>
      </c>
      <c r="AM530">
        <f ca="1"/>
      </c>
      <c r="AN530">
        <f ca="1"/>
      </c>
      <c r="AO530">
        <f ca="1"/>
      </c>
      <c r="AP530">
        <f ca="1"/>
      </c>
      <c r="AQ530">
        <f ca="1"/>
      </c>
      <c r="AR530">
        <f ca="1"/>
      </c>
      <c r="AT530" s="7">
        <f ca="1"/>
      </c>
      <c r="AU530">
        <f ca="1"/>
      </c>
      <c r="AV530">
        <f ca="1"/>
      </c>
      <c r="AW530">
        <f ca="1"/>
      </c>
      <c r="AX530">
        <f ca="1"/>
      </c>
      <c r="AY530">
        <f ca="1"/>
      </c>
      <c r="BA530" s="7"/>
    </row>
    <row r="531" spans="31:53" x14ac:dyDescent="0.55000000000000004">
      <c r="AE531" s="7">
        <f ca="1"/>
      </c>
      <c r="AF531">
        <f ca="1"/>
      </c>
      <c r="AG531">
        <f ca="1"/>
      </c>
      <c r="AH531">
        <f ca="1"/>
      </c>
      <c r="AI531">
        <f ca="1"/>
      </c>
      <c r="AJ531">
        <f ca="1"/>
      </c>
      <c r="AK531">
        <f ca="1"/>
      </c>
      <c r="AL531">
        <f ca="1"/>
      </c>
      <c r="AM531">
        <f ca="1"/>
      </c>
      <c r="AN531">
        <f ca="1"/>
      </c>
      <c r="AO531">
        <f ca="1"/>
      </c>
      <c r="AP531">
        <f ca="1"/>
      </c>
      <c r="AQ531">
        <f ca="1"/>
      </c>
      <c r="AR531">
        <f ca="1"/>
      </c>
      <c r="AT531" s="7">
        <f ca="1"/>
      </c>
      <c r="AU531">
        <f ca="1"/>
      </c>
      <c r="AV531">
        <f ca="1"/>
      </c>
      <c r="AW531">
        <f ca="1"/>
      </c>
      <c r="AX531">
        <f ca="1"/>
      </c>
      <c r="AY531">
        <f ca="1"/>
      </c>
      <c r="BA531" s="7"/>
    </row>
    <row r="532" spans="31:53" x14ac:dyDescent="0.55000000000000004">
      <c r="AE532" s="7">
        <f ca="1"/>
      </c>
      <c r="AF532">
        <f ca="1"/>
      </c>
      <c r="AG532">
        <f ca="1"/>
      </c>
      <c r="AH532">
        <f ca="1"/>
      </c>
      <c r="AI532">
        <f ca="1"/>
      </c>
      <c r="AJ532">
        <f ca="1"/>
      </c>
      <c r="AK532">
        <f ca="1"/>
      </c>
      <c r="AL532">
        <f ca="1"/>
      </c>
      <c r="AM532">
        <f ca="1"/>
      </c>
      <c r="AN532">
        <f ca="1"/>
      </c>
      <c r="AO532">
        <f ca="1"/>
      </c>
      <c r="AP532">
        <f ca="1"/>
      </c>
      <c r="AQ532">
        <f ca="1"/>
      </c>
      <c r="AR532">
        <f ca="1"/>
      </c>
      <c r="AT532" s="7">
        <f ca="1"/>
      </c>
      <c r="AU532">
        <f ca="1"/>
      </c>
      <c r="AV532">
        <f ca="1"/>
      </c>
      <c r="AW532">
        <f ca="1"/>
      </c>
      <c r="AX532">
        <f ca="1"/>
      </c>
      <c r="AY532">
        <f ca="1"/>
      </c>
      <c r="BA532" s="7"/>
    </row>
    <row r="533" spans="31:53" x14ac:dyDescent="0.55000000000000004">
      <c r="AE533" s="7">
        <f ca="1"/>
      </c>
      <c r="AF533">
        <f ca="1"/>
      </c>
      <c r="AG533">
        <f ca="1"/>
      </c>
      <c r="AH533">
        <f ca="1"/>
      </c>
      <c r="AI533">
        <f ca="1"/>
      </c>
      <c r="AJ533">
        <f ca="1"/>
      </c>
      <c r="AK533">
        <f ca="1"/>
      </c>
      <c r="AL533">
        <f ca="1"/>
      </c>
      <c r="AM533">
        <f ca="1"/>
      </c>
      <c r="AN533">
        <f ca="1"/>
      </c>
      <c r="AO533">
        <f ca="1"/>
      </c>
      <c r="AP533">
        <f ca="1"/>
      </c>
      <c r="AQ533">
        <f ca="1"/>
      </c>
      <c r="AR533">
        <f ca="1"/>
      </c>
      <c r="AT533" s="7">
        <f ca="1"/>
      </c>
      <c r="AU533">
        <f ca="1"/>
      </c>
      <c r="AV533">
        <f ca="1"/>
      </c>
      <c r="AW533">
        <f ca="1"/>
      </c>
      <c r="AX533">
        <f ca="1"/>
      </c>
      <c r="AY533">
        <f ca="1"/>
      </c>
      <c r="BA533" s="7"/>
    </row>
    <row r="534" spans="31:53" x14ac:dyDescent="0.55000000000000004">
      <c r="AE534" s="7">
        <f ca="1"/>
      </c>
      <c r="AF534">
        <f ca="1"/>
      </c>
      <c r="AG534">
        <f ca="1"/>
      </c>
      <c r="AH534">
        <f ca="1"/>
      </c>
      <c r="AI534">
        <f ca="1"/>
      </c>
      <c r="AJ534">
        <f ca="1"/>
      </c>
      <c r="AK534">
        <f ca="1"/>
      </c>
      <c r="AL534">
        <f ca="1"/>
      </c>
      <c r="AM534">
        <f ca="1"/>
      </c>
      <c r="AN534">
        <f ca="1"/>
      </c>
      <c r="AO534">
        <f ca="1"/>
      </c>
      <c r="AP534">
        <f ca="1"/>
      </c>
      <c r="AQ534">
        <f ca="1"/>
      </c>
      <c r="AR534">
        <f ca="1"/>
      </c>
      <c r="AT534" s="7">
        <f ca="1"/>
      </c>
      <c r="AU534">
        <f ca="1"/>
      </c>
      <c r="AV534">
        <f ca="1"/>
      </c>
      <c r="AW534">
        <f ca="1"/>
      </c>
      <c r="AX534">
        <f ca="1"/>
      </c>
      <c r="AY534">
        <f ca="1"/>
      </c>
      <c r="BA534" s="7"/>
    </row>
    <row r="535" spans="31:53" x14ac:dyDescent="0.55000000000000004">
      <c r="AE535" s="7">
        <f ca="1"/>
      </c>
      <c r="AF535">
        <f ca="1"/>
      </c>
      <c r="AG535">
        <f ca="1"/>
      </c>
      <c r="AH535">
        <f ca="1"/>
      </c>
      <c r="AI535">
        <f ca="1"/>
      </c>
      <c r="AJ535">
        <f ca="1"/>
      </c>
      <c r="AK535">
        <f ca="1"/>
      </c>
      <c r="AL535">
        <f ca="1"/>
      </c>
      <c r="AM535">
        <f ca="1"/>
      </c>
      <c r="AN535">
        <f ca="1"/>
      </c>
      <c r="AO535">
        <f ca="1"/>
      </c>
      <c r="AP535">
        <f ca="1"/>
      </c>
      <c r="AQ535">
        <f ca="1"/>
      </c>
      <c r="AR535">
        <f ca="1"/>
      </c>
      <c r="AT535" s="7">
        <f ca="1"/>
      </c>
      <c r="AU535">
        <f ca="1"/>
      </c>
      <c r="AV535">
        <f ca="1"/>
      </c>
      <c r="AW535">
        <f ca="1"/>
      </c>
      <c r="AX535">
        <f ca="1"/>
      </c>
      <c r="AY535">
        <f ca="1"/>
      </c>
      <c r="BA535" s="7"/>
    </row>
    <row r="536" spans="31:53" x14ac:dyDescent="0.55000000000000004">
      <c r="AE536" s="7">
        <f ca="1"/>
      </c>
      <c r="AF536">
        <f ca="1"/>
      </c>
      <c r="AG536">
        <f ca="1"/>
      </c>
      <c r="AH536">
        <f ca="1"/>
      </c>
      <c r="AI536">
        <f ca="1"/>
      </c>
      <c r="AJ536">
        <f ca="1"/>
      </c>
      <c r="AK536">
        <f ca="1"/>
      </c>
      <c r="AL536">
        <f ca="1"/>
      </c>
      <c r="AM536">
        <f ca="1"/>
      </c>
      <c r="AN536">
        <f ca="1"/>
      </c>
      <c r="AO536">
        <f ca="1"/>
      </c>
      <c r="AP536">
        <f ca="1"/>
      </c>
      <c r="AQ536">
        <f ca="1"/>
      </c>
      <c r="AR536">
        <f ca="1"/>
      </c>
      <c r="AT536" s="7">
        <f ca="1"/>
      </c>
      <c r="AU536">
        <f ca="1"/>
      </c>
      <c r="AV536">
        <f ca="1"/>
      </c>
      <c r="AW536">
        <f ca="1"/>
      </c>
      <c r="AX536">
        <f ca="1"/>
      </c>
      <c r="AY536">
        <f ca="1"/>
      </c>
      <c r="BA536" s="7"/>
    </row>
    <row r="537" spans="31:53" x14ac:dyDescent="0.55000000000000004">
      <c r="AE537" s="7">
        <f ca="1"/>
      </c>
      <c r="AF537">
        <f ca="1"/>
      </c>
      <c r="AG537">
        <f ca="1"/>
      </c>
      <c r="AH537">
        <f ca="1"/>
      </c>
      <c r="AI537">
        <f ca="1"/>
      </c>
      <c r="AJ537">
        <f ca="1"/>
      </c>
      <c r="AK537">
        <f ca="1"/>
      </c>
      <c r="AL537">
        <f ca="1"/>
      </c>
      <c r="AM537">
        <f ca="1"/>
      </c>
      <c r="AN537">
        <f ca="1"/>
      </c>
      <c r="AO537">
        <f ca="1"/>
      </c>
      <c r="AP537">
        <f ca="1"/>
      </c>
      <c r="AQ537">
        <f ca="1"/>
      </c>
      <c r="AR537">
        <f ca="1"/>
      </c>
      <c r="AT537" s="7">
        <f ca="1"/>
      </c>
      <c r="AU537">
        <f ca="1"/>
      </c>
      <c r="AV537">
        <f ca="1"/>
      </c>
      <c r="AW537">
        <f ca="1"/>
      </c>
      <c r="AX537">
        <f ca="1"/>
      </c>
      <c r="AY537">
        <f ca="1"/>
      </c>
      <c r="BA537" s="7"/>
    </row>
    <row r="538" spans="31:53" x14ac:dyDescent="0.55000000000000004">
      <c r="AE538" s="7">
        <f ca="1"/>
      </c>
      <c r="AF538">
        <f ca="1"/>
      </c>
      <c r="AG538">
        <f ca="1"/>
      </c>
      <c r="AH538">
        <f ca="1"/>
      </c>
      <c r="AI538">
        <f ca="1"/>
      </c>
      <c r="AJ538">
        <f ca="1"/>
      </c>
      <c r="AK538">
        <f ca="1"/>
      </c>
      <c r="AL538">
        <f ca="1"/>
      </c>
      <c r="AM538">
        <f ca="1"/>
      </c>
      <c r="AN538">
        <f ca="1"/>
      </c>
      <c r="AO538">
        <f ca="1"/>
      </c>
      <c r="AP538">
        <f ca="1"/>
      </c>
      <c r="AQ538">
        <f ca="1"/>
      </c>
      <c r="AR538">
        <f ca="1"/>
      </c>
      <c r="AT538" s="7">
        <f ca="1"/>
      </c>
      <c r="AU538">
        <f ca="1"/>
      </c>
      <c r="AV538">
        <f ca="1"/>
      </c>
      <c r="AW538">
        <f ca="1"/>
      </c>
      <c r="AX538">
        <f ca="1"/>
      </c>
      <c r="AY538">
        <f ca="1"/>
      </c>
      <c r="BA538" s="7"/>
    </row>
    <row r="539" spans="31:53" x14ac:dyDescent="0.55000000000000004">
      <c r="AE539" s="7">
        <f ca="1"/>
      </c>
      <c r="AF539">
        <f ca="1"/>
      </c>
      <c r="AG539">
        <f ca="1"/>
      </c>
      <c r="AH539">
        <f ca="1"/>
      </c>
      <c r="AI539">
        <f ca="1"/>
      </c>
      <c r="AJ539">
        <f ca="1"/>
      </c>
      <c r="AK539">
        <f ca="1"/>
      </c>
      <c r="AL539">
        <f ca="1"/>
      </c>
      <c r="AM539">
        <f ca="1"/>
      </c>
      <c r="AN539">
        <f ca="1"/>
      </c>
      <c r="AO539">
        <f ca="1"/>
      </c>
      <c r="AP539">
        <f ca="1"/>
      </c>
      <c r="AQ539">
        <f ca="1"/>
      </c>
      <c r="AR539">
        <f ca="1"/>
      </c>
      <c r="AT539" s="7">
        <f ca="1"/>
      </c>
      <c r="AU539">
        <f ca="1"/>
      </c>
      <c r="AV539">
        <f ca="1"/>
      </c>
      <c r="AW539">
        <f ca="1"/>
      </c>
      <c r="AX539">
        <f ca="1"/>
      </c>
      <c r="AY539">
        <f ca="1"/>
      </c>
      <c r="BA539" s="7"/>
    </row>
    <row r="540" spans="31:53" x14ac:dyDescent="0.55000000000000004">
      <c r="AE540" s="7">
        <f ca="1"/>
      </c>
      <c r="AF540">
        <f ca="1"/>
      </c>
      <c r="AG540">
        <f ca="1"/>
      </c>
      <c r="AH540">
        <f ca="1"/>
      </c>
      <c r="AI540">
        <f ca="1"/>
      </c>
      <c r="AJ540">
        <f ca="1"/>
      </c>
      <c r="AK540">
        <f ca="1"/>
      </c>
      <c r="AL540">
        <f ca="1"/>
      </c>
      <c r="AM540">
        <f ca="1"/>
      </c>
      <c r="AN540">
        <f ca="1"/>
      </c>
      <c r="AO540">
        <f ca="1"/>
      </c>
      <c r="AP540">
        <f ca="1"/>
      </c>
      <c r="AQ540">
        <f ca="1"/>
      </c>
      <c r="AR540">
        <f ca="1"/>
      </c>
      <c r="AT540" s="7">
        <f ca="1"/>
      </c>
      <c r="AU540">
        <f ca="1"/>
      </c>
      <c r="AV540">
        <f ca="1"/>
      </c>
      <c r="AW540">
        <f ca="1"/>
      </c>
      <c r="AX540">
        <f ca="1"/>
      </c>
      <c r="AY540">
        <f ca="1"/>
      </c>
      <c r="BA540" s="7"/>
    </row>
    <row r="541" spans="31:53" x14ac:dyDescent="0.55000000000000004">
      <c r="AE541" s="7">
        <f ca="1"/>
      </c>
      <c r="AF541">
        <f ca="1"/>
      </c>
      <c r="AG541">
        <f ca="1"/>
      </c>
      <c r="AH541">
        <f ca="1"/>
      </c>
      <c r="AI541">
        <f ca="1"/>
      </c>
      <c r="AJ541">
        <f ca="1"/>
      </c>
      <c r="AK541">
        <f ca="1"/>
      </c>
      <c r="AL541">
        <f ca="1"/>
      </c>
      <c r="AM541">
        <f ca="1"/>
      </c>
      <c r="AN541">
        <f ca="1"/>
      </c>
      <c r="AO541">
        <f ca="1"/>
      </c>
      <c r="AP541">
        <f ca="1"/>
      </c>
      <c r="AQ541">
        <f ca="1"/>
      </c>
      <c r="AR541">
        <f ca="1"/>
      </c>
      <c r="AT541" s="7">
        <f ca="1"/>
      </c>
      <c r="AU541">
        <f ca="1"/>
      </c>
      <c r="AV541">
        <f ca="1"/>
      </c>
      <c r="AW541">
        <f ca="1"/>
      </c>
      <c r="AX541">
        <f ca="1"/>
      </c>
      <c r="AY541">
        <f ca="1"/>
      </c>
      <c r="BA541" s="7"/>
    </row>
    <row r="542" spans="31:53" x14ac:dyDescent="0.55000000000000004">
      <c r="AE542" s="7">
        <f ca="1"/>
      </c>
      <c r="AF542">
        <f ca="1"/>
      </c>
      <c r="AG542">
        <f ca="1"/>
      </c>
      <c r="AH542">
        <f ca="1"/>
      </c>
      <c r="AI542">
        <f ca="1"/>
      </c>
      <c r="AJ542">
        <f ca="1"/>
      </c>
      <c r="AK542">
        <f ca="1"/>
      </c>
      <c r="AL542">
        <f ca="1"/>
      </c>
      <c r="AM542">
        <f ca="1"/>
      </c>
      <c r="AN542">
        <f ca="1"/>
      </c>
      <c r="AO542">
        <f ca="1"/>
      </c>
      <c r="AP542">
        <f ca="1"/>
      </c>
      <c r="AQ542">
        <f ca="1"/>
      </c>
      <c r="AR542">
        <f ca="1"/>
      </c>
      <c r="AT542" s="7">
        <f ca="1"/>
      </c>
      <c r="AU542">
        <f ca="1"/>
      </c>
      <c r="AV542">
        <f ca="1"/>
      </c>
      <c r="AW542">
        <f ca="1"/>
      </c>
      <c r="AX542">
        <f ca="1"/>
      </c>
      <c r="AY542">
        <f ca="1"/>
      </c>
      <c r="BA542" s="7"/>
    </row>
    <row r="543" spans="31:53" x14ac:dyDescent="0.55000000000000004">
      <c r="AE543" s="7">
        <f ca="1"/>
      </c>
      <c r="AF543">
        <f ca="1"/>
      </c>
      <c r="AG543">
        <f ca="1"/>
      </c>
      <c r="AH543">
        <f ca="1"/>
      </c>
      <c r="AI543">
        <f ca="1"/>
      </c>
      <c r="AJ543">
        <f ca="1"/>
      </c>
      <c r="AK543">
        <f ca="1"/>
      </c>
      <c r="AL543">
        <f ca="1"/>
      </c>
      <c r="AM543">
        <f ca="1"/>
      </c>
      <c r="AN543">
        <f ca="1"/>
      </c>
      <c r="AO543">
        <f ca="1"/>
      </c>
      <c r="AP543">
        <f ca="1"/>
      </c>
      <c r="AQ543">
        <f ca="1"/>
      </c>
      <c r="AR543">
        <f ca="1"/>
      </c>
      <c r="AT543" s="7">
        <f ca="1"/>
      </c>
      <c r="AU543">
        <f ca="1"/>
      </c>
      <c r="AV543">
        <f ca="1"/>
      </c>
      <c r="AW543">
        <f ca="1"/>
      </c>
      <c r="AX543">
        <f ca="1"/>
      </c>
      <c r="AY543">
        <f ca="1"/>
      </c>
      <c r="BA543" s="7"/>
    </row>
    <row r="544" spans="31:53" x14ac:dyDescent="0.55000000000000004">
      <c r="AE544" s="7">
        <f ca="1"/>
      </c>
      <c r="AF544">
        <f ca="1"/>
      </c>
      <c r="AG544">
        <f ca="1"/>
      </c>
      <c r="AH544">
        <f ca="1"/>
      </c>
      <c r="AI544">
        <f ca="1"/>
      </c>
      <c r="AJ544">
        <f ca="1"/>
      </c>
      <c r="AK544">
        <f ca="1"/>
      </c>
      <c r="AL544">
        <f ca="1"/>
      </c>
      <c r="AM544">
        <f ca="1"/>
      </c>
      <c r="AN544">
        <f ca="1"/>
      </c>
      <c r="AO544">
        <f ca="1"/>
      </c>
      <c r="AP544">
        <f ca="1"/>
      </c>
      <c r="AQ544">
        <f ca="1"/>
      </c>
      <c r="AR544">
        <f ca="1"/>
      </c>
      <c r="AT544" s="7">
        <f ca="1"/>
      </c>
      <c r="AU544">
        <f ca="1"/>
      </c>
      <c r="AV544">
        <f ca="1"/>
      </c>
      <c r="AW544">
        <f ca="1"/>
      </c>
      <c r="AX544">
        <f ca="1"/>
      </c>
      <c r="AY544">
        <f ca="1"/>
      </c>
      <c r="BA544" s="7"/>
    </row>
    <row r="545" spans="31:53" x14ac:dyDescent="0.55000000000000004">
      <c r="AE545" s="7">
        <f ca="1"/>
      </c>
      <c r="AF545">
        <f ca="1"/>
      </c>
      <c r="AG545">
        <f ca="1"/>
      </c>
      <c r="AH545">
        <f ca="1"/>
      </c>
      <c r="AI545">
        <f ca="1"/>
      </c>
      <c r="AJ545">
        <f ca="1"/>
      </c>
      <c r="AK545">
        <f ca="1"/>
      </c>
      <c r="AL545">
        <f ca="1"/>
      </c>
      <c r="AM545">
        <f ca="1"/>
      </c>
      <c r="AN545">
        <f ca="1"/>
      </c>
      <c r="AO545">
        <f ca="1"/>
      </c>
      <c r="AP545">
        <f ca="1"/>
      </c>
      <c r="AQ545">
        <f ca="1"/>
      </c>
      <c r="AR545">
        <f ca="1"/>
      </c>
      <c r="AT545" s="7">
        <f ca="1"/>
      </c>
      <c r="AU545">
        <f ca="1"/>
      </c>
      <c r="AV545">
        <f ca="1"/>
      </c>
      <c r="AW545">
        <f ca="1"/>
      </c>
      <c r="AX545">
        <f ca="1"/>
      </c>
      <c r="AY545">
        <f ca="1"/>
      </c>
      <c r="BA545" s="7"/>
    </row>
    <row r="546" spans="31:53" x14ac:dyDescent="0.55000000000000004">
      <c r="AE546" s="7">
        <f ca="1"/>
      </c>
      <c r="AF546">
        <f ca="1"/>
      </c>
      <c r="AG546">
        <f ca="1"/>
      </c>
      <c r="AH546">
        <f ca="1"/>
      </c>
      <c r="AI546">
        <f ca="1"/>
      </c>
      <c r="AJ546">
        <f ca="1"/>
      </c>
      <c r="AK546">
        <f ca="1"/>
      </c>
      <c r="AL546">
        <f ca="1"/>
      </c>
      <c r="AM546">
        <f ca="1"/>
      </c>
      <c r="AN546">
        <f ca="1"/>
      </c>
      <c r="AO546">
        <f ca="1"/>
      </c>
      <c r="AP546">
        <f ca="1"/>
      </c>
      <c r="AQ546">
        <f ca="1"/>
      </c>
      <c r="AR546">
        <f ca="1"/>
      </c>
      <c r="AT546" s="7">
        <f ca="1"/>
      </c>
      <c r="AU546">
        <f ca="1"/>
      </c>
      <c r="AV546">
        <f ca="1"/>
      </c>
      <c r="AW546">
        <f ca="1"/>
      </c>
      <c r="AX546">
        <f ca="1"/>
      </c>
      <c r="AY546">
        <f ca="1"/>
      </c>
      <c r="BA546" s="7"/>
    </row>
    <row r="547" spans="31:53" x14ac:dyDescent="0.55000000000000004">
      <c r="AE547" s="7">
        <f ca="1"/>
      </c>
      <c r="AF547">
        <f ca="1"/>
      </c>
      <c r="AG547">
        <f ca="1"/>
      </c>
      <c r="AH547">
        <f ca="1"/>
      </c>
      <c r="AI547">
        <f ca="1"/>
      </c>
      <c r="AJ547">
        <f ca="1"/>
      </c>
      <c r="AK547">
        <f ca="1"/>
      </c>
      <c r="AL547">
        <f ca="1"/>
      </c>
      <c r="AM547">
        <f ca="1"/>
      </c>
      <c r="AN547">
        <f ca="1"/>
      </c>
      <c r="AO547">
        <f ca="1"/>
      </c>
      <c r="AP547">
        <f ca="1"/>
      </c>
      <c r="AQ547">
        <f ca="1"/>
      </c>
      <c r="AR547">
        <f ca="1"/>
      </c>
      <c r="AT547" s="7">
        <f ca="1"/>
      </c>
      <c r="AU547">
        <f ca="1"/>
      </c>
      <c r="AV547">
        <f ca="1"/>
      </c>
      <c r="AW547">
        <f ca="1"/>
      </c>
      <c r="AX547">
        <f ca="1"/>
      </c>
      <c r="AY547">
        <f ca="1"/>
      </c>
      <c r="BA547" s="7"/>
    </row>
    <row r="548" spans="31:53" x14ac:dyDescent="0.55000000000000004">
      <c r="AE548" s="7">
        <f ca="1"/>
      </c>
      <c r="AF548">
        <f ca="1"/>
      </c>
      <c r="AG548">
        <f ca="1"/>
      </c>
      <c r="AH548">
        <f ca="1"/>
      </c>
      <c r="AI548">
        <f ca="1"/>
      </c>
      <c r="AJ548">
        <f ca="1"/>
      </c>
      <c r="AK548">
        <f ca="1"/>
      </c>
      <c r="AL548">
        <f ca="1"/>
      </c>
      <c r="AM548">
        <f ca="1"/>
      </c>
      <c r="AN548">
        <f ca="1"/>
      </c>
      <c r="AO548">
        <f ca="1"/>
      </c>
      <c r="AP548">
        <f ca="1"/>
      </c>
      <c r="AQ548">
        <f ca="1"/>
      </c>
      <c r="AR548">
        <f ca="1"/>
      </c>
      <c r="AT548" s="7">
        <f ca="1"/>
      </c>
      <c r="AU548">
        <f ca="1"/>
      </c>
      <c r="AV548">
        <f ca="1"/>
      </c>
      <c r="AW548">
        <f ca="1"/>
      </c>
      <c r="AX548">
        <f ca="1"/>
      </c>
      <c r="AY548">
        <f ca="1"/>
      </c>
      <c r="BA548" s="7"/>
    </row>
    <row r="549" spans="31:53" x14ac:dyDescent="0.55000000000000004">
      <c r="AE549" s="7">
        <f ca="1"/>
      </c>
      <c r="AF549">
        <f ca="1"/>
      </c>
      <c r="AG549">
        <f ca="1"/>
      </c>
      <c r="AH549">
        <f ca="1"/>
      </c>
      <c r="AI549">
        <f ca="1"/>
      </c>
      <c r="AJ549">
        <f ca="1"/>
      </c>
      <c r="AK549">
        <f ca="1"/>
      </c>
      <c r="AL549">
        <f ca="1"/>
      </c>
      <c r="AM549">
        <f ca="1"/>
      </c>
      <c r="AN549">
        <f ca="1"/>
      </c>
      <c r="AO549">
        <f ca="1"/>
      </c>
      <c r="AP549">
        <f ca="1"/>
      </c>
      <c r="AQ549">
        <f ca="1"/>
      </c>
      <c r="AR549">
        <f ca="1"/>
      </c>
      <c r="AT549" s="7">
        <f ca="1"/>
      </c>
      <c r="AU549">
        <f ca="1"/>
      </c>
      <c r="AV549">
        <f ca="1"/>
      </c>
      <c r="AW549">
        <f ca="1"/>
      </c>
      <c r="AX549">
        <f ca="1"/>
      </c>
      <c r="AY549">
        <f ca="1"/>
      </c>
      <c r="BA549" s="7"/>
    </row>
    <row r="550" spans="31:53" x14ac:dyDescent="0.55000000000000004">
      <c r="AE550" s="7">
        <f ca="1"/>
      </c>
      <c r="AF550">
        <f ca="1"/>
      </c>
      <c r="AG550">
        <f ca="1"/>
      </c>
      <c r="AH550">
        <f ca="1"/>
      </c>
      <c r="AI550">
        <f ca="1"/>
      </c>
      <c r="AJ550">
        <f ca="1"/>
      </c>
      <c r="AK550">
        <f ca="1"/>
      </c>
      <c r="AL550">
        <f ca="1"/>
      </c>
      <c r="AM550">
        <f ca="1"/>
      </c>
      <c r="AN550">
        <f ca="1"/>
      </c>
      <c r="AO550">
        <f ca="1"/>
      </c>
      <c r="AP550">
        <f ca="1"/>
      </c>
      <c r="AQ550">
        <f ca="1"/>
      </c>
      <c r="AR550">
        <f ca="1"/>
      </c>
      <c r="AT550" s="7">
        <f ca="1"/>
      </c>
      <c r="AU550">
        <f ca="1"/>
      </c>
      <c r="AV550">
        <f ca="1"/>
      </c>
      <c r="AW550">
        <f ca="1"/>
      </c>
      <c r="AX550">
        <f ca="1"/>
      </c>
      <c r="AY550">
        <f ca="1"/>
      </c>
      <c r="BA550" s="7"/>
    </row>
    <row r="551" spans="31:53" x14ac:dyDescent="0.55000000000000004">
      <c r="AE551" s="7">
        <f ca="1"/>
      </c>
      <c r="AF551">
        <f ca="1"/>
      </c>
      <c r="AG551">
        <f ca="1"/>
      </c>
      <c r="AH551">
        <f ca="1"/>
      </c>
      <c r="AI551">
        <f ca="1"/>
      </c>
      <c r="AJ551">
        <f ca="1"/>
      </c>
      <c r="AK551">
        <f ca="1"/>
      </c>
      <c r="AL551">
        <f ca="1"/>
      </c>
      <c r="AM551">
        <f ca="1"/>
      </c>
      <c r="AN551">
        <f ca="1"/>
      </c>
      <c r="AO551">
        <f ca="1"/>
      </c>
      <c r="AP551">
        <f ca="1"/>
      </c>
      <c r="AQ551">
        <f ca="1"/>
      </c>
      <c r="AR551">
        <f ca="1"/>
      </c>
      <c r="AT551" s="7">
        <f ca="1"/>
      </c>
      <c r="AU551">
        <f ca="1"/>
      </c>
      <c r="AV551">
        <f ca="1"/>
      </c>
      <c r="AW551">
        <f ca="1"/>
      </c>
      <c r="AX551">
        <f ca="1"/>
      </c>
      <c r="AY551">
        <f ca="1"/>
      </c>
      <c r="BA551" s="7"/>
    </row>
    <row r="552" spans="31:53" x14ac:dyDescent="0.55000000000000004">
      <c r="AE552" s="7">
        <f ca="1"/>
      </c>
      <c r="AF552">
        <f ca="1"/>
      </c>
      <c r="AG552">
        <f ca="1"/>
      </c>
      <c r="AH552">
        <f ca="1"/>
      </c>
      <c r="AI552">
        <f ca="1"/>
      </c>
      <c r="AJ552">
        <f ca="1"/>
      </c>
      <c r="AK552">
        <f ca="1"/>
      </c>
      <c r="AL552">
        <f ca="1"/>
      </c>
      <c r="AM552">
        <f ca="1"/>
      </c>
      <c r="AN552">
        <f ca="1"/>
      </c>
      <c r="AO552">
        <f ca="1"/>
      </c>
      <c r="AP552">
        <f ca="1"/>
      </c>
      <c r="AQ552">
        <f ca="1"/>
      </c>
      <c r="AR552">
        <f ca="1"/>
      </c>
      <c r="AT552" s="7">
        <f ca="1"/>
      </c>
      <c r="AU552">
        <f ca="1"/>
      </c>
      <c r="AV552">
        <f ca="1"/>
      </c>
      <c r="AW552">
        <f ca="1"/>
      </c>
      <c r="AX552">
        <f ca="1"/>
      </c>
      <c r="AY552">
        <f ca="1"/>
      </c>
      <c r="BA552" s="7"/>
    </row>
    <row r="553" spans="31:53" x14ac:dyDescent="0.55000000000000004">
      <c r="AE553" s="7">
        <f ca="1"/>
      </c>
      <c r="AF553">
        <f ca="1"/>
      </c>
      <c r="AG553">
        <f ca="1"/>
      </c>
      <c r="AH553">
        <f ca="1"/>
      </c>
      <c r="AI553">
        <f ca="1"/>
      </c>
      <c r="AJ553">
        <f ca="1"/>
      </c>
      <c r="AK553">
        <f ca="1"/>
      </c>
      <c r="AL553">
        <f ca="1"/>
      </c>
      <c r="AM553">
        <f ca="1"/>
      </c>
      <c r="AN553">
        <f ca="1"/>
      </c>
      <c r="AO553">
        <f ca="1"/>
      </c>
      <c r="AP553">
        <f ca="1"/>
      </c>
      <c r="AQ553">
        <f ca="1"/>
      </c>
      <c r="AR553">
        <f ca="1"/>
      </c>
      <c r="AT553" s="7">
        <f ca="1"/>
      </c>
      <c r="AU553">
        <f ca="1"/>
      </c>
      <c r="AV553">
        <f ca="1"/>
      </c>
      <c r="AW553">
        <f ca="1"/>
      </c>
      <c r="AX553">
        <f ca="1"/>
      </c>
      <c r="AY553">
        <f ca="1"/>
      </c>
      <c r="BA553" s="7"/>
    </row>
    <row r="554" spans="31:53" x14ac:dyDescent="0.55000000000000004">
      <c r="AE554" s="7">
        <f ca="1"/>
      </c>
      <c r="AF554">
        <f ca="1"/>
      </c>
      <c r="AG554">
        <f ca="1"/>
      </c>
      <c r="AH554">
        <f ca="1"/>
      </c>
      <c r="AI554">
        <f ca="1"/>
      </c>
      <c r="AJ554">
        <f ca="1"/>
      </c>
      <c r="AK554">
        <f ca="1"/>
      </c>
      <c r="AL554">
        <f ca="1"/>
      </c>
      <c r="AM554">
        <f ca="1"/>
      </c>
      <c r="AN554">
        <f ca="1"/>
      </c>
      <c r="AO554">
        <f ca="1"/>
      </c>
      <c r="AP554">
        <f ca="1"/>
      </c>
      <c r="AQ554">
        <f ca="1"/>
      </c>
      <c r="AR554">
        <f ca="1"/>
      </c>
      <c r="AT554" s="7">
        <f ca="1"/>
      </c>
      <c r="AU554">
        <f ca="1"/>
      </c>
      <c r="AV554">
        <f ca="1"/>
      </c>
      <c r="AW554">
        <f ca="1"/>
      </c>
      <c r="AX554">
        <f ca="1"/>
      </c>
      <c r="AY554">
        <f ca="1"/>
      </c>
      <c r="BA554" s="7"/>
    </row>
    <row r="555" spans="31:53" x14ac:dyDescent="0.55000000000000004">
      <c r="AE555" s="7">
        <f ca="1"/>
      </c>
      <c r="AF555">
        <f ca="1"/>
      </c>
      <c r="AG555">
        <f ca="1"/>
      </c>
      <c r="AH555">
        <f ca="1"/>
      </c>
      <c r="AI555">
        <f ca="1"/>
      </c>
      <c r="AJ555">
        <f ca="1"/>
      </c>
      <c r="AK555">
        <f ca="1"/>
      </c>
      <c r="AL555">
        <f ca="1"/>
      </c>
      <c r="AM555">
        <f ca="1"/>
      </c>
      <c r="AN555">
        <f ca="1"/>
      </c>
      <c r="AO555">
        <f ca="1"/>
      </c>
      <c r="AP555">
        <f ca="1"/>
      </c>
      <c r="AQ555">
        <f ca="1"/>
      </c>
      <c r="AR555">
        <f ca="1"/>
      </c>
      <c r="AT555" s="7">
        <f ca="1"/>
      </c>
      <c r="AU555">
        <f ca="1"/>
      </c>
      <c r="AV555">
        <f ca="1"/>
      </c>
      <c r="AW555">
        <f ca="1"/>
      </c>
      <c r="AX555">
        <f ca="1"/>
      </c>
      <c r="AY555">
        <f ca="1"/>
      </c>
      <c r="BA555" s="7"/>
    </row>
    <row r="556" spans="31:53" x14ac:dyDescent="0.55000000000000004">
      <c r="AE556" s="7">
        <f ca="1"/>
      </c>
      <c r="AF556">
        <f ca="1"/>
      </c>
      <c r="AG556">
        <f ca="1"/>
      </c>
      <c r="AH556">
        <f ca="1"/>
      </c>
      <c r="AI556">
        <f ca="1"/>
      </c>
      <c r="AJ556">
        <f ca="1"/>
      </c>
      <c r="AK556">
        <f ca="1"/>
      </c>
      <c r="AL556">
        <f ca="1"/>
      </c>
      <c r="AM556">
        <f ca="1"/>
      </c>
      <c r="AN556">
        <f ca="1"/>
      </c>
      <c r="AO556">
        <f ca="1"/>
      </c>
      <c r="AP556">
        <f ca="1"/>
      </c>
      <c r="AQ556">
        <f ca="1"/>
      </c>
      <c r="AR556">
        <f ca="1"/>
      </c>
      <c r="AT556" s="7">
        <f ca="1"/>
      </c>
      <c r="AU556">
        <f ca="1"/>
      </c>
      <c r="AV556">
        <f ca="1"/>
      </c>
      <c r="AW556">
        <f ca="1"/>
      </c>
      <c r="AX556">
        <f ca="1"/>
      </c>
      <c r="AY556">
        <f ca="1"/>
      </c>
      <c r="BA556" s="7"/>
    </row>
    <row r="557" spans="31:53" x14ac:dyDescent="0.55000000000000004">
      <c r="AE557" s="7">
        <f ca="1"/>
      </c>
      <c r="AF557">
        <f ca="1"/>
      </c>
      <c r="AG557">
        <f ca="1"/>
      </c>
      <c r="AH557">
        <f ca="1"/>
      </c>
      <c r="AI557">
        <f ca="1"/>
      </c>
      <c r="AJ557">
        <f ca="1"/>
      </c>
      <c r="AK557">
        <f ca="1"/>
      </c>
      <c r="AL557">
        <f ca="1"/>
      </c>
      <c r="AM557">
        <f ca="1"/>
      </c>
      <c r="AN557">
        <f ca="1"/>
      </c>
      <c r="AO557">
        <f ca="1"/>
      </c>
      <c r="AP557">
        <f ca="1"/>
      </c>
      <c r="AQ557">
        <f ca="1"/>
      </c>
      <c r="AR557">
        <f ca="1"/>
      </c>
      <c r="AT557" s="7">
        <f ca="1"/>
      </c>
      <c r="AU557">
        <f ca="1"/>
      </c>
      <c r="AV557">
        <f ca="1"/>
      </c>
      <c r="AW557">
        <f ca="1"/>
      </c>
      <c r="AX557">
        <f ca="1"/>
      </c>
      <c r="AY557">
        <f ca="1"/>
      </c>
      <c r="BA557" s="7"/>
    </row>
    <row r="558" spans="31:53" x14ac:dyDescent="0.55000000000000004">
      <c r="AE558" s="7">
        <f ca="1"/>
      </c>
      <c r="AF558">
        <f ca="1"/>
      </c>
      <c r="AG558">
        <f ca="1"/>
      </c>
      <c r="AH558">
        <f ca="1"/>
      </c>
      <c r="AI558">
        <f ca="1"/>
      </c>
      <c r="AJ558">
        <f ca="1"/>
      </c>
      <c r="AK558">
        <f ca="1"/>
      </c>
      <c r="AL558">
        <f ca="1"/>
      </c>
      <c r="AM558">
        <f ca="1"/>
      </c>
      <c r="AN558">
        <f ca="1"/>
      </c>
      <c r="AO558">
        <f ca="1"/>
      </c>
      <c r="AP558">
        <f ca="1"/>
      </c>
      <c r="AQ558">
        <f ca="1"/>
      </c>
      <c r="AR558">
        <f ca="1"/>
      </c>
      <c r="AT558" s="7">
        <f ca="1"/>
      </c>
      <c r="AU558">
        <f ca="1"/>
      </c>
      <c r="AV558">
        <f ca="1"/>
      </c>
      <c r="AW558">
        <f ca="1"/>
      </c>
      <c r="AX558">
        <f ca="1"/>
      </c>
      <c r="AY558">
        <f ca="1"/>
      </c>
      <c r="BA558" s="7"/>
    </row>
    <row r="559" spans="31:53" x14ac:dyDescent="0.55000000000000004">
      <c r="AE559" s="7">
        <f ca="1"/>
      </c>
      <c r="AF559">
        <f ca="1"/>
      </c>
      <c r="AG559">
        <f ca="1"/>
      </c>
      <c r="AH559">
        <f ca="1"/>
      </c>
      <c r="AI559">
        <f ca="1"/>
      </c>
      <c r="AJ559">
        <f ca="1"/>
      </c>
      <c r="AK559">
        <f ca="1"/>
      </c>
      <c r="AL559">
        <f ca="1"/>
      </c>
      <c r="AM559">
        <f ca="1"/>
      </c>
      <c r="AN559">
        <f ca="1"/>
      </c>
      <c r="AO559">
        <f ca="1"/>
      </c>
      <c r="AP559">
        <f ca="1"/>
      </c>
      <c r="AQ559">
        <f ca="1"/>
      </c>
      <c r="AR559">
        <f ca="1"/>
      </c>
      <c r="AT559" s="7">
        <f ca="1"/>
      </c>
      <c r="AU559">
        <f ca="1"/>
      </c>
      <c r="AV559">
        <f ca="1"/>
      </c>
      <c r="AW559">
        <f ca="1"/>
      </c>
      <c r="AX559">
        <f ca="1"/>
      </c>
      <c r="AY559">
        <f ca="1"/>
      </c>
      <c r="BA559" s="7"/>
    </row>
    <row r="560" spans="31:53" x14ac:dyDescent="0.55000000000000004">
      <c r="AE560" s="7">
        <f ca="1"/>
      </c>
      <c r="AF560">
        <f ca="1"/>
      </c>
      <c r="AG560">
        <f ca="1"/>
      </c>
      <c r="AH560">
        <f ca="1"/>
      </c>
      <c r="AI560">
        <f ca="1"/>
      </c>
      <c r="AJ560">
        <f ca="1"/>
      </c>
      <c r="AK560">
        <f ca="1"/>
      </c>
      <c r="AL560">
        <f ca="1"/>
      </c>
      <c r="AM560">
        <f ca="1"/>
      </c>
      <c r="AN560">
        <f ca="1"/>
      </c>
      <c r="AO560">
        <f ca="1"/>
      </c>
      <c r="AP560">
        <f ca="1"/>
      </c>
      <c r="AQ560">
        <f ca="1"/>
      </c>
      <c r="AR560">
        <f ca="1"/>
      </c>
      <c r="AT560" s="7">
        <f ca="1"/>
      </c>
      <c r="AU560">
        <f ca="1"/>
      </c>
      <c r="AV560">
        <f ca="1"/>
      </c>
      <c r="AW560">
        <f ca="1"/>
      </c>
      <c r="AX560">
        <f ca="1"/>
      </c>
      <c r="AY560">
        <f ca="1"/>
      </c>
      <c r="BA560" s="7"/>
    </row>
    <row r="561" spans="31:53" x14ac:dyDescent="0.55000000000000004">
      <c r="AE561" s="7">
        <f ca="1"/>
      </c>
      <c r="AF561">
        <f ca="1"/>
      </c>
      <c r="AG561">
        <f ca="1"/>
      </c>
      <c r="AH561">
        <f ca="1"/>
      </c>
      <c r="AI561">
        <f ca="1"/>
      </c>
      <c r="AJ561">
        <f ca="1"/>
      </c>
      <c r="AK561">
        <f ca="1"/>
      </c>
      <c r="AL561">
        <f ca="1"/>
      </c>
      <c r="AM561">
        <f ca="1"/>
      </c>
      <c r="AN561">
        <f ca="1"/>
      </c>
      <c r="AO561">
        <f ca="1"/>
      </c>
      <c r="AP561">
        <f ca="1"/>
      </c>
      <c r="AQ561">
        <f ca="1"/>
      </c>
      <c r="AR561">
        <f ca="1"/>
      </c>
      <c r="AT561" s="7">
        <f ca="1"/>
      </c>
      <c r="AU561">
        <f ca="1"/>
      </c>
      <c r="AV561">
        <f ca="1"/>
      </c>
      <c r="AW561">
        <f ca="1"/>
      </c>
      <c r="AX561">
        <f ca="1"/>
      </c>
      <c r="AY561">
        <f ca="1"/>
      </c>
      <c r="BA561" s="7"/>
    </row>
    <row r="562" spans="31:53" x14ac:dyDescent="0.55000000000000004">
      <c r="AE562" s="7">
        <f ca="1"/>
      </c>
      <c r="AF562">
        <f ca="1"/>
      </c>
      <c r="AG562">
        <f ca="1"/>
      </c>
      <c r="AH562">
        <f ca="1"/>
      </c>
      <c r="AI562">
        <f ca="1"/>
      </c>
      <c r="AJ562">
        <f ca="1"/>
      </c>
      <c r="AK562">
        <f ca="1"/>
      </c>
      <c r="AL562">
        <f ca="1"/>
      </c>
      <c r="AM562">
        <f ca="1"/>
      </c>
      <c r="AN562">
        <f ca="1"/>
      </c>
      <c r="AO562">
        <f ca="1"/>
      </c>
      <c r="AP562">
        <f ca="1"/>
      </c>
      <c r="AQ562">
        <f ca="1"/>
      </c>
      <c r="AR562">
        <f ca="1"/>
      </c>
      <c r="AT562" s="7">
        <f ca="1"/>
      </c>
      <c r="AU562">
        <f ca="1"/>
      </c>
      <c r="AV562">
        <f ca="1"/>
      </c>
      <c r="AW562">
        <f ca="1"/>
      </c>
      <c r="AX562">
        <f ca="1"/>
      </c>
      <c r="AY562">
        <f ca="1"/>
      </c>
      <c r="BA562" s="7"/>
    </row>
    <row r="563" spans="31:53" x14ac:dyDescent="0.55000000000000004">
      <c r="AE563" s="7">
        <f ca="1"/>
      </c>
      <c r="AF563">
        <f ca="1"/>
      </c>
      <c r="AG563">
        <f ca="1"/>
      </c>
      <c r="AH563">
        <f ca="1"/>
      </c>
      <c r="AI563">
        <f ca="1"/>
      </c>
      <c r="AJ563">
        <f ca="1"/>
      </c>
      <c r="AK563">
        <f ca="1"/>
      </c>
      <c r="AL563">
        <f ca="1"/>
      </c>
      <c r="AM563">
        <f ca="1"/>
      </c>
      <c r="AN563">
        <f ca="1"/>
      </c>
      <c r="AO563">
        <f ca="1"/>
      </c>
      <c r="AP563">
        <f ca="1"/>
      </c>
      <c r="AQ563">
        <f ca="1"/>
      </c>
      <c r="AR563">
        <f ca="1"/>
      </c>
      <c r="AT563" s="7">
        <f ca="1"/>
      </c>
      <c r="AU563">
        <f ca="1"/>
      </c>
      <c r="AV563">
        <f ca="1"/>
      </c>
      <c r="AW563">
        <f ca="1"/>
      </c>
      <c r="AX563">
        <f ca="1"/>
      </c>
      <c r="AY563">
        <f ca="1"/>
      </c>
      <c r="BA563" s="7"/>
    </row>
    <row r="564" spans="31:53" x14ac:dyDescent="0.55000000000000004">
      <c r="AE564" s="7">
        <f ca="1"/>
      </c>
      <c r="AF564">
        <f ca="1"/>
      </c>
      <c r="AG564">
        <f ca="1"/>
      </c>
      <c r="AH564">
        <f ca="1"/>
      </c>
      <c r="AI564">
        <f ca="1"/>
      </c>
      <c r="AJ564">
        <f ca="1"/>
      </c>
      <c r="AK564">
        <f ca="1"/>
      </c>
      <c r="AL564">
        <f ca="1"/>
      </c>
      <c r="AM564">
        <f ca="1"/>
      </c>
      <c r="AN564">
        <f ca="1"/>
      </c>
      <c r="AO564">
        <f ca="1"/>
      </c>
      <c r="AP564">
        <f ca="1"/>
      </c>
      <c r="AQ564">
        <f ca="1"/>
      </c>
      <c r="AR564">
        <f ca="1"/>
      </c>
      <c r="AT564" s="7">
        <f ca="1"/>
      </c>
      <c r="AU564">
        <f ca="1"/>
      </c>
      <c r="AV564">
        <f ca="1"/>
      </c>
      <c r="AW564">
        <f ca="1"/>
      </c>
      <c r="AX564">
        <f ca="1"/>
      </c>
      <c r="AY564">
        <f ca="1"/>
      </c>
      <c r="BA564" s="7"/>
    </row>
    <row r="565" spans="31:53" x14ac:dyDescent="0.55000000000000004">
      <c r="AE565" s="7">
        <f ca="1"/>
      </c>
      <c r="AF565">
        <f ca="1"/>
      </c>
      <c r="AG565">
        <f ca="1"/>
      </c>
      <c r="AH565">
        <f ca="1"/>
      </c>
      <c r="AI565">
        <f ca="1"/>
      </c>
      <c r="AJ565">
        <f ca="1"/>
      </c>
      <c r="AK565">
        <f ca="1"/>
      </c>
      <c r="AL565">
        <f ca="1"/>
      </c>
      <c r="AM565">
        <f ca="1"/>
      </c>
      <c r="AN565">
        <f ca="1"/>
      </c>
      <c r="AO565">
        <f ca="1"/>
      </c>
      <c r="AP565">
        <f ca="1"/>
      </c>
      <c r="AQ565">
        <f ca="1"/>
      </c>
      <c r="AR565">
        <f ca="1"/>
      </c>
      <c r="AT565" s="7">
        <f ca="1"/>
      </c>
      <c r="AU565">
        <f ca="1"/>
      </c>
      <c r="AV565">
        <f ca="1"/>
      </c>
      <c r="AW565">
        <f ca="1"/>
      </c>
      <c r="AX565">
        <f ca="1"/>
      </c>
      <c r="AY565">
        <f ca="1"/>
      </c>
      <c r="BA565" s="7"/>
    </row>
    <row r="566" spans="31:53" x14ac:dyDescent="0.55000000000000004">
      <c r="AE566" s="7">
        <f ca="1"/>
      </c>
      <c r="AF566">
        <f ca="1"/>
      </c>
      <c r="AG566">
        <f ca="1"/>
      </c>
      <c r="AH566">
        <f ca="1"/>
      </c>
      <c r="AI566">
        <f ca="1"/>
      </c>
      <c r="AJ566">
        <f ca="1"/>
      </c>
      <c r="AK566">
        <f ca="1"/>
      </c>
      <c r="AL566">
        <f ca="1"/>
      </c>
      <c r="AM566">
        <f ca="1"/>
      </c>
      <c r="AN566">
        <f ca="1"/>
      </c>
      <c r="AO566">
        <f ca="1"/>
      </c>
      <c r="AP566">
        <f ca="1"/>
      </c>
      <c r="AQ566">
        <f ca="1"/>
      </c>
      <c r="AR566">
        <f ca="1"/>
      </c>
      <c r="AT566" s="7">
        <f ca="1"/>
      </c>
      <c r="AU566">
        <f ca="1"/>
      </c>
      <c r="AV566">
        <f ca="1"/>
      </c>
      <c r="AW566">
        <f ca="1"/>
      </c>
      <c r="AX566">
        <f ca="1"/>
      </c>
      <c r="AY566">
        <f ca="1"/>
      </c>
      <c r="BA566" s="7"/>
    </row>
    <row r="567" spans="31:53" x14ac:dyDescent="0.55000000000000004">
      <c r="AE567" s="7">
        <f ca="1"/>
      </c>
      <c r="AF567">
        <f ca="1"/>
      </c>
      <c r="AG567">
        <f ca="1"/>
      </c>
      <c r="AH567">
        <f ca="1"/>
      </c>
      <c r="AI567">
        <f ca="1"/>
      </c>
      <c r="AJ567">
        <f ca="1"/>
      </c>
      <c r="AK567">
        <f ca="1"/>
      </c>
      <c r="AL567">
        <f ca="1"/>
      </c>
      <c r="AM567">
        <f ca="1"/>
      </c>
      <c r="AN567">
        <f ca="1"/>
      </c>
      <c r="AO567">
        <f ca="1"/>
      </c>
      <c r="AP567">
        <f ca="1"/>
      </c>
      <c r="AQ567">
        <f ca="1"/>
      </c>
      <c r="AR567">
        <f ca="1"/>
      </c>
      <c r="AT567" s="7">
        <f ca="1"/>
      </c>
      <c r="AU567">
        <f ca="1"/>
      </c>
      <c r="AV567">
        <f ca="1"/>
      </c>
      <c r="AW567">
        <f ca="1"/>
      </c>
      <c r="AX567">
        <f ca="1"/>
      </c>
      <c r="AY567">
        <f ca="1"/>
      </c>
      <c r="BA567" s="7"/>
    </row>
    <row r="568" spans="31:53" x14ac:dyDescent="0.55000000000000004">
      <c r="AE568" s="7">
        <f ca="1"/>
      </c>
      <c r="AF568">
        <f ca="1"/>
      </c>
      <c r="AG568">
        <f ca="1"/>
      </c>
      <c r="AH568">
        <f ca="1"/>
      </c>
      <c r="AI568">
        <f ca="1"/>
      </c>
      <c r="AJ568">
        <f ca="1"/>
      </c>
      <c r="AK568">
        <f ca="1"/>
      </c>
      <c r="AL568">
        <f ca="1"/>
      </c>
      <c r="AM568">
        <f ca="1"/>
      </c>
      <c r="AN568">
        <f ca="1"/>
      </c>
      <c r="AO568">
        <f ca="1"/>
      </c>
      <c r="AP568">
        <f ca="1"/>
      </c>
      <c r="AQ568">
        <f ca="1"/>
      </c>
      <c r="AR568">
        <f ca="1"/>
      </c>
      <c r="AT568" s="7">
        <f ca="1"/>
      </c>
      <c r="AU568">
        <f ca="1"/>
      </c>
      <c r="AV568">
        <f ca="1"/>
      </c>
      <c r="AW568">
        <f ca="1"/>
      </c>
      <c r="AX568">
        <f ca="1"/>
      </c>
      <c r="AY568">
        <f ca="1"/>
      </c>
      <c r="BA568" s="7"/>
    </row>
    <row r="569" spans="31:53" x14ac:dyDescent="0.55000000000000004">
      <c r="AE569" s="7">
        <f ca="1"/>
      </c>
      <c r="AF569">
        <f ca="1"/>
      </c>
      <c r="AG569">
        <f ca="1"/>
      </c>
      <c r="AH569">
        <f ca="1"/>
      </c>
      <c r="AI569">
        <f ca="1"/>
      </c>
      <c r="AJ569">
        <f ca="1"/>
      </c>
      <c r="AK569">
        <f ca="1"/>
      </c>
      <c r="AL569">
        <f ca="1"/>
      </c>
      <c r="AM569">
        <f ca="1"/>
      </c>
      <c r="AN569">
        <f ca="1"/>
      </c>
      <c r="AO569">
        <f ca="1"/>
      </c>
      <c r="AP569">
        <f ca="1"/>
      </c>
      <c r="AQ569">
        <f ca="1"/>
      </c>
      <c r="AR569">
        <f ca="1"/>
      </c>
      <c r="AT569" s="7">
        <f ca="1"/>
      </c>
      <c r="AU569">
        <f ca="1"/>
      </c>
      <c r="AV569">
        <f ca="1"/>
      </c>
      <c r="AW569">
        <f ca="1"/>
      </c>
      <c r="AX569">
        <f ca="1"/>
      </c>
      <c r="AY569">
        <f ca="1"/>
      </c>
      <c r="BA569" s="7"/>
    </row>
    <row r="570" spans="31:53" x14ac:dyDescent="0.55000000000000004">
      <c r="AE570" s="7">
        <f ca="1"/>
      </c>
      <c r="AF570">
        <f ca="1"/>
      </c>
      <c r="AG570">
        <f ca="1"/>
      </c>
      <c r="AH570">
        <f ca="1"/>
      </c>
      <c r="AI570">
        <f ca="1"/>
      </c>
      <c r="AJ570">
        <f ca="1"/>
      </c>
      <c r="AK570">
        <f ca="1"/>
      </c>
      <c r="AL570">
        <f ca="1"/>
      </c>
      <c r="AM570">
        <f ca="1"/>
      </c>
      <c r="AN570">
        <f ca="1"/>
      </c>
      <c r="AO570">
        <f ca="1"/>
      </c>
      <c r="AP570">
        <f ca="1"/>
      </c>
      <c r="AQ570">
        <f ca="1"/>
      </c>
      <c r="AR570">
        <f ca="1"/>
      </c>
      <c r="AT570" s="7">
        <f ca="1"/>
      </c>
      <c r="AU570">
        <f ca="1"/>
      </c>
      <c r="AV570">
        <f ca="1"/>
      </c>
      <c r="AW570">
        <f ca="1"/>
      </c>
      <c r="AX570">
        <f ca="1"/>
      </c>
      <c r="AY570">
        <f ca="1"/>
      </c>
      <c r="BA570" s="7"/>
    </row>
    <row r="571" spans="31:53" x14ac:dyDescent="0.55000000000000004">
      <c r="AE571" s="7">
        <f ca="1"/>
      </c>
      <c r="AF571">
        <f ca="1"/>
      </c>
      <c r="AG571">
        <f ca="1"/>
      </c>
      <c r="AH571">
        <f ca="1"/>
      </c>
      <c r="AI571">
        <f ca="1"/>
      </c>
      <c r="AJ571">
        <f ca="1"/>
      </c>
      <c r="AK571">
        <f ca="1"/>
      </c>
      <c r="AL571">
        <f ca="1"/>
      </c>
      <c r="AM571">
        <f ca="1"/>
      </c>
      <c r="AN571">
        <f ca="1"/>
      </c>
      <c r="AO571">
        <f ca="1"/>
      </c>
      <c r="AP571">
        <f ca="1"/>
      </c>
      <c r="AQ571">
        <f ca="1"/>
      </c>
      <c r="AR571">
        <f ca="1"/>
      </c>
      <c r="AT571" s="7">
        <f ca="1"/>
      </c>
      <c r="AU571">
        <f ca="1"/>
      </c>
      <c r="AV571">
        <f ca="1"/>
      </c>
      <c r="AW571">
        <f ca="1"/>
      </c>
      <c r="AX571">
        <f ca="1"/>
      </c>
      <c r="AY571">
        <f ca="1"/>
      </c>
      <c r="BA571" s="7"/>
    </row>
    <row r="572" spans="31:53" x14ac:dyDescent="0.55000000000000004">
      <c r="AE572" s="7">
        <f ca="1"/>
      </c>
      <c r="AF572">
        <f ca="1"/>
      </c>
      <c r="AG572">
        <f ca="1"/>
      </c>
      <c r="AH572">
        <f ca="1"/>
      </c>
      <c r="AI572">
        <f ca="1"/>
      </c>
      <c r="AJ572">
        <f ca="1"/>
      </c>
      <c r="AK572">
        <f ca="1"/>
      </c>
      <c r="AL572">
        <f ca="1"/>
      </c>
      <c r="AM572">
        <f ca="1"/>
      </c>
      <c r="AN572">
        <f ca="1"/>
      </c>
      <c r="AO572">
        <f ca="1"/>
      </c>
      <c r="AP572">
        <f ca="1"/>
      </c>
      <c r="AQ572">
        <f ca="1"/>
      </c>
      <c r="AR572">
        <f ca="1"/>
      </c>
      <c r="AT572" s="7">
        <f ca="1"/>
      </c>
      <c r="AU572">
        <f ca="1"/>
      </c>
      <c r="AV572">
        <f ca="1"/>
      </c>
      <c r="AW572">
        <f ca="1"/>
      </c>
      <c r="AX572">
        <f ca="1"/>
      </c>
      <c r="AY572">
        <f ca="1"/>
      </c>
      <c r="BA572" s="7"/>
    </row>
    <row r="573" spans="31:53" x14ac:dyDescent="0.55000000000000004">
      <c r="AE573" s="7">
        <f ca="1"/>
      </c>
      <c r="AF573">
        <f ca="1"/>
      </c>
      <c r="AG573">
        <f ca="1"/>
      </c>
      <c r="AH573">
        <f ca="1"/>
      </c>
      <c r="AI573">
        <f ca="1"/>
      </c>
      <c r="AJ573">
        <f ca="1"/>
      </c>
      <c r="AK573">
        <f ca="1"/>
      </c>
      <c r="AL573">
        <f ca="1"/>
      </c>
      <c r="AM573">
        <f ca="1"/>
      </c>
      <c r="AN573">
        <f ca="1"/>
      </c>
      <c r="AO573">
        <f ca="1"/>
      </c>
      <c r="AP573">
        <f ca="1"/>
      </c>
      <c r="AQ573">
        <f ca="1"/>
      </c>
      <c r="AR573">
        <f ca="1"/>
      </c>
      <c r="AT573" s="7">
        <f ca="1"/>
      </c>
      <c r="AU573">
        <f ca="1"/>
      </c>
      <c r="AV573">
        <f ca="1"/>
      </c>
      <c r="AW573">
        <f ca="1"/>
      </c>
      <c r="AX573">
        <f ca="1"/>
      </c>
      <c r="AY573">
        <f ca="1"/>
      </c>
      <c r="BA573" s="7"/>
    </row>
    <row r="574" spans="31:53" x14ac:dyDescent="0.55000000000000004">
      <c r="AE574" s="7">
        <f ca="1"/>
      </c>
      <c r="AF574">
        <f ca="1"/>
      </c>
      <c r="AG574">
        <f ca="1"/>
      </c>
      <c r="AH574">
        <f ca="1"/>
      </c>
      <c r="AI574">
        <f ca="1"/>
      </c>
      <c r="AJ574">
        <f ca="1"/>
      </c>
      <c r="AK574">
        <f ca="1"/>
      </c>
      <c r="AL574">
        <f ca="1"/>
      </c>
      <c r="AM574">
        <f ca="1"/>
      </c>
      <c r="AN574">
        <f ca="1"/>
      </c>
      <c r="AO574">
        <f ca="1"/>
      </c>
      <c r="AP574">
        <f ca="1"/>
      </c>
      <c r="AQ574">
        <f ca="1"/>
      </c>
      <c r="AR574">
        <f ca="1"/>
      </c>
      <c r="AT574" s="7">
        <f ca="1"/>
      </c>
      <c r="AU574">
        <f ca="1"/>
      </c>
      <c r="AV574">
        <f ca="1"/>
      </c>
      <c r="AW574">
        <f ca="1"/>
      </c>
      <c r="AX574">
        <f ca="1"/>
      </c>
      <c r="AY574">
        <f ca="1"/>
      </c>
      <c r="BA574" s="7"/>
    </row>
    <row r="575" spans="31:53" x14ac:dyDescent="0.55000000000000004">
      <c r="AE575" s="7">
        <f ca="1"/>
      </c>
      <c r="AF575">
        <f ca="1"/>
      </c>
      <c r="AG575">
        <f ca="1"/>
      </c>
      <c r="AH575">
        <f ca="1"/>
      </c>
      <c r="AI575">
        <f ca="1"/>
      </c>
      <c r="AJ575">
        <f ca="1"/>
      </c>
      <c r="AK575">
        <f ca="1"/>
      </c>
      <c r="AL575">
        <f ca="1"/>
      </c>
      <c r="AM575">
        <f ca="1"/>
      </c>
      <c r="AN575">
        <f ca="1"/>
      </c>
      <c r="AO575">
        <f ca="1"/>
      </c>
      <c r="AP575">
        <f ca="1"/>
      </c>
      <c r="AQ575">
        <f ca="1"/>
      </c>
      <c r="AR575">
        <f ca="1"/>
      </c>
      <c r="AT575" s="7">
        <f ca="1"/>
      </c>
      <c r="AU575">
        <f ca="1"/>
      </c>
      <c r="AV575">
        <f ca="1"/>
      </c>
      <c r="AW575">
        <f ca="1"/>
      </c>
      <c r="AX575">
        <f ca="1"/>
      </c>
      <c r="AY575">
        <f ca="1"/>
      </c>
      <c r="BA575" s="7"/>
    </row>
    <row r="576" spans="31:53" x14ac:dyDescent="0.55000000000000004">
      <c r="AE576" s="7">
        <f ca="1"/>
      </c>
      <c r="AF576">
        <f ca="1"/>
      </c>
      <c r="AG576">
        <f ca="1"/>
      </c>
      <c r="AH576">
        <f ca="1"/>
      </c>
      <c r="AI576">
        <f ca="1"/>
      </c>
      <c r="AJ576">
        <f ca="1"/>
      </c>
      <c r="AK576">
        <f ca="1"/>
      </c>
      <c r="AL576">
        <f ca="1"/>
      </c>
      <c r="AM576">
        <f ca="1"/>
      </c>
      <c r="AN576">
        <f ca="1"/>
      </c>
      <c r="AO576">
        <f ca="1"/>
      </c>
      <c r="AP576">
        <f ca="1"/>
      </c>
      <c r="AQ576">
        <f ca="1"/>
      </c>
      <c r="AR576">
        <f ca="1"/>
      </c>
      <c r="AT576" s="7">
        <f ca="1"/>
      </c>
      <c r="AU576">
        <f ca="1"/>
      </c>
      <c r="AV576">
        <f ca="1"/>
      </c>
      <c r="AW576">
        <f ca="1"/>
      </c>
      <c r="AX576">
        <f ca="1"/>
      </c>
      <c r="AY576">
        <f ca="1"/>
      </c>
      <c r="BA576" s="7"/>
    </row>
    <row r="577" spans="31:53" x14ac:dyDescent="0.55000000000000004">
      <c r="AE577" s="7">
        <f ca="1"/>
      </c>
      <c r="AF577">
        <f ca="1"/>
      </c>
      <c r="AG577">
        <f ca="1"/>
      </c>
      <c r="AH577">
        <f ca="1"/>
      </c>
      <c r="AI577">
        <f ca="1"/>
      </c>
      <c r="AJ577">
        <f ca="1"/>
      </c>
      <c r="AK577">
        <f ca="1"/>
      </c>
      <c r="AL577">
        <f ca="1"/>
      </c>
      <c r="AM577">
        <f ca="1"/>
      </c>
      <c r="AN577">
        <f ca="1"/>
      </c>
      <c r="AO577">
        <f ca="1"/>
      </c>
      <c r="AP577">
        <f ca="1"/>
      </c>
      <c r="AQ577">
        <f ca="1"/>
      </c>
      <c r="AR577">
        <f ca="1"/>
      </c>
      <c r="AT577" s="7">
        <f ca="1"/>
      </c>
      <c r="AU577">
        <f ca="1"/>
      </c>
      <c r="AV577">
        <f ca="1"/>
      </c>
      <c r="AW577">
        <f ca="1"/>
      </c>
      <c r="AX577">
        <f ca="1"/>
      </c>
      <c r="AY577">
        <f ca="1"/>
      </c>
      <c r="BA577" s="7"/>
    </row>
    <row r="578" spans="31:53" x14ac:dyDescent="0.55000000000000004">
      <c r="AE578" s="7">
        <f ca="1"/>
      </c>
      <c r="AF578">
        <f ca="1"/>
      </c>
      <c r="AG578">
        <f ca="1"/>
      </c>
      <c r="AH578">
        <f ca="1"/>
      </c>
      <c r="AI578">
        <f ca="1"/>
      </c>
      <c r="AJ578">
        <f ca="1"/>
      </c>
      <c r="AK578">
        <f ca="1"/>
      </c>
      <c r="AL578">
        <f ca="1"/>
      </c>
      <c r="AM578">
        <f ca="1"/>
      </c>
      <c r="AN578">
        <f ca="1"/>
      </c>
      <c r="AO578">
        <f ca="1"/>
      </c>
      <c r="AP578">
        <f ca="1"/>
      </c>
      <c r="AQ578">
        <f ca="1"/>
      </c>
      <c r="AR578">
        <f ca="1"/>
      </c>
      <c r="AT578" s="7">
        <f ca="1"/>
      </c>
      <c r="AU578">
        <f ca="1"/>
      </c>
      <c r="AV578">
        <f ca="1"/>
      </c>
      <c r="AW578">
        <f ca="1"/>
      </c>
      <c r="AX578">
        <f ca="1"/>
      </c>
      <c r="AY578">
        <f ca="1"/>
      </c>
      <c r="BA578" s="7"/>
    </row>
    <row r="579" spans="31:53" x14ac:dyDescent="0.55000000000000004">
      <c r="AE579" s="7">
        <f ca="1"/>
      </c>
      <c r="AF579">
        <f ca="1"/>
      </c>
      <c r="AG579">
        <f ca="1"/>
      </c>
      <c r="AH579">
        <f ca="1"/>
      </c>
      <c r="AI579">
        <f ca="1"/>
      </c>
      <c r="AJ579">
        <f ca="1"/>
      </c>
      <c r="AK579">
        <f ca="1"/>
      </c>
      <c r="AL579">
        <f ca="1"/>
      </c>
      <c r="AM579">
        <f ca="1"/>
      </c>
      <c r="AN579">
        <f ca="1"/>
      </c>
      <c r="AO579">
        <f ca="1"/>
      </c>
      <c r="AP579">
        <f ca="1"/>
      </c>
      <c r="AQ579">
        <f ca="1"/>
      </c>
      <c r="AR579">
        <f ca="1"/>
      </c>
      <c r="AT579" s="7">
        <f ca="1"/>
      </c>
      <c r="AU579">
        <f ca="1"/>
      </c>
      <c r="AV579">
        <f ca="1"/>
      </c>
      <c r="AW579">
        <f ca="1"/>
      </c>
      <c r="AX579">
        <f ca="1"/>
      </c>
      <c r="AY579">
        <f ca="1"/>
      </c>
      <c r="BA579" s="7"/>
    </row>
    <row r="580" spans="31:53" x14ac:dyDescent="0.55000000000000004">
      <c r="AE580" s="7">
        <f ca="1"/>
      </c>
      <c r="AF580">
        <f ca="1"/>
      </c>
      <c r="AG580">
        <f ca="1"/>
      </c>
      <c r="AH580">
        <f ca="1"/>
      </c>
      <c r="AI580">
        <f ca="1"/>
      </c>
      <c r="AJ580">
        <f ca="1"/>
      </c>
      <c r="AK580">
        <f ca="1"/>
      </c>
      <c r="AL580">
        <f ca="1"/>
      </c>
      <c r="AM580">
        <f ca="1"/>
      </c>
      <c r="AN580">
        <f ca="1"/>
      </c>
      <c r="AO580">
        <f ca="1"/>
      </c>
      <c r="AP580">
        <f ca="1"/>
      </c>
      <c r="AQ580">
        <f ca="1"/>
      </c>
      <c r="AR580">
        <f ca="1"/>
      </c>
      <c r="AT580" s="7">
        <f ca="1"/>
      </c>
      <c r="AU580">
        <f ca="1"/>
      </c>
      <c r="AV580">
        <f ca="1"/>
      </c>
      <c r="AW580">
        <f ca="1"/>
      </c>
      <c r="AX580">
        <f ca="1"/>
      </c>
      <c r="AY580">
        <f ca="1"/>
      </c>
      <c r="BA580" s="7"/>
    </row>
    <row r="581" spans="31:53" x14ac:dyDescent="0.55000000000000004">
      <c r="AE581" s="7">
        <f ca="1"/>
      </c>
      <c r="AF581">
        <f ca="1"/>
      </c>
      <c r="AG581">
        <f ca="1"/>
      </c>
      <c r="AH581">
        <f ca="1"/>
      </c>
      <c r="AI581">
        <f ca="1"/>
      </c>
      <c r="AJ581">
        <f ca="1"/>
      </c>
      <c r="AK581">
        <f ca="1"/>
      </c>
      <c r="AL581">
        <f ca="1"/>
      </c>
      <c r="AM581">
        <f ca="1"/>
      </c>
      <c r="AN581">
        <f ca="1"/>
      </c>
      <c r="AO581">
        <f ca="1"/>
      </c>
      <c r="AP581">
        <f ca="1"/>
      </c>
      <c r="AQ581">
        <f ca="1"/>
      </c>
      <c r="AR581">
        <f ca="1"/>
      </c>
      <c r="AT581" s="7">
        <f ca="1"/>
      </c>
      <c r="AU581">
        <f ca="1"/>
      </c>
      <c r="AV581">
        <f ca="1"/>
      </c>
      <c r="AW581">
        <f ca="1"/>
      </c>
      <c r="AX581">
        <f ca="1"/>
      </c>
      <c r="AY581">
        <f ca="1"/>
      </c>
      <c r="BA581" s="7"/>
    </row>
    <row r="582" spans="31:53" x14ac:dyDescent="0.55000000000000004">
      <c r="AE582" s="7">
        <f ca="1"/>
      </c>
      <c r="AF582">
        <f ca="1"/>
      </c>
      <c r="AG582">
        <f ca="1"/>
      </c>
      <c r="AH582">
        <f ca="1"/>
      </c>
      <c r="AI582">
        <f ca="1"/>
      </c>
      <c r="AJ582">
        <f ca="1"/>
      </c>
      <c r="AK582">
        <f ca="1"/>
      </c>
      <c r="AL582">
        <f ca="1"/>
      </c>
      <c r="AM582">
        <f ca="1"/>
      </c>
      <c r="AN582">
        <f ca="1"/>
      </c>
      <c r="AO582">
        <f ca="1"/>
      </c>
      <c r="AP582">
        <f ca="1"/>
      </c>
      <c r="AQ582">
        <f ca="1"/>
      </c>
      <c r="AR582">
        <f ca="1"/>
      </c>
      <c r="AT582" s="7">
        <f ca="1"/>
      </c>
      <c r="AU582">
        <f ca="1"/>
      </c>
      <c r="AV582">
        <f ca="1"/>
      </c>
      <c r="AW582">
        <f ca="1"/>
      </c>
      <c r="AX582">
        <f ca="1"/>
      </c>
      <c r="AY582">
        <f ca="1"/>
      </c>
      <c r="BA582" s="7"/>
    </row>
    <row r="583" spans="31:53" x14ac:dyDescent="0.55000000000000004">
      <c r="AE583" s="7">
        <f ca="1"/>
      </c>
      <c r="AF583">
        <f ca="1"/>
      </c>
      <c r="AG583">
        <f ca="1"/>
      </c>
      <c r="AH583">
        <f ca="1"/>
      </c>
      <c r="AI583">
        <f ca="1"/>
      </c>
      <c r="AJ583">
        <f ca="1"/>
      </c>
      <c r="AK583">
        <f ca="1"/>
      </c>
      <c r="AL583">
        <f ca="1"/>
      </c>
      <c r="AM583">
        <f ca="1"/>
      </c>
      <c r="AN583">
        <f ca="1"/>
      </c>
      <c r="AO583">
        <f ca="1"/>
      </c>
      <c r="AP583">
        <f ca="1"/>
      </c>
      <c r="AQ583">
        <f ca="1"/>
      </c>
      <c r="AR583">
        <f ca="1"/>
      </c>
      <c r="AT583" s="7">
        <f ca="1"/>
      </c>
      <c r="AU583">
        <f ca="1"/>
      </c>
      <c r="AV583">
        <f ca="1"/>
      </c>
      <c r="AW583">
        <f ca="1"/>
      </c>
      <c r="AX583">
        <f ca="1"/>
      </c>
      <c r="AY583">
        <f ca="1"/>
      </c>
      <c r="BA583" s="7"/>
    </row>
    <row r="584" spans="31:53" x14ac:dyDescent="0.55000000000000004">
      <c r="AE584" s="7">
        <f ca="1"/>
      </c>
      <c r="AF584">
        <f ca="1"/>
      </c>
      <c r="AG584">
        <f ca="1"/>
      </c>
      <c r="AH584">
        <f ca="1"/>
      </c>
      <c r="AI584">
        <f ca="1"/>
      </c>
      <c r="AJ584">
        <f ca="1"/>
      </c>
      <c r="AK584">
        <f ca="1"/>
      </c>
      <c r="AL584">
        <f ca="1"/>
      </c>
      <c r="AM584">
        <f ca="1"/>
      </c>
      <c r="AN584">
        <f ca="1"/>
      </c>
      <c r="AO584">
        <f ca="1"/>
      </c>
      <c r="AP584">
        <f ca="1"/>
      </c>
      <c r="AQ584">
        <f ca="1"/>
      </c>
      <c r="AR584">
        <f ca="1"/>
      </c>
      <c r="AT584" s="7">
        <f ca="1"/>
      </c>
      <c r="AU584">
        <f ca="1"/>
      </c>
      <c r="AV584">
        <f ca="1"/>
      </c>
      <c r="AW584">
        <f ca="1"/>
      </c>
      <c r="AX584">
        <f ca="1"/>
      </c>
      <c r="AY584">
        <f ca="1"/>
      </c>
      <c r="BA584" s="7"/>
    </row>
    <row r="585" spans="31:53" x14ac:dyDescent="0.55000000000000004">
      <c r="AE585" s="7">
        <f ca="1"/>
      </c>
      <c r="AF585">
        <f ca="1"/>
      </c>
      <c r="AG585">
        <f ca="1"/>
      </c>
      <c r="AH585">
        <f ca="1"/>
      </c>
      <c r="AI585">
        <f ca="1"/>
      </c>
      <c r="AJ585">
        <f ca="1"/>
      </c>
      <c r="AK585">
        <f ca="1"/>
      </c>
      <c r="AL585">
        <f ca="1"/>
      </c>
      <c r="AM585">
        <f ca="1"/>
      </c>
      <c r="AN585">
        <f ca="1"/>
      </c>
      <c r="AO585">
        <f ca="1"/>
      </c>
      <c r="AP585">
        <f ca="1"/>
      </c>
      <c r="AQ585">
        <f ca="1"/>
      </c>
      <c r="AR585">
        <f ca="1"/>
      </c>
      <c r="AT585" s="7">
        <f ca="1"/>
      </c>
      <c r="AU585">
        <f ca="1"/>
      </c>
      <c r="AV585">
        <f ca="1"/>
      </c>
      <c r="AW585">
        <f ca="1"/>
      </c>
      <c r="AX585">
        <f ca="1"/>
      </c>
      <c r="AY585">
        <f ca="1"/>
      </c>
      <c r="BA585" s="7"/>
    </row>
    <row r="586" spans="31:53" x14ac:dyDescent="0.55000000000000004">
      <c r="AE586" s="7">
        <f ca="1"/>
      </c>
      <c r="AF586">
        <f ca="1"/>
      </c>
      <c r="AG586">
        <f ca="1"/>
      </c>
      <c r="AH586">
        <f ca="1"/>
      </c>
      <c r="AI586">
        <f ca="1"/>
      </c>
      <c r="AJ586">
        <f ca="1"/>
      </c>
      <c r="AK586">
        <f ca="1"/>
      </c>
      <c r="AL586">
        <f ca="1"/>
      </c>
      <c r="AM586">
        <f ca="1"/>
      </c>
      <c r="AN586">
        <f ca="1"/>
      </c>
      <c r="AO586">
        <f ca="1"/>
      </c>
      <c r="AP586">
        <f ca="1"/>
      </c>
      <c r="AQ586">
        <f ca="1"/>
      </c>
      <c r="AR586">
        <f ca="1"/>
      </c>
      <c r="AT586" s="7">
        <f ca="1"/>
      </c>
      <c r="AU586">
        <f ca="1"/>
      </c>
      <c r="AV586">
        <f ca="1"/>
      </c>
      <c r="AW586">
        <f ca="1"/>
      </c>
      <c r="AX586">
        <f ca="1"/>
      </c>
      <c r="AY586">
        <f ca="1"/>
      </c>
      <c r="BA586" s="7"/>
    </row>
    <row r="587" spans="31:53" x14ac:dyDescent="0.55000000000000004">
      <c r="AE587" s="7">
        <f ca="1"/>
      </c>
      <c r="AF587">
        <f ca="1"/>
      </c>
      <c r="AG587">
        <f ca="1"/>
      </c>
      <c r="AH587">
        <f ca="1"/>
      </c>
      <c r="AI587">
        <f ca="1"/>
      </c>
      <c r="AJ587">
        <f ca="1"/>
      </c>
      <c r="AK587">
        <f ca="1"/>
      </c>
      <c r="AL587">
        <f ca="1"/>
      </c>
      <c r="AM587">
        <f ca="1"/>
      </c>
      <c r="AN587">
        <f ca="1"/>
      </c>
      <c r="AO587">
        <f ca="1"/>
      </c>
      <c r="AP587">
        <f ca="1"/>
      </c>
      <c r="AQ587">
        <f ca="1"/>
      </c>
      <c r="AR587">
        <f ca="1"/>
      </c>
      <c r="AT587" s="7">
        <f ca="1"/>
      </c>
      <c r="AU587">
        <f ca="1"/>
      </c>
      <c r="AV587">
        <f ca="1"/>
      </c>
      <c r="AW587">
        <f ca="1"/>
      </c>
      <c r="AX587">
        <f ca="1"/>
      </c>
      <c r="AY587">
        <f ca="1"/>
      </c>
      <c r="BA587" s="7"/>
    </row>
    <row r="588" spans="31:53" x14ac:dyDescent="0.55000000000000004">
      <c r="AE588" s="7">
        <f ca="1"/>
      </c>
      <c r="AF588">
        <f ca="1"/>
      </c>
      <c r="AG588">
        <f ca="1"/>
      </c>
      <c r="AH588">
        <f ca="1"/>
      </c>
      <c r="AI588">
        <f ca="1"/>
      </c>
      <c r="AJ588">
        <f ca="1"/>
      </c>
      <c r="AK588">
        <f ca="1"/>
      </c>
      <c r="AL588">
        <f ca="1"/>
      </c>
      <c r="AM588">
        <f ca="1"/>
      </c>
      <c r="AN588">
        <f ca="1"/>
      </c>
      <c r="AO588">
        <f ca="1"/>
      </c>
      <c r="AP588">
        <f ca="1"/>
      </c>
      <c r="AQ588">
        <f ca="1"/>
      </c>
      <c r="AR588">
        <f ca="1"/>
      </c>
      <c r="AT588" s="7">
        <f ca="1"/>
      </c>
      <c r="AU588">
        <f ca="1"/>
      </c>
      <c r="AV588">
        <f ca="1"/>
      </c>
      <c r="AW588">
        <f ca="1"/>
      </c>
      <c r="AX588">
        <f ca="1"/>
      </c>
      <c r="AY588">
        <f ca="1"/>
      </c>
      <c r="BA588" s="7"/>
    </row>
    <row r="589" spans="31:53" x14ac:dyDescent="0.55000000000000004">
      <c r="AE589" s="7">
        <f ca="1"/>
      </c>
      <c r="AF589">
        <f ca="1"/>
      </c>
      <c r="AG589">
        <f ca="1"/>
      </c>
      <c r="AH589">
        <f ca="1"/>
      </c>
      <c r="AI589">
        <f ca="1"/>
      </c>
      <c r="AJ589">
        <f ca="1"/>
      </c>
      <c r="AK589">
        <f ca="1"/>
      </c>
      <c r="AL589">
        <f ca="1"/>
      </c>
      <c r="AM589">
        <f ca="1"/>
      </c>
      <c r="AN589">
        <f ca="1"/>
      </c>
      <c r="AO589">
        <f ca="1"/>
      </c>
      <c r="AP589">
        <f ca="1"/>
      </c>
      <c r="AQ589">
        <f ca="1"/>
      </c>
      <c r="AR589">
        <f ca="1"/>
      </c>
      <c r="AT589" s="7">
        <f ca="1"/>
      </c>
      <c r="AU589">
        <f ca="1"/>
      </c>
      <c r="AV589">
        <f ca="1"/>
      </c>
      <c r="AW589">
        <f ca="1"/>
      </c>
      <c r="AX589">
        <f ca="1"/>
      </c>
      <c r="AY589">
        <f ca="1"/>
      </c>
      <c r="BA589" s="7"/>
    </row>
    <row r="590" spans="31:53" x14ac:dyDescent="0.55000000000000004">
      <c r="AE590" s="7">
        <f ca="1"/>
      </c>
      <c r="AF590">
        <f ca="1"/>
      </c>
      <c r="AG590">
        <f ca="1"/>
      </c>
      <c r="AH590">
        <f ca="1"/>
      </c>
      <c r="AI590">
        <f ca="1"/>
      </c>
      <c r="AJ590">
        <f ca="1"/>
      </c>
      <c r="AK590">
        <f ca="1"/>
      </c>
      <c r="AL590">
        <f ca="1"/>
      </c>
      <c r="AM590">
        <f ca="1"/>
      </c>
      <c r="AN590">
        <f ca="1"/>
      </c>
      <c r="AO590">
        <f ca="1"/>
      </c>
      <c r="AP590">
        <f ca="1"/>
      </c>
      <c r="AQ590">
        <f ca="1"/>
      </c>
      <c r="AR590">
        <f ca="1"/>
      </c>
      <c r="AT590" s="7">
        <f ca="1"/>
      </c>
      <c r="AU590">
        <f ca="1"/>
      </c>
      <c r="AV590">
        <f ca="1"/>
      </c>
      <c r="AW590">
        <f ca="1"/>
      </c>
      <c r="AX590">
        <f ca="1"/>
      </c>
      <c r="AY590">
        <f ca="1"/>
      </c>
      <c r="BA590" s="7"/>
    </row>
    <row r="591" spans="31:53" x14ac:dyDescent="0.55000000000000004">
      <c r="AE591" s="7">
        <f ca="1"/>
      </c>
      <c r="AF591">
        <f ca="1"/>
      </c>
      <c r="AG591">
        <f ca="1"/>
      </c>
      <c r="AH591">
        <f ca="1"/>
      </c>
      <c r="AI591">
        <f ca="1"/>
      </c>
      <c r="AJ591">
        <f ca="1"/>
      </c>
      <c r="AK591">
        <f ca="1"/>
      </c>
      <c r="AL591">
        <f ca="1"/>
      </c>
      <c r="AM591">
        <f ca="1"/>
      </c>
      <c r="AN591">
        <f ca="1"/>
      </c>
      <c r="AO591">
        <f ca="1"/>
      </c>
      <c r="AP591">
        <f ca="1"/>
      </c>
      <c r="AQ591">
        <f ca="1"/>
      </c>
      <c r="AR591">
        <f ca="1"/>
      </c>
      <c r="AT591" s="7">
        <f ca="1"/>
      </c>
      <c r="AU591">
        <f ca="1"/>
      </c>
      <c r="AV591">
        <f ca="1"/>
      </c>
      <c r="AW591">
        <f ca="1"/>
      </c>
      <c r="AX591">
        <f ca="1"/>
      </c>
      <c r="AY591">
        <f ca="1"/>
      </c>
      <c r="BA591" s="7"/>
    </row>
    <row r="592" spans="31:53" x14ac:dyDescent="0.55000000000000004">
      <c r="AE592" s="7">
        <f ca="1"/>
      </c>
      <c r="AF592">
        <f ca="1"/>
      </c>
      <c r="AG592">
        <f ca="1"/>
      </c>
      <c r="AH592">
        <f ca="1"/>
      </c>
      <c r="AI592">
        <f ca="1"/>
      </c>
      <c r="AJ592">
        <f ca="1"/>
      </c>
      <c r="AK592">
        <f ca="1"/>
      </c>
      <c r="AL592">
        <f ca="1"/>
      </c>
      <c r="AM592">
        <f ca="1"/>
      </c>
      <c r="AN592">
        <f ca="1"/>
      </c>
      <c r="AO592">
        <f ca="1"/>
      </c>
      <c r="AP592">
        <f ca="1"/>
      </c>
      <c r="AQ592">
        <f ca="1"/>
      </c>
      <c r="AR592">
        <f ca="1"/>
      </c>
      <c r="AT592" s="7">
        <f ca="1"/>
      </c>
      <c r="AU592">
        <f ca="1"/>
      </c>
      <c r="AV592">
        <f ca="1"/>
      </c>
      <c r="AW592">
        <f ca="1"/>
      </c>
      <c r="AX592">
        <f ca="1"/>
      </c>
      <c r="AY592">
        <f ca="1"/>
      </c>
      <c r="BA592" s="7"/>
    </row>
    <row r="593" spans="31:53" x14ac:dyDescent="0.55000000000000004">
      <c r="AE593" s="7">
        <f ca="1"/>
      </c>
      <c r="AF593">
        <f ca="1"/>
      </c>
      <c r="AG593">
        <f ca="1"/>
      </c>
      <c r="AH593">
        <f ca="1"/>
      </c>
      <c r="AI593">
        <f ca="1"/>
      </c>
      <c r="AJ593">
        <f ca="1"/>
      </c>
      <c r="AK593">
        <f ca="1"/>
      </c>
      <c r="AL593">
        <f ca="1"/>
      </c>
      <c r="AM593">
        <f ca="1"/>
      </c>
      <c r="AN593">
        <f ca="1"/>
      </c>
      <c r="AO593">
        <f ca="1"/>
      </c>
      <c r="AP593">
        <f ca="1"/>
      </c>
      <c r="AQ593">
        <f ca="1"/>
      </c>
      <c r="AR593">
        <f ca="1"/>
      </c>
      <c r="AT593" s="7">
        <f ca="1"/>
      </c>
      <c r="AU593">
        <f ca="1"/>
      </c>
      <c r="AV593">
        <f ca="1"/>
      </c>
      <c r="AW593">
        <f ca="1"/>
      </c>
      <c r="AX593">
        <f ca="1"/>
      </c>
      <c r="AY593">
        <f ca="1"/>
      </c>
      <c r="BA593" s="7"/>
    </row>
    <row r="594" spans="31:53" x14ac:dyDescent="0.55000000000000004">
      <c r="AE594" s="7">
        <f ca="1"/>
      </c>
      <c r="AF594">
        <f ca="1"/>
      </c>
      <c r="AG594">
        <f ca="1"/>
      </c>
      <c r="AH594">
        <f ca="1"/>
      </c>
      <c r="AI594">
        <f ca="1"/>
      </c>
      <c r="AJ594">
        <f ca="1"/>
      </c>
      <c r="AK594">
        <f ca="1"/>
      </c>
      <c r="AL594">
        <f ca="1"/>
      </c>
      <c r="AM594">
        <f ca="1"/>
      </c>
      <c r="AN594">
        <f ca="1"/>
      </c>
      <c r="AO594">
        <f ca="1"/>
      </c>
      <c r="AP594">
        <f ca="1"/>
      </c>
      <c r="AQ594">
        <f ca="1"/>
      </c>
      <c r="AR594">
        <f ca="1"/>
      </c>
      <c r="AT594" s="7">
        <f ca="1"/>
      </c>
      <c r="AU594">
        <f ca="1"/>
      </c>
      <c r="AV594">
        <f ca="1"/>
      </c>
      <c r="AW594">
        <f ca="1"/>
      </c>
      <c r="AX594">
        <f ca="1"/>
      </c>
      <c r="AY594">
        <f ca="1"/>
      </c>
      <c r="BA594" s="7"/>
    </row>
    <row r="595" spans="31:53" x14ac:dyDescent="0.55000000000000004">
      <c r="AE595" s="7">
        <f ca="1"/>
      </c>
      <c r="AF595">
        <f ca="1"/>
      </c>
      <c r="AG595">
        <f ca="1"/>
      </c>
      <c r="AH595">
        <f ca="1"/>
      </c>
      <c r="AI595">
        <f ca="1"/>
      </c>
      <c r="AJ595">
        <f ca="1"/>
      </c>
      <c r="AK595">
        <f ca="1"/>
      </c>
      <c r="AL595">
        <f ca="1"/>
      </c>
      <c r="AM595">
        <f ca="1"/>
      </c>
      <c r="AN595">
        <f ca="1"/>
      </c>
      <c r="AO595">
        <f ca="1"/>
      </c>
      <c r="AP595">
        <f ca="1"/>
      </c>
      <c r="AQ595">
        <f ca="1"/>
      </c>
      <c r="AR595">
        <f ca="1"/>
      </c>
      <c r="AT595" s="7">
        <f ca="1"/>
      </c>
      <c r="AU595">
        <f ca="1"/>
      </c>
      <c r="AV595">
        <f ca="1"/>
      </c>
      <c r="AW595">
        <f ca="1"/>
      </c>
      <c r="AX595">
        <f ca="1"/>
      </c>
      <c r="AY595">
        <f ca="1"/>
      </c>
      <c r="BA595" s="7"/>
    </row>
    <row r="596" spans="31:53" x14ac:dyDescent="0.55000000000000004">
      <c r="AE596" s="7">
        <f ca="1"/>
      </c>
      <c r="AF596">
        <f ca="1"/>
      </c>
      <c r="AG596">
        <f ca="1"/>
      </c>
      <c r="AH596">
        <f ca="1"/>
      </c>
      <c r="AI596">
        <f ca="1"/>
      </c>
      <c r="AJ596">
        <f ca="1"/>
      </c>
      <c r="AK596">
        <f ca="1"/>
      </c>
      <c r="AL596">
        <f ca="1"/>
      </c>
      <c r="AM596">
        <f ca="1"/>
      </c>
      <c r="AN596">
        <f ca="1"/>
      </c>
      <c r="AO596">
        <f ca="1"/>
      </c>
      <c r="AP596">
        <f ca="1"/>
      </c>
      <c r="AQ596">
        <f ca="1"/>
      </c>
      <c r="AR596">
        <f ca="1"/>
      </c>
      <c r="AT596" s="7">
        <f ca="1"/>
      </c>
      <c r="AU596">
        <f ca="1"/>
      </c>
      <c r="AV596">
        <f ca="1"/>
      </c>
      <c r="AW596">
        <f ca="1"/>
      </c>
      <c r="AX596">
        <f ca="1"/>
      </c>
      <c r="AY596">
        <f ca="1"/>
      </c>
      <c r="BA596" s="7"/>
    </row>
    <row r="597" spans="31:53" x14ac:dyDescent="0.55000000000000004">
      <c r="AE597" s="7">
        <f ca="1"/>
      </c>
      <c r="AF597">
        <f ca="1"/>
      </c>
      <c r="AG597">
        <f ca="1"/>
      </c>
      <c r="AH597">
        <f ca="1"/>
      </c>
      <c r="AI597">
        <f ca="1"/>
      </c>
      <c r="AJ597">
        <f ca="1"/>
      </c>
      <c r="AK597">
        <f ca="1"/>
      </c>
      <c r="AL597">
        <f ca="1"/>
      </c>
      <c r="AM597">
        <f ca="1"/>
      </c>
      <c r="AN597">
        <f ca="1"/>
      </c>
      <c r="AO597">
        <f ca="1"/>
      </c>
      <c r="AP597">
        <f ca="1"/>
      </c>
      <c r="AQ597">
        <f ca="1"/>
      </c>
      <c r="AR597">
        <f ca="1"/>
      </c>
      <c r="AT597" s="7">
        <f ca="1"/>
      </c>
      <c r="AU597">
        <f ca="1"/>
      </c>
      <c r="AV597">
        <f ca="1"/>
      </c>
      <c r="AW597">
        <f ca="1"/>
      </c>
      <c r="AX597">
        <f ca="1"/>
      </c>
      <c r="AY597">
        <f ca="1"/>
      </c>
      <c r="BA597" s="7"/>
    </row>
    <row r="598" spans="31:53" x14ac:dyDescent="0.55000000000000004">
      <c r="AE598" s="7">
        <f ca="1"/>
      </c>
      <c r="AF598">
        <f ca="1"/>
      </c>
      <c r="AG598">
        <f ca="1"/>
      </c>
      <c r="AH598">
        <f ca="1"/>
      </c>
      <c r="AI598">
        <f ca="1"/>
      </c>
      <c r="AJ598">
        <f ca="1"/>
      </c>
      <c r="AK598">
        <f ca="1"/>
      </c>
      <c r="AL598">
        <f ca="1"/>
      </c>
      <c r="AM598">
        <f ca="1"/>
      </c>
      <c r="AN598">
        <f ca="1"/>
      </c>
      <c r="AO598">
        <f ca="1"/>
      </c>
      <c r="AP598">
        <f ca="1"/>
      </c>
      <c r="AQ598">
        <f ca="1"/>
      </c>
      <c r="AR598">
        <f ca="1"/>
      </c>
      <c r="AT598" s="7">
        <f ca="1"/>
      </c>
      <c r="AU598">
        <f ca="1"/>
      </c>
      <c r="AV598">
        <f ca="1"/>
      </c>
      <c r="AW598">
        <f ca="1"/>
      </c>
      <c r="AX598">
        <f ca="1"/>
      </c>
      <c r="AY598">
        <f ca="1"/>
      </c>
      <c r="BA598" s="7"/>
    </row>
    <row r="599" spans="31:53" x14ac:dyDescent="0.55000000000000004">
      <c r="AE599" s="7">
        <f ca="1"/>
      </c>
      <c r="AF599">
        <f ca="1"/>
      </c>
      <c r="AG599">
        <f ca="1"/>
      </c>
      <c r="AH599">
        <f ca="1"/>
      </c>
      <c r="AI599">
        <f ca="1"/>
      </c>
      <c r="AJ599">
        <f ca="1"/>
      </c>
      <c r="AK599">
        <f ca="1"/>
      </c>
      <c r="AL599">
        <f ca="1"/>
      </c>
      <c r="AM599">
        <f ca="1"/>
      </c>
      <c r="AN599">
        <f ca="1"/>
      </c>
      <c r="AO599">
        <f ca="1"/>
      </c>
      <c r="AP599">
        <f ca="1"/>
      </c>
      <c r="AQ599">
        <f ca="1"/>
      </c>
      <c r="AR599">
        <f ca="1"/>
      </c>
      <c r="AT599" s="7">
        <f ca="1"/>
      </c>
      <c r="AU599">
        <f ca="1"/>
      </c>
      <c r="AV599">
        <f ca="1"/>
      </c>
      <c r="AW599">
        <f ca="1"/>
      </c>
      <c r="AX599">
        <f ca="1"/>
      </c>
      <c r="AY599">
        <f ca="1"/>
      </c>
      <c r="BA599" s="7"/>
    </row>
    <row r="600" spans="31:53" x14ac:dyDescent="0.55000000000000004">
      <c r="AE600" s="7">
        <f ca="1"/>
      </c>
      <c r="AF600">
        <f ca="1"/>
      </c>
      <c r="AG600">
        <f ca="1"/>
      </c>
      <c r="AH600">
        <f ca="1"/>
      </c>
      <c r="AI600">
        <f ca="1"/>
      </c>
      <c r="AJ600">
        <f ca="1"/>
      </c>
      <c r="AK600">
        <f ca="1"/>
      </c>
      <c r="AL600">
        <f ca="1"/>
      </c>
      <c r="AM600">
        <f ca="1"/>
      </c>
      <c r="AN600">
        <f ca="1"/>
      </c>
      <c r="AO600">
        <f ca="1"/>
      </c>
      <c r="AP600">
        <f ca="1"/>
      </c>
      <c r="AQ600">
        <f ca="1"/>
      </c>
      <c r="AR600">
        <f ca="1"/>
      </c>
      <c r="AT600" s="7">
        <f ca="1"/>
      </c>
      <c r="AU600">
        <f ca="1"/>
      </c>
      <c r="AV600">
        <f ca="1"/>
      </c>
      <c r="AW600">
        <f ca="1"/>
      </c>
      <c r="AX600">
        <f ca="1"/>
      </c>
      <c r="AY600">
        <f ca="1"/>
      </c>
      <c r="BA600" s="7"/>
    </row>
    <row r="601" spans="31:53" x14ac:dyDescent="0.55000000000000004">
      <c r="AE601" s="7">
        <f ca="1"/>
      </c>
      <c r="AF601">
        <f ca="1"/>
      </c>
      <c r="AG601">
        <f ca="1"/>
      </c>
      <c r="AH601">
        <f ca="1"/>
      </c>
      <c r="AI601">
        <f ca="1"/>
      </c>
      <c r="AJ601">
        <f ca="1"/>
      </c>
      <c r="AK601">
        <f ca="1"/>
      </c>
      <c r="AL601">
        <f ca="1"/>
      </c>
      <c r="AM601">
        <f ca="1"/>
      </c>
      <c r="AN601">
        <f ca="1"/>
      </c>
      <c r="AO601">
        <f ca="1"/>
      </c>
      <c r="AP601">
        <f ca="1"/>
      </c>
      <c r="AQ601">
        <f ca="1"/>
      </c>
      <c r="AR601">
        <f ca="1"/>
      </c>
      <c r="AT601" s="7">
        <f ca="1"/>
      </c>
      <c r="AU601">
        <f ca="1"/>
      </c>
      <c r="AV601">
        <f ca="1"/>
      </c>
      <c r="AW601">
        <f ca="1"/>
      </c>
      <c r="AX601">
        <f ca="1"/>
      </c>
      <c r="AY601">
        <f ca="1"/>
      </c>
      <c r="BA601" s="7"/>
    </row>
    <row r="602" spans="31:53" x14ac:dyDescent="0.55000000000000004">
      <c r="AE602" s="7">
        <f ca="1"/>
      </c>
      <c r="AF602">
        <f ca="1"/>
      </c>
      <c r="AG602">
        <f ca="1"/>
      </c>
      <c r="AH602">
        <f ca="1"/>
      </c>
      <c r="AI602">
        <f ca="1"/>
      </c>
      <c r="AJ602">
        <f ca="1"/>
      </c>
      <c r="AK602">
        <f ca="1"/>
      </c>
      <c r="AL602">
        <f ca="1"/>
      </c>
      <c r="AM602">
        <f ca="1"/>
      </c>
      <c r="AN602">
        <f ca="1"/>
      </c>
      <c r="AO602">
        <f ca="1"/>
      </c>
      <c r="AP602">
        <f ca="1"/>
      </c>
      <c r="AQ602">
        <f ca="1"/>
      </c>
      <c r="AR602">
        <f ca="1"/>
      </c>
      <c r="AT602" s="7">
        <f ca="1"/>
      </c>
      <c r="AU602">
        <f ca="1"/>
      </c>
      <c r="AV602">
        <f ca="1"/>
      </c>
      <c r="AW602">
        <f ca="1"/>
      </c>
      <c r="AX602">
        <f ca="1"/>
      </c>
      <c r="AY602">
        <f ca="1"/>
      </c>
      <c r="BA602" s="7"/>
    </row>
    <row r="603" spans="31:53" x14ac:dyDescent="0.55000000000000004">
      <c r="AE603" s="7">
        <f ca="1"/>
      </c>
      <c r="AF603">
        <f ca="1"/>
      </c>
      <c r="AG603">
        <f ca="1"/>
      </c>
      <c r="AH603">
        <f ca="1"/>
      </c>
      <c r="AI603">
        <f ca="1"/>
      </c>
      <c r="AJ603">
        <f ca="1"/>
      </c>
      <c r="AK603">
        <f ca="1"/>
      </c>
      <c r="AL603">
        <f ca="1"/>
      </c>
      <c r="AM603">
        <f ca="1"/>
      </c>
      <c r="AN603">
        <f ca="1"/>
      </c>
      <c r="AO603">
        <f ca="1"/>
      </c>
      <c r="AP603">
        <f ca="1"/>
      </c>
      <c r="AQ603">
        <f ca="1"/>
      </c>
      <c r="AR603">
        <f ca="1"/>
      </c>
      <c r="AT603" s="7">
        <f ca="1"/>
      </c>
      <c r="AU603">
        <f ca="1"/>
      </c>
      <c r="AV603">
        <f ca="1"/>
      </c>
      <c r="AW603">
        <f ca="1"/>
      </c>
      <c r="AX603">
        <f ca="1"/>
      </c>
      <c r="AY603">
        <f ca="1"/>
      </c>
      <c r="BA603" s="7"/>
    </row>
    <row r="604" spans="31:53" x14ac:dyDescent="0.55000000000000004">
      <c r="AE604" s="7">
        <f ca="1"/>
      </c>
      <c r="AF604">
        <f ca="1"/>
      </c>
      <c r="AG604">
        <f ca="1"/>
      </c>
      <c r="AH604">
        <f ca="1"/>
      </c>
      <c r="AI604">
        <f ca="1"/>
      </c>
      <c r="AJ604">
        <f ca="1"/>
      </c>
      <c r="AK604">
        <f ca="1"/>
      </c>
      <c r="AL604">
        <f ca="1"/>
      </c>
      <c r="AM604">
        <f ca="1"/>
      </c>
      <c r="AN604">
        <f ca="1"/>
      </c>
      <c r="AO604">
        <f ca="1"/>
      </c>
      <c r="AP604">
        <f ca="1"/>
      </c>
      <c r="AQ604">
        <f ca="1"/>
      </c>
      <c r="AR604">
        <f ca="1"/>
      </c>
      <c r="AT604" s="7">
        <f ca="1"/>
      </c>
      <c r="AU604">
        <f ca="1"/>
      </c>
      <c r="AV604">
        <f ca="1"/>
      </c>
      <c r="AW604">
        <f ca="1"/>
      </c>
      <c r="AX604">
        <f ca="1"/>
      </c>
      <c r="AY604">
        <f ca="1"/>
      </c>
      <c r="BA604" s="7"/>
    </row>
    <row r="605" spans="31:53" x14ac:dyDescent="0.55000000000000004">
      <c r="AE605" s="7">
        <f ca="1"/>
      </c>
      <c r="AF605">
        <f ca="1"/>
      </c>
      <c r="AG605">
        <f ca="1"/>
      </c>
      <c r="AH605">
        <f ca="1"/>
      </c>
      <c r="AI605">
        <f ca="1"/>
      </c>
      <c r="AJ605">
        <f ca="1"/>
      </c>
      <c r="AK605">
        <f ca="1"/>
      </c>
      <c r="AL605">
        <f ca="1"/>
      </c>
      <c r="AM605">
        <f ca="1"/>
      </c>
      <c r="AN605">
        <f ca="1"/>
      </c>
      <c r="AO605">
        <f ca="1"/>
      </c>
      <c r="AP605">
        <f ca="1"/>
      </c>
      <c r="AQ605">
        <f ca="1"/>
      </c>
      <c r="AR605">
        <f ca="1"/>
      </c>
      <c r="AT605" s="7">
        <f ca="1"/>
      </c>
      <c r="AU605">
        <f ca="1"/>
      </c>
      <c r="AV605">
        <f ca="1"/>
      </c>
      <c r="AW605">
        <f ca="1"/>
      </c>
      <c r="AX605">
        <f ca="1"/>
      </c>
      <c r="AY605">
        <f ca="1"/>
      </c>
      <c r="BA605" s="7"/>
    </row>
    <row r="606" spans="31:53" x14ac:dyDescent="0.55000000000000004">
      <c r="AE606" s="7">
        <f ca="1"/>
      </c>
      <c r="AF606">
        <f ca="1"/>
      </c>
      <c r="AG606">
        <f ca="1"/>
      </c>
      <c r="AH606">
        <f ca="1"/>
      </c>
      <c r="AI606">
        <f ca="1"/>
      </c>
      <c r="AJ606">
        <f ca="1"/>
      </c>
      <c r="AK606">
        <f ca="1"/>
      </c>
      <c r="AL606">
        <f ca="1"/>
      </c>
      <c r="AM606">
        <f ca="1"/>
      </c>
      <c r="AN606">
        <f ca="1"/>
      </c>
      <c r="AO606">
        <f ca="1"/>
      </c>
      <c r="AP606">
        <f ca="1"/>
      </c>
      <c r="AQ606">
        <f ca="1"/>
      </c>
      <c r="AR606">
        <f ca="1"/>
      </c>
      <c r="AT606" s="7">
        <f ca="1"/>
      </c>
      <c r="AU606">
        <f ca="1"/>
      </c>
      <c r="AV606">
        <f ca="1"/>
      </c>
      <c r="AW606">
        <f ca="1"/>
      </c>
      <c r="AX606">
        <f ca="1"/>
      </c>
      <c r="AY606">
        <f ca="1"/>
      </c>
      <c r="BA606" s="7"/>
    </row>
    <row r="607" spans="31:53" x14ac:dyDescent="0.55000000000000004">
      <c r="AE607" s="7">
        <f ca="1"/>
      </c>
      <c r="AF607">
        <f ca="1"/>
      </c>
      <c r="AG607">
        <f ca="1"/>
      </c>
      <c r="AH607">
        <f ca="1"/>
      </c>
      <c r="AI607">
        <f ca="1"/>
      </c>
      <c r="AJ607">
        <f ca="1"/>
      </c>
      <c r="AK607">
        <f ca="1"/>
      </c>
      <c r="AL607">
        <f ca="1"/>
      </c>
      <c r="AM607">
        <f ca="1"/>
      </c>
      <c r="AN607">
        <f ca="1"/>
      </c>
      <c r="AO607">
        <f ca="1"/>
      </c>
      <c r="AP607">
        <f ca="1"/>
      </c>
      <c r="AQ607">
        <f ca="1"/>
      </c>
      <c r="AR607">
        <f ca="1"/>
      </c>
      <c r="AT607" s="7">
        <f ca="1"/>
      </c>
      <c r="AU607">
        <f ca="1"/>
      </c>
      <c r="AV607">
        <f ca="1"/>
      </c>
      <c r="AW607">
        <f ca="1"/>
      </c>
      <c r="AX607">
        <f ca="1"/>
      </c>
      <c r="AY607">
        <f ca="1"/>
      </c>
      <c r="BA607" s="7"/>
    </row>
    <row r="608" spans="31:53" x14ac:dyDescent="0.55000000000000004">
      <c r="AE608" s="7">
        <f ca="1"/>
      </c>
      <c r="AF608">
        <f ca="1"/>
      </c>
      <c r="AG608">
        <f ca="1"/>
      </c>
      <c r="AH608">
        <f ca="1"/>
      </c>
      <c r="AI608">
        <f ca="1"/>
      </c>
      <c r="AJ608">
        <f ca="1"/>
      </c>
      <c r="AK608">
        <f ca="1"/>
      </c>
      <c r="AL608">
        <f ca="1"/>
      </c>
      <c r="AM608">
        <f ca="1"/>
      </c>
      <c r="AN608">
        <f ca="1"/>
      </c>
      <c r="AO608">
        <f ca="1"/>
      </c>
      <c r="AP608">
        <f ca="1"/>
      </c>
      <c r="AQ608">
        <f ca="1"/>
      </c>
      <c r="AR608">
        <f ca="1"/>
      </c>
      <c r="AT608" s="7">
        <f ca="1"/>
      </c>
      <c r="AU608">
        <f ca="1"/>
      </c>
      <c r="AV608">
        <f ca="1"/>
      </c>
      <c r="AW608">
        <f ca="1"/>
      </c>
      <c r="AX608">
        <f ca="1"/>
      </c>
      <c r="AY608">
        <f ca="1"/>
      </c>
      <c r="BA608" s="7"/>
    </row>
    <row r="609" spans="31:53" x14ac:dyDescent="0.55000000000000004">
      <c r="AE609" s="7">
        <f ca="1"/>
      </c>
      <c r="AF609">
        <f ca="1"/>
      </c>
      <c r="AG609">
        <f ca="1"/>
      </c>
      <c r="AH609">
        <f ca="1"/>
      </c>
      <c r="AI609">
        <f ca="1"/>
      </c>
      <c r="AJ609">
        <f ca="1"/>
      </c>
      <c r="AK609">
        <f ca="1"/>
      </c>
      <c r="AL609">
        <f ca="1"/>
      </c>
      <c r="AM609">
        <f ca="1"/>
      </c>
      <c r="AN609">
        <f ca="1"/>
      </c>
      <c r="AO609">
        <f ca="1"/>
      </c>
      <c r="AP609">
        <f ca="1"/>
      </c>
      <c r="AQ609">
        <f ca="1"/>
      </c>
      <c r="AR609">
        <f ca="1"/>
      </c>
      <c r="AT609" s="7">
        <f ca="1"/>
      </c>
      <c r="AU609">
        <f ca="1"/>
      </c>
      <c r="AV609">
        <f ca="1"/>
      </c>
      <c r="AW609">
        <f ca="1"/>
      </c>
      <c r="AX609">
        <f ca="1"/>
      </c>
      <c r="AY609">
        <f ca="1"/>
      </c>
      <c r="BA609" s="7"/>
    </row>
    <row r="610" spans="31:53" x14ac:dyDescent="0.55000000000000004">
      <c r="AE610" s="7">
        <f ca="1"/>
      </c>
      <c r="AF610">
        <f ca="1"/>
      </c>
      <c r="AG610">
        <f ca="1"/>
      </c>
      <c r="AH610">
        <f ca="1"/>
      </c>
      <c r="AI610">
        <f ca="1"/>
      </c>
      <c r="AJ610">
        <f ca="1"/>
      </c>
      <c r="AK610">
        <f ca="1"/>
      </c>
      <c r="AL610">
        <f ca="1"/>
      </c>
      <c r="AM610">
        <f ca="1"/>
      </c>
      <c r="AN610">
        <f ca="1"/>
      </c>
      <c r="AO610">
        <f ca="1"/>
      </c>
      <c r="AP610">
        <f ca="1"/>
      </c>
      <c r="AQ610">
        <f ca="1"/>
      </c>
      <c r="AR610">
        <f ca="1"/>
      </c>
      <c r="AT610" s="7">
        <f ca="1"/>
      </c>
      <c r="AU610">
        <f ca="1"/>
      </c>
      <c r="AV610">
        <f ca="1"/>
      </c>
      <c r="AW610">
        <f ca="1"/>
      </c>
      <c r="AX610">
        <f ca="1"/>
      </c>
      <c r="AY610">
        <f ca="1"/>
      </c>
      <c r="BA610" s="7"/>
    </row>
    <row r="611" spans="31:53" x14ac:dyDescent="0.55000000000000004">
      <c r="AE611" s="7">
        <f ca="1"/>
      </c>
      <c r="AF611">
        <f ca="1"/>
      </c>
      <c r="AG611">
        <f ca="1"/>
      </c>
      <c r="AH611">
        <f ca="1"/>
      </c>
      <c r="AI611">
        <f ca="1"/>
      </c>
      <c r="AJ611">
        <f ca="1"/>
      </c>
      <c r="AK611">
        <f ca="1"/>
      </c>
      <c r="AL611">
        <f ca="1"/>
      </c>
      <c r="AM611">
        <f ca="1"/>
      </c>
      <c r="AN611">
        <f ca="1"/>
      </c>
      <c r="AO611">
        <f ca="1"/>
      </c>
      <c r="AP611">
        <f ca="1"/>
      </c>
      <c r="AQ611">
        <f ca="1"/>
      </c>
      <c r="AR611">
        <f ca="1"/>
      </c>
      <c r="AT611" s="7">
        <f ca="1"/>
      </c>
      <c r="AU611">
        <f ca="1"/>
      </c>
      <c r="AV611">
        <f ca="1"/>
      </c>
      <c r="AW611">
        <f ca="1"/>
      </c>
      <c r="AX611">
        <f ca="1"/>
      </c>
      <c r="AY611">
        <f ca="1"/>
      </c>
      <c r="BA611" s="7"/>
    </row>
    <row r="612" spans="31:53" x14ac:dyDescent="0.55000000000000004">
      <c r="AE612" s="7">
        <f ca="1"/>
      </c>
      <c r="AF612">
        <f ca="1"/>
      </c>
      <c r="AG612">
        <f ca="1"/>
      </c>
      <c r="AH612">
        <f ca="1"/>
      </c>
      <c r="AI612">
        <f ca="1"/>
      </c>
      <c r="AJ612">
        <f ca="1"/>
      </c>
      <c r="AK612">
        <f ca="1"/>
      </c>
      <c r="AL612">
        <f ca="1"/>
      </c>
      <c r="AM612">
        <f ca="1"/>
      </c>
      <c r="AN612">
        <f ca="1"/>
      </c>
      <c r="AO612">
        <f ca="1"/>
      </c>
      <c r="AP612">
        <f ca="1"/>
      </c>
      <c r="AQ612">
        <f ca="1"/>
      </c>
      <c r="AR612">
        <f ca="1"/>
      </c>
      <c r="AT612" s="7">
        <f ca="1"/>
      </c>
      <c r="AU612">
        <f ca="1"/>
      </c>
      <c r="AV612">
        <f ca="1"/>
      </c>
      <c r="AW612">
        <f ca="1"/>
      </c>
      <c r="AX612">
        <f ca="1"/>
      </c>
      <c r="AY612">
        <f ca="1"/>
      </c>
      <c r="BA612" s="7"/>
    </row>
    <row r="613" spans="31:53" x14ac:dyDescent="0.55000000000000004">
      <c r="AE613" s="7">
        <f ca="1"/>
      </c>
      <c r="AF613">
        <f ca="1"/>
      </c>
      <c r="AG613">
        <f ca="1"/>
      </c>
      <c r="AH613">
        <f ca="1"/>
      </c>
      <c r="AI613">
        <f ca="1"/>
      </c>
      <c r="AJ613">
        <f ca="1"/>
      </c>
      <c r="AK613">
        <f ca="1"/>
      </c>
      <c r="AL613">
        <f ca="1"/>
      </c>
      <c r="AM613">
        <f ca="1"/>
      </c>
      <c r="AN613">
        <f ca="1"/>
      </c>
      <c r="AO613">
        <f ca="1"/>
      </c>
      <c r="AP613">
        <f ca="1"/>
      </c>
      <c r="AQ613">
        <f ca="1"/>
      </c>
      <c r="AR613">
        <f ca="1"/>
      </c>
      <c r="AT613" s="7">
        <f ca="1"/>
      </c>
      <c r="AU613">
        <f ca="1"/>
      </c>
      <c r="AV613">
        <f ca="1"/>
      </c>
      <c r="AW613">
        <f ca="1"/>
      </c>
      <c r="AX613">
        <f ca="1"/>
      </c>
      <c r="AY613">
        <f ca="1"/>
      </c>
      <c r="BA613" s="7"/>
    </row>
    <row r="614" spans="31:53" x14ac:dyDescent="0.55000000000000004">
      <c r="AE614" s="7">
        <f ca="1"/>
      </c>
      <c r="AF614">
        <f ca="1"/>
      </c>
      <c r="AG614">
        <f ca="1"/>
      </c>
      <c r="AH614">
        <f ca="1"/>
      </c>
      <c r="AI614">
        <f ca="1"/>
      </c>
      <c r="AJ614">
        <f ca="1"/>
      </c>
      <c r="AK614">
        <f ca="1"/>
      </c>
      <c r="AL614">
        <f ca="1"/>
      </c>
      <c r="AM614">
        <f ca="1"/>
      </c>
      <c r="AN614">
        <f ca="1"/>
      </c>
      <c r="AO614">
        <f ca="1"/>
      </c>
      <c r="AP614">
        <f ca="1"/>
      </c>
      <c r="AQ614">
        <f ca="1"/>
      </c>
      <c r="AR614">
        <f ca="1"/>
      </c>
      <c r="AT614" s="7">
        <f ca="1"/>
      </c>
      <c r="AU614">
        <f ca="1"/>
      </c>
      <c r="AV614">
        <f ca="1"/>
      </c>
      <c r="AW614">
        <f ca="1"/>
      </c>
      <c r="AX614">
        <f ca="1"/>
      </c>
      <c r="AY614">
        <f ca="1"/>
      </c>
      <c r="BA614" s="7"/>
    </row>
    <row r="615" spans="31:53" x14ac:dyDescent="0.55000000000000004">
      <c r="AE615" s="7">
        <f ca="1"/>
      </c>
      <c r="AF615">
        <f ca="1"/>
      </c>
      <c r="AG615">
        <f ca="1"/>
      </c>
      <c r="AH615">
        <f ca="1"/>
      </c>
      <c r="AI615">
        <f ca="1"/>
      </c>
      <c r="AJ615">
        <f ca="1"/>
      </c>
      <c r="AK615">
        <f ca="1"/>
      </c>
      <c r="AL615">
        <f ca="1"/>
      </c>
      <c r="AM615">
        <f ca="1"/>
      </c>
      <c r="AN615">
        <f ca="1"/>
      </c>
      <c r="AO615">
        <f ca="1"/>
      </c>
      <c r="AP615">
        <f ca="1"/>
      </c>
      <c r="AQ615">
        <f ca="1"/>
      </c>
      <c r="AR615">
        <f ca="1"/>
      </c>
      <c r="AT615" s="7">
        <f ca="1"/>
      </c>
      <c r="AU615">
        <f ca="1"/>
      </c>
      <c r="AV615">
        <f ca="1"/>
      </c>
      <c r="AW615">
        <f ca="1"/>
      </c>
      <c r="AX615">
        <f ca="1"/>
      </c>
      <c r="AY615">
        <f ca="1"/>
      </c>
      <c r="BA615" s="7"/>
    </row>
    <row r="616" spans="31:53" x14ac:dyDescent="0.55000000000000004">
      <c r="AE616" s="7">
        <f ca="1"/>
      </c>
      <c r="AF616">
        <f ca="1"/>
      </c>
      <c r="AG616">
        <f ca="1"/>
      </c>
      <c r="AH616">
        <f ca="1"/>
      </c>
      <c r="AI616">
        <f ca="1"/>
      </c>
      <c r="AJ616">
        <f ca="1"/>
      </c>
      <c r="AK616">
        <f ca="1"/>
      </c>
      <c r="AL616">
        <f ca="1"/>
      </c>
      <c r="AM616">
        <f ca="1"/>
      </c>
      <c r="AN616">
        <f ca="1"/>
      </c>
      <c r="AO616">
        <f ca="1"/>
      </c>
      <c r="AP616">
        <f ca="1"/>
      </c>
      <c r="AQ616">
        <f ca="1"/>
      </c>
      <c r="AR616">
        <f ca="1"/>
      </c>
      <c r="AT616" s="7">
        <f ca="1"/>
      </c>
      <c r="AU616">
        <f ca="1"/>
      </c>
      <c r="AV616">
        <f ca="1"/>
      </c>
      <c r="AW616">
        <f ca="1"/>
      </c>
      <c r="AX616">
        <f ca="1"/>
      </c>
      <c r="AY616">
        <f ca="1"/>
      </c>
      <c r="BA616" s="7"/>
    </row>
    <row r="617" spans="31:53" x14ac:dyDescent="0.55000000000000004">
      <c r="AE617" s="7">
        <f ca="1"/>
      </c>
      <c r="AF617">
        <f ca="1"/>
      </c>
      <c r="AG617">
        <f ca="1"/>
      </c>
      <c r="AH617">
        <f ca="1"/>
      </c>
      <c r="AI617">
        <f ca="1"/>
      </c>
      <c r="AJ617">
        <f ca="1"/>
      </c>
      <c r="AK617">
        <f ca="1"/>
      </c>
      <c r="AL617">
        <f ca="1"/>
      </c>
      <c r="AM617">
        <f ca="1"/>
      </c>
      <c r="AN617">
        <f ca="1"/>
      </c>
      <c r="AO617">
        <f ca="1"/>
      </c>
      <c r="AP617">
        <f ca="1"/>
      </c>
      <c r="AQ617">
        <f ca="1"/>
      </c>
      <c r="AR617">
        <f ca="1"/>
      </c>
      <c r="AT617" s="7">
        <f ca="1"/>
      </c>
      <c r="AU617">
        <f ca="1"/>
      </c>
      <c r="AV617">
        <f ca="1"/>
      </c>
      <c r="AW617">
        <f ca="1"/>
      </c>
      <c r="AX617">
        <f ca="1"/>
      </c>
      <c r="AY617">
        <f ca="1"/>
      </c>
      <c r="BA617" s="7"/>
    </row>
    <row r="618" spans="31:53" x14ac:dyDescent="0.55000000000000004">
      <c r="AE618" s="7">
        <f ca="1"/>
      </c>
      <c r="AF618">
        <f ca="1"/>
      </c>
      <c r="AG618">
        <f ca="1"/>
      </c>
      <c r="AH618">
        <f ca="1"/>
      </c>
      <c r="AI618">
        <f ca="1"/>
      </c>
      <c r="AJ618">
        <f ca="1"/>
      </c>
      <c r="AK618">
        <f ca="1"/>
      </c>
      <c r="AL618">
        <f ca="1"/>
      </c>
      <c r="AM618">
        <f ca="1"/>
      </c>
      <c r="AN618">
        <f ca="1"/>
      </c>
      <c r="AO618">
        <f ca="1"/>
      </c>
      <c r="AP618">
        <f ca="1"/>
      </c>
      <c r="AQ618">
        <f ca="1"/>
      </c>
      <c r="AR618">
        <f ca="1"/>
      </c>
      <c r="AT618" s="7">
        <f ca="1"/>
      </c>
      <c r="AU618">
        <f ca="1"/>
      </c>
      <c r="AV618">
        <f ca="1"/>
      </c>
      <c r="AW618">
        <f ca="1"/>
      </c>
      <c r="AX618">
        <f ca="1"/>
      </c>
      <c r="AY618">
        <f ca="1"/>
      </c>
      <c r="BA618" s="7"/>
    </row>
    <row r="619" spans="31:53" x14ac:dyDescent="0.55000000000000004">
      <c r="AE619" s="7">
        <f ca="1"/>
      </c>
      <c r="AF619">
        <f ca="1"/>
      </c>
      <c r="AG619">
        <f ca="1"/>
      </c>
      <c r="AH619">
        <f ca="1"/>
      </c>
      <c r="AI619">
        <f ca="1"/>
      </c>
      <c r="AJ619">
        <f ca="1"/>
      </c>
      <c r="AK619">
        <f ca="1"/>
      </c>
      <c r="AL619">
        <f ca="1"/>
      </c>
      <c r="AM619">
        <f ca="1"/>
      </c>
      <c r="AN619">
        <f ca="1"/>
      </c>
      <c r="AO619">
        <f ca="1"/>
      </c>
      <c r="AP619">
        <f ca="1"/>
      </c>
      <c r="AQ619">
        <f ca="1"/>
      </c>
      <c r="AR619">
        <f ca="1"/>
      </c>
      <c r="AT619" s="7">
        <f ca="1"/>
      </c>
      <c r="AU619">
        <f ca="1"/>
      </c>
      <c r="AV619">
        <f ca="1"/>
      </c>
      <c r="AW619">
        <f ca="1"/>
      </c>
      <c r="AX619">
        <f ca="1"/>
      </c>
      <c r="AY619">
        <f ca="1"/>
      </c>
      <c r="BA619" s="7"/>
    </row>
    <row r="620" spans="31:53" x14ac:dyDescent="0.55000000000000004">
      <c r="AE620" s="7">
        <f ca="1"/>
      </c>
      <c r="AF620">
        <f ca="1"/>
      </c>
      <c r="AG620">
        <f ca="1"/>
      </c>
      <c r="AH620">
        <f ca="1"/>
      </c>
      <c r="AI620">
        <f ca="1"/>
      </c>
      <c r="AJ620">
        <f ca="1"/>
      </c>
      <c r="AK620">
        <f ca="1"/>
      </c>
      <c r="AL620">
        <f ca="1"/>
      </c>
      <c r="AM620">
        <f ca="1"/>
      </c>
      <c r="AN620">
        <f ca="1"/>
      </c>
      <c r="AO620">
        <f ca="1"/>
      </c>
      <c r="AP620">
        <f ca="1"/>
      </c>
      <c r="AQ620">
        <f ca="1"/>
      </c>
      <c r="AR620">
        <f ca="1"/>
      </c>
      <c r="AT620" s="7">
        <f ca="1"/>
      </c>
      <c r="AU620">
        <f ca="1"/>
      </c>
      <c r="AV620">
        <f ca="1"/>
      </c>
      <c r="AW620">
        <f ca="1"/>
      </c>
      <c r="AX620">
        <f ca="1"/>
      </c>
      <c r="AY620">
        <f ca="1"/>
      </c>
      <c r="BA620" s="7"/>
    </row>
    <row r="621" spans="31:53" x14ac:dyDescent="0.55000000000000004">
      <c r="AE621" s="7">
        <f ca="1"/>
      </c>
      <c r="AF621">
        <f ca="1"/>
      </c>
      <c r="AG621">
        <f ca="1"/>
      </c>
      <c r="AH621">
        <f ca="1"/>
      </c>
      <c r="AI621">
        <f ca="1"/>
      </c>
      <c r="AJ621">
        <f ca="1"/>
      </c>
      <c r="AK621">
        <f ca="1"/>
      </c>
      <c r="AL621">
        <f ca="1"/>
      </c>
      <c r="AM621">
        <f ca="1"/>
      </c>
      <c r="AN621">
        <f ca="1"/>
      </c>
      <c r="AO621">
        <f ca="1"/>
      </c>
      <c r="AP621">
        <f ca="1"/>
      </c>
      <c r="AQ621">
        <f ca="1"/>
      </c>
      <c r="AR621">
        <f ca="1"/>
      </c>
      <c r="AT621" s="7">
        <f ca="1"/>
      </c>
      <c r="AU621">
        <f ca="1"/>
      </c>
      <c r="AV621">
        <f ca="1"/>
      </c>
      <c r="AW621">
        <f ca="1"/>
      </c>
      <c r="AX621">
        <f ca="1"/>
      </c>
      <c r="AY621">
        <f ca="1"/>
      </c>
      <c r="BA621" s="7"/>
    </row>
    <row r="622" spans="31:53" x14ac:dyDescent="0.55000000000000004">
      <c r="AE622" s="7">
        <f ca="1"/>
      </c>
      <c r="AF622">
        <f ca="1"/>
      </c>
      <c r="AG622">
        <f ca="1"/>
      </c>
      <c r="AH622">
        <f ca="1"/>
      </c>
      <c r="AI622">
        <f ca="1"/>
      </c>
      <c r="AJ622">
        <f ca="1"/>
      </c>
      <c r="AK622">
        <f ca="1"/>
      </c>
      <c r="AL622">
        <f ca="1"/>
      </c>
      <c r="AM622">
        <f ca="1"/>
      </c>
      <c r="AN622">
        <f ca="1"/>
      </c>
      <c r="AO622">
        <f ca="1"/>
      </c>
      <c r="AP622">
        <f ca="1"/>
      </c>
      <c r="AQ622">
        <f ca="1"/>
      </c>
      <c r="AR622">
        <f ca="1"/>
      </c>
      <c r="AT622" s="7">
        <f ca="1"/>
      </c>
      <c r="AU622">
        <f ca="1"/>
      </c>
      <c r="AV622">
        <f ca="1"/>
      </c>
      <c r="AW622">
        <f ca="1"/>
      </c>
      <c r="AX622">
        <f ca="1"/>
      </c>
      <c r="AY622">
        <f ca="1"/>
      </c>
      <c r="BA622" s="7"/>
    </row>
    <row r="623" spans="31:53" x14ac:dyDescent="0.55000000000000004">
      <c r="AE623" s="7">
        <f ca="1"/>
      </c>
      <c r="AF623">
        <f ca="1"/>
      </c>
      <c r="AG623">
        <f ca="1"/>
      </c>
      <c r="AH623">
        <f ca="1"/>
      </c>
      <c r="AI623">
        <f ca="1"/>
      </c>
      <c r="AJ623">
        <f ca="1"/>
      </c>
      <c r="AK623">
        <f ca="1"/>
      </c>
      <c r="AL623">
        <f ca="1"/>
      </c>
      <c r="AM623">
        <f ca="1"/>
      </c>
      <c r="AN623">
        <f ca="1"/>
      </c>
      <c r="AO623">
        <f ca="1"/>
      </c>
      <c r="AP623">
        <f ca="1"/>
      </c>
      <c r="AQ623">
        <f ca="1"/>
      </c>
      <c r="AR623">
        <f ca="1"/>
      </c>
      <c r="AT623" s="7">
        <f ca="1"/>
      </c>
      <c r="AU623">
        <f ca="1"/>
      </c>
      <c r="AV623">
        <f ca="1"/>
      </c>
      <c r="AW623">
        <f ca="1"/>
      </c>
      <c r="AX623">
        <f ca="1"/>
      </c>
      <c r="AY623">
        <f ca="1"/>
      </c>
      <c r="BA623" s="7"/>
    </row>
    <row r="624" spans="31:53" x14ac:dyDescent="0.55000000000000004">
      <c r="AE624" s="7">
        <f ca="1"/>
      </c>
      <c r="AF624">
        <f ca="1"/>
      </c>
      <c r="AG624">
        <f ca="1"/>
      </c>
      <c r="AH624">
        <f ca="1"/>
      </c>
      <c r="AI624">
        <f ca="1"/>
      </c>
      <c r="AJ624">
        <f ca="1"/>
      </c>
      <c r="AK624">
        <f ca="1"/>
      </c>
      <c r="AL624">
        <f ca="1"/>
      </c>
      <c r="AM624">
        <f ca="1"/>
      </c>
      <c r="AN624">
        <f ca="1"/>
      </c>
      <c r="AO624">
        <f ca="1"/>
      </c>
      <c r="AP624">
        <f ca="1"/>
      </c>
      <c r="AQ624">
        <f ca="1"/>
      </c>
      <c r="AR624">
        <f ca="1"/>
      </c>
      <c r="AT624" s="7">
        <f ca="1"/>
      </c>
      <c r="AU624">
        <f ca="1"/>
      </c>
      <c r="AV624">
        <f ca="1"/>
      </c>
      <c r="AW624">
        <f ca="1"/>
      </c>
      <c r="AX624">
        <f ca="1"/>
      </c>
      <c r="AY624">
        <f ca="1"/>
      </c>
      <c r="BA624" s="7"/>
    </row>
    <row r="625" spans="31:53" x14ac:dyDescent="0.55000000000000004">
      <c r="AE625" s="7">
        <f ca="1"/>
      </c>
      <c r="AF625">
        <f ca="1"/>
      </c>
      <c r="AG625">
        <f ca="1"/>
      </c>
      <c r="AH625">
        <f ca="1"/>
      </c>
      <c r="AI625">
        <f ca="1"/>
      </c>
      <c r="AJ625">
        <f ca="1"/>
      </c>
      <c r="AK625">
        <f ca="1"/>
      </c>
      <c r="AL625">
        <f ca="1"/>
      </c>
      <c r="AM625">
        <f ca="1"/>
      </c>
      <c r="AN625">
        <f ca="1"/>
      </c>
      <c r="AO625">
        <f ca="1"/>
      </c>
      <c r="AP625">
        <f ca="1"/>
      </c>
      <c r="AQ625">
        <f ca="1"/>
      </c>
      <c r="AR625">
        <f ca="1"/>
      </c>
      <c r="AT625" s="7">
        <f ca="1"/>
      </c>
      <c r="AU625">
        <f ca="1"/>
      </c>
      <c r="AV625">
        <f ca="1"/>
      </c>
      <c r="AW625">
        <f ca="1"/>
      </c>
      <c r="AX625">
        <f ca="1"/>
      </c>
      <c r="AY625">
        <f ca="1"/>
      </c>
      <c r="BA625" s="7"/>
    </row>
    <row r="626" spans="31:53" x14ac:dyDescent="0.55000000000000004">
      <c r="AE626" s="7">
        <f ca="1"/>
      </c>
      <c r="AF626">
        <f ca="1"/>
      </c>
      <c r="AG626">
        <f ca="1"/>
      </c>
      <c r="AH626">
        <f ca="1"/>
      </c>
      <c r="AI626">
        <f ca="1"/>
      </c>
      <c r="AJ626">
        <f ca="1"/>
      </c>
      <c r="AK626">
        <f ca="1"/>
      </c>
      <c r="AL626">
        <f ca="1"/>
      </c>
      <c r="AM626">
        <f ca="1"/>
      </c>
      <c r="AN626">
        <f ca="1"/>
      </c>
      <c r="AO626">
        <f ca="1"/>
      </c>
      <c r="AP626">
        <f ca="1"/>
      </c>
      <c r="AQ626">
        <f ca="1"/>
      </c>
      <c r="AR626">
        <f ca="1"/>
      </c>
      <c r="AT626" s="7">
        <f ca="1"/>
      </c>
      <c r="AU626">
        <f ca="1"/>
      </c>
      <c r="AV626">
        <f ca="1"/>
      </c>
      <c r="AW626">
        <f ca="1"/>
      </c>
      <c r="AX626">
        <f ca="1"/>
      </c>
      <c r="AY626">
        <f ca="1"/>
      </c>
      <c r="BA626" s="7"/>
    </row>
    <row r="627" spans="31:53" x14ac:dyDescent="0.55000000000000004">
      <c r="AE627" s="7">
        <f ca="1"/>
      </c>
      <c r="AF627">
        <f ca="1"/>
      </c>
      <c r="AG627">
        <f ca="1"/>
      </c>
      <c r="AH627">
        <f ca="1"/>
      </c>
      <c r="AI627">
        <f ca="1"/>
      </c>
      <c r="AJ627">
        <f ca="1"/>
      </c>
      <c r="AK627">
        <f ca="1"/>
      </c>
      <c r="AL627">
        <f ca="1"/>
      </c>
      <c r="AM627">
        <f ca="1"/>
      </c>
      <c r="AN627">
        <f ca="1"/>
      </c>
      <c r="AO627">
        <f ca="1"/>
      </c>
      <c r="AP627">
        <f ca="1"/>
      </c>
      <c r="AQ627">
        <f ca="1"/>
      </c>
      <c r="AR627">
        <f ca="1"/>
      </c>
      <c r="AT627" s="7">
        <f ca="1"/>
      </c>
      <c r="AU627">
        <f ca="1"/>
      </c>
      <c r="AV627">
        <f ca="1"/>
      </c>
      <c r="AW627">
        <f ca="1"/>
      </c>
      <c r="AX627">
        <f ca="1"/>
      </c>
      <c r="AY627">
        <f ca="1"/>
      </c>
      <c r="BA627" s="7"/>
    </row>
    <row r="628" spans="31:53" x14ac:dyDescent="0.55000000000000004">
      <c r="AE628" s="7">
        <f ca="1"/>
      </c>
      <c r="AF628">
        <f ca="1"/>
      </c>
      <c r="AG628">
        <f ca="1"/>
      </c>
      <c r="AH628">
        <f ca="1"/>
      </c>
      <c r="AI628">
        <f ca="1"/>
      </c>
      <c r="AJ628">
        <f ca="1"/>
      </c>
      <c r="AK628">
        <f ca="1"/>
      </c>
      <c r="AL628">
        <f ca="1"/>
      </c>
      <c r="AM628">
        <f ca="1"/>
      </c>
      <c r="AN628">
        <f ca="1"/>
      </c>
      <c r="AO628">
        <f ca="1"/>
      </c>
      <c r="AP628">
        <f ca="1"/>
      </c>
      <c r="AQ628">
        <f ca="1"/>
      </c>
      <c r="AR628">
        <f ca="1"/>
      </c>
      <c r="AT628" s="7">
        <f ca="1"/>
      </c>
      <c r="AU628">
        <f ca="1"/>
      </c>
      <c r="AV628">
        <f ca="1"/>
      </c>
      <c r="AW628">
        <f ca="1"/>
      </c>
      <c r="AX628">
        <f ca="1"/>
      </c>
      <c r="AY628">
        <f ca="1"/>
      </c>
      <c r="BA628" s="7"/>
    </row>
    <row r="629" spans="31:53" x14ac:dyDescent="0.55000000000000004">
      <c r="AE629" s="7">
        <f ca="1"/>
      </c>
      <c r="AF629">
        <f ca="1"/>
      </c>
      <c r="AG629">
        <f ca="1"/>
      </c>
      <c r="AH629">
        <f ca="1"/>
      </c>
      <c r="AI629">
        <f ca="1"/>
      </c>
      <c r="AJ629">
        <f ca="1"/>
      </c>
      <c r="AK629">
        <f ca="1"/>
      </c>
      <c r="AL629">
        <f ca="1"/>
      </c>
      <c r="AM629">
        <f ca="1"/>
      </c>
      <c r="AN629">
        <f ca="1"/>
      </c>
      <c r="AO629">
        <f ca="1"/>
      </c>
      <c r="AP629">
        <f ca="1"/>
      </c>
      <c r="AQ629">
        <f ca="1"/>
      </c>
      <c r="AR629">
        <f ca="1"/>
      </c>
      <c r="AT629" s="7">
        <f ca="1"/>
      </c>
      <c r="AU629">
        <f ca="1"/>
      </c>
      <c r="AV629">
        <f ca="1"/>
      </c>
      <c r="AW629">
        <f ca="1"/>
      </c>
      <c r="AX629">
        <f ca="1"/>
      </c>
      <c r="AY629">
        <f ca="1"/>
      </c>
      <c r="BA629" s="7"/>
    </row>
    <row r="630" spans="31:53" x14ac:dyDescent="0.55000000000000004">
      <c r="AE630" s="7">
        <f ca="1"/>
      </c>
      <c r="AF630">
        <f ca="1"/>
      </c>
      <c r="AG630">
        <f ca="1"/>
      </c>
      <c r="AH630">
        <f ca="1"/>
      </c>
      <c r="AI630">
        <f ca="1"/>
      </c>
      <c r="AJ630">
        <f ca="1"/>
      </c>
      <c r="AK630">
        <f ca="1"/>
      </c>
      <c r="AL630">
        <f ca="1"/>
      </c>
      <c r="AM630">
        <f ca="1"/>
      </c>
      <c r="AN630">
        <f ca="1"/>
      </c>
      <c r="AO630">
        <f ca="1"/>
      </c>
      <c r="AP630">
        <f ca="1"/>
      </c>
      <c r="AQ630">
        <f ca="1"/>
      </c>
      <c r="AR630">
        <f ca="1"/>
      </c>
      <c r="AT630" s="7">
        <f ca="1"/>
      </c>
      <c r="AU630">
        <f ca="1"/>
      </c>
      <c r="AV630">
        <f ca="1"/>
      </c>
      <c r="AW630">
        <f ca="1"/>
      </c>
      <c r="AX630">
        <f ca="1"/>
      </c>
      <c r="AY630">
        <f ca="1"/>
      </c>
      <c r="BA630" s="7"/>
    </row>
    <row r="631" spans="31:53" x14ac:dyDescent="0.55000000000000004">
      <c r="AE631" s="7">
        <f ca="1"/>
      </c>
      <c r="AF631">
        <f ca="1"/>
      </c>
      <c r="AG631">
        <f ca="1"/>
      </c>
      <c r="AH631">
        <f ca="1"/>
      </c>
      <c r="AI631">
        <f ca="1"/>
      </c>
      <c r="AJ631">
        <f ca="1"/>
      </c>
      <c r="AK631">
        <f ca="1"/>
      </c>
      <c r="AL631">
        <f ca="1"/>
      </c>
      <c r="AM631">
        <f ca="1"/>
      </c>
      <c r="AN631">
        <f ca="1"/>
      </c>
      <c r="AO631">
        <f ca="1"/>
      </c>
      <c r="AP631">
        <f ca="1"/>
      </c>
      <c r="AQ631">
        <f ca="1"/>
      </c>
      <c r="AR631">
        <f ca="1"/>
      </c>
      <c r="AT631" s="7">
        <f ca="1"/>
      </c>
      <c r="AU631">
        <f ca="1"/>
      </c>
      <c r="AV631">
        <f ca="1"/>
      </c>
      <c r="AW631">
        <f ca="1"/>
      </c>
      <c r="AX631">
        <f ca="1"/>
      </c>
      <c r="AY631">
        <f ca="1"/>
      </c>
      <c r="BA631" s="7"/>
    </row>
    <row r="632" spans="31:53" x14ac:dyDescent="0.55000000000000004">
      <c r="AE632" s="7">
        <f ca="1"/>
      </c>
      <c r="AF632">
        <f ca="1"/>
      </c>
      <c r="AG632">
        <f ca="1"/>
      </c>
      <c r="AH632">
        <f ca="1"/>
      </c>
      <c r="AI632">
        <f ca="1"/>
      </c>
      <c r="AJ632">
        <f ca="1"/>
      </c>
      <c r="AK632">
        <f ca="1"/>
      </c>
      <c r="AL632">
        <f ca="1"/>
      </c>
      <c r="AM632">
        <f ca="1"/>
      </c>
      <c r="AN632">
        <f ca="1"/>
      </c>
      <c r="AO632">
        <f ca="1"/>
      </c>
      <c r="AP632">
        <f ca="1"/>
      </c>
      <c r="AQ632">
        <f ca="1"/>
      </c>
      <c r="AR632">
        <f ca="1"/>
      </c>
      <c r="AT632" s="7">
        <f ca="1"/>
      </c>
      <c r="AU632">
        <f ca="1"/>
      </c>
      <c r="AV632">
        <f ca="1"/>
      </c>
      <c r="AW632">
        <f ca="1"/>
      </c>
      <c r="AX632">
        <f ca="1"/>
      </c>
      <c r="AY632">
        <f ca="1"/>
      </c>
      <c r="BA632" s="7"/>
    </row>
    <row r="633" spans="31:53" x14ac:dyDescent="0.55000000000000004">
      <c r="AE633" s="7">
        <f ca="1"/>
      </c>
      <c r="AF633">
        <f ca="1"/>
      </c>
      <c r="AG633">
        <f ca="1"/>
      </c>
      <c r="AH633">
        <f ca="1"/>
      </c>
      <c r="AI633">
        <f ca="1"/>
      </c>
      <c r="AJ633">
        <f ca="1"/>
      </c>
      <c r="AK633">
        <f ca="1"/>
      </c>
      <c r="AL633">
        <f ca="1"/>
      </c>
      <c r="AM633">
        <f ca="1"/>
      </c>
      <c r="AN633">
        <f ca="1"/>
      </c>
      <c r="AO633">
        <f ca="1"/>
      </c>
      <c r="AP633">
        <f ca="1"/>
      </c>
      <c r="AQ633">
        <f ca="1"/>
      </c>
      <c r="AR633">
        <f ca="1"/>
      </c>
      <c r="AT633" s="7">
        <f ca="1"/>
      </c>
      <c r="AU633">
        <f ca="1"/>
      </c>
      <c r="AV633">
        <f ca="1"/>
      </c>
      <c r="AW633">
        <f ca="1"/>
      </c>
      <c r="AX633">
        <f ca="1"/>
      </c>
      <c r="AY633">
        <f ca="1"/>
      </c>
      <c r="BA633" s="7"/>
    </row>
    <row r="634" spans="31:53" x14ac:dyDescent="0.55000000000000004">
      <c r="AE634" s="7">
        <f ca="1"/>
      </c>
      <c r="AF634">
        <f ca="1"/>
      </c>
      <c r="AG634">
        <f ca="1"/>
      </c>
      <c r="AH634">
        <f ca="1"/>
      </c>
      <c r="AI634">
        <f ca="1"/>
      </c>
      <c r="AJ634">
        <f ca="1"/>
      </c>
      <c r="AK634">
        <f ca="1"/>
      </c>
      <c r="AL634">
        <f ca="1"/>
      </c>
      <c r="AM634">
        <f ca="1"/>
      </c>
      <c r="AN634">
        <f ca="1"/>
      </c>
      <c r="AO634">
        <f ca="1"/>
      </c>
      <c r="AP634">
        <f ca="1"/>
      </c>
      <c r="AQ634">
        <f ca="1"/>
      </c>
      <c r="AR634">
        <f ca="1"/>
      </c>
      <c r="AT634" s="7">
        <f ca="1"/>
      </c>
      <c r="AU634">
        <f ca="1"/>
      </c>
      <c r="AV634">
        <f ca="1"/>
      </c>
      <c r="AW634">
        <f ca="1"/>
      </c>
      <c r="AX634">
        <f ca="1"/>
      </c>
      <c r="AY634">
        <f ca="1"/>
      </c>
      <c r="BA634" s="7"/>
    </row>
    <row r="635" spans="31:53" x14ac:dyDescent="0.55000000000000004">
      <c r="AE635" s="7">
        <f ca="1"/>
      </c>
      <c r="AF635">
        <f ca="1"/>
      </c>
      <c r="AG635">
        <f ca="1"/>
      </c>
      <c r="AH635">
        <f ca="1"/>
      </c>
      <c r="AI635">
        <f ca="1"/>
      </c>
      <c r="AJ635">
        <f ca="1"/>
      </c>
      <c r="AK635">
        <f ca="1"/>
      </c>
      <c r="AL635">
        <f ca="1"/>
      </c>
      <c r="AM635">
        <f ca="1"/>
      </c>
      <c r="AN635">
        <f ca="1"/>
      </c>
      <c r="AO635">
        <f ca="1"/>
      </c>
      <c r="AP635">
        <f ca="1"/>
      </c>
      <c r="AQ635">
        <f ca="1"/>
      </c>
      <c r="AR635">
        <f ca="1"/>
      </c>
      <c r="AT635" s="7">
        <f ca="1"/>
      </c>
      <c r="AU635">
        <f ca="1"/>
      </c>
      <c r="AV635">
        <f ca="1"/>
      </c>
      <c r="AW635">
        <f ca="1"/>
      </c>
      <c r="AX635">
        <f ca="1"/>
      </c>
      <c r="AY635">
        <f ca="1"/>
      </c>
      <c r="BA635" s="7"/>
    </row>
    <row r="636" spans="31:53" x14ac:dyDescent="0.55000000000000004">
      <c r="AE636" s="7">
        <f ca="1"/>
      </c>
      <c r="AF636">
        <f ca="1"/>
      </c>
      <c r="AG636">
        <f ca="1"/>
      </c>
      <c r="AH636">
        <f ca="1"/>
      </c>
      <c r="AI636">
        <f ca="1"/>
      </c>
      <c r="AJ636">
        <f ca="1"/>
      </c>
      <c r="AK636">
        <f ca="1"/>
      </c>
      <c r="AL636">
        <f ca="1"/>
      </c>
      <c r="AM636">
        <f ca="1"/>
      </c>
      <c r="AN636">
        <f ca="1"/>
      </c>
      <c r="AO636">
        <f ca="1"/>
      </c>
      <c r="AP636">
        <f ca="1"/>
      </c>
      <c r="AQ636">
        <f ca="1"/>
      </c>
      <c r="AR636">
        <f ca="1"/>
      </c>
      <c r="AT636" s="7">
        <f ca="1"/>
      </c>
      <c r="AU636">
        <f ca="1"/>
      </c>
      <c r="AV636">
        <f ca="1"/>
      </c>
      <c r="AW636">
        <f ca="1"/>
      </c>
      <c r="AX636">
        <f ca="1"/>
      </c>
      <c r="AY636">
        <f ca="1"/>
      </c>
      <c r="BA636" s="7"/>
    </row>
    <row r="637" spans="31:53" x14ac:dyDescent="0.55000000000000004">
      <c r="AE637" s="7">
        <f ca="1"/>
      </c>
      <c r="AF637">
        <f ca="1"/>
      </c>
      <c r="AG637">
        <f ca="1"/>
      </c>
      <c r="AH637">
        <f ca="1"/>
      </c>
      <c r="AI637">
        <f ca="1"/>
      </c>
      <c r="AJ637">
        <f ca="1"/>
      </c>
      <c r="AK637">
        <f ca="1"/>
      </c>
      <c r="AL637">
        <f ca="1"/>
      </c>
      <c r="AM637">
        <f ca="1"/>
      </c>
      <c r="AN637">
        <f ca="1"/>
      </c>
      <c r="AO637">
        <f ca="1"/>
      </c>
      <c r="AP637">
        <f ca="1"/>
      </c>
      <c r="AQ637">
        <f ca="1"/>
      </c>
      <c r="AR637">
        <f ca="1"/>
      </c>
      <c r="AT637" s="7">
        <f ca="1"/>
      </c>
      <c r="AU637">
        <f ca="1"/>
      </c>
      <c r="AV637">
        <f ca="1"/>
      </c>
      <c r="AW637">
        <f ca="1"/>
      </c>
      <c r="AX637">
        <f ca="1"/>
      </c>
      <c r="AY637">
        <f ca="1"/>
      </c>
      <c r="BA637" s="7"/>
    </row>
    <row r="638" spans="31:53" x14ac:dyDescent="0.55000000000000004">
      <c r="AE638" s="7">
        <f ca="1"/>
      </c>
      <c r="AF638">
        <f ca="1"/>
      </c>
      <c r="AG638">
        <f ca="1"/>
      </c>
      <c r="AH638">
        <f ca="1"/>
      </c>
      <c r="AI638">
        <f ca="1"/>
      </c>
      <c r="AJ638">
        <f ca="1"/>
      </c>
      <c r="AK638">
        <f ca="1"/>
      </c>
      <c r="AL638">
        <f ca="1"/>
      </c>
      <c r="AM638">
        <f ca="1"/>
      </c>
      <c r="AN638">
        <f ca="1"/>
      </c>
      <c r="AO638">
        <f ca="1"/>
      </c>
      <c r="AP638">
        <f ca="1"/>
      </c>
      <c r="AQ638">
        <f ca="1"/>
      </c>
      <c r="AR638">
        <f ca="1"/>
      </c>
      <c r="AT638" s="7">
        <f ca="1"/>
      </c>
      <c r="AU638">
        <f ca="1"/>
      </c>
      <c r="AV638">
        <f ca="1"/>
      </c>
      <c r="AW638">
        <f ca="1"/>
      </c>
      <c r="AX638">
        <f ca="1"/>
      </c>
      <c r="AY638">
        <f ca="1"/>
      </c>
      <c r="BA638" s="7"/>
    </row>
    <row r="639" spans="31:53" x14ac:dyDescent="0.55000000000000004">
      <c r="AE639" s="7">
        <f ca="1"/>
      </c>
      <c r="AF639">
        <f ca="1"/>
      </c>
      <c r="AG639">
        <f ca="1"/>
      </c>
      <c r="AH639">
        <f ca="1"/>
      </c>
      <c r="AI639">
        <f ca="1"/>
      </c>
      <c r="AJ639">
        <f ca="1"/>
      </c>
      <c r="AK639">
        <f ca="1"/>
      </c>
      <c r="AL639">
        <f ca="1"/>
      </c>
      <c r="AM639">
        <f ca="1"/>
      </c>
      <c r="AN639">
        <f ca="1"/>
      </c>
      <c r="AO639">
        <f ca="1"/>
      </c>
      <c r="AP639">
        <f ca="1"/>
      </c>
      <c r="AQ639">
        <f ca="1"/>
      </c>
      <c r="AR639">
        <f ca="1"/>
      </c>
      <c r="AT639" s="7">
        <f ca="1"/>
      </c>
      <c r="AU639">
        <f ca="1"/>
      </c>
      <c r="AV639">
        <f ca="1"/>
      </c>
      <c r="AW639">
        <f ca="1"/>
      </c>
      <c r="AX639">
        <f ca="1"/>
      </c>
      <c r="AY639">
        <f ca="1"/>
      </c>
      <c r="BA639" s="7"/>
    </row>
    <row r="640" spans="31:53" x14ac:dyDescent="0.55000000000000004">
      <c r="AE640" s="7">
        <f ca="1"/>
      </c>
      <c r="AF640">
        <f ca="1"/>
      </c>
      <c r="AG640">
        <f ca="1"/>
      </c>
      <c r="AH640">
        <f ca="1"/>
      </c>
      <c r="AI640">
        <f ca="1"/>
      </c>
      <c r="AJ640">
        <f ca="1"/>
      </c>
      <c r="AK640">
        <f ca="1"/>
      </c>
      <c r="AL640">
        <f ca="1"/>
      </c>
      <c r="AM640">
        <f ca="1"/>
      </c>
      <c r="AN640">
        <f ca="1"/>
      </c>
      <c r="AO640">
        <f ca="1"/>
      </c>
      <c r="AP640">
        <f ca="1"/>
      </c>
      <c r="AQ640">
        <f ca="1"/>
      </c>
      <c r="AR640">
        <f ca="1"/>
      </c>
      <c r="AT640" s="7">
        <f ca="1"/>
      </c>
      <c r="AU640">
        <f ca="1"/>
      </c>
      <c r="AV640">
        <f ca="1"/>
      </c>
      <c r="AW640">
        <f ca="1"/>
      </c>
      <c r="AX640">
        <f ca="1"/>
      </c>
      <c r="AY640">
        <f ca="1"/>
      </c>
      <c r="BA640" s="7"/>
    </row>
    <row r="641" spans="31:53" x14ac:dyDescent="0.55000000000000004">
      <c r="AE641" s="7">
        <f ca="1"/>
      </c>
      <c r="AF641">
        <f ca="1"/>
      </c>
      <c r="AG641">
        <f ca="1"/>
      </c>
      <c r="AH641">
        <f ca="1"/>
      </c>
      <c r="AI641">
        <f ca="1"/>
      </c>
      <c r="AJ641">
        <f ca="1"/>
      </c>
      <c r="AK641">
        <f ca="1"/>
      </c>
      <c r="AL641">
        <f ca="1"/>
      </c>
      <c r="AM641">
        <f ca="1"/>
      </c>
      <c r="AN641">
        <f ca="1"/>
      </c>
      <c r="AO641">
        <f ca="1"/>
      </c>
      <c r="AP641">
        <f ca="1"/>
      </c>
      <c r="AQ641">
        <f ca="1"/>
      </c>
      <c r="AR641">
        <f ca="1"/>
      </c>
      <c r="AT641" s="7">
        <f ca="1"/>
      </c>
      <c r="AU641">
        <f ca="1"/>
      </c>
      <c r="AV641">
        <f ca="1"/>
      </c>
      <c r="AW641">
        <f ca="1"/>
      </c>
      <c r="AX641">
        <f ca="1"/>
      </c>
      <c r="AY641">
        <f ca="1"/>
      </c>
      <c r="BA641" s="7"/>
    </row>
    <row r="642" spans="31:53" x14ac:dyDescent="0.55000000000000004">
      <c r="AE642" s="7">
        <f ca="1"/>
      </c>
      <c r="AF642">
        <f ca="1"/>
      </c>
      <c r="AG642">
        <f ca="1"/>
      </c>
      <c r="AH642">
        <f ca="1"/>
      </c>
      <c r="AI642">
        <f ca="1"/>
      </c>
      <c r="AJ642">
        <f ca="1"/>
      </c>
      <c r="AK642">
        <f ca="1"/>
      </c>
      <c r="AL642">
        <f ca="1"/>
      </c>
      <c r="AM642">
        <f ca="1"/>
      </c>
      <c r="AN642">
        <f ca="1"/>
      </c>
      <c r="AO642">
        <f ca="1"/>
      </c>
      <c r="AP642">
        <f ca="1"/>
      </c>
      <c r="AQ642">
        <f ca="1"/>
      </c>
      <c r="AR642">
        <f ca="1"/>
      </c>
      <c r="AT642" s="7">
        <f ca="1"/>
      </c>
      <c r="AU642">
        <f ca="1"/>
      </c>
      <c r="AV642">
        <f ca="1"/>
      </c>
      <c r="AW642">
        <f ca="1"/>
      </c>
      <c r="AX642">
        <f ca="1"/>
      </c>
      <c r="AY642">
        <f ca="1"/>
      </c>
      <c r="BA642" s="7"/>
    </row>
    <row r="643" spans="31:53" x14ac:dyDescent="0.55000000000000004">
      <c r="AE643" s="7">
        <f ca="1"/>
      </c>
      <c r="AF643">
        <f ca="1"/>
      </c>
      <c r="AG643">
        <f ca="1"/>
      </c>
      <c r="AH643">
        <f ca="1"/>
      </c>
      <c r="AI643">
        <f ca="1"/>
      </c>
      <c r="AJ643">
        <f ca="1"/>
      </c>
      <c r="AK643">
        <f ca="1"/>
      </c>
      <c r="AL643">
        <f ca="1"/>
      </c>
      <c r="AM643">
        <f ca="1"/>
      </c>
      <c r="AN643">
        <f ca="1"/>
      </c>
      <c r="AO643">
        <f ca="1"/>
      </c>
      <c r="AP643">
        <f ca="1"/>
      </c>
      <c r="AQ643">
        <f ca="1"/>
      </c>
      <c r="AR643">
        <f ca="1"/>
      </c>
      <c r="AT643" s="7">
        <f ca="1"/>
      </c>
      <c r="AU643">
        <f ca="1"/>
      </c>
      <c r="AV643">
        <f ca="1"/>
      </c>
      <c r="AW643">
        <f ca="1"/>
      </c>
      <c r="AX643">
        <f ca="1"/>
      </c>
      <c r="AY643">
        <f ca="1"/>
      </c>
      <c r="BA643" s="7"/>
    </row>
    <row r="644" spans="31:53" x14ac:dyDescent="0.55000000000000004">
      <c r="AE644" s="7">
        <f ca="1"/>
      </c>
      <c r="AF644">
        <f ca="1"/>
      </c>
      <c r="AG644">
        <f ca="1"/>
      </c>
      <c r="AH644">
        <f ca="1"/>
      </c>
      <c r="AI644">
        <f ca="1"/>
      </c>
      <c r="AJ644">
        <f ca="1"/>
      </c>
      <c r="AK644">
        <f ca="1"/>
      </c>
      <c r="AL644">
        <f ca="1"/>
      </c>
      <c r="AM644">
        <f ca="1"/>
      </c>
      <c r="AN644">
        <f ca="1"/>
      </c>
      <c r="AO644">
        <f ca="1"/>
      </c>
      <c r="AP644">
        <f ca="1"/>
      </c>
      <c r="AQ644">
        <f ca="1"/>
      </c>
      <c r="AR644">
        <f ca="1"/>
      </c>
      <c r="AT644" s="7">
        <f ca="1"/>
      </c>
      <c r="AU644">
        <f ca="1"/>
      </c>
      <c r="AV644">
        <f ca="1"/>
      </c>
      <c r="AW644">
        <f ca="1"/>
      </c>
      <c r="AX644">
        <f ca="1"/>
      </c>
      <c r="AY644">
        <f ca="1"/>
      </c>
      <c r="BA644" s="7"/>
    </row>
    <row r="645" spans="31:53" x14ac:dyDescent="0.55000000000000004">
      <c r="AE645" s="7">
        <f ca="1"/>
      </c>
      <c r="AF645">
        <f ca="1"/>
      </c>
      <c r="AG645">
        <f ca="1"/>
      </c>
      <c r="AH645">
        <f ca="1"/>
      </c>
      <c r="AI645">
        <f ca="1"/>
      </c>
      <c r="AJ645">
        <f ca="1"/>
      </c>
      <c r="AK645">
        <f ca="1"/>
      </c>
      <c r="AL645">
        <f ca="1"/>
      </c>
      <c r="AM645">
        <f ca="1"/>
      </c>
      <c r="AN645">
        <f ca="1"/>
      </c>
      <c r="AO645">
        <f ca="1"/>
      </c>
      <c r="AP645">
        <f ca="1"/>
      </c>
      <c r="AQ645">
        <f ca="1"/>
      </c>
      <c r="AR645">
        <f ca="1"/>
      </c>
      <c r="AT645" s="7">
        <f ca="1"/>
      </c>
      <c r="AU645">
        <f ca="1"/>
      </c>
      <c r="AV645">
        <f ca="1"/>
      </c>
      <c r="AW645">
        <f ca="1"/>
      </c>
      <c r="AX645">
        <f ca="1"/>
      </c>
      <c r="AY645">
        <f ca="1"/>
      </c>
      <c r="BA645" s="7"/>
    </row>
    <row r="646" spans="31:53" x14ac:dyDescent="0.55000000000000004">
      <c r="AE646" s="7">
        <f ca="1"/>
      </c>
      <c r="AF646">
        <f ca="1"/>
      </c>
      <c r="AG646">
        <f ca="1"/>
      </c>
      <c r="AH646">
        <f ca="1"/>
      </c>
      <c r="AI646">
        <f ca="1"/>
      </c>
      <c r="AJ646">
        <f ca="1"/>
      </c>
      <c r="AK646">
        <f ca="1"/>
      </c>
      <c r="AL646">
        <f ca="1"/>
      </c>
      <c r="AM646">
        <f ca="1"/>
      </c>
      <c r="AN646">
        <f ca="1"/>
      </c>
      <c r="AO646">
        <f ca="1"/>
      </c>
      <c r="AP646">
        <f ca="1"/>
      </c>
      <c r="AQ646">
        <f ca="1"/>
      </c>
      <c r="AR646">
        <f ca="1"/>
      </c>
      <c r="AT646" s="7">
        <f ca="1"/>
      </c>
      <c r="AU646">
        <f ca="1"/>
      </c>
      <c r="AV646">
        <f ca="1"/>
      </c>
      <c r="AW646">
        <f ca="1"/>
      </c>
      <c r="AX646">
        <f ca="1"/>
      </c>
      <c r="AY646">
        <f ca="1"/>
      </c>
      <c r="BA646" s="7"/>
    </row>
    <row r="647" spans="31:53" x14ac:dyDescent="0.55000000000000004">
      <c r="AE647" s="7">
        <f ca="1"/>
      </c>
      <c r="AF647">
        <f ca="1"/>
      </c>
      <c r="AG647">
        <f ca="1"/>
      </c>
      <c r="AH647">
        <f ca="1"/>
      </c>
      <c r="AI647">
        <f ca="1"/>
      </c>
      <c r="AJ647">
        <f ca="1"/>
      </c>
      <c r="AK647">
        <f ca="1"/>
      </c>
      <c r="AL647">
        <f ca="1"/>
      </c>
      <c r="AM647">
        <f ca="1"/>
      </c>
      <c r="AN647">
        <f ca="1"/>
      </c>
      <c r="AO647">
        <f ca="1"/>
      </c>
      <c r="AP647">
        <f ca="1"/>
      </c>
      <c r="AQ647">
        <f ca="1"/>
      </c>
      <c r="AR647">
        <f ca="1"/>
      </c>
      <c r="AT647" s="7">
        <f ca="1"/>
      </c>
      <c r="AU647">
        <f ca="1"/>
      </c>
      <c r="AV647">
        <f ca="1"/>
      </c>
      <c r="AW647">
        <f ca="1"/>
      </c>
      <c r="AX647">
        <f ca="1"/>
      </c>
      <c r="AY647">
        <f ca="1"/>
      </c>
      <c r="BA647" s="7"/>
    </row>
    <row r="648" spans="31:53" x14ac:dyDescent="0.55000000000000004">
      <c r="AE648" s="7">
        <f ca="1"/>
      </c>
      <c r="AF648">
        <f ca="1"/>
      </c>
      <c r="AG648">
        <f ca="1"/>
      </c>
      <c r="AH648">
        <f ca="1"/>
      </c>
      <c r="AI648">
        <f ca="1"/>
      </c>
      <c r="AJ648">
        <f ca="1"/>
      </c>
      <c r="AK648">
        <f ca="1"/>
      </c>
      <c r="AL648">
        <f ca="1"/>
      </c>
      <c r="AM648">
        <f ca="1"/>
      </c>
      <c r="AN648">
        <f ca="1"/>
      </c>
      <c r="AO648">
        <f ca="1"/>
      </c>
      <c r="AP648">
        <f ca="1"/>
      </c>
      <c r="AQ648">
        <f ca="1"/>
      </c>
      <c r="AR648">
        <f ca="1"/>
      </c>
      <c r="AT648" s="7">
        <f ca="1"/>
      </c>
      <c r="AU648">
        <f ca="1"/>
      </c>
      <c r="AV648">
        <f ca="1"/>
      </c>
      <c r="AW648">
        <f ca="1"/>
      </c>
      <c r="AX648">
        <f ca="1"/>
      </c>
      <c r="AY648">
        <f ca="1"/>
      </c>
      <c r="BA648" s="7"/>
    </row>
    <row r="649" spans="31:53" x14ac:dyDescent="0.55000000000000004">
      <c r="AE649" s="7">
        <f ca="1"/>
      </c>
      <c r="AF649">
        <f ca="1"/>
      </c>
      <c r="AG649">
        <f ca="1"/>
      </c>
      <c r="AH649">
        <f ca="1"/>
      </c>
      <c r="AI649">
        <f ca="1"/>
      </c>
      <c r="AJ649">
        <f ca="1"/>
      </c>
      <c r="AK649">
        <f ca="1"/>
      </c>
      <c r="AL649">
        <f ca="1"/>
      </c>
      <c r="AM649">
        <f ca="1"/>
      </c>
      <c r="AN649">
        <f ca="1"/>
      </c>
      <c r="AO649">
        <f ca="1"/>
      </c>
      <c r="AP649">
        <f ca="1"/>
      </c>
      <c r="AQ649">
        <f ca="1"/>
      </c>
      <c r="AR649">
        <f ca="1"/>
      </c>
      <c r="AT649" s="7">
        <f ca="1"/>
      </c>
      <c r="AU649">
        <f ca="1"/>
      </c>
      <c r="AV649">
        <f ca="1"/>
      </c>
      <c r="AW649">
        <f ca="1"/>
      </c>
      <c r="AX649">
        <f ca="1"/>
      </c>
      <c r="AY649">
        <f ca="1"/>
      </c>
      <c r="BA649" s="7"/>
    </row>
    <row r="650" spans="31:53" x14ac:dyDescent="0.55000000000000004">
      <c r="AE650" s="7">
        <f ca="1"/>
      </c>
      <c r="AF650">
        <f ca="1"/>
      </c>
      <c r="AG650">
        <f ca="1"/>
      </c>
      <c r="AH650">
        <f ca="1"/>
      </c>
      <c r="AI650">
        <f ca="1"/>
      </c>
      <c r="AJ650">
        <f ca="1"/>
      </c>
      <c r="AK650">
        <f ca="1"/>
      </c>
      <c r="AL650">
        <f ca="1"/>
      </c>
      <c r="AM650">
        <f ca="1"/>
      </c>
      <c r="AN650">
        <f ca="1"/>
      </c>
      <c r="AO650">
        <f ca="1"/>
      </c>
      <c r="AP650">
        <f ca="1"/>
      </c>
      <c r="AQ650">
        <f ca="1"/>
      </c>
      <c r="AR650">
        <f ca="1"/>
      </c>
      <c r="AT650" s="7">
        <f ca="1"/>
      </c>
      <c r="AU650">
        <f ca="1"/>
      </c>
      <c r="AV650">
        <f ca="1"/>
      </c>
      <c r="AW650">
        <f ca="1"/>
      </c>
      <c r="AX650">
        <f ca="1"/>
      </c>
      <c r="AY650">
        <f ca="1"/>
      </c>
      <c r="BA650" s="7"/>
    </row>
    <row r="651" spans="31:53" x14ac:dyDescent="0.55000000000000004">
      <c r="AE651" s="7">
        <f ca="1"/>
      </c>
      <c r="AF651">
        <f ca="1"/>
      </c>
      <c r="AG651">
        <f ca="1"/>
      </c>
      <c r="AH651">
        <f ca="1"/>
      </c>
      <c r="AI651">
        <f ca="1"/>
      </c>
      <c r="AJ651">
        <f ca="1"/>
      </c>
      <c r="AK651">
        <f ca="1"/>
      </c>
      <c r="AL651">
        <f ca="1"/>
      </c>
      <c r="AM651">
        <f ca="1"/>
      </c>
      <c r="AN651">
        <f ca="1"/>
      </c>
      <c r="AO651">
        <f ca="1"/>
      </c>
      <c r="AP651">
        <f ca="1"/>
      </c>
      <c r="AQ651">
        <f ca="1"/>
      </c>
      <c r="AR651">
        <f ca="1"/>
      </c>
      <c r="AT651" s="7">
        <f ca="1"/>
      </c>
      <c r="AU651">
        <f ca="1"/>
      </c>
      <c r="AV651">
        <f ca="1"/>
      </c>
      <c r="AW651">
        <f ca="1"/>
      </c>
      <c r="AX651">
        <f ca="1"/>
      </c>
      <c r="AY651">
        <f ca="1"/>
      </c>
      <c r="BA651" s="7"/>
    </row>
    <row r="652" spans="31:53" x14ac:dyDescent="0.55000000000000004">
      <c r="AE652" s="7">
        <f ca="1"/>
      </c>
      <c r="AF652">
        <f ca="1"/>
      </c>
      <c r="AG652">
        <f ca="1"/>
      </c>
      <c r="AH652">
        <f ca="1"/>
      </c>
      <c r="AI652">
        <f ca="1"/>
      </c>
      <c r="AJ652">
        <f ca="1"/>
      </c>
      <c r="AK652">
        <f ca="1"/>
      </c>
      <c r="AL652">
        <f ca="1"/>
      </c>
      <c r="AM652">
        <f ca="1"/>
      </c>
      <c r="AN652">
        <f ca="1"/>
      </c>
      <c r="AO652">
        <f ca="1"/>
      </c>
      <c r="AP652">
        <f ca="1"/>
      </c>
      <c r="AQ652">
        <f ca="1"/>
      </c>
      <c r="AR652">
        <f ca="1"/>
      </c>
      <c r="AT652" s="7">
        <f ca="1"/>
      </c>
      <c r="AU652">
        <f ca="1"/>
      </c>
      <c r="AV652">
        <f ca="1"/>
      </c>
      <c r="AW652">
        <f ca="1"/>
      </c>
      <c r="AX652">
        <f ca="1"/>
      </c>
      <c r="AY652">
        <f ca="1"/>
      </c>
      <c r="BA652" s="7"/>
    </row>
    <row r="653" spans="31:53" x14ac:dyDescent="0.55000000000000004">
      <c r="AE653" s="7">
        <f ca="1"/>
      </c>
      <c r="AF653">
        <f ca="1"/>
      </c>
      <c r="AG653">
        <f ca="1"/>
      </c>
      <c r="AH653">
        <f ca="1"/>
      </c>
      <c r="AI653">
        <f ca="1"/>
      </c>
      <c r="AJ653">
        <f ca="1"/>
      </c>
      <c r="AK653">
        <f ca="1"/>
      </c>
      <c r="AL653">
        <f ca="1"/>
      </c>
      <c r="AM653">
        <f ca="1"/>
      </c>
      <c r="AN653">
        <f ca="1"/>
      </c>
      <c r="AO653">
        <f ca="1"/>
      </c>
      <c r="AP653">
        <f ca="1"/>
      </c>
      <c r="AQ653">
        <f ca="1"/>
      </c>
      <c r="AR653">
        <f ca="1"/>
      </c>
      <c r="AT653" s="7">
        <f ca="1"/>
      </c>
      <c r="AU653">
        <f ca="1"/>
      </c>
      <c r="AV653">
        <f ca="1"/>
      </c>
      <c r="AW653">
        <f ca="1"/>
      </c>
      <c r="AX653">
        <f ca="1"/>
      </c>
      <c r="AY653">
        <f ca="1"/>
      </c>
      <c r="BA653" s="7"/>
    </row>
    <row r="654" spans="31:53" x14ac:dyDescent="0.55000000000000004">
      <c r="AE654" s="7">
        <f ca="1"/>
      </c>
      <c r="AF654">
        <f ca="1"/>
      </c>
      <c r="AG654">
        <f ca="1"/>
      </c>
      <c r="AH654">
        <f ca="1"/>
      </c>
      <c r="AI654">
        <f ca="1"/>
      </c>
      <c r="AJ654">
        <f ca="1"/>
      </c>
      <c r="AK654">
        <f ca="1"/>
      </c>
      <c r="AL654">
        <f ca="1"/>
      </c>
      <c r="AM654">
        <f ca="1"/>
      </c>
      <c r="AN654">
        <f ca="1"/>
      </c>
      <c r="AO654">
        <f ca="1"/>
      </c>
      <c r="AP654">
        <f ca="1"/>
      </c>
      <c r="AQ654">
        <f ca="1"/>
      </c>
      <c r="AR654">
        <f ca="1"/>
      </c>
      <c r="AT654" s="7">
        <f ca="1"/>
      </c>
      <c r="AU654">
        <f ca="1"/>
      </c>
      <c r="AV654">
        <f ca="1"/>
      </c>
      <c r="AW654">
        <f ca="1"/>
      </c>
      <c r="AX654">
        <f ca="1"/>
      </c>
      <c r="AY654">
        <f ca="1"/>
      </c>
      <c r="BA654" s="7"/>
    </row>
    <row r="655" spans="31:53" x14ac:dyDescent="0.55000000000000004">
      <c r="AE655" s="7">
        <f ca="1"/>
      </c>
      <c r="AF655">
        <f ca="1"/>
      </c>
      <c r="AG655">
        <f ca="1"/>
      </c>
      <c r="AH655">
        <f ca="1"/>
      </c>
      <c r="AI655">
        <f ca="1"/>
      </c>
      <c r="AJ655">
        <f ca="1"/>
      </c>
      <c r="AK655">
        <f ca="1"/>
      </c>
      <c r="AL655">
        <f ca="1"/>
      </c>
      <c r="AM655">
        <f ca="1"/>
      </c>
      <c r="AN655">
        <f ca="1"/>
      </c>
      <c r="AO655">
        <f ca="1"/>
      </c>
      <c r="AP655">
        <f ca="1"/>
      </c>
      <c r="AQ655">
        <f ca="1"/>
      </c>
      <c r="AR655">
        <f ca="1"/>
      </c>
      <c r="AT655" s="7">
        <f ca="1"/>
      </c>
      <c r="AU655">
        <f ca="1"/>
      </c>
      <c r="AV655">
        <f ca="1"/>
      </c>
      <c r="AW655">
        <f ca="1"/>
      </c>
      <c r="AX655">
        <f ca="1"/>
      </c>
      <c r="AY655">
        <f ca="1"/>
      </c>
      <c r="BA655" s="7"/>
    </row>
    <row r="656" spans="31:53" x14ac:dyDescent="0.55000000000000004">
      <c r="AE656" s="7">
        <f ca="1"/>
      </c>
      <c r="AF656">
        <f ca="1"/>
      </c>
      <c r="AG656">
        <f ca="1"/>
      </c>
      <c r="AH656">
        <f ca="1"/>
      </c>
      <c r="AI656">
        <f ca="1"/>
      </c>
      <c r="AJ656">
        <f ca="1"/>
      </c>
      <c r="AK656">
        <f ca="1"/>
      </c>
      <c r="AL656">
        <f ca="1"/>
      </c>
      <c r="AM656">
        <f ca="1"/>
      </c>
      <c r="AN656">
        <f ca="1"/>
      </c>
      <c r="AO656">
        <f ca="1"/>
      </c>
      <c r="AP656">
        <f ca="1"/>
      </c>
      <c r="AQ656">
        <f ca="1"/>
      </c>
      <c r="AR656">
        <f ca="1"/>
      </c>
      <c r="AT656" s="7">
        <f ca="1"/>
      </c>
      <c r="AU656">
        <f ca="1"/>
      </c>
      <c r="AV656">
        <f ca="1"/>
      </c>
      <c r="AW656">
        <f ca="1"/>
      </c>
      <c r="AX656">
        <f ca="1"/>
      </c>
      <c r="AY656">
        <f ca="1"/>
      </c>
      <c r="BA656" s="7"/>
    </row>
    <row r="657" spans="31:53" x14ac:dyDescent="0.55000000000000004">
      <c r="AE657" s="7">
        <f ca="1"/>
      </c>
      <c r="AF657">
        <f ca="1"/>
      </c>
      <c r="AG657">
        <f ca="1"/>
      </c>
      <c r="AH657">
        <f ca="1"/>
      </c>
      <c r="AI657">
        <f ca="1"/>
      </c>
      <c r="AJ657">
        <f ca="1"/>
      </c>
      <c r="AK657">
        <f ca="1"/>
      </c>
      <c r="AL657">
        <f ca="1"/>
      </c>
      <c r="AM657">
        <f ca="1"/>
      </c>
      <c r="AN657">
        <f ca="1"/>
      </c>
      <c r="AO657">
        <f ca="1"/>
      </c>
      <c r="AP657">
        <f ca="1"/>
      </c>
      <c r="AQ657">
        <f ca="1"/>
      </c>
      <c r="AR657">
        <f ca="1"/>
      </c>
      <c r="AT657" s="7">
        <f ca="1"/>
      </c>
      <c r="AU657">
        <f ca="1"/>
      </c>
      <c r="AV657">
        <f ca="1"/>
      </c>
      <c r="AW657">
        <f ca="1"/>
      </c>
      <c r="AX657">
        <f ca="1"/>
      </c>
      <c r="AY657">
        <f ca="1"/>
      </c>
      <c r="BA657" s="7"/>
    </row>
    <row r="658" spans="31:53" x14ac:dyDescent="0.55000000000000004">
      <c r="AE658" s="7">
        <f ca="1"/>
      </c>
      <c r="AF658">
        <f ca="1"/>
      </c>
      <c r="AG658">
        <f ca="1"/>
      </c>
      <c r="AH658">
        <f ca="1"/>
      </c>
      <c r="AI658">
        <f ca="1"/>
      </c>
      <c r="AJ658">
        <f ca="1"/>
      </c>
      <c r="AK658">
        <f ca="1"/>
      </c>
      <c r="AL658">
        <f ca="1"/>
      </c>
      <c r="AM658">
        <f ca="1"/>
      </c>
      <c r="AN658">
        <f ca="1"/>
      </c>
      <c r="AO658">
        <f ca="1"/>
      </c>
      <c r="AP658">
        <f ca="1"/>
      </c>
      <c r="AQ658">
        <f ca="1"/>
      </c>
      <c r="AR658">
        <f ca="1"/>
      </c>
      <c r="AT658" s="7">
        <f ca="1"/>
      </c>
      <c r="AU658">
        <f ca="1"/>
      </c>
      <c r="AV658">
        <f ca="1"/>
      </c>
      <c r="AW658">
        <f ca="1"/>
      </c>
      <c r="AX658">
        <f ca="1"/>
      </c>
      <c r="AY658">
        <f ca="1"/>
      </c>
      <c r="BA658" s="7"/>
    </row>
    <row r="659" spans="31:53" x14ac:dyDescent="0.55000000000000004">
      <c r="AE659" s="7">
        <f ca="1"/>
      </c>
      <c r="AF659">
        <f ca="1"/>
      </c>
      <c r="AG659">
        <f ca="1"/>
      </c>
      <c r="AH659">
        <f ca="1"/>
      </c>
      <c r="AI659">
        <f ca="1"/>
      </c>
      <c r="AJ659">
        <f ca="1"/>
      </c>
      <c r="AK659">
        <f ca="1"/>
      </c>
      <c r="AL659">
        <f ca="1"/>
      </c>
      <c r="AM659">
        <f ca="1"/>
      </c>
      <c r="AN659">
        <f ca="1"/>
      </c>
      <c r="AO659">
        <f ca="1"/>
      </c>
      <c r="AP659">
        <f ca="1"/>
      </c>
      <c r="AQ659">
        <f ca="1"/>
      </c>
      <c r="AR659">
        <f ca="1"/>
      </c>
      <c r="AT659" s="7">
        <f ca="1"/>
      </c>
      <c r="AU659">
        <f ca="1"/>
      </c>
      <c r="AV659">
        <f ca="1"/>
      </c>
      <c r="AW659">
        <f ca="1"/>
      </c>
      <c r="AX659">
        <f ca="1"/>
      </c>
      <c r="AY659">
        <f ca="1"/>
      </c>
      <c r="BA659" s="7"/>
    </row>
    <row r="660" spans="31:53" x14ac:dyDescent="0.55000000000000004">
      <c r="AE660" s="7">
        <f ca="1"/>
      </c>
      <c r="AF660">
        <f ca="1"/>
      </c>
      <c r="AG660">
        <f ca="1"/>
      </c>
      <c r="AH660">
        <f ca="1"/>
      </c>
      <c r="AI660">
        <f ca="1"/>
      </c>
      <c r="AJ660">
        <f ca="1"/>
      </c>
      <c r="AK660">
        <f ca="1"/>
      </c>
      <c r="AL660">
        <f ca="1"/>
      </c>
      <c r="AM660">
        <f ca="1"/>
      </c>
      <c r="AN660">
        <f ca="1"/>
      </c>
      <c r="AO660">
        <f ca="1"/>
      </c>
      <c r="AP660">
        <f ca="1"/>
      </c>
      <c r="AQ660">
        <f ca="1"/>
      </c>
      <c r="AR660">
        <f ca="1"/>
      </c>
      <c r="AT660" s="7">
        <f ca="1"/>
      </c>
      <c r="AU660">
        <f ca="1"/>
      </c>
      <c r="AV660">
        <f ca="1"/>
      </c>
      <c r="AW660">
        <f ca="1"/>
      </c>
      <c r="AX660">
        <f ca="1"/>
      </c>
      <c r="AY660">
        <f ca="1"/>
      </c>
      <c r="BA660" s="7"/>
    </row>
    <row r="661" spans="31:53" x14ac:dyDescent="0.55000000000000004">
      <c r="AE661" s="7">
        <f ca="1"/>
      </c>
      <c r="AF661">
        <f ca="1"/>
      </c>
      <c r="AG661">
        <f ca="1"/>
      </c>
      <c r="AH661">
        <f ca="1"/>
      </c>
      <c r="AI661">
        <f ca="1"/>
      </c>
      <c r="AJ661">
        <f ca="1"/>
      </c>
      <c r="AK661">
        <f ca="1"/>
      </c>
      <c r="AL661">
        <f ca="1"/>
      </c>
      <c r="AM661">
        <f ca="1"/>
      </c>
      <c r="AN661">
        <f ca="1"/>
      </c>
      <c r="AO661">
        <f ca="1"/>
      </c>
      <c r="AP661">
        <f ca="1"/>
      </c>
      <c r="AQ661">
        <f ca="1"/>
      </c>
      <c r="AR661">
        <f ca="1"/>
      </c>
      <c r="AT661" s="7">
        <f ca="1"/>
      </c>
      <c r="AU661">
        <f ca="1"/>
      </c>
      <c r="AV661">
        <f ca="1"/>
      </c>
      <c r="AW661">
        <f ca="1"/>
      </c>
      <c r="AX661">
        <f ca="1"/>
      </c>
      <c r="AY661">
        <f ca="1"/>
      </c>
      <c r="BA661" s="7"/>
    </row>
    <row r="662" spans="31:53" x14ac:dyDescent="0.55000000000000004">
      <c r="AE662" s="7">
        <f ca="1"/>
      </c>
      <c r="AF662">
        <f ca="1"/>
      </c>
      <c r="AG662">
        <f ca="1"/>
      </c>
      <c r="AH662">
        <f ca="1"/>
      </c>
      <c r="AI662">
        <f ca="1"/>
      </c>
      <c r="AJ662">
        <f ca="1"/>
      </c>
      <c r="AK662">
        <f ca="1"/>
      </c>
      <c r="AL662">
        <f ca="1"/>
      </c>
      <c r="AM662">
        <f ca="1"/>
      </c>
      <c r="AN662">
        <f ca="1"/>
      </c>
      <c r="AO662">
        <f ca="1"/>
      </c>
      <c r="AP662">
        <f ca="1"/>
      </c>
      <c r="AQ662">
        <f ca="1"/>
      </c>
      <c r="AR662">
        <f ca="1"/>
      </c>
      <c r="AT662" s="7">
        <f ca="1"/>
      </c>
      <c r="AU662">
        <f ca="1"/>
      </c>
      <c r="AV662">
        <f ca="1"/>
      </c>
      <c r="AW662">
        <f ca="1"/>
      </c>
      <c r="AX662">
        <f ca="1"/>
      </c>
      <c r="AY662">
        <f ca="1"/>
      </c>
      <c r="BA662" s="7"/>
    </row>
    <row r="663" spans="31:53" x14ac:dyDescent="0.55000000000000004">
      <c r="AE663" s="7">
        <f ca="1"/>
      </c>
      <c r="AF663">
        <f ca="1"/>
      </c>
      <c r="AG663">
        <f ca="1"/>
      </c>
      <c r="AH663">
        <f ca="1"/>
      </c>
      <c r="AI663">
        <f ca="1"/>
      </c>
      <c r="AJ663">
        <f ca="1"/>
      </c>
      <c r="AK663">
        <f ca="1"/>
      </c>
      <c r="AL663">
        <f ca="1"/>
      </c>
      <c r="AM663">
        <f ca="1"/>
      </c>
      <c r="AN663">
        <f ca="1"/>
      </c>
      <c r="AO663">
        <f ca="1"/>
      </c>
      <c r="AP663">
        <f ca="1"/>
      </c>
      <c r="AQ663">
        <f ca="1"/>
      </c>
      <c r="AR663">
        <f ca="1"/>
      </c>
      <c r="AT663" s="7">
        <f ca="1"/>
      </c>
      <c r="AU663">
        <f ca="1"/>
      </c>
      <c r="AV663">
        <f ca="1"/>
      </c>
      <c r="AW663">
        <f ca="1"/>
      </c>
      <c r="AX663">
        <f ca="1"/>
      </c>
      <c r="AY663">
        <f ca="1"/>
      </c>
      <c r="BA663" s="7"/>
    </row>
    <row r="664" spans="31:53" x14ac:dyDescent="0.55000000000000004">
      <c r="AE664" s="7">
        <f ca="1"/>
      </c>
      <c r="AF664">
        <f ca="1"/>
      </c>
      <c r="AG664">
        <f ca="1"/>
      </c>
      <c r="AH664">
        <f ca="1"/>
      </c>
      <c r="AI664">
        <f ca="1"/>
      </c>
      <c r="AJ664">
        <f ca="1"/>
      </c>
      <c r="AK664">
        <f ca="1"/>
      </c>
      <c r="AL664">
        <f ca="1"/>
      </c>
      <c r="AM664">
        <f ca="1"/>
      </c>
      <c r="AN664">
        <f ca="1"/>
      </c>
      <c r="AO664">
        <f ca="1"/>
      </c>
      <c r="AP664">
        <f ca="1"/>
      </c>
      <c r="AQ664">
        <f ca="1"/>
      </c>
      <c r="AR664">
        <f ca="1"/>
      </c>
      <c r="AT664" s="7">
        <f ca="1"/>
      </c>
      <c r="AU664">
        <f ca="1"/>
      </c>
      <c r="AV664">
        <f ca="1"/>
      </c>
      <c r="AW664">
        <f ca="1"/>
      </c>
      <c r="AX664">
        <f ca="1"/>
      </c>
      <c r="AY664">
        <f ca="1"/>
      </c>
      <c r="BA664" s="7"/>
    </row>
    <row r="665" spans="31:53" x14ac:dyDescent="0.55000000000000004">
      <c r="AE665" s="7">
        <f ca="1"/>
      </c>
      <c r="AF665">
        <f ca="1"/>
      </c>
      <c r="AG665">
        <f ca="1"/>
      </c>
      <c r="AH665">
        <f ca="1"/>
      </c>
      <c r="AI665">
        <f ca="1"/>
      </c>
      <c r="AJ665">
        <f ca="1"/>
      </c>
      <c r="AK665">
        <f ca="1"/>
      </c>
      <c r="AL665">
        <f ca="1"/>
      </c>
      <c r="AM665">
        <f ca="1"/>
      </c>
      <c r="AN665">
        <f ca="1"/>
      </c>
      <c r="AO665">
        <f ca="1"/>
      </c>
      <c r="AP665">
        <f ca="1"/>
      </c>
      <c r="AQ665">
        <f ca="1"/>
      </c>
      <c r="AR665">
        <f ca="1"/>
      </c>
      <c r="AT665" s="7">
        <f ca="1"/>
      </c>
      <c r="AU665">
        <f ca="1"/>
      </c>
      <c r="AV665">
        <f ca="1"/>
      </c>
      <c r="AW665">
        <f ca="1"/>
      </c>
      <c r="AX665">
        <f ca="1"/>
      </c>
      <c r="AY665">
        <f ca="1"/>
      </c>
      <c r="BA665" s="7"/>
    </row>
    <row r="666" spans="31:53" x14ac:dyDescent="0.55000000000000004">
      <c r="AE666" s="7">
        <f ca="1"/>
      </c>
      <c r="AF666">
        <f ca="1"/>
      </c>
      <c r="AG666">
        <f ca="1"/>
      </c>
      <c r="AH666">
        <f ca="1"/>
      </c>
      <c r="AI666">
        <f ca="1"/>
      </c>
      <c r="AJ666">
        <f ca="1"/>
      </c>
      <c r="AK666">
        <f ca="1"/>
      </c>
      <c r="AL666">
        <f ca="1"/>
      </c>
      <c r="AM666">
        <f ca="1"/>
      </c>
      <c r="AN666">
        <f ca="1"/>
      </c>
      <c r="AO666">
        <f ca="1"/>
      </c>
      <c r="AP666">
        <f ca="1"/>
      </c>
      <c r="AQ666">
        <f ca="1"/>
      </c>
      <c r="AR666">
        <f ca="1"/>
      </c>
      <c r="AT666" s="7">
        <f ca="1"/>
      </c>
      <c r="AU666">
        <f ca="1"/>
      </c>
      <c r="AV666">
        <f ca="1"/>
      </c>
      <c r="AW666">
        <f ca="1"/>
      </c>
      <c r="AX666">
        <f ca="1"/>
      </c>
      <c r="AY666">
        <f ca="1"/>
      </c>
      <c r="BA666" s="7"/>
    </row>
    <row r="667" spans="31:53" x14ac:dyDescent="0.55000000000000004">
      <c r="AE667" s="7">
        <f ca="1"/>
      </c>
      <c r="AF667">
        <f ca="1"/>
      </c>
      <c r="AG667">
        <f ca="1"/>
      </c>
      <c r="AH667">
        <f ca="1"/>
      </c>
      <c r="AI667">
        <f ca="1"/>
      </c>
      <c r="AJ667">
        <f ca="1"/>
      </c>
      <c r="AK667">
        <f ca="1"/>
      </c>
      <c r="AL667">
        <f ca="1"/>
      </c>
      <c r="AM667">
        <f ca="1"/>
      </c>
      <c r="AN667">
        <f ca="1"/>
      </c>
      <c r="AO667">
        <f ca="1"/>
      </c>
      <c r="AP667">
        <f ca="1"/>
      </c>
      <c r="AQ667">
        <f ca="1"/>
      </c>
      <c r="AR667">
        <f ca="1"/>
      </c>
      <c r="AT667" s="7">
        <f ca="1"/>
      </c>
      <c r="AU667">
        <f ca="1"/>
      </c>
      <c r="AV667">
        <f ca="1"/>
      </c>
      <c r="AW667">
        <f ca="1"/>
      </c>
      <c r="AX667">
        <f ca="1"/>
      </c>
      <c r="AY667">
        <f ca="1"/>
      </c>
      <c r="BA667" s="7"/>
    </row>
    <row r="668" spans="31:53" x14ac:dyDescent="0.55000000000000004">
      <c r="AE668" s="7">
        <f ca="1"/>
      </c>
      <c r="AF668">
        <f ca="1"/>
      </c>
      <c r="AG668">
        <f ca="1"/>
      </c>
      <c r="AH668">
        <f ca="1"/>
      </c>
      <c r="AI668">
        <f ca="1"/>
      </c>
      <c r="AJ668">
        <f ca="1"/>
      </c>
      <c r="AK668">
        <f ca="1"/>
      </c>
      <c r="AL668">
        <f ca="1"/>
      </c>
      <c r="AM668">
        <f ca="1"/>
      </c>
      <c r="AN668">
        <f ca="1"/>
      </c>
      <c r="AO668">
        <f ca="1"/>
      </c>
      <c r="AP668">
        <f ca="1"/>
      </c>
      <c r="AQ668">
        <f ca="1"/>
      </c>
      <c r="AR668">
        <f ca="1"/>
      </c>
      <c r="AT668" s="7">
        <f ca="1"/>
      </c>
      <c r="AU668">
        <f ca="1"/>
      </c>
      <c r="AV668">
        <f ca="1"/>
      </c>
      <c r="AW668">
        <f ca="1"/>
      </c>
      <c r="AX668">
        <f ca="1"/>
      </c>
      <c r="AY668">
        <f ca="1"/>
      </c>
      <c r="BA668" s="7"/>
    </row>
    <row r="669" spans="31:53" x14ac:dyDescent="0.55000000000000004">
      <c r="AE669" s="7">
        <f ca="1"/>
      </c>
      <c r="AF669">
        <f ca="1"/>
      </c>
      <c r="AG669">
        <f ca="1"/>
      </c>
      <c r="AH669">
        <f ca="1"/>
      </c>
      <c r="AI669">
        <f ca="1"/>
      </c>
      <c r="AJ669">
        <f ca="1"/>
      </c>
      <c r="AK669">
        <f ca="1"/>
      </c>
      <c r="AL669">
        <f ca="1"/>
      </c>
      <c r="AM669">
        <f ca="1"/>
      </c>
      <c r="AN669">
        <f ca="1"/>
      </c>
      <c r="AO669">
        <f ca="1"/>
      </c>
      <c r="AP669">
        <f ca="1"/>
      </c>
      <c r="AQ669">
        <f ca="1"/>
      </c>
      <c r="AR669">
        <f ca="1"/>
      </c>
      <c r="AT669" s="7">
        <f ca="1"/>
      </c>
      <c r="AU669">
        <f ca="1"/>
      </c>
      <c r="AV669">
        <f ca="1"/>
      </c>
      <c r="AW669">
        <f ca="1"/>
      </c>
      <c r="AX669">
        <f ca="1"/>
      </c>
      <c r="AY669">
        <f ca="1"/>
      </c>
      <c r="BA669" s="7"/>
    </row>
    <row r="670" spans="31:53" x14ac:dyDescent="0.55000000000000004">
      <c r="AE670" s="7">
        <f ca="1"/>
      </c>
      <c r="AF670">
        <f ca="1"/>
      </c>
      <c r="AG670">
        <f ca="1"/>
      </c>
      <c r="AH670">
        <f ca="1"/>
      </c>
      <c r="AI670">
        <f ca="1"/>
      </c>
      <c r="AJ670">
        <f ca="1"/>
      </c>
      <c r="AK670">
        <f ca="1"/>
      </c>
      <c r="AL670">
        <f ca="1"/>
      </c>
      <c r="AM670">
        <f ca="1"/>
      </c>
      <c r="AN670">
        <f ca="1"/>
      </c>
      <c r="AO670">
        <f ca="1"/>
      </c>
      <c r="AP670">
        <f ca="1"/>
      </c>
      <c r="AQ670">
        <f ca="1"/>
      </c>
      <c r="AR670">
        <f ca="1"/>
      </c>
      <c r="AT670" s="7">
        <f ca="1"/>
      </c>
      <c r="AU670">
        <f ca="1"/>
      </c>
      <c r="AV670">
        <f ca="1"/>
      </c>
      <c r="AW670">
        <f ca="1"/>
      </c>
      <c r="AX670">
        <f ca="1"/>
      </c>
      <c r="AY670">
        <f ca="1"/>
      </c>
      <c r="BA670" s="7"/>
    </row>
    <row r="671" spans="31:53" x14ac:dyDescent="0.55000000000000004">
      <c r="AE671" s="7">
        <f ca="1"/>
      </c>
      <c r="AF671">
        <f ca="1"/>
      </c>
      <c r="AG671">
        <f ca="1"/>
      </c>
      <c r="AH671">
        <f ca="1"/>
      </c>
      <c r="AI671">
        <f ca="1"/>
      </c>
      <c r="AJ671">
        <f ca="1"/>
      </c>
      <c r="AK671">
        <f ca="1"/>
      </c>
      <c r="AL671">
        <f ca="1"/>
      </c>
      <c r="AM671">
        <f ca="1"/>
      </c>
      <c r="AN671">
        <f ca="1"/>
      </c>
      <c r="AO671">
        <f ca="1"/>
      </c>
      <c r="AP671">
        <f ca="1"/>
      </c>
      <c r="AQ671">
        <f ca="1"/>
      </c>
      <c r="AR671">
        <f ca="1"/>
      </c>
      <c r="AT671" s="7">
        <f ca="1"/>
      </c>
      <c r="AU671">
        <f ca="1"/>
      </c>
      <c r="AV671">
        <f ca="1"/>
      </c>
      <c r="AW671">
        <f ca="1"/>
      </c>
      <c r="AX671">
        <f ca="1"/>
      </c>
      <c r="AY671">
        <f ca="1"/>
      </c>
      <c r="BA671" s="7"/>
    </row>
    <row r="672" spans="31:53" x14ac:dyDescent="0.55000000000000004">
      <c r="AE672" s="7">
        <f ca="1"/>
      </c>
      <c r="AF672">
        <f ca="1"/>
      </c>
      <c r="AG672">
        <f ca="1"/>
      </c>
      <c r="AH672">
        <f ca="1"/>
      </c>
      <c r="AI672">
        <f ca="1"/>
      </c>
      <c r="AJ672">
        <f ca="1"/>
      </c>
      <c r="AK672">
        <f ca="1"/>
      </c>
      <c r="AL672">
        <f ca="1"/>
      </c>
      <c r="AM672">
        <f ca="1"/>
      </c>
      <c r="AN672">
        <f ca="1"/>
      </c>
      <c r="AO672">
        <f ca="1"/>
      </c>
      <c r="AP672">
        <f ca="1"/>
      </c>
      <c r="AQ672">
        <f ca="1"/>
      </c>
      <c r="AR672">
        <f ca="1"/>
      </c>
      <c r="AT672" s="7">
        <f ca="1"/>
      </c>
      <c r="AU672">
        <f ca="1"/>
      </c>
      <c r="AV672">
        <f ca="1"/>
      </c>
      <c r="AW672">
        <f ca="1"/>
      </c>
      <c r="AX672">
        <f ca="1"/>
      </c>
      <c r="AY672">
        <f ca="1"/>
      </c>
      <c r="BA672" s="7"/>
    </row>
    <row r="673" spans="31:53" x14ac:dyDescent="0.55000000000000004">
      <c r="AE673" s="7">
        <f ca="1"/>
      </c>
      <c r="AF673">
        <f ca="1"/>
      </c>
      <c r="AG673">
        <f ca="1"/>
      </c>
      <c r="AH673">
        <f ca="1"/>
      </c>
      <c r="AI673">
        <f ca="1"/>
      </c>
      <c r="AJ673">
        <f ca="1"/>
      </c>
      <c r="AK673">
        <f ca="1"/>
      </c>
      <c r="AL673">
        <f ca="1"/>
      </c>
      <c r="AM673">
        <f ca="1"/>
      </c>
      <c r="AN673">
        <f ca="1"/>
      </c>
      <c r="AO673">
        <f ca="1"/>
      </c>
      <c r="AP673">
        <f ca="1"/>
      </c>
      <c r="AQ673">
        <f ca="1"/>
      </c>
      <c r="AR673">
        <f ca="1"/>
      </c>
      <c r="AT673" s="7">
        <f ca="1"/>
      </c>
      <c r="AU673">
        <f ca="1"/>
      </c>
      <c r="AV673">
        <f ca="1"/>
      </c>
      <c r="AW673">
        <f ca="1"/>
      </c>
      <c r="AX673">
        <f ca="1"/>
      </c>
      <c r="AY673">
        <f ca="1"/>
      </c>
      <c r="BA673" s="7"/>
    </row>
    <row r="674" spans="31:53" x14ac:dyDescent="0.55000000000000004">
      <c r="AE674" s="7">
        <f ca="1"/>
      </c>
      <c r="AF674">
        <f ca="1"/>
      </c>
      <c r="AG674">
        <f ca="1"/>
      </c>
      <c r="AH674">
        <f ca="1"/>
      </c>
      <c r="AI674">
        <f ca="1"/>
      </c>
      <c r="AJ674">
        <f ca="1"/>
      </c>
      <c r="AK674">
        <f ca="1"/>
      </c>
      <c r="AL674">
        <f ca="1"/>
      </c>
      <c r="AM674">
        <f ca="1"/>
      </c>
      <c r="AN674">
        <f ca="1"/>
      </c>
      <c r="AO674">
        <f ca="1"/>
      </c>
      <c r="AP674">
        <f ca="1"/>
      </c>
      <c r="AQ674">
        <f ca="1"/>
      </c>
      <c r="AR674">
        <f ca="1"/>
      </c>
      <c r="AT674" s="7">
        <f ca="1"/>
      </c>
      <c r="AU674">
        <f ca="1"/>
      </c>
      <c r="AV674">
        <f ca="1"/>
      </c>
      <c r="AW674">
        <f ca="1"/>
      </c>
      <c r="AX674">
        <f ca="1"/>
      </c>
      <c r="AY674">
        <f ca="1"/>
      </c>
      <c r="BA674" s="7"/>
    </row>
    <row r="675" spans="31:53" x14ac:dyDescent="0.55000000000000004">
      <c r="AE675" s="7">
        <f ca="1"/>
      </c>
      <c r="AF675">
        <f ca="1"/>
      </c>
      <c r="AG675">
        <f ca="1"/>
      </c>
      <c r="AH675">
        <f ca="1"/>
      </c>
      <c r="AI675">
        <f ca="1"/>
      </c>
      <c r="AJ675">
        <f ca="1"/>
      </c>
      <c r="AK675">
        <f ca="1"/>
      </c>
      <c r="AL675">
        <f ca="1"/>
      </c>
      <c r="AM675">
        <f ca="1"/>
      </c>
      <c r="AN675">
        <f ca="1"/>
      </c>
      <c r="AO675">
        <f ca="1"/>
      </c>
      <c r="AP675">
        <f ca="1"/>
      </c>
      <c r="AQ675">
        <f ca="1"/>
      </c>
      <c r="AR675">
        <f ca="1"/>
      </c>
      <c r="AT675" s="7">
        <f ca="1"/>
      </c>
      <c r="AU675">
        <f ca="1"/>
      </c>
      <c r="AV675">
        <f ca="1"/>
      </c>
      <c r="AW675">
        <f ca="1"/>
      </c>
      <c r="AX675">
        <f ca="1"/>
      </c>
      <c r="AY675">
        <f ca="1"/>
      </c>
      <c r="BA675" s="7"/>
    </row>
    <row r="676" spans="31:53" x14ac:dyDescent="0.55000000000000004">
      <c r="AE676" s="7">
        <f ca="1"/>
      </c>
      <c r="AF676">
        <f ca="1"/>
      </c>
      <c r="AG676">
        <f ca="1"/>
      </c>
      <c r="AH676">
        <f ca="1"/>
      </c>
      <c r="AI676">
        <f ca="1"/>
      </c>
      <c r="AJ676">
        <f ca="1"/>
      </c>
      <c r="AK676">
        <f ca="1"/>
      </c>
      <c r="AL676">
        <f ca="1"/>
      </c>
      <c r="AM676">
        <f ca="1"/>
      </c>
      <c r="AN676">
        <f ca="1"/>
      </c>
      <c r="AO676">
        <f ca="1"/>
      </c>
      <c r="AP676">
        <f ca="1"/>
      </c>
      <c r="AQ676">
        <f ca="1"/>
      </c>
      <c r="AR676">
        <f ca="1"/>
      </c>
      <c r="AT676" s="7">
        <f ca="1"/>
      </c>
      <c r="AU676">
        <f ca="1"/>
      </c>
      <c r="AV676">
        <f ca="1"/>
      </c>
      <c r="AW676">
        <f ca="1"/>
      </c>
      <c r="AX676">
        <f ca="1"/>
      </c>
      <c r="AY676">
        <f ca="1"/>
      </c>
      <c r="BA676" s="7"/>
    </row>
    <row r="677" spans="31:53" x14ac:dyDescent="0.55000000000000004">
      <c r="AE677" s="7">
        <f ca="1"/>
      </c>
      <c r="AF677">
        <f ca="1"/>
      </c>
      <c r="AG677">
        <f ca="1"/>
      </c>
      <c r="AH677">
        <f ca="1"/>
      </c>
      <c r="AI677">
        <f ca="1"/>
      </c>
      <c r="AJ677">
        <f ca="1"/>
      </c>
      <c r="AK677">
        <f ca="1"/>
      </c>
      <c r="AL677">
        <f ca="1"/>
      </c>
      <c r="AM677">
        <f ca="1"/>
      </c>
      <c r="AN677">
        <f ca="1"/>
      </c>
      <c r="AO677">
        <f ca="1"/>
      </c>
      <c r="AP677">
        <f ca="1"/>
      </c>
      <c r="AQ677">
        <f ca="1"/>
      </c>
      <c r="AR677">
        <f ca="1"/>
      </c>
      <c r="AT677" s="7">
        <f ca="1"/>
      </c>
      <c r="AU677">
        <f ca="1"/>
      </c>
      <c r="AV677">
        <f ca="1"/>
      </c>
      <c r="AW677">
        <f ca="1"/>
      </c>
      <c r="AX677">
        <f ca="1"/>
      </c>
      <c r="AY677">
        <f ca="1"/>
      </c>
      <c r="BA677" s="7"/>
    </row>
    <row r="678" spans="31:53" x14ac:dyDescent="0.55000000000000004">
      <c r="AE678" s="7">
        <f ca="1"/>
      </c>
      <c r="AF678">
        <f ca="1"/>
      </c>
      <c r="AG678">
        <f ca="1"/>
      </c>
      <c r="AH678">
        <f ca="1"/>
      </c>
      <c r="AI678">
        <f ca="1"/>
      </c>
      <c r="AJ678">
        <f ca="1"/>
      </c>
      <c r="AK678">
        <f ca="1"/>
      </c>
      <c r="AL678">
        <f ca="1"/>
      </c>
      <c r="AM678">
        <f ca="1"/>
      </c>
      <c r="AN678">
        <f ca="1"/>
      </c>
      <c r="AO678">
        <f ca="1"/>
      </c>
      <c r="AP678">
        <f ca="1"/>
      </c>
      <c r="AQ678">
        <f ca="1"/>
      </c>
      <c r="AR678">
        <f ca="1"/>
      </c>
      <c r="AT678" s="7">
        <f ca="1"/>
      </c>
      <c r="AU678">
        <f ca="1"/>
      </c>
      <c r="AV678">
        <f ca="1"/>
      </c>
      <c r="AW678">
        <f ca="1"/>
      </c>
      <c r="AX678">
        <f ca="1"/>
      </c>
      <c r="AY678">
        <f ca="1"/>
      </c>
      <c r="BA678" s="7"/>
    </row>
    <row r="679" spans="31:53" x14ac:dyDescent="0.55000000000000004">
      <c r="AE679" s="7">
        <f ca="1"/>
      </c>
      <c r="AF679">
        <f ca="1"/>
      </c>
      <c r="AG679">
        <f ca="1"/>
      </c>
      <c r="AH679">
        <f ca="1"/>
      </c>
      <c r="AI679">
        <f ca="1"/>
      </c>
      <c r="AJ679">
        <f ca="1"/>
      </c>
      <c r="AK679">
        <f ca="1"/>
      </c>
      <c r="AL679">
        <f ca="1"/>
      </c>
      <c r="AM679">
        <f ca="1"/>
      </c>
      <c r="AN679">
        <f ca="1"/>
      </c>
      <c r="AO679">
        <f ca="1"/>
      </c>
      <c r="AP679">
        <f ca="1"/>
      </c>
      <c r="AQ679">
        <f ca="1"/>
      </c>
      <c r="AR679">
        <f ca="1"/>
      </c>
      <c r="AT679" s="7">
        <f ca="1"/>
      </c>
      <c r="AU679">
        <f ca="1"/>
      </c>
      <c r="AV679">
        <f ca="1"/>
      </c>
      <c r="AW679">
        <f ca="1"/>
      </c>
      <c r="AX679">
        <f ca="1"/>
      </c>
      <c r="AY679">
        <f ca="1"/>
      </c>
      <c r="BA679" s="7"/>
    </row>
    <row r="680" spans="31:53" x14ac:dyDescent="0.55000000000000004">
      <c r="AE680" s="7">
        <f ca="1"/>
      </c>
      <c r="AF680">
        <f ca="1"/>
      </c>
      <c r="AG680">
        <f ca="1"/>
      </c>
      <c r="AH680">
        <f ca="1"/>
      </c>
      <c r="AI680">
        <f ca="1"/>
      </c>
      <c r="AJ680">
        <f ca="1"/>
      </c>
      <c r="AK680">
        <f ca="1"/>
      </c>
      <c r="AL680">
        <f ca="1"/>
      </c>
      <c r="AM680">
        <f ca="1"/>
      </c>
      <c r="AN680">
        <f ca="1"/>
      </c>
      <c r="AO680">
        <f ca="1"/>
      </c>
      <c r="AP680">
        <f ca="1"/>
      </c>
      <c r="AQ680">
        <f ca="1"/>
      </c>
      <c r="AR680">
        <f ca="1"/>
      </c>
      <c r="AT680" s="7">
        <f ca="1"/>
      </c>
      <c r="AU680">
        <f ca="1"/>
      </c>
      <c r="AV680">
        <f ca="1"/>
      </c>
      <c r="AW680">
        <f ca="1"/>
      </c>
      <c r="AX680">
        <f ca="1"/>
      </c>
      <c r="AY680">
        <f ca="1"/>
      </c>
      <c r="BA680" s="7"/>
    </row>
    <row r="681" spans="31:53" x14ac:dyDescent="0.55000000000000004">
      <c r="AE681" s="7">
        <f ca="1"/>
      </c>
      <c r="AF681">
        <f ca="1"/>
      </c>
      <c r="AG681">
        <f ca="1"/>
      </c>
      <c r="AH681">
        <f ca="1"/>
      </c>
      <c r="AI681">
        <f ca="1"/>
      </c>
      <c r="AJ681">
        <f ca="1"/>
      </c>
      <c r="AK681">
        <f ca="1"/>
      </c>
      <c r="AL681">
        <f ca="1"/>
      </c>
      <c r="AM681">
        <f ca="1"/>
      </c>
      <c r="AN681">
        <f ca="1"/>
      </c>
      <c r="AO681">
        <f ca="1"/>
      </c>
      <c r="AP681">
        <f ca="1"/>
      </c>
      <c r="AQ681">
        <f ca="1"/>
      </c>
      <c r="AR681">
        <f ca="1"/>
      </c>
      <c r="AT681" s="7">
        <f ca="1"/>
      </c>
      <c r="AU681">
        <f ca="1"/>
      </c>
      <c r="AV681">
        <f ca="1"/>
      </c>
      <c r="AW681">
        <f ca="1"/>
      </c>
      <c r="AX681">
        <f ca="1"/>
      </c>
      <c r="AY681">
        <f ca="1"/>
      </c>
      <c r="BA681" s="7"/>
    </row>
    <row r="682" spans="31:53" x14ac:dyDescent="0.55000000000000004">
      <c r="AE682" s="7">
        <f ca="1"/>
      </c>
      <c r="AF682">
        <f ca="1"/>
      </c>
      <c r="AG682">
        <f ca="1"/>
      </c>
      <c r="AH682">
        <f ca="1"/>
      </c>
      <c r="AI682">
        <f ca="1"/>
      </c>
      <c r="AJ682">
        <f ca="1"/>
      </c>
      <c r="AK682">
        <f ca="1"/>
      </c>
      <c r="AL682">
        <f ca="1"/>
      </c>
      <c r="AM682">
        <f ca="1"/>
      </c>
      <c r="AN682">
        <f ca="1"/>
      </c>
      <c r="AO682">
        <f ca="1"/>
      </c>
      <c r="AP682">
        <f ca="1"/>
      </c>
      <c r="AQ682">
        <f ca="1"/>
      </c>
      <c r="AR682">
        <f ca="1"/>
      </c>
      <c r="AT682" s="7">
        <f ca="1"/>
      </c>
      <c r="AU682">
        <f ca="1"/>
      </c>
      <c r="AV682">
        <f ca="1"/>
      </c>
      <c r="AW682">
        <f ca="1"/>
      </c>
      <c r="AX682">
        <f ca="1"/>
      </c>
      <c r="AY682">
        <f ca="1"/>
      </c>
      <c r="BA682" s="7"/>
    </row>
    <row r="683" spans="31:53" x14ac:dyDescent="0.55000000000000004">
      <c r="AE683" s="7">
        <f ca="1"/>
      </c>
      <c r="AF683">
        <f ca="1"/>
      </c>
      <c r="AG683">
        <f ca="1"/>
      </c>
      <c r="AH683">
        <f ca="1"/>
      </c>
      <c r="AI683">
        <f ca="1"/>
      </c>
      <c r="AJ683">
        <f ca="1"/>
      </c>
      <c r="AK683">
        <f ca="1"/>
      </c>
      <c r="AL683">
        <f ca="1"/>
      </c>
      <c r="AM683">
        <f ca="1"/>
      </c>
      <c r="AN683">
        <f ca="1"/>
      </c>
      <c r="AO683">
        <f ca="1"/>
      </c>
      <c r="AP683">
        <f ca="1"/>
      </c>
      <c r="AQ683">
        <f ca="1"/>
      </c>
      <c r="AR683">
        <f ca="1"/>
      </c>
      <c r="AT683" s="7">
        <f ca="1"/>
      </c>
      <c r="AU683">
        <f ca="1"/>
      </c>
      <c r="AV683">
        <f ca="1"/>
      </c>
      <c r="AW683">
        <f ca="1"/>
      </c>
      <c r="AX683">
        <f ca="1"/>
      </c>
      <c r="AY683">
        <f ca="1"/>
      </c>
      <c r="BA683" s="7"/>
    </row>
    <row r="684" spans="31:53" x14ac:dyDescent="0.55000000000000004">
      <c r="AE684" s="7">
        <f ca="1"/>
      </c>
      <c r="AF684">
        <f ca="1"/>
      </c>
      <c r="AG684">
        <f ca="1"/>
      </c>
      <c r="AH684">
        <f ca="1"/>
      </c>
      <c r="AI684">
        <f ca="1"/>
      </c>
      <c r="AJ684">
        <f ca="1"/>
      </c>
      <c r="AK684">
        <f ca="1"/>
      </c>
      <c r="AL684">
        <f ca="1"/>
      </c>
      <c r="AM684">
        <f ca="1"/>
      </c>
      <c r="AN684">
        <f ca="1"/>
      </c>
      <c r="AO684">
        <f ca="1"/>
      </c>
      <c r="AP684">
        <f ca="1"/>
      </c>
      <c r="AQ684">
        <f ca="1"/>
      </c>
      <c r="AR684">
        <f ca="1"/>
      </c>
      <c r="AT684" s="7">
        <f ca="1"/>
      </c>
      <c r="AU684">
        <f ca="1"/>
      </c>
      <c r="AV684">
        <f ca="1"/>
      </c>
      <c r="AW684">
        <f ca="1"/>
      </c>
      <c r="AX684">
        <f ca="1"/>
      </c>
      <c r="AY684">
        <f ca="1"/>
      </c>
      <c r="BA684" s="7"/>
    </row>
    <row r="685" spans="31:53" x14ac:dyDescent="0.55000000000000004">
      <c r="AE685" s="7">
        <f ca="1"/>
      </c>
      <c r="AF685">
        <f ca="1"/>
      </c>
      <c r="AG685">
        <f ca="1"/>
      </c>
      <c r="AH685">
        <f ca="1"/>
      </c>
      <c r="AI685">
        <f ca="1"/>
      </c>
      <c r="AJ685">
        <f ca="1"/>
      </c>
      <c r="AK685">
        <f ca="1"/>
      </c>
      <c r="AL685">
        <f ca="1"/>
      </c>
      <c r="AM685">
        <f ca="1"/>
      </c>
      <c r="AN685">
        <f ca="1"/>
      </c>
      <c r="AO685">
        <f ca="1"/>
      </c>
      <c r="AP685">
        <f ca="1"/>
      </c>
      <c r="AQ685">
        <f ca="1"/>
      </c>
      <c r="AR685">
        <f ca="1"/>
      </c>
      <c r="AT685" s="7">
        <f ca="1"/>
      </c>
      <c r="AU685">
        <f ca="1"/>
      </c>
      <c r="AV685">
        <f ca="1"/>
      </c>
      <c r="AW685">
        <f ca="1"/>
      </c>
      <c r="AX685">
        <f ca="1"/>
      </c>
      <c r="AY685">
        <f ca="1"/>
      </c>
      <c r="BA685" s="7"/>
    </row>
    <row r="686" spans="31:53" x14ac:dyDescent="0.55000000000000004">
      <c r="AE686" s="7">
        <f ca="1"/>
      </c>
      <c r="AF686">
        <f ca="1"/>
      </c>
      <c r="AG686">
        <f ca="1"/>
      </c>
      <c r="AH686">
        <f ca="1"/>
      </c>
      <c r="AI686">
        <f ca="1"/>
      </c>
      <c r="AJ686">
        <f ca="1"/>
      </c>
      <c r="AK686">
        <f ca="1"/>
      </c>
      <c r="AL686">
        <f ca="1"/>
      </c>
      <c r="AM686">
        <f ca="1"/>
      </c>
      <c r="AN686">
        <f ca="1"/>
      </c>
      <c r="AO686">
        <f ca="1"/>
      </c>
      <c r="AP686">
        <f ca="1"/>
      </c>
      <c r="AQ686">
        <f ca="1"/>
      </c>
      <c r="AR686">
        <f ca="1"/>
      </c>
      <c r="AT686" s="7">
        <f ca="1"/>
      </c>
      <c r="AU686">
        <f ca="1"/>
      </c>
      <c r="AV686">
        <f ca="1"/>
      </c>
      <c r="AW686">
        <f ca="1"/>
      </c>
      <c r="AX686">
        <f ca="1"/>
      </c>
      <c r="AY686">
        <f ca="1"/>
      </c>
      <c r="BA686" s="7"/>
    </row>
    <row r="687" spans="31:53" x14ac:dyDescent="0.55000000000000004">
      <c r="AE687" s="7">
        <f ca="1"/>
      </c>
      <c r="AF687">
        <f ca="1"/>
      </c>
      <c r="AG687">
        <f ca="1"/>
      </c>
      <c r="AH687">
        <f ca="1"/>
      </c>
      <c r="AI687">
        <f ca="1"/>
      </c>
      <c r="AJ687">
        <f ca="1"/>
      </c>
      <c r="AK687">
        <f ca="1"/>
      </c>
      <c r="AL687">
        <f ca="1"/>
      </c>
      <c r="AM687">
        <f ca="1"/>
      </c>
      <c r="AN687">
        <f ca="1"/>
      </c>
      <c r="AO687">
        <f ca="1"/>
      </c>
      <c r="AP687">
        <f ca="1"/>
      </c>
      <c r="AQ687">
        <f ca="1"/>
      </c>
      <c r="AR687">
        <f ca="1"/>
      </c>
      <c r="AT687" s="7">
        <f ca="1"/>
      </c>
      <c r="AU687">
        <f ca="1"/>
      </c>
      <c r="AV687">
        <f ca="1"/>
      </c>
      <c r="AW687">
        <f ca="1"/>
      </c>
      <c r="AX687">
        <f ca="1"/>
      </c>
      <c r="AY687">
        <f ca="1"/>
      </c>
      <c r="BA687" s="7"/>
    </row>
    <row r="688" spans="31:53" x14ac:dyDescent="0.55000000000000004">
      <c r="AE688" s="7">
        <f ca="1"/>
      </c>
      <c r="AF688">
        <f ca="1"/>
      </c>
      <c r="AG688">
        <f ca="1"/>
      </c>
      <c r="AH688">
        <f ca="1"/>
      </c>
      <c r="AI688">
        <f ca="1"/>
      </c>
      <c r="AJ688">
        <f ca="1"/>
      </c>
      <c r="AK688">
        <f ca="1"/>
      </c>
      <c r="AL688">
        <f ca="1"/>
      </c>
      <c r="AM688">
        <f ca="1"/>
      </c>
      <c r="AN688">
        <f ca="1"/>
      </c>
      <c r="AO688">
        <f ca="1"/>
      </c>
      <c r="AP688">
        <f ca="1"/>
      </c>
      <c r="AQ688">
        <f ca="1"/>
      </c>
      <c r="AR688">
        <f ca="1"/>
      </c>
      <c r="AT688" s="7">
        <f ca="1"/>
      </c>
      <c r="AU688">
        <f ca="1"/>
      </c>
      <c r="AV688">
        <f ca="1"/>
      </c>
      <c r="AW688">
        <f ca="1"/>
      </c>
      <c r="AX688">
        <f ca="1"/>
      </c>
      <c r="AY688">
        <f ca="1"/>
      </c>
      <c r="BA688" s="7"/>
    </row>
    <row r="689" spans="31:53" x14ac:dyDescent="0.55000000000000004">
      <c r="AE689" s="7">
        <f ca="1"/>
      </c>
      <c r="AF689">
        <f ca="1"/>
      </c>
      <c r="AG689">
        <f ca="1"/>
      </c>
      <c r="AH689">
        <f ca="1"/>
      </c>
      <c r="AI689">
        <f ca="1"/>
      </c>
      <c r="AJ689">
        <f ca="1"/>
      </c>
      <c r="AK689">
        <f ca="1"/>
      </c>
      <c r="AL689">
        <f ca="1"/>
      </c>
      <c r="AM689">
        <f ca="1"/>
      </c>
      <c r="AN689">
        <f ca="1"/>
      </c>
      <c r="AO689">
        <f ca="1"/>
      </c>
      <c r="AP689">
        <f ca="1"/>
      </c>
      <c r="AQ689">
        <f ca="1"/>
      </c>
      <c r="AR689">
        <f ca="1"/>
      </c>
      <c r="AT689" s="7">
        <f ca="1"/>
      </c>
      <c r="AU689">
        <f ca="1"/>
      </c>
      <c r="AV689">
        <f ca="1"/>
      </c>
      <c r="AW689">
        <f ca="1"/>
      </c>
      <c r="AX689">
        <f ca="1"/>
      </c>
      <c r="AY689">
        <f ca="1"/>
      </c>
      <c r="BA689" s="7"/>
    </row>
    <row r="690" spans="31:53" x14ac:dyDescent="0.55000000000000004">
      <c r="AE690" s="7">
        <f ca="1"/>
      </c>
      <c r="AF690">
        <f ca="1"/>
      </c>
      <c r="AG690">
        <f ca="1"/>
      </c>
      <c r="AH690">
        <f ca="1"/>
      </c>
      <c r="AI690">
        <f ca="1"/>
      </c>
      <c r="AJ690">
        <f ca="1"/>
      </c>
      <c r="AK690">
        <f ca="1"/>
      </c>
      <c r="AL690">
        <f ca="1"/>
      </c>
      <c r="AM690">
        <f ca="1"/>
      </c>
      <c r="AN690">
        <f ca="1"/>
      </c>
      <c r="AO690">
        <f ca="1"/>
      </c>
      <c r="AP690">
        <f ca="1"/>
      </c>
      <c r="AQ690">
        <f ca="1"/>
      </c>
      <c r="AR690">
        <f ca="1"/>
      </c>
      <c r="AT690" s="7">
        <f ca="1"/>
      </c>
      <c r="AU690">
        <f ca="1"/>
      </c>
      <c r="AV690">
        <f ca="1"/>
      </c>
      <c r="AW690">
        <f ca="1"/>
      </c>
      <c r="AX690">
        <f ca="1"/>
      </c>
      <c r="AY690">
        <f ca="1"/>
      </c>
      <c r="BA690" s="7"/>
    </row>
    <row r="691" spans="31:53" x14ac:dyDescent="0.55000000000000004">
      <c r="AE691" s="7">
        <f ca="1"/>
      </c>
      <c r="AF691">
        <f ca="1"/>
      </c>
      <c r="AG691">
        <f ca="1"/>
      </c>
      <c r="AH691">
        <f ca="1"/>
      </c>
      <c r="AI691">
        <f ca="1"/>
      </c>
      <c r="AJ691">
        <f ca="1"/>
      </c>
      <c r="AK691">
        <f ca="1"/>
      </c>
      <c r="AL691">
        <f ca="1"/>
      </c>
      <c r="AM691">
        <f ca="1"/>
      </c>
      <c r="AN691">
        <f ca="1"/>
      </c>
      <c r="AO691">
        <f ca="1"/>
      </c>
      <c r="AP691">
        <f ca="1"/>
      </c>
      <c r="AQ691">
        <f ca="1"/>
      </c>
      <c r="AR691">
        <f ca="1"/>
      </c>
      <c r="AT691" s="7">
        <f ca="1"/>
      </c>
      <c r="AU691">
        <f ca="1"/>
      </c>
      <c r="AV691">
        <f ca="1"/>
      </c>
      <c r="AW691">
        <f ca="1"/>
      </c>
      <c r="AX691">
        <f ca="1"/>
      </c>
      <c r="AY691">
        <f ca="1"/>
      </c>
      <c r="BA691" s="7"/>
    </row>
    <row r="692" spans="31:53" x14ac:dyDescent="0.55000000000000004">
      <c r="AE692" s="7">
        <f ca="1"/>
      </c>
      <c r="AF692">
        <f ca="1"/>
      </c>
      <c r="AG692">
        <f ca="1"/>
      </c>
      <c r="AH692">
        <f ca="1"/>
      </c>
      <c r="AI692">
        <f ca="1"/>
      </c>
      <c r="AJ692">
        <f ca="1"/>
      </c>
      <c r="AK692">
        <f ca="1"/>
      </c>
      <c r="AL692">
        <f ca="1"/>
      </c>
      <c r="AM692">
        <f ca="1"/>
      </c>
      <c r="AN692">
        <f ca="1"/>
      </c>
      <c r="AO692">
        <f ca="1"/>
      </c>
      <c r="AP692">
        <f ca="1"/>
      </c>
      <c r="AQ692">
        <f ca="1"/>
      </c>
      <c r="AR692">
        <f ca="1"/>
      </c>
      <c r="AT692" s="7">
        <f ca="1"/>
      </c>
      <c r="AU692">
        <f ca="1"/>
      </c>
      <c r="AV692">
        <f ca="1"/>
      </c>
      <c r="AW692">
        <f ca="1"/>
      </c>
      <c r="AX692">
        <f ca="1"/>
      </c>
      <c r="AY692">
        <f ca="1"/>
      </c>
      <c r="BA692" s="7"/>
    </row>
    <row r="693" spans="31:53" x14ac:dyDescent="0.55000000000000004">
      <c r="AE693" s="7">
        <f ca="1"/>
      </c>
      <c r="AF693">
        <f ca="1"/>
      </c>
      <c r="AG693">
        <f ca="1"/>
      </c>
      <c r="AH693">
        <f ca="1"/>
      </c>
      <c r="AI693">
        <f ca="1"/>
      </c>
      <c r="AJ693">
        <f ca="1"/>
      </c>
      <c r="AK693">
        <f ca="1"/>
      </c>
      <c r="AL693">
        <f ca="1"/>
      </c>
      <c r="AM693">
        <f ca="1"/>
      </c>
      <c r="AN693">
        <f ca="1"/>
      </c>
      <c r="AO693">
        <f ca="1"/>
      </c>
      <c r="AP693">
        <f ca="1"/>
      </c>
      <c r="AQ693">
        <f ca="1"/>
      </c>
      <c r="AR693">
        <f ca="1"/>
      </c>
      <c r="AT693" s="7">
        <f ca="1"/>
      </c>
      <c r="AU693">
        <f ca="1"/>
      </c>
      <c r="AV693">
        <f ca="1"/>
      </c>
      <c r="AW693">
        <f ca="1"/>
      </c>
      <c r="AX693">
        <f ca="1"/>
      </c>
      <c r="AY693">
        <f ca="1"/>
      </c>
      <c r="BA693" s="7"/>
    </row>
    <row r="694" spans="31:53" x14ac:dyDescent="0.55000000000000004">
      <c r="AE694" s="7">
        <f ca="1"/>
      </c>
      <c r="AF694">
        <f ca="1"/>
      </c>
      <c r="AG694">
        <f ca="1"/>
      </c>
      <c r="AH694">
        <f ca="1"/>
      </c>
      <c r="AI694">
        <f ca="1"/>
      </c>
      <c r="AJ694">
        <f ca="1"/>
      </c>
      <c r="AK694">
        <f ca="1"/>
      </c>
      <c r="AL694">
        <f ca="1"/>
      </c>
      <c r="AM694">
        <f ca="1"/>
      </c>
      <c r="AN694">
        <f ca="1"/>
      </c>
      <c r="AO694">
        <f ca="1"/>
      </c>
      <c r="AP694">
        <f ca="1"/>
      </c>
      <c r="AQ694">
        <f ca="1"/>
      </c>
      <c r="AR694">
        <f ca="1"/>
      </c>
      <c r="AT694" s="7">
        <f ca="1"/>
      </c>
      <c r="AU694">
        <f ca="1"/>
      </c>
      <c r="AV694">
        <f ca="1"/>
      </c>
      <c r="AW694">
        <f ca="1"/>
      </c>
      <c r="AX694">
        <f ca="1"/>
      </c>
      <c r="AY694">
        <f ca="1"/>
      </c>
      <c r="BA694" s="7"/>
    </row>
    <row r="695" spans="31:53" x14ac:dyDescent="0.55000000000000004">
      <c r="AE695" s="7">
        <f ca="1"/>
      </c>
      <c r="AF695">
        <f ca="1"/>
      </c>
      <c r="AG695">
        <f ca="1"/>
      </c>
      <c r="AH695">
        <f ca="1"/>
      </c>
      <c r="AI695">
        <f ca="1"/>
      </c>
      <c r="AJ695">
        <f ca="1"/>
      </c>
      <c r="AK695">
        <f ca="1"/>
      </c>
      <c r="AL695">
        <f ca="1"/>
      </c>
      <c r="AM695">
        <f ca="1"/>
      </c>
      <c r="AN695">
        <f ca="1"/>
      </c>
      <c r="AO695">
        <f ca="1"/>
      </c>
      <c r="AP695">
        <f ca="1"/>
      </c>
      <c r="AQ695">
        <f ca="1"/>
      </c>
      <c r="AR695">
        <f ca="1"/>
      </c>
      <c r="AT695" s="7">
        <f ca="1"/>
      </c>
      <c r="AU695">
        <f ca="1"/>
      </c>
      <c r="AV695">
        <f ca="1"/>
      </c>
      <c r="AW695">
        <f ca="1"/>
      </c>
      <c r="AX695">
        <f ca="1"/>
      </c>
      <c r="AY695">
        <f ca="1"/>
      </c>
      <c r="BA695" s="7"/>
    </row>
    <row r="696" spans="31:53" x14ac:dyDescent="0.55000000000000004">
      <c r="AE696" s="7">
        <f ca="1"/>
      </c>
      <c r="AF696">
        <f ca="1"/>
      </c>
      <c r="AG696">
        <f ca="1"/>
      </c>
      <c r="AH696">
        <f ca="1"/>
      </c>
      <c r="AI696">
        <f ca="1"/>
      </c>
      <c r="AJ696">
        <f ca="1"/>
      </c>
      <c r="AK696">
        <f ca="1"/>
      </c>
      <c r="AL696">
        <f ca="1"/>
      </c>
      <c r="AM696">
        <f ca="1"/>
      </c>
      <c r="AN696">
        <f ca="1"/>
      </c>
      <c r="AO696">
        <f ca="1"/>
      </c>
      <c r="AP696">
        <f ca="1"/>
      </c>
      <c r="AQ696">
        <f ca="1"/>
      </c>
      <c r="AR696">
        <f ca="1"/>
      </c>
      <c r="AT696" s="7">
        <f ca="1"/>
      </c>
      <c r="AU696">
        <f ca="1"/>
      </c>
      <c r="AV696">
        <f ca="1"/>
      </c>
      <c r="AW696">
        <f ca="1"/>
      </c>
      <c r="AX696">
        <f ca="1"/>
      </c>
      <c r="AY696">
        <f ca="1"/>
      </c>
      <c r="BA696" s="7"/>
    </row>
    <row r="697" spans="31:53" x14ac:dyDescent="0.55000000000000004">
      <c r="AE697" s="7">
        <f ca="1"/>
      </c>
      <c r="AF697">
        <f ca="1"/>
      </c>
      <c r="AG697">
        <f ca="1"/>
      </c>
      <c r="AH697">
        <f ca="1"/>
      </c>
      <c r="AI697">
        <f ca="1"/>
      </c>
      <c r="AJ697">
        <f ca="1"/>
      </c>
      <c r="AK697">
        <f ca="1"/>
      </c>
      <c r="AL697">
        <f ca="1"/>
      </c>
      <c r="AM697">
        <f ca="1"/>
      </c>
      <c r="AN697">
        <f ca="1"/>
      </c>
      <c r="AO697">
        <f ca="1"/>
      </c>
      <c r="AP697">
        <f ca="1"/>
      </c>
      <c r="AQ697">
        <f ca="1"/>
      </c>
      <c r="AR697">
        <f ca="1"/>
      </c>
      <c r="AT697" s="7">
        <f ca="1"/>
      </c>
      <c r="AU697">
        <f ca="1"/>
      </c>
      <c r="AV697">
        <f ca="1"/>
      </c>
      <c r="AW697">
        <f ca="1"/>
      </c>
      <c r="AX697">
        <f ca="1"/>
      </c>
      <c r="AY697">
        <f ca="1"/>
      </c>
      <c r="BA697" s="7"/>
    </row>
    <row r="698" spans="31:53" x14ac:dyDescent="0.55000000000000004">
      <c r="AE698" s="7">
        <f ca="1"/>
      </c>
      <c r="AF698">
        <f ca="1"/>
      </c>
      <c r="AG698">
        <f ca="1"/>
      </c>
      <c r="AH698">
        <f ca="1"/>
      </c>
      <c r="AI698">
        <f ca="1"/>
      </c>
      <c r="AJ698">
        <f ca="1"/>
      </c>
      <c r="AK698">
        <f ca="1"/>
      </c>
      <c r="AL698">
        <f ca="1"/>
      </c>
      <c r="AM698">
        <f ca="1"/>
      </c>
      <c r="AN698">
        <f ca="1"/>
      </c>
      <c r="AO698">
        <f ca="1"/>
      </c>
      <c r="AP698">
        <f ca="1"/>
      </c>
      <c r="AQ698">
        <f ca="1"/>
      </c>
      <c r="AR698">
        <f ca="1"/>
      </c>
      <c r="AT698" s="7">
        <f ca="1"/>
      </c>
      <c r="AU698">
        <f ca="1"/>
      </c>
      <c r="AV698">
        <f ca="1"/>
      </c>
      <c r="AW698">
        <f ca="1"/>
      </c>
      <c r="AX698">
        <f ca="1"/>
      </c>
      <c r="AY698">
        <f ca="1"/>
      </c>
      <c r="BA698" s="7"/>
    </row>
    <row r="699" spans="31:53" x14ac:dyDescent="0.55000000000000004">
      <c r="AE699" s="7">
        <f ca="1"/>
      </c>
      <c r="AF699">
        <f ca="1"/>
      </c>
      <c r="AG699">
        <f ca="1"/>
      </c>
      <c r="AH699">
        <f ca="1"/>
      </c>
      <c r="AI699">
        <f ca="1"/>
      </c>
      <c r="AJ699">
        <f ca="1"/>
      </c>
      <c r="AK699">
        <f ca="1"/>
      </c>
      <c r="AL699">
        <f ca="1"/>
      </c>
      <c r="AM699">
        <f ca="1"/>
      </c>
      <c r="AN699">
        <f ca="1"/>
      </c>
      <c r="AO699">
        <f ca="1"/>
      </c>
      <c r="AP699">
        <f ca="1"/>
      </c>
      <c r="AQ699">
        <f ca="1"/>
      </c>
      <c r="AR699">
        <f ca="1"/>
      </c>
      <c r="AT699" s="7">
        <f ca="1"/>
      </c>
      <c r="AU699">
        <f ca="1"/>
      </c>
      <c r="AV699">
        <f ca="1"/>
      </c>
      <c r="AW699">
        <f ca="1"/>
      </c>
      <c r="AX699">
        <f ca="1"/>
      </c>
      <c r="AY699">
        <f ca="1"/>
      </c>
      <c r="BA699" s="7"/>
    </row>
    <row r="700" spans="31:53" x14ac:dyDescent="0.55000000000000004">
      <c r="AE700" s="7">
        <f ca="1"/>
      </c>
      <c r="AF700">
        <f ca="1"/>
      </c>
      <c r="AG700">
        <f ca="1"/>
      </c>
      <c r="AH700">
        <f ca="1"/>
      </c>
      <c r="AI700">
        <f ca="1"/>
      </c>
      <c r="AJ700">
        <f ca="1"/>
      </c>
      <c r="AK700">
        <f ca="1"/>
      </c>
      <c r="AL700">
        <f ca="1"/>
      </c>
      <c r="AM700">
        <f ca="1"/>
      </c>
      <c r="AN700">
        <f ca="1"/>
      </c>
      <c r="AO700">
        <f ca="1"/>
      </c>
      <c r="AP700">
        <f ca="1"/>
      </c>
      <c r="AQ700">
        <f ca="1"/>
      </c>
      <c r="AR700">
        <f ca="1"/>
      </c>
      <c r="AT700" s="7">
        <f ca="1"/>
      </c>
      <c r="AU700">
        <f ca="1"/>
      </c>
      <c r="AV700">
        <f ca="1"/>
      </c>
      <c r="AW700">
        <f ca="1"/>
      </c>
      <c r="AX700">
        <f ca="1"/>
      </c>
      <c r="AY700">
        <f ca="1"/>
      </c>
      <c r="BA700" s="7"/>
    </row>
    <row r="701" spans="31:53" x14ac:dyDescent="0.55000000000000004">
      <c r="AE701" s="7">
        <f ca="1"/>
      </c>
      <c r="AF701">
        <f ca="1"/>
      </c>
      <c r="AG701">
        <f ca="1"/>
      </c>
      <c r="AH701">
        <f ca="1"/>
      </c>
      <c r="AI701">
        <f ca="1"/>
      </c>
      <c r="AJ701">
        <f ca="1"/>
      </c>
      <c r="AK701">
        <f ca="1"/>
      </c>
      <c r="AL701">
        <f ca="1"/>
      </c>
      <c r="AM701">
        <f ca="1"/>
      </c>
      <c r="AN701">
        <f ca="1"/>
      </c>
      <c r="AO701">
        <f ca="1"/>
      </c>
      <c r="AP701">
        <f ca="1"/>
      </c>
      <c r="AQ701">
        <f ca="1"/>
      </c>
      <c r="AR701">
        <f ca="1"/>
      </c>
      <c r="AT701" s="7">
        <f ca="1"/>
      </c>
      <c r="AU701">
        <f ca="1"/>
      </c>
      <c r="AV701">
        <f ca="1"/>
      </c>
      <c r="AW701">
        <f ca="1"/>
      </c>
      <c r="AX701">
        <f ca="1"/>
      </c>
      <c r="AY701">
        <f ca="1"/>
      </c>
      <c r="BA701" s="7"/>
    </row>
    <row r="702" spans="31:53" x14ac:dyDescent="0.55000000000000004">
      <c r="AE702" s="7">
        <f ca="1"/>
      </c>
      <c r="AF702">
        <f ca="1"/>
      </c>
      <c r="AG702">
        <f ca="1"/>
      </c>
      <c r="AH702">
        <f ca="1"/>
      </c>
      <c r="AI702">
        <f ca="1"/>
      </c>
      <c r="AJ702">
        <f ca="1"/>
      </c>
      <c r="AK702">
        <f ca="1"/>
      </c>
      <c r="AL702">
        <f ca="1"/>
      </c>
      <c r="AM702">
        <f ca="1"/>
      </c>
      <c r="AN702">
        <f ca="1"/>
      </c>
      <c r="AO702">
        <f ca="1"/>
      </c>
      <c r="AP702">
        <f ca="1"/>
      </c>
      <c r="AQ702">
        <f ca="1"/>
      </c>
      <c r="AR702">
        <f ca="1"/>
      </c>
      <c r="AT702" s="7">
        <f ca="1"/>
      </c>
      <c r="AU702">
        <f ca="1"/>
      </c>
      <c r="AV702">
        <f ca="1"/>
      </c>
      <c r="AW702">
        <f ca="1"/>
      </c>
      <c r="AX702">
        <f ca="1"/>
      </c>
      <c r="AY702">
        <f ca="1"/>
      </c>
      <c r="BA702" s="7"/>
    </row>
    <row r="703" spans="31:53" x14ac:dyDescent="0.55000000000000004">
      <c r="AE703" s="7">
        <f ca="1"/>
      </c>
      <c r="AF703">
        <f ca="1"/>
      </c>
      <c r="AG703">
        <f ca="1"/>
      </c>
      <c r="AH703">
        <f ca="1"/>
      </c>
      <c r="AI703">
        <f ca="1"/>
      </c>
      <c r="AJ703">
        <f ca="1"/>
      </c>
      <c r="AK703">
        <f ca="1"/>
      </c>
      <c r="AL703">
        <f ca="1"/>
      </c>
      <c r="AM703">
        <f ca="1"/>
      </c>
      <c r="AN703">
        <f ca="1"/>
      </c>
      <c r="AO703">
        <f ca="1"/>
      </c>
      <c r="AP703">
        <f ca="1"/>
      </c>
      <c r="AQ703">
        <f ca="1"/>
      </c>
      <c r="AR703">
        <f ca="1"/>
      </c>
      <c r="AT703" s="7">
        <f ca="1"/>
      </c>
      <c r="AU703">
        <f ca="1"/>
      </c>
      <c r="AV703">
        <f ca="1"/>
      </c>
      <c r="AW703">
        <f ca="1"/>
      </c>
      <c r="AX703">
        <f ca="1"/>
      </c>
      <c r="AY703">
        <f ca="1"/>
      </c>
      <c r="BA703" s="7"/>
    </row>
    <row r="704" spans="31:53" x14ac:dyDescent="0.55000000000000004">
      <c r="AE704" s="7">
        <f ca="1"/>
      </c>
      <c r="AF704">
        <f ca="1"/>
      </c>
      <c r="AG704">
        <f ca="1"/>
      </c>
      <c r="AH704">
        <f ca="1"/>
      </c>
      <c r="AI704">
        <f ca="1"/>
      </c>
      <c r="AJ704">
        <f ca="1"/>
      </c>
      <c r="AK704">
        <f ca="1"/>
      </c>
      <c r="AL704">
        <f ca="1"/>
      </c>
      <c r="AM704">
        <f ca="1"/>
      </c>
      <c r="AN704">
        <f ca="1"/>
      </c>
      <c r="AO704">
        <f ca="1"/>
      </c>
      <c r="AP704">
        <f ca="1"/>
      </c>
      <c r="AQ704">
        <f ca="1"/>
      </c>
      <c r="AR704">
        <f ca="1"/>
      </c>
      <c r="AT704" s="7">
        <f ca="1"/>
      </c>
      <c r="AU704">
        <f ca="1"/>
      </c>
      <c r="AV704">
        <f ca="1"/>
      </c>
      <c r="AW704">
        <f ca="1"/>
      </c>
      <c r="AX704">
        <f ca="1"/>
      </c>
      <c r="AY704">
        <f ca="1"/>
      </c>
      <c r="BA704" s="7"/>
    </row>
    <row r="705" spans="31:53" x14ac:dyDescent="0.55000000000000004">
      <c r="AE705" s="7">
        <f ca="1"/>
      </c>
      <c r="AF705">
        <f ca="1"/>
      </c>
      <c r="AG705">
        <f ca="1"/>
      </c>
      <c r="AH705">
        <f ca="1"/>
      </c>
      <c r="AI705">
        <f ca="1"/>
      </c>
      <c r="AJ705">
        <f ca="1"/>
      </c>
      <c r="AK705">
        <f ca="1"/>
      </c>
      <c r="AL705">
        <f ca="1"/>
      </c>
      <c r="AM705">
        <f ca="1"/>
      </c>
      <c r="AN705">
        <f ca="1"/>
      </c>
      <c r="AO705">
        <f ca="1"/>
      </c>
      <c r="AP705">
        <f ca="1"/>
      </c>
      <c r="AQ705">
        <f ca="1"/>
      </c>
      <c r="AR705">
        <f ca="1"/>
      </c>
      <c r="AT705" s="7">
        <f ca="1"/>
      </c>
      <c r="AU705">
        <f ca="1"/>
      </c>
      <c r="AV705">
        <f ca="1"/>
      </c>
      <c r="AW705">
        <f ca="1"/>
      </c>
      <c r="AX705">
        <f ca="1"/>
      </c>
      <c r="AY705">
        <f ca="1"/>
      </c>
      <c r="BA705" s="7"/>
    </row>
    <row r="706" spans="31:53" x14ac:dyDescent="0.55000000000000004">
      <c r="AE706" s="7">
        <f ca="1"/>
      </c>
      <c r="AF706">
        <f ca="1"/>
      </c>
      <c r="AG706">
        <f ca="1"/>
      </c>
      <c r="AH706">
        <f ca="1"/>
      </c>
      <c r="AI706">
        <f ca="1"/>
      </c>
      <c r="AJ706">
        <f ca="1"/>
      </c>
      <c r="AK706">
        <f ca="1"/>
      </c>
      <c r="AL706">
        <f ca="1"/>
      </c>
      <c r="AM706">
        <f ca="1"/>
      </c>
      <c r="AN706">
        <f ca="1"/>
      </c>
      <c r="AO706">
        <f ca="1"/>
      </c>
      <c r="AP706">
        <f ca="1"/>
      </c>
      <c r="AQ706">
        <f ca="1"/>
      </c>
      <c r="AR706">
        <f ca="1"/>
      </c>
      <c r="AT706" s="7">
        <f ca="1"/>
      </c>
      <c r="AU706">
        <f ca="1"/>
      </c>
      <c r="AV706">
        <f ca="1"/>
      </c>
      <c r="AW706">
        <f ca="1"/>
      </c>
      <c r="AX706">
        <f ca="1"/>
      </c>
      <c r="AY706">
        <f ca="1"/>
      </c>
      <c r="BA706" s="7"/>
    </row>
    <row r="707" spans="31:53" x14ac:dyDescent="0.55000000000000004">
      <c r="AE707" s="7">
        <f ca="1"/>
      </c>
      <c r="AF707">
        <f ca="1"/>
      </c>
      <c r="AG707">
        <f ca="1"/>
      </c>
      <c r="AH707">
        <f ca="1"/>
      </c>
      <c r="AI707">
        <f ca="1"/>
      </c>
      <c r="AJ707">
        <f ca="1"/>
      </c>
      <c r="AK707">
        <f ca="1"/>
      </c>
      <c r="AL707">
        <f ca="1"/>
      </c>
      <c r="AM707">
        <f ca="1"/>
      </c>
      <c r="AN707">
        <f ca="1"/>
      </c>
      <c r="AO707">
        <f ca="1"/>
      </c>
      <c r="AP707">
        <f ca="1"/>
      </c>
      <c r="AQ707">
        <f ca="1"/>
      </c>
      <c r="AR707">
        <f ca="1"/>
      </c>
      <c r="AT707" s="7">
        <f ca="1"/>
      </c>
      <c r="AU707">
        <f ca="1"/>
      </c>
      <c r="AV707">
        <f ca="1"/>
      </c>
      <c r="AW707">
        <f ca="1"/>
      </c>
      <c r="AX707">
        <f ca="1"/>
      </c>
      <c r="AY707">
        <f ca="1"/>
      </c>
      <c r="BA707" s="7"/>
    </row>
    <row r="708" spans="31:53" x14ac:dyDescent="0.55000000000000004">
      <c r="AE708" s="7">
        <f ca="1"/>
      </c>
      <c r="AF708">
        <f ca="1"/>
      </c>
      <c r="AG708">
        <f ca="1"/>
      </c>
      <c r="AH708">
        <f ca="1"/>
      </c>
      <c r="AI708">
        <f ca="1"/>
      </c>
      <c r="AJ708">
        <f ca="1"/>
      </c>
      <c r="AK708">
        <f ca="1"/>
      </c>
      <c r="AL708">
        <f ca="1"/>
      </c>
      <c r="AM708">
        <f ca="1"/>
      </c>
      <c r="AN708">
        <f ca="1"/>
      </c>
      <c r="AO708">
        <f ca="1"/>
      </c>
      <c r="AP708">
        <f ca="1"/>
      </c>
      <c r="AQ708">
        <f ca="1"/>
      </c>
      <c r="AR708">
        <f ca="1"/>
      </c>
      <c r="AT708" s="7">
        <f ca="1"/>
      </c>
      <c r="AU708">
        <f ca="1"/>
      </c>
      <c r="AV708">
        <f ca="1"/>
      </c>
      <c r="AW708">
        <f ca="1"/>
      </c>
      <c r="AX708">
        <f ca="1"/>
      </c>
      <c r="AY708">
        <f ca="1"/>
      </c>
      <c r="BA708" s="7"/>
    </row>
    <row r="709" spans="31:53" x14ac:dyDescent="0.55000000000000004">
      <c r="AE709" s="7">
        <f ca="1"/>
      </c>
      <c r="AF709">
        <f ca="1"/>
      </c>
      <c r="AG709">
        <f ca="1"/>
      </c>
      <c r="AH709">
        <f ca="1"/>
      </c>
      <c r="AI709">
        <f ca="1"/>
      </c>
      <c r="AJ709">
        <f ca="1"/>
      </c>
      <c r="AK709">
        <f ca="1"/>
      </c>
      <c r="AL709">
        <f ca="1"/>
      </c>
      <c r="AM709">
        <f ca="1"/>
      </c>
      <c r="AN709">
        <f ca="1"/>
      </c>
      <c r="AO709">
        <f ca="1"/>
      </c>
      <c r="AP709">
        <f ca="1"/>
      </c>
      <c r="AQ709">
        <f ca="1"/>
      </c>
      <c r="AR709">
        <f ca="1"/>
      </c>
      <c r="AT709" s="7">
        <f ca="1"/>
      </c>
      <c r="AU709">
        <f ca="1"/>
      </c>
      <c r="AV709">
        <f ca="1"/>
      </c>
      <c r="AW709">
        <f ca="1"/>
      </c>
      <c r="AX709">
        <f ca="1"/>
      </c>
      <c r="AY709">
        <f ca="1"/>
      </c>
      <c r="BA709" s="7"/>
    </row>
    <row r="710" spans="31:53" x14ac:dyDescent="0.55000000000000004">
      <c r="AE710" s="7">
        <f ca="1"/>
      </c>
      <c r="AF710">
        <f ca="1"/>
      </c>
      <c r="AG710">
        <f ca="1"/>
      </c>
      <c r="AH710">
        <f ca="1"/>
      </c>
      <c r="AI710">
        <f ca="1"/>
      </c>
      <c r="AJ710">
        <f ca="1"/>
      </c>
      <c r="AK710">
        <f ca="1"/>
      </c>
      <c r="AL710">
        <f ca="1"/>
      </c>
      <c r="AM710">
        <f ca="1"/>
      </c>
      <c r="AN710">
        <f ca="1"/>
      </c>
      <c r="AO710">
        <f ca="1"/>
      </c>
      <c r="AP710">
        <f ca="1"/>
      </c>
      <c r="AQ710">
        <f ca="1"/>
      </c>
      <c r="AR710">
        <f ca="1"/>
      </c>
      <c r="AT710" s="7">
        <f ca="1"/>
      </c>
      <c r="AU710">
        <f ca="1"/>
      </c>
      <c r="AV710">
        <f ca="1"/>
      </c>
      <c r="AW710">
        <f ca="1"/>
      </c>
      <c r="AX710">
        <f ca="1"/>
      </c>
      <c r="AY710">
        <f ca="1"/>
      </c>
      <c r="BA710" s="7"/>
    </row>
    <row r="711" spans="31:53" x14ac:dyDescent="0.55000000000000004">
      <c r="AE711" s="7">
        <f ca="1"/>
      </c>
      <c r="AF711">
        <f ca="1"/>
      </c>
      <c r="AG711">
        <f ca="1"/>
      </c>
      <c r="AH711">
        <f ca="1"/>
      </c>
      <c r="AI711">
        <f ca="1"/>
      </c>
      <c r="AJ711">
        <f ca="1"/>
      </c>
      <c r="AK711">
        <f ca="1"/>
      </c>
      <c r="AL711">
        <f ca="1"/>
      </c>
      <c r="AM711">
        <f ca="1"/>
      </c>
      <c r="AN711">
        <f ca="1"/>
      </c>
      <c r="AO711">
        <f ca="1"/>
      </c>
      <c r="AP711">
        <f ca="1"/>
      </c>
      <c r="AQ711">
        <f ca="1"/>
      </c>
      <c r="AR711">
        <f ca="1"/>
      </c>
      <c r="AT711" s="7">
        <f ca="1"/>
      </c>
      <c r="AU711">
        <f ca="1"/>
      </c>
      <c r="AV711">
        <f ca="1"/>
      </c>
      <c r="AW711">
        <f ca="1"/>
      </c>
      <c r="AX711">
        <f ca="1"/>
      </c>
      <c r="AY711">
        <f ca="1"/>
      </c>
      <c r="BA711" s="7"/>
    </row>
    <row r="712" spans="31:53" x14ac:dyDescent="0.55000000000000004">
      <c r="AE712" s="7">
        <f ca="1"/>
      </c>
      <c r="AF712">
        <f ca="1"/>
      </c>
      <c r="AG712">
        <f ca="1"/>
      </c>
      <c r="AH712">
        <f ca="1"/>
      </c>
      <c r="AI712">
        <f ca="1"/>
      </c>
      <c r="AJ712">
        <f ca="1"/>
      </c>
      <c r="AK712">
        <f ca="1"/>
      </c>
      <c r="AL712">
        <f ca="1"/>
      </c>
      <c r="AM712">
        <f ca="1"/>
      </c>
      <c r="AN712">
        <f ca="1"/>
      </c>
      <c r="AO712">
        <f ca="1"/>
      </c>
      <c r="AP712">
        <f ca="1"/>
      </c>
      <c r="AQ712">
        <f ca="1"/>
      </c>
      <c r="AR712">
        <f ca="1"/>
      </c>
      <c r="AT712" s="7">
        <f ca="1"/>
      </c>
      <c r="AU712">
        <f ca="1"/>
      </c>
      <c r="AV712">
        <f ca="1"/>
      </c>
      <c r="AW712">
        <f ca="1"/>
      </c>
      <c r="AX712">
        <f ca="1"/>
      </c>
      <c r="AY712">
        <f ca="1"/>
      </c>
      <c r="BA712" s="7"/>
    </row>
    <row r="713" spans="31:53" x14ac:dyDescent="0.55000000000000004">
      <c r="AE713" s="7">
        <f ca="1"/>
      </c>
      <c r="AF713">
        <f ca="1"/>
      </c>
      <c r="AG713">
        <f ca="1"/>
      </c>
      <c r="AH713">
        <f ca="1"/>
      </c>
      <c r="AI713">
        <f ca="1"/>
      </c>
      <c r="AJ713">
        <f ca="1"/>
      </c>
      <c r="AK713">
        <f ca="1"/>
      </c>
      <c r="AL713">
        <f ca="1"/>
      </c>
      <c r="AM713">
        <f ca="1"/>
      </c>
      <c r="AN713">
        <f ca="1"/>
      </c>
      <c r="AO713">
        <f ca="1"/>
      </c>
      <c r="AP713">
        <f ca="1"/>
      </c>
      <c r="AQ713">
        <f ca="1"/>
      </c>
      <c r="AR713">
        <f ca="1"/>
      </c>
      <c r="AT713" s="7">
        <f ca="1"/>
      </c>
      <c r="AU713">
        <f ca="1"/>
      </c>
      <c r="AV713">
        <f ca="1"/>
      </c>
      <c r="AW713">
        <f ca="1"/>
      </c>
      <c r="AX713">
        <f ca="1"/>
      </c>
      <c r="AY713">
        <f ca="1"/>
      </c>
      <c r="BA713" s="7"/>
    </row>
    <row r="714" spans="31:53" x14ac:dyDescent="0.55000000000000004">
      <c r="AE714" s="7">
        <f ca="1"/>
      </c>
      <c r="AF714">
        <f ca="1"/>
      </c>
      <c r="AG714">
        <f ca="1"/>
      </c>
      <c r="AH714">
        <f ca="1"/>
      </c>
      <c r="AI714">
        <f ca="1"/>
      </c>
      <c r="AJ714">
        <f ca="1"/>
      </c>
      <c r="AK714">
        <f ca="1"/>
      </c>
      <c r="AL714">
        <f ca="1"/>
      </c>
      <c r="AM714">
        <f ca="1"/>
      </c>
      <c r="AN714">
        <f ca="1"/>
      </c>
      <c r="AO714">
        <f ca="1"/>
      </c>
      <c r="AP714">
        <f ca="1"/>
      </c>
      <c r="AQ714">
        <f ca="1"/>
      </c>
      <c r="AR714">
        <f ca="1"/>
      </c>
      <c r="AT714" s="7">
        <f ca="1"/>
      </c>
      <c r="AU714">
        <f ca="1"/>
      </c>
      <c r="AV714">
        <f ca="1"/>
      </c>
      <c r="AW714">
        <f ca="1"/>
      </c>
      <c r="AX714">
        <f ca="1"/>
      </c>
      <c r="AY714">
        <f ca="1"/>
      </c>
      <c r="BA714" s="7"/>
    </row>
    <row r="715" spans="31:53" x14ac:dyDescent="0.55000000000000004">
      <c r="AE715" s="7">
        <f ca="1"/>
      </c>
      <c r="AF715">
        <f ca="1"/>
      </c>
      <c r="AG715">
        <f ca="1"/>
      </c>
      <c r="AH715">
        <f ca="1"/>
      </c>
      <c r="AI715">
        <f ca="1"/>
      </c>
      <c r="AJ715">
        <f ca="1"/>
      </c>
      <c r="AK715">
        <f ca="1"/>
      </c>
      <c r="AL715">
        <f ca="1"/>
      </c>
      <c r="AM715">
        <f ca="1"/>
      </c>
      <c r="AN715">
        <f ca="1"/>
      </c>
      <c r="AO715">
        <f ca="1"/>
      </c>
      <c r="AP715">
        <f ca="1"/>
      </c>
      <c r="AQ715">
        <f ca="1"/>
      </c>
      <c r="AR715">
        <f ca="1"/>
      </c>
      <c r="AT715" s="7">
        <f ca="1"/>
      </c>
      <c r="AU715">
        <f ca="1"/>
      </c>
      <c r="AV715">
        <f ca="1"/>
      </c>
      <c r="AW715">
        <f ca="1"/>
      </c>
      <c r="AX715">
        <f ca="1"/>
      </c>
      <c r="AY715">
        <f ca="1"/>
      </c>
      <c r="BA715" s="7"/>
    </row>
    <row r="716" spans="31:53" x14ac:dyDescent="0.55000000000000004">
      <c r="AE716" s="7">
        <f ca="1"/>
      </c>
      <c r="AF716">
        <f ca="1"/>
      </c>
      <c r="AG716">
        <f ca="1"/>
      </c>
      <c r="AH716">
        <f ca="1"/>
      </c>
      <c r="AI716">
        <f ca="1"/>
      </c>
      <c r="AJ716">
        <f ca="1"/>
      </c>
      <c r="AK716">
        <f ca="1"/>
      </c>
      <c r="AL716">
        <f ca="1"/>
      </c>
      <c r="AM716">
        <f ca="1"/>
      </c>
      <c r="AN716">
        <f ca="1"/>
      </c>
      <c r="AO716">
        <f ca="1"/>
      </c>
      <c r="AP716">
        <f ca="1"/>
      </c>
      <c r="AQ716">
        <f ca="1"/>
      </c>
      <c r="AR716">
        <f ca="1"/>
      </c>
      <c r="AT716" s="7">
        <f ca="1"/>
      </c>
      <c r="AU716">
        <f ca="1"/>
      </c>
      <c r="AV716">
        <f ca="1"/>
      </c>
      <c r="AW716">
        <f ca="1"/>
      </c>
      <c r="AX716">
        <f ca="1"/>
      </c>
      <c r="AY716">
        <f ca="1"/>
      </c>
      <c r="BA716" s="7"/>
    </row>
    <row r="717" spans="31:53" x14ac:dyDescent="0.55000000000000004">
      <c r="AE717" s="7">
        <f ca="1"/>
      </c>
      <c r="AF717">
        <f ca="1"/>
      </c>
      <c r="AG717">
        <f ca="1"/>
      </c>
      <c r="AH717">
        <f ca="1"/>
      </c>
      <c r="AI717">
        <f ca="1"/>
      </c>
      <c r="AJ717">
        <f ca="1"/>
      </c>
      <c r="AK717">
        <f ca="1"/>
      </c>
      <c r="AL717">
        <f ca="1"/>
      </c>
      <c r="AM717">
        <f ca="1"/>
      </c>
      <c r="AN717">
        <f ca="1"/>
      </c>
      <c r="AO717">
        <f ca="1"/>
      </c>
      <c r="AP717">
        <f ca="1"/>
      </c>
      <c r="AQ717">
        <f ca="1"/>
      </c>
      <c r="AR717">
        <f ca="1"/>
      </c>
      <c r="AT717" s="7">
        <f ca="1"/>
      </c>
      <c r="AU717">
        <f ca="1"/>
      </c>
      <c r="AV717">
        <f ca="1"/>
      </c>
      <c r="AW717">
        <f ca="1"/>
      </c>
      <c r="AX717">
        <f ca="1"/>
      </c>
      <c r="AY717">
        <f ca="1"/>
      </c>
      <c r="BA717" s="7"/>
    </row>
    <row r="718" spans="31:53" x14ac:dyDescent="0.55000000000000004">
      <c r="AE718" s="7">
        <f ca="1"/>
      </c>
      <c r="AF718">
        <f ca="1"/>
      </c>
      <c r="AG718">
        <f ca="1"/>
      </c>
      <c r="AH718">
        <f ca="1"/>
      </c>
      <c r="AI718">
        <f ca="1"/>
      </c>
      <c r="AJ718">
        <f ca="1"/>
      </c>
      <c r="AK718">
        <f ca="1"/>
      </c>
      <c r="AL718">
        <f ca="1"/>
      </c>
      <c r="AM718">
        <f ca="1"/>
      </c>
      <c r="AN718">
        <f ca="1"/>
      </c>
      <c r="AO718">
        <f ca="1"/>
      </c>
      <c r="AP718">
        <f ca="1"/>
      </c>
      <c r="AQ718">
        <f ca="1"/>
      </c>
      <c r="AR718">
        <f ca="1"/>
      </c>
      <c r="AT718" s="7">
        <f ca="1"/>
      </c>
      <c r="AU718">
        <f ca="1"/>
      </c>
      <c r="AV718">
        <f ca="1"/>
      </c>
      <c r="AW718">
        <f ca="1"/>
      </c>
      <c r="AX718">
        <f ca="1"/>
      </c>
      <c r="AY718">
        <f ca="1"/>
      </c>
      <c r="BA718" s="7"/>
    </row>
    <row r="719" spans="31:53" x14ac:dyDescent="0.55000000000000004">
      <c r="AE719" s="7">
        <f ca="1"/>
      </c>
      <c r="AF719">
        <f ca="1"/>
      </c>
      <c r="AG719">
        <f ca="1"/>
      </c>
      <c r="AH719">
        <f ca="1"/>
      </c>
      <c r="AI719">
        <f ca="1"/>
      </c>
      <c r="AJ719">
        <f ca="1"/>
      </c>
      <c r="AK719">
        <f ca="1"/>
      </c>
      <c r="AL719">
        <f ca="1"/>
      </c>
      <c r="AM719">
        <f ca="1"/>
      </c>
      <c r="AN719">
        <f ca="1"/>
      </c>
      <c r="AO719">
        <f ca="1"/>
      </c>
      <c r="AP719">
        <f ca="1"/>
      </c>
      <c r="AQ719">
        <f ca="1"/>
      </c>
      <c r="AR719">
        <f ca="1"/>
      </c>
      <c r="AT719" s="7">
        <f ca="1"/>
      </c>
      <c r="AU719">
        <f ca="1"/>
      </c>
      <c r="AV719">
        <f ca="1"/>
      </c>
      <c r="AW719">
        <f ca="1"/>
      </c>
      <c r="AX719">
        <f ca="1"/>
      </c>
      <c r="AY719">
        <f ca="1"/>
      </c>
      <c r="BA719" s="7"/>
    </row>
    <row r="720" spans="31:53" x14ac:dyDescent="0.55000000000000004">
      <c r="AE720" s="7">
        <f ca="1"/>
      </c>
      <c r="AF720">
        <f ca="1"/>
      </c>
      <c r="AG720">
        <f ca="1"/>
      </c>
      <c r="AH720">
        <f ca="1"/>
      </c>
      <c r="AI720">
        <f ca="1"/>
      </c>
      <c r="AJ720">
        <f ca="1"/>
      </c>
      <c r="AK720">
        <f ca="1"/>
      </c>
      <c r="AL720">
        <f ca="1"/>
      </c>
      <c r="AM720">
        <f ca="1"/>
      </c>
      <c r="AN720">
        <f ca="1"/>
      </c>
      <c r="AO720">
        <f ca="1"/>
      </c>
      <c r="AP720">
        <f ca="1"/>
      </c>
      <c r="AQ720">
        <f ca="1"/>
      </c>
      <c r="AR720">
        <f ca="1"/>
      </c>
      <c r="AT720" s="7">
        <f ca="1"/>
      </c>
      <c r="AU720">
        <f ca="1"/>
      </c>
      <c r="AV720">
        <f ca="1"/>
      </c>
      <c r="AW720">
        <f ca="1"/>
      </c>
      <c r="AX720">
        <f ca="1"/>
      </c>
      <c r="AY720">
        <f ca="1"/>
      </c>
      <c r="BA720" s="7"/>
    </row>
    <row r="721" spans="31:53" x14ac:dyDescent="0.55000000000000004">
      <c r="AE721" s="7">
        <f ca="1"/>
      </c>
      <c r="AF721">
        <f ca="1"/>
      </c>
      <c r="AG721">
        <f ca="1"/>
      </c>
      <c r="AH721">
        <f ca="1"/>
      </c>
      <c r="AI721">
        <f ca="1"/>
      </c>
      <c r="AJ721">
        <f ca="1"/>
      </c>
      <c r="AK721">
        <f ca="1"/>
      </c>
      <c r="AL721">
        <f ca="1"/>
      </c>
      <c r="AM721">
        <f ca="1"/>
      </c>
      <c r="AN721">
        <f ca="1"/>
      </c>
      <c r="AO721">
        <f ca="1"/>
      </c>
      <c r="AP721">
        <f ca="1"/>
      </c>
      <c r="AQ721">
        <f ca="1"/>
      </c>
      <c r="AR721">
        <f ca="1"/>
      </c>
      <c r="AT721" s="7">
        <f ca="1"/>
      </c>
      <c r="AU721">
        <f ca="1"/>
      </c>
      <c r="AV721">
        <f ca="1"/>
      </c>
      <c r="AW721">
        <f ca="1"/>
      </c>
      <c r="AX721">
        <f ca="1"/>
      </c>
      <c r="AY721">
        <f ca="1"/>
      </c>
      <c r="BA721" s="7"/>
    </row>
    <row r="722" spans="31:53" x14ac:dyDescent="0.55000000000000004">
      <c r="AE722" s="7">
        <f ca="1"/>
      </c>
      <c r="AF722">
        <f ca="1"/>
      </c>
      <c r="AG722">
        <f ca="1"/>
      </c>
      <c r="AH722">
        <f ca="1"/>
      </c>
      <c r="AI722">
        <f ca="1"/>
      </c>
      <c r="AJ722">
        <f ca="1"/>
      </c>
      <c r="AK722">
        <f ca="1"/>
      </c>
      <c r="AL722">
        <f ca="1"/>
      </c>
      <c r="AM722">
        <f ca="1"/>
      </c>
      <c r="AN722">
        <f ca="1"/>
      </c>
      <c r="AO722">
        <f ca="1"/>
      </c>
      <c r="AP722">
        <f ca="1"/>
      </c>
      <c r="AQ722">
        <f ca="1"/>
      </c>
      <c r="AR722">
        <f ca="1"/>
      </c>
      <c r="AT722" s="7">
        <f ca="1"/>
      </c>
      <c r="AU722">
        <f ca="1"/>
      </c>
      <c r="AV722">
        <f ca="1"/>
      </c>
      <c r="AW722">
        <f ca="1"/>
      </c>
      <c r="AX722">
        <f ca="1"/>
      </c>
      <c r="AY722">
        <f ca="1"/>
      </c>
      <c r="BA722" s="7"/>
    </row>
    <row r="723" spans="31:53" x14ac:dyDescent="0.55000000000000004">
      <c r="AE723" s="7">
        <f ca="1"/>
      </c>
      <c r="AF723">
        <f ca="1"/>
      </c>
      <c r="AG723">
        <f ca="1"/>
      </c>
      <c r="AH723">
        <f ca="1"/>
      </c>
      <c r="AI723">
        <f ca="1"/>
      </c>
      <c r="AJ723">
        <f ca="1"/>
      </c>
      <c r="AK723">
        <f ca="1"/>
      </c>
      <c r="AL723">
        <f ca="1"/>
      </c>
      <c r="AM723">
        <f ca="1"/>
      </c>
      <c r="AN723">
        <f ca="1"/>
      </c>
      <c r="AO723">
        <f ca="1"/>
      </c>
      <c r="AP723">
        <f ca="1"/>
      </c>
      <c r="AQ723">
        <f ca="1"/>
      </c>
      <c r="AR723">
        <f ca="1"/>
      </c>
      <c r="AT723" s="7">
        <f ca="1"/>
      </c>
      <c r="AU723">
        <f ca="1"/>
      </c>
      <c r="AV723">
        <f ca="1"/>
      </c>
      <c r="AW723">
        <f ca="1"/>
      </c>
      <c r="AX723">
        <f ca="1"/>
      </c>
      <c r="AY723">
        <f ca="1"/>
      </c>
      <c r="BA723" s="7"/>
    </row>
    <row r="724" spans="31:53" x14ac:dyDescent="0.55000000000000004">
      <c r="AE724" s="7">
        <f ca="1"/>
      </c>
      <c r="AF724">
        <f ca="1"/>
      </c>
      <c r="AG724">
        <f ca="1"/>
      </c>
      <c r="AH724">
        <f ca="1"/>
      </c>
      <c r="AI724">
        <f ca="1"/>
      </c>
      <c r="AJ724">
        <f ca="1"/>
      </c>
      <c r="AK724">
        <f ca="1"/>
      </c>
      <c r="AL724">
        <f ca="1"/>
      </c>
      <c r="AM724">
        <f ca="1"/>
      </c>
      <c r="AN724">
        <f ca="1"/>
      </c>
      <c r="AO724">
        <f ca="1"/>
      </c>
      <c r="AP724">
        <f ca="1"/>
      </c>
      <c r="AQ724">
        <f ca="1"/>
      </c>
      <c r="AR724">
        <f ca="1"/>
      </c>
      <c r="AT724" s="7">
        <f ca="1"/>
      </c>
      <c r="AU724">
        <f ca="1"/>
      </c>
      <c r="AV724">
        <f ca="1"/>
      </c>
      <c r="AW724">
        <f ca="1"/>
      </c>
      <c r="AX724">
        <f ca="1"/>
      </c>
      <c r="AY724">
        <f ca="1"/>
      </c>
      <c r="BA724" s="7"/>
    </row>
    <row r="725" spans="31:53" x14ac:dyDescent="0.55000000000000004">
      <c r="AE725" s="7">
        <f ca="1"/>
      </c>
      <c r="AF725">
        <f ca="1"/>
      </c>
      <c r="AG725">
        <f ca="1"/>
      </c>
      <c r="AH725">
        <f ca="1"/>
      </c>
      <c r="AI725">
        <f ca="1"/>
      </c>
      <c r="AJ725">
        <f ca="1"/>
      </c>
      <c r="AK725">
        <f ca="1"/>
      </c>
      <c r="AL725">
        <f ca="1"/>
      </c>
      <c r="AM725">
        <f ca="1"/>
      </c>
      <c r="AN725">
        <f ca="1"/>
      </c>
      <c r="AO725">
        <f ca="1"/>
      </c>
      <c r="AP725">
        <f ca="1"/>
      </c>
      <c r="AQ725">
        <f ca="1"/>
      </c>
      <c r="AR725">
        <f ca="1"/>
      </c>
      <c r="AT725" s="7">
        <f ca="1"/>
      </c>
      <c r="AU725">
        <f ca="1"/>
      </c>
      <c r="AV725">
        <f ca="1"/>
      </c>
      <c r="AW725">
        <f ca="1"/>
      </c>
      <c r="AX725">
        <f ca="1"/>
      </c>
      <c r="AY725">
        <f ca="1"/>
      </c>
      <c r="BA725" s="7"/>
    </row>
    <row r="726" spans="31:53" x14ac:dyDescent="0.55000000000000004">
      <c r="AE726" s="7">
        <f ca="1"/>
      </c>
      <c r="AF726">
        <f ca="1"/>
      </c>
      <c r="AG726">
        <f ca="1"/>
      </c>
      <c r="AH726">
        <f ca="1"/>
      </c>
      <c r="AI726">
        <f ca="1"/>
      </c>
      <c r="AJ726">
        <f ca="1"/>
      </c>
      <c r="AK726">
        <f ca="1"/>
      </c>
      <c r="AL726">
        <f ca="1"/>
      </c>
      <c r="AM726">
        <f ca="1"/>
      </c>
      <c r="AN726">
        <f ca="1"/>
      </c>
      <c r="AO726">
        <f ca="1"/>
      </c>
      <c r="AP726">
        <f ca="1"/>
      </c>
      <c r="AQ726">
        <f ca="1"/>
      </c>
      <c r="AR726">
        <f ca="1"/>
      </c>
      <c r="AT726" s="7">
        <f ca="1"/>
      </c>
      <c r="AU726">
        <f ca="1"/>
      </c>
      <c r="AV726">
        <f ca="1"/>
      </c>
      <c r="AW726">
        <f ca="1"/>
      </c>
      <c r="AX726">
        <f ca="1"/>
      </c>
      <c r="AY726">
        <f ca="1"/>
      </c>
      <c r="BA726" s="7"/>
    </row>
    <row r="727" spans="31:53" x14ac:dyDescent="0.55000000000000004">
      <c r="AE727" s="7">
        <f ca="1"/>
      </c>
      <c r="AF727">
        <f ca="1"/>
      </c>
      <c r="AG727">
        <f ca="1"/>
      </c>
      <c r="AH727">
        <f ca="1"/>
      </c>
      <c r="AI727">
        <f ca="1"/>
      </c>
      <c r="AJ727">
        <f ca="1"/>
      </c>
      <c r="AK727">
        <f ca="1"/>
      </c>
      <c r="AL727">
        <f ca="1"/>
      </c>
      <c r="AM727">
        <f ca="1"/>
      </c>
      <c r="AN727">
        <f ca="1"/>
      </c>
      <c r="AO727">
        <f ca="1"/>
      </c>
      <c r="AP727">
        <f ca="1"/>
      </c>
      <c r="AQ727">
        <f ca="1"/>
      </c>
      <c r="AR727">
        <f ca="1"/>
      </c>
      <c r="AT727" s="7">
        <f ca="1"/>
      </c>
      <c r="AU727">
        <f ca="1"/>
      </c>
      <c r="AV727">
        <f ca="1"/>
      </c>
      <c r="AW727">
        <f ca="1"/>
      </c>
      <c r="AX727">
        <f ca="1"/>
      </c>
      <c r="AY727">
        <f ca="1"/>
      </c>
      <c r="BA727" s="7"/>
    </row>
    <row r="728" spans="31:53" x14ac:dyDescent="0.55000000000000004">
      <c r="AE728" s="7">
        <f ca="1"/>
      </c>
      <c r="AF728">
        <f ca="1"/>
      </c>
      <c r="AG728">
        <f ca="1"/>
      </c>
      <c r="AH728">
        <f ca="1"/>
      </c>
      <c r="AI728">
        <f ca="1"/>
      </c>
      <c r="AJ728">
        <f ca="1"/>
      </c>
      <c r="AK728">
        <f ca="1"/>
      </c>
      <c r="AL728">
        <f ca="1"/>
      </c>
      <c r="AM728">
        <f ca="1"/>
      </c>
      <c r="AN728">
        <f ca="1"/>
      </c>
      <c r="AO728">
        <f ca="1"/>
      </c>
      <c r="AP728">
        <f ca="1"/>
      </c>
      <c r="AQ728">
        <f ca="1"/>
      </c>
      <c r="AR728">
        <f ca="1"/>
      </c>
      <c r="AT728" s="7">
        <f ca="1"/>
      </c>
      <c r="AU728">
        <f ca="1"/>
      </c>
      <c r="AV728">
        <f ca="1"/>
      </c>
      <c r="AW728">
        <f ca="1"/>
      </c>
      <c r="AX728">
        <f ca="1"/>
      </c>
      <c r="AY728">
        <f ca="1"/>
      </c>
      <c r="BA728" s="7"/>
    </row>
    <row r="729" spans="31:53" x14ac:dyDescent="0.55000000000000004">
      <c r="AE729" s="7">
        <f ca="1"/>
      </c>
      <c r="AF729">
        <f ca="1"/>
      </c>
      <c r="AG729">
        <f ca="1"/>
      </c>
      <c r="AH729">
        <f ca="1"/>
      </c>
      <c r="AI729">
        <f ca="1"/>
      </c>
      <c r="AJ729">
        <f ca="1"/>
      </c>
      <c r="AK729">
        <f ca="1"/>
      </c>
      <c r="AL729">
        <f ca="1"/>
      </c>
      <c r="AM729">
        <f ca="1"/>
      </c>
      <c r="AN729">
        <f ca="1"/>
      </c>
      <c r="AO729">
        <f ca="1"/>
      </c>
      <c r="AP729">
        <f ca="1"/>
      </c>
      <c r="AQ729">
        <f ca="1"/>
      </c>
      <c r="AR729">
        <f ca="1"/>
      </c>
      <c r="AT729" s="7">
        <f ca="1"/>
      </c>
      <c r="AU729">
        <f ca="1"/>
      </c>
      <c r="AV729">
        <f ca="1"/>
      </c>
      <c r="AW729">
        <f ca="1"/>
      </c>
      <c r="AX729">
        <f ca="1"/>
      </c>
      <c r="AY729">
        <f ca="1"/>
      </c>
      <c r="BA729" s="7"/>
    </row>
    <row r="730" spans="31:53" x14ac:dyDescent="0.55000000000000004">
      <c r="AE730" s="7">
        <f ca="1"/>
      </c>
      <c r="AF730">
        <f ca="1"/>
      </c>
      <c r="AG730">
        <f ca="1"/>
      </c>
      <c r="AH730">
        <f ca="1"/>
      </c>
      <c r="AI730">
        <f ca="1"/>
      </c>
      <c r="AJ730">
        <f ca="1"/>
      </c>
      <c r="AK730">
        <f ca="1"/>
      </c>
      <c r="AL730">
        <f ca="1"/>
      </c>
      <c r="AM730">
        <f ca="1"/>
      </c>
      <c r="AN730">
        <f ca="1"/>
      </c>
      <c r="AO730">
        <f ca="1"/>
      </c>
      <c r="AP730">
        <f ca="1"/>
      </c>
      <c r="AQ730">
        <f ca="1"/>
      </c>
      <c r="AR730">
        <f ca="1"/>
      </c>
      <c r="AT730" s="7">
        <f ca="1"/>
      </c>
      <c r="AU730">
        <f ca="1"/>
      </c>
      <c r="AV730">
        <f ca="1"/>
      </c>
      <c r="AW730">
        <f ca="1"/>
      </c>
      <c r="AX730">
        <f ca="1"/>
      </c>
      <c r="AY730">
        <f ca="1"/>
      </c>
      <c r="BA730" s="7"/>
    </row>
    <row r="731" spans="31:53" x14ac:dyDescent="0.55000000000000004">
      <c r="AE731" s="7">
        <f ca="1"/>
      </c>
      <c r="AF731">
        <f ca="1"/>
      </c>
      <c r="AG731">
        <f ca="1"/>
      </c>
      <c r="AH731">
        <f ca="1"/>
      </c>
      <c r="AI731">
        <f ca="1"/>
      </c>
      <c r="AJ731">
        <f ca="1"/>
      </c>
      <c r="AK731">
        <f ca="1"/>
      </c>
      <c r="AL731">
        <f ca="1"/>
      </c>
      <c r="AM731">
        <f ca="1"/>
      </c>
      <c r="AN731">
        <f ca="1"/>
      </c>
      <c r="AO731">
        <f ca="1"/>
      </c>
      <c r="AP731">
        <f ca="1"/>
      </c>
      <c r="AQ731">
        <f ca="1"/>
      </c>
      <c r="AR731">
        <f ca="1"/>
      </c>
      <c r="AT731" s="7">
        <f ca="1"/>
      </c>
      <c r="AU731">
        <f ca="1"/>
      </c>
      <c r="AV731">
        <f ca="1"/>
      </c>
      <c r="AW731">
        <f ca="1"/>
      </c>
      <c r="AX731">
        <f ca="1"/>
      </c>
      <c r="AY731">
        <f ca="1"/>
      </c>
      <c r="BA731" s="7"/>
    </row>
    <row r="732" spans="31:53" x14ac:dyDescent="0.55000000000000004">
      <c r="AE732" s="7">
        <f ca="1"/>
      </c>
      <c r="AF732">
        <f ca="1"/>
      </c>
      <c r="AG732">
        <f ca="1"/>
      </c>
      <c r="AH732">
        <f ca="1"/>
      </c>
      <c r="AI732">
        <f ca="1"/>
      </c>
      <c r="AJ732">
        <f ca="1"/>
      </c>
      <c r="AK732">
        <f ca="1"/>
      </c>
      <c r="AL732">
        <f ca="1"/>
      </c>
      <c r="AM732">
        <f ca="1"/>
      </c>
      <c r="AN732">
        <f ca="1"/>
      </c>
      <c r="AO732">
        <f ca="1"/>
      </c>
      <c r="AP732">
        <f ca="1"/>
      </c>
      <c r="AQ732">
        <f ca="1"/>
      </c>
      <c r="AR732">
        <f ca="1"/>
      </c>
      <c r="AT732" s="7">
        <f ca="1"/>
      </c>
      <c r="AU732">
        <f ca="1"/>
      </c>
      <c r="AV732">
        <f ca="1"/>
      </c>
      <c r="AW732">
        <f ca="1"/>
      </c>
      <c r="AX732">
        <f ca="1"/>
      </c>
      <c r="AY732">
        <f ca="1"/>
      </c>
      <c r="BA732" s="7"/>
    </row>
    <row r="733" spans="31:53" x14ac:dyDescent="0.55000000000000004">
      <c r="AE733" s="7">
        <f ca="1"/>
      </c>
      <c r="AF733">
        <f ca="1"/>
      </c>
      <c r="AG733">
        <f ca="1"/>
      </c>
      <c r="AH733">
        <f ca="1"/>
      </c>
      <c r="AI733">
        <f ca="1"/>
      </c>
      <c r="AJ733">
        <f ca="1"/>
      </c>
      <c r="AK733">
        <f ca="1"/>
      </c>
      <c r="AL733">
        <f ca="1"/>
      </c>
      <c r="AM733">
        <f ca="1"/>
      </c>
      <c r="AN733">
        <f ca="1"/>
      </c>
      <c r="AO733">
        <f ca="1"/>
      </c>
      <c r="AP733">
        <f ca="1"/>
      </c>
      <c r="AQ733">
        <f ca="1"/>
      </c>
      <c r="AR733">
        <f ca="1"/>
      </c>
      <c r="AT733" s="7">
        <f ca="1"/>
      </c>
      <c r="AU733">
        <f ca="1"/>
      </c>
      <c r="AV733">
        <f ca="1"/>
      </c>
      <c r="AW733">
        <f ca="1"/>
      </c>
      <c r="AX733">
        <f ca="1"/>
      </c>
      <c r="AY733">
        <f ca="1"/>
      </c>
      <c r="BA733" s="7"/>
    </row>
    <row r="734" spans="31:53" x14ac:dyDescent="0.55000000000000004">
      <c r="AE734" s="7">
        <f ca="1"/>
      </c>
      <c r="AF734">
        <f ca="1"/>
      </c>
      <c r="AG734">
        <f ca="1"/>
      </c>
      <c r="AH734">
        <f ca="1"/>
      </c>
      <c r="AI734">
        <f ca="1"/>
      </c>
      <c r="AJ734">
        <f ca="1"/>
      </c>
      <c r="AK734">
        <f ca="1"/>
      </c>
      <c r="AL734">
        <f ca="1"/>
      </c>
      <c r="AM734">
        <f ca="1"/>
      </c>
      <c r="AN734">
        <f ca="1"/>
      </c>
      <c r="AO734">
        <f ca="1"/>
      </c>
      <c r="AP734">
        <f ca="1"/>
      </c>
      <c r="AQ734">
        <f ca="1"/>
      </c>
      <c r="AR734">
        <f ca="1"/>
      </c>
      <c r="AT734" s="7">
        <f ca="1"/>
      </c>
      <c r="AU734">
        <f ca="1"/>
      </c>
      <c r="AV734">
        <f ca="1"/>
      </c>
      <c r="AW734">
        <f ca="1"/>
      </c>
      <c r="AX734">
        <f ca="1"/>
      </c>
      <c r="AY734">
        <f ca="1"/>
      </c>
      <c r="BA734" s="7"/>
    </row>
    <row r="735" spans="31:53" x14ac:dyDescent="0.55000000000000004">
      <c r="AE735" s="7">
        <f ca="1"/>
      </c>
      <c r="AF735">
        <f ca="1"/>
      </c>
      <c r="AG735">
        <f ca="1"/>
      </c>
      <c r="AH735">
        <f ca="1"/>
      </c>
      <c r="AI735">
        <f ca="1"/>
      </c>
      <c r="AJ735">
        <f ca="1"/>
      </c>
      <c r="AK735">
        <f ca="1"/>
      </c>
      <c r="AL735">
        <f ca="1"/>
      </c>
      <c r="AM735">
        <f ca="1"/>
      </c>
      <c r="AN735">
        <f ca="1"/>
      </c>
      <c r="AO735">
        <f ca="1"/>
      </c>
      <c r="AP735">
        <f ca="1"/>
      </c>
      <c r="AQ735">
        <f ca="1"/>
      </c>
      <c r="AR735">
        <f ca="1"/>
      </c>
      <c r="AT735" s="7">
        <f ca="1"/>
      </c>
      <c r="AU735">
        <f ca="1"/>
      </c>
      <c r="AV735">
        <f ca="1"/>
      </c>
      <c r="AW735">
        <f ca="1"/>
      </c>
      <c r="AX735">
        <f ca="1"/>
      </c>
      <c r="AY735">
        <f ca="1"/>
      </c>
      <c r="BA735" s="7"/>
    </row>
    <row r="736" spans="31:53" x14ac:dyDescent="0.55000000000000004">
      <c r="AE736" s="7">
        <f ca="1"/>
      </c>
      <c r="AF736">
        <f ca="1"/>
      </c>
      <c r="AG736">
        <f ca="1"/>
      </c>
      <c r="AH736">
        <f ca="1"/>
      </c>
      <c r="AI736">
        <f ca="1"/>
      </c>
      <c r="AJ736">
        <f ca="1"/>
      </c>
      <c r="AK736">
        <f ca="1"/>
      </c>
      <c r="AL736">
        <f ca="1"/>
      </c>
      <c r="AM736">
        <f ca="1"/>
      </c>
      <c r="AN736">
        <f ca="1"/>
      </c>
      <c r="AO736">
        <f ca="1"/>
      </c>
      <c r="AP736">
        <f ca="1"/>
      </c>
      <c r="AQ736">
        <f ca="1"/>
      </c>
      <c r="AR736">
        <f ca="1"/>
      </c>
      <c r="AT736" s="7">
        <f ca="1"/>
      </c>
      <c r="AU736">
        <f ca="1"/>
      </c>
      <c r="AV736">
        <f ca="1"/>
      </c>
      <c r="AW736">
        <f ca="1"/>
      </c>
      <c r="AX736">
        <f ca="1"/>
      </c>
      <c r="AY736">
        <f ca="1"/>
      </c>
      <c r="BA736" s="7"/>
    </row>
    <row r="737" spans="31:53" x14ac:dyDescent="0.55000000000000004">
      <c r="AE737" s="7">
        <f ca="1"/>
      </c>
      <c r="AF737">
        <f ca="1"/>
      </c>
      <c r="AG737">
        <f ca="1"/>
      </c>
      <c r="AH737">
        <f ca="1"/>
      </c>
      <c r="AI737">
        <f ca="1"/>
      </c>
      <c r="AJ737">
        <f ca="1"/>
      </c>
      <c r="AK737">
        <f ca="1"/>
      </c>
      <c r="AL737">
        <f ca="1"/>
      </c>
      <c r="AM737">
        <f ca="1"/>
      </c>
      <c r="AN737">
        <f ca="1"/>
      </c>
      <c r="AO737">
        <f ca="1"/>
      </c>
      <c r="AP737">
        <f ca="1"/>
      </c>
      <c r="AQ737">
        <f ca="1"/>
      </c>
      <c r="AR737">
        <f ca="1"/>
      </c>
      <c r="AT737" s="7">
        <f ca="1"/>
      </c>
      <c r="AU737">
        <f ca="1"/>
      </c>
      <c r="AV737">
        <f ca="1"/>
      </c>
      <c r="AW737">
        <f ca="1"/>
      </c>
      <c r="AX737">
        <f ca="1"/>
      </c>
      <c r="AY737">
        <f ca="1"/>
      </c>
      <c r="BA737" s="7"/>
    </row>
    <row r="738" spans="31:53" x14ac:dyDescent="0.55000000000000004">
      <c r="AE738" s="7">
        <f ca="1"/>
      </c>
      <c r="AF738">
        <f ca="1"/>
      </c>
      <c r="AG738">
        <f ca="1"/>
      </c>
      <c r="AH738">
        <f ca="1"/>
      </c>
      <c r="AI738">
        <f ca="1"/>
      </c>
      <c r="AJ738">
        <f ca="1"/>
      </c>
      <c r="AK738">
        <f ca="1"/>
      </c>
      <c r="AL738">
        <f ca="1"/>
      </c>
      <c r="AM738">
        <f ca="1"/>
      </c>
      <c r="AN738">
        <f ca="1"/>
      </c>
      <c r="AO738">
        <f ca="1"/>
      </c>
      <c r="AP738">
        <f ca="1"/>
      </c>
      <c r="AQ738">
        <f ca="1"/>
      </c>
      <c r="AR738">
        <f ca="1"/>
      </c>
      <c r="AT738" s="7">
        <f ca="1"/>
      </c>
      <c r="AU738">
        <f ca="1"/>
      </c>
      <c r="AV738">
        <f ca="1"/>
      </c>
      <c r="AW738">
        <f ca="1"/>
      </c>
      <c r="AX738">
        <f ca="1"/>
      </c>
      <c r="AY738">
        <f ca="1"/>
      </c>
      <c r="BA738" s="7"/>
    </row>
    <row r="739" spans="31:53" x14ac:dyDescent="0.55000000000000004">
      <c r="AE739" s="7">
        <f ca="1"/>
      </c>
      <c r="AF739">
        <f ca="1"/>
      </c>
      <c r="AG739">
        <f ca="1"/>
      </c>
      <c r="AH739">
        <f ca="1"/>
      </c>
      <c r="AI739">
        <f ca="1"/>
      </c>
      <c r="AJ739">
        <f ca="1"/>
      </c>
      <c r="AK739">
        <f ca="1"/>
      </c>
      <c r="AL739">
        <f ca="1"/>
      </c>
      <c r="AM739">
        <f ca="1"/>
      </c>
      <c r="AN739">
        <f ca="1"/>
      </c>
      <c r="AO739">
        <f ca="1"/>
      </c>
      <c r="AP739">
        <f ca="1"/>
      </c>
      <c r="AQ739">
        <f ca="1"/>
      </c>
      <c r="AR739">
        <f ca="1"/>
      </c>
      <c r="AT739" s="7">
        <f ca="1"/>
      </c>
      <c r="AU739">
        <f ca="1"/>
      </c>
      <c r="AV739">
        <f ca="1"/>
      </c>
      <c r="AW739">
        <f ca="1"/>
      </c>
      <c r="AX739">
        <f ca="1"/>
      </c>
      <c r="AY739">
        <f ca="1"/>
      </c>
      <c r="BA739" s="7"/>
    </row>
    <row r="740" spans="31:53" x14ac:dyDescent="0.55000000000000004">
      <c r="AE740" s="7">
        <f ca="1"/>
      </c>
      <c r="AF740">
        <f ca="1"/>
      </c>
      <c r="AG740">
        <f ca="1"/>
      </c>
      <c r="AH740">
        <f ca="1"/>
      </c>
      <c r="AI740">
        <f ca="1"/>
      </c>
      <c r="AJ740">
        <f ca="1"/>
      </c>
      <c r="AK740">
        <f ca="1"/>
      </c>
      <c r="AL740">
        <f ca="1"/>
      </c>
      <c r="AM740">
        <f ca="1"/>
      </c>
      <c r="AN740">
        <f ca="1"/>
      </c>
      <c r="AO740">
        <f ca="1"/>
      </c>
      <c r="AP740">
        <f ca="1"/>
      </c>
      <c r="AQ740">
        <f ca="1"/>
      </c>
      <c r="AR740">
        <f ca="1"/>
      </c>
      <c r="AT740" s="7">
        <f ca="1"/>
      </c>
      <c r="AU740">
        <f ca="1"/>
      </c>
      <c r="AV740">
        <f ca="1"/>
      </c>
      <c r="AW740">
        <f ca="1"/>
      </c>
      <c r="AX740">
        <f ca="1"/>
      </c>
      <c r="AY740">
        <f ca="1"/>
      </c>
      <c r="BA740" s="7"/>
    </row>
    <row r="741" spans="31:53" x14ac:dyDescent="0.55000000000000004">
      <c r="AE741" s="7">
        <f ca="1"/>
      </c>
      <c r="AF741">
        <f ca="1"/>
      </c>
      <c r="AG741">
        <f ca="1"/>
      </c>
      <c r="AH741">
        <f ca="1"/>
      </c>
      <c r="AI741">
        <f ca="1"/>
      </c>
      <c r="AJ741">
        <f ca="1"/>
      </c>
      <c r="AK741">
        <f ca="1"/>
      </c>
      <c r="AL741">
        <f ca="1"/>
      </c>
      <c r="AM741">
        <f ca="1"/>
      </c>
      <c r="AN741">
        <f ca="1"/>
      </c>
      <c r="AO741">
        <f ca="1"/>
      </c>
      <c r="AP741">
        <f ca="1"/>
      </c>
      <c r="AQ741">
        <f ca="1"/>
      </c>
      <c r="AR741">
        <f ca="1"/>
      </c>
      <c r="AT741" s="7">
        <f ca="1"/>
      </c>
      <c r="AU741">
        <f ca="1"/>
      </c>
      <c r="AV741">
        <f ca="1"/>
      </c>
      <c r="AW741">
        <f ca="1"/>
      </c>
      <c r="AX741">
        <f ca="1"/>
      </c>
      <c r="AY741">
        <f ca="1"/>
      </c>
      <c r="BA741" s="7"/>
    </row>
    <row r="742" spans="31:53" x14ac:dyDescent="0.55000000000000004">
      <c r="AE742" s="7">
        <f ca="1"/>
      </c>
      <c r="AF742">
        <f ca="1"/>
      </c>
      <c r="AG742">
        <f ca="1"/>
      </c>
      <c r="AH742">
        <f ca="1"/>
      </c>
      <c r="AI742">
        <f ca="1"/>
      </c>
      <c r="AJ742">
        <f ca="1"/>
      </c>
      <c r="AK742">
        <f ca="1"/>
      </c>
      <c r="AL742">
        <f ca="1"/>
      </c>
      <c r="AM742">
        <f ca="1"/>
      </c>
      <c r="AN742">
        <f ca="1"/>
      </c>
      <c r="AO742">
        <f ca="1"/>
      </c>
      <c r="AP742">
        <f ca="1"/>
      </c>
      <c r="AQ742">
        <f ca="1"/>
      </c>
      <c r="AR742">
        <f ca="1"/>
      </c>
      <c r="AT742" s="7">
        <f ca="1"/>
      </c>
      <c r="AU742">
        <f ca="1"/>
      </c>
      <c r="AV742">
        <f ca="1"/>
      </c>
      <c r="AW742">
        <f ca="1"/>
      </c>
      <c r="AX742">
        <f ca="1"/>
      </c>
      <c r="AY742">
        <f ca="1"/>
      </c>
      <c r="BA742" s="7"/>
    </row>
    <row r="743" spans="31:53" x14ac:dyDescent="0.55000000000000004">
      <c r="AE743" s="7">
        <f ca="1"/>
      </c>
      <c r="AF743">
        <f ca="1"/>
      </c>
      <c r="AG743">
        <f ca="1"/>
      </c>
      <c r="AH743">
        <f ca="1"/>
      </c>
      <c r="AI743">
        <f ca="1"/>
      </c>
      <c r="AJ743">
        <f ca="1"/>
      </c>
      <c r="AK743">
        <f ca="1"/>
      </c>
      <c r="AL743">
        <f ca="1"/>
      </c>
      <c r="AM743">
        <f ca="1"/>
      </c>
      <c r="AN743">
        <f ca="1"/>
      </c>
      <c r="AO743">
        <f ca="1"/>
      </c>
      <c r="AP743">
        <f ca="1"/>
      </c>
      <c r="AQ743">
        <f ca="1"/>
      </c>
      <c r="AR743">
        <f ca="1"/>
      </c>
      <c r="AT743" s="7">
        <f ca="1"/>
      </c>
      <c r="AU743">
        <f ca="1"/>
      </c>
      <c r="AV743">
        <f ca="1"/>
      </c>
      <c r="AW743">
        <f ca="1"/>
      </c>
      <c r="AX743">
        <f ca="1"/>
      </c>
      <c r="AY743">
        <f ca="1"/>
      </c>
      <c r="BA743" s="7"/>
    </row>
    <row r="744" spans="31:53" x14ac:dyDescent="0.55000000000000004">
      <c r="AE744" s="7">
        <f ca="1"/>
      </c>
      <c r="AF744">
        <f ca="1"/>
      </c>
      <c r="AG744">
        <f ca="1"/>
      </c>
      <c r="AH744">
        <f ca="1"/>
      </c>
      <c r="AI744">
        <f ca="1"/>
      </c>
      <c r="AJ744">
        <f ca="1"/>
      </c>
      <c r="AK744">
        <f ca="1"/>
      </c>
      <c r="AL744">
        <f ca="1"/>
      </c>
      <c r="AM744">
        <f ca="1"/>
      </c>
      <c r="AN744">
        <f ca="1"/>
      </c>
      <c r="AO744">
        <f ca="1"/>
      </c>
      <c r="AP744">
        <f ca="1"/>
      </c>
      <c r="AQ744">
        <f ca="1"/>
      </c>
      <c r="AR744">
        <f ca="1"/>
      </c>
      <c r="AT744" s="7">
        <f ca="1"/>
      </c>
      <c r="AU744">
        <f ca="1"/>
      </c>
      <c r="AV744">
        <f ca="1"/>
      </c>
      <c r="AW744">
        <f ca="1"/>
      </c>
      <c r="AX744">
        <f ca="1"/>
      </c>
      <c r="AY744">
        <f ca="1"/>
      </c>
      <c r="BA744" s="7"/>
    </row>
    <row r="745" spans="31:53" x14ac:dyDescent="0.55000000000000004">
      <c r="AE745" s="7">
        <f ca="1"/>
      </c>
      <c r="AF745">
        <f ca="1"/>
      </c>
      <c r="AG745">
        <f ca="1"/>
      </c>
      <c r="AH745">
        <f ca="1"/>
      </c>
      <c r="AI745">
        <f ca="1"/>
      </c>
      <c r="AJ745">
        <f ca="1"/>
      </c>
      <c r="AK745">
        <f ca="1"/>
      </c>
      <c r="AL745">
        <f ca="1"/>
      </c>
      <c r="AM745">
        <f ca="1"/>
      </c>
      <c r="AN745">
        <f ca="1"/>
      </c>
      <c r="AO745">
        <f ca="1"/>
      </c>
      <c r="AP745">
        <f ca="1"/>
      </c>
      <c r="AQ745">
        <f ca="1"/>
      </c>
      <c r="AR745">
        <f ca="1"/>
      </c>
      <c r="AT745" s="7">
        <f ca="1"/>
      </c>
      <c r="AU745">
        <f ca="1"/>
      </c>
      <c r="AV745">
        <f ca="1"/>
      </c>
      <c r="AW745">
        <f ca="1"/>
      </c>
      <c r="AX745">
        <f ca="1"/>
      </c>
      <c r="AY745">
        <f ca="1"/>
      </c>
      <c r="BA745" s="7"/>
    </row>
    <row r="746" spans="31:53" x14ac:dyDescent="0.55000000000000004">
      <c r="AE746" s="7">
        <f ca="1"/>
      </c>
      <c r="AF746">
        <f ca="1"/>
      </c>
      <c r="AG746">
        <f ca="1"/>
      </c>
      <c r="AH746">
        <f ca="1"/>
      </c>
      <c r="AI746">
        <f ca="1"/>
      </c>
      <c r="AJ746">
        <f ca="1"/>
      </c>
      <c r="AK746">
        <f ca="1"/>
      </c>
      <c r="AL746">
        <f ca="1"/>
      </c>
      <c r="AM746">
        <f ca="1"/>
      </c>
      <c r="AN746">
        <f ca="1"/>
      </c>
      <c r="AO746">
        <f ca="1"/>
      </c>
      <c r="AP746">
        <f ca="1"/>
      </c>
      <c r="AQ746">
        <f ca="1"/>
      </c>
      <c r="AR746">
        <f ca="1"/>
      </c>
      <c r="AT746" s="7">
        <f ca="1"/>
      </c>
      <c r="AU746">
        <f ca="1"/>
      </c>
      <c r="AV746">
        <f ca="1"/>
      </c>
      <c r="AW746">
        <f ca="1"/>
      </c>
      <c r="AX746">
        <f ca="1"/>
      </c>
      <c r="AY746">
        <f ca="1"/>
      </c>
      <c r="BA746" s="7"/>
    </row>
    <row r="747" spans="31:53" x14ac:dyDescent="0.55000000000000004">
      <c r="AE747" s="7">
        <f ca="1"/>
      </c>
      <c r="AF747">
        <f ca="1"/>
      </c>
      <c r="AG747">
        <f ca="1"/>
      </c>
      <c r="AH747">
        <f ca="1"/>
      </c>
      <c r="AI747">
        <f ca="1"/>
      </c>
      <c r="AJ747">
        <f ca="1"/>
      </c>
      <c r="AK747">
        <f ca="1"/>
      </c>
      <c r="AL747">
        <f ca="1"/>
      </c>
      <c r="AM747">
        <f ca="1"/>
      </c>
      <c r="AN747">
        <f ca="1"/>
      </c>
      <c r="AO747">
        <f ca="1"/>
      </c>
      <c r="AP747">
        <f ca="1"/>
      </c>
      <c r="AQ747">
        <f ca="1"/>
      </c>
      <c r="AR747">
        <f ca="1"/>
      </c>
      <c r="AT747" s="7">
        <f ca="1"/>
      </c>
      <c r="AU747">
        <f ca="1"/>
      </c>
      <c r="AV747">
        <f ca="1"/>
      </c>
      <c r="AW747">
        <f ca="1"/>
      </c>
      <c r="AX747">
        <f ca="1"/>
      </c>
      <c r="AY747">
        <f ca="1"/>
      </c>
      <c r="BA747" s="7"/>
    </row>
    <row r="748" spans="31:53" x14ac:dyDescent="0.55000000000000004">
      <c r="AE748" s="7">
        <f ca="1"/>
      </c>
      <c r="AF748">
        <f ca="1"/>
      </c>
      <c r="AG748">
        <f ca="1"/>
      </c>
      <c r="AH748">
        <f ca="1"/>
      </c>
      <c r="AI748">
        <f ca="1"/>
      </c>
      <c r="AJ748">
        <f ca="1"/>
      </c>
      <c r="AK748">
        <f ca="1"/>
      </c>
      <c r="AL748">
        <f ca="1"/>
      </c>
      <c r="AM748">
        <f ca="1"/>
      </c>
      <c r="AN748">
        <f ca="1"/>
      </c>
      <c r="AO748">
        <f ca="1"/>
      </c>
      <c r="AP748">
        <f ca="1"/>
      </c>
      <c r="AQ748">
        <f ca="1"/>
      </c>
      <c r="AR748">
        <f ca="1"/>
      </c>
      <c r="AT748" s="7">
        <f ca="1"/>
      </c>
      <c r="AU748">
        <f ca="1"/>
      </c>
      <c r="AV748">
        <f ca="1"/>
      </c>
      <c r="AW748">
        <f ca="1"/>
      </c>
      <c r="AX748">
        <f ca="1"/>
      </c>
      <c r="AY748">
        <f ca="1"/>
      </c>
      <c r="BA748" s="7"/>
    </row>
    <row r="749" spans="31:53" x14ac:dyDescent="0.55000000000000004">
      <c r="AE749" s="7">
        <f ca="1"/>
      </c>
      <c r="AF749">
        <f ca="1"/>
      </c>
      <c r="AG749">
        <f ca="1"/>
      </c>
      <c r="AH749">
        <f ca="1"/>
      </c>
      <c r="AI749">
        <f ca="1"/>
      </c>
      <c r="AJ749">
        <f ca="1"/>
      </c>
      <c r="AK749">
        <f ca="1"/>
      </c>
      <c r="AL749">
        <f ca="1"/>
      </c>
      <c r="AM749">
        <f ca="1"/>
      </c>
      <c r="AN749">
        <f ca="1"/>
      </c>
      <c r="AO749">
        <f ca="1"/>
      </c>
      <c r="AP749">
        <f ca="1"/>
      </c>
      <c r="AQ749">
        <f ca="1"/>
      </c>
      <c r="AR749">
        <f ca="1"/>
      </c>
      <c r="AT749" s="7">
        <f ca="1"/>
      </c>
      <c r="AU749">
        <f ca="1"/>
      </c>
      <c r="AV749">
        <f ca="1"/>
      </c>
      <c r="AW749">
        <f ca="1"/>
      </c>
      <c r="AX749">
        <f ca="1"/>
      </c>
      <c r="AY749">
        <f ca="1"/>
      </c>
      <c r="BA749" s="7"/>
    </row>
    <row r="750" spans="31:53" x14ac:dyDescent="0.55000000000000004">
      <c r="AE750" s="7">
        <f ca="1"/>
      </c>
      <c r="AF750">
        <f ca="1"/>
      </c>
      <c r="AG750">
        <f ca="1"/>
      </c>
      <c r="AH750">
        <f ca="1"/>
      </c>
      <c r="AI750">
        <f ca="1"/>
      </c>
      <c r="AJ750">
        <f ca="1"/>
      </c>
      <c r="AK750">
        <f ca="1"/>
      </c>
      <c r="AL750">
        <f ca="1"/>
      </c>
      <c r="AM750">
        <f ca="1"/>
      </c>
      <c r="AN750">
        <f ca="1"/>
      </c>
      <c r="AO750">
        <f ca="1"/>
      </c>
      <c r="AP750">
        <f ca="1"/>
      </c>
      <c r="AQ750">
        <f ca="1"/>
      </c>
      <c r="AR750">
        <f ca="1"/>
      </c>
      <c r="AT750" s="7">
        <f ca="1"/>
      </c>
      <c r="AU750">
        <f ca="1"/>
      </c>
      <c r="AV750">
        <f ca="1"/>
      </c>
      <c r="AW750">
        <f ca="1"/>
      </c>
      <c r="AX750">
        <f ca="1"/>
      </c>
      <c r="AY750">
        <f ca="1"/>
      </c>
      <c r="BA750" s="7"/>
    </row>
    <row r="751" spans="31:53" x14ac:dyDescent="0.55000000000000004">
      <c r="AE751" s="7">
        <f ca="1"/>
      </c>
      <c r="AF751">
        <f ca="1"/>
      </c>
      <c r="AG751">
        <f ca="1"/>
      </c>
      <c r="AH751">
        <f ca="1"/>
      </c>
      <c r="AI751">
        <f ca="1"/>
      </c>
      <c r="AJ751">
        <f ca="1"/>
      </c>
      <c r="AK751">
        <f ca="1"/>
      </c>
      <c r="AL751">
        <f ca="1"/>
      </c>
      <c r="AM751">
        <f ca="1"/>
      </c>
      <c r="AN751">
        <f ca="1"/>
      </c>
      <c r="AO751">
        <f ca="1"/>
      </c>
      <c r="AP751">
        <f ca="1"/>
      </c>
      <c r="AQ751">
        <f ca="1"/>
      </c>
      <c r="AR751">
        <f ca="1"/>
      </c>
      <c r="AT751" s="7">
        <f ca="1"/>
      </c>
      <c r="AU751">
        <f ca="1"/>
      </c>
      <c r="AV751">
        <f ca="1"/>
      </c>
      <c r="AW751">
        <f ca="1"/>
      </c>
      <c r="AX751">
        <f ca="1"/>
      </c>
      <c r="AY751">
        <f ca="1"/>
      </c>
      <c r="BA751" s="7"/>
    </row>
    <row r="752" spans="31:53" x14ac:dyDescent="0.55000000000000004">
      <c r="AE752" s="7">
        <f ca="1"/>
      </c>
      <c r="AF752">
        <f ca="1"/>
      </c>
      <c r="AG752">
        <f ca="1"/>
      </c>
      <c r="AH752">
        <f ca="1"/>
      </c>
      <c r="AI752">
        <f ca="1"/>
      </c>
      <c r="AJ752">
        <f ca="1"/>
      </c>
      <c r="AK752">
        <f ca="1"/>
      </c>
      <c r="AL752">
        <f ca="1"/>
      </c>
      <c r="AM752">
        <f ca="1"/>
      </c>
      <c r="AN752">
        <f ca="1"/>
      </c>
      <c r="AO752">
        <f ca="1"/>
      </c>
      <c r="AP752">
        <f ca="1"/>
      </c>
      <c r="AQ752">
        <f ca="1"/>
      </c>
      <c r="AR752">
        <f ca="1"/>
      </c>
      <c r="AT752" s="7">
        <f ca="1"/>
      </c>
      <c r="AU752">
        <f ca="1"/>
      </c>
      <c r="AV752">
        <f ca="1"/>
      </c>
      <c r="AW752">
        <f ca="1"/>
      </c>
      <c r="AX752">
        <f ca="1"/>
      </c>
      <c r="AY752">
        <f ca="1"/>
      </c>
      <c r="BA752" s="7"/>
    </row>
    <row r="753" spans="31:53" x14ac:dyDescent="0.55000000000000004">
      <c r="AE753" s="7">
        <f ca="1"/>
      </c>
      <c r="AF753">
        <f ca="1"/>
      </c>
      <c r="AG753">
        <f ca="1"/>
      </c>
      <c r="AH753">
        <f ca="1"/>
      </c>
      <c r="AI753">
        <f ca="1"/>
      </c>
      <c r="AJ753">
        <f ca="1"/>
      </c>
      <c r="AK753">
        <f ca="1"/>
      </c>
      <c r="AL753">
        <f ca="1"/>
      </c>
      <c r="AM753">
        <f ca="1"/>
      </c>
      <c r="AN753">
        <f ca="1"/>
      </c>
      <c r="AO753">
        <f ca="1"/>
      </c>
      <c r="AP753">
        <f ca="1"/>
      </c>
      <c r="AQ753">
        <f ca="1"/>
      </c>
      <c r="AR753">
        <f ca="1"/>
      </c>
      <c r="AT753" s="7">
        <f ca="1"/>
      </c>
      <c r="AU753">
        <f ca="1"/>
      </c>
      <c r="AV753">
        <f ca="1"/>
      </c>
      <c r="AW753">
        <f ca="1"/>
      </c>
      <c r="AX753">
        <f ca="1"/>
      </c>
      <c r="AY753">
        <f ca="1"/>
      </c>
      <c r="BA753" s="7"/>
    </row>
    <row r="754" spans="31:53" x14ac:dyDescent="0.55000000000000004">
      <c r="AE754" s="7">
        <f ca="1"/>
      </c>
      <c r="AF754">
        <f ca="1"/>
      </c>
      <c r="AG754">
        <f ca="1"/>
      </c>
      <c r="AH754">
        <f ca="1"/>
      </c>
      <c r="AI754">
        <f ca="1"/>
      </c>
      <c r="AJ754">
        <f ca="1"/>
      </c>
      <c r="AK754">
        <f ca="1"/>
      </c>
      <c r="AL754">
        <f ca="1"/>
      </c>
      <c r="AM754">
        <f ca="1"/>
      </c>
      <c r="AN754">
        <f ca="1"/>
      </c>
      <c r="AO754">
        <f ca="1"/>
      </c>
      <c r="AP754">
        <f ca="1"/>
      </c>
      <c r="AQ754">
        <f ca="1"/>
      </c>
      <c r="AR754">
        <f ca="1"/>
      </c>
      <c r="AT754" s="7">
        <f ca="1"/>
      </c>
      <c r="AU754">
        <f ca="1"/>
      </c>
      <c r="AV754">
        <f ca="1"/>
      </c>
      <c r="AW754">
        <f ca="1"/>
      </c>
      <c r="AX754">
        <f ca="1"/>
      </c>
      <c r="AY754">
        <f ca="1"/>
      </c>
      <c r="BA754" s="7"/>
    </row>
    <row r="755" spans="31:53" x14ac:dyDescent="0.55000000000000004">
      <c r="AE755" s="7">
        <f ca="1"/>
      </c>
      <c r="AF755">
        <f ca="1"/>
      </c>
      <c r="AG755">
        <f ca="1"/>
      </c>
      <c r="AH755">
        <f ca="1"/>
      </c>
      <c r="AI755">
        <f ca="1"/>
      </c>
      <c r="AJ755">
        <f ca="1"/>
      </c>
      <c r="AK755">
        <f ca="1"/>
      </c>
      <c r="AL755">
        <f ca="1"/>
      </c>
      <c r="AM755">
        <f ca="1"/>
      </c>
      <c r="AN755">
        <f ca="1"/>
      </c>
      <c r="AO755">
        <f ca="1"/>
      </c>
      <c r="AP755">
        <f ca="1"/>
      </c>
      <c r="AQ755">
        <f ca="1"/>
      </c>
      <c r="AR755">
        <f ca="1"/>
      </c>
      <c r="AT755" s="7">
        <f ca="1"/>
      </c>
      <c r="AU755">
        <f ca="1"/>
      </c>
      <c r="AV755">
        <f ca="1"/>
      </c>
      <c r="AW755">
        <f ca="1"/>
      </c>
      <c r="AX755">
        <f ca="1"/>
      </c>
      <c r="AY755">
        <f ca="1"/>
      </c>
      <c r="BA755" s="7"/>
    </row>
    <row r="756" spans="31:53" x14ac:dyDescent="0.55000000000000004">
      <c r="AE756" s="7">
        <f ca="1"/>
      </c>
      <c r="AF756">
        <f ca="1"/>
      </c>
      <c r="AG756">
        <f ca="1"/>
      </c>
      <c r="AH756">
        <f ca="1"/>
      </c>
      <c r="AI756">
        <f ca="1"/>
      </c>
      <c r="AJ756">
        <f ca="1"/>
      </c>
      <c r="AK756">
        <f ca="1"/>
      </c>
      <c r="AL756">
        <f ca="1"/>
      </c>
      <c r="AM756">
        <f ca="1"/>
      </c>
      <c r="AN756">
        <f ca="1"/>
      </c>
      <c r="AO756">
        <f ca="1"/>
      </c>
      <c r="AP756">
        <f ca="1"/>
      </c>
      <c r="AQ756">
        <f ca="1"/>
      </c>
      <c r="AR756">
        <f ca="1"/>
      </c>
      <c r="AT756" s="7">
        <f ca="1"/>
      </c>
      <c r="AU756">
        <f ca="1"/>
      </c>
      <c r="AV756">
        <f ca="1"/>
      </c>
      <c r="AW756">
        <f ca="1"/>
      </c>
      <c r="AX756">
        <f ca="1"/>
      </c>
      <c r="AY756">
        <f ca="1"/>
      </c>
      <c r="BA756" s="7"/>
    </row>
    <row r="757" spans="31:53" x14ac:dyDescent="0.55000000000000004">
      <c r="AE757" s="7">
        <f ca="1"/>
      </c>
      <c r="AF757">
        <f ca="1"/>
      </c>
      <c r="AG757">
        <f ca="1"/>
      </c>
      <c r="AH757">
        <f ca="1"/>
      </c>
      <c r="AI757">
        <f ca="1"/>
      </c>
      <c r="AJ757">
        <f ca="1"/>
      </c>
      <c r="AK757">
        <f ca="1"/>
      </c>
      <c r="AL757">
        <f ca="1"/>
      </c>
      <c r="AM757">
        <f ca="1"/>
      </c>
      <c r="AN757">
        <f ca="1"/>
      </c>
      <c r="AO757">
        <f ca="1"/>
      </c>
      <c r="AP757">
        <f ca="1"/>
      </c>
      <c r="AQ757">
        <f ca="1"/>
      </c>
      <c r="AR757">
        <f ca="1"/>
      </c>
      <c r="AT757" s="7">
        <f ca="1"/>
      </c>
      <c r="AU757">
        <f ca="1"/>
      </c>
      <c r="AV757">
        <f ca="1"/>
      </c>
      <c r="AW757">
        <f ca="1"/>
      </c>
      <c r="AX757">
        <f ca="1"/>
      </c>
      <c r="AY757">
        <f ca="1"/>
      </c>
      <c r="BA757" s="7"/>
    </row>
    <row r="758" spans="31:53" x14ac:dyDescent="0.55000000000000004">
      <c r="AE758" s="7">
        <f ca="1"/>
      </c>
      <c r="AF758">
        <f ca="1"/>
      </c>
      <c r="AG758">
        <f ca="1"/>
      </c>
      <c r="AH758">
        <f ca="1"/>
      </c>
      <c r="AI758">
        <f ca="1"/>
      </c>
      <c r="AJ758">
        <f ca="1"/>
      </c>
      <c r="AK758">
        <f ca="1"/>
      </c>
      <c r="AL758">
        <f ca="1"/>
      </c>
      <c r="AM758">
        <f ca="1"/>
      </c>
      <c r="AN758">
        <f ca="1"/>
      </c>
      <c r="AO758">
        <f ca="1"/>
      </c>
      <c r="AP758">
        <f ca="1"/>
      </c>
      <c r="AQ758">
        <f ca="1"/>
      </c>
      <c r="AR758">
        <f ca="1"/>
      </c>
      <c r="AT758" s="7">
        <f ca="1"/>
      </c>
      <c r="AU758">
        <f ca="1"/>
      </c>
      <c r="AV758">
        <f ca="1"/>
      </c>
      <c r="AW758">
        <f ca="1"/>
      </c>
      <c r="AX758">
        <f ca="1"/>
      </c>
      <c r="AY758">
        <f ca="1"/>
      </c>
      <c r="BA758" s="7"/>
    </row>
    <row r="759" spans="31:53" x14ac:dyDescent="0.55000000000000004">
      <c r="AE759" s="7">
        <f ca="1"/>
      </c>
      <c r="AF759">
        <f ca="1"/>
      </c>
      <c r="AG759">
        <f ca="1"/>
      </c>
      <c r="AH759">
        <f ca="1"/>
      </c>
      <c r="AI759">
        <f ca="1"/>
      </c>
      <c r="AJ759">
        <f ca="1"/>
      </c>
      <c r="AK759">
        <f ca="1"/>
      </c>
      <c r="AL759">
        <f ca="1"/>
      </c>
      <c r="AM759">
        <f ca="1"/>
      </c>
      <c r="AN759">
        <f ca="1"/>
      </c>
      <c r="AO759">
        <f ca="1"/>
      </c>
      <c r="AP759">
        <f ca="1"/>
      </c>
      <c r="AQ759">
        <f ca="1"/>
      </c>
      <c r="AR759">
        <f ca="1"/>
      </c>
      <c r="AT759" s="7">
        <f ca="1"/>
      </c>
      <c r="AU759">
        <f ca="1"/>
      </c>
      <c r="AV759">
        <f ca="1"/>
      </c>
      <c r="AW759">
        <f ca="1"/>
      </c>
      <c r="AX759">
        <f ca="1"/>
      </c>
      <c r="AY759">
        <f ca="1"/>
      </c>
      <c r="BA759" s="7"/>
    </row>
    <row r="760" spans="31:53" x14ac:dyDescent="0.55000000000000004">
      <c r="AE760" s="7">
        <f ca="1"/>
      </c>
      <c r="AF760">
        <f ca="1"/>
      </c>
      <c r="AG760">
        <f ca="1"/>
      </c>
      <c r="AH760">
        <f ca="1"/>
      </c>
      <c r="AI760">
        <f ca="1"/>
      </c>
      <c r="AJ760">
        <f ca="1"/>
      </c>
      <c r="AK760">
        <f ca="1"/>
      </c>
      <c r="AL760">
        <f ca="1"/>
      </c>
      <c r="AM760">
        <f ca="1"/>
      </c>
      <c r="AN760">
        <f ca="1"/>
      </c>
      <c r="AO760">
        <f ca="1"/>
      </c>
      <c r="AP760">
        <f ca="1"/>
      </c>
      <c r="AQ760">
        <f ca="1"/>
      </c>
      <c r="AR760">
        <f ca="1"/>
      </c>
      <c r="AT760" s="7">
        <f ca="1"/>
      </c>
      <c r="AU760">
        <f ca="1"/>
      </c>
      <c r="AV760">
        <f ca="1"/>
      </c>
      <c r="AW760">
        <f ca="1"/>
      </c>
      <c r="AX760">
        <f ca="1"/>
      </c>
      <c r="AY760">
        <f ca="1"/>
      </c>
      <c r="BA760" s="7"/>
    </row>
    <row r="761" spans="31:53" x14ac:dyDescent="0.55000000000000004">
      <c r="AE761" s="7">
        <f ca="1"/>
      </c>
      <c r="AF761">
        <f ca="1"/>
      </c>
      <c r="AG761">
        <f ca="1"/>
      </c>
      <c r="AH761">
        <f ca="1"/>
      </c>
      <c r="AI761">
        <f ca="1"/>
      </c>
      <c r="AJ761">
        <f ca="1"/>
      </c>
      <c r="AK761">
        <f ca="1"/>
      </c>
      <c r="AL761">
        <f ca="1"/>
      </c>
      <c r="AM761">
        <f ca="1"/>
      </c>
      <c r="AN761">
        <f ca="1"/>
      </c>
      <c r="AO761">
        <f ca="1"/>
      </c>
      <c r="AP761">
        <f ca="1"/>
      </c>
      <c r="AQ761">
        <f ca="1"/>
      </c>
      <c r="AR761">
        <f ca="1"/>
      </c>
      <c r="AT761" s="7">
        <f ca="1"/>
      </c>
      <c r="AU761">
        <f ca="1"/>
      </c>
      <c r="AV761">
        <f ca="1"/>
      </c>
      <c r="AW761">
        <f ca="1"/>
      </c>
      <c r="AX761">
        <f ca="1"/>
      </c>
      <c r="AY761">
        <f ca="1"/>
      </c>
      <c r="BA761" s="7"/>
    </row>
    <row r="762" spans="31:53" x14ac:dyDescent="0.55000000000000004">
      <c r="AE762" s="7">
        <f ca="1"/>
      </c>
      <c r="AF762">
        <f ca="1"/>
      </c>
      <c r="AG762">
        <f ca="1"/>
      </c>
      <c r="AH762">
        <f ca="1"/>
      </c>
      <c r="AI762">
        <f ca="1"/>
      </c>
      <c r="AJ762">
        <f ca="1"/>
      </c>
      <c r="AK762">
        <f ca="1"/>
      </c>
      <c r="AL762">
        <f ca="1"/>
      </c>
      <c r="AM762">
        <f ca="1"/>
      </c>
      <c r="AN762">
        <f ca="1"/>
      </c>
      <c r="AO762">
        <f ca="1"/>
      </c>
      <c r="AP762">
        <f ca="1"/>
      </c>
      <c r="AQ762">
        <f ca="1"/>
      </c>
      <c r="AR762">
        <f ca="1"/>
      </c>
      <c r="AT762" s="7">
        <f ca="1"/>
      </c>
      <c r="AU762">
        <f ca="1"/>
      </c>
      <c r="AV762">
        <f ca="1"/>
      </c>
      <c r="AW762">
        <f ca="1"/>
      </c>
      <c r="AX762">
        <f ca="1"/>
      </c>
      <c r="AY762">
        <f ca="1"/>
      </c>
      <c r="BA762" s="7"/>
    </row>
    <row r="763" spans="31:53" x14ac:dyDescent="0.55000000000000004">
      <c r="AE763" s="7">
        <f ca="1"/>
      </c>
      <c r="AF763">
        <f ca="1"/>
      </c>
      <c r="AG763">
        <f ca="1"/>
      </c>
      <c r="AH763">
        <f ca="1"/>
      </c>
      <c r="AI763">
        <f ca="1"/>
      </c>
      <c r="AJ763">
        <f ca="1"/>
      </c>
      <c r="AK763">
        <f ca="1"/>
      </c>
      <c r="AL763">
        <f ca="1"/>
      </c>
      <c r="AM763">
        <f ca="1"/>
      </c>
      <c r="AN763">
        <f ca="1"/>
      </c>
      <c r="AO763">
        <f ca="1"/>
      </c>
      <c r="AP763">
        <f ca="1"/>
      </c>
      <c r="AQ763">
        <f ca="1"/>
      </c>
      <c r="AR763">
        <f ca="1"/>
      </c>
      <c r="AT763" s="7">
        <f ca="1"/>
      </c>
      <c r="AU763">
        <f ca="1"/>
      </c>
      <c r="AV763">
        <f ca="1"/>
      </c>
      <c r="AW763">
        <f ca="1"/>
      </c>
      <c r="AX763">
        <f ca="1"/>
      </c>
      <c r="AY763">
        <f ca="1"/>
      </c>
      <c r="BA763" s="7"/>
    </row>
    <row r="764" spans="31:53" x14ac:dyDescent="0.55000000000000004">
      <c r="AE764" s="7">
        <f ca="1"/>
      </c>
      <c r="AF764">
        <f ca="1"/>
      </c>
      <c r="AG764">
        <f ca="1"/>
      </c>
      <c r="AH764">
        <f ca="1"/>
      </c>
      <c r="AI764">
        <f ca="1"/>
      </c>
      <c r="AJ764">
        <f ca="1"/>
      </c>
      <c r="AK764">
        <f ca="1"/>
      </c>
      <c r="AL764">
        <f ca="1"/>
      </c>
      <c r="AM764">
        <f ca="1"/>
      </c>
      <c r="AN764">
        <f ca="1"/>
      </c>
      <c r="AO764">
        <f ca="1"/>
      </c>
      <c r="AP764">
        <f ca="1"/>
      </c>
      <c r="AQ764">
        <f ca="1"/>
      </c>
      <c r="AR764">
        <f ca="1"/>
      </c>
      <c r="AT764" s="7">
        <f ca="1"/>
      </c>
      <c r="AU764">
        <f ca="1"/>
      </c>
      <c r="AV764">
        <f ca="1"/>
      </c>
      <c r="AW764">
        <f ca="1"/>
      </c>
      <c r="AX764">
        <f ca="1"/>
      </c>
      <c r="AY764">
        <f ca="1"/>
      </c>
      <c r="BA764" s="7"/>
    </row>
    <row r="765" spans="31:53" x14ac:dyDescent="0.55000000000000004">
      <c r="AE765" s="7">
        <f ca="1"/>
      </c>
      <c r="AF765">
        <f ca="1"/>
      </c>
      <c r="AG765">
        <f ca="1"/>
      </c>
      <c r="AH765">
        <f ca="1"/>
      </c>
      <c r="AI765">
        <f ca="1"/>
      </c>
      <c r="AJ765">
        <f ca="1"/>
      </c>
      <c r="AK765">
        <f ca="1"/>
      </c>
      <c r="AL765">
        <f ca="1"/>
      </c>
      <c r="AM765">
        <f ca="1"/>
      </c>
      <c r="AN765">
        <f ca="1"/>
      </c>
      <c r="AO765">
        <f ca="1"/>
      </c>
      <c r="AP765">
        <f ca="1"/>
      </c>
      <c r="AQ765">
        <f ca="1"/>
      </c>
      <c r="AR765">
        <f ca="1"/>
      </c>
      <c r="AT765" s="7">
        <f ca="1"/>
      </c>
      <c r="AU765">
        <f ca="1"/>
      </c>
      <c r="AV765">
        <f ca="1"/>
      </c>
      <c r="AW765">
        <f ca="1"/>
      </c>
      <c r="AX765">
        <f ca="1"/>
      </c>
      <c r="AY765">
        <f ca="1"/>
      </c>
      <c r="BA765" s="7"/>
    </row>
    <row r="766" spans="31:53" x14ac:dyDescent="0.55000000000000004">
      <c r="AE766" s="7">
        <f ca="1"/>
      </c>
      <c r="AF766">
        <f ca="1"/>
      </c>
      <c r="AG766">
        <f ca="1"/>
      </c>
      <c r="AH766">
        <f ca="1"/>
      </c>
      <c r="AI766">
        <f ca="1"/>
      </c>
      <c r="AJ766">
        <f ca="1"/>
      </c>
      <c r="AK766">
        <f ca="1"/>
      </c>
      <c r="AL766">
        <f ca="1"/>
      </c>
      <c r="AM766">
        <f ca="1"/>
      </c>
      <c r="AN766">
        <f ca="1"/>
      </c>
      <c r="AO766">
        <f ca="1"/>
      </c>
      <c r="AP766">
        <f ca="1"/>
      </c>
      <c r="AQ766">
        <f ca="1"/>
      </c>
      <c r="AR766">
        <f ca="1"/>
      </c>
      <c r="AT766" s="7">
        <f ca="1"/>
      </c>
      <c r="AU766">
        <f ca="1"/>
      </c>
      <c r="AV766">
        <f ca="1"/>
      </c>
      <c r="AW766">
        <f ca="1"/>
      </c>
      <c r="AX766">
        <f ca="1"/>
      </c>
      <c r="AY766">
        <f ca="1"/>
      </c>
      <c r="BA766" s="7"/>
    </row>
    <row r="767" spans="31:53" x14ac:dyDescent="0.55000000000000004">
      <c r="AE767" s="7">
        <f ca="1"/>
      </c>
      <c r="AF767">
        <f ca="1"/>
      </c>
      <c r="AG767">
        <f ca="1"/>
      </c>
      <c r="AH767">
        <f ca="1"/>
      </c>
      <c r="AI767">
        <f ca="1"/>
      </c>
      <c r="AJ767">
        <f ca="1"/>
      </c>
      <c r="AK767">
        <f ca="1"/>
      </c>
      <c r="AL767">
        <f ca="1"/>
      </c>
      <c r="AM767">
        <f ca="1"/>
      </c>
      <c r="AN767">
        <f ca="1"/>
      </c>
      <c r="AO767">
        <f ca="1"/>
      </c>
      <c r="AP767">
        <f ca="1"/>
      </c>
      <c r="AQ767">
        <f ca="1"/>
      </c>
      <c r="AR767">
        <f ca="1"/>
      </c>
      <c r="AT767" s="7">
        <f ca="1"/>
      </c>
      <c r="AU767">
        <f ca="1"/>
      </c>
      <c r="AV767">
        <f ca="1"/>
      </c>
      <c r="AW767">
        <f ca="1"/>
      </c>
      <c r="AX767">
        <f ca="1"/>
      </c>
      <c r="AY767">
        <f ca="1"/>
      </c>
      <c r="BA767" s="7"/>
    </row>
    <row r="768" spans="31:53" x14ac:dyDescent="0.55000000000000004">
      <c r="AE768" s="7">
        <f ca="1"/>
      </c>
      <c r="AF768">
        <f ca="1"/>
      </c>
      <c r="AG768">
        <f ca="1"/>
      </c>
      <c r="AH768">
        <f ca="1"/>
      </c>
      <c r="AI768">
        <f ca="1"/>
      </c>
      <c r="AJ768">
        <f ca="1"/>
      </c>
      <c r="AK768">
        <f ca="1"/>
      </c>
      <c r="AL768">
        <f ca="1"/>
      </c>
      <c r="AM768">
        <f ca="1"/>
      </c>
      <c r="AN768">
        <f ca="1"/>
      </c>
      <c r="AO768">
        <f ca="1"/>
      </c>
      <c r="AP768">
        <f ca="1"/>
      </c>
      <c r="AQ768">
        <f ca="1"/>
      </c>
      <c r="AR768">
        <f ca="1"/>
      </c>
      <c r="AT768" s="7">
        <f ca="1"/>
      </c>
      <c r="AU768">
        <f ca="1"/>
      </c>
      <c r="AV768">
        <f ca="1"/>
      </c>
      <c r="AW768">
        <f ca="1"/>
      </c>
      <c r="AX768">
        <f ca="1"/>
      </c>
      <c r="AY768">
        <f ca="1"/>
      </c>
      <c r="BA768" s="7"/>
    </row>
    <row r="769" spans="31:53" x14ac:dyDescent="0.55000000000000004">
      <c r="AE769" s="7">
        <f ca="1"/>
      </c>
      <c r="AF769">
        <f ca="1"/>
      </c>
      <c r="AG769">
        <f ca="1"/>
      </c>
      <c r="AH769">
        <f ca="1"/>
      </c>
      <c r="AI769">
        <f ca="1"/>
      </c>
      <c r="AJ769">
        <f ca="1"/>
      </c>
      <c r="AK769">
        <f ca="1"/>
      </c>
      <c r="AL769">
        <f ca="1"/>
      </c>
      <c r="AM769">
        <f ca="1"/>
      </c>
      <c r="AN769">
        <f ca="1"/>
      </c>
      <c r="AO769">
        <f ca="1"/>
      </c>
      <c r="AP769">
        <f ca="1"/>
      </c>
      <c r="AQ769">
        <f ca="1"/>
      </c>
      <c r="AR769">
        <f ca="1"/>
      </c>
      <c r="AT769" s="7">
        <f ca="1"/>
      </c>
      <c r="AU769">
        <f ca="1"/>
      </c>
      <c r="AV769">
        <f ca="1"/>
      </c>
      <c r="AW769">
        <f ca="1"/>
      </c>
      <c r="AX769">
        <f ca="1"/>
      </c>
      <c r="AY769">
        <f ca="1"/>
      </c>
      <c r="BA769" s="7"/>
    </row>
    <row r="770" spans="31:53" x14ac:dyDescent="0.55000000000000004">
      <c r="AE770" s="7">
        <f ca="1"/>
      </c>
      <c r="AF770">
        <f ca="1"/>
      </c>
      <c r="AG770">
        <f ca="1"/>
      </c>
      <c r="AH770">
        <f ca="1"/>
      </c>
      <c r="AI770">
        <f ca="1"/>
      </c>
      <c r="AJ770">
        <f ca="1"/>
      </c>
      <c r="AK770">
        <f ca="1"/>
      </c>
      <c r="AL770">
        <f ca="1"/>
      </c>
      <c r="AM770">
        <f ca="1"/>
      </c>
      <c r="AN770">
        <f ca="1"/>
      </c>
      <c r="AO770">
        <f ca="1"/>
      </c>
      <c r="AP770">
        <f ca="1"/>
      </c>
      <c r="AQ770">
        <f ca="1"/>
      </c>
      <c r="AR770">
        <f ca="1"/>
      </c>
      <c r="AT770" s="7">
        <f ca="1"/>
      </c>
      <c r="AU770">
        <f ca="1"/>
      </c>
      <c r="AV770">
        <f ca="1"/>
      </c>
      <c r="AW770">
        <f ca="1"/>
      </c>
      <c r="AX770">
        <f ca="1"/>
      </c>
      <c r="AY770">
        <f ca="1"/>
      </c>
      <c r="BA770" s="7"/>
    </row>
    <row r="771" spans="31:53" x14ac:dyDescent="0.55000000000000004">
      <c r="AE771" s="7">
        <f ca="1"/>
      </c>
      <c r="AF771">
        <f ca="1"/>
      </c>
      <c r="AG771">
        <f ca="1"/>
      </c>
      <c r="AH771">
        <f ca="1"/>
      </c>
      <c r="AI771">
        <f ca="1"/>
      </c>
      <c r="AJ771">
        <f ca="1"/>
      </c>
      <c r="AK771">
        <f ca="1"/>
      </c>
      <c r="AL771">
        <f ca="1"/>
      </c>
      <c r="AM771">
        <f ca="1"/>
      </c>
      <c r="AN771">
        <f ca="1"/>
      </c>
      <c r="AO771">
        <f ca="1"/>
      </c>
      <c r="AP771">
        <f ca="1"/>
      </c>
      <c r="AQ771">
        <f ca="1"/>
      </c>
      <c r="AR771">
        <f ca="1"/>
      </c>
      <c r="AT771" s="7">
        <f ca="1"/>
      </c>
      <c r="AU771">
        <f ca="1"/>
      </c>
      <c r="AV771">
        <f ca="1"/>
      </c>
      <c r="AW771">
        <f ca="1"/>
      </c>
      <c r="AX771">
        <f ca="1"/>
      </c>
      <c r="AY771">
        <f ca="1"/>
      </c>
      <c r="BA771" s="7"/>
    </row>
    <row r="772" spans="31:53" x14ac:dyDescent="0.55000000000000004">
      <c r="AE772" s="7">
        <f ca="1"/>
      </c>
      <c r="AF772">
        <f ca="1"/>
      </c>
      <c r="AG772">
        <f ca="1"/>
      </c>
      <c r="AH772">
        <f ca="1"/>
      </c>
      <c r="AI772">
        <f ca="1"/>
      </c>
      <c r="AJ772">
        <f ca="1"/>
      </c>
      <c r="AK772">
        <f ca="1"/>
      </c>
      <c r="AL772">
        <f ca="1"/>
      </c>
      <c r="AM772">
        <f ca="1"/>
      </c>
      <c r="AN772">
        <f ca="1"/>
      </c>
      <c r="AO772">
        <f ca="1"/>
      </c>
      <c r="AP772">
        <f ca="1"/>
      </c>
      <c r="AQ772">
        <f ca="1"/>
      </c>
      <c r="AR772">
        <f ca="1"/>
      </c>
      <c r="AT772" s="7">
        <f ca="1"/>
      </c>
      <c r="AU772">
        <f ca="1"/>
      </c>
      <c r="AV772">
        <f ca="1"/>
      </c>
      <c r="AW772">
        <f ca="1"/>
      </c>
      <c r="AX772">
        <f ca="1"/>
      </c>
      <c r="AY772">
        <f ca="1"/>
      </c>
      <c r="BA772" s="7"/>
    </row>
    <row r="773" spans="31:53" x14ac:dyDescent="0.55000000000000004">
      <c r="AE773" s="7">
        <f ca="1"/>
      </c>
      <c r="AF773">
        <f ca="1"/>
      </c>
      <c r="AG773">
        <f ca="1"/>
      </c>
      <c r="AH773">
        <f ca="1"/>
      </c>
      <c r="AI773">
        <f ca="1"/>
      </c>
      <c r="AJ773">
        <f ca="1"/>
      </c>
      <c r="AK773">
        <f ca="1"/>
      </c>
      <c r="AL773">
        <f ca="1"/>
      </c>
      <c r="AM773">
        <f ca="1"/>
      </c>
      <c r="AN773">
        <f ca="1"/>
      </c>
      <c r="AO773">
        <f ca="1"/>
      </c>
      <c r="AP773">
        <f ca="1"/>
      </c>
      <c r="AQ773">
        <f ca="1"/>
      </c>
      <c r="AR773">
        <f ca="1"/>
      </c>
      <c r="AT773" s="7">
        <f ca="1"/>
      </c>
      <c r="AU773">
        <f ca="1"/>
      </c>
      <c r="AV773">
        <f ca="1"/>
      </c>
      <c r="AW773">
        <f ca="1"/>
      </c>
      <c r="AX773">
        <f ca="1"/>
      </c>
      <c r="AY773">
        <f ca="1"/>
      </c>
      <c r="BA773" s="7"/>
    </row>
    <row r="774" spans="31:53" x14ac:dyDescent="0.55000000000000004">
      <c r="AE774" s="7">
        <f ca="1"/>
      </c>
      <c r="AF774">
        <f ca="1"/>
      </c>
      <c r="AG774">
        <f ca="1"/>
      </c>
      <c r="AH774">
        <f ca="1"/>
      </c>
      <c r="AI774">
        <f ca="1"/>
      </c>
      <c r="AJ774">
        <f ca="1"/>
      </c>
      <c r="AK774">
        <f ca="1"/>
      </c>
      <c r="AL774">
        <f ca="1"/>
      </c>
      <c r="AM774">
        <f ca="1"/>
      </c>
      <c r="AN774">
        <f ca="1"/>
      </c>
      <c r="AO774">
        <f ca="1"/>
      </c>
      <c r="AP774">
        <f ca="1"/>
      </c>
      <c r="AQ774">
        <f ca="1"/>
      </c>
      <c r="AR774">
        <f ca="1"/>
      </c>
      <c r="AT774" s="7">
        <f ca="1"/>
      </c>
      <c r="AU774">
        <f ca="1"/>
      </c>
      <c r="AV774">
        <f ca="1"/>
      </c>
      <c r="AW774">
        <f ca="1"/>
      </c>
      <c r="AX774">
        <f ca="1"/>
      </c>
      <c r="AY774">
        <f ca="1"/>
      </c>
      <c r="BA774" s="7"/>
    </row>
    <row r="775" spans="31:53" x14ac:dyDescent="0.55000000000000004">
      <c r="AE775" s="7">
        <f ca="1"/>
      </c>
      <c r="AF775">
        <f ca="1"/>
      </c>
      <c r="AG775">
        <f ca="1"/>
      </c>
      <c r="AH775">
        <f ca="1"/>
      </c>
      <c r="AI775">
        <f ca="1"/>
      </c>
      <c r="AJ775">
        <f ca="1"/>
      </c>
      <c r="AK775">
        <f ca="1"/>
      </c>
      <c r="AL775">
        <f ca="1"/>
      </c>
      <c r="AM775">
        <f ca="1"/>
      </c>
      <c r="AN775">
        <f ca="1"/>
      </c>
      <c r="AO775">
        <f ca="1"/>
      </c>
      <c r="AP775">
        <f ca="1"/>
      </c>
      <c r="AQ775">
        <f ca="1"/>
      </c>
      <c r="AR775">
        <f ca="1"/>
      </c>
      <c r="AT775" s="7">
        <f ca="1"/>
      </c>
      <c r="AU775">
        <f ca="1"/>
      </c>
      <c r="AV775">
        <f ca="1"/>
      </c>
      <c r="AW775">
        <f ca="1"/>
      </c>
      <c r="AX775">
        <f ca="1"/>
      </c>
      <c r="AY775">
        <f ca="1"/>
      </c>
      <c r="BA775" s="7"/>
    </row>
    <row r="776" spans="31:53" x14ac:dyDescent="0.55000000000000004">
      <c r="AE776" s="7">
        <f ca="1"/>
      </c>
      <c r="AF776">
        <f ca="1"/>
      </c>
      <c r="AG776">
        <f ca="1"/>
      </c>
      <c r="AH776">
        <f ca="1"/>
      </c>
      <c r="AI776">
        <f ca="1"/>
      </c>
      <c r="AJ776">
        <f ca="1"/>
      </c>
      <c r="AK776">
        <f ca="1"/>
      </c>
      <c r="AL776">
        <f ca="1"/>
      </c>
      <c r="AM776">
        <f ca="1"/>
      </c>
      <c r="AN776">
        <f ca="1"/>
      </c>
      <c r="AO776">
        <f ca="1"/>
      </c>
      <c r="AP776">
        <f ca="1"/>
      </c>
      <c r="AQ776">
        <f ca="1"/>
      </c>
      <c r="AR776">
        <f ca="1"/>
      </c>
      <c r="AT776" s="7">
        <f ca="1"/>
      </c>
      <c r="AU776">
        <f ca="1"/>
      </c>
      <c r="AV776">
        <f ca="1"/>
      </c>
      <c r="AW776">
        <f ca="1"/>
      </c>
      <c r="AX776">
        <f ca="1"/>
      </c>
      <c r="AY776">
        <f ca="1"/>
      </c>
      <c r="BA776" s="7"/>
    </row>
    <row r="777" spans="31:53" x14ac:dyDescent="0.55000000000000004">
      <c r="AE777" s="7">
        <f ca="1"/>
      </c>
      <c r="AF777">
        <f ca="1"/>
      </c>
      <c r="AG777">
        <f ca="1"/>
      </c>
      <c r="AH777">
        <f ca="1"/>
      </c>
      <c r="AI777">
        <f ca="1"/>
      </c>
      <c r="AJ777">
        <f ca="1"/>
      </c>
      <c r="AK777">
        <f ca="1"/>
      </c>
      <c r="AL777">
        <f ca="1"/>
      </c>
      <c r="AM777">
        <f ca="1"/>
      </c>
      <c r="AN777">
        <f ca="1"/>
      </c>
      <c r="AO777">
        <f ca="1"/>
      </c>
      <c r="AP777">
        <f ca="1"/>
      </c>
      <c r="AQ777">
        <f ca="1"/>
      </c>
      <c r="AR777">
        <f ca="1"/>
      </c>
      <c r="AT777" s="7">
        <f ca="1"/>
      </c>
      <c r="AU777">
        <f ca="1"/>
      </c>
      <c r="AV777">
        <f ca="1"/>
      </c>
      <c r="AW777">
        <f ca="1"/>
      </c>
      <c r="AX777">
        <f ca="1"/>
      </c>
      <c r="AY777">
        <f ca="1"/>
      </c>
      <c r="BA777" s="7"/>
    </row>
    <row r="778" spans="31:53" x14ac:dyDescent="0.55000000000000004">
      <c r="AE778" s="7">
        <f ca="1"/>
      </c>
      <c r="AF778">
        <f ca="1"/>
      </c>
      <c r="AG778">
        <f ca="1"/>
      </c>
      <c r="AH778">
        <f ca="1"/>
      </c>
      <c r="AI778">
        <f ca="1"/>
      </c>
      <c r="AJ778">
        <f ca="1"/>
      </c>
      <c r="AK778">
        <f ca="1"/>
      </c>
      <c r="AL778">
        <f ca="1"/>
      </c>
      <c r="AM778">
        <f ca="1"/>
      </c>
      <c r="AN778">
        <f ca="1"/>
      </c>
      <c r="AO778">
        <f ca="1"/>
      </c>
      <c r="AP778">
        <f ca="1"/>
      </c>
      <c r="AQ778">
        <f ca="1"/>
      </c>
      <c r="AR778">
        <f ca="1"/>
      </c>
      <c r="AT778" s="7">
        <f ca="1"/>
      </c>
      <c r="AU778">
        <f ca="1"/>
      </c>
      <c r="AV778">
        <f ca="1"/>
      </c>
      <c r="AW778">
        <f ca="1"/>
      </c>
      <c r="AX778">
        <f ca="1"/>
      </c>
      <c r="AY778">
        <f ca="1"/>
      </c>
      <c r="BA778" s="7"/>
    </row>
    <row r="779" spans="31:53" x14ac:dyDescent="0.55000000000000004">
      <c r="AE779" s="7">
        <f ca="1"/>
      </c>
      <c r="AF779">
        <f ca="1"/>
      </c>
      <c r="AG779">
        <f ca="1"/>
      </c>
      <c r="AH779">
        <f ca="1"/>
      </c>
      <c r="AI779">
        <f ca="1"/>
      </c>
      <c r="AJ779">
        <f ca="1"/>
      </c>
      <c r="AK779">
        <f ca="1"/>
      </c>
      <c r="AL779">
        <f ca="1"/>
      </c>
      <c r="AM779">
        <f ca="1"/>
      </c>
      <c r="AN779">
        <f ca="1"/>
      </c>
      <c r="AO779">
        <f ca="1"/>
      </c>
      <c r="AP779">
        <f ca="1"/>
      </c>
      <c r="AQ779">
        <f ca="1"/>
      </c>
      <c r="AR779">
        <f ca="1"/>
      </c>
      <c r="AT779" s="7">
        <f ca="1"/>
      </c>
      <c r="AU779">
        <f ca="1"/>
      </c>
      <c r="AV779">
        <f ca="1"/>
      </c>
      <c r="AW779">
        <f ca="1"/>
      </c>
      <c r="AX779">
        <f ca="1"/>
      </c>
      <c r="AY779">
        <f ca="1"/>
      </c>
      <c r="BA779" s="7"/>
    </row>
    <row r="780" spans="31:53" x14ac:dyDescent="0.55000000000000004">
      <c r="AE780" s="7">
        <f ca="1"/>
      </c>
      <c r="AF780">
        <f ca="1"/>
      </c>
      <c r="AG780">
        <f ca="1"/>
      </c>
      <c r="AH780">
        <f ca="1"/>
      </c>
      <c r="AI780">
        <f ca="1"/>
      </c>
      <c r="AJ780">
        <f ca="1"/>
      </c>
      <c r="AK780">
        <f ca="1"/>
      </c>
      <c r="AL780">
        <f ca="1"/>
      </c>
      <c r="AM780">
        <f ca="1"/>
      </c>
      <c r="AN780">
        <f ca="1"/>
      </c>
      <c r="AO780">
        <f ca="1"/>
      </c>
      <c r="AP780">
        <f ca="1"/>
      </c>
      <c r="AQ780">
        <f ca="1"/>
      </c>
      <c r="AR780">
        <f ca="1"/>
      </c>
      <c r="AT780" s="7">
        <f ca="1"/>
      </c>
      <c r="AU780">
        <f ca="1"/>
      </c>
      <c r="AV780">
        <f ca="1"/>
      </c>
      <c r="AW780">
        <f ca="1"/>
      </c>
      <c r="AX780">
        <f ca="1"/>
      </c>
      <c r="AY780">
        <f ca="1"/>
      </c>
      <c r="BA780" s="7"/>
    </row>
    <row r="781" spans="31:53" x14ac:dyDescent="0.55000000000000004">
      <c r="AE781" s="7">
        <f ca="1"/>
      </c>
      <c r="AF781">
        <f ca="1"/>
      </c>
      <c r="AG781">
        <f ca="1"/>
      </c>
      <c r="AH781">
        <f ca="1"/>
      </c>
      <c r="AI781">
        <f ca="1"/>
      </c>
      <c r="AJ781">
        <f ca="1"/>
      </c>
      <c r="AK781">
        <f ca="1"/>
      </c>
      <c r="AL781">
        <f ca="1"/>
      </c>
      <c r="AM781">
        <f ca="1"/>
      </c>
      <c r="AN781">
        <f ca="1"/>
      </c>
      <c r="AO781">
        <f ca="1"/>
      </c>
      <c r="AP781">
        <f ca="1"/>
      </c>
      <c r="AQ781">
        <f ca="1"/>
      </c>
      <c r="AR781">
        <f ca="1"/>
      </c>
      <c r="AT781" s="7">
        <f ca="1"/>
      </c>
      <c r="AU781">
        <f ca="1"/>
      </c>
      <c r="AV781">
        <f ca="1"/>
      </c>
      <c r="AW781">
        <f ca="1"/>
      </c>
      <c r="AX781">
        <f ca="1"/>
      </c>
      <c r="AY781">
        <f ca="1"/>
      </c>
      <c r="BA781" s="7"/>
    </row>
    <row r="782" spans="31:53" x14ac:dyDescent="0.55000000000000004">
      <c r="AE782" s="7">
        <f ca="1"/>
      </c>
      <c r="AF782">
        <f ca="1"/>
      </c>
      <c r="AG782">
        <f ca="1"/>
      </c>
      <c r="AH782">
        <f ca="1"/>
      </c>
      <c r="AI782">
        <f ca="1"/>
      </c>
      <c r="AJ782">
        <f ca="1"/>
      </c>
      <c r="AK782">
        <f ca="1"/>
      </c>
      <c r="AL782">
        <f ca="1"/>
      </c>
      <c r="AM782">
        <f ca="1"/>
      </c>
      <c r="AN782">
        <f ca="1"/>
      </c>
      <c r="AO782">
        <f ca="1"/>
      </c>
      <c r="AP782">
        <f ca="1"/>
      </c>
      <c r="AQ782">
        <f ca="1"/>
      </c>
      <c r="AR782">
        <f ca="1"/>
      </c>
      <c r="AT782" s="7">
        <f ca="1"/>
      </c>
      <c r="AU782">
        <f ca="1"/>
      </c>
      <c r="AV782">
        <f ca="1"/>
      </c>
      <c r="AW782">
        <f ca="1"/>
      </c>
      <c r="AX782">
        <f ca="1"/>
      </c>
      <c r="AY782">
        <f ca="1"/>
      </c>
      <c r="BA782" s="7"/>
    </row>
    <row r="783" spans="31:53" x14ac:dyDescent="0.55000000000000004">
      <c r="AE783" s="7">
        <f ca="1"/>
      </c>
      <c r="AF783">
        <f ca="1"/>
      </c>
      <c r="AG783">
        <f ca="1"/>
      </c>
      <c r="AH783">
        <f ca="1"/>
      </c>
      <c r="AI783">
        <f ca="1"/>
      </c>
      <c r="AJ783">
        <f ca="1"/>
      </c>
      <c r="AK783">
        <f ca="1"/>
      </c>
      <c r="AL783">
        <f ca="1"/>
      </c>
      <c r="AM783">
        <f ca="1"/>
      </c>
      <c r="AN783">
        <f ca="1"/>
      </c>
      <c r="AO783">
        <f ca="1"/>
      </c>
      <c r="AP783">
        <f ca="1"/>
      </c>
      <c r="AQ783">
        <f ca="1"/>
      </c>
      <c r="AR783">
        <f ca="1"/>
      </c>
      <c r="AT783" s="7">
        <f ca="1"/>
      </c>
      <c r="AU783">
        <f ca="1"/>
      </c>
      <c r="AV783">
        <f ca="1"/>
      </c>
      <c r="AW783">
        <f ca="1"/>
      </c>
      <c r="AX783">
        <f ca="1"/>
      </c>
      <c r="AY783">
        <f ca="1"/>
      </c>
      <c r="BA783" s="7"/>
    </row>
    <row r="784" spans="31:53" x14ac:dyDescent="0.55000000000000004">
      <c r="AE784" s="7">
        <f ca="1"/>
      </c>
      <c r="AF784">
        <f ca="1"/>
      </c>
      <c r="AG784">
        <f ca="1"/>
      </c>
      <c r="AH784">
        <f ca="1"/>
      </c>
      <c r="AI784">
        <f ca="1"/>
      </c>
      <c r="AJ784">
        <f ca="1"/>
      </c>
      <c r="AK784">
        <f ca="1"/>
      </c>
      <c r="AL784">
        <f ca="1"/>
      </c>
      <c r="AM784">
        <f ca="1"/>
      </c>
      <c r="AN784">
        <f ca="1"/>
      </c>
      <c r="AO784">
        <f ca="1"/>
      </c>
      <c r="AP784">
        <f ca="1"/>
      </c>
      <c r="AQ784">
        <f ca="1"/>
      </c>
      <c r="AR784">
        <f ca="1"/>
      </c>
      <c r="AT784" s="7">
        <f ca="1"/>
      </c>
      <c r="AU784">
        <f ca="1"/>
      </c>
      <c r="AV784">
        <f ca="1"/>
      </c>
      <c r="AW784">
        <f ca="1"/>
      </c>
      <c r="AX784">
        <f ca="1"/>
      </c>
      <c r="AY784">
        <f ca="1"/>
      </c>
      <c r="BA784" s="7"/>
    </row>
    <row r="785" spans="31:53" x14ac:dyDescent="0.55000000000000004">
      <c r="AE785" s="7">
        <f ca="1"/>
      </c>
      <c r="AF785">
        <f ca="1"/>
      </c>
      <c r="AG785">
        <f ca="1"/>
      </c>
      <c r="AH785">
        <f ca="1"/>
      </c>
      <c r="AI785">
        <f ca="1"/>
      </c>
      <c r="AJ785">
        <f ca="1"/>
      </c>
      <c r="AK785">
        <f ca="1"/>
      </c>
      <c r="AL785">
        <f ca="1"/>
      </c>
      <c r="AM785">
        <f ca="1"/>
      </c>
      <c r="AN785">
        <f ca="1"/>
      </c>
      <c r="AO785">
        <f ca="1"/>
      </c>
      <c r="AP785">
        <f ca="1"/>
      </c>
      <c r="AQ785">
        <f ca="1"/>
      </c>
      <c r="AR785">
        <f ca="1"/>
      </c>
      <c r="AT785" s="7">
        <f ca="1"/>
      </c>
      <c r="AU785">
        <f ca="1"/>
      </c>
      <c r="AV785">
        <f ca="1"/>
      </c>
      <c r="AW785">
        <f ca="1"/>
      </c>
      <c r="AX785">
        <f ca="1"/>
      </c>
      <c r="AY785">
        <f ca="1"/>
      </c>
      <c r="BA785" s="7"/>
    </row>
    <row r="786" spans="31:53" x14ac:dyDescent="0.55000000000000004">
      <c r="AE786" s="7">
        <f ca="1"/>
      </c>
      <c r="AF786">
        <f ca="1"/>
      </c>
      <c r="AG786">
        <f ca="1"/>
      </c>
      <c r="AH786">
        <f ca="1"/>
      </c>
      <c r="AI786">
        <f ca="1"/>
      </c>
      <c r="AJ786">
        <f ca="1"/>
      </c>
      <c r="AK786">
        <f ca="1"/>
      </c>
      <c r="AL786">
        <f ca="1"/>
      </c>
      <c r="AM786">
        <f ca="1"/>
      </c>
      <c r="AN786">
        <f ca="1"/>
      </c>
      <c r="AO786">
        <f ca="1"/>
      </c>
      <c r="AP786">
        <f ca="1"/>
      </c>
      <c r="AQ786">
        <f ca="1"/>
      </c>
      <c r="AR786">
        <f ca="1"/>
      </c>
      <c r="AT786" s="7">
        <f ca="1"/>
      </c>
      <c r="AU786">
        <f ca="1"/>
      </c>
      <c r="AV786">
        <f ca="1"/>
      </c>
      <c r="AW786">
        <f ca="1"/>
      </c>
      <c r="AX786">
        <f ca="1"/>
      </c>
      <c r="AY786">
        <f ca="1"/>
      </c>
      <c r="BA786" s="7"/>
    </row>
    <row r="787" spans="31:53" x14ac:dyDescent="0.55000000000000004">
      <c r="AE787" s="7">
        <f ca="1"/>
      </c>
      <c r="AF787">
        <f ca="1"/>
      </c>
      <c r="AG787">
        <f ca="1"/>
      </c>
      <c r="AH787">
        <f ca="1"/>
      </c>
      <c r="AI787">
        <f ca="1"/>
      </c>
      <c r="AJ787">
        <f ca="1"/>
      </c>
      <c r="AK787">
        <f ca="1"/>
      </c>
      <c r="AL787">
        <f ca="1"/>
      </c>
      <c r="AM787">
        <f ca="1"/>
      </c>
      <c r="AN787">
        <f ca="1"/>
      </c>
      <c r="AO787">
        <f ca="1"/>
      </c>
      <c r="AP787">
        <f ca="1"/>
      </c>
      <c r="AQ787">
        <f ca="1"/>
      </c>
      <c r="AR787">
        <f ca="1"/>
      </c>
      <c r="AT787" s="7">
        <f ca="1"/>
      </c>
      <c r="AU787">
        <f ca="1"/>
      </c>
      <c r="AV787">
        <f ca="1"/>
      </c>
      <c r="AW787">
        <f ca="1"/>
      </c>
      <c r="AX787">
        <f ca="1"/>
      </c>
      <c r="AY787">
        <f ca="1"/>
      </c>
      <c r="BA787" s="7"/>
    </row>
    <row r="788" spans="31:53" x14ac:dyDescent="0.55000000000000004">
      <c r="AE788" s="7">
        <f ca="1"/>
      </c>
      <c r="AF788">
        <f ca="1"/>
      </c>
      <c r="AG788">
        <f ca="1"/>
      </c>
      <c r="AH788">
        <f ca="1"/>
      </c>
      <c r="AI788">
        <f ca="1"/>
      </c>
      <c r="AJ788">
        <f ca="1"/>
      </c>
      <c r="AK788">
        <f ca="1"/>
      </c>
      <c r="AL788">
        <f ca="1"/>
      </c>
      <c r="AM788">
        <f ca="1"/>
      </c>
      <c r="AN788">
        <f ca="1"/>
      </c>
      <c r="AO788">
        <f ca="1"/>
      </c>
      <c r="AP788">
        <f ca="1"/>
      </c>
      <c r="AQ788">
        <f ca="1"/>
      </c>
      <c r="AR788">
        <f ca="1"/>
      </c>
      <c r="AT788" s="7">
        <f ca="1"/>
      </c>
      <c r="AU788">
        <f ca="1"/>
      </c>
      <c r="AV788">
        <f ca="1"/>
      </c>
      <c r="AW788">
        <f ca="1"/>
      </c>
      <c r="AX788">
        <f ca="1"/>
      </c>
      <c r="AY788">
        <f ca="1"/>
      </c>
      <c r="BA788" s="7"/>
    </row>
    <row r="789" spans="31:53" x14ac:dyDescent="0.55000000000000004">
      <c r="AE789" s="7">
        <f ca="1"/>
      </c>
      <c r="AF789">
        <f ca="1"/>
      </c>
      <c r="AG789">
        <f ca="1"/>
      </c>
      <c r="AH789">
        <f ca="1"/>
      </c>
      <c r="AI789">
        <f ca="1"/>
      </c>
      <c r="AJ789">
        <f ca="1"/>
      </c>
      <c r="AK789">
        <f ca="1"/>
      </c>
      <c r="AL789">
        <f ca="1"/>
      </c>
      <c r="AM789">
        <f ca="1"/>
      </c>
      <c r="AN789">
        <f ca="1"/>
      </c>
      <c r="AO789">
        <f ca="1"/>
      </c>
      <c r="AP789">
        <f ca="1"/>
      </c>
      <c r="AQ789">
        <f ca="1"/>
      </c>
      <c r="AR789">
        <f ca="1"/>
      </c>
      <c r="AT789" s="7">
        <f ca="1"/>
      </c>
      <c r="AU789">
        <f ca="1"/>
      </c>
      <c r="AV789">
        <f ca="1"/>
      </c>
      <c r="AW789">
        <f ca="1"/>
      </c>
      <c r="AX789">
        <f ca="1"/>
      </c>
      <c r="AY789">
        <f ca="1"/>
      </c>
      <c r="BA789" s="7"/>
    </row>
    <row r="790" spans="31:53" x14ac:dyDescent="0.55000000000000004">
      <c r="AE790" s="7">
        <f ca="1"/>
      </c>
      <c r="AF790">
        <f ca="1"/>
      </c>
      <c r="AG790">
        <f ca="1"/>
      </c>
      <c r="AH790">
        <f ca="1"/>
      </c>
      <c r="AI790">
        <f ca="1"/>
      </c>
      <c r="AJ790">
        <f ca="1"/>
      </c>
      <c r="AK790">
        <f ca="1"/>
      </c>
      <c r="AL790">
        <f ca="1"/>
      </c>
      <c r="AM790">
        <f ca="1"/>
      </c>
      <c r="AN790">
        <f ca="1"/>
      </c>
      <c r="AO790">
        <f ca="1"/>
      </c>
      <c r="AP790">
        <f ca="1"/>
      </c>
      <c r="AQ790">
        <f ca="1"/>
      </c>
      <c r="AR790">
        <f ca="1"/>
      </c>
      <c r="AT790" s="7">
        <f ca="1"/>
      </c>
      <c r="AU790">
        <f ca="1"/>
      </c>
      <c r="AV790">
        <f ca="1"/>
      </c>
      <c r="AW790">
        <f ca="1"/>
      </c>
      <c r="AX790">
        <f ca="1"/>
      </c>
      <c r="AY790">
        <f ca="1"/>
      </c>
      <c r="BA790" s="7"/>
    </row>
    <row r="791" spans="31:53" x14ac:dyDescent="0.55000000000000004">
      <c r="AE791" s="7">
        <f ca="1"/>
      </c>
      <c r="AF791">
        <f ca="1"/>
      </c>
      <c r="AG791">
        <f ca="1"/>
      </c>
      <c r="AH791">
        <f ca="1"/>
      </c>
      <c r="AI791">
        <f ca="1"/>
      </c>
      <c r="AJ791">
        <f ca="1"/>
      </c>
      <c r="AK791">
        <f ca="1"/>
      </c>
      <c r="AL791">
        <f ca="1"/>
      </c>
      <c r="AM791">
        <f ca="1"/>
      </c>
      <c r="AN791">
        <f ca="1"/>
      </c>
      <c r="AO791">
        <f ca="1"/>
      </c>
      <c r="AP791">
        <f ca="1"/>
      </c>
      <c r="AQ791">
        <f ca="1"/>
      </c>
      <c r="AR791">
        <f ca="1"/>
      </c>
      <c r="AT791" s="7">
        <f ca="1"/>
      </c>
      <c r="AU791">
        <f ca="1"/>
      </c>
      <c r="AV791">
        <f ca="1"/>
      </c>
      <c r="AW791">
        <f ca="1"/>
      </c>
      <c r="AX791">
        <f ca="1"/>
      </c>
      <c r="AY791">
        <f ca="1"/>
      </c>
      <c r="BA791" s="7"/>
    </row>
    <row r="792" spans="31:53" x14ac:dyDescent="0.55000000000000004">
      <c r="AE792" s="7">
        <f ca="1"/>
      </c>
      <c r="AF792">
        <f ca="1"/>
      </c>
      <c r="AG792">
        <f ca="1"/>
      </c>
      <c r="AH792">
        <f ca="1"/>
      </c>
      <c r="AI792">
        <f ca="1"/>
      </c>
      <c r="AJ792">
        <f ca="1"/>
      </c>
      <c r="AK792">
        <f ca="1"/>
      </c>
      <c r="AL792">
        <f ca="1"/>
      </c>
      <c r="AM792">
        <f ca="1"/>
      </c>
      <c r="AN792">
        <f ca="1"/>
      </c>
      <c r="AO792">
        <f ca="1"/>
      </c>
      <c r="AP792">
        <f ca="1"/>
      </c>
      <c r="AQ792">
        <f ca="1"/>
      </c>
      <c r="AR792">
        <f ca="1"/>
      </c>
      <c r="AT792" s="7">
        <f ca="1"/>
      </c>
      <c r="AU792">
        <f ca="1"/>
      </c>
      <c r="AV792">
        <f ca="1"/>
      </c>
      <c r="AW792">
        <f ca="1"/>
      </c>
      <c r="AX792">
        <f ca="1"/>
      </c>
      <c r="AY792">
        <f ca="1"/>
      </c>
      <c r="BA792" s="7"/>
    </row>
    <row r="793" spans="31:53" x14ac:dyDescent="0.55000000000000004">
      <c r="AE793" s="7">
        <f ca="1"/>
      </c>
      <c r="AF793">
        <f ca="1"/>
      </c>
      <c r="AG793">
        <f ca="1"/>
      </c>
      <c r="AH793">
        <f ca="1"/>
      </c>
      <c r="AI793">
        <f ca="1"/>
      </c>
      <c r="AJ793">
        <f ca="1"/>
      </c>
      <c r="AK793">
        <f ca="1"/>
      </c>
      <c r="AL793">
        <f ca="1"/>
      </c>
      <c r="AM793">
        <f ca="1"/>
      </c>
      <c r="AN793">
        <f ca="1"/>
      </c>
      <c r="AO793">
        <f ca="1"/>
      </c>
      <c r="AP793">
        <f ca="1"/>
      </c>
      <c r="AQ793">
        <f ca="1"/>
      </c>
      <c r="AR793">
        <f ca="1"/>
      </c>
      <c r="AT793" s="7">
        <f ca="1"/>
      </c>
      <c r="AU793">
        <f ca="1"/>
      </c>
      <c r="AV793">
        <f ca="1"/>
      </c>
      <c r="AW793">
        <f ca="1"/>
      </c>
      <c r="AX793">
        <f ca="1"/>
      </c>
      <c r="AY793">
        <f ca="1"/>
      </c>
      <c r="BA793" s="7"/>
    </row>
    <row r="794" spans="31:53" x14ac:dyDescent="0.55000000000000004">
      <c r="AE794" s="7">
        <f ca="1"/>
      </c>
      <c r="AF794">
        <f ca="1"/>
      </c>
      <c r="AG794">
        <f ca="1"/>
      </c>
      <c r="AH794">
        <f ca="1"/>
      </c>
      <c r="AI794">
        <f ca="1"/>
      </c>
      <c r="AJ794">
        <f ca="1"/>
      </c>
      <c r="AK794">
        <f ca="1"/>
      </c>
      <c r="AL794">
        <f ca="1"/>
      </c>
      <c r="AM794">
        <f ca="1"/>
      </c>
      <c r="AN794">
        <f ca="1"/>
      </c>
      <c r="AO794">
        <f ca="1"/>
      </c>
      <c r="AP794">
        <f ca="1"/>
      </c>
      <c r="AQ794">
        <f ca="1"/>
      </c>
      <c r="AR794">
        <f ca="1"/>
      </c>
      <c r="AT794" s="7">
        <f ca="1"/>
      </c>
      <c r="AU794">
        <f ca="1"/>
      </c>
      <c r="AV794">
        <f ca="1"/>
      </c>
      <c r="AW794">
        <f ca="1"/>
      </c>
      <c r="AX794">
        <f ca="1"/>
      </c>
      <c r="AY794">
        <f ca="1"/>
      </c>
      <c r="BA794" s="7"/>
    </row>
    <row r="795" spans="31:53" x14ac:dyDescent="0.55000000000000004">
      <c r="AE795" s="7">
        <f ca="1"/>
      </c>
      <c r="AF795">
        <f ca="1"/>
      </c>
      <c r="AG795">
        <f ca="1"/>
      </c>
      <c r="AH795">
        <f ca="1"/>
      </c>
      <c r="AI795">
        <f ca="1"/>
      </c>
      <c r="AJ795">
        <f ca="1"/>
      </c>
      <c r="AK795">
        <f ca="1"/>
      </c>
      <c r="AL795">
        <f ca="1"/>
      </c>
      <c r="AM795">
        <f ca="1"/>
      </c>
      <c r="AN795">
        <f ca="1"/>
      </c>
      <c r="AO795">
        <f ca="1"/>
      </c>
      <c r="AP795">
        <f ca="1"/>
      </c>
      <c r="AQ795">
        <f ca="1"/>
      </c>
      <c r="AR795">
        <f ca="1"/>
      </c>
      <c r="AT795" s="7">
        <f ca="1"/>
      </c>
      <c r="AU795">
        <f ca="1"/>
      </c>
      <c r="AV795">
        <f ca="1"/>
      </c>
      <c r="AW795">
        <f ca="1"/>
      </c>
      <c r="AX795">
        <f ca="1"/>
      </c>
      <c r="AY795">
        <f ca="1"/>
      </c>
      <c r="BA795" s="7"/>
    </row>
    <row r="796" spans="31:53" x14ac:dyDescent="0.55000000000000004">
      <c r="AE796" s="7">
        <f ca="1"/>
      </c>
      <c r="AF796">
        <f ca="1"/>
      </c>
      <c r="AG796">
        <f ca="1"/>
      </c>
      <c r="AH796">
        <f ca="1"/>
      </c>
      <c r="AI796">
        <f ca="1"/>
      </c>
      <c r="AJ796">
        <f ca="1"/>
      </c>
      <c r="AK796">
        <f ca="1"/>
      </c>
      <c r="AL796">
        <f ca="1"/>
      </c>
      <c r="AM796">
        <f ca="1"/>
      </c>
      <c r="AN796">
        <f ca="1"/>
      </c>
      <c r="AO796">
        <f ca="1"/>
      </c>
      <c r="AP796">
        <f ca="1"/>
      </c>
      <c r="AQ796">
        <f ca="1"/>
      </c>
      <c r="AR796">
        <f ca="1"/>
      </c>
      <c r="AT796" s="7">
        <f ca="1"/>
      </c>
      <c r="AU796">
        <f ca="1"/>
      </c>
      <c r="AV796">
        <f ca="1"/>
      </c>
      <c r="AW796">
        <f ca="1"/>
      </c>
      <c r="AX796">
        <f ca="1"/>
      </c>
      <c r="AY796">
        <f ca="1"/>
      </c>
      <c r="BA796" s="7"/>
    </row>
    <row r="797" spans="31:53" x14ac:dyDescent="0.55000000000000004">
      <c r="AE797" s="7">
        <f ca="1"/>
      </c>
      <c r="AF797">
        <f ca="1"/>
      </c>
      <c r="AG797">
        <f ca="1"/>
      </c>
      <c r="AH797">
        <f ca="1"/>
      </c>
      <c r="AI797">
        <f ca="1"/>
      </c>
      <c r="AJ797">
        <f ca="1"/>
      </c>
      <c r="AK797">
        <f ca="1"/>
      </c>
      <c r="AL797">
        <f ca="1"/>
      </c>
      <c r="AM797">
        <f ca="1"/>
      </c>
      <c r="AN797">
        <f ca="1"/>
      </c>
      <c r="AO797">
        <f ca="1"/>
      </c>
      <c r="AP797">
        <f ca="1"/>
      </c>
      <c r="AQ797">
        <f ca="1"/>
      </c>
      <c r="AR797">
        <f ca="1"/>
      </c>
      <c r="AT797" s="7">
        <f ca="1"/>
      </c>
      <c r="AU797">
        <f ca="1"/>
      </c>
      <c r="AV797">
        <f ca="1"/>
      </c>
      <c r="AW797">
        <f ca="1"/>
      </c>
      <c r="AX797">
        <f ca="1"/>
      </c>
      <c r="AY797">
        <f ca="1"/>
      </c>
      <c r="BA797" s="7"/>
    </row>
    <row r="798" spans="31:53" x14ac:dyDescent="0.55000000000000004">
      <c r="AE798" s="7">
        <f ca="1"/>
      </c>
      <c r="AF798">
        <f ca="1"/>
      </c>
      <c r="AG798">
        <f ca="1"/>
      </c>
      <c r="AH798">
        <f ca="1"/>
      </c>
      <c r="AI798">
        <f ca="1"/>
      </c>
      <c r="AJ798">
        <f ca="1"/>
      </c>
      <c r="AK798">
        <f ca="1"/>
      </c>
      <c r="AL798">
        <f ca="1"/>
      </c>
      <c r="AM798">
        <f ca="1"/>
      </c>
      <c r="AN798">
        <f ca="1"/>
      </c>
      <c r="AO798">
        <f ca="1"/>
      </c>
      <c r="AP798">
        <f ca="1"/>
      </c>
      <c r="AQ798">
        <f ca="1"/>
      </c>
      <c r="AR798">
        <f ca="1"/>
      </c>
      <c r="AT798" s="7">
        <f ca="1"/>
      </c>
      <c r="AU798">
        <f ca="1"/>
      </c>
      <c r="AV798">
        <f ca="1"/>
      </c>
      <c r="AW798">
        <f ca="1"/>
      </c>
      <c r="AX798">
        <f ca="1"/>
      </c>
      <c r="AY798">
        <f ca="1"/>
      </c>
      <c r="BA798" s="7"/>
    </row>
    <row r="799" spans="31:53" x14ac:dyDescent="0.55000000000000004">
      <c r="AE799" s="7">
        <f ca="1"/>
      </c>
      <c r="AF799">
        <f ca="1"/>
      </c>
      <c r="AG799">
        <f ca="1"/>
      </c>
      <c r="AH799">
        <f ca="1"/>
      </c>
      <c r="AI799">
        <f ca="1"/>
      </c>
      <c r="AJ799">
        <f ca="1"/>
      </c>
      <c r="AK799">
        <f ca="1"/>
      </c>
      <c r="AL799">
        <f ca="1"/>
      </c>
      <c r="AM799">
        <f ca="1"/>
      </c>
      <c r="AN799">
        <f ca="1"/>
      </c>
      <c r="AO799">
        <f ca="1"/>
      </c>
      <c r="AP799">
        <f ca="1"/>
      </c>
      <c r="AQ799">
        <f ca="1"/>
      </c>
      <c r="AR799">
        <f ca="1"/>
      </c>
      <c r="AT799" s="7">
        <f ca="1"/>
      </c>
      <c r="AU799">
        <f ca="1"/>
      </c>
      <c r="AV799">
        <f ca="1"/>
      </c>
      <c r="AW799">
        <f ca="1"/>
      </c>
      <c r="AX799">
        <f ca="1"/>
      </c>
      <c r="AY799">
        <f ca="1"/>
      </c>
      <c r="BA799" s="7"/>
    </row>
    <row r="800" spans="31:53" x14ac:dyDescent="0.55000000000000004">
      <c r="AE800" s="7">
        <f ca="1"/>
      </c>
      <c r="AF800">
        <f ca="1"/>
      </c>
      <c r="AG800">
        <f ca="1"/>
      </c>
      <c r="AH800">
        <f ca="1"/>
      </c>
      <c r="AI800">
        <f ca="1"/>
      </c>
      <c r="AJ800">
        <f ca="1"/>
      </c>
      <c r="AK800">
        <f ca="1"/>
      </c>
      <c r="AL800">
        <f ca="1"/>
      </c>
      <c r="AM800">
        <f ca="1"/>
      </c>
      <c r="AN800">
        <f ca="1"/>
      </c>
      <c r="AO800">
        <f ca="1"/>
      </c>
      <c r="AP800">
        <f ca="1"/>
      </c>
      <c r="AQ800">
        <f ca="1"/>
      </c>
      <c r="AR800">
        <f ca="1"/>
      </c>
      <c r="AT800" s="7">
        <f ca="1"/>
      </c>
      <c r="AU800">
        <f ca="1"/>
      </c>
      <c r="AV800">
        <f ca="1"/>
      </c>
      <c r="AW800">
        <f ca="1"/>
      </c>
      <c r="AX800">
        <f ca="1"/>
      </c>
      <c r="AY800">
        <f ca="1"/>
      </c>
      <c r="BA800" s="7"/>
    </row>
    <row r="801" spans="31:53" x14ac:dyDescent="0.55000000000000004">
      <c r="AE801" s="7">
        <f ca="1"/>
      </c>
      <c r="AF801">
        <f ca="1"/>
      </c>
      <c r="AG801">
        <f ca="1"/>
      </c>
      <c r="AH801">
        <f ca="1"/>
      </c>
      <c r="AI801">
        <f ca="1"/>
      </c>
      <c r="AJ801">
        <f ca="1"/>
      </c>
      <c r="AK801">
        <f ca="1"/>
      </c>
      <c r="AL801">
        <f ca="1"/>
      </c>
      <c r="AM801">
        <f ca="1"/>
      </c>
      <c r="AN801">
        <f ca="1"/>
      </c>
      <c r="AO801">
        <f ca="1"/>
      </c>
      <c r="AP801">
        <f ca="1"/>
      </c>
      <c r="AQ801">
        <f ca="1"/>
      </c>
      <c r="AR801">
        <f ca="1"/>
      </c>
      <c r="AT801" s="7">
        <f ca="1"/>
      </c>
      <c r="AU801">
        <f ca="1"/>
      </c>
      <c r="AV801">
        <f ca="1"/>
      </c>
      <c r="AW801">
        <f ca="1"/>
      </c>
      <c r="AX801">
        <f ca="1"/>
      </c>
      <c r="AY801">
        <f ca="1"/>
      </c>
      <c r="BA801" s="7"/>
    </row>
    <row r="802" spans="31:53" x14ac:dyDescent="0.55000000000000004">
      <c r="AE802" s="7">
        <f ca="1"/>
      </c>
      <c r="AF802">
        <f ca="1"/>
      </c>
      <c r="AG802">
        <f ca="1"/>
      </c>
      <c r="AH802">
        <f ca="1"/>
      </c>
      <c r="AI802">
        <f ca="1"/>
      </c>
      <c r="AJ802">
        <f ca="1"/>
      </c>
      <c r="AK802">
        <f ca="1"/>
      </c>
      <c r="AL802">
        <f ca="1"/>
      </c>
      <c r="AM802">
        <f ca="1"/>
      </c>
      <c r="AN802">
        <f ca="1"/>
      </c>
      <c r="AO802">
        <f ca="1"/>
      </c>
      <c r="AP802">
        <f ca="1"/>
      </c>
      <c r="AQ802">
        <f ca="1"/>
      </c>
      <c r="AR802">
        <f ca="1"/>
      </c>
      <c r="AT802" s="7">
        <f ca="1"/>
      </c>
      <c r="AU802">
        <f ca="1"/>
      </c>
      <c r="AV802">
        <f ca="1"/>
      </c>
      <c r="AW802">
        <f ca="1"/>
      </c>
      <c r="AX802">
        <f ca="1"/>
      </c>
      <c r="AY802">
        <f ca="1"/>
      </c>
      <c r="BA802" s="7"/>
    </row>
    <row r="803" spans="31:53" x14ac:dyDescent="0.55000000000000004">
      <c r="AE803" s="7">
        <f ca="1"/>
      </c>
      <c r="AF803">
        <f ca="1"/>
      </c>
      <c r="AG803">
        <f ca="1"/>
      </c>
      <c r="AH803">
        <f ca="1"/>
      </c>
      <c r="AI803">
        <f ca="1"/>
      </c>
      <c r="AJ803">
        <f ca="1"/>
      </c>
      <c r="AK803">
        <f ca="1"/>
      </c>
      <c r="AL803">
        <f ca="1"/>
      </c>
      <c r="AM803">
        <f ca="1"/>
      </c>
      <c r="AN803">
        <f ca="1"/>
      </c>
      <c r="AO803">
        <f ca="1"/>
      </c>
      <c r="AP803">
        <f ca="1"/>
      </c>
      <c r="AQ803">
        <f ca="1"/>
      </c>
      <c r="AR803">
        <f ca="1"/>
      </c>
      <c r="AT803" s="7">
        <f ca="1"/>
      </c>
      <c r="AU803">
        <f ca="1"/>
      </c>
      <c r="AV803">
        <f ca="1"/>
      </c>
      <c r="AW803">
        <f ca="1"/>
      </c>
      <c r="AX803">
        <f ca="1"/>
      </c>
      <c r="AY803">
        <f ca="1"/>
      </c>
      <c r="BA803" s="7"/>
    </row>
    <row r="804" spans="31:53" x14ac:dyDescent="0.55000000000000004">
      <c r="AE804" s="7">
        <f ca="1"/>
      </c>
      <c r="AF804">
        <f ca="1"/>
      </c>
      <c r="AG804">
        <f ca="1"/>
      </c>
      <c r="AH804">
        <f ca="1"/>
      </c>
      <c r="AI804">
        <f ca="1"/>
      </c>
      <c r="AJ804">
        <f ca="1"/>
      </c>
      <c r="AK804">
        <f ca="1"/>
      </c>
      <c r="AL804">
        <f ca="1"/>
      </c>
      <c r="AM804">
        <f ca="1"/>
      </c>
      <c r="AN804">
        <f ca="1"/>
      </c>
      <c r="AO804">
        <f ca="1"/>
      </c>
      <c r="AP804">
        <f ca="1"/>
      </c>
      <c r="AQ804">
        <f ca="1"/>
      </c>
      <c r="AR804">
        <f ca="1"/>
      </c>
      <c r="AT804" s="7">
        <f ca="1"/>
      </c>
      <c r="AU804">
        <f ca="1"/>
      </c>
      <c r="AV804">
        <f ca="1"/>
      </c>
      <c r="AW804">
        <f ca="1"/>
      </c>
      <c r="AX804">
        <f ca="1"/>
      </c>
      <c r="AY804">
        <f ca="1"/>
      </c>
      <c r="BA804" s="7"/>
    </row>
    <row r="805" spans="31:53" x14ac:dyDescent="0.55000000000000004">
      <c r="AE805" s="7">
        <f ca="1"/>
      </c>
      <c r="AF805">
        <f ca="1"/>
      </c>
      <c r="AG805">
        <f ca="1"/>
      </c>
      <c r="AH805">
        <f ca="1"/>
      </c>
      <c r="AI805">
        <f ca="1"/>
      </c>
      <c r="AJ805">
        <f ca="1"/>
      </c>
      <c r="AK805">
        <f ca="1"/>
      </c>
      <c r="AL805">
        <f ca="1"/>
      </c>
      <c r="AM805">
        <f ca="1"/>
      </c>
      <c r="AN805">
        <f ca="1"/>
      </c>
      <c r="AO805">
        <f ca="1"/>
      </c>
      <c r="AP805">
        <f ca="1"/>
      </c>
      <c r="AQ805">
        <f ca="1"/>
      </c>
      <c r="AR805">
        <f ca="1"/>
      </c>
      <c r="AT805" s="7">
        <f ca="1"/>
      </c>
      <c r="AU805">
        <f ca="1"/>
      </c>
      <c r="AV805">
        <f ca="1"/>
      </c>
      <c r="AW805">
        <f ca="1"/>
      </c>
      <c r="AX805">
        <f ca="1"/>
      </c>
      <c r="AY805">
        <f ca="1"/>
      </c>
      <c r="BA805" s="7"/>
    </row>
    <row r="806" spans="31:53" x14ac:dyDescent="0.55000000000000004">
      <c r="AE806" s="7">
        <f ca="1"/>
      </c>
      <c r="AF806">
        <f ca="1"/>
      </c>
      <c r="AG806">
        <f ca="1"/>
      </c>
      <c r="AH806">
        <f ca="1"/>
      </c>
      <c r="AI806">
        <f ca="1"/>
      </c>
      <c r="AJ806">
        <f ca="1"/>
      </c>
      <c r="AK806">
        <f ca="1"/>
      </c>
      <c r="AL806">
        <f ca="1"/>
      </c>
      <c r="AM806">
        <f ca="1"/>
      </c>
      <c r="AN806">
        <f ca="1"/>
      </c>
      <c r="AO806">
        <f ca="1"/>
      </c>
      <c r="AP806">
        <f ca="1"/>
      </c>
      <c r="AQ806">
        <f ca="1"/>
      </c>
      <c r="AR806">
        <f ca="1"/>
      </c>
      <c r="AT806" s="7">
        <f ca="1"/>
      </c>
      <c r="AU806">
        <f ca="1"/>
      </c>
      <c r="AV806">
        <f ca="1"/>
      </c>
      <c r="AW806">
        <f ca="1"/>
      </c>
      <c r="AX806">
        <f ca="1"/>
      </c>
      <c r="AY806">
        <f ca="1"/>
      </c>
      <c r="BA806" s="7"/>
    </row>
    <row r="807" spans="31:53" x14ac:dyDescent="0.55000000000000004">
      <c r="AE807" s="7">
        <f ca="1"/>
      </c>
      <c r="AF807">
        <f ca="1"/>
      </c>
      <c r="AG807">
        <f ca="1"/>
      </c>
      <c r="AH807">
        <f ca="1"/>
      </c>
      <c r="AI807">
        <f ca="1"/>
      </c>
      <c r="AJ807">
        <f ca="1"/>
      </c>
      <c r="AK807">
        <f ca="1"/>
      </c>
      <c r="AL807">
        <f ca="1"/>
      </c>
      <c r="AM807">
        <f ca="1"/>
      </c>
      <c r="AN807">
        <f ca="1"/>
      </c>
      <c r="AO807">
        <f ca="1"/>
      </c>
      <c r="AP807">
        <f ca="1"/>
      </c>
      <c r="AQ807">
        <f ca="1"/>
      </c>
      <c r="AR807">
        <f ca="1"/>
      </c>
      <c r="AT807" s="7">
        <f ca="1"/>
      </c>
      <c r="AU807">
        <f ca="1"/>
      </c>
      <c r="AV807">
        <f ca="1"/>
      </c>
      <c r="AW807">
        <f ca="1"/>
      </c>
      <c r="AX807">
        <f ca="1"/>
      </c>
      <c r="AY807">
        <f ca="1"/>
      </c>
      <c r="BA807" s="7"/>
    </row>
    <row r="808" spans="31:53" x14ac:dyDescent="0.55000000000000004">
      <c r="AE808" s="7">
        <f ca="1"/>
      </c>
      <c r="AF808">
        <f ca="1"/>
      </c>
      <c r="AG808">
        <f ca="1"/>
      </c>
      <c r="AH808">
        <f ca="1"/>
      </c>
      <c r="AI808">
        <f ca="1"/>
      </c>
      <c r="AJ808">
        <f ca="1"/>
      </c>
      <c r="AK808">
        <f ca="1"/>
      </c>
      <c r="AL808">
        <f ca="1"/>
      </c>
      <c r="AM808">
        <f ca="1"/>
      </c>
      <c r="AN808">
        <f ca="1"/>
      </c>
      <c r="AO808">
        <f ca="1"/>
      </c>
      <c r="AP808">
        <f ca="1"/>
      </c>
      <c r="AQ808">
        <f ca="1"/>
      </c>
      <c r="AR808">
        <f ca="1"/>
      </c>
      <c r="AT808" s="7">
        <f ca="1"/>
      </c>
      <c r="AU808">
        <f ca="1"/>
      </c>
      <c r="AV808">
        <f ca="1"/>
      </c>
      <c r="AW808">
        <f ca="1"/>
      </c>
      <c r="AX808">
        <f ca="1"/>
      </c>
      <c r="AY808">
        <f ca="1"/>
      </c>
      <c r="BA808" s="7"/>
    </row>
    <row r="809" spans="31:53" x14ac:dyDescent="0.55000000000000004">
      <c r="AE809" s="7">
        <f ca="1"/>
      </c>
      <c r="AF809">
        <f ca="1"/>
      </c>
      <c r="AG809">
        <f ca="1"/>
      </c>
      <c r="AH809">
        <f ca="1"/>
      </c>
      <c r="AI809">
        <f ca="1"/>
      </c>
      <c r="AJ809">
        <f ca="1"/>
      </c>
      <c r="AK809">
        <f ca="1"/>
      </c>
      <c r="AL809">
        <f ca="1"/>
      </c>
      <c r="AM809">
        <f ca="1"/>
      </c>
      <c r="AN809">
        <f ca="1"/>
      </c>
      <c r="AO809">
        <f ca="1"/>
      </c>
      <c r="AP809">
        <f ca="1"/>
      </c>
      <c r="AQ809">
        <f ca="1"/>
      </c>
      <c r="AR809">
        <f ca="1"/>
      </c>
      <c r="AT809" s="7">
        <f ca="1"/>
      </c>
      <c r="AU809">
        <f ca="1"/>
      </c>
      <c r="AV809">
        <f ca="1"/>
      </c>
      <c r="AW809">
        <f ca="1"/>
      </c>
      <c r="AX809">
        <f ca="1"/>
      </c>
      <c r="AY809">
        <f ca="1"/>
      </c>
      <c r="BA809" s="7"/>
    </row>
    <row r="810" spans="31:53" x14ac:dyDescent="0.55000000000000004">
      <c r="AE810" s="7">
        <f ca="1"/>
      </c>
      <c r="AF810">
        <f ca="1"/>
      </c>
      <c r="AG810">
        <f ca="1"/>
      </c>
      <c r="AH810">
        <f ca="1"/>
      </c>
      <c r="AI810">
        <f ca="1"/>
      </c>
      <c r="AJ810">
        <f ca="1"/>
      </c>
      <c r="AK810">
        <f ca="1"/>
      </c>
      <c r="AL810">
        <f ca="1"/>
      </c>
      <c r="AM810">
        <f ca="1"/>
      </c>
      <c r="AN810">
        <f ca="1"/>
      </c>
      <c r="AO810">
        <f ca="1"/>
      </c>
      <c r="AP810">
        <f ca="1"/>
      </c>
      <c r="AQ810">
        <f ca="1"/>
      </c>
      <c r="AR810">
        <f ca="1"/>
      </c>
      <c r="AT810" s="7">
        <f ca="1"/>
      </c>
      <c r="AU810">
        <f ca="1"/>
      </c>
      <c r="AV810">
        <f ca="1"/>
      </c>
      <c r="AW810">
        <f ca="1"/>
      </c>
      <c r="AX810">
        <f ca="1"/>
      </c>
      <c r="AY810">
        <f ca="1"/>
      </c>
      <c r="BA810" s="7"/>
    </row>
    <row r="811" spans="31:53" x14ac:dyDescent="0.55000000000000004">
      <c r="AE811" s="7">
        <f ca="1"/>
      </c>
      <c r="AF811">
        <f ca="1"/>
      </c>
      <c r="AG811">
        <f ca="1"/>
      </c>
      <c r="AH811">
        <f ca="1"/>
      </c>
      <c r="AI811">
        <f ca="1"/>
      </c>
      <c r="AJ811">
        <f ca="1"/>
      </c>
      <c r="AK811">
        <f ca="1"/>
      </c>
      <c r="AL811">
        <f ca="1"/>
      </c>
      <c r="AM811">
        <f ca="1"/>
      </c>
      <c r="AN811">
        <f ca="1"/>
      </c>
      <c r="AO811">
        <f ca="1"/>
      </c>
      <c r="AP811">
        <f ca="1"/>
      </c>
      <c r="AQ811">
        <f ca="1"/>
      </c>
      <c r="AR811">
        <f ca="1"/>
      </c>
      <c r="AT811" s="7">
        <f ca="1"/>
      </c>
      <c r="AU811">
        <f ca="1"/>
      </c>
      <c r="AV811">
        <f ca="1"/>
      </c>
      <c r="AW811">
        <f ca="1"/>
      </c>
      <c r="AX811">
        <f ca="1"/>
      </c>
      <c r="AY811">
        <f ca="1"/>
      </c>
      <c r="BA811" s="7"/>
    </row>
    <row r="812" spans="31:53" x14ac:dyDescent="0.55000000000000004">
      <c r="AE812" s="7">
        <f ca="1"/>
      </c>
      <c r="AF812">
        <f ca="1"/>
      </c>
      <c r="AG812">
        <f ca="1"/>
      </c>
      <c r="AH812">
        <f ca="1"/>
      </c>
      <c r="AI812">
        <f ca="1"/>
      </c>
      <c r="AJ812">
        <f ca="1"/>
      </c>
      <c r="AK812">
        <f ca="1"/>
      </c>
      <c r="AL812">
        <f ca="1"/>
      </c>
      <c r="AM812">
        <f ca="1"/>
      </c>
      <c r="AN812">
        <f ca="1"/>
      </c>
      <c r="AO812">
        <f ca="1"/>
      </c>
      <c r="AP812">
        <f ca="1"/>
      </c>
      <c r="AQ812">
        <f ca="1"/>
      </c>
      <c r="AR812">
        <f ca="1"/>
      </c>
      <c r="AT812" s="7">
        <f ca="1"/>
      </c>
      <c r="AU812">
        <f ca="1"/>
      </c>
      <c r="AV812">
        <f ca="1"/>
      </c>
      <c r="AW812">
        <f ca="1"/>
      </c>
      <c r="AX812">
        <f ca="1"/>
      </c>
      <c r="AY812">
        <f ca="1"/>
      </c>
      <c r="BA812" s="7"/>
    </row>
    <row r="813" spans="31:53" x14ac:dyDescent="0.55000000000000004">
      <c r="AE813" s="7">
        <f ca="1"/>
      </c>
      <c r="AF813">
        <f ca="1"/>
      </c>
      <c r="AG813">
        <f ca="1"/>
      </c>
      <c r="AH813">
        <f ca="1"/>
      </c>
      <c r="AI813">
        <f ca="1"/>
      </c>
      <c r="AJ813">
        <f ca="1"/>
      </c>
      <c r="AK813">
        <f ca="1"/>
      </c>
      <c r="AL813">
        <f ca="1"/>
      </c>
      <c r="AM813">
        <f ca="1"/>
      </c>
      <c r="AN813">
        <f ca="1"/>
      </c>
      <c r="AO813">
        <f ca="1"/>
      </c>
      <c r="AP813">
        <f ca="1"/>
      </c>
      <c r="AQ813">
        <f ca="1"/>
      </c>
      <c r="AR813">
        <f ca="1"/>
      </c>
      <c r="AT813" s="7">
        <f ca="1"/>
      </c>
      <c r="AU813">
        <f ca="1"/>
      </c>
      <c r="AV813">
        <f ca="1"/>
      </c>
      <c r="AW813">
        <f ca="1"/>
      </c>
      <c r="AX813">
        <f ca="1"/>
      </c>
      <c r="AY813">
        <f ca="1"/>
      </c>
      <c r="BA813" s="7"/>
    </row>
    <row r="814" spans="31:53" x14ac:dyDescent="0.55000000000000004">
      <c r="AE814" s="7">
        <f ca="1"/>
      </c>
      <c r="AF814">
        <f ca="1"/>
      </c>
      <c r="AG814">
        <f ca="1"/>
      </c>
      <c r="AH814">
        <f ca="1"/>
      </c>
      <c r="AI814">
        <f ca="1"/>
      </c>
      <c r="AJ814">
        <f ca="1"/>
      </c>
      <c r="AK814">
        <f ca="1"/>
      </c>
      <c r="AL814">
        <f ca="1"/>
      </c>
      <c r="AM814">
        <f ca="1"/>
      </c>
      <c r="AN814">
        <f ca="1"/>
      </c>
      <c r="AO814">
        <f ca="1"/>
      </c>
      <c r="AP814">
        <f ca="1"/>
      </c>
      <c r="AQ814">
        <f ca="1"/>
      </c>
      <c r="AR814">
        <f ca="1"/>
      </c>
      <c r="AT814" s="7">
        <f ca="1"/>
      </c>
      <c r="AU814">
        <f ca="1"/>
      </c>
      <c r="AV814">
        <f ca="1"/>
      </c>
      <c r="AW814">
        <f ca="1"/>
      </c>
      <c r="AX814">
        <f ca="1"/>
      </c>
      <c r="AY814">
        <f ca="1"/>
      </c>
      <c r="BA814" s="7"/>
    </row>
    <row r="815" spans="31:53" x14ac:dyDescent="0.55000000000000004">
      <c r="AE815" s="7">
        <f ca="1"/>
      </c>
      <c r="AF815">
        <f ca="1"/>
      </c>
      <c r="AG815">
        <f ca="1"/>
      </c>
      <c r="AH815">
        <f ca="1"/>
      </c>
      <c r="AI815">
        <f ca="1"/>
      </c>
      <c r="AJ815">
        <f ca="1"/>
      </c>
      <c r="AK815">
        <f ca="1"/>
      </c>
      <c r="AL815">
        <f ca="1"/>
      </c>
      <c r="AM815">
        <f ca="1"/>
      </c>
      <c r="AN815">
        <f ca="1"/>
      </c>
      <c r="AO815">
        <f ca="1"/>
      </c>
      <c r="AP815">
        <f ca="1"/>
      </c>
      <c r="AQ815">
        <f ca="1"/>
      </c>
      <c r="AR815">
        <f ca="1"/>
      </c>
      <c r="AT815" s="7">
        <f ca="1"/>
      </c>
      <c r="AU815">
        <f ca="1"/>
      </c>
      <c r="AV815">
        <f ca="1"/>
      </c>
      <c r="AW815">
        <f ca="1"/>
      </c>
      <c r="AX815">
        <f ca="1"/>
      </c>
      <c r="AY815">
        <f ca="1"/>
      </c>
      <c r="BA815" s="7"/>
    </row>
    <row r="816" spans="31:53" x14ac:dyDescent="0.55000000000000004">
      <c r="AE816" s="7">
        <f ca="1"/>
      </c>
      <c r="AF816">
        <f ca="1"/>
      </c>
      <c r="AG816">
        <f ca="1"/>
      </c>
      <c r="AH816">
        <f ca="1"/>
      </c>
      <c r="AI816">
        <f ca="1"/>
      </c>
      <c r="AJ816">
        <f ca="1"/>
      </c>
      <c r="AK816">
        <f ca="1"/>
      </c>
      <c r="AL816">
        <f ca="1"/>
      </c>
      <c r="AM816">
        <f ca="1"/>
      </c>
      <c r="AN816">
        <f ca="1"/>
      </c>
      <c r="AO816">
        <f ca="1"/>
      </c>
      <c r="AP816">
        <f ca="1"/>
      </c>
      <c r="AQ816">
        <f ca="1"/>
      </c>
      <c r="AR816">
        <f ca="1"/>
      </c>
      <c r="AT816" s="7">
        <f ca="1"/>
      </c>
      <c r="AU816">
        <f ca="1"/>
      </c>
      <c r="AV816">
        <f ca="1"/>
      </c>
      <c r="AW816">
        <f ca="1"/>
      </c>
      <c r="AX816">
        <f ca="1"/>
      </c>
      <c r="AY816">
        <f ca="1"/>
      </c>
      <c r="BA816" s="7"/>
    </row>
    <row r="817" spans="31:53" x14ac:dyDescent="0.55000000000000004">
      <c r="AE817" s="7">
        <f ca="1"/>
      </c>
      <c r="AF817">
        <f ca="1"/>
      </c>
      <c r="AG817">
        <f ca="1"/>
      </c>
      <c r="AH817">
        <f ca="1"/>
      </c>
      <c r="AI817">
        <f ca="1"/>
      </c>
      <c r="AJ817">
        <f ca="1"/>
      </c>
      <c r="AK817">
        <f ca="1"/>
      </c>
      <c r="AL817">
        <f ca="1"/>
      </c>
      <c r="AM817">
        <f ca="1"/>
      </c>
      <c r="AN817">
        <f ca="1"/>
      </c>
      <c r="AO817">
        <f ca="1"/>
      </c>
      <c r="AP817">
        <f ca="1"/>
      </c>
      <c r="AQ817">
        <f ca="1"/>
      </c>
      <c r="AR817">
        <f ca="1"/>
      </c>
      <c r="AT817" s="7">
        <f ca="1"/>
      </c>
      <c r="AU817">
        <f ca="1"/>
      </c>
      <c r="AV817">
        <f ca="1"/>
      </c>
      <c r="AW817">
        <f ca="1"/>
      </c>
      <c r="AX817">
        <f ca="1"/>
      </c>
      <c r="AY817">
        <f ca="1"/>
      </c>
      <c r="BA817" s="7"/>
    </row>
    <row r="818" spans="31:53" x14ac:dyDescent="0.55000000000000004">
      <c r="AE818" s="7">
        <f ca="1"/>
      </c>
      <c r="AF818">
        <f ca="1"/>
      </c>
      <c r="AG818">
        <f ca="1"/>
      </c>
      <c r="AH818">
        <f ca="1"/>
      </c>
      <c r="AI818">
        <f ca="1"/>
      </c>
      <c r="AJ818">
        <f ca="1"/>
      </c>
      <c r="AK818">
        <f ca="1"/>
      </c>
      <c r="AL818">
        <f ca="1"/>
      </c>
      <c r="AM818">
        <f ca="1"/>
      </c>
      <c r="AN818">
        <f ca="1"/>
      </c>
      <c r="AO818">
        <f ca="1"/>
      </c>
      <c r="AP818">
        <f ca="1"/>
      </c>
      <c r="AQ818">
        <f ca="1"/>
      </c>
      <c r="AR818">
        <f ca="1"/>
      </c>
      <c r="AT818" s="7">
        <f ca="1"/>
      </c>
      <c r="AU818">
        <f ca="1"/>
      </c>
      <c r="AV818">
        <f ca="1"/>
      </c>
      <c r="AW818">
        <f ca="1"/>
      </c>
      <c r="AX818">
        <f ca="1"/>
      </c>
      <c r="AY818">
        <f ca="1"/>
      </c>
      <c r="BA818" s="7"/>
    </row>
    <row r="819" spans="31:53" x14ac:dyDescent="0.55000000000000004">
      <c r="AE819" s="7">
        <f ca="1"/>
      </c>
      <c r="AF819">
        <f ca="1"/>
      </c>
      <c r="AG819">
        <f ca="1"/>
      </c>
      <c r="AH819">
        <f ca="1"/>
      </c>
      <c r="AI819">
        <f ca="1"/>
      </c>
      <c r="AJ819">
        <f ca="1"/>
      </c>
      <c r="AK819">
        <f ca="1"/>
      </c>
      <c r="AL819">
        <f ca="1"/>
      </c>
      <c r="AM819">
        <f ca="1"/>
      </c>
      <c r="AN819">
        <f ca="1"/>
      </c>
      <c r="AO819">
        <f ca="1"/>
      </c>
      <c r="AP819">
        <f ca="1"/>
      </c>
      <c r="AQ819">
        <f ca="1"/>
      </c>
      <c r="AR819">
        <f ca="1"/>
      </c>
      <c r="AT819" s="7">
        <f ca="1"/>
      </c>
      <c r="AU819">
        <f ca="1"/>
      </c>
      <c r="AV819">
        <f ca="1"/>
      </c>
      <c r="AW819">
        <f ca="1"/>
      </c>
      <c r="AX819">
        <f ca="1"/>
      </c>
      <c r="AY819">
        <f ca="1"/>
      </c>
      <c r="BA819" s="7"/>
    </row>
    <row r="820" spans="31:53" x14ac:dyDescent="0.55000000000000004">
      <c r="AE820" s="7">
        <f ca="1"/>
      </c>
      <c r="AF820">
        <f ca="1"/>
      </c>
      <c r="AG820">
        <f ca="1"/>
      </c>
      <c r="AH820">
        <f ca="1"/>
      </c>
      <c r="AI820">
        <f ca="1"/>
      </c>
      <c r="AJ820">
        <f ca="1"/>
      </c>
      <c r="AK820">
        <f ca="1"/>
      </c>
      <c r="AL820">
        <f ca="1"/>
      </c>
      <c r="AM820">
        <f ca="1"/>
      </c>
      <c r="AN820">
        <f ca="1"/>
      </c>
      <c r="AO820">
        <f ca="1"/>
      </c>
      <c r="AP820">
        <f ca="1"/>
      </c>
      <c r="AQ820">
        <f ca="1"/>
      </c>
      <c r="AR820">
        <f ca="1"/>
      </c>
      <c r="AT820" s="7">
        <f ca="1"/>
      </c>
      <c r="AU820">
        <f ca="1"/>
      </c>
      <c r="AV820">
        <f ca="1"/>
      </c>
      <c r="AW820">
        <f ca="1"/>
      </c>
      <c r="AX820">
        <f ca="1"/>
      </c>
      <c r="AY820">
        <f ca="1"/>
      </c>
      <c r="BA820" s="7"/>
    </row>
    <row r="821" spans="31:53" x14ac:dyDescent="0.55000000000000004">
      <c r="AE821" s="7">
        <f ca="1"/>
      </c>
      <c r="AF821">
        <f ca="1"/>
      </c>
      <c r="AG821">
        <f ca="1"/>
      </c>
      <c r="AH821">
        <f ca="1"/>
      </c>
      <c r="AI821">
        <f ca="1"/>
      </c>
      <c r="AJ821">
        <f ca="1"/>
      </c>
      <c r="AK821">
        <f ca="1"/>
      </c>
      <c r="AL821">
        <f ca="1"/>
      </c>
      <c r="AM821">
        <f ca="1"/>
      </c>
      <c r="AN821">
        <f ca="1"/>
      </c>
      <c r="AO821">
        <f ca="1"/>
      </c>
      <c r="AP821">
        <f ca="1"/>
      </c>
      <c r="AQ821">
        <f ca="1"/>
      </c>
      <c r="AR821">
        <f ca="1"/>
      </c>
      <c r="AT821" s="7">
        <f ca="1"/>
      </c>
      <c r="AU821">
        <f ca="1"/>
      </c>
      <c r="AV821">
        <f ca="1"/>
      </c>
      <c r="AW821">
        <f ca="1"/>
      </c>
      <c r="AX821">
        <f ca="1"/>
      </c>
      <c r="AY821">
        <f ca="1"/>
      </c>
      <c r="BA821" s="7"/>
    </row>
    <row r="822" spans="31:53" x14ac:dyDescent="0.55000000000000004">
      <c r="AE822" s="7">
        <f ca="1"/>
      </c>
      <c r="AF822">
        <f ca="1"/>
      </c>
      <c r="AG822">
        <f ca="1"/>
      </c>
      <c r="AH822">
        <f ca="1"/>
      </c>
      <c r="AI822">
        <f ca="1"/>
      </c>
      <c r="AJ822">
        <f ca="1"/>
      </c>
      <c r="AK822">
        <f ca="1"/>
      </c>
      <c r="AL822">
        <f ca="1"/>
      </c>
      <c r="AM822">
        <f ca="1"/>
      </c>
      <c r="AN822">
        <f ca="1"/>
      </c>
      <c r="AO822">
        <f ca="1"/>
      </c>
      <c r="AP822">
        <f ca="1"/>
      </c>
      <c r="AQ822">
        <f ca="1"/>
      </c>
      <c r="AR822">
        <f ca="1"/>
      </c>
      <c r="AT822" s="7">
        <f ca="1"/>
      </c>
      <c r="AU822">
        <f ca="1"/>
      </c>
      <c r="AV822">
        <f ca="1"/>
      </c>
      <c r="AW822">
        <f ca="1"/>
      </c>
      <c r="AX822">
        <f ca="1"/>
      </c>
      <c r="AY822">
        <f ca="1"/>
      </c>
      <c r="BA822" s="7"/>
    </row>
    <row r="823" spans="31:53" x14ac:dyDescent="0.55000000000000004">
      <c r="AE823" s="7">
        <f ca="1"/>
      </c>
      <c r="AF823">
        <f ca="1"/>
      </c>
      <c r="AG823">
        <f ca="1"/>
      </c>
      <c r="AH823">
        <f ca="1"/>
      </c>
      <c r="AI823">
        <f ca="1"/>
      </c>
      <c r="AJ823">
        <f ca="1"/>
      </c>
      <c r="AK823">
        <f ca="1"/>
      </c>
      <c r="AL823">
        <f ca="1"/>
      </c>
      <c r="AM823">
        <f ca="1"/>
      </c>
      <c r="AN823">
        <f ca="1"/>
      </c>
      <c r="AO823">
        <f ca="1"/>
      </c>
      <c r="AP823">
        <f ca="1"/>
      </c>
      <c r="AQ823">
        <f ca="1"/>
      </c>
      <c r="AR823">
        <f ca="1"/>
      </c>
      <c r="AT823" s="7">
        <f ca="1"/>
      </c>
      <c r="AU823">
        <f ca="1"/>
      </c>
      <c r="AV823">
        <f ca="1"/>
      </c>
      <c r="AW823">
        <f ca="1"/>
      </c>
      <c r="AX823">
        <f ca="1"/>
      </c>
      <c r="AY823">
        <f ca="1"/>
      </c>
      <c r="BA823" s="7"/>
    </row>
    <row r="824" spans="31:53" x14ac:dyDescent="0.55000000000000004">
      <c r="AE824" s="7">
        <f ca="1"/>
      </c>
      <c r="AF824">
        <f ca="1"/>
      </c>
      <c r="AG824">
        <f ca="1"/>
      </c>
      <c r="AH824">
        <f ca="1"/>
      </c>
      <c r="AI824">
        <f ca="1"/>
      </c>
      <c r="AJ824">
        <f ca="1"/>
      </c>
      <c r="AK824">
        <f ca="1"/>
      </c>
      <c r="AL824">
        <f ca="1"/>
      </c>
      <c r="AM824">
        <f ca="1"/>
      </c>
      <c r="AN824">
        <f ca="1"/>
      </c>
      <c r="AO824">
        <f ca="1"/>
      </c>
      <c r="AP824">
        <f ca="1"/>
      </c>
      <c r="AQ824">
        <f ca="1"/>
      </c>
      <c r="AR824">
        <f ca="1"/>
      </c>
      <c r="AT824" s="7">
        <f ca="1"/>
      </c>
      <c r="AU824">
        <f ca="1"/>
      </c>
      <c r="AV824">
        <f ca="1"/>
      </c>
      <c r="AW824">
        <f ca="1"/>
      </c>
      <c r="AX824">
        <f ca="1"/>
      </c>
      <c r="AY824">
        <f ca="1"/>
      </c>
      <c r="BA824" s="7"/>
    </row>
    <row r="825" spans="31:53" x14ac:dyDescent="0.55000000000000004">
      <c r="AE825" s="7">
        <f ca="1"/>
      </c>
      <c r="AF825">
        <f ca="1"/>
      </c>
      <c r="AG825">
        <f ca="1"/>
      </c>
      <c r="AH825">
        <f ca="1"/>
      </c>
      <c r="AI825">
        <f ca="1"/>
      </c>
      <c r="AJ825">
        <f ca="1"/>
      </c>
      <c r="AK825">
        <f ca="1"/>
      </c>
      <c r="AL825">
        <f ca="1"/>
      </c>
      <c r="AM825">
        <f ca="1"/>
      </c>
      <c r="AN825">
        <f ca="1"/>
      </c>
      <c r="AO825">
        <f ca="1"/>
      </c>
      <c r="AP825">
        <f ca="1"/>
      </c>
      <c r="AQ825">
        <f ca="1"/>
      </c>
      <c r="AR825">
        <f ca="1"/>
      </c>
      <c r="AT825" s="7">
        <f ca="1"/>
      </c>
      <c r="AU825">
        <f ca="1"/>
      </c>
      <c r="AV825">
        <f ca="1"/>
      </c>
      <c r="AW825">
        <f ca="1"/>
      </c>
      <c r="AX825">
        <f ca="1"/>
      </c>
      <c r="AY825">
        <f ca="1"/>
      </c>
      <c r="BA825" s="7"/>
    </row>
    <row r="826" spans="31:53" x14ac:dyDescent="0.55000000000000004">
      <c r="AE826" s="7">
        <f ca="1"/>
      </c>
      <c r="AF826">
        <f ca="1"/>
      </c>
      <c r="AG826">
        <f ca="1"/>
      </c>
      <c r="AH826">
        <f ca="1"/>
      </c>
      <c r="AI826">
        <f ca="1"/>
      </c>
      <c r="AJ826">
        <f ca="1"/>
      </c>
      <c r="AK826">
        <f ca="1"/>
      </c>
      <c r="AL826">
        <f ca="1"/>
      </c>
      <c r="AM826">
        <f ca="1"/>
      </c>
      <c r="AN826">
        <f ca="1"/>
      </c>
      <c r="AO826">
        <f ca="1"/>
      </c>
      <c r="AP826">
        <f ca="1"/>
      </c>
      <c r="AQ826">
        <f ca="1"/>
      </c>
      <c r="AR826">
        <f ca="1"/>
      </c>
      <c r="AT826" s="7">
        <f ca="1"/>
      </c>
      <c r="AU826">
        <f ca="1"/>
      </c>
      <c r="AV826">
        <f ca="1"/>
      </c>
      <c r="AW826">
        <f ca="1"/>
      </c>
      <c r="AX826">
        <f ca="1"/>
      </c>
      <c r="AY826">
        <f ca="1"/>
      </c>
      <c r="BA826" s="7"/>
    </row>
    <row r="827" spans="31:53" x14ac:dyDescent="0.55000000000000004">
      <c r="AE827" s="7">
        <f ca="1"/>
      </c>
      <c r="AF827">
        <f ca="1"/>
      </c>
      <c r="AG827">
        <f ca="1"/>
      </c>
      <c r="AH827">
        <f ca="1"/>
      </c>
      <c r="AI827">
        <f ca="1"/>
      </c>
      <c r="AJ827">
        <f ca="1"/>
      </c>
      <c r="AK827">
        <f ca="1"/>
      </c>
      <c r="AL827">
        <f ca="1"/>
      </c>
      <c r="AM827">
        <f ca="1"/>
      </c>
      <c r="AN827">
        <f ca="1"/>
      </c>
      <c r="AO827">
        <f ca="1"/>
      </c>
      <c r="AP827">
        <f ca="1"/>
      </c>
      <c r="AQ827">
        <f ca="1"/>
      </c>
      <c r="AR827">
        <f ca="1"/>
      </c>
      <c r="AT827" s="7">
        <f ca="1"/>
      </c>
      <c r="AU827">
        <f ca="1"/>
      </c>
      <c r="AV827">
        <f ca="1"/>
      </c>
      <c r="AW827">
        <f ca="1"/>
      </c>
      <c r="AX827">
        <f ca="1"/>
      </c>
      <c r="AY827">
        <f ca="1"/>
      </c>
      <c r="BA827" s="7"/>
    </row>
    <row r="828" spans="31:53" x14ac:dyDescent="0.55000000000000004">
      <c r="AE828" s="7">
        <f ca="1"/>
      </c>
      <c r="AF828">
        <f ca="1"/>
      </c>
      <c r="AG828">
        <f ca="1"/>
      </c>
      <c r="AH828">
        <f ca="1"/>
      </c>
      <c r="AI828">
        <f ca="1"/>
      </c>
      <c r="AJ828">
        <f ca="1"/>
      </c>
      <c r="AK828">
        <f ca="1"/>
      </c>
      <c r="AL828">
        <f ca="1"/>
      </c>
      <c r="AM828">
        <f ca="1"/>
      </c>
      <c r="AN828">
        <f ca="1"/>
      </c>
      <c r="AO828">
        <f ca="1"/>
      </c>
      <c r="AP828">
        <f ca="1"/>
      </c>
      <c r="AQ828">
        <f ca="1"/>
      </c>
      <c r="AR828">
        <f ca="1"/>
      </c>
      <c r="AT828" s="7">
        <f ca="1"/>
      </c>
      <c r="AU828">
        <f ca="1"/>
      </c>
      <c r="AV828">
        <f ca="1"/>
      </c>
      <c r="AW828">
        <f ca="1"/>
      </c>
      <c r="AX828">
        <f ca="1"/>
      </c>
      <c r="AY828">
        <f ca="1"/>
      </c>
      <c r="BA828" s="7"/>
    </row>
    <row r="829" spans="31:53" x14ac:dyDescent="0.55000000000000004">
      <c r="AE829" s="7">
        <f ca="1"/>
      </c>
      <c r="AF829">
        <f ca="1"/>
      </c>
      <c r="AG829">
        <f ca="1"/>
      </c>
      <c r="AH829">
        <f ca="1"/>
      </c>
      <c r="AI829">
        <f ca="1"/>
      </c>
      <c r="AJ829">
        <f ca="1"/>
      </c>
      <c r="AK829">
        <f ca="1"/>
      </c>
      <c r="AL829">
        <f ca="1"/>
      </c>
      <c r="AM829">
        <f ca="1"/>
      </c>
      <c r="AN829">
        <f ca="1"/>
      </c>
      <c r="AO829">
        <f ca="1"/>
      </c>
      <c r="AP829">
        <f ca="1"/>
      </c>
      <c r="AQ829">
        <f ca="1"/>
      </c>
      <c r="AR829">
        <f ca="1"/>
      </c>
      <c r="AT829" s="7">
        <f ca="1"/>
      </c>
      <c r="AU829">
        <f ca="1"/>
      </c>
      <c r="AV829">
        <f ca="1"/>
      </c>
      <c r="AW829">
        <f ca="1"/>
      </c>
      <c r="AX829">
        <f ca="1"/>
      </c>
      <c r="AY829">
        <f ca="1"/>
      </c>
      <c r="BA829" s="7"/>
    </row>
    <row r="830" spans="31:53" x14ac:dyDescent="0.55000000000000004">
      <c r="AE830" s="7">
        <f ca="1"/>
      </c>
      <c r="AF830">
        <f ca="1"/>
      </c>
      <c r="AG830">
        <f ca="1"/>
      </c>
      <c r="AH830">
        <f ca="1"/>
      </c>
      <c r="AI830">
        <f ca="1"/>
      </c>
      <c r="AJ830">
        <f ca="1"/>
      </c>
      <c r="AK830">
        <f ca="1"/>
      </c>
      <c r="AL830">
        <f ca="1"/>
      </c>
      <c r="AM830">
        <f ca="1"/>
      </c>
      <c r="AN830">
        <f ca="1"/>
      </c>
      <c r="AO830">
        <f ca="1"/>
      </c>
      <c r="AP830">
        <f ca="1"/>
      </c>
      <c r="AQ830">
        <f ca="1"/>
      </c>
      <c r="AR830">
        <f ca="1"/>
      </c>
      <c r="AT830" s="7">
        <f ca="1"/>
      </c>
      <c r="AU830">
        <f ca="1"/>
      </c>
      <c r="AV830">
        <f ca="1"/>
      </c>
      <c r="AW830">
        <f ca="1"/>
      </c>
      <c r="AX830">
        <f ca="1"/>
      </c>
      <c r="AY830">
        <f ca="1"/>
      </c>
      <c r="BA830" s="7"/>
    </row>
    <row r="831" spans="31:53" x14ac:dyDescent="0.55000000000000004">
      <c r="AE831" s="7">
        <f ca="1"/>
      </c>
      <c r="AF831">
        <f ca="1"/>
      </c>
      <c r="AG831">
        <f ca="1"/>
      </c>
      <c r="AH831">
        <f ca="1"/>
      </c>
      <c r="AI831">
        <f ca="1"/>
      </c>
      <c r="AJ831">
        <f ca="1"/>
      </c>
      <c r="AK831">
        <f ca="1"/>
      </c>
      <c r="AL831">
        <f ca="1"/>
      </c>
      <c r="AM831">
        <f ca="1"/>
      </c>
      <c r="AN831">
        <f ca="1"/>
      </c>
      <c r="AO831">
        <f ca="1"/>
      </c>
      <c r="AP831">
        <f ca="1"/>
      </c>
      <c r="AQ831">
        <f ca="1"/>
      </c>
      <c r="AR831">
        <f ca="1"/>
      </c>
      <c r="AT831" s="7">
        <f ca="1"/>
      </c>
      <c r="AU831">
        <f ca="1"/>
      </c>
      <c r="AV831">
        <f ca="1"/>
      </c>
      <c r="AW831">
        <f ca="1"/>
      </c>
      <c r="AX831">
        <f ca="1"/>
      </c>
      <c r="AY831">
        <f ca="1"/>
      </c>
      <c r="BA831" s="7"/>
    </row>
    <row r="832" spans="31:53" x14ac:dyDescent="0.55000000000000004">
      <c r="AE832" s="7">
        <f ca="1"/>
      </c>
      <c r="AF832">
        <f ca="1"/>
      </c>
      <c r="AG832">
        <f ca="1"/>
      </c>
      <c r="AH832">
        <f ca="1"/>
      </c>
      <c r="AI832">
        <f ca="1"/>
      </c>
      <c r="AJ832">
        <f ca="1"/>
      </c>
      <c r="AK832">
        <f ca="1"/>
      </c>
      <c r="AL832">
        <f ca="1"/>
      </c>
      <c r="AM832">
        <f ca="1"/>
      </c>
      <c r="AN832">
        <f ca="1"/>
      </c>
      <c r="AO832">
        <f ca="1"/>
      </c>
      <c r="AP832">
        <f ca="1"/>
      </c>
      <c r="AQ832">
        <f ca="1"/>
      </c>
      <c r="AR832">
        <f ca="1"/>
      </c>
      <c r="AT832" s="7">
        <f ca="1"/>
      </c>
      <c r="AU832">
        <f ca="1"/>
      </c>
      <c r="AV832">
        <f ca="1"/>
      </c>
      <c r="AW832">
        <f ca="1"/>
      </c>
      <c r="AX832">
        <f ca="1"/>
      </c>
      <c r="AY832">
        <f ca="1"/>
      </c>
      <c r="BA832" s="7"/>
    </row>
    <row r="833" spans="31:53" x14ac:dyDescent="0.55000000000000004">
      <c r="AE833" s="7">
        <f ca="1"/>
      </c>
      <c r="AF833">
        <f ca="1"/>
      </c>
      <c r="AG833">
        <f ca="1"/>
      </c>
      <c r="AH833">
        <f ca="1"/>
      </c>
      <c r="AI833">
        <f ca="1"/>
      </c>
      <c r="AJ833">
        <f ca="1"/>
      </c>
      <c r="AK833">
        <f ca="1"/>
      </c>
      <c r="AL833">
        <f ca="1"/>
      </c>
      <c r="AM833">
        <f ca="1"/>
      </c>
      <c r="AN833">
        <f ca="1"/>
      </c>
      <c r="AO833">
        <f ca="1"/>
      </c>
      <c r="AP833">
        <f ca="1"/>
      </c>
      <c r="AQ833">
        <f ca="1"/>
      </c>
      <c r="AR833">
        <f ca="1"/>
      </c>
      <c r="AT833" s="7">
        <f ca="1"/>
      </c>
      <c r="AU833">
        <f ca="1"/>
      </c>
      <c r="AV833">
        <f ca="1"/>
      </c>
      <c r="AW833">
        <f ca="1"/>
      </c>
      <c r="AX833">
        <f ca="1"/>
      </c>
      <c r="AY833">
        <f ca="1"/>
      </c>
      <c r="BA833" s="7"/>
    </row>
    <row r="834" spans="31:53" x14ac:dyDescent="0.55000000000000004">
      <c r="AE834" s="7">
        <f ca="1"/>
      </c>
      <c r="AF834">
        <f ca="1"/>
      </c>
      <c r="AG834">
        <f ca="1"/>
      </c>
      <c r="AH834">
        <f ca="1"/>
      </c>
      <c r="AI834">
        <f ca="1"/>
      </c>
      <c r="AJ834">
        <f ca="1"/>
      </c>
      <c r="AK834">
        <f ca="1"/>
      </c>
      <c r="AL834">
        <f ca="1"/>
      </c>
      <c r="AM834">
        <f ca="1"/>
      </c>
      <c r="AN834">
        <f ca="1"/>
      </c>
      <c r="AO834">
        <f ca="1"/>
      </c>
      <c r="AP834">
        <f ca="1"/>
      </c>
      <c r="AQ834">
        <f ca="1"/>
      </c>
      <c r="AR834">
        <f ca="1"/>
      </c>
      <c r="AT834" s="7">
        <f ca="1"/>
      </c>
      <c r="AU834">
        <f ca="1"/>
      </c>
      <c r="AV834">
        <f ca="1"/>
      </c>
      <c r="AW834">
        <f ca="1"/>
      </c>
      <c r="AX834">
        <f ca="1"/>
      </c>
      <c r="AY834">
        <f ca="1"/>
      </c>
      <c r="BA834" s="7"/>
    </row>
    <row r="835" spans="31:53" x14ac:dyDescent="0.55000000000000004">
      <c r="AE835" s="7">
        <f ca="1"/>
      </c>
      <c r="AF835">
        <f ca="1"/>
      </c>
      <c r="AG835">
        <f ca="1"/>
      </c>
      <c r="AH835">
        <f ca="1"/>
      </c>
      <c r="AI835">
        <f ca="1"/>
      </c>
      <c r="AJ835">
        <f ca="1"/>
      </c>
      <c r="AK835">
        <f ca="1"/>
      </c>
      <c r="AL835">
        <f ca="1"/>
      </c>
      <c r="AM835">
        <f ca="1"/>
      </c>
      <c r="AN835">
        <f ca="1"/>
      </c>
      <c r="AO835">
        <f ca="1"/>
      </c>
      <c r="AP835">
        <f ca="1"/>
      </c>
      <c r="AQ835">
        <f ca="1"/>
      </c>
      <c r="AR835">
        <f ca="1"/>
      </c>
      <c r="AT835" s="7">
        <f ca="1"/>
      </c>
      <c r="AU835">
        <f ca="1"/>
      </c>
      <c r="AV835">
        <f ca="1"/>
      </c>
      <c r="AW835">
        <f ca="1"/>
      </c>
      <c r="AX835">
        <f ca="1"/>
      </c>
      <c r="AY835">
        <f ca="1"/>
      </c>
      <c r="BA835" s="7"/>
    </row>
    <row r="836" spans="31:53" x14ac:dyDescent="0.55000000000000004">
      <c r="AE836" s="7">
        <f ca="1"/>
      </c>
      <c r="AF836">
        <f ca="1"/>
      </c>
      <c r="AG836">
        <f ca="1"/>
      </c>
      <c r="AH836">
        <f ca="1"/>
      </c>
      <c r="AI836">
        <f ca="1"/>
      </c>
      <c r="AJ836">
        <f ca="1"/>
      </c>
      <c r="AK836">
        <f ca="1"/>
      </c>
      <c r="AL836">
        <f ca="1"/>
      </c>
      <c r="AM836">
        <f ca="1"/>
      </c>
      <c r="AN836">
        <f ca="1"/>
      </c>
      <c r="AO836">
        <f ca="1"/>
      </c>
      <c r="AP836">
        <f ca="1"/>
      </c>
      <c r="AQ836">
        <f ca="1"/>
      </c>
      <c r="AR836">
        <f ca="1"/>
      </c>
      <c r="AT836" s="7">
        <f ca="1"/>
      </c>
      <c r="AU836">
        <f ca="1"/>
      </c>
      <c r="AV836">
        <f ca="1"/>
      </c>
      <c r="AW836">
        <f ca="1"/>
      </c>
      <c r="AX836">
        <f ca="1"/>
      </c>
      <c r="AY836">
        <f ca="1"/>
      </c>
      <c r="BA836" s="7"/>
    </row>
    <row r="837" spans="31:53" x14ac:dyDescent="0.55000000000000004">
      <c r="AE837" s="7">
        <f ca="1"/>
      </c>
      <c r="AF837">
        <f ca="1"/>
      </c>
      <c r="AG837">
        <f ca="1"/>
      </c>
      <c r="AH837">
        <f ca="1"/>
      </c>
      <c r="AI837">
        <f ca="1"/>
      </c>
      <c r="AJ837">
        <f ca="1"/>
      </c>
      <c r="AK837">
        <f ca="1"/>
      </c>
      <c r="AL837">
        <f ca="1"/>
      </c>
      <c r="AM837">
        <f ca="1"/>
      </c>
      <c r="AN837">
        <f ca="1"/>
      </c>
      <c r="AO837">
        <f ca="1"/>
      </c>
      <c r="AP837">
        <f ca="1"/>
      </c>
      <c r="AQ837">
        <f ca="1"/>
      </c>
      <c r="AR837">
        <f ca="1"/>
      </c>
      <c r="AT837" s="7">
        <f ca="1"/>
      </c>
      <c r="AU837">
        <f ca="1"/>
      </c>
      <c r="AV837">
        <f ca="1"/>
      </c>
      <c r="AW837">
        <f ca="1"/>
      </c>
      <c r="AX837">
        <f ca="1"/>
      </c>
      <c r="AY837">
        <f ca="1"/>
      </c>
      <c r="BA837" s="7"/>
    </row>
    <row r="838" spans="31:53" x14ac:dyDescent="0.55000000000000004">
      <c r="AE838" s="7">
        <f ca="1"/>
      </c>
      <c r="AF838">
        <f ca="1"/>
      </c>
      <c r="AG838">
        <f ca="1"/>
      </c>
      <c r="AH838">
        <f ca="1"/>
      </c>
      <c r="AI838">
        <f ca="1"/>
      </c>
      <c r="AJ838">
        <f ca="1"/>
      </c>
      <c r="AK838">
        <f ca="1"/>
      </c>
      <c r="AL838">
        <f ca="1"/>
      </c>
      <c r="AM838">
        <f ca="1"/>
      </c>
      <c r="AN838">
        <f ca="1"/>
      </c>
      <c r="AO838">
        <f ca="1"/>
      </c>
      <c r="AP838">
        <f ca="1"/>
      </c>
      <c r="AQ838">
        <f ca="1"/>
      </c>
      <c r="AR838">
        <f ca="1"/>
      </c>
      <c r="AT838" s="7">
        <f ca="1"/>
      </c>
      <c r="AU838">
        <f ca="1"/>
      </c>
      <c r="AV838">
        <f ca="1"/>
      </c>
      <c r="AW838">
        <f ca="1"/>
      </c>
      <c r="AX838">
        <f ca="1"/>
      </c>
      <c r="AY838">
        <f ca="1"/>
      </c>
      <c r="BA838" s="7"/>
    </row>
    <row r="839" spans="31:53" x14ac:dyDescent="0.55000000000000004">
      <c r="AE839" s="7">
        <f ca="1"/>
      </c>
      <c r="AF839">
        <f ca="1"/>
      </c>
      <c r="AG839">
        <f ca="1"/>
      </c>
      <c r="AH839">
        <f ca="1"/>
      </c>
      <c r="AI839">
        <f ca="1"/>
      </c>
      <c r="AJ839">
        <f ca="1"/>
      </c>
      <c r="AK839">
        <f ca="1"/>
      </c>
      <c r="AL839">
        <f ca="1"/>
      </c>
      <c r="AM839">
        <f ca="1"/>
      </c>
      <c r="AN839">
        <f ca="1"/>
      </c>
      <c r="AO839">
        <f ca="1"/>
      </c>
      <c r="AP839">
        <f ca="1"/>
      </c>
      <c r="AQ839">
        <f ca="1"/>
      </c>
      <c r="AR839">
        <f ca="1"/>
      </c>
      <c r="AT839" s="7">
        <f ca="1"/>
      </c>
      <c r="AU839">
        <f ca="1"/>
      </c>
      <c r="AV839">
        <f ca="1"/>
      </c>
      <c r="AW839">
        <f ca="1"/>
      </c>
      <c r="AX839">
        <f ca="1"/>
      </c>
      <c r="AY839">
        <f ca="1"/>
      </c>
      <c r="BA839" s="7"/>
    </row>
    <row r="840" spans="31:53" x14ac:dyDescent="0.55000000000000004">
      <c r="AE840" s="7">
        <f ca="1"/>
      </c>
      <c r="AF840">
        <f ca="1"/>
      </c>
      <c r="AG840">
        <f ca="1"/>
      </c>
      <c r="AH840">
        <f ca="1"/>
      </c>
      <c r="AI840">
        <f ca="1"/>
      </c>
      <c r="AJ840">
        <f ca="1"/>
      </c>
      <c r="AK840">
        <f ca="1"/>
      </c>
      <c r="AL840">
        <f ca="1"/>
      </c>
      <c r="AM840">
        <f ca="1"/>
      </c>
      <c r="AN840">
        <f ca="1"/>
      </c>
      <c r="AO840">
        <f ca="1"/>
      </c>
      <c r="AP840">
        <f ca="1"/>
      </c>
      <c r="AQ840">
        <f ca="1"/>
      </c>
      <c r="AR840">
        <f ca="1"/>
      </c>
      <c r="AT840" s="7">
        <f ca="1"/>
      </c>
      <c r="AU840">
        <f ca="1"/>
      </c>
      <c r="AV840">
        <f ca="1"/>
      </c>
      <c r="AW840">
        <f ca="1"/>
      </c>
      <c r="AX840">
        <f ca="1"/>
      </c>
      <c r="AY840">
        <f ca="1"/>
      </c>
      <c r="BA840" s="7"/>
    </row>
    <row r="841" spans="31:53" x14ac:dyDescent="0.55000000000000004">
      <c r="AE841" s="7">
        <f ca="1"/>
      </c>
      <c r="AF841">
        <f ca="1"/>
      </c>
      <c r="AG841">
        <f ca="1"/>
      </c>
      <c r="AH841">
        <f ca="1"/>
      </c>
      <c r="AI841">
        <f ca="1"/>
      </c>
      <c r="AJ841">
        <f ca="1"/>
      </c>
      <c r="AK841">
        <f ca="1"/>
      </c>
      <c r="AL841">
        <f ca="1"/>
      </c>
      <c r="AM841">
        <f ca="1"/>
      </c>
      <c r="AN841">
        <f ca="1"/>
      </c>
      <c r="AO841">
        <f ca="1"/>
      </c>
      <c r="AP841">
        <f ca="1"/>
      </c>
      <c r="AQ841">
        <f ca="1"/>
      </c>
      <c r="AR841">
        <f ca="1"/>
      </c>
      <c r="AT841" s="7">
        <f ca="1"/>
      </c>
      <c r="AU841">
        <f ca="1"/>
      </c>
      <c r="AV841">
        <f ca="1"/>
      </c>
      <c r="AW841">
        <f ca="1"/>
      </c>
      <c r="AX841">
        <f ca="1"/>
      </c>
      <c r="AY841">
        <f ca="1"/>
      </c>
      <c r="BA841" s="7"/>
    </row>
    <row r="842" spans="31:53" x14ac:dyDescent="0.55000000000000004">
      <c r="AE842" s="7">
        <f ca="1"/>
      </c>
      <c r="AF842">
        <f ca="1"/>
      </c>
      <c r="AG842">
        <f ca="1"/>
      </c>
      <c r="AH842">
        <f ca="1"/>
      </c>
      <c r="AI842">
        <f ca="1"/>
      </c>
      <c r="AJ842">
        <f ca="1"/>
      </c>
      <c r="AK842">
        <f ca="1"/>
      </c>
      <c r="AL842">
        <f ca="1"/>
      </c>
      <c r="AM842">
        <f ca="1"/>
      </c>
      <c r="AN842">
        <f ca="1"/>
      </c>
      <c r="AO842">
        <f ca="1"/>
      </c>
      <c r="AP842">
        <f ca="1"/>
      </c>
      <c r="AQ842">
        <f ca="1"/>
      </c>
      <c r="AR842">
        <f ca="1"/>
      </c>
      <c r="AT842" s="7">
        <f ca="1"/>
      </c>
      <c r="AU842">
        <f ca="1"/>
      </c>
      <c r="AV842">
        <f ca="1"/>
      </c>
      <c r="AW842">
        <f ca="1"/>
      </c>
      <c r="AX842">
        <f ca="1"/>
      </c>
      <c r="AY842">
        <f ca="1"/>
      </c>
      <c r="BA842" s="7"/>
    </row>
    <row r="843" spans="31:53" x14ac:dyDescent="0.55000000000000004">
      <c r="AE843" s="7">
        <f ca="1"/>
      </c>
      <c r="AF843">
        <f ca="1"/>
      </c>
      <c r="AG843">
        <f ca="1"/>
      </c>
      <c r="AH843">
        <f ca="1"/>
      </c>
      <c r="AI843">
        <f ca="1"/>
      </c>
      <c r="AJ843">
        <f ca="1"/>
      </c>
      <c r="AK843">
        <f ca="1"/>
      </c>
      <c r="AL843">
        <f ca="1"/>
      </c>
      <c r="AM843">
        <f ca="1"/>
      </c>
      <c r="AN843">
        <f ca="1"/>
      </c>
      <c r="AO843">
        <f ca="1"/>
      </c>
      <c r="AP843">
        <f ca="1"/>
      </c>
      <c r="AQ843">
        <f ca="1"/>
      </c>
      <c r="AR843">
        <f ca="1"/>
      </c>
      <c r="AT843" s="7">
        <f ca="1"/>
      </c>
      <c r="AU843">
        <f ca="1"/>
      </c>
      <c r="AV843">
        <f ca="1"/>
      </c>
      <c r="AW843">
        <f ca="1"/>
      </c>
      <c r="AX843">
        <f ca="1"/>
      </c>
      <c r="AY843">
        <f ca="1"/>
      </c>
      <c r="BA843" s="7"/>
    </row>
    <row r="844" spans="31:53" x14ac:dyDescent="0.55000000000000004">
      <c r="AE844" s="7">
        <f ca="1"/>
      </c>
      <c r="AF844">
        <f ca="1"/>
      </c>
      <c r="AG844">
        <f ca="1"/>
      </c>
      <c r="AH844">
        <f ca="1"/>
      </c>
      <c r="AI844">
        <f ca="1"/>
      </c>
      <c r="AJ844">
        <f ca="1"/>
      </c>
      <c r="AK844">
        <f ca="1"/>
      </c>
      <c r="AL844">
        <f ca="1"/>
      </c>
      <c r="AM844">
        <f ca="1"/>
      </c>
      <c r="AN844">
        <f ca="1"/>
      </c>
      <c r="AO844">
        <f ca="1"/>
      </c>
      <c r="AP844">
        <f ca="1"/>
      </c>
      <c r="AQ844">
        <f ca="1"/>
      </c>
      <c r="AR844">
        <f ca="1"/>
      </c>
      <c r="AT844" s="7">
        <f ca="1"/>
      </c>
      <c r="AU844">
        <f ca="1"/>
      </c>
      <c r="AV844">
        <f ca="1"/>
      </c>
      <c r="AW844">
        <f ca="1"/>
      </c>
      <c r="AX844">
        <f ca="1"/>
      </c>
      <c r="AY844">
        <f ca="1"/>
      </c>
      <c r="BA844" s="7"/>
    </row>
    <row r="845" spans="31:53" x14ac:dyDescent="0.55000000000000004">
      <c r="AE845" s="7">
        <f ca="1"/>
      </c>
      <c r="AF845">
        <f ca="1"/>
      </c>
      <c r="AG845">
        <f ca="1"/>
      </c>
      <c r="AH845">
        <f ca="1"/>
      </c>
      <c r="AI845">
        <f ca="1"/>
      </c>
      <c r="AJ845">
        <f ca="1"/>
      </c>
      <c r="AK845">
        <f ca="1"/>
      </c>
      <c r="AL845">
        <f ca="1"/>
      </c>
      <c r="AM845">
        <f ca="1"/>
      </c>
      <c r="AN845">
        <f ca="1"/>
      </c>
      <c r="AO845">
        <f ca="1"/>
      </c>
      <c r="AP845">
        <f ca="1"/>
      </c>
      <c r="AQ845">
        <f ca="1"/>
      </c>
      <c r="AR845">
        <f ca="1"/>
      </c>
      <c r="AT845" s="7">
        <f ca="1"/>
      </c>
      <c r="AU845">
        <f ca="1"/>
      </c>
      <c r="AV845">
        <f ca="1"/>
      </c>
      <c r="AW845">
        <f ca="1"/>
      </c>
      <c r="AX845">
        <f ca="1"/>
      </c>
      <c r="AY845">
        <f ca="1"/>
      </c>
      <c r="BA845" s="7"/>
    </row>
    <row r="846" spans="31:53" x14ac:dyDescent="0.55000000000000004">
      <c r="AE846" s="7">
        <f ca="1"/>
      </c>
      <c r="AF846">
        <f ca="1"/>
      </c>
      <c r="AG846">
        <f ca="1"/>
      </c>
      <c r="AH846">
        <f ca="1"/>
      </c>
      <c r="AI846">
        <f ca="1"/>
      </c>
      <c r="AJ846">
        <f ca="1"/>
      </c>
      <c r="AK846">
        <f ca="1"/>
      </c>
      <c r="AL846">
        <f ca="1"/>
      </c>
      <c r="AM846">
        <f ca="1"/>
      </c>
      <c r="AN846">
        <f ca="1"/>
      </c>
      <c r="AO846">
        <f ca="1"/>
      </c>
      <c r="AP846">
        <f ca="1"/>
      </c>
      <c r="AQ846">
        <f ca="1"/>
      </c>
      <c r="AR846">
        <f ca="1"/>
      </c>
      <c r="AT846" s="7">
        <f ca="1"/>
      </c>
      <c r="AU846">
        <f ca="1"/>
      </c>
      <c r="AV846">
        <f ca="1"/>
      </c>
      <c r="AW846">
        <f ca="1"/>
      </c>
      <c r="AX846">
        <f ca="1"/>
      </c>
      <c r="AY846">
        <f ca="1"/>
      </c>
      <c r="BA846" s="7"/>
    </row>
    <row r="847" spans="31:53" x14ac:dyDescent="0.55000000000000004">
      <c r="AE847" s="7">
        <f ca="1"/>
      </c>
      <c r="AF847">
        <f ca="1"/>
      </c>
      <c r="AG847">
        <f ca="1"/>
      </c>
      <c r="AH847">
        <f ca="1"/>
      </c>
      <c r="AI847">
        <f ca="1"/>
      </c>
      <c r="AJ847">
        <f ca="1"/>
      </c>
      <c r="AK847">
        <f ca="1"/>
      </c>
      <c r="AL847">
        <f ca="1"/>
      </c>
      <c r="AM847">
        <f ca="1"/>
      </c>
      <c r="AN847">
        <f ca="1"/>
      </c>
      <c r="AO847">
        <f ca="1"/>
      </c>
      <c r="AP847">
        <f ca="1"/>
      </c>
      <c r="AQ847">
        <f ca="1"/>
      </c>
      <c r="AR847">
        <f ca="1"/>
      </c>
      <c r="AT847" s="7">
        <f ca="1"/>
      </c>
      <c r="AU847">
        <f ca="1"/>
      </c>
      <c r="AV847">
        <f ca="1"/>
      </c>
      <c r="AW847">
        <f ca="1"/>
      </c>
      <c r="AX847">
        <f ca="1"/>
      </c>
      <c r="AY847">
        <f ca="1"/>
      </c>
      <c r="BA847" s="7"/>
    </row>
    <row r="848" spans="31:53" x14ac:dyDescent="0.55000000000000004">
      <c r="AE848" s="7">
        <f ca="1"/>
      </c>
      <c r="AF848">
        <f ca="1"/>
      </c>
      <c r="AG848">
        <f ca="1"/>
      </c>
      <c r="AH848">
        <f ca="1"/>
      </c>
      <c r="AI848">
        <f ca="1"/>
      </c>
      <c r="AJ848">
        <f ca="1"/>
      </c>
      <c r="AK848">
        <f ca="1"/>
      </c>
      <c r="AL848">
        <f ca="1"/>
      </c>
      <c r="AM848">
        <f ca="1"/>
      </c>
      <c r="AN848">
        <f ca="1"/>
      </c>
      <c r="AO848">
        <f ca="1"/>
      </c>
      <c r="AP848">
        <f ca="1"/>
      </c>
      <c r="AQ848">
        <f ca="1"/>
      </c>
      <c r="AR848">
        <f ca="1"/>
      </c>
      <c r="AT848" s="7">
        <f ca="1"/>
      </c>
      <c r="AU848">
        <f ca="1"/>
      </c>
      <c r="AV848">
        <f ca="1"/>
      </c>
      <c r="AW848">
        <f ca="1"/>
      </c>
      <c r="AX848">
        <f ca="1"/>
      </c>
      <c r="AY848">
        <f ca="1"/>
      </c>
      <c r="BA848" s="7"/>
    </row>
    <row r="849" spans="31:53" x14ac:dyDescent="0.55000000000000004">
      <c r="AE849" s="7">
        <f ca="1"/>
      </c>
      <c r="AF849">
        <f ca="1"/>
      </c>
      <c r="AG849">
        <f ca="1"/>
      </c>
      <c r="AH849">
        <f ca="1"/>
      </c>
      <c r="AI849">
        <f ca="1"/>
      </c>
      <c r="AJ849">
        <f ca="1"/>
      </c>
      <c r="AK849">
        <f ca="1"/>
      </c>
      <c r="AL849">
        <f ca="1"/>
      </c>
      <c r="AM849">
        <f ca="1"/>
      </c>
      <c r="AN849">
        <f ca="1"/>
      </c>
      <c r="AO849">
        <f ca="1"/>
      </c>
      <c r="AP849">
        <f ca="1"/>
      </c>
      <c r="AQ849">
        <f ca="1"/>
      </c>
      <c r="AR849">
        <f ca="1"/>
      </c>
      <c r="AT849" s="7">
        <f ca="1"/>
      </c>
      <c r="AU849">
        <f ca="1"/>
      </c>
      <c r="AV849">
        <f ca="1"/>
      </c>
      <c r="AW849">
        <f ca="1"/>
      </c>
      <c r="AX849">
        <f ca="1"/>
      </c>
      <c r="AY849">
        <f ca="1"/>
      </c>
      <c r="BA849" s="7"/>
    </row>
    <row r="850" spans="31:53" x14ac:dyDescent="0.55000000000000004">
      <c r="AE850" s="7">
        <f ca="1"/>
      </c>
      <c r="AF850">
        <f ca="1"/>
      </c>
      <c r="AG850">
        <f ca="1"/>
      </c>
      <c r="AH850">
        <f ca="1"/>
      </c>
      <c r="AI850">
        <f ca="1"/>
      </c>
      <c r="AJ850">
        <f ca="1"/>
      </c>
      <c r="AK850">
        <f ca="1"/>
      </c>
      <c r="AL850">
        <f ca="1"/>
      </c>
      <c r="AM850">
        <f ca="1"/>
      </c>
      <c r="AN850">
        <f ca="1"/>
      </c>
      <c r="AO850">
        <f ca="1"/>
      </c>
      <c r="AP850">
        <f ca="1"/>
      </c>
      <c r="AQ850">
        <f ca="1"/>
      </c>
      <c r="AR850">
        <f ca="1"/>
      </c>
      <c r="AT850" s="7">
        <f ca="1"/>
      </c>
      <c r="AU850">
        <f ca="1"/>
      </c>
      <c r="AV850">
        <f ca="1"/>
      </c>
      <c r="AW850">
        <f ca="1"/>
      </c>
      <c r="AX850">
        <f ca="1"/>
      </c>
      <c r="AY850">
        <f ca="1"/>
      </c>
      <c r="BA850" s="7"/>
    </row>
    <row r="851" spans="31:53" x14ac:dyDescent="0.55000000000000004">
      <c r="AE851" s="7">
        <f ca="1"/>
      </c>
      <c r="AF851">
        <f ca="1"/>
      </c>
      <c r="AG851">
        <f ca="1"/>
      </c>
      <c r="AH851">
        <f ca="1"/>
      </c>
      <c r="AI851">
        <f ca="1"/>
      </c>
      <c r="AJ851">
        <f ca="1"/>
      </c>
      <c r="AK851">
        <f ca="1"/>
      </c>
      <c r="AL851">
        <f ca="1"/>
      </c>
      <c r="AM851">
        <f ca="1"/>
      </c>
      <c r="AN851">
        <f ca="1"/>
      </c>
      <c r="AO851">
        <f ca="1"/>
      </c>
      <c r="AP851">
        <f ca="1"/>
      </c>
      <c r="AQ851">
        <f ca="1"/>
      </c>
      <c r="AR851">
        <f ca="1"/>
      </c>
      <c r="AT851" s="7">
        <f ca="1"/>
      </c>
      <c r="AU851">
        <f ca="1"/>
      </c>
      <c r="AV851">
        <f ca="1"/>
      </c>
      <c r="AW851">
        <f ca="1"/>
      </c>
      <c r="AX851">
        <f ca="1"/>
      </c>
      <c r="AY851">
        <f ca="1"/>
      </c>
      <c r="BA851" s="7"/>
    </row>
    <row r="852" spans="31:53" x14ac:dyDescent="0.55000000000000004">
      <c r="AE852" s="7">
        <f ca="1"/>
      </c>
      <c r="AF852">
        <f ca="1"/>
      </c>
      <c r="AG852">
        <f ca="1"/>
      </c>
      <c r="AH852">
        <f ca="1"/>
      </c>
      <c r="AI852">
        <f ca="1"/>
      </c>
      <c r="AJ852">
        <f ca="1"/>
      </c>
      <c r="AK852">
        <f ca="1"/>
      </c>
      <c r="AL852">
        <f ca="1"/>
      </c>
      <c r="AM852">
        <f ca="1"/>
      </c>
      <c r="AN852">
        <f ca="1"/>
      </c>
      <c r="AO852">
        <f ca="1"/>
      </c>
      <c r="AP852">
        <f ca="1"/>
      </c>
      <c r="AQ852">
        <f ca="1"/>
      </c>
      <c r="AR852">
        <f ca="1"/>
      </c>
      <c r="AT852" s="7">
        <f ca="1"/>
      </c>
      <c r="AU852">
        <f ca="1"/>
      </c>
      <c r="AV852">
        <f ca="1"/>
      </c>
      <c r="AW852">
        <f ca="1"/>
      </c>
      <c r="AX852">
        <f ca="1"/>
      </c>
      <c r="AY852">
        <f ca="1"/>
      </c>
      <c r="BA852" s="7"/>
    </row>
    <row r="853" spans="31:53" x14ac:dyDescent="0.55000000000000004">
      <c r="AE853" s="7">
        <f ca="1"/>
      </c>
      <c r="AF853">
        <f ca="1"/>
      </c>
      <c r="AG853">
        <f ca="1"/>
      </c>
      <c r="AH853">
        <f ca="1"/>
      </c>
      <c r="AI853">
        <f ca="1"/>
      </c>
      <c r="AJ853">
        <f ca="1"/>
      </c>
      <c r="AK853">
        <f ca="1"/>
      </c>
      <c r="AL853">
        <f ca="1"/>
      </c>
      <c r="AM853">
        <f ca="1"/>
      </c>
      <c r="AN853">
        <f ca="1"/>
      </c>
      <c r="AO853">
        <f ca="1"/>
      </c>
      <c r="AP853">
        <f ca="1"/>
      </c>
      <c r="AQ853">
        <f ca="1"/>
      </c>
      <c r="AR853">
        <f ca="1"/>
      </c>
      <c r="AT853" s="7">
        <f ca="1"/>
      </c>
      <c r="AU853">
        <f ca="1"/>
      </c>
      <c r="AV853">
        <f ca="1"/>
      </c>
      <c r="AW853">
        <f ca="1"/>
      </c>
      <c r="AX853">
        <f ca="1"/>
      </c>
      <c r="AY853">
        <f ca="1"/>
      </c>
      <c r="BA853" s="7"/>
    </row>
    <row r="854" spans="31:53" x14ac:dyDescent="0.55000000000000004">
      <c r="AE854" s="7">
        <f ca="1"/>
      </c>
      <c r="AF854">
        <f ca="1"/>
      </c>
      <c r="AG854">
        <f ca="1"/>
      </c>
      <c r="AH854">
        <f ca="1"/>
      </c>
      <c r="AI854">
        <f ca="1"/>
      </c>
      <c r="AJ854">
        <f ca="1"/>
      </c>
      <c r="AK854">
        <f ca="1"/>
      </c>
      <c r="AL854">
        <f ca="1"/>
      </c>
      <c r="AM854">
        <f ca="1"/>
      </c>
      <c r="AN854">
        <f ca="1"/>
      </c>
      <c r="AO854">
        <f ca="1"/>
      </c>
      <c r="AP854">
        <f ca="1"/>
      </c>
      <c r="AQ854">
        <f ca="1"/>
      </c>
      <c r="AR854">
        <f ca="1"/>
      </c>
      <c r="AT854" s="7">
        <f ca="1"/>
      </c>
      <c r="AU854">
        <f ca="1"/>
      </c>
      <c r="AV854">
        <f ca="1"/>
      </c>
      <c r="AW854">
        <f ca="1"/>
      </c>
      <c r="AX854">
        <f ca="1"/>
      </c>
      <c r="AY854">
        <f ca="1"/>
      </c>
      <c r="BA854" s="7"/>
    </row>
    <row r="855" spans="31:53" x14ac:dyDescent="0.55000000000000004">
      <c r="AE855" s="7">
        <f ca="1"/>
      </c>
      <c r="AF855">
        <f ca="1"/>
      </c>
      <c r="AG855">
        <f ca="1"/>
      </c>
      <c r="AH855">
        <f ca="1"/>
      </c>
      <c r="AI855">
        <f ca="1"/>
      </c>
      <c r="AJ855">
        <f ca="1"/>
      </c>
      <c r="AK855">
        <f ca="1"/>
      </c>
      <c r="AL855">
        <f ca="1"/>
      </c>
      <c r="AM855">
        <f ca="1"/>
      </c>
      <c r="AN855">
        <f ca="1"/>
      </c>
      <c r="AO855">
        <f ca="1"/>
      </c>
      <c r="AP855">
        <f ca="1"/>
      </c>
      <c r="AQ855">
        <f ca="1"/>
      </c>
      <c r="AR855">
        <f ca="1"/>
      </c>
      <c r="AT855" s="7">
        <f ca="1"/>
      </c>
      <c r="AU855">
        <f ca="1"/>
      </c>
      <c r="AV855">
        <f ca="1"/>
      </c>
      <c r="AW855">
        <f ca="1"/>
      </c>
      <c r="AX855">
        <f ca="1"/>
      </c>
      <c r="AY855">
        <f ca="1"/>
      </c>
      <c r="BA855" s="7"/>
    </row>
    <row r="856" spans="31:53" x14ac:dyDescent="0.55000000000000004">
      <c r="AE856" s="7">
        <f ca="1"/>
      </c>
      <c r="AF856">
        <f ca="1"/>
      </c>
      <c r="AG856">
        <f ca="1"/>
      </c>
      <c r="AH856">
        <f ca="1"/>
      </c>
      <c r="AI856">
        <f ca="1"/>
      </c>
      <c r="AJ856">
        <f ca="1"/>
      </c>
      <c r="AK856">
        <f ca="1"/>
      </c>
      <c r="AL856">
        <f ca="1"/>
      </c>
      <c r="AM856">
        <f ca="1"/>
      </c>
      <c r="AN856">
        <f ca="1"/>
      </c>
      <c r="AO856">
        <f ca="1"/>
      </c>
      <c r="AP856">
        <f ca="1"/>
      </c>
      <c r="AQ856">
        <f ca="1"/>
      </c>
      <c r="AR856">
        <f ca="1"/>
      </c>
      <c r="AT856" s="7">
        <f ca="1"/>
      </c>
      <c r="AU856">
        <f ca="1"/>
      </c>
      <c r="AV856">
        <f ca="1"/>
      </c>
      <c r="AW856">
        <f ca="1"/>
      </c>
      <c r="AX856">
        <f ca="1"/>
      </c>
      <c r="AY856">
        <f ca="1"/>
      </c>
      <c r="BA856" s="7"/>
    </row>
    <row r="857" spans="31:53" x14ac:dyDescent="0.55000000000000004">
      <c r="AE857" s="7">
        <f ca="1"/>
      </c>
      <c r="AF857">
        <f ca="1"/>
      </c>
      <c r="AG857">
        <f ca="1"/>
      </c>
      <c r="AH857">
        <f ca="1"/>
      </c>
      <c r="AI857">
        <f ca="1"/>
      </c>
      <c r="AJ857">
        <f ca="1"/>
      </c>
      <c r="AK857">
        <f ca="1"/>
      </c>
      <c r="AL857">
        <f ca="1"/>
      </c>
      <c r="AM857">
        <f ca="1"/>
      </c>
      <c r="AN857">
        <f ca="1"/>
      </c>
      <c r="AO857">
        <f ca="1"/>
      </c>
      <c r="AP857">
        <f ca="1"/>
      </c>
      <c r="AQ857">
        <f ca="1"/>
      </c>
      <c r="AR857">
        <f ca="1"/>
      </c>
      <c r="AT857" s="7">
        <f ca="1"/>
      </c>
      <c r="AU857">
        <f ca="1"/>
      </c>
      <c r="AV857">
        <f ca="1"/>
      </c>
      <c r="AW857">
        <f ca="1"/>
      </c>
      <c r="AX857">
        <f ca="1"/>
      </c>
      <c r="AY857">
        <f ca="1"/>
      </c>
      <c r="BA857" s="7"/>
    </row>
    <row r="858" spans="31:53" x14ac:dyDescent="0.55000000000000004">
      <c r="AE858" s="7">
        <f ca="1"/>
      </c>
      <c r="AF858">
        <f ca="1"/>
      </c>
      <c r="AG858">
        <f ca="1"/>
      </c>
      <c r="AH858">
        <f ca="1"/>
      </c>
      <c r="AI858">
        <f ca="1"/>
      </c>
      <c r="AJ858">
        <f ca="1"/>
      </c>
      <c r="AK858">
        <f ca="1"/>
      </c>
      <c r="AL858">
        <f ca="1"/>
      </c>
      <c r="AM858">
        <f ca="1"/>
      </c>
      <c r="AN858">
        <f ca="1"/>
      </c>
      <c r="AO858">
        <f ca="1"/>
      </c>
      <c r="AP858">
        <f ca="1"/>
      </c>
      <c r="AQ858">
        <f ca="1"/>
      </c>
      <c r="AR858">
        <f ca="1"/>
      </c>
      <c r="AT858" s="7">
        <f ca="1"/>
      </c>
      <c r="AU858">
        <f ca="1"/>
      </c>
      <c r="AV858">
        <f ca="1"/>
      </c>
      <c r="AW858">
        <f ca="1"/>
      </c>
      <c r="AX858">
        <f ca="1"/>
      </c>
      <c r="AY858">
        <f ca="1"/>
      </c>
      <c r="BA858" s="7"/>
    </row>
    <row r="859" spans="31:53" x14ac:dyDescent="0.55000000000000004">
      <c r="AE859" s="7">
        <f ca="1"/>
      </c>
      <c r="AF859">
        <f ca="1"/>
      </c>
      <c r="AG859">
        <f ca="1"/>
      </c>
      <c r="AH859">
        <f ca="1"/>
      </c>
      <c r="AI859">
        <f ca="1"/>
      </c>
      <c r="AJ859">
        <f ca="1"/>
      </c>
      <c r="AK859">
        <f ca="1"/>
      </c>
      <c r="AL859">
        <f ca="1"/>
      </c>
      <c r="AM859">
        <f ca="1"/>
      </c>
      <c r="AN859">
        <f ca="1"/>
      </c>
      <c r="AO859">
        <f ca="1"/>
      </c>
      <c r="AP859">
        <f ca="1"/>
      </c>
      <c r="AQ859">
        <f ca="1"/>
      </c>
      <c r="AR859">
        <f ca="1"/>
      </c>
      <c r="AT859" s="7">
        <f ca="1"/>
      </c>
      <c r="AU859">
        <f ca="1"/>
      </c>
      <c r="AV859">
        <f ca="1"/>
      </c>
      <c r="AW859">
        <f ca="1"/>
      </c>
      <c r="AX859">
        <f ca="1"/>
      </c>
      <c r="AY859">
        <f ca="1"/>
      </c>
      <c r="BA859" s="7"/>
    </row>
    <row r="860" spans="31:53" x14ac:dyDescent="0.55000000000000004">
      <c r="AE860" s="7">
        <f ca="1"/>
      </c>
      <c r="AF860">
        <f ca="1"/>
      </c>
      <c r="AG860">
        <f ca="1"/>
      </c>
      <c r="AH860">
        <f ca="1"/>
      </c>
      <c r="AI860">
        <f ca="1"/>
      </c>
      <c r="AJ860">
        <f ca="1"/>
      </c>
      <c r="AK860">
        <f ca="1"/>
      </c>
      <c r="AL860">
        <f ca="1"/>
      </c>
      <c r="AM860">
        <f ca="1"/>
      </c>
      <c r="AN860">
        <f ca="1"/>
      </c>
      <c r="AO860">
        <f ca="1"/>
      </c>
      <c r="AP860">
        <f ca="1"/>
      </c>
      <c r="AQ860">
        <f ca="1"/>
      </c>
      <c r="AR860">
        <f ca="1"/>
      </c>
      <c r="AT860" s="7">
        <f ca="1"/>
      </c>
      <c r="AU860">
        <f ca="1"/>
      </c>
      <c r="AV860">
        <f ca="1"/>
      </c>
      <c r="AW860">
        <f ca="1"/>
      </c>
      <c r="AX860">
        <f ca="1"/>
      </c>
      <c r="AY860">
        <f ca="1"/>
      </c>
      <c r="BA860" s="7"/>
    </row>
    <row r="861" spans="31:53" x14ac:dyDescent="0.55000000000000004">
      <c r="AE861" s="7">
        <f ca="1"/>
      </c>
      <c r="AF861">
        <f ca="1"/>
      </c>
      <c r="AG861">
        <f ca="1"/>
      </c>
      <c r="AH861">
        <f ca="1"/>
      </c>
      <c r="AI861">
        <f ca="1"/>
      </c>
      <c r="AJ861">
        <f ca="1"/>
      </c>
      <c r="AK861">
        <f ca="1"/>
      </c>
      <c r="AL861">
        <f ca="1"/>
      </c>
      <c r="AM861">
        <f ca="1"/>
      </c>
      <c r="AN861">
        <f ca="1"/>
      </c>
      <c r="AO861">
        <f ca="1"/>
      </c>
      <c r="AP861">
        <f ca="1"/>
      </c>
      <c r="AQ861">
        <f ca="1"/>
      </c>
      <c r="AR861">
        <f ca="1"/>
      </c>
      <c r="AT861" s="7">
        <f ca="1"/>
      </c>
      <c r="AU861">
        <f ca="1"/>
      </c>
      <c r="AV861">
        <f ca="1"/>
      </c>
      <c r="AW861">
        <f ca="1"/>
      </c>
      <c r="AX861">
        <f ca="1"/>
      </c>
      <c r="AY861">
        <f ca="1"/>
      </c>
      <c r="BA861" s="7"/>
    </row>
    <row r="862" spans="31:53" x14ac:dyDescent="0.55000000000000004">
      <c r="AE862" s="7">
        <f ca="1"/>
      </c>
      <c r="AF862">
        <f ca="1"/>
      </c>
      <c r="AG862">
        <f ca="1"/>
      </c>
      <c r="AH862">
        <f ca="1"/>
      </c>
      <c r="AI862">
        <f ca="1"/>
      </c>
      <c r="AJ862">
        <f ca="1"/>
      </c>
      <c r="AK862">
        <f ca="1"/>
      </c>
      <c r="AL862">
        <f ca="1"/>
      </c>
      <c r="AM862">
        <f ca="1"/>
      </c>
      <c r="AN862">
        <f ca="1"/>
      </c>
      <c r="AO862">
        <f ca="1"/>
      </c>
      <c r="AP862">
        <f ca="1"/>
      </c>
      <c r="AQ862">
        <f ca="1"/>
      </c>
      <c r="AR862">
        <f ca="1"/>
      </c>
      <c r="AT862" s="7">
        <f ca="1"/>
      </c>
      <c r="AU862">
        <f ca="1"/>
      </c>
      <c r="AV862">
        <f ca="1"/>
      </c>
      <c r="AW862">
        <f ca="1"/>
      </c>
      <c r="AX862">
        <f ca="1"/>
      </c>
      <c r="AY862">
        <f ca="1"/>
      </c>
      <c r="BA862" s="7"/>
    </row>
    <row r="863" spans="31:53" x14ac:dyDescent="0.55000000000000004">
      <c r="AE863" s="7">
        <f ca="1"/>
      </c>
      <c r="AF863">
        <f ca="1"/>
      </c>
      <c r="AG863">
        <f ca="1"/>
      </c>
      <c r="AH863">
        <f ca="1"/>
      </c>
      <c r="AI863">
        <f ca="1"/>
      </c>
      <c r="AJ863">
        <f ca="1"/>
      </c>
      <c r="AK863">
        <f ca="1"/>
      </c>
      <c r="AL863">
        <f ca="1"/>
      </c>
      <c r="AM863">
        <f ca="1"/>
      </c>
      <c r="AN863">
        <f ca="1"/>
      </c>
      <c r="AO863">
        <f ca="1"/>
      </c>
      <c r="AP863">
        <f ca="1"/>
      </c>
      <c r="AQ863">
        <f ca="1"/>
      </c>
      <c r="AR863">
        <f ca="1"/>
      </c>
      <c r="AT863" s="7">
        <f ca="1"/>
      </c>
      <c r="AU863">
        <f ca="1"/>
      </c>
      <c r="AV863">
        <f ca="1"/>
      </c>
      <c r="AW863">
        <f ca="1"/>
      </c>
      <c r="AX863">
        <f ca="1"/>
      </c>
      <c r="AY863">
        <f ca="1"/>
      </c>
      <c r="BA863" s="7"/>
    </row>
    <row r="864" spans="31:53" x14ac:dyDescent="0.55000000000000004">
      <c r="AE864" s="7">
        <f ca="1"/>
      </c>
      <c r="AF864">
        <f ca="1"/>
      </c>
      <c r="AG864">
        <f ca="1"/>
      </c>
      <c r="AH864">
        <f ca="1"/>
      </c>
      <c r="AI864">
        <f ca="1"/>
      </c>
      <c r="AJ864">
        <f ca="1"/>
      </c>
      <c r="AK864">
        <f ca="1"/>
      </c>
      <c r="AL864">
        <f ca="1"/>
      </c>
      <c r="AM864">
        <f ca="1"/>
      </c>
      <c r="AN864">
        <f ca="1"/>
      </c>
      <c r="AO864">
        <f ca="1"/>
      </c>
      <c r="AP864">
        <f ca="1"/>
      </c>
      <c r="AQ864">
        <f ca="1"/>
      </c>
      <c r="AR864">
        <f ca="1"/>
      </c>
      <c r="AT864" s="7">
        <f ca="1"/>
      </c>
      <c r="AU864">
        <f ca="1"/>
      </c>
      <c r="AV864">
        <f ca="1"/>
      </c>
      <c r="AW864">
        <f ca="1"/>
      </c>
      <c r="AX864">
        <f ca="1"/>
      </c>
      <c r="AY864">
        <f ca="1"/>
      </c>
      <c r="BA864" s="7"/>
    </row>
    <row r="865" spans="31:53" x14ac:dyDescent="0.55000000000000004">
      <c r="AE865" s="7">
        <f ca="1"/>
      </c>
      <c r="AF865">
        <f ca="1"/>
      </c>
      <c r="AG865">
        <f ca="1"/>
      </c>
      <c r="AH865">
        <f ca="1"/>
      </c>
      <c r="AI865">
        <f ca="1"/>
      </c>
      <c r="AJ865">
        <f ca="1"/>
      </c>
      <c r="AK865">
        <f ca="1"/>
      </c>
      <c r="AL865">
        <f ca="1"/>
      </c>
      <c r="AM865">
        <f ca="1"/>
      </c>
      <c r="AN865">
        <f ca="1"/>
      </c>
      <c r="AO865">
        <f ca="1"/>
      </c>
      <c r="AP865">
        <f ca="1"/>
      </c>
      <c r="AQ865">
        <f ca="1"/>
      </c>
      <c r="AR865">
        <f ca="1"/>
      </c>
      <c r="AT865" s="7">
        <f ca="1"/>
      </c>
      <c r="AU865">
        <f ca="1"/>
      </c>
      <c r="AV865">
        <f ca="1"/>
      </c>
      <c r="AW865">
        <f ca="1"/>
      </c>
      <c r="AX865">
        <f ca="1"/>
      </c>
      <c r="AY865">
        <f ca="1"/>
      </c>
      <c r="BA865" s="7"/>
    </row>
    <row r="866" spans="31:53" x14ac:dyDescent="0.55000000000000004">
      <c r="AE866" s="7">
        <f ca="1"/>
      </c>
      <c r="AF866">
        <f ca="1"/>
      </c>
      <c r="AG866">
        <f ca="1"/>
      </c>
      <c r="AH866">
        <f ca="1"/>
      </c>
      <c r="AI866">
        <f ca="1"/>
      </c>
      <c r="AJ866">
        <f ca="1"/>
      </c>
      <c r="AK866">
        <f ca="1"/>
      </c>
      <c r="AL866">
        <f ca="1"/>
      </c>
      <c r="AM866">
        <f ca="1"/>
      </c>
      <c r="AN866">
        <f ca="1"/>
      </c>
      <c r="AO866">
        <f ca="1"/>
      </c>
      <c r="AP866">
        <f ca="1"/>
      </c>
      <c r="AQ866">
        <f ca="1"/>
      </c>
      <c r="AR866">
        <f ca="1"/>
      </c>
      <c r="AT866" s="7">
        <f ca="1"/>
      </c>
      <c r="AU866">
        <f ca="1"/>
      </c>
      <c r="AV866">
        <f ca="1"/>
      </c>
      <c r="AW866">
        <f ca="1"/>
      </c>
      <c r="AX866">
        <f ca="1"/>
      </c>
      <c r="AY866">
        <f ca="1"/>
      </c>
      <c r="BA866" s="7"/>
    </row>
    <row r="867" spans="31:53" x14ac:dyDescent="0.55000000000000004">
      <c r="AE867" s="7">
        <f ca="1"/>
      </c>
      <c r="AF867">
        <f ca="1"/>
      </c>
      <c r="AG867">
        <f ca="1"/>
      </c>
      <c r="AH867">
        <f ca="1"/>
      </c>
      <c r="AI867">
        <f ca="1"/>
      </c>
      <c r="AJ867">
        <f ca="1"/>
      </c>
      <c r="AK867">
        <f ca="1"/>
      </c>
      <c r="AL867">
        <f ca="1"/>
      </c>
      <c r="AM867">
        <f ca="1"/>
      </c>
      <c r="AN867">
        <f ca="1"/>
      </c>
      <c r="AO867">
        <f ca="1"/>
      </c>
      <c r="AP867">
        <f ca="1"/>
      </c>
      <c r="AQ867">
        <f ca="1"/>
      </c>
      <c r="AR867">
        <f ca="1"/>
      </c>
      <c r="AT867" s="7">
        <f ca="1"/>
      </c>
      <c r="AU867">
        <f ca="1"/>
      </c>
      <c r="AV867">
        <f ca="1"/>
      </c>
      <c r="AW867">
        <f ca="1"/>
      </c>
      <c r="AX867">
        <f ca="1"/>
      </c>
      <c r="AY867">
        <f ca="1"/>
      </c>
      <c r="BA867" s="7"/>
    </row>
    <row r="868" spans="31:53" x14ac:dyDescent="0.55000000000000004">
      <c r="AE868" s="7">
        <f ca="1"/>
      </c>
      <c r="AF868">
        <f ca="1"/>
      </c>
      <c r="AG868">
        <f ca="1"/>
      </c>
      <c r="AH868">
        <f ca="1"/>
      </c>
      <c r="AI868">
        <f ca="1"/>
      </c>
      <c r="AJ868">
        <f ca="1"/>
      </c>
      <c r="AK868">
        <f ca="1"/>
      </c>
      <c r="AL868">
        <f ca="1"/>
      </c>
      <c r="AM868">
        <f ca="1"/>
      </c>
      <c r="AN868">
        <f ca="1"/>
      </c>
      <c r="AO868">
        <f ca="1"/>
      </c>
      <c r="AP868">
        <f ca="1"/>
      </c>
      <c r="AQ868">
        <f ca="1"/>
      </c>
      <c r="AR868">
        <f ca="1"/>
      </c>
      <c r="AT868" s="7">
        <f ca="1"/>
      </c>
      <c r="AU868">
        <f ca="1"/>
      </c>
      <c r="AV868">
        <f ca="1"/>
      </c>
      <c r="AW868">
        <f ca="1"/>
      </c>
      <c r="AX868">
        <f ca="1"/>
      </c>
      <c r="AY868">
        <f ca="1"/>
      </c>
      <c r="BA868" s="7"/>
    </row>
    <row r="869" spans="31:53" x14ac:dyDescent="0.55000000000000004">
      <c r="AE869" s="7">
        <f ca="1"/>
      </c>
      <c r="AF869">
        <f ca="1"/>
      </c>
      <c r="AG869">
        <f ca="1"/>
      </c>
      <c r="AH869">
        <f ca="1"/>
      </c>
      <c r="AI869">
        <f ca="1"/>
      </c>
      <c r="AJ869">
        <f ca="1"/>
      </c>
      <c r="AK869">
        <f ca="1"/>
      </c>
      <c r="AL869">
        <f ca="1"/>
      </c>
      <c r="AM869">
        <f ca="1"/>
      </c>
      <c r="AN869">
        <f ca="1"/>
      </c>
      <c r="AO869">
        <f ca="1"/>
      </c>
      <c r="AP869">
        <f ca="1"/>
      </c>
      <c r="AQ869">
        <f ca="1"/>
      </c>
      <c r="AR869">
        <f ca="1"/>
      </c>
      <c r="AT869" s="7">
        <f ca="1"/>
      </c>
      <c r="AU869">
        <f ca="1"/>
      </c>
      <c r="AV869">
        <f ca="1"/>
      </c>
      <c r="AW869">
        <f ca="1"/>
      </c>
      <c r="AX869">
        <f ca="1"/>
      </c>
      <c r="AY869">
        <f ca="1"/>
      </c>
      <c r="BA869" s="7"/>
    </row>
    <row r="870" spans="31:53" x14ac:dyDescent="0.55000000000000004">
      <c r="AE870" s="7">
        <f ca="1"/>
      </c>
      <c r="AF870">
        <f ca="1"/>
      </c>
      <c r="AG870">
        <f ca="1"/>
      </c>
      <c r="AH870">
        <f ca="1"/>
      </c>
      <c r="AI870">
        <f ca="1"/>
      </c>
      <c r="AJ870">
        <f ca="1"/>
      </c>
      <c r="AK870">
        <f ca="1"/>
      </c>
      <c r="AL870">
        <f ca="1"/>
      </c>
      <c r="AM870">
        <f ca="1"/>
      </c>
      <c r="AN870">
        <f ca="1"/>
      </c>
      <c r="AO870">
        <f ca="1"/>
      </c>
      <c r="AP870">
        <f ca="1"/>
      </c>
      <c r="AQ870">
        <f ca="1"/>
      </c>
      <c r="AR870">
        <f ca="1"/>
      </c>
      <c r="AT870" s="7">
        <f ca="1"/>
      </c>
      <c r="AU870">
        <f ca="1"/>
      </c>
      <c r="AV870">
        <f ca="1"/>
      </c>
      <c r="AW870">
        <f ca="1"/>
      </c>
      <c r="AX870">
        <f ca="1"/>
      </c>
      <c r="AY870">
        <f ca="1"/>
      </c>
      <c r="BA870" s="7"/>
    </row>
    <row r="871" spans="31:53" x14ac:dyDescent="0.55000000000000004">
      <c r="AE871" s="7">
        <f ca="1"/>
      </c>
      <c r="AF871">
        <f ca="1"/>
      </c>
      <c r="AG871">
        <f ca="1"/>
      </c>
      <c r="AH871">
        <f ca="1"/>
      </c>
      <c r="AI871">
        <f ca="1"/>
      </c>
      <c r="AJ871">
        <f ca="1"/>
      </c>
      <c r="AK871">
        <f ca="1"/>
      </c>
      <c r="AL871">
        <f ca="1"/>
      </c>
      <c r="AM871">
        <f ca="1"/>
      </c>
      <c r="AN871">
        <f ca="1"/>
      </c>
      <c r="AO871">
        <f ca="1"/>
      </c>
      <c r="AP871">
        <f ca="1"/>
      </c>
      <c r="AQ871">
        <f ca="1"/>
      </c>
      <c r="AR871">
        <f ca="1"/>
      </c>
      <c r="AT871" s="7">
        <f ca="1"/>
      </c>
      <c r="AU871">
        <f ca="1"/>
      </c>
      <c r="AV871">
        <f ca="1"/>
      </c>
      <c r="AW871">
        <f ca="1"/>
      </c>
      <c r="AX871">
        <f ca="1"/>
      </c>
      <c r="AY871">
        <f ca="1"/>
      </c>
      <c r="BA871" s="7"/>
    </row>
    <row r="872" spans="31:53" x14ac:dyDescent="0.55000000000000004">
      <c r="AE872" s="7">
        <f ca="1"/>
      </c>
      <c r="AF872">
        <f ca="1"/>
      </c>
      <c r="AG872">
        <f ca="1"/>
      </c>
      <c r="AH872">
        <f ca="1"/>
      </c>
      <c r="AI872">
        <f ca="1"/>
      </c>
      <c r="AJ872">
        <f ca="1"/>
      </c>
      <c r="AK872">
        <f ca="1"/>
      </c>
      <c r="AL872">
        <f ca="1"/>
      </c>
      <c r="AM872">
        <f ca="1"/>
      </c>
      <c r="AN872">
        <f ca="1"/>
      </c>
      <c r="AO872">
        <f ca="1"/>
      </c>
      <c r="AP872">
        <f ca="1"/>
      </c>
      <c r="AQ872">
        <f ca="1"/>
      </c>
      <c r="AR872">
        <f ca="1"/>
      </c>
      <c r="AT872" s="7">
        <f ca="1"/>
      </c>
      <c r="AU872">
        <f ca="1"/>
      </c>
      <c r="AV872">
        <f ca="1"/>
      </c>
      <c r="AW872">
        <f ca="1"/>
      </c>
      <c r="AX872">
        <f ca="1"/>
      </c>
      <c r="AY872">
        <f ca="1"/>
      </c>
      <c r="BA872" s="7"/>
    </row>
    <row r="873" spans="31:53" x14ac:dyDescent="0.55000000000000004">
      <c r="AE873" s="7">
        <f ca="1"/>
      </c>
      <c r="AF873">
        <f ca="1"/>
      </c>
      <c r="AG873">
        <f ca="1"/>
      </c>
      <c r="AH873">
        <f ca="1"/>
      </c>
      <c r="AI873">
        <f ca="1"/>
      </c>
      <c r="AJ873">
        <f ca="1"/>
      </c>
      <c r="AK873">
        <f ca="1"/>
      </c>
      <c r="AL873">
        <f ca="1"/>
      </c>
      <c r="AM873">
        <f ca="1"/>
      </c>
      <c r="AN873">
        <f ca="1"/>
      </c>
      <c r="AO873">
        <f ca="1"/>
      </c>
      <c r="AP873">
        <f ca="1"/>
      </c>
      <c r="AQ873">
        <f ca="1"/>
      </c>
      <c r="AR873">
        <f ca="1"/>
      </c>
      <c r="AT873" s="7">
        <f ca="1"/>
      </c>
      <c r="AU873">
        <f ca="1"/>
      </c>
      <c r="AV873">
        <f ca="1"/>
      </c>
      <c r="AW873">
        <f ca="1"/>
      </c>
      <c r="AX873">
        <f ca="1"/>
      </c>
      <c r="AY873">
        <f ca="1"/>
      </c>
      <c r="BA873" s="7"/>
    </row>
    <row r="874" spans="31:53" x14ac:dyDescent="0.55000000000000004">
      <c r="AE874" s="7">
        <f ca="1"/>
      </c>
      <c r="AF874">
        <f ca="1"/>
      </c>
      <c r="AG874">
        <f ca="1"/>
      </c>
      <c r="AH874">
        <f ca="1"/>
      </c>
      <c r="AI874">
        <f ca="1"/>
      </c>
      <c r="AJ874">
        <f ca="1"/>
      </c>
      <c r="AK874">
        <f ca="1"/>
      </c>
      <c r="AL874">
        <f ca="1"/>
      </c>
      <c r="AM874">
        <f ca="1"/>
      </c>
      <c r="AN874">
        <f ca="1"/>
      </c>
      <c r="AO874">
        <f ca="1"/>
      </c>
      <c r="AP874">
        <f ca="1"/>
      </c>
      <c r="AQ874">
        <f ca="1"/>
      </c>
      <c r="AR874">
        <f ca="1"/>
      </c>
      <c r="AT874" s="7">
        <f ca="1"/>
      </c>
      <c r="AU874">
        <f ca="1"/>
      </c>
      <c r="AV874">
        <f ca="1"/>
      </c>
      <c r="AW874">
        <f ca="1"/>
      </c>
      <c r="AX874">
        <f ca="1"/>
      </c>
      <c r="AY874">
        <f ca="1"/>
      </c>
      <c r="BA874" s="7"/>
    </row>
    <row r="875" spans="31:53" x14ac:dyDescent="0.55000000000000004">
      <c r="AE875" s="7">
        <f ca="1"/>
      </c>
      <c r="AF875">
        <f ca="1"/>
      </c>
      <c r="AG875">
        <f ca="1"/>
      </c>
      <c r="AH875">
        <f ca="1"/>
      </c>
      <c r="AI875">
        <f ca="1"/>
      </c>
      <c r="AJ875">
        <f ca="1"/>
      </c>
      <c r="AK875">
        <f ca="1"/>
      </c>
      <c r="AL875">
        <f ca="1"/>
      </c>
      <c r="AM875">
        <f ca="1"/>
      </c>
      <c r="AN875">
        <f ca="1"/>
      </c>
      <c r="AO875">
        <f ca="1"/>
      </c>
      <c r="AP875">
        <f ca="1"/>
      </c>
      <c r="AQ875">
        <f ca="1"/>
      </c>
      <c r="AR875">
        <f ca="1"/>
      </c>
      <c r="AT875" s="7">
        <f ca="1"/>
      </c>
      <c r="AU875">
        <f ca="1"/>
      </c>
      <c r="AV875">
        <f ca="1"/>
      </c>
      <c r="AW875">
        <f ca="1"/>
      </c>
      <c r="AX875">
        <f ca="1"/>
      </c>
      <c r="AY875">
        <f ca="1"/>
      </c>
      <c r="BA875" s="7"/>
    </row>
    <row r="876" spans="31:53" x14ac:dyDescent="0.55000000000000004">
      <c r="AE876" s="7">
        <f ca="1"/>
      </c>
      <c r="AF876">
        <f ca="1"/>
      </c>
      <c r="AG876">
        <f ca="1"/>
      </c>
      <c r="AH876">
        <f ca="1"/>
      </c>
      <c r="AI876">
        <f ca="1"/>
      </c>
      <c r="AJ876">
        <f ca="1"/>
      </c>
      <c r="AK876">
        <f ca="1"/>
      </c>
      <c r="AL876">
        <f ca="1"/>
      </c>
      <c r="AM876">
        <f ca="1"/>
      </c>
      <c r="AN876">
        <f ca="1"/>
      </c>
      <c r="AO876">
        <f ca="1"/>
      </c>
      <c r="AP876">
        <f ca="1"/>
      </c>
      <c r="AQ876">
        <f ca="1"/>
      </c>
      <c r="AR876">
        <f ca="1"/>
      </c>
      <c r="AT876" s="7">
        <f ca="1"/>
      </c>
      <c r="AU876">
        <f ca="1"/>
      </c>
      <c r="AV876">
        <f ca="1"/>
      </c>
      <c r="AW876">
        <f ca="1"/>
      </c>
      <c r="AX876">
        <f ca="1"/>
      </c>
      <c r="AY876">
        <f ca="1"/>
      </c>
      <c r="BA876" s="7"/>
    </row>
    <row r="877" spans="31:53" x14ac:dyDescent="0.55000000000000004">
      <c r="AE877" s="7">
        <f ca="1"/>
      </c>
      <c r="AF877">
        <f ca="1"/>
      </c>
      <c r="AG877">
        <f ca="1"/>
      </c>
      <c r="AH877">
        <f ca="1"/>
      </c>
      <c r="AI877">
        <f ca="1"/>
      </c>
      <c r="AJ877">
        <f ca="1"/>
      </c>
      <c r="AK877">
        <f ca="1"/>
      </c>
      <c r="AL877">
        <f ca="1"/>
      </c>
      <c r="AM877">
        <f ca="1"/>
      </c>
      <c r="AN877">
        <f ca="1"/>
      </c>
      <c r="AO877">
        <f ca="1"/>
      </c>
      <c r="AP877">
        <f ca="1"/>
      </c>
      <c r="AQ877">
        <f ca="1"/>
      </c>
      <c r="AR877">
        <f ca="1"/>
      </c>
      <c r="AT877" s="7">
        <f ca="1"/>
      </c>
      <c r="AU877">
        <f ca="1"/>
      </c>
      <c r="AV877">
        <f ca="1"/>
      </c>
      <c r="AW877">
        <f ca="1"/>
      </c>
      <c r="AX877">
        <f ca="1"/>
      </c>
      <c r="AY877">
        <f ca="1"/>
      </c>
      <c r="BA877" s="7"/>
    </row>
    <row r="878" spans="31:53" x14ac:dyDescent="0.55000000000000004">
      <c r="AE878" s="7">
        <f ca="1"/>
      </c>
      <c r="AF878">
        <f ca="1"/>
      </c>
      <c r="AG878">
        <f ca="1"/>
      </c>
      <c r="AH878">
        <f ca="1"/>
      </c>
      <c r="AI878">
        <f ca="1"/>
      </c>
      <c r="AJ878">
        <f ca="1"/>
      </c>
      <c r="AK878">
        <f ca="1"/>
      </c>
      <c r="AL878">
        <f ca="1"/>
      </c>
      <c r="AM878">
        <f ca="1"/>
      </c>
      <c r="AN878">
        <f ca="1"/>
      </c>
      <c r="AO878">
        <f ca="1"/>
      </c>
      <c r="AP878">
        <f ca="1"/>
      </c>
      <c r="AQ878">
        <f ca="1"/>
      </c>
      <c r="AR878">
        <f ca="1"/>
      </c>
      <c r="AT878" s="7">
        <f ca="1"/>
      </c>
      <c r="AU878">
        <f ca="1"/>
      </c>
      <c r="AV878">
        <f ca="1"/>
      </c>
      <c r="AW878">
        <f ca="1"/>
      </c>
      <c r="AX878">
        <f ca="1"/>
      </c>
      <c r="AY878">
        <f ca="1"/>
      </c>
      <c r="BA878" s="7"/>
    </row>
    <row r="879" spans="31:53" x14ac:dyDescent="0.55000000000000004">
      <c r="AE879" s="7">
        <f ca="1"/>
      </c>
      <c r="AF879">
        <f ca="1"/>
      </c>
      <c r="AG879">
        <f ca="1"/>
      </c>
      <c r="AH879">
        <f ca="1"/>
      </c>
      <c r="AI879">
        <f ca="1"/>
      </c>
      <c r="AJ879">
        <f ca="1"/>
      </c>
      <c r="AK879">
        <f ca="1"/>
      </c>
      <c r="AL879">
        <f ca="1"/>
      </c>
      <c r="AM879">
        <f ca="1"/>
      </c>
      <c r="AN879">
        <f ca="1"/>
      </c>
      <c r="AO879">
        <f ca="1"/>
      </c>
      <c r="AP879">
        <f ca="1"/>
      </c>
      <c r="AQ879">
        <f ca="1"/>
      </c>
      <c r="AR879">
        <f ca="1"/>
      </c>
      <c r="AT879" s="7">
        <f ca="1"/>
      </c>
      <c r="AU879">
        <f ca="1"/>
      </c>
      <c r="AV879">
        <f ca="1"/>
      </c>
      <c r="AW879">
        <f ca="1"/>
      </c>
      <c r="AX879">
        <f ca="1"/>
      </c>
      <c r="AY879">
        <f ca="1"/>
      </c>
      <c r="BA879" s="7"/>
    </row>
    <row r="880" spans="31:53" x14ac:dyDescent="0.55000000000000004">
      <c r="AE880" s="7">
        <f ca="1"/>
      </c>
      <c r="AF880">
        <f ca="1"/>
      </c>
      <c r="AG880">
        <f ca="1"/>
      </c>
      <c r="AH880">
        <f ca="1"/>
      </c>
      <c r="AI880">
        <f ca="1"/>
      </c>
      <c r="AJ880">
        <f ca="1"/>
      </c>
      <c r="AK880">
        <f ca="1"/>
      </c>
      <c r="AL880">
        <f ca="1"/>
      </c>
      <c r="AM880">
        <f ca="1"/>
      </c>
      <c r="AN880">
        <f ca="1"/>
      </c>
      <c r="AO880">
        <f ca="1"/>
      </c>
      <c r="AP880">
        <f ca="1"/>
      </c>
      <c r="AQ880">
        <f ca="1"/>
      </c>
      <c r="AR880">
        <f ca="1"/>
      </c>
      <c r="AT880" s="7">
        <f ca="1"/>
      </c>
      <c r="AU880">
        <f ca="1"/>
      </c>
      <c r="AV880">
        <f ca="1"/>
      </c>
      <c r="AW880">
        <f ca="1"/>
      </c>
      <c r="AX880">
        <f ca="1"/>
      </c>
      <c r="AY880">
        <f ca="1"/>
      </c>
      <c r="BA880" s="7"/>
    </row>
    <row r="881" spans="31:53" x14ac:dyDescent="0.55000000000000004">
      <c r="AE881" s="7">
        <f ca="1"/>
      </c>
      <c r="AF881">
        <f ca="1"/>
      </c>
      <c r="AG881">
        <f ca="1"/>
      </c>
      <c r="AH881">
        <f ca="1"/>
      </c>
      <c r="AI881">
        <f ca="1"/>
      </c>
      <c r="AJ881">
        <f ca="1"/>
      </c>
      <c r="AK881">
        <f ca="1"/>
      </c>
      <c r="AL881">
        <f ca="1"/>
      </c>
      <c r="AM881">
        <f ca="1"/>
      </c>
      <c r="AN881">
        <f ca="1"/>
      </c>
      <c r="AO881">
        <f ca="1"/>
      </c>
      <c r="AP881">
        <f ca="1"/>
      </c>
      <c r="AQ881">
        <f ca="1"/>
      </c>
      <c r="AR881">
        <f ca="1"/>
      </c>
      <c r="AT881" s="7">
        <f ca="1"/>
      </c>
      <c r="AU881">
        <f ca="1"/>
      </c>
      <c r="AV881">
        <f ca="1"/>
      </c>
      <c r="AW881">
        <f ca="1"/>
      </c>
      <c r="AX881">
        <f ca="1"/>
      </c>
      <c r="AY881">
        <f ca="1"/>
      </c>
      <c r="BA881" s="7"/>
    </row>
    <row r="882" spans="31:53" x14ac:dyDescent="0.55000000000000004">
      <c r="AE882" s="7">
        <f ca="1"/>
      </c>
      <c r="AF882">
        <f ca="1"/>
      </c>
      <c r="AG882">
        <f ca="1"/>
      </c>
      <c r="AH882">
        <f ca="1"/>
      </c>
      <c r="AI882">
        <f ca="1"/>
      </c>
      <c r="AJ882">
        <f ca="1"/>
      </c>
      <c r="AK882">
        <f ca="1"/>
      </c>
      <c r="AL882">
        <f ca="1"/>
      </c>
      <c r="AM882">
        <f ca="1"/>
      </c>
      <c r="AN882">
        <f ca="1"/>
      </c>
      <c r="AO882">
        <f ca="1"/>
      </c>
      <c r="AP882">
        <f ca="1"/>
      </c>
      <c r="AQ882">
        <f ca="1"/>
      </c>
      <c r="AR882">
        <f ca="1"/>
      </c>
      <c r="AT882" s="7">
        <f ca="1"/>
      </c>
      <c r="AU882">
        <f ca="1"/>
      </c>
      <c r="AV882">
        <f ca="1"/>
      </c>
      <c r="AW882">
        <f ca="1"/>
      </c>
      <c r="AX882">
        <f ca="1"/>
      </c>
      <c r="AY882">
        <f ca="1"/>
      </c>
      <c r="BA882" s="7"/>
    </row>
    <row r="883" spans="31:53" x14ac:dyDescent="0.55000000000000004">
      <c r="AE883" s="7">
        <f ca="1"/>
      </c>
      <c r="AF883">
        <f ca="1"/>
      </c>
      <c r="AG883">
        <f ca="1"/>
      </c>
      <c r="AH883">
        <f ca="1"/>
      </c>
      <c r="AI883">
        <f ca="1"/>
      </c>
      <c r="AJ883">
        <f ca="1"/>
      </c>
      <c r="AK883">
        <f ca="1"/>
      </c>
      <c r="AL883">
        <f ca="1"/>
      </c>
      <c r="AM883">
        <f ca="1"/>
      </c>
      <c r="AN883">
        <f ca="1"/>
      </c>
      <c r="AO883">
        <f ca="1"/>
      </c>
      <c r="AP883">
        <f ca="1"/>
      </c>
      <c r="AQ883">
        <f ca="1"/>
      </c>
      <c r="AR883">
        <f ca="1"/>
      </c>
      <c r="AT883" s="7">
        <f ca="1"/>
      </c>
      <c r="AU883">
        <f ca="1"/>
      </c>
      <c r="AV883">
        <f ca="1"/>
      </c>
      <c r="AW883">
        <f ca="1"/>
      </c>
      <c r="AX883">
        <f ca="1"/>
      </c>
      <c r="AY883">
        <f ca="1"/>
      </c>
      <c r="BA883" s="7"/>
    </row>
    <row r="884" spans="31:53" x14ac:dyDescent="0.55000000000000004">
      <c r="AE884" s="7">
        <f ca="1"/>
      </c>
      <c r="AF884">
        <f ca="1"/>
      </c>
      <c r="AG884">
        <f ca="1"/>
      </c>
      <c r="AH884">
        <f ca="1"/>
      </c>
      <c r="AI884">
        <f ca="1"/>
      </c>
      <c r="AJ884">
        <f ca="1"/>
      </c>
      <c r="AK884">
        <f ca="1"/>
      </c>
      <c r="AL884">
        <f ca="1"/>
      </c>
      <c r="AM884">
        <f ca="1"/>
      </c>
      <c r="AN884">
        <f ca="1"/>
      </c>
      <c r="AO884">
        <f ca="1"/>
      </c>
      <c r="AP884">
        <f ca="1"/>
      </c>
      <c r="AQ884">
        <f ca="1"/>
      </c>
      <c r="AR884">
        <f ca="1"/>
      </c>
      <c r="AT884" s="7">
        <f ca="1"/>
      </c>
      <c r="AU884">
        <f ca="1"/>
      </c>
      <c r="AV884">
        <f ca="1"/>
      </c>
      <c r="AW884">
        <f ca="1"/>
      </c>
      <c r="AX884">
        <f ca="1"/>
      </c>
      <c r="AY884">
        <f ca="1"/>
      </c>
      <c r="BA884" s="7"/>
    </row>
    <row r="885" spans="31:53" x14ac:dyDescent="0.55000000000000004">
      <c r="AE885" s="7">
        <f ca="1"/>
      </c>
      <c r="AF885">
        <f ca="1"/>
      </c>
      <c r="AG885">
        <f ca="1"/>
      </c>
      <c r="AH885">
        <f ca="1"/>
      </c>
      <c r="AI885">
        <f ca="1"/>
      </c>
      <c r="AJ885">
        <f ca="1"/>
      </c>
      <c r="AK885">
        <f ca="1"/>
      </c>
      <c r="AL885">
        <f ca="1"/>
      </c>
      <c r="AM885">
        <f ca="1"/>
      </c>
      <c r="AN885">
        <f ca="1"/>
      </c>
      <c r="AO885">
        <f ca="1"/>
      </c>
      <c r="AP885">
        <f ca="1"/>
      </c>
      <c r="AQ885">
        <f ca="1"/>
      </c>
      <c r="AR885">
        <f ca="1"/>
      </c>
      <c r="AT885" s="7">
        <f ca="1"/>
      </c>
      <c r="AU885">
        <f ca="1"/>
      </c>
      <c r="AV885">
        <f ca="1"/>
      </c>
      <c r="AW885">
        <f ca="1"/>
      </c>
      <c r="AX885">
        <f ca="1"/>
      </c>
      <c r="AY885">
        <f ca="1"/>
      </c>
      <c r="BA885" s="7"/>
    </row>
    <row r="886" spans="31:53" x14ac:dyDescent="0.55000000000000004">
      <c r="AE886" s="7">
        <f ca="1"/>
      </c>
      <c r="AF886">
        <f ca="1"/>
      </c>
      <c r="AG886">
        <f ca="1"/>
      </c>
      <c r="AH886">
        <f ca="1"/>
      </c>
      <c r="AI886">
        <f ca="1"/>
      </c>
      <c r="AJ886">
        <f ca="1"/>
      </c>
      <c r="AK886">
        <f ca="1"/>
      </c>
      <c r="AL886">
        <f ca="1"/>
      </c>
      <c r="AM886">
        <f ca="1"/>
      </c>
      <c r="AN886">
        <f ca="1"/>
      </c>
      <c r="AO886">
        <f ca="1"/>
      </c>
      <c r="AP886">
        <f ca="1"/>
      </c>
      <c r="AQ886">
        <f ca="1"/>
      </c>
      <c r="AR886">
        <f ca="1"/>
      </c>
      <c r="AT886" s="7">
        <f ca="1"/>
      </c>
      <c r="AU886">
        <f ca="1"/>
      </c>
      <c r="AV886">
        <f ca="1"/>
      </c>
      <c r="AW886">
        <f ca="1"/>
      </c>
      <c r="AX886">
        <f ca="1"/>
      </c>
      <c r="AY886">
        <f ca="1"/>
      </c>
      <c r="BA886" s="7"/>
    </row>
    <row r="887" spans="31:53" x14ac:dyDescent="0.55000000000000004">
      <c r="AE887" s="7">
        <f ca="1"/>
      </c>
      <c r="AF887">
        <f ca="1"/>
      </c>
      <c r="AG887">
        <f ca="1"/>
      </c>
      <c r="AH887">
        <f ca="1"/>
      </c>
      <c r="AI887">
        <f ca="1"/>
      </c>
      <c r="AJ887">
        <f ca="1"/>
      </c>
      <c r="AK887">
        <f ca="1"/>
      </c>
      <c r="AL887">
        <f ca="1"/>
      </c>
      <c r="AM887">
        <f ca="1"/>
      </c>
      <c r="AN887">
        <f ca="1"/>
      </c>
      <c r="AO887">
        <f ca="1"/>
      </c>
      <c r="AP887">
        <f ca="1"/>
      </c>
      <c r="AQ887">
        <f ca="1"/>
      </c>
      <c r="AR887">
        <f ca="1"/>
      </c>
      <c r="AT887" s="7">
        <f ca="1"/>
      </c>
      <c r="AU887">
        <f ca="1"/>
      </c>
      <c r="AV887">
        <f ca="1"/>
      </c>
      <c r="AW887">
        <f ca="1"/>
      </c>
      <c r="AX887">
        <f ca="1"/>
      </c>
      <c r="AY887">
        <f ca="1"/>
      </c>
      <c r="BA887" s="7"/>
    </row>
    <row r="888" spans="31:53" x14ac:dyDescent="0.55000000000000004">
      <c r="AE888" s="7">
        <f ca="1"/>
      </c>
      <c r="AF888">
        <f ca="1"/>
      </c>
      <c r="AG888">
        <f ca="1"/>
      </c>
      <c r="AH888">
        <f ca="1"/>
      </c>
      <c r="AI888">
        <f ca="1"/>
      </c>
      <c r="AJ888">
        <f ca="1"/>
      </c>
      <c r="AK888">
        <f ca="1"/>
      </c>
      <c r="AL888">
        <f ca="1"/>
      </c>
      <c r="AM888">
        <f ca="1"/>
      </c>
      <c r="AN888">
        <f ca="1"/>
      </c>
      <c r="AO888">
        <f ca="1"/>
      </c>
      <c r="AP888">
        <f ca="1"/>
      </c>
      <c r="AQ888">
        <f ca="1"/>
      </c>
      <c r="AR888">
        <f ca="1"/>
      </c>
      <c r="AT888" s="7">
        <f ca="1"/>
      </c>
      <c r="AU888">
        <f ca="1"/>
      </c>
      <c r="AV888">
        <f ca="1"/>
      </c>
      <c r="AW888">
        <f ca="1"/>
      </c>
      <c r="AX888">
        <f ca="1"/>
      </c>
      <c r="AY888">
        <f ca="1"/>
      </c>
      <c r="BA888" s="7"/>
    </row>
    <row r="889" spans="31:53" x14ac:dyDescent="0.55000000000000004">
      <c r="AE889" s="7">
        <f ca="1"/>
      </c>
      <c r="AF889">
        <f ca="1"/>
      </c>
      <c r="AG889">
        <f ca="1"/>
      </c>
      <c r="AH889">
        <f ca="1"/>
      </c>
      <c r="AI889">
        <f ca="1"/>
      </c>
      <c r="AJ889">
        <f ca="1"/>
      </c>
      <c r="AK889">
        <f ca="1"/>
      </c>
      <c r="AL889">
        <f ca="1"/>
      </c>
      <c r="AM889">
        <f ca="1"/>
      </c>
      <c r="AN889">
        <f ca="1"/>
      </c>
      <c r="AO889">
        <f ca="1"/>
      </c>
      <c r="AP889">
        <f ca="1"/>
      </c>
      <c r="AQ889">
        <f ca="1"/>
      </c>
      <c r="AR889">
        <f ca="1"/>
      </c>
      <c r="AT889" s="7">
        <f ca="1"/>
      </c>
      <c r="AU889">
        <f ca="1"/>
      </c>
      <c r="AV889">
        <f ca="1"/>
      </c>
      <c r="AW889">
        <f ca="1"/>
      </c>
      <c r="AX889">
        <f ca="1"/>
      </c>
      <c r="AY889">
        <f ca="1"/>
      </c>
      <c r="BA889" s="7"/>
    </row>
    <row r="890" spans="31:53" x14ac:dyDescent="0.55000000000000004">
      <c r="AE890" s="7">
        <f ca="1"/>
      </c>
      <c r="AF890">
        <f ca="1"/>
      </c>
      <c r="AG890">
        <f ca="1"/>
      </c>
      <c r="AH890">
        <f ca="1"/>
      </c>
      <c r="AI890">
        <f ca="1"/>
      </c>
      <c r="AJ890">
        <f ca="1"/>
      </c>
      <c r="AK890">
        <f ca="1"/>
      </c>
      <c r="AL890">
        <f ca="1"/>
      </c>
      <c r="AM890">
        <f ca="1"/>
      </c>
      <c r="AN890">
        <f ca="1"/>
      </c>
      <c r="AO890">
        <f ca="1"/>
      </c>
      <c r="AP890">
        <f ca="1"/>
      </c>
      <c r="AQ890">
        <f ca="1"/>
      </c>
      <c r="AR890">
        <f ca="1"/>
      </c>
      <c r="AT890" s="7">
        <f ca="1"/>
      </c>
      <c r="AU890">
        <f ca="1"/>
      </c>
      <c r="AV890">
        <f ca="1"/>
      </c>
      <c r="AW890">
        <f ca="1"/>
      </c>
      <c r="AX890">
        <f ca="1"/>
      </c>
      <c r="AY890">
        <f ca="1"/>
      </c>
      <c r="BA890" s="7"/>
    </row>
    <row r="891" spans="31:53" x14ac:dyDescent="0.55000000000000004">
      <c r="AE891" s="7">
        <f ca="1"/>
      </c>
      <c r="AF891">
        <f ca="1"/>
      </c>
      <c r="AG891">
        <f ca="1"/>
      </c>
      <c r="AH891">
        <f ca="1"/>
      </c>
      <c r="AI891">
        <f ca="1"/>
      </c>
      <c r="AJ891">
        <f ca="1"/>
      </c>
      <c r="AK891">
        <f ca="1"/>
      </c>
      <c r="AL891">
        <f ca="1"/>
      </c>
      <c r="AM891">
        <f ca="1"/>
      </c>
      <c r="AN891">
        <f ca="1"/>
      </c>
      <c r="AO891">
        <f ca="1"/>
      </c>
      <c r="AP891">
        <f ca="1"/>
      </c>
      <c r="AQ891">
        <f ca="1"/>
      </c>
      <c r="AR891">
        <f ca="1"/>
      </c>
      <c r="AT891" s="7">
        <f ca="1"/>
      </c>
      <c r="AU891">
        <f ca="1"/>
      </c>
      <c r="AV891">
        <f ca="1"/>
      </c>
      <c r="AW891">
        <f ca="1"/>
      </c>
      <c r="AX891">
        <f ca="1"/>
      </c>
      <c r="AY891">
        <f ca="1"/>
      </c>
      <c r="BA891" s="7"/>
    </row>
    <row r="892" spans="31:53" x14ac:dyDescent="0.55000000000000004">
      <c r="AE892" s="7">
        <f ca="1"/>
      </c>
      <c r="AF892">
        <f ca="1"/>
      </c>
      <c r="AG892">
        <f ca="1"/>
      </c>
      <c r="AH892">
        <f ca="1"/>
      </c>
      <c r="AI892">
        <f ca="1"/>
      </c>
      <c r="AJ892">
        <f ca="1"/>
      </c>
      <c r="AK892">
        <f ca="1"/>
      </c>
      <c r="AL892">
        <f ca="1"/>
      </c>
      <c r="AM892">
        <f ca="1"/>
      </c>
      <c r="AN892">
        <f ca="1"/>
      </c>
      <c r="AO892">
        <f ca="1"/>
      </c>
      <c r="AP892">
        <f ca="1"/>
      </c>
      <c r="AQ892">
        <f ca="1"/>
      </c>
      <c r="AR892">
        <f ca="1"/>
      </c>
      <c r="AT892" s="7">
        <f ca="1"/>
      </c>
      <c r="AU892">
        <f ca="1"/>
      </c>
      <c r="AV892">
        <f ca="1"/>
      </c>
      <c r="AW892">
        <f ca="1"/>
      </c>
      <c r="AX892">
        <f ca="1"/>
      </c>
      <c r="AY892">
        <f ca="1"/>
      </c>
      <c r="BA892" s="7"/>
    </row>
    <row r="893" spans="31:53" x14ac:dyDescent="0.55000000000000004">
      <c r="AE893" s="7">
        <f ca="1"/>
      </c>
      <c r="AF893">
        <f ca="1"/>
      </c>
      <c r="AG893">
        <f ca="1"/>
      </c>
      <c r="AH893">
        <f ca="1"/>
      </c>
      <c r="AI893">
        <f ca="1"/>
      </c>
      <c r="AJ893">
        <f ca="1"/>
      </c>
      <c r="AK893">
        <f ca="1"/>
      </c>
      <c r="AL893">
        <f ca="1"/>
      </c>
      <c r="AM893">
        <f ca="1"/>
      </c>
      <c r="AN893">
        <f ca="1"/>
      </c>
      <c r="AO893">
        <f ca="1"/>
      </c>
      <c r="AP893">
        <f ca="1"/>
      </c>
      <c r="AQ893">
        <f ca="1"/>
      </c>
      <c r="AR893">
        <f ca="1"/>
      </c>
      <c r="AT893" s="7">
        <f ca="1"/>
      </c>
      <c r="AU893">
        <f ca="1"/>
      </c>
      <c r="AV893">
        <f ca="1"/>
      </c>
      <c r="AW893">
        <f ca="1"/>
      </c>
      <c r="AX893">
        <f ca="1"/>
      </c>
      <c r="AY893">
        <f ca="1"/>
      </c>
      <c r="BA893" s="7"/>
    </row>
    <row r="894" spans="31:53" x14ac:dyDescent="0.55000000000000004">
      <c r="AE894" s="7">
        <f ca="1"/>
      </c>
      <c r="AF894">
        <f ca="1"/>
      </c>
      <c r="AG894">
        <f ca="1"/>
      </c>
      <c r="AH894">
        <f ca="1"/>
      </c>
      <c r="AI894">
        <f ca="1"/>
      </c>
      <c r="AJ894">
        <f ca="1"/>
      </c>
      <c r="AK894">
        <f ca="1"/>
      </c>
      <c r="AL894">
        <f ca="1"/>
      </c>
      <c r="AM894">
        <f ca="1"/>
      </c>
      <c r="AN894">
        <f ca="1"/>
      </c>
      <c r="AO894">
        <f ca="1"/>
      </c>
      <c r="AP894">
        <f ca="1"/>
      </c>
      <c r="AQ894">
        <f ca="1"/>
      </c>
      <c r="AR894">
        <f ca="1"/>
      </c>
      <c r="AT894" s="7">
        <f ca="1"/>
      </c>
      <c r="AU894">
        <f ca="1"/>
      </c>
      <c r="AV894">
        <f ca="1"/>
      </c>
      <c r="AW894">
        <f ca="1"/>
      </c>
      <c r="AX894">
        <f ca="1"/>
      </c>
      <c r="AY894">
        <f ca="1"/>
      </c>
      <c r="BA894" s="7"/>
    </row>
    <row r="895" spans="31:53" x14ac:dyDescent="0.55000000000000004">
      <c r="AE895" s="7">
        <f ca="1"/>
      </c>
      <c r="AF895">
        <f ca="1"/>
      </c>
      <c r="AG895">
        <f ca="1"/>
      </c>
      <c r="AH895">
        <f ca="1"/>
      </c>
      <c r="AI895">
        <f ca="1"/>
      </c>
      <c r="AJ895">
        <f ca="1"/>
      </c>
      <c r="AK895">
        <f ca="1"/>
      </c>
      <c r="AL895">
        <f ca="1"/>
      </c>
      <c r="AM895">
        <f ca="1"/>
      </c>
      <c r="AN895">
        <f ca="1"/>
      </c>
      <c r="AO895">
        <f ca="1"/>
      </c>
      <c r="AP895">
        <f ca="1"/>
      </c>
      <c r="AQ895">
        <f ca="1"/>
      </c>
      <c r="AR895">
        <f ca="1"/>
      </c>
      <c r="AT895" s="7">
        <f ca="1"/>
      </c>
      <c r="AU895">
        <f ca="1"/>
      </c>
      <c r="AV895">
        <f ca="1"/>
      </c>
      <c r="AW895">
        <f ca="1"/>
      </c>
      <c r="AX895">
        <f ca="1"/>
      </c>
      <c r="AY895">
        <f ca="1"/>
      </c>
      <c r="BA895" s="7"/>
    </row>
    <row r="896" spans="31:53" x14ac:dyDescent="0.55000000000000004">
      <c r="AE896" s="7">
        <f ca="1"/>
      </c>
      <c r="AF896">
        <f ca="1"/>
      </c>
      <c r="AG896">
        <f ca="1"/>
      </c>
      <c r="AH896">
        <f ca="1"/>
      </c>
      <c r="AI896">
        <f ca="1"/>
      </c>
      <c r="AJ896">
        <f ca="1"/>
      </c>
      <c r="AK896">
        <f ca="1"/>
      </c>
      <c r="AL896">
        <f ca="1"/>
      </c>
      <c r="AM896">
        <f ca="1"/>
      </c>
      <c r="AN896">
        <f ca="1"/>
      </c>
      <c r="AO896">
        <f ca="1"/>
      </c>
      <c r="AP896">
        <f ca="1"/>
      </c>
      <c r="AQ896">
        <f ca="1"/>
      </c>
      <c r="AR896">
        <f ca="1"/>
      </c>
      <c r="AT896" s="7">
        <f ca="1"/>
      </c>
      <c r="AU896">
        <f ca="1"/>
      </c>
      <c r="AV896">
        <f ca="1"/>
      </c>
      <c r="AW896">
        <f ca="1"/>
      </c>
      <c r="AX896">
        <f ca="1"/>
      </c>
      <c r="AY896">
        <f ca="1"/>
      </c>
      <c r="BA896" s="7"/>
    </row>
    <row r="897" spans="31:53" x14ac:dyDescent="0.55000000000000004">
      <c r="AE897" s="7">
        <f ca="1"/>
      </c>
      <c r="AF897">
        <f ca="1"/>
      </c>
      <c r="AG897">
        <f ca="1"/>
      </c>
      <c r="AH897">
        <f ca="1"/>
      </c>
      <c r="AI897">
        <f ca="1"/>
      </c>
      <c r="AJ897">
        <f ca="1"/>
      </c>
      <c r="AK897">
        <f ca="1"/>
      </c>
      <c r="AL897">
        <f ca="1"/>
      </c>
      <c r="AM897">
        <f ca="1"/>
      </c>
      <c r="AN897">
        <f ca="1"/>
      </c>
      <c r="AO897">
        <f ca="1"/>
      </c>
      <c r="AP897">
        <f ca="1"/>
      </c>
      <c r="AQ897">
        <f ca="1"/>
      </c>
      <c r="AR897">
        <f ca="1"/>
      </c>
      <c r="AT897" s="7">
        <f ca="1"/>
      </c>
      <c r="AU897">
        <f ca="1"/>
      </c>
      <c r="AV897">
        <f ca="1"/>
      </c>
      <c r="AW897">
        <f ca="1"/>
      </c>
      <c r="AX897">
        <f ca="1"/>
      </c>
      <c r="AY897">
        <f ca="1"/>
      </c>
      <c r="BA897" s="7"/>
    </row>
    <row r="898" spans="31:53" x14ac:dyDescent="0.55000000000000004">
      <c r="AE898" s="7">
        <f ca="1"/>
      </c>
      <c r="AF898">
        <f ca="1"/>
      </c>
      <c r="AG898">
        <f ca="1"/>
      </c>
      <c r="AH898">
        <f ca="1"/>
      </c>
      <c r="AI898">
        <f ca="1"/>
      </c>
      <c r="AJ898">
        <f ca="1"/>
      </c>
      <c r="AK898">
        <f ca="1"/>
      </c>
      <c r="AL898">
        <f ca="1"/>
      </c>
      <c r="AM898">
        <f ca="1"/>
      </c>
      <c r="AN898">
        <f ca="1"/>
      </c>
      <c r="AO898">
        <f ca="1"/>
      </c>
      <c r="AP898">
        <f ca="1"/>
      </c>
      <c r="AQ898">
        <f ca="1"/>
      </c>
      <c r="AR898">
        <f ca="1"/>
      </c>
      <c r="AT898" s="7">
        <f ca="1"/>
      </c>
      <c r="AU898">
        <f ca="1"/>
      </c>
      <c r="AV898">
        <f ca="1"/>
      </c>
      <c r="AW898">
        <f ca="1"/>
      </c>
      <c r="AX898">
        <f ca="1"/>
      </c>
      <c r="AY898">
        <f ca="1"/>
      </c>
      <c r="BA898" s="7"/>
    </row>
    <row r="899" spans="31:53" x14ac:dyDescent="0.55000000000000004">
      <c r="AE899" s="7">
        <f ca="1"/>
      </c>
      <c r="AF899">
        <f ca="1"/>
      </c>
      <c r="AG899">
        <f ca="1"/>
      </c>
      <c r="AH899">
        <f ca="1"/>
      </c>
      <c r="AI899">
        <f ca="1"/>
      </c>
      <c r="AJ899">
        <f ca="1"/>
      </c>
      <c r="AK899">
        <f ca="1"/>
      </c>
      <c r="AL899">
        <f ca="1"/>
      </c>
      <c r="AM899">
        <f ca="1"/>
      </c>
      <c r="AN899">
        <f ca="1"/>
      </c>
      <c r="AO899">
        <f ca="1"/>
      </c>
      <c r="AP899">
        <f ca="1"/>
      </c>
      <c r="AQ899">
        <f ca="1"/>
      </c>
      <c r="AR899">
        <f ca="1"/>
      </c>
      <c r="AT899" s="7">
        <f ca="1"/>
      </c>
      <c r="AU899">
        <f ca="1"/>
      </c>
      <c r="AV899">
        <f ca="1"/>
      </c>
      <c r="AW899">
        <f ca="1"/>
      </c>
      <c r="AX899">
        <f ca="1"/>
      </c>
      <c r="AY899">
        <f ca="1"/>
      </c>
      <c r="BA899" s="7"/>
    </row>
    <row r="900" spans="31:53" x14ac:dyDescent="0.55000000000000004">
      <c r="AE900" s="7">
        <f ca="1"/>
      </c>
      <c r="AF900">
        <f ca="1"/>
      </c>
      <c r="AG900">
        <f ca="1"/>
      </c>
      <c r="AH900">
        <f ca="1"/>
      </c>
      <c r="AI900">
        <f ca="1"/>
      </c>
      <c r="AJ900">
        <f ca="1"/>
      </c>
      <c r="AK900">
        <f ca="1"/>
      </c>
      <c r="AL900">
        <f ca="1"/>
      </c>
      <c r="AM900">
        <f ca="1"/>
      </c>
      <c r="AN900">
        <f ca="1"/>
      </c>
      <c r="AO900">
        <f ca="1"/>
      </c>
      <c r="AP900">
        <f ca="1"/>
      </c>
      <c r="AQ900">
        <f ca="1"/>
      </c>
      <c r="AR900">
        <f ca="1"/>
      </c>
      <c r="AT900" s="7">
        <f ca="1"/>
      </c>
      <c r="AU900">
        <f ca="1"/>
      </c>
      <c r="AV900">
        <f ca="1"/>
      </c>
      <c r="AW900">
        <f ca="1"/>
      </c>
      <c r="AX900">
        <f ca="1"/>
      </c>
      <c r="AY900">
        <f ca="1"/>
      </c>
      <c r="BA900" s="7"/>
    </row>
    <row r="901" spans="31:53" x14ac:dyDescent="0.55000000000000004">
      <c r="AE901" s="7">
        <f ca="1"/>
      </c>
      <c r="AF901">
        <f ca="1"/>
      </c>
      <c r="AG901">
        <f ca="1"/>
      </c>
      <c r="AH901">
        <f ca="1"/>
      </c>
      <c r="AI901">
        <f ca="1"/>
      </c>
      <c r="AJ901">
        <f ca="1"/>
      </c>
      <c r="AK901">
        <f ca="1"/>
      </c>
      <c r="AL901">
        <f ca="1"/>
      </c>
      <c r="AM901">
        <f ca="1"/>
      </c>
      <c r="AN901">
        <f ca="1"/>
      </c>
      <c r="AO901">
        <f ca="1"/>
      </c>
      <c r="AP901">
        <f ca="1"/>
      </c>
      <c r="AQ901">
        <f ca="1"/>
      </c>
      <c r="AR901">
        <f ca="1"/>
      </c>
      <c r="AT901" s="7">
        <f ca="1"/>
      </c>
      <c r="AU901">
        <f ca="1"/>
      </c>
      <c r="AV901">
        <f ca="1"/>
      </c>
      <c r="AW901">
        <f ca="1"/>
      </c>
      <c r="AX901">
        <f ca="1"/>
      </c>
      <c r="AY901">
        <f ca="1"/>
      </c>
      <c r="BA901" s="7"/>
    </row>
    <row r="902" spans="31:53" x14ac:dyDescent="0.55000000000000004">
      <c r="AE902" s="7">
        <f ca="1"/>
      </c>
      <c r="AF902">
        <f ca="1"/>
      </c>
      <c r="AG902">
        <f ca="1"/>
      </c>
      <c r="AH902">
        <f ca="1"/>
      </c>
      <c r="AI902">
        <f ca="1"/>
      </c>
      <c r="AJ902">
        <f ca="1"/>
      </c>
      <c r="AK902">
        <f ca="1"/>
      </c>
      <c r="AL902">
        <f ca="1"/>
      </c>
      <c r="AM902">
        <f ca="1"/>
      </c>
      <c r="AN902">
        <f ca="1"/>
      </c>
      <c r="AO902">
        <f ca="1"/>
      </c>
      <c r="AP902">
        <f ca="1"/>
      </c>
      <c r="AQ902">
        <f ca="1"/>
      </c>
      <c r="AR902">
        <f ca="1"/>
      </c>
      <c r="AT902" s="7">
        <f ca="1"/>
      </c>
      <c r="AU902">
        <f ca="1"/>
      </c>
      <c r="AV902">
        <f ca="1"/>
      </c>
      <c r="AW902">
        <f ca="1"/>
      </c>
      <c r="AX902">
        <f ca="1"/>
      </c>
      <c r="AY902">
        <f ca="1"/>
      </c>
      <c r="BA902" s="7"/>
    </row>
    <row r="903" spans="31:53" x14ac:dyDescent="0.55000000000000004">
      <c r="AE903" s="7">
        <f ca="1"/>
      </c>
      <c r="AF903">
        <f ca="1"/>
      </c>
      <c r="AG903">
        <f ca="1"/>
      </c>
      <c r="AH903">
        <f ca="1"/>
      </c>
      <c r="AI903">
        <f ca="1"/>
      </c>
      <c r="AJ903">
        <f ca="1"/>
      </c>
      <c r="AK903">
        <f ca="1"/>
      </c>
      <c r="AL903">
        <f ca="1"/>
      </c>
      <c r="AM903">
        <f ca="1"/>
      </c>
      <c r="AN903">
        <f ca="1"/>
      </c>
      <c r="AO903">
        <f ca="1"/>
      </c>
      <c r="AP903">
        <f ca="1"/>
      </c>
      <c r="AQ903">
        <f ca="1"/>
      </c>
      <c r="AR903">
        <f ca="1"/>
      </c>
      <c r="AT903" s="7">
        <f ca="1"/>
      </c>
      <c r="AU903">
        <f ca="1"/>
      </c>
      <c r="AV903">
        <f ca="1"/>
      </c>
      <c r="AW903">
        <f ca="1"/>
      </c>
      <c r="AX903">
        <f ca="1"/>
      </c>
      <c r="AY903">
        <f ca="1"/>
      </c>
      <c r="BA903" s="7"/>
    </row>
    <row r="904" spans="31:53" x14ac:dyDescent="0.55000000000000004">
      <c r="AE904" s="7">
        <f ca="1"/>
      </c>
      <c r="AF904">
        <f ca="1"/>
      </c>
      <c r="AG904">
        <f ca="1"/>
      </c>
      <c r="AH904">
        <f ca="1"/>
      </c>
      <c r="AI904">
        <f ca="1"/>
      </c>
      <c r="AJ904">
        <f ca="1"/>
      </c>
      <c r="AK904">
        <f ca="1"/>
      </c>
      <c r="AL904">
        <f ca="1"/>
      </c>
      <c r="AM904">
        <f ca="1"/>
      </c>
      <c r="AN904">
        <f ca="1"/>
      </c>
      <c r="AO904">
        <f ca="1"/>
      </c>
      <c r="AP904">
        <f ca="1"/>
      </c>
      <c r="AQ904">
        <f ca="1"/>
      </c>
      <c r="AR904">
        <f ca="1"/>
      </c>
      <c r="AT904" s="7">
        <f ca="1"/>
      </c>
      <c r="AU904">
        <f ca="1"/>
      </c>
      <c r="AV904">
        <f ca="1"/>
      </c>
      <c r="AW904">
        <f ca="1"/>
      </c>
      <c r="AX904">
        <f ca="1"/>
      </c>
      <c r="AY904">
        <f ca="1"/>
      </c>
      <c r="BA904" s="7"/>
    </row>
    <row r="905" spans="31:53" x14ac:dyDescent="0.55000000000000004">
      <c r="AE905" s="7">
        <f ca="1"/>
      </c>
      <c r="AF905">
        <f ca="1"/>
      </c>
      <c r="AG905">
        <f ca="1"/>
      </c>
      <c r="AH905">
        <f ca="1"/>
      </c>
      <c r="AI905">
        <f ca="1"/>
      </c>
      <c r="AJ905">
        <f ca="1"/>
      </c>
      <c r="AK905">
        <f ca="1"/>
      </c>
      <c r="AL905">
        <f ca="1"/>
      </c>
      <c r="AM905">
        <f ca="1"/>
      </c>
      <c r="AN905">
        <f ca="1"/>
      </c>
      <c r="AO905">
        <f ca="1"/>
      </c>
      <c r="AP905">
        <f ca="1"/>
      </c>
      <c r="AQ905">
        <f ca="1"/>
      </c>
      <c r="AR905">
        <f ca="1"/>
      </c>
      <c r="AT905" s="7">
        <f ca="1"/>
      </c>
      <c r="AU905">
        <f ca="1"/>
      </c>
      <c r="AV905">
        <f ca="1"/>
      </c>
      <c r="AW905">
        <f ca="1"/>
      </c>
      <c r="AX905">
        <f ca="1"/>
      </c>
      <c r="AY905">
        <f ca="1"/>
      </c>
      <c r="BA905" s="7"/>
    </row>
    <row r="906" spans="31:53" x14ac:dyDescent="0.55000000000000004">
      <c r="AE906" s="7">
        <f ca="1"/>
      </c>
      <c r="AF906">
        <f ca="1"/>
      </c>
      <c r="AG906">
        <f ca="1"/>
      </c>
      <c r="AH906">
        <f ca="1"/>
      </c>
      <c r="AI906">
        <f ca="1"/>
      </c>
      <c r="AJ906">
        <f ca="1"/>
      </c>
      <c r="AK906">
        <f ca="1"/>
      </c>
      <c r="AL906">
        <f ca="1"/>
      </c>
      <c r="AM906">
        <f ca="1"/>
      </c>
      <c r="AN906">
        <f ca="1"/>
      </c>
      <c r="AO906">
        <f ca="1"/>
      </c>
      <c r="AP906">
        <f ca="1"/>
      </c>
      <c r="AQ906">
        <f ca="1"/>
      </c>
      <c r="AR906">
        <f ca="1"/>
      </c>
      <c r="AT906" s="7">
        <f ca="1"/>
      </c>
      <c r="AU906">
        <f ca="1"/>
      </c>
      <c r="AV906">
        <f ca="1"/>
      </c>
      <c r="AW906">
        <f ca="1"/>
      </c>
      <c r="AX906">
        <f ca="1"/>
      </c>
      <c r="AY906">
        <f ca="1"/>
      </c>
      <c r="BA906" s="7"/>
    </row>
    <row r="907" spans="31:53" x14ac:dyDescent="0.55000000000000004">
      <c r="AE907" s="7">
        <f ca="1"/>
      </c>
      <c r="AF907">
        <f ca="1"/>
      </c>
      <c r="AG907">
        <f ca="1"/>
      </c>
      <c r="AH907">
        <f ca="1"/>
      </c>
      <c r="AI907">
        <f ca="1"/>
      </c>
      <c r="AJ907">
        <f ca="1"/>
      </c>
      <c r="AK907">
        <f ca="1"/>
      </c>
      <c r="AL907">
        <f ca="1"/>
      </c>
      <c r="AM907">
        <f ca="1"/>
      </c>
      <c r="AN907">
        <f ca="1"/>
      </c>
      <c r="AO907">
        <f ca="1"/>
      </c>
      <c r="AP907">
        <f ca="1"/>
      </c>
      <c r="AQ907">
        <f ca="1"/>
      </c>
      <c r="AR907">
        <f ca="1"/>
      </c>
      <c r="AT907" s="7">
        <f ca="1"/>
      </c>
      <c r="AU907">
        <f ca="1"/>
      </c>
      <c r="AV907">
        <f ca="1"/>
      </c>
      <c r="AW907">
        <f ca="1"/>
      </c>
      <c r="AX907">
        <f ca="1"/>
      </c>
      <c r="AY907">
        <f ca="1"/>
      </c>
      <c r="BA907" s="7"/>
    </row>
    <row r="908" spans="31:53" x14ac:dyDescent="0.55000000000000004">
      <c r="AE908" s="7">
        <f ca="1"/>
      </c>
      <c r="AF908">
        <f ca="1"/>
      </c>
      <c r="AG908">
        <f ca="1"/>
      </c>
      <c r="AH908">
        <f ca="1"/>
      </c>
      <c r="AI908">
        <f ca="1"/>
      </c>
      <c r="AJ908">
        <f ca="1"/>
      </c>
      <c r="AK908">
        <f ca="1"/>
      </c>
      <c r="AL908">
        <f ca="1"/>
      </c>
      <c r="AM908">
        <f ca="1"/>
      </c>
      <c r="AN908">
        <f ca="1"/>
      </c>
      <c r="AO908">
        <f ca="1"/>
      </c>
      <c r="AP908">
        <f ca="1"/>
      </c>
      <c r="AQ908">
        <f ca="1"/>
      </c>
      <c r="AR908">
        <f ca="1"/>
      </c>
      <c r="AT908" s="7">
        <f ca="1"/>
      </c>
      <c r="AU908">
        <f ca="1"/>
      </c>
      <c r="AV908">
        <f ca="1"/>
      </c>
      <c r="AW908">
        <f ca="1"/>
      </c>
      <c r="AX908">
        <f ca="1"/>
      </c>
      <c r="AY908">
        <f ca="1"/>
      </c>
      <c r="BA908" s="7"/>
    </row>
    <row r="909" spans="31:53" x14ac:dyDescent="0.55000000000000004">
      <c r="AE909" s="7">
        <f ca="1"/>
      </c>
      <c r="AF909">
        <f ca="1"/>
      </c>
      <c r="AG909">
        <f ca="1"/>
      </c>
      <c r="AH909">
        <f ca="1"/>
      </c>
      <c r="AI909">
        <f ca="1"/>
      </c>
      <c r="AJ909">
        <f ca="1"/>
      </c>
      <c r="AK909">
        <f ca="1"/>
      </c>
      <c r="AL909">
        <f ca="1"/>
      </c>
      <c r="AM909">
        <f ca="1"/>
      </c>
      <c r="AN909">
        <f ca="1"/>
      </c>
      <c r="AO909">
        <f ca="1"/>
      </c>
      <c r="AP909">
        <f ca="1"/>
      </c>
      <c r="AQ909">
        <f ca="1"/>
      </c>
      <c r="AR909">
        <f ca="1"/>
      </c>
      <c r="AT909" s="7">
        <f ca="1"/>
      </c>
      <c r="AU909">
        <f ca="1"/>
      </c>
      <c r="AV909">
        <f ca="1"/>
      </c>
      <c r="AW909">
        <f ca="1"/>
      </c>
      <c r="AX909">
        <f ca="1"/>
      </c>
      <c r="AY909">
        <f ca="1"/>
      </c>
      <c r="BA909" s="7"/>
    </row>
    <row r="910" spans="31:53" x14ac:dyDescent="0.55000000000000004">
      <c r="AE910" s="7">
        <f ca="1"/>
      </c>
      <c r="AF910">
        <f ca="1"/>
      </c>
      <c r="AG910">
        <f ca="1"/>
      </c>
      <c r="AH910">
        <f ca="1"/>
      </c>
      <c r="AI910">
        <f ca="1"/>
      </c>
      <c r="AJ910">
        <f ca="1"/>
      </c>
      <c r="AK910">
        <f ca="1"/>
      </c>
      <c r="AL910">
        <f ca="1"/>
      </c>
      <c r="AM910">
        <f ca="1"/>
      </c>
      <c r="AN910">
        <f ca="1"/>
      </c>
      <c r="AO910">
        <f ca="1"/>
      </c>
      <c r="AP910">
        <f ca="1"/>
      </c>
      <c r="AQ910">
        <f ca="1"/>
      </c>
      <c r="AR910">
        <f ca="1"/>
      </c>
      <c r="AT910" s="7">
        <f ca="1"/>
      </c>
      <c r="AU910">
        <f ca="1"/>
      </c>
      <c r="AV910">
        <f ca="1"/>
      </c>
      <c r="AW910">
        <f ca="1"/>
      </c>
      <c r="AX910">
        <f ca="1"/>
      </c>
      <c r="AY910">
        <f ca="1"/>
      </c>
      <c r="BA910" s="7"/>
    </row>
    <row r="911" spans="31:53" x14ac:dyDescent="0.55000000000000004">
      <c r="AE911" s="7">
        <f ca="1"/>
      </c>
      <c r="AF911">
        <f ca="1"/>
      </c>
      <c r="AG911">
        <f ca="1"/>
      </c>
      <c r="AH911">
        <f ca="1"/>
      </c>
      <c r="AI911">
        <f ca="1"/>
      </c>
      <c r="AJ911">
        <f ca="1"/>
      </c>
      <c r="AK911">
        <f ca="1"/>
      </c>
      <c r="AL911">
        <f ca="1"/>
      </c>
      <c r="AM911">
        <f ca="1"/>
      </c>
      <c r="AN911">
        <f ca="1"/>
      </c>
      <c r="AO911">
        <f ca="1"/>
      </c>
      <c r="AP911">
        <f ca="1"/>
      </c>
      <c r="AQ911">
        <f ca="1"/>
      </c>
      <c r="AR911">
        <f ca="1"/>
      </c>
      <c r="AT911" s="7">
        <f ca="1"/>
      </c>
      <c r="AU911">
        <f ca="1"/>
      </c>
      <c r="AV911">
        <f ca="1"/>
      </c>
      <c r="AW911">
        <f ca="1"/>
      </c>
      <c r="AX911">
        <f ca="1"/>
      </c>
      <c r="AY911">
        <f ca="1"/>
      </c>
      <c r="BA911" s="7"/>
    </row>
    <row r="912" spans="31:53" x14ac:dyDescent="0.55000000000000004">
      <c r="AE912" s="7">
        <f ca="1"/>
      </c>
      <c r="AF912">
        <f ca="1"/>
      </c>
      <c r="AG912">
        <f ca="1"/>
      </c>
      <c r="AH912">
        <f ca="1"/>
      </c>
      <c r="AI912">
        <f ca="1"/>
      </c>
      <c r="AJ912">
        <f ca="1"/>
      </c>
      <c r="AK912">
        <f ca="1"/>
      </c>
      <c r="AL912">
        <f ca="1"/>
      </c>
      <c r="AM912">
        <f ca="1"/>
      </c>
      <c r="AN912">
        <f ca="1"/>
      </c>
      <c r="AO912">
        <f ca="1"/>
      </c>
      <c r="AP912">
        <f ca="1"/>
      </c>
      <c r="AQ912">
        <f ca="1"/>
      </c>
      <c r="AR912">
        <f ca="1"/>
      </c>
      <c r="AT912" s="7">
        <f ca="1"/>
      </c>
      <c r="AU912">
        <f ca="1"/>
      </c>
      <c r="AV912">
        <f ca="1"/>
      </c>
      <c r="AW912">
        <f ca="1"/>
      </c>
      <c r="AX912">
        <f ca="1"/>
      </c>
      <c r="AY912">
        <f ca="1"/>
      </c>
      <c r="BA912" s="7"/>
    </row>
    <row r="913" spans="31:53" x14ac:dyDescent="0.55000000000000004">
      <c r="AE913" s="7">
        <f ca="1"/>
      </c>
      <c r="AF913">
        <f ca="1"/>
      </c>
      <c r="AG913">
        <f ca="1"/>
      </c>
      <c r="AH913">
        <f ca="1"/>
      </c>
      <c r="AI913">
        <f ca="1"/>
      </c>
      <c r="AJ913">
        <f ca="1"/>
      </c>
      <c r="AK913">
        <f ca="1"/>
      </c>
      <c r="AL913">
        <f ca="1"/>
      </c>
      <c r="AM913">
        <f ca="1"/>
      </c>
      <c r="AN913">
        <f ca="1"/>
      </c>
      <c r="AO913">
        <f ca="1"/>
      </c>
      <c r="AP913">
        <f ca="1"/>
      </c>
      <c r="AQ913">
        <f ca="1"/>
      </c>
      <c r="AR913">
        <f ca="1"/>
      </c>
      <c r="AT913" s="7">
        <f ca="1"/>
      </c>
      <c r="AU913">
        <f ca="1"/>
      </c>
      <c r="AV913">
        <f ca="1"/>
      </c>
      <c r="AW913">
        <f ca="1"/>
      </c>
      <c r="AX913">
        <f ca="1"/>
      </c>
      <c r="AY913">
        <f ca="1"/>
      </c>
      <c r="BA913" s="7"/>
    </row>
    <row r="914" spans="31:53" x14ac:dyDescent="0.55000000000000004">
      <c r="AE914" s="7">
        <f ca="1"/>
      </c>
      <c r="AF914">
        <f ca="1"/>
      </c>
      <c r="AG914">
        <f ca="1"/>
      </c>
      <c r="AH914">
        <f ca="1"/>
      </c>
      <c r="AI914">
        <f ca="1"/>
      </c>
      <c r="AJ914">
        <f ca="1"/>
      </c>
      <c r="AK914">
        <f ca="1"/>
      </c>
      <c r="AL914">
        <f ca="1"/>
      </c>
      <c r="AM914">
        <f ca="1"/>
      </c>
      <c r="AN914">
        <f ca="1"/>
      </c>
      <c r="AO914">
        <f ca="1"/>
      </c>
      <c r="AP914">
        <f ca="1"/>
      </c>
      <c r="AQ914">
        <f ca="1"/>
      </c>
      <c r="AR914">
        <f ca="1"/>
      </c>
      <c r="AT914" s="7">
        <f ca="1"/>
      </c>
      <c r="AU914">
        <f ca="1"/>
      </c>
      <c r="AV914">
        <f ca="1"/>
      </c>
      <c r="AW914">
        <f ca="1"/>
      </c>
      <c r="AX914">
        <f ca="1"/>
      </c>
      <c r="AY914">
        <f ca="1"/>
      </c>
      <c r="BA914" s="7"/>
    </row>
    <row r="915" spans="31:53" x14ac:dyDescent="0.55000000000000004">
      <c r="AE915" s="7">
        <f ca="1"/>
      </c>
      <c r="AF915">
        <f ca="1"/>
      </c>
      <c r="AG915">
        <f ca="1"/>
      </c>
      <c r="AH915">
        <f ca="1"/>
      </c>
      <c r="AI915">
        <f ca="1"/>
      </c>
      <c r="AJ915">
        <f ca="1"/>
      </c>
      <c r="AK915">
        <f ca="1"/>
      </c>
      <c r="AL915">
        <f ca="1"/>
      </c>
      <c r="AM915">
        <f ca="1"/>
      </c>
      <c r="AN915">
        <f ca="1"/>
      </c>
      <c r="AO915">
        <f ca="1"/>
      </c>
      <c r="AP915">
        <f ca="1"/>
      </c>
      <c r="AQ915">
        <f ca="1"/>
      </c>
      <c r="AR915">
        <f ca="1"/>
      </c>
      <c r="AT915" s="7">
        <f ca="1"/>
      </c>
      <c r="AU915">
        <f ca="1"/>
      </c>
      <c r="AV915">
        <f ca="1"/>
      </c>
      <c r="AW915">
        <f ca="1"/>
      </c>
      <c r="AX915">
        <f ca="1"/>
      </c>
      <c r="AY915">
        <f ca="1"/>
      </c>
      <c r="BA915" s="7"/>
    </row>
    <row r="916" spans="31:53" x14ac:dyDescent="0.55000000000000004">
      <c r="AE916" s="7">
        <f ca="1"/>
      </c>
      <c r="AF916">
        <f ca="1"/>
      </c>
      <c r="AG916">
        <f ca="1"/>
      </c>
      <c r="AH916">
        <f ca="1"/>
      </c>
      <c r="AI916">
        <f ca="1"/>
      </c>
      <c r="AJ916">
        <f ca="1"/>
      </c>
      <c r="AK916">
        <f ca="1"/>
      </c>
      <c r="AL916">
        <f ca="1"/>
      </c>
      <c r="AM916">
        <f ca="1"/>
      </c>
      <c r="AN916">
        <f ca="1"/>
      </c>
      <c r="AO916">
        <f ca="1"/>
      </c>
      <c r="AP916">
        <f ca="1"/>
      </c>
      <c r="AQ916">
        <f ca="1"/>
      </c>
      <c r="AR916">
        <f ca="1"/>
      </c>
      <c r="AT916" s="7">
        <f ca="1"/>
      </c>
      <c r="AU916">
        <f ca="1"/>
      </c>
      <c r="AV916">
        <f ca="1"/>
      </c>
      <c r="AW916">
        <f ca="1"/>
      </c>
      <c r="AX916">
        <f ca="1"/>
      </c>
      <c r="AY916">
        <f ca="1"/>
      </c>
      <c r="BA916" s="7"/>
    </row>
    <row r="917" spans="31:53" x14ac:dyDescent="0.55000000000000004">
      <c r="AE917" s="7">
        <f ca="1"/>
      </c>
      <c r="AF917">
        <f ca="1"/>
      </c>
      <c r="AG917">
        <f ca="1"/>
      </c>
      <c r="AH917">
        <f ca="1"/>
      </c>
      <c r="AI917">
        <f ca="1"/>
      </c>
      <c r="AJ917">
        <f ca="1"/>
      </c>
      <c r="AK917">
        <f ca="1"/>
      </c>
      <c r="AL917">
        <f ca="1"/>
      </c>
      <c r="AM917">
        <f ca="1"/>
      </c>
      <c r="AN917">
        <f ca="1"/>
      </c>
      <c r="AO917">
        <f ca="1"/>
      </c>
      <c r="AP917">
        <f ca="1"/>
      </c>
      <c r="AQ917">
        <f ca="1"/>
      </c>
      <c r="AR917">
        <f ca="1"/>
      </c>
      <c r="AT917" s="7">
        <f ca="1"/>
      </c>
      <c r="AU917">
        <f ca="1"/>
      </c>
      <c r="AV917">
        <f ca="1"/>
      </c>
      <c r="AW917">
        <f ca="1"/>
      </c>
      <c r="AX917">
        <f ca="1"/>
      </c>
      <c r="AY917">
        <f ca="1"/>
      </c>
      <c r="BA917" s="7"/>
    </row>
    <row r="918" spans="31:53" x14ac:dyDescent="0.55000000000000004">
      <c r="AE918" s="7">
        <f ca="1"/>
      </c>
      <c r="AF918">
        <f ca="1"/>
      </c>
      <c r="AG918">
        <f ca="1"/>
      </c>
      <c r="AH918">
        <f ca="1"/>
      </c>
      <c r="AI918">
        <f ca="1"/>
      </c>
      <c r="AJ918">
        <f ca="1"/>
      </c>
      <c r="AK918">
        <f ca="1"/>
      </c>
      <c r="AL918">
        <f ca="1"/>
      </c>
      <c r="AM918">
        <f ca="1"/>
      </c>
      <c r="AN918">
        <f ca="1"/>
      </c>
      <c r="AO918">
        <f ca="1"/>
      </c>
      <c r="AP918">
        <f ca="1"/>
      </c>
      <c r="AQ918">
        <f ca="1"/>
      </c>
      <c r="AR918">
        <f ca="1"/>
      </c>
      <c r="AT918" s="7">
        <f ca="1"/>
      </c>
      <c r="AU918">
        <f ca="1"/>
      </c>
      <c r="AV918">
        <f ca="1"/>
      </c>
      <c r="AW918">
        <f ca="1"/>
      </c>
      <c r="AX918">
        <f ca="1"/>
      </c>
      <c r="AY918">
        <f ca="1"/>
      </c>
      <c r="BA918" s="7"/>
    </row>
    <row r="919" spans="31:53" x14ac:dyDescent="0.55000000000000004">
      <c r="AE919" s="7">
        <f ca="1"/>
      </c>
      <c r="AF919">
        <f ca="1"/>
      </c>
      <c r="AG919">
        <f ca="1"/>
      </c>
      <c r="AH919">
        <f ca="1"/>
      </c>
      <c r="AI919">
        <f ca="1"/>
      </c>
      <c r="AJ919">
        <f ca="1"/>
      </c>
      <c r="AK919">
        <f ca="1"/>
      </c>
      <c r="AL919">
        <f ca="1"/>
      </c>
      <c r="AM919">
        <f ca="1"/>
      </c>
      <c r="AN919">
        <f ca="1"/>
      </c>
      <c r="AO919">
        <f ca="1"/>
      </c>
      <c r="AP919">
        <f ca="1"/>
      </c>
      <c r="AQ919">
        <f ca="1"/>
      </c>
      <c r="AR919">
        <f ca="1"/>
      </c>
      <c r="AT919" s="7">
        <f ca="1"/>
      </c>
      <c r="AU919">
        <f ca="1"/>
      </c>
      <c r="AV919">
        <f ca="1"/>
      </c>
      <c r="AW919">
        <f ca="1"/>
      </c>
      <c r="AX919">
        <f ca="1"/>
      </c>
      <c r="AY919">
        <f ca="1"/>
      </c>
      <c r="BA919" s="7"/>
    </row>
    <row r="920" spans="31:53" x14ac:dyDescent="0.55000000000000004">
      <c r="AE920" s="7">
        <f ca="1"/>
      </c>
      <c r="AF920">
        <f ca="1"/>
      </c>
      <c r="AG920">
        <f ca="1"/>
      </c>
      <c r="AH920">
        <f ca="1"/>
      </c>
      <c r="AI920">
        <f ca="1"/>
      </c>
      <c r="AJ920">
        <f ca="1"/>
      </c>
      <c r="AK920">
        <f ca="1"/>
      </c>
      <c r="AL920">
        <f ca="1"/>
      </c>
      <c r="AM920">
        <f ca="1"/>
      </c>
      <c r="AN920">
        <f ca="1"/>
      </c>
      <c r="AO920">
        <f ca="1"/>
      </c>
      <c r="AP920">
        <f ca="1"/>
      </c>
      <c r="AQ920">
        <f ca="1"/>
      </c>
      <c r="AR920">
        <f ca="1"/>
      </c>
      <c r="AT920" s="7">
        <f ca="1"/>
      </c>
      <c r="AU920">
        <f ca="1"/>
      </c>
      <c r="AV920">
        <f ca="1"/>
      </c>
      <c r="AW920">
        <f ca="1"/>
      </c>
      <c r="AX920">
        <f ca="1"/>
      </c>
      <c r="AY920">
        <f ca="1"/>
      </c>
      <c r="BA920" s="7"/>
    </row>
    <row r="921" spans="31:53" x14ac:dyDescent="0.55000000000000004">
      <c r="AE921" s="7">
        <f ca="1"/>
      </c>
      <c r="AF921">
        <f ca="1"/>
      </c>
      <c r="AG921">
        <f ca="1"/>
      </c>
      <c r="AH921">
        <f ca="1"/>
      </c>
      <c r="AI921">
        <f ca="1"/>
      </c>
      <c r="AJ921">
        <f ca="1"/>
      </c>
      <c r="AK921">
        <f ca="1"/>
      </c>
      <c r="AL921">
        <f ca="1"/>
      </c>
      <c r="AM921">
        <f ca="1"/>
      </c>
      <c r="AN921">
        <f ca="1"/>
      </c>
      <c r="AO921">
        <f ca="1"/>
      </c>
      <c r="AP921">
        <f ca="1"/>
      </c>
      <c r="AQ921">
        <f ca="1"/>
      </c>
      <c r="AR921">
        <f ca="1"/>
      </c>
      <c r="AT921" s="7">
        <f ca="1"/>
      </c>
      <c r="AU921">
        <f ca="1"/>
      </c>
      <c r="AV921">
        <f ca="1"/>
      </c>
      <c r="AW921">
        <f ca="1"/>
      </c>
      <c r="AX921">
        <f ca="1"/>
      </c>
      <c r="AY921">
        <f ca="1"/>
      </c>
      <c r="BA921" s="7"/>
    </row>
    <row r="922" spans="31:53" x14ac:dyDescent="0.55000000000000004">
      <c r="AE922" s="7">
        <f ca="1"/>
      </c>
      <c r="AF922">
        <f ca="1"/>
      </c>
      <c r="AG922">
        <f ca="1"/>
      </c>
      <c r="AH922">
        <f ca="1"/>
      </c>
      <c r="AI922">
        <f ca="1"/>
      </c>
      <c r="AJ922">
        <f ca="1"/>
      </c>
      <c r="AK922">
        <f ca="1"/>
      </c>
      <c r="AL922">
        <f ca="1"/>
      </c>
      <c r="AM922">
        <f ca="1"/>
      </c>
      <c r="AN922">
        <f ca="1"/>
      </c>
      <c r="AO922">
        <f ca="1"/>
      </c>
      <c r="AP922">
        <f ca="1"/>
      </c>
      <c r="AQ922">
        <f ca="1"/>
      </c>
      <c r="AR922">
        <f ca="1"/>
      </c>
      <c r="AT922" s="7">
        <f ca="1"/>
      </c>
      <c r="AU922">
        <f ca="1"/>
      </c>
      <c r="AV922">
        <f ca="1"/>
      </c>
      <c r="AW922">
        <f ca="1"/>
      </c>
      <c r="AX922">
        <f ca="1"/>
      </c>
      <c r="AY922">
        <f ca="1"/>
      </c>
      <c r="BA922" s="7"/>
    </row>
    <row r="923" spans="31:53" x14ac:dyDescent="0.55000000000000004">
      <c r="AE923" s="7">
        <f ca="1"/>
      </c>
      <c r="AF923">
        <f ca="1"/>
      </c>
      <c r="AG923">
        <f ca="1"/>
      </c>
      <c r="AH923">
        <f ca="1"/>
      </c>
      <c r="AI923">
        <f ca="1"/>
      </c>
      <c r="AJ923">
        <f ca="1"/>
      </c>
      <c r="AK923">
        <f ca="1"/>
      </c>
      <c r="AL923">
        <f ca="1"/>
      </c>
      <c r="AM923">
        <f ca="1"/>
      </c>
      <c r="AN923">
        <f ca="1"/>
      </c>
      <c r="AO923">
        <f ca="1"/>
      </c>
      <c r="AP923">
        <f ca="1"/>
      </c>
      <c r="AQ923">
        <f ca="1"/>
      </c>
      <c r="AR923">
        <f ca="1"/>
      </c>
      <c r="AT923" s="7">
        <f ca="1"/>
      </c>
      <c r="AU923">
        <f ca="1"/>
      </c>
      <c r="AV923">
        <f ca="1"/>
      </c>
      <c r="AW923">
        <f ca="1"/>
      </c>
      <c r="AX923">
        <f ca="1"/>
      </c>
      <c r="AY923">
        <f ca="1"/>
      </c>
      <c r="BA923" s="7"/>
    </row>
    <row r="924" spans="31:53" x14ac:dyDescent="0.55000000000000004">
      <c r="AE924" s="7">
        <f ca="1"/>
      </c>
      <c r="AF924">
        <f ca="1"/>
      </c>
      <c r="AG924">
        <f ca="1"/>
      </c>
      <c r="AH924">
        <f ca="1"/>
      </c>
      <c r="AI924">
        <f ca="1"/>
      </c>
      <c r="AJ924">
        <f ca="1"/>
      </c>
      <c r="AK924">
        <f ca="1"/>
      </c>
      <c r="AL924">
        <f ca="1"/>
      </c>
      <c r="AM924">
        <f ca="1"/>
      </c>
      <c r="AN924">
        <f ca="1"/>
      </c>
      <c r="AO924">
        <f ca="1"/>
      </c>
      <c r="AP924">
        <f ca="1"/>
      </c>
      <c r="AQ924">
        <f ca="1"/>
      </c>
      <c r="AR924">
        <f ca="1"/>
      </c>
      <c r="AT924" s="7">
        <f ca="1"/>
      </c>
      <c r="AU924">
        <f ca="1"/>
      </c>
      <c r="AV924">
        <f ca="1"/>
      </c>
      <c r="AW924">
        <f ca="1"/>
      </c>
      <c r="AX924">
        <f ca="1"/>
      </c>
      <c r="AY924">
        <f ca="1"/>
      </c>
      <c r="BA924" s="7"/>
    </row>
    <row r="925" spans="31:53" x14ac:dyDescent="0.55000000000000004">
      <c r="AE925" s="7">
        <f ca="1"/>
      </c>
      <c r="AF925">
        <f ca="1"/>
      </c>
      <c r="AG925">
        <f ca="1"/>
      </c>
      <c r="AH925">
        <f ca="1"/>
      </c>
      <c r="AI925">
        <f ca="1"/>
      </c>
      <c r="AJ925">
        <f ca="1"/>
      </c>
      <c r="AK925">
        <f ca="1"/>
      </c>
      <c r="AL925">
        <f ca="1"/>
      </c>
      <c r="AM925">
        <f ca="1"/>
      </c>
      <c r="AN925">
        <f ca="1"/>
      </c>
      <c r="AO925">
        <f ca="1"/>
      </c>
      <c r="AP925">
        <f ca="1"/>
      </c>
      <c r="AQ925">
        <f ca="1"/>
      </c>
      <c r="AR925">
        <f ca="1"/>
      </c>
      <c r="AT925" s="7">
        <f ca="1"/>
      </c>
      <c r="AU925">
        <f ca="1"/>
      </c>
      <c r="AV925">
        <f ca="1"/>
      </c>
      <c r="AW925">
        <f ca="1"/>
      </c>
      <c r="AX925">
        <f ca="1"/>
      </c>
      <c r="AY925">
        <f ca="1"/>
      </c>
      <c r="BA925" s="7"/>
    </row>
    <row r="926" spans="31:53" x14ac:dyDescent="0.55000000000000004">
      <c r="AE926" s="7">
        <f ca="1"/>
      </c>
      <c r="AF926">
        <f ca="1"/>
      </c>
      <c r="AG926">
        <f ca="1"/>
      </c>
      <c r="AH926">
        <f ca="1"/>
      </c>
      <c r="AI926">
        <f ca="1"/>
      </c>
      <c r="AJ926">
        <f ca="1"/>
      </c>
      <c r="AK926">
        <f ca="1"/>
      </c>
      <c r="AL926">
        <f ca="1"/>
      </c>
      <c r="AM926">
        <f ca="1"/>
      </c>
      <c r="AN926">
        <f ca="1"/>
      </c>
      <c r="AO926">
        <f ca="1"/>
      </c>
      <c r="AP926">
        <f ca="1"/>
      </c>
      <c r="AQ926">
        <f ca="1"/>
      </c>
      <c r="AR926">
        <f ca="1"/>
      </c>
      <c r="AT926" s="7">
        <f ca="1"/>
      </c>
      <c r="AU926">
        <f ca="1"/>
      </c>
      <c r="AV926">
        <f ca="1"/>
      </c>
      <c r="AW926">
        <f ca="1"/>
      </c>
      <c r="AX926">
        <f ca="1"/>
      </c>
      <c r="AY926">
        <f ca="1"/>
      </c>
      <c r="BA926" s="7"/>
    </row>
    <row r="927" spans="31:53" x14ac:dyDescent="0.55000000000000004">
      <c r="AE927" s="7">
        <f ca="1"/>
      </c>
      <c r="AF927">
        <f ca="1"/>
      </c>
      <c r="AG927">
        <f ca="1"/>
      </c>
      <c r="AH927">
        <f ca="1"/>
      </c>
      <c r="AI927">
        <f ca="1"/>
      </c>
      <c r="AJ927">
        <f ca="1"/>
      </c>
      <c r="AK927">
        <f ca="1"/>
      </c>
      <c r="AL927">
        <f ca="1"/>
      </c>
      <c r="AM927">
        <f ca="1"/>
      </c>
      <c r="AN927">
        <f ca="1"/>
      </c>
      <c r="AO927">
        <f ca="1"/>
      </c>
      <c r="AP927">
        <f ca="1"/>
      </c>
      <c r="AQ927">
        <f ca="1"/>
      </c>
      <c r="AR927">
        <f ca="1"/>
      </c>
      <c r="AT927" s="7">
        <f ca="1"/>
      </c>
      <c r="AU927">
        <f ca="1"/>
      </c>
      <c r="AV927">
        <f ca="1"/>
      </c>
      <c r="AW927">
        <f ca="1"/>
      </c>
      <c r="AX927">
        <f ca="1"/>
      </c>
      <c r="AY927">
        <f ca="1"/>
      </c>
      <c r="BA927" s="7"/>
    </row>
    <row r="928" spans="31:53" x14ac:dyDescent="0.55000000000000004">
      <c r="AE928" s="7">
        <f ca="1"/>
      </c>
      <c r="AF928">
        <f ca="1"/>
      </c>
      <c r="AG928">
        <f ca="1"/>
      </c>
      <c r="AH928">
        <f ca="1"/>
      </c>
      <c r="AI928">
        <f ca="1"/>
      </c>
      <c r="AJ928">
        <f ca="1"/>
      </c>
      <c r="AK928">
        <f ca="1"/>
      </c>
      <c r="AL928">
        <f ca="1"/>
      </c>
      <c r="AM928">
        <f ca="1"/>
      </c>
      <c r="AN928">
        <f ca="1"/>
      </c>
      <c r="AO928">
        <f ca="1"/>
      </c>
      <c r="AP928">
        <f ca="1"/>
      </c>
      <c r="AQ928">
        <f ca="1"/>
      </c>
      <c r="AR928">
        <f ca="1"/>
      </c>
      <c r="AT928" s="7">
        <f ca="1"/>
      </c>
      <c r="AU928">
        <f ca="1"/>
      </c>
      <c r="AV928">
        <f ca="1"/>
      </c>
      <c r="AW928">
        <f ca="1"/>
      </c>
      <c r="AX928">
        <f ca="1"/>
      </c>
      <c r="AY928">
        <f ca="1"/>
      </c>
      <c r="BA928" s="7"/>
    </row>
    <row r="929" spans="31:53" x14ac:dyDescent="0.55000000000000004">
      <c r="AE929" s="7">
        <f ca="1"/>
      </c>
      <c r="AF929">
        <f ca="1"/>
      </c>
      <c r="AG929">
        <f ca="1"/>
      </c>
      <c r="AH929">
        <f ca="1"/>
      </c>
      <c r="AI929">
        <f ca="1"/>
      </c>
      <c r="AJ929">
        <f ca="1"/>
      </c>
      <c r="AK929">
        <f ca="1"/>
      </c>
      <c r="AL929">
        <f ca="1"/>
      </c>
      <c r="AM929">
        <f ca="1"/>
      </c>
      <c r="AN929">
        <f ca="1"/>
      </c>
      <c r="AO929">
        <f ca="1"/>
      </c>
      <c r="AP929">
        <f ca="1"/>
      </c>
      <c r="AQ929">
        <f ca="1"/>
      </c>
      <c r="AR929">
        <f ca="1"/>
      </c>
      <c r="AT929" s="7">
        <f ca="1"/>
      </c>
      <c r="AU929">
        <f ca="1"/>
      </c>
      <c r="AV929">
        <f ca="1"/>
      </c>
      <c r="AW929">
        <f ca="1"/>
      </c>
      <c r="AX929">
        <f ca="1"/>
      </c>
      <c r="AY929">
        <f ca="1"/>
      </c>
      <c r="BA929" s="7"/>
    </row>
    <row r="930" spans="31:53" x14ac:dyDescent="0.55000000000000004">
      <c r="AE930" s="7">
        <f ca="1"/>
      </c>
      <c r="AF930">
        <f ca="1"/>
      </c>
      <c r="AG930">
        <f ca="1"/>
      </c>
      <c r="AH930">
        <f ca="1"/>
      </c>
      <c r="AI930">
        <f ca="1"/>
      </c>
      <c r="AJ930">
        <f ca="1"/>
      </c>
      <c r="AK930">
        <f ca="1"/>
      </c>
      <c r="AL930">
        <f ca="1"/>
      </c>
      <c r="AM930">
        <f ca="1"/>
      </c>
      <c r="AN930">
        <f ca="1"/>
      </c>
      <c r="AO930">
        <f ca="1"/>
      </c>
      <c r="AP930">
        <f ca="1"/>
      </c>
      <c r="AQ930">
        <f ca="1"/>
      </c>
      <c r="AR930">
        <f ca="1"/>
      </c>
      <c r="AT930" s="7">
        <f ca="1"/>
      </c>
      <c r="AU930">
        <f ca="1"/>
      </c>
      <c r="AV930">
        <f ca="1"/>
      </c>
      <c r="AW930">
        <f ca="1"/>
      </c>
      <c r="AX930">
        <f ca="1"/>
      </c>
      <c r="AY930">
        <f ca="1"/>
      </c>
      <c r="BA930" s="7"/>
    </row>
    <row r="931" spans="31:53" x14ac:dyDescent="0.55000000000000004">
      <c r="AE931" s="7">
        <f ca="1"/>
      </c>
      <c r="AF931">
        <f ca="1"/>
      </c>
      <c r="AG931">
        <f ca="1"/>
      </c>
      <c r="AH931">
        <f ca="1"/>
      </c>
      <c r="AI931">
        <f ca="1"/>
      </c>
      <c r="AJ931">
        <f ca="1"/>
      </c>
      <c r="AK931">
        <f ca="1"/>
      </c>
      <c r="AL931">
        <f ca="1"/>
      </c>
      <c r="AM931">
        <f ca="1"/>
      </c>
      <c r="AN931">
        <f ca="1"/>
      </c>
      <c r="AO931">
        <f ca="1"/>
      </c>
      <c r="AP931">
        <f ca="1"/>
      </c>
      <c r="AQ931">
        <f ca="1"/>
      </c>
      <c r="AR931">
        <f ca="1"/>
      </c>
      <c r="AT931" s="7">
        <f ca="1"/>
      </c>
      <c r="AU931">
        <f ca="1"/>
      </c>
      <c r="AV931">
        <f ca="1"/>
      </c>
      <c r="AW931">
        <f ca="1"/>
      </c>
      <c r="AX931">
        <f ca="1"/>
      </c>
      <c r="AY931">
        <f ca="1"/>
      </c>
      <c r="BA931" s="7"/>
    </row>
    <row r="932" spans="31:53" x14ac:dyDescent="0.55000000000000004">
      <c r="AE932" s="7">
        <f ca="1"/>
      </c>
      <c r="AF932">
        <f ca="1"/>
      </c>
      <c r="AG932">
        <f ca="1"/>
      </c>
      <c r="AH932">
        <f ca="1"/>
      </c>
      <c r="AI932">
        <f ca="1"/>
      </c>
      <c r="AJ932">
        <f ca="1"/>
      </c>
      <c r="AK932">
        <f ca="1"/>
      </c>
      <c r="AL932">
        <f ca="1"/>
      </c>
      <c r="AM932">
        <f ca="1"/>
      </c>
      <c r="AN932">
        <f ca="1"/>
      </c>
      <c r="AO932">
        <f ca="1"/>
      </c>
      <c r="AP932">
        <f ca="1"/>
      </c>
      <c r="AQ932">
        <f ca="1"/>
      </c>
      <c r="AR932">
        <f ca="1"/>
      </c>
      <c r="AT932" s="7">
        <f ca="1"/>
      </c>
      <c r="AU932">
        <f ca="1"/>
      </c>
      <c r="AV932">
        <f ca="1"/>
      </c>
      <c r="AW932">
        <f ca="1"/>
      </c>
      <c r="AX932">
        <f ca="1"/>
      </c>
      <c r="AY932">
        <f ca="1"/>
      </c>
      <c r="BA932" s="7"/>
    </row>
    <row r="933" spans="31:53" x14ac:dyDescent="0.55000000000000004">
      <c r="AE933" s="7">
        <f ca="1"/>
      </c>
      <c r="AF933">
        <f ca="1"/>
      </c>
      <c r="AG933">
        <f ca="1"/>
      </c>
      <c r="AH933">
        <f ca="1"/>
      </c>
      <c r="AI933">
        <f ca="1"/>
      </c>
      <c r="AJ933">
        <f ca="1"/>
      </c>
      <c r="AK933">
        <f ca="1"/>
      </c>
      <c r="AL933">
        <f ca="1"/>
      </c>
      <c r="AM933">
        <f ca="1"/>
      </c>
      <c r="AN933">
        <f ca="1"/>
      </c>
      <c r="AO933">
        <f ca="1"/>
      </c>
      <c r="AP933">
        <f ca="1"/>
      </c>
      <c r="AQ933">
        <f ca="1"/>
      </c>
      <c r="AR933">
        <f ca="1"/>
      </c>
      <c r="AT933" s="7">
        <f ca="1"/>
      </c>
      <c r="AU933">
        <f ca="1"/>
      </c>
      <c r="AV933">
        <f ca="1"/>
      </c>
      <c r="AW933">
        <f ca="1"/>
      </c>
      <c r="AX933">
        <f ca="1"/>
      </c>
      <c r="AY933">
        <f ca="1"/>
      </c>
      <c r="BA933" s="7"/>
    </row>
    <row r="934" spans="31:53" x14ac:dyDescent="0.55000000000000004">
      <c r="AE934" s="7">
        <f ca="1"/>
      </c>
      <c r="AF934">
        <f ca="1"/>
      </c>
      <c r="AG934">
        <f ca="1"/>
      </c>
      <c r="AH934">
        <f ca="1"/>
      </c>
      <c r="AI934">
        <f ca="1"/>
      </c>
      <c r="AJ934">
        <f ca="1"/>
      </c>
      <c r="AK934">
        <f ca="1"/>
      </c>
      <c r="AL934">
        <f ca="1"/>
      </c>
      <c r="AM934">
        <f ca="1"/>
      </c>
      <c r="AN934">
        <f ca="1"/>
      </c>
      <c r="AO934">
        <f ca="1"/>
      </c>
      <c r="AP934">
        <f ca="1"/>
      </c>
      <c r="AQ934">
        <f ca="1"/>
      </c>
      <c r="AR934">
        <f ca="1"/>
      </c>
      <c r="AT934" s="7">
        <f ca="1"/>
      </c>
      <c r="AU934">
        <f ca="1"/>
      </c>
      <c r="AV934">
        <f ca="1"/>
      </c>
      <c r="AW934">
        <f ca="1"/>
      </c>
      <c r="AX934">
        <f ca="1"/>
      </c>
      <c r="AY934">
        <f ca="1"/>
      </c>
      <c r="BA934" s="7"/>
    </row>
    <row r="935" spans="31:53" x14ac:dyDescent="0.55000000000000004">
      <c r="AE935" s="7">
        <f ca="1"/>
      </c>
      <c r="AF935">
        <f ca="1"/>
      </c>
      <c r="AG935">
        <f ca="1"/>
      </c>
      <c r="AH935">
        <f ca="1"/>
      </c>
      <c r="AI935">
        <f ca="1"/>
      </c>
      <c r="AJ935">
        <f ca="1"/>
      </c>
      <c r="AK935">
        <f ca="1"/>
      </c>
      <c r="AL935">
        <f ca="1"/>
      </c>
      <c r="AM935">
        <f ca="1"/>
      </c>
      <c r="AN935">
        <f ca="1"/>
      </c>
      <c r="AO935">
        <f ca="1"/>
      </c>
      <c r="AP935">
        <f ca="1"/>
      </c>
      <c r="AQ935">
        <f ca="1"/>
      </c>
      <c r="AR935">
        <f ca="1"/>
      </c>
      <c r="AT935" s="7">
        <f ca="1"/>
      </c>
      <c r="AU935">
        <f ca="1"/>
      </c>
      <c r="AV935">
        <f ca="1"/>
      </c>
      <c r="AW935">
        <f ca="1"/>
      </c>
      <c r="AX935">
        <f ca="1"/>
      </c>
      <c r="AY935">
        <f ca="1"/>
      </c>
      <c r="BA935" s="7"/>
    </row>
    <row r="936" spans="31:53" x14ac:dyDescent="0.55000000000000004">
      <c r="AE936" s="7">
        <f ca="1"/>
      </c>
      <c r="AF936">
        <f ca="1"/>
      </c>
      <c r="AG936">
        <f ca="1"/>
      </c>
      <c r="AH936">
        <f ca="1"/>
      </c>
      <c r="AI936">
        <f ca="1"/>
      </c>
      <c r="AJ936">
        <f ca="1"/>
      </c>
      <c r="AK936">
        <f ca="1"/>
      </c>
      <c r="AL936">
        <f ca="1"/>
      </c>
      <c r="AM936">
        <f ca="1"/>
      </c>
      <c r="AN936">
        <f ca="1"/>
      </c>
      <c r="AO936">
        <f ca="1"/>
      </c>
      <c r="AP936">
        <f ca="1"/>
      </c>
      <c r="AQ936">
        <f ca="1"/>
      </c>
      <c r="AR936">
        <f ca="1"/>
      </c>
      <c r="AT936" s="7">
        <f ca="1"/>
      </c>
      <c r="AU936">
        <f ca="1"/>
      </c>
      <c r="AV936">
        <f ca="1"/>
      </c>
      <c r="AW936">
        <f ca="1"/>
      </c>
      <c r="AX936">
        <f ca="1"/>
      </c>
      <c r="AY936">
        <f ca="1"/>
      </c>
      <c r="BA936" s="7"/>
    </row>
    <row r="937" spans="31:53" x14ac:dyDescent="0.55000000000000004">
      <c r="AE937" s="7">
        <f ca="1"/>
      </c>
      <c r="AF937">
        <f ca="1"/>
      </c>
      <c r="AG937">
        <f ca="1"/>
      </c>
      <c r="AH937">
        <f ca="1"/>
      </c>
      <c r="AI937">
        <f ca="1"/>
      </c>
      <c r="AJ937">
        <f ca="1"/>
      </c>
      <c r="AK937">
        <f ca="1"/>
      </c>
      <c r="AL937">
        <f ca="1"/>
      </c>
      <c r="AM937">
        <f ca="1"/>
      </c>
      <c r="AN937">
        <f ca="1"/>
      </c>
      <c r="AO937">
        <f ca="1"/>
      </c>
      <c r="AP937">
        <f ca="1"/>
      </c>
      <c r="AQ937">
        <f ca="1"/>
      </c>
      <c r="AR937">
        <f ca="1"/>
      </c>
      <c r="AT937" s="7">
        <f ca="1"/>
      </c>
      <c r="AU937">
        <f ca="1"/>
      </c>
      <c r="AV937">
        <f ca="1"/>
      </c>
      <c r="AW937">
        <f ca="1"/>
      </c>
      <c r="AX937">
        <f ca="1"/>
      </c>
      <c r="AY937">
        <f ca="1"/>
      </c>
      <c r="BA937" s="7"/>
    </row>
    <row r="938" spans="31:53" x14ac:dyDescent="0.55000000000000004">
      <c r="AE938" s="7">
        <f ca="1"/>
      </c>
      <c r="AF938">
        <f ca="1"/>
      </c>
      <c r="AG938">
        <f ca="1"/>
      </c>
      <c r="AH938">
        <f ca="1"/>
      </c>
      <c r="AI938">
        <f ca="1"/>
      </c>
      <c r="AJ938">
        <f ca="1"/>
      </c>
      <c r="AK938">
        <f ca="1"/>
      </c>
      <c r="AL938">
        <f ca="1"/>
      </c>
      <c r="AM938">
        <f ca="1"/>
      </c>
      <c r="AN938">
        <f ca="1"/>
      </c>
      <c r="AO938">
        <f ca="1"/>
      </c>
      <c r="AP938">
        <f ca="1"/>
      </c>
      <c r="AQ938">
        <f ca="1"/>
      </c>
      <c r="AR938">
        <f ca="1"/>
      </c>
      <c r="AT938" s="7">
        <f ca="1"/>
      </c>
      <c r="AU938">
        <f ca="1"/>
      </c>
      <c r="AV938">
        <f ca="1"/>
      </c>
      <c r="AW938">
        <f ca="1"/>
      </c>
      <c r="AX938">
        <f ca="1"/>
      </c>
      <c r="AY938">
        <f ca="1"/>
      </c>
      <c r="BA938" s="7"/>
    </row>
    <row r="939" spans="31:53" x14ac:dyDescent="0.55000000000000004">
      <c r="AE939" s="7">
        <f ca="1"/>
      </c>
      <c r="AF939">
        <f ca="1"/>
      </c>
      <c r="AG939">
        <f ca="1"/>
      </c>
      <c r="AH939">
        <f ca="1"/>
      </c>
      <c r="AI939">
        <f ca="1"/>
      </c>
      <c r="AJ939">
        <f ca="1"/>
      </c>
      <c r="AK939">
        <f ca="1"/>
      </c>
      <c r="AL939">
        <f ca="1"/>
      </c>
      <c r="AM939">
        <f ca="1"/>
      </c>
      <c r="AN939">
        <f ca="1"/>
      </c>
      <c r="AO939">
        <f ca="1"/>
      </c>
      <c r="AP939">
        <f ca="1"/>
      </c>
      <c r="AQ939">
        <f ca="1"/>
      </c>
      <c r="AR939">
        <f ca="1"/>
      </c>
      <c r="AT939" s="7">
        <f ca="1"/>
      </c>
      <c r="AU939">
        <f ca="1"/>
      </c>
      <c r="AV939">
        <f ca="1"/>
      </c>
      <c r="AW939">
        <f ca="1"/>
      </c>
      <c r="AX939">
        <f ca="1"/>
      </c>
      <c r="AY939">
        <f ca="1"/>
      </c>
      <c r="BA939" s="7"/>
    </row>
    <row r="940" spans="31:53" x14ac:dyDescent="0.55000000000000004">
      <c r="AE940" s="7">
        <f ca="1"/>
      </c>
      <c r="AF940">
        <f ca="1"/>
      </c>
      <c r="AG940">
        <f ca="1"/>
      </c>
      <c r="AH940">
        <f ca="1"/>
      </c>
      <c r="AI940">
        <f ca="1"/>
      </c>
      <c r="AJ940">
        <f ca="1"/>
      </c>
      <c r="AK940">
        <f ca="1"/>
      </c>
      <c r="AL940">
        <f ca="1"/>
      </c>
      <c r="AM940">
        <f ca="1"/>
      </c>
      <c r="AN940">
        <f ca="1"/>
      </c>
      <c r="AO940">
        <f ca="1"/>
      </c>
      <c r="AP940">
        <f ca="1"/>
      </c>
      <c r="AQ940">
        <f ca="1"/>
      </c>
      <c r="AR940">
        <f ca="1"/>
      </c>
      <c r="AT940" s="7">
        <f ca="1"/>
      </c>
      <c r="AU940">
        <f ca="1"/>
      </c>
      <c r="AV940">
        <f ca="1"/>
      </c>
      <c r="AW940">
        <f ca="1"/>
      </c>
      <c r="AX940">
        <f ca="1"/>
      </c>
      <c r="AY940">
        <f ca="1"/>
      </c>
      <c r="BA940" s="7"/>
    </row>
    <row r="941" spans="31:53" x14ac:dyDescent="0.55000000000000004">
      <c r="AE941" s="7">
        <f ca="1"/>
      </c>
      <c r="AF941">
        <f ca="1"/>
      </c>
      <c r="AG941">
        <f ca="1"/>
      </c>
      <c r="AH941">
        <f ca="1"/>
      </c>
      <c r="AI941">
        <f ca="1"/>
      </c>
      <c r="AJ941">
        <f ca="1"/>
      </c>
      <c r="AK941">
        <f ca="1"/>
      </c>
      <c r="AL941">
        <f ca="1"/>
      </c>
      <c r="AM941">
        <f ca="1"/>
      </c>
      <c r="AN941">
        <f ca="1"/>
      </c>
      <c r="AO941">
        <f ca="1"/>
      </c>
      <c r="AP941">
        <f ca="1"/>
      </c>
      <c r="AQ941">
        <f ca="1"/>
      </c>
      <c r="AR941">
        <f ca="1"/>
      </c>
      <c r="AT941" s="7">
        <f ca="1"/>
      </c>
      <c r="AU941">
        <f ca="1"/>
      </c>
      <c r="AV941">
        <f ca="1"/>
      </c>
      <c r="AW941">
        <f ca="1"/>
      </c>
      <c r="AX941">
        <f ca="1"/>
      </c>
      <c r="AY941">
        <f ca="1"/>
      </c>
      <c r="BA941" s="7"/>
    </row>
    <row r="942" spans="31:53" x14ac:dyDescent="0.55000000000000004">
      <c r="AE942" s="7">
        <f ca="1"/>
      </c>
      <c r="AF942">
        <f ca="1"/>
      </c>
      <c r="AG942">
        <f ca="1"/>
      </c>
      <c r="AH942">
        <f ca="1"/>
      </c>
      <c r="AI942">
        <f ca="1"/>
      </c>
      <c r="AJ942">
        <f ca="1"/>
      </c>
      <c r="AK942">
        <f ca="1"/>
      </c>
      <c r="AL942">
        <f ca="1"/>
      </c>
      <c r="AM942">
        <f ca="1"/>
      </c>
      <c r="AN942">
        <f ca="1"/>
      </c>
      <c r="AO942">
        <f ca="1"/>
      </c>
      <c r="AP942">
        <f ca="1"/>
      </c>
      <c r="AQ942">
        <f ca="1"/>
      </c>
      <c r="AR942">
        <f ca="1"/>
      </c>
      <c r="AT942" s="7">
        <f ca="1"/>
      </c>
      <c r="AU942">
        <f ca="1"/>
      </c>
      <c r="AV942">
        <f ca="1"/>
      </c>
      <c r="AW942">
        <f ca="1"/>
      </c>
      <c r="AX942">
        <f ca="1"/>
      </c>
      <c r="AY942">
        <f ca="1"/>
      </c>
      <c r="BA942" s="7"/>
    </row>
    <row r="943" spans="31:53" x14ac:dyDescent="0.55000000000000004">
      <c r="AE943" s="7">
        <f ca="1"/>
      </c>
      <c r="AF943">
        <f ca="1"/>
      </c>
      <c r="AG943">
        <f ca="1"/>
      </c>
      <c r="AH943">
        <f ca="1"/>
      </c>
      <c r="AI943">
        <f ca="1"/>
      </c>
      <c r="AJ943">
        <f ca="1"/>
      </c>
      <c r="AK943">
        <f ca="1"/>
      </c>
      <c r="AL943">
        <f ca="1"/>
      </c>
      <c r="AM943">
        <f ca="1"/>
      </c>
      <c r="AN943">
        <f ca="1"/>
      </c>
      <c r="AO943">
        <f ca="1"/>
      </c>
      <c r="AP943">
        <f ca="1"/>
      </c>
      <c r="AQ943">
        <f ca="1"/>
      </c>
      <c r="AR943">
        <f ca="1"/>
      </c>
      <c r="AT943" s="7">
        <f ca="1"/>
      </c>
      <c r="AU943">
        <f ca="1"/>
      </c>
      <c r="AV943">
        <f ca="1"/>
      </c>
      <c r="AW943">
        <f ca="1"/>
      </c>
      <c r="AX943">
        <f ca="1"/>
      </c>
      <c r="AY943">
        <f ca="1"/>
      </c>
      <c r="BA943" s="7"/>
    </row>
    <row r="944" spans="31:53" x14ac:dyDescent="0.55000000000000004">
      <c r="AE944" s="7">
        <f ca="1"/>
      </c>
      <c r="AF944">
        <f ca="1"/>
      </c>
      <c r="AG944">
        <f ca="1"/>
      </c>
      <c r="AH944">
        <f ca="1"/>
      </c>
      <c r="AI944">
        <f ca="1"/>
      </c>
      <c r="AJ944">
        <f ca="1"/>
      </c>
      <c r="AK944">
        <f ca="1"/>
      </c>
      <c r="AL944">
        <f ca="1"/>
      </c>
      <c r="AM944">
        <f ca="1"/>
      </c>
      <c r="AN944">
        <f ca="1"/>
      </c>
      <c r="AO944">
        <f ca="1"/>
      </c>
      <c r="AP944">
        <f ca="1"/>
      </c>
      <c r="AQ944">
        <f ca="1"/>
      </c>
      <c r="AR944">
        <f ca="1"/>
      </c>
      <c r="AT944" s="7">
        <f ca="1"/>
      </c>
      <c r="AU944">
        <f ca="1"/>
      </c>
      <c r="AV944">
        <f ca="1"/>
      </c>
      <c r="AW944">
        <f ca="1"/>
      </c>
      <c r="AX944">
        <f ca="1"/>
      </c>
      <c r="AY944">
        <f ca="1"/>
      </c>
      <c r="BA944" s="7"/>
    </row>
    <row r="945" spans="31:53" x14ac:dyDescent="0.55000000000000004">
      <c r="AE945" s="7">
        <f ca="1"/>
      </c>
      <c r="AF945">
        <f ca="1"/>
      </c>
      <c r="AG945">
        <f ca="1"/>
      </c>
      <c r="AH945">
        <f ca="1"/>
      </c>
      <c r="AI945">
        <f ca="1"/>
      </c>
      <c r="AJ945">
        <f ca="1"/>
      </c>
      <c r="AK945">
        <f ca="1"/>
      </c>
      <c r="AL945">
        <f ca="1"/>
      </c>
      <c r="AM945">
        <f ca="1"/>
      </c>
      <c r="AN945">
        <f ca="1"/>
      </c>
      <c r="AO945">
        <f ca="1"/>
      </c>
      <c r="AP945">
        <f ca="1"/>
      </c>
      <c r="AQ945">
        <f ca="1"/>
      </c>
      <c r="AR945">
        <f ca="1"/>
      </c>
      <c r="AT945" s="7">
        <f ca="1"/>
      </c>
      <c r="AU945">
        <f ca="1"/>
      </c>
      <c r="AV945">
        <f ca="1"/>
      </c>
      <c r="AW945">
        <f ca="1"/>
      </c>
      <c r="AX945">
        <f ca="1"/>
      </c>
      <c r="AY945">
        <f ca="1"/>
      </c>
      <c r="BA945" s="7"/>
    </row>
    <row r="946" spans="31:53" x14ac:dyDescent="0.55000000000000004">
      <c r="AE946" s="7">
        <f ca="1"/>
      </c>
      <c r="AF946">
        <f ca="1"/>
      </c>
      <c r="AG946">
        <f ca="1"/>
      </c>
      <c r="AH946">
        <f ca="1"/>
      </c>
      <c r="AI946">
        <f ca="1"/>
      </c>
      <c r="AJ946">
        <f ca="1"/>
      </c>
      <c r="AK946">
        <f ca="1"/>
      </c>
      <c r="AL946">
        <f ca="1"/>
      </c>
      <c r="AM946">
        <f ca="1"/>
      </c>
      <c r="AN946">
        <f ca="1"/>
      </c>
      <c r="AO946">
        <f ca="1"/>
      </c>
      <c r="AP946">
        <f ca="1"/>
      </c>
      <c r="AQ946">
        <f ca="1"/>
      </c>
      <c r="AR946">
        <f ca="1"/>
      </c>
      <c r="AT946" s="7">
        <f ca="1"/>
      </c>
      <c r="AU946">
        <f ca="1"/>
      </c>
      <c r="AV946">
        <f ca="1"/>
      </c>
      <c r="AW946">
        <f ca="1"/>
      </c>
      <c r="AX946">
        <f ca="1"/>
      </c>
      <c r="AY946">
        <f ca="1"/>
      </c>
      <c r="BA946" s="7"/>
    </row>
    <row r="947" spans="31:53" x14ac:dyDescent="0.55000000000000004">
      <c r="AE947" s="7">
        <f ca="1"/>
      </c>
      <c r="AF947">
        <f ca="1"/>
      </c>
      <c r="AG947">
        <f ca="1"/>
      </c>
      <c r="AH947">
        <f ca="1"/>
      </c>
      <c r="AI947">
        <f ca="1"/>
      </c>
      <c r="AJ947">
        <f ca="1"/>
      </c>
      <c r="AK947">
        <f ca="1"/>
      </c>
      <c r="AL947">
        <f ca="1"/>
      </c>
      <c r="AM947">
        <f ca="1"/>
      </c>
      <c r="AN947">
        <f ca="1"/>
      </c>
      <c r="AO947">
        <f ca="1"/>
      </c>
      <c r="AP947">
        <f ca="1"/>
      </c>
      <c r="AQ947">
        <f ca="1"/>
      </c>
      <c r="AR947">
        <f ca="1"/>
      </c>
      <c r="AT947" s="7">
        <f ca="1"/>
      </c>
      <c r="AU947">
        <f ca="1"/>
      </c>
      <c r="AV947">
        <f ca="1"/>
      </c>
      <c r="AW947">
        <f ca="1"/>
      </c>
      <c r="AX947">
        <f ca="1"/>
      </c>
      <c r="AY947">
        <f ca="1"/>
      </c>
      <c r="BA947" s="7"/>
    </row>
    <row r="948" spans="31:53" x14ac:dyDescent="0.55000000000000004">
      <c r="AE948" s="7">
        <f ca="1"/>
      </c>
      <c r="AF948">
        <f ca="1"/>
      </c>
      <c r="AG948">
        <f ca="1"/>
      </c>
      <c r="AH948">
        <f ca="1"/>
      </c>
      <c r="AI948">
        <f ca="1"/>
      </c>
      <c r="AJ948">
        <f ca="1"/>
      </c>
      <c r="AK948">
        <f ca="1"/>
      </c>
      <c r="AL948">
        <f ca="1"/>
      </c>
      <c r="AM948">
        <f ca="1"/>
      </c>
      <c r="AN948">
        <f ca="1"/>
      </c>
      <c r="AO948">
        <f ca="1"/>
      </c>
      <c r="AP948">
        <f ca="1"/>
      </c>
      <c r="AQ948">
        <f ca="1"/>
      </c>
      <c r="AR948">
        <f ca="1"/>
      </c>
      <c r="AT948" s="7">
        <f ca="1"/>
      </c>
      <c r="AU948">
        <f ca="1"/>
      </c>
      <c r="AV948">
        <f ca="1"/>
      </c>
      <c r="AW948">
        <f ca="1"/>
      </c>
      <c r="AX948">
        <f ca="1"/>
      </c>
      <c r="AY948">
        <f ca="1"/>
      </c>
      <c r="BA948" s="7"/>
    </row>
    <row r="949" spans="31:53" x14ac:dyDescent="0.55000000000000004">
      <c r="AE949" s="7">
        <f ca="1"/>
      </c>
      <c r="AF949">
        <f ca="1"/>
      </c>
      <c r="AG949">
        <f ca="1"/>
      </c>
      <c r="AH949">
        <f ca="1"/>
      </c>
      <c r="AI949">
        <f ca="1"/>
      </c>
      <c r="AJ949">
        <f ca="1"/>
      </c>
      <c r="AK949">
        <f ca="1"/>
      </c>
      <c r="AL949">
        <f ca="1"/>
      </c>
      <c r="AM949">
        <f ca="1"/>
      </c>
      <c r="AN949">
        <f ca="1"/>
      </c>
      <c r="AO949">
        <f ca="1"/>
      </c>
      <c r="AP949">
        <f ca="1"/>
      </c>
      <c r="AQ949">
        <f ca="1"/>
      </c>
      <c r="AR949">
        <f ca="1"/>
      </c>
      <c r="AT949" s="7">
        <f ca="1"/>
      </c>
      <c r="AU949">
        <f ca="1"/>
      </c>
      <c r="AV949">
        <f ca="1"/>
      </c>
      <c r="AW949">
        <f ca="1"/>
      </c>
      <c r="AX949">
        <f ca="1"/>
      </c>
      <c r="AY949">
        <f ca="1"/>
      </c>
      <c r="BA949" s="7"/>
    </row>
    <row r="950" spans="31:53" x14ac:dyDescent="0.55000000000000004">
      <c r="AE950" s="7">
        <f ca="1"/>
      </c>
      <c r="AF950">
        <f ca="1"/>
      </c>
      <c r="AG950">
        <f ca="1"/>
      </c>
      <c r="AH950">
        <f ca="1"/>
      </c>
      <c r="AI950">
        <f ca="1"/>
      </c>
      <c r="AJ950">
        <f ca="1"/>
      </c>
      <c r="AK950">
        <f ca="1"/>
      </c>
      <c r="AL950">
        <f ca="1"/>
      </c>
      <c r="AM950">
        <f ca="1"/>
      </c>
      <c r="AN950">
        <f ca="1"/>
      </c>
      <c r="AO950">
        <f ca="1"/>
      </c>
      <c r="AP950">
        <f ca="1"/>
      </c>
      <c r="AQ950">
        <f ca="1"/>
      </c>
      <c r="AR950">
        <f ca="1"/>
      </c>
      <c r="AT950" s="7">
        <f ca="1"/>
      </c>
      <c r="AU950">
        <f ca="1"/>
      </c>
      <c r="AV950">
        <f ca="1"/>
      </c>
      <c r="AW950">
        <f ca="1"/>
      </c>
      <c r="AX950">
        <f ca="1"/>
      </c>
      <c r="AY950">
        <f ca="1"/>
      </c>
      <c r="BA950" s="7"/>
    </row>
    <row r="951" spans="31:53" x14ac:dyDescent="0.55000000000000004">
      <c r="AE951" s="7">
        <f ca="1"/>
      </c>
      <c r="AF951">
        <f ca="1"/>
      </c>
      <c r="AG951">
        <f ca="1"/>
      </c>
      <c r="AH951">
        <f ca="1"/>
      </c>
      <c r="AI951">
        <f ca="1"/>
      </c>
      <c r="AJ951">
        <f ca="1"/>
      </c>
      <c r="AK951">
        <f ca="1"/>
      </c>
      <c r="AL951">
        <f ca="1"/>
      </c>
      <c r="AM951">
        <f ca="1"/>
      </c>
      <c r="AN951">
        <f ca="1"/>
      </c>
      <c r="AO951">
        <f ca="1"/>
      </c>
      <c r="AP951">
        <f ca="1"/>
      </c>
      <c r="AQ951">
        <f ca="1"/>
      </c>
      <c r="AR951">
        <f ca="1"/>
      </c>
      <c r="AT951" s="7">
        <f ca="1"/>
      </c>
      <c r="AU951">
        <f ca="1"/>
      </c>
      <c r="AV951">
        <f ca="1"/>
      </c>
      <c r="AW951">
        <f ca="1"/>
      </c>
      <c r="AX951">
        <f ca="1"/>
      </c>
      <c r="AY951">
        <f ca="1"/>
      </c>
      <c r="BA951" s="7"/>
    </row>
    <row r="952" spans="31:53" x14ac:dyDescent="0.55000000000000004">
      <c r="AE952" s="7">
        <f ca="1"/>
      </c>
      <c r="AF952">
        <f ca="1"/>
      </c>
      <c r="AG952">
        <f ca="1"/>
      </c>
      <c r="AH952">
        <f ca="1"/>
      </c>
      <c r="AI952">
        <f ca="1"/>
      </c>
      <c r="AJ952">
        <f ca="1"/>
      </c>
      <c r="AK952">
        <f ca="1"/>
      </c>
      <c r="AL952">
        <f ca="1"/>
      </c>
      <c r="AM952">
        <f ca="1"/>
      </c>
      <c r="AN952">
        <f ca="1"/>
      </c>
      <c r="AO952">
        <f ca="1"/>
      </c>
      <c r="AP952">
        <f ca="1"/>
      </c>
      <c r="AQ952">
        <f ca="1"/>
      </c>
      <c r="AR952">
        <f ca="1"/>
      </c>
      <c r="AT952" s="7">
        <f ca="1"/>
      </c>
      <c r="AU952">
        <f ca="1"/>
      </c>
      <c r="AV952">
        <f ca="1"/>
      </c>
      <c r="AW952">
        <f ca="1"/>
      </c>
      <c r="AX952">
        <f ca="1"/>
      </c>
      <c r="AY952">
        <f ca="1"/>
      </c>
      <c r="BA952" s="7"/>
    </row>
    <row r="953" spans="31:53" x14ac:dyDescent="0.55000000000000004">
      <c r="AE953" s="7">
        <f ca="1"/>
      </c>
      <c r="AF953">
        <f ca="1"/>
      </c>
      <c r="AG953">
        <f ca="1"/>
      </c>
      <c r="AH953">
        <f ca="1"/>
      </c>
      <c r="AI953">
        <f ca="1"/>
      </c>
      <c r="AJ953">
        <f ca="1"/>
      </c>
      <c r="AK953">
        <f ca="1"/>
      </c>
      <c r="AL953">
        <f ca="1"/>
      </c>
      <c r="AM953">
        <f ca="1"/>
      </c>
      <c r="AN953">
        <f ca="1"/>
      </c>
      <c r="AO953">
        <f ca="1"/>
      </c>
      <c r="AP953">
        <f ca="1"/>
      </c>
      <c r="AQ953">
        <f ca="1"/>
      </c>
      <c r="AR953">
        <f ca="1"/>
      </c>
      <c r="AT953" s="7">
        <f ca="1"/>
      </c>
      <c r="AU953">
        <f ca="1"/>
      </c>
      <c r="AV953">
        <f ca="1"/>
      </c>
      <c r="AW953">
        <f ca="1"/>
      </c>
      <c r="AX953">
        <f ca="1"/>
      </c>
      <c r="AY953">
        <f ca="1"/>
      </c>
      <c r="BA953" s="7"/>
    </row>
    <row r="954" spans="31:53" x14ac:dyDescent="0.55000000000000004">
      <c r="AE954" s="7">
        <f ca="1"/>
      </c>
      <c r="AF954">
        <f ca="1"/>
      </c>
      <c r="AG954">
        <f ca="1"/>
      </c>
      <c r="AH954">
        <f ca="1"/>
      </c>
      <c r="AI954">
        <f ca="1"/>
      </c>
      <c r="AJ954">
        <f ca="1"/>
      </c>
      <c r="AK954">
        <f ca="1"/>
      </c>
      <c r="AL954">
        <f ca="1"/>
      </c>
      <c r="AM954">
        <f ca="1"/>
      </c>
      <c r="AN954">
        <f ca="1"/>
      </c>
      <c r="AO954">
        <f ca="1"/>
      </c>
      <c r="AP954">
        <f ca="1"/>
      </c>
      <c r="AQ954">
        <f ca="1"/>
      </c>
      <c r="AR954">
        <f ca="1"/>
      </c>
      <c r="AT954" s="7">
        <f ca="1"/>
      </c>
      <c r="AU954">
        <f ca="1"/>
      </c>
      <c r="AV954">
        <f ca="1"/>
      </c>
      <c r="AW954">
        <f ca="1"/>
      </c>
      <c r="AX954">
        <f ca="1"/>
      </c>
      <c r="AY954">
        <f ca="1"/>
      </c>
      <c r="BA954" s="7"/>
    </row>
    <row r="955" spans="31:53" x14ac:dyDescent="0.55000000000000004">
      <c r="AE955" s="7">
        <f ca="1"/>
      </c>
      <c r="AF955">
        <f ca="1"/>
      </c>
      <c r="AG955">
        <f ca="1"/>
      </c>
      <c r="AH955">
        <f ca="1"/>
      </c>
      <c r="AI955">
        <f ca="1"/>
      </c>
      <c r="AJ955">
        <f ca="1"/>
      </c>
      <c r="AK955">
        <f ca="1"/>
      </c>
      <c r="AL955">
        <f ca="1"/>
      </c>
      <c r="AM955">
        <f ca="1"/>
      </c>
      <c r="AN955">
        <f ca="1"/>
      </c>
      <c r="AO955">
        <f ca="1"/>
      </c>
      <c r="AP955">
        <f ca="1"/>
      </c>
      <c r="AQ955">
        <f ca="1"/>
      </c>
      <c r="AR955">
        <f ca="1"/>
      </c>
      <c r="AT955" s="7">
        <f ca="1"/>
      </c>
      <c r="AU955">
        <f ca="1"/>
      </c>
      <c r="AV955">
        <f ca="1"/>
      </c>
      <c r="AW955">
        <f ca="1"/>
      </c>
      <c r="AX955">
        <f ca="1"/>
      </c>
      <c r="AY955">
        <f ca="1"/>
      </c>
      <c r="BA955" s="7"/>
    </row>
    <row r="956" spans="31:53" x14ac:dyDescent="0.55000000000000004">
      <c r="AE956" s="7">
        <f ca="1"/>
      </c>
      <c r="AF956">
        <f ca="1"/>
      </c>
      <c r="AG956">
        <f ca="1"/>
      </c>
      <c r="AH956">
        <f ca="1"/>
      </c>
      <c r="AI956">
        <f ca="1"/>
      </c>
      <c r="AJ956">
        <f ca="1"/>
      </c>
      <c r="AK956">
        <f ca="1"/>
      </c>
      <c r="AL956">
        <f ca="1"/>
      </c>
      <c r="AM956">
        <f ca="1"/>
      </c>
      <c r="AN956">
        <f ca="1"/>
      </c>
      <c r="AO956">
        <f ca="1"/>
      </c>
      <c r="AP956">
        <f ca="1"/>
      </c>
      <c r="AQ956">
        <f ca="1"/>
      </c>
      <c r="AR956">
        <f ca="1"/>
      </c>
      <c r="AT956" s="7">
        <f ca="1"/>
      </c>
      <c r="AU956">
        <f ca="1"/>
      </c>
      <c r="AV956">
        <f ca="1"/>
      </c>
      <c r="AW956">
        <f ca="1"/>
      </c>
      <c r="AX956">
        <f ca="1"/>
      </c>
      <c r="AY956">
        <f ca="1"/>
      </c>
      <c r="BA956" s="7"/>
    </row>
    <row r="957" spans="31:53" x14ac:dyDescent="0.55000000000000004">
      <c r="AE957" s="7">
        <f ca="1"/>
      </c>
      <c r="AF957">
        <f ca="1"/>
      </c>
      <c r="AG957">
        <f ca="1"/>
      </c>
      <c r="AH957">
        <f ca="1"/>
      </c>
      <c r="AI957">
        <f ca="1"/>
      </c>
      <c r="AJ957">
        <f ca="1"/>
      </c>
      <c r="AK957">
        <f ca="1"/>
      </c>
      <c r="AL957">
        <f ca="1"/>
      </c>
      <c r="AM957">
        <f ca="1"/>
      </c>
      <c r="AN957">
        <f ca="1"/>
      </c>
      <c r="AO957">
        <f ca="1"/>
      </c>
      <c r="AP957">
        <f ca="1"/>
      </c>
      <c r="AQ957">
        <f ca="1"/>
      </c>
      <c r="AR957">
        <f ca="1"/>
      </c>
      <c r="AT957" s="7">
        <f ca="1"/>
      </c>
      <c r="AU957">
        <f ca="1"/>
      </c>
      <c r="AV957">
        <f ca="1"/>
      </c>
      <c r="AW957">
        <f ca="1"/>
      </c>
      <c r="AX957">
        <f ca="1"/>
      </c>
      <c r="AY957">
        <f ca="1"/>
      </c>
      <c r="BA957" s="7"/>
    </row>
    <row r="958" spans="31:53" x14ac:dyDescent="0.55000000000000004">
      <c r="AE958" s="7">
        <f ca="1"/>
      </c>
      <c r="AF958">
        <f ca="1"/>
      </c>
      <c r="AG958">
        <f ca="1"/>
      </c>
      <c r="AH958">
        <f ca="1"/>
      </c>
      <c r="AI958">
        <f ca="1"/>
      </c>
      <c r="AJ958">
        <f ca="1"/>
      </c>
      <c r="AK958">
        <f ca="1"/>
      </c>
      <c r="AL958">
        <f ca="1"/>
      </c>
      <c r="AM958">
        <f ca="1"/>
      </c>
      <c r="AN958">
        <f ca="1"/>
      </c>
      <c r="AO958">
        <f ca="1"/>
      </c>
      <c r="AP958">
        <f ca="1"/>
      </c>
      <c r="AQ958">
        <f ca="1"/>
      </c>
      <c r="AR958">
        <f ca="1"/>
      </c>
      <c r="AT958" s="7">
        <f ca="1"/>
      </c>
      <c r="AU958">
        <f ca="1"/>
      </c>
      <c r="AV958">
        <f ca="1"/>
      </c>
      <c r="AW958">
        <f ca="1"/>
      </c>
      <c r="AX958">
        <f ca="1"/>
      </c>
      <c r="AY958">
        <f ca="1"/>
      </c>
      <c r="BA958" s="7"/>
    </row>
    <row r="959" spans="31:53" x14ac:dyDescent="0.55000000000000004">
      <c r="AE959" s="7">
        <f ca="1"/>
      </c>
      <c r="AF959">
        <f ca="1"/>
      </c>
      <c r="AG959">
        <f ca="1"/>
      </c>
      <c r="AH959">
        <f ca="1"/>
      </c>
      <c r="AI959">
        <f ca="1"/>
      </c>
      <c r="AJ959">
        <f ca="1"/>
      </c>
      <c r="AK959">
        <f ca="1"/>
      </c>
      <c r="AL959">
        <f ca="1"/>
      </c>
      <c r="AM959">
        <f ca="1"/>
      </c>
      <c r="AN959">
        <f ca="1"/>
      </c>
      <c r="AO959">
        <f ca="1"/>
      </c>
      <c r="AP959">
        <f ca="1"/>
      </c>
      <c r="AQ959">
        <f ca="1"/>
      </c>
      <c r="AR959">
        <f ca="1"/>
      </c>
      <c r="AT959" s="7">
        <f ca="1"/>
      </c>
      <c r="AU959">
        <f ca="1"/>
      </c>
      <c r="AV959">
        <f ca="1"/>
      </c>
      <c r="AW959">
        <f ca="1"/>
      </c>
      <c r="AX959">
        <f ca="1"/>
      </c>
      <c r="AY959">
        <f ca="1"/>
      </c>
      <c r="BA959" s="7"/>
    </row>
    <row r="960" spans="31:53" x14ac:dyDescent="0.55000000000000004">
      <c r="AE960" s="7">
        <f ca="1"/>
      </c>
      <c r="AF960">
        <f ca="1"/>
      </c>
      <c r="AG960">
        <f ca="1"/>
      </c>
      <c r="AH960">
        <f ca="1"/>
      </c>
      <c r="AI960">
        <f ca="1"/>
      </c>
      <c r="AJ960">
        <f ca="1"/>
      </c>
      <c r="AK960">
        <f ca="1"/>
      </c>
      <c r="AL960">
        <f ca="1"/>
      </c>
      <c r="AM960">
        <f ca="1"/>
      </c>
      <c r="AN960">
        <f ca="1"/>
      </c>
      <c r="AO960">
        <f ca="1"/>
      </c>
      <c r="AP960">
        <f ca="1"/>
      </c>
      <c r="AQ960">
        <f ca="1"/>
      </c>
      <c r="AR960">
        <f ca="1"/>
      </c>
      <c r="AT960" s="7">
        <f ca="1"/>
      </c>
      <c r="AU960">
        <f ca="1"/>
      </c>
      <c r="AV960">
        <f ca="1"/>
      </c>
      <c r="AW960">
        <f ca="1"/>
      </c>
      <c r="AX960">
        <f ca="1"/>
      </c>
      <c r="AY960">
        <f ca="1"/>
      </c>
      <c r="BA960" s="7"/>
    </row>
    <row r="961" spans="31:53" x14ac:dyDescent="0.55000000000000004">
      <c r="AE961" s="7">
        <f ca="1"/>
      </c>
      <c r="AF961">
        <f ca="1"/>
      </c>
      <c r="AG961">
        <f ca="1"/>
      </c>
      <c r="AH961">
        <f ca="1"/>
      </c>
      <c r="AI961">
        <f ca="1"/>
      </c>
      <c r="AJ961">
        <f ca="1"/>
      </c>
      <c r="AK961">
        <f ca="1"/>
      </c>
      <c r="AL961">
        <f ca="1"/>
      </c>
      <c r="AM961">
        <f ca="1"/>
      </c>
      <c r="AN961">
        <f ca="1"/>
      </c>
      <c r="AO961">
        <f ca="1"/>
      </c>
      <c r="AP961">
        <f ca="1"/>
      </c>
      <c r="AQ961">
        <f ca="1"/>
      </c>
      <c r="AR961">
        <f ca="1"/>
      </c>
      <c r="AT961" s="7">
        <f ca="1"/>
      </c>
      <c r="AU961">
        <f ca="1"/>
      </c>
      <c r="AV961">
        <f ca="1"/>
      </c>
      <c r="AW961">
        <f ca="1"/>
      </c>
      <c r="AX961">
        <f ca="1"/>
      </c>
      <c r="AY961">
        <f ca="1"/>
      </c>
      <c r="BA961" s="7"/>
    </row>
    <row r="962" spans="31:53" x14ac:dyDescent="0.55000000000000004">
      <c r="AE962" s="7">
        <f ca="1"/>
      </c>
      <c r="AF962">
        <f ca="1"/>
      </c>
      <c r="AG962">
        <f ca="1"/>
      </c>
      <c r="AH962">
        <f ca="1"/>
      </c>
      <c r="AI962">
        <f ca="1"/>
      </c>
      <c r="AJ962">
        <f ca="1"/>
      </c>
      <c r="AK962">
        <f ca="1"/>
      </c>
      <c r="AL962">
        <f ca="1"/>
      </c>
      <c r="AM962">
        <f ca="1"/>
      </c>
      <c r="AN962">
        <f ca="1"/>
      </c>
      <c r="AO962">
        <f ca="1"/>
      </c>
      <c r="AP962">
        <f ca="1"/>
      </c>
      <c r="AQ962">
        <f ca="1"/>
      </c>
      <c r="AR962">
        <f ca="1"/>
      </c>
      <c r="AT962" s="7">
        <f ca="1"/>
      </c>
      <c r="AU962">
        <f ca="1"/>
      </c>
      <c r="AV962">
        <f ca="1"/>
      </c>
      <c r="AW962">
        <f ca="1"/>
      </c>
      <c r="AX962">
        <f ca="1"/>
      </c>
      <c r="AY962">
        <f ca="1"/>
      </c>
      <c r="BA962" s="7"/>
    </row>
    <row r="963" spans="31:53" x14ac:dyDescent="0.55000000000000004">
      <c r="AE963" s="7">
        <f ca="1"/>
      </c>
      <c r="AF963">
        <f ca="1"/>
      </c>
      <c r="AG963">
        <f ca="1"/>
      </c>
      <c r="AH963">
        <f ca="1"/>
      </c>
      <c r="AI963">
        <f ca="1"/>
      </c>
      <c r="AJ963">
        <f ca="1"/>
      </c>
      <c r="AK963">
        <f ca="1"/>
      </c>
      <c r="AL963">
        <f ca="1"/>
      </c>
      <c r="AM963">
        <f ca="1"/>
      </c>
      <c r="AN963">
        <f ca="1"/>
      </c>
      <c r="AO963">
        <f ca="1"/>
      </c>
      <c r="AP963">
        <f ca="1"/>
      </c>
      <c r="AQ963">
        <f ca="1"/>
      </c>
      <c r="AR963">
        <f ca="1"/>
      </c>
      <c r="AT963" s="7">
        <f ca="1"/>
      </c>
      <c r="AU963">
        <f ca="1"/>
      </c>
      <c r="AV963">
        <f ca="1"/>
      </c>
      <c r="AW963">
        <f ca="1"/>
      </c>
      <c r="AX963">
        <f ca="1"/>
      </c>
      <c r="AY963">
        <f ca="1"/>
      </c>
      <c r="BA963" s="7"/>
    </row>
    <row r="964" spans="31:53" x14ac:dyDescent="0.55000000000000004">
      <c r="AE964" s="7">
        <f ca="1"/>
      </c>
      <c r="AF964">
        <f ca="1"/>
      </c>
      <c r="AG964">
        <f ca="1"/>
      </c>
      <c r="AH964">
        <f ca="1"/>
      </c>
      <c r="AI964">
        <f ca="1"/>
      </c>
      <c r="AJ964">
        <f ca="1"/>
      </c>
      <c r="AK964">
        <f ca="1"/>
      </c>
      <c r="AL964">
        <f ca="1"/>
      </c>
      <c r="AM964">
        <f ca="1"/>
      </c>
      <c r="AN964">
        <f ca="1"/>
      </c>
      <c r="AO964">
        <f ca="1"/>
      </c>
      <c r="AP964">
        <f ca="1"/>
      </c>
      <c r="AQ964">
        <f ca="1"/>
      </c>
      <c r="AR964">
        <f ca="1"/>
      </c>
      <c r="AT964" s="7">
        <f ca="1"/>
      </c>
      <c r="AU964">
        <f ca="1"/>
      </c>
      <c r="AV964">
        <f ca="1"/>
      </c>
      <c r="AW964">
        <f ca="1"/>
      </c>
      <c r="AX964">
        <f ca="1"/>
      </c>
      <c r="AY964">
        <f ca="1"/>
      </c>
      <c r="BA964" s="7"/>
    </row>
    <row r="965" spans="31:53" x14ac:dyDescent="0.55000000000000004">
      <c r="AE965" s="7">
        <f ca="1"/>
      </c>
      <c r="AF965">
        <f ca="1"/>
      </c>
      <c r="AG965">
        <f ca="1"/>
      </c>
      <c r="AH965">
        <f ca="1"/>
      </c>
      <c r="AI965">
        <f ca="1"/>
      </c>
      <c r="AJ965">
        <f ca="1"/>
      </c>
      <c r="AK965">
        <f ca="1"/>
      </c>
      <c r="AL965">
        <f ca="1"/>
      </c>
      <c r="AM965">
        <f ca="1"/>
      </c>
      <c r="AN965">
        <f ca="1"/>
      </c>
      <c r="AO965">
        <f ca="1"/>
      </c>
      <c r="AP965">
        <f ca="1"/>
      </c>
      <c r="AQ965">
        <f ca="1"/>
      </c>
      <c r="AR965">
        <f ca="1"/>
      </c>
      <c r="AT965" s="7">
        <f ca="1"/>
      </c>
      <c r="AU965">
        <f ca="1"/>
      </c>
      <c r="AV965">
        <f ca="1"/>
      </c>
      <c r="AW965">
        <f ca="1"/>
      </c>
      <c r="AX965">
        <f ca="1"/>
      </c>
      <c r="AY965">
        <f ca="1"/>
      </c>
      <c r="BA965" s="7"/>
    </row>
    <row r="966" spans="31:53" x14ac:dyDescent="0.55000000000000004">
      <c r="AE966" s="7">
        <f ca="1"/>
      </c>
      <c r="AF966">
        <f ca="1"/>
      </c>
      <c r="AG966">
        <f ca="1"/>
      </c>
      <c r="AH966">
        <f ca="1"/>
      </c>
      <c r="AI966">
        <f ca="1"/>
      </c>
      <c r="AJ966">
        <f ca="1"/>
      </c>
      <c r="AK966">
        <f ca="1"/>
      </c>
      <c r="AL966">
        <f ca="1"/>
      </c>
      <c r="AM966">
        <f ca="1"/>
      </c>
      <c r="AN966">
        <f ca="1"/>
      </c>
      <c r="AO966">
        <f ca="1"/>
      </c>
      <c r="AP966">
        <f ca="1"/>
      </c>
      <c r="AQ966">
        <f ca="1"/>
      </c>
      <c r="AR966">
        <f ca="1"/>
      </c>
      <c r="AT966" s="7">
        <f ca="1"/>
      </c>
      <c r="AU966">
        <f ca="1"/>
      </c>
      <c r="AV966">
        <f ca="1"/>
      </c>
      <c r="AW966">
        <f ca="1"/>
      </c>
      <c r="AX966">
        <f ca="1"/>
      </c>
      <c r="AY966">
        <f ca="1"/>
      </c>
      <c r="BA966" s="7"/>
    </row>
    <row r="967" spans="31:53" x14ac:dyDescent="0.55000000000000004">
      <c r="AE967" s="7">
        <f ca="1"/>
      </c>
      <c r="AF967">
        <f ca="1"/>
      </c>
      <c r="AG967">
        <f ca="1"/>
      </c>
      <c r="AH967">
        <f ca="1"/>
      </c>
      <c r="AI967">
        <f ca="1"/>
      </c>
      <c r="AJ967">
        <f ca="1"/>
      </c>
      <c r="AK967">
        <f ca="1"/>
      </c>
      <c r="AL967">
        <f ca="1"/>
      </c>
      <c r="AM967">
        <f ca="1"/>
      </c>
      <c r="AN967">
        <f ca="1"/>
      </c>
      <c r="AO967">
        <f ca="1"/>
      </c>
      <c r="AP967">
        <f ca="1"/>
      </c>
      <c r="AQ967">
        <f ca="1"/>
      </c>
      <c r="AR967">
        <f ca="1"/>
      </c>
      <c r="AT967" s="7">
        <f ca="1"/>
      </c>
      <c r="AU967">
        <f ca="1"/>
      </c>
      <c r="AV967">
        <f ca="1"/>
      </c>
      <c r="AW967">
        <f ca="1"/>
      </c>
      <c r="AX967">
        <f ca="1"/>
      </c>
      <c r="AY967">
        <f ca="1"/>
      </c>
      <c r="BA967" s="7"/>
    </row>
    <row r="968" spans="31:53" x14ac:dyDescent="0.55000000000000004">
      <c r="AE968" s="7">
        <f ca="1"/>
      </c>
      <c r="AF968">
        <f ca="1"/>
      </c>
      <c r="AG968">
        <f ca="1"/>
      </c>
      <c r="AH968">
        <f ca="1"/>
      </c>
      <c r="AI968">
        <f ca="1"/>
      </c>
      <c r="AJ968">
        <f ca="1"/>
      </c>
      <c r="AK968">
        <f ca="1"/>
      </c>
      <c r="AL968">
        <f ca="1"/>
      </c>
      <c r="AM968">
        <f ca="1"/>
      </c>
      <c r="AN968">
        <f ca="1"/>
      </c>
      <c r="AO968">
        <f ca="1"/>
      </c>
      <c r="AP968">
        <f ca="1"/>
      </c>
      <c r="AQ968">
        <f ca="1"/>
      </c>
      <c r="AR968">
        <f ca="1"/>
      </c>
      <c r="AT968" s="7">
        <f ca="1"/>
      </c>
      <c r="AU968">
        <f ca="1"/>
      </c>
      <c r="AV968">
        <f ca="1"/>
      </c>
      <c r="AW968">
        <f ca="1"/>
      </c>
      <c r="AX968">
        <f ca="1"/>
      </c>
      <c r="AY968">
        <f ca="1"/>
      </c>
      <c r="BA968" s="7"/>
    </row>
    <row r="969" spans="31:53" x14ac:dyDescent="0.55000000000000004">
      <c r="AE969" s="7">
        <f ca="1"/>
      </c>
      <c r="AF969">
        <f ca="1"/>
      </c>
      <c r="AG969">
        <f ca="1"/>
      </c>
      <c r="AH969">
        <f ca="1"/>
      </c>
      <c r="AI969">
        <f ca="1"/>
      </c>
      <c r="AJ969">
        <f ca="1"/>
      </c>
      <c r="AK969">
        <f ca="1"/>
      </c>
      <c r="AL969">
        <f ca="1"/>
      </c>
      <c r="AM969">
        <f ca="1"/>
      </c>
      <c r="AN969">
        <f ca="1"/>
      </c>
      <c r="AO969">
        <f ca="1"/>
      </c>
      <c r="AP969">
        <f ca="1"/>
      </c>
      <c r="AQ969">
        <f ca="1"/>
      </c>
      <c r="AR969">
        <f ca="1"/>
      </c>
      <c r="AT969" s="7">
        <f ca="1"/>
      </c>
      <c r="AU969">
        <f ca="1"/>
      </c>
      <c r="AV969">
        <f ca="1"/>
      </c>
      <c r="AW969">
        <f ca="1"/>
      </c>
      <c r="AX969">
        <f ca="1"/>
      </c>
      <c r="AY969">
        <f ca="1"/>
      </c>
      <c r="BA969" s="7"/>
    </row>
    <row r="970" spans="31:53" x14ac:dyDescent="0.55000000000000004">
      <c r="AE970" s="7">
        <f ca="1"/>
      </c>
      <c r="AF970">
        <f ca="1"/>
      </c>
      <c r="AG970">
        <f ca="1"/>
      </c>
      <c r="AH970">
        <f ca="1"/>
      </c>
      <c r="AI970">
        <f ca="1"/>
      </c>
      <c r="AJ970">
        <f ca="1"/>
      </c>
      <c r="AK970">
        <f ca="1"/>
      </c>
      <c r="AL970">
        <f ca="1"/>
      </c>
      <c r="AM970">
        <f ca="1"/>
      </c>
      <c r="AN970">
        <f ca="1"/>
      </c>
      <c r="AO970">
        <f ca="1"/>
      </c>
      <c r="AP970">
        <f ca="1"/>
      </c>
      <c r="AQ970">
        <f ca="1"/>
      </c>
      <c r="AR970">
        <f ca="1"/>
      </c>
      <c r="AT970" s="7">
        <f ca="1"/>
      </c>
      <c r="AU970">
        <f ca="1"/>
      </c>
      <c r="AV970">
        <f ca="1"/>
      </c>
      <c r="AW970">
        <f ca="1"/>
      </c>
      <c r="AX970">
        <f ca="1"/>
      </c>
      <c r="AY970">
        <f ca="1"/>
      </c>
      <c r="BA970" s="7"/>
    </row>
    <row r="971" spans="31:53" x14ac:dyDescent="0.55000000000000004">
      <c r="AE971" s="7">
        <f ca="1"/>
      </c>
      <c r="AF971">
        <f ca="1"/>
      </c>
      <c r="AG971">
        <f ca="1"/>
      </c>
      <c r="AH971">
        <f ca="1"/>
      </c>
      <c r="AI971">
        <f ca="1"/>
      </c>
      <c r="AJ971">
        <f ca="1"/>
      </c>
      <c r="AK971">
        <f ca="1"/>
      </c>
      <c r="AL971">
        <f ca="1"/>
      </c>
      <c r="AM971">
        <f ca="1"/>
      </c>
      <c r="AN971">
        <f ca="1"/>
      </c>
      <c r="AO971">
        <f ca="1"/>
      </c>
      <c r="AP971">
        <f ca="1"/>
      </c>
      <c r="AQ971">
        <f ca="1"/>
      </c>
      <c r="AR971">
        <f ca="1"/>
      </c>
      <c r="AT971" s="7">
        <f ca="1"/>
      </c>
      <c r="AU971">
        <f ca="1"/>
      </c>
      <c r="AV971">
        <f ca="1"/>
      </c>
      <c r="AW971">
        <f ca="1"/>
      </c>
      <c r="AX971">
        <f ca="1"/>
      </c>
      <c r="AY971">
        <f ca="1"/>
      </c>
      <c r="BA971" s="7"/>
    </row>
    <row r="972" spans="31:53" x14ac:dyDescent="0.55000000000000004">
      <c r="AE972" s="7">
        <f ca="1"/>
      </c>
      <c r="AF972">
        <f ca="1"/>
      </c>
      <c r="AG972">
        <f ca="1"/>
      </c>
      <c r="AH972">
        <f ca="1"/>
      </c>
      <c r="AI972">
        <f ca="1"/>
      </c>
      <c r="AJ972">
        <f ca="1"/>
      </c>
      <c r="AK972">
        <f ca="1"/>
      </c>
      <c r="AL972">
        <f ca="1"/>
      </c>
      <c r="AM972">
        <f ca="1"/>
      </c>
      <c r="AN972">
        <f ca="1"/>
      </c>
      <c r="AO972">
        <f ca="1"/>
      </c>
      <c r="AP972">
        <f ca="1"/>
      </c>
      <c r="AQ972">
        <f ca="1"/>
      </c>
      <c r="AR972">
        <f ca="1"/>
      </c>
      <c r="AT972" s="7">
        <f ca="1"/>
      </c>
      <c r="AU972">
        <f ca="1"/>
      </c>
      <c r="AV972">
        <f ca="1"/>
      </c>
      <c r="AW972">
        <f ca="1"/>
      </c>
      <c r="AX972">
        <f ca="1"/>
      </c>
      <c r="AY972">
        <f ca="1"/>
      </c>
      <c r="BA972" s="7"/>
    </row>
    <row r="973" spans="31:53" x14ac:dyDescent="0.55000000000000004">
      <c r="AE973" s="7">
        <f ca="1"/>
      </c>
      <c r="AF973">
        <f ca="1"/>
      </c>
      <c r="AG973">
        <f ca="1"/>
      </c>
      <c r="AH973">
        <f ca="1"/>
      </c>
      <c r="AI973">
        <f ca="1"/>
      </c>
      <c r="AJ973">
        <f ca="1"/>
      </c>
      <c r="AK973">
        <f ca="1"/>
      </c>
      <c r="AL973">
        <f ca="1"/>
      </c>
      <c r="AM973">
        <f ca="1"/>
      </c>
      <c r="AN973">
        <f ca="1"/>
      </c>
      <c r="AO973">
        <f ca="1"/>
      </c>
      <c r="AP973">
        <f ca="1"/>
      </c>
      <c r="AQ973">
        <f ca="1"/>
      </c>
      <c r="AR973">
        <f ca="1"/>
      </c>
      <c r="AT973" s="7">
        <f ca="1"/>
      </c>
      <c r="AU973">
        <f ca="1"/>
      </c>
      <c r="AV973">
        <f ca="1"/>
      </c>
      <c r="AW973">
        <f ca="1"/>
      </c>
      <c r="AX973">
        <f ca="1"/>
      </c>
      <c r="AY973">
        <f ca="1"/>
      </c>
      <c r="BA973" s="7"/>
    </row>
    <row r="974" spans="31:53" x14ac:dyDescent="0.55000000000000004">
      <c r="AE974" s="7">
        <f ca="1"/>
      </c>
      <c r="AF974">
        <f ca="1"/>
      </c>
      <c r="AG974">
        <f ca="1"/>
      </c>
      <c r="AH974">
        <f ca="1"/>
      </c>
      <c r="AI974">
        <f ca="1"/>
      </c>
      <c r="AJ974">
        <f ca="1"/>
      </c>
      <c r="AK974">
        <f ca="1"/>
      </c>
      <c r="AL974">
        <f ca="1"/>
      </c>
      <c r="AM974">
        <f ca="1"/>
      </c>
      <c r="AN974">
        <f ca="1"/>
      </c>
      <c r="AO974">
        <f ca="1"/>
      </c>
      <c r="AP974">
        <f ca="1"/>
      </c>
      <c r="AQ974">
        <f ca="1"/>
      </c>
      <c r="AR974">
        <f ca="1"/>
      </c>
      <c r="AT974" s="7">
        <f ca="1"/>
      </c>
      <c r="AU974">
        <f ca="1"/>
      </c>
      <c r="AV974">
        <f ca="1"/>
      </c>
      <c r="AW974">
        <f ca="1"/>
      </c>
      <c r="AX974">
        <f ca="1"/>
      </c>
      <c r="AY974">
        <f ca="1"/>
      </c>
      <c r="BA974" s="7"/>
    </row>
    <row r="975" spans="31:53" x14ac:dyDescent="0.55000000000000004">
      <c r="AE975" s="7">
        <f ca="1"/>
      </c>
      <c r="AF975">
        <f ca="1"/>
      </c>
      <c r="AG975">
        <f ca="1"/>
      </c>
      <c r="AH975">
        <f ca="1"/>
      </c>
      <c r="AI975">
        <f ca="1"/>
      </c>
      <c r="AJ975">
        <f ca="1"/>
      </c>
      <c r="AK975">
        <f ca="1"/>
      </c>
      <c r="AL975">
        <f ca="1"/>
      </c>
      <c r="AM975">
        <f ca="1"/>
      </c>
      <c r="AN975">
        <f ca="1"/>
      </c>
      <c r="AO975">
        <f ca="1"/>
      </c>
      <c r="AP975">
        <f ca="1"/>
      </c>
      <c r="AQ975">
        <f ca="1"/>
      </c>
      <c r="AR975">
        <f ca="1"/>
      </c>
      <c r="AT975" s="7">
        <f ca="1"/>
      </c>
      <c r="AU975">
        <f ca="1"/>
      </c>
      <c r="AV975">
        <f ca="1"/>
      </c>
      <c r="AW975">
        <f ca="1"/>
      </c>
      <c r="AX975">
        <f ca="1"/>
      </c>
      <c r="AY975">
        <f ca="1"/>
      </c>
      <c r="BA975" s="7"/>
    </row>
    <row r="976" spans="31:53" x14ac:dyDescent="0.55000000000000004">
      <c r="AE976" s="7">
        <f ca="1"/>
      </c>
      <c r="AF976">
        <f ca="1"/>
      </c>
      <c r="AG976">
        <f ca="1"/>
      </c>
      <c r="AH976">
        <f ca="1"/>
      </c>
      <c r="AI976">
        <f ca="1"/>
      </c>
      <c r="AJ976">
        <f ca="1"/>
      </c>
      <c r="AK976">
        <f ca="1"/>
      </c>
      <c r="AL976">
        <f ca="1"/>
      </c>
      <c r="AM976">
        <f ca="1"/>
      </c>
      <c r="AN976">
        <f ca="1"/>
      </c>
      <c r="AO976">
        <f ca="1"/>
      </c>
      <c r="AP976">
        <f ca="1"/>
      </c>
      <c r="AQ976">
        <f ca="1"/>
      </c>
      <c r="AR976">
        <f ca="1"/>
      </c>
      <c r="AT976" s="7">
        <f ca="1"/>
      </c>
      <c r="AU976">
        <f ca="1"/>
      </c>
      <c r="AV976">
        <f ca="1"/>
      </c>
      <c r="AW976">
        <f ca="1"/>
      </c>
      <c r="AX976">
        <f ca="1"/>
      </c>
      <c r="AY976">
        <f ca="1"/>
      </c>
      <c r="BA976" s="7"/>
    </row>
    <row r="977" spans="31:53" x14ac:dyDescent="0.55000000000000004">
      <c r="AE977" s="7">
        <f ca="1"/>
      </c>
      <c r="AF977">
        <f ca="1"/>
      </c>
      <c r="AG977">
        <f ca="1"/>
      </c>
      <c r="AH977">
        <f ca="1"/>
      </c>
      <c r="AI977">
        <f ca="1"/>
      </c>
      <c r="AJ977">
        <f ca="1"/>
      </c>
      <c r="AK977">
        <f ca="1"/>
      </c>
      <c r="AL977">
        <f ca="1"/>
      </c>
      <c r="AM977">
        <f ca="1"/>
      </c>
      <c r="AN977">
        <f ca="1"/>
      </c>
      <c r="AO977">
        <f ca="1"/>
      </c>
      <c r="AP977">
        <f ca="1"/>
      </c>
      <c r="AQ977">
        <f ca="1"/>
      </c>
      <c r="AR977">
        <f ca="1"/>
      </c>
      <c r="AT977" s="7">
        <f ca="1"/>
      </c>
      <c r="AU977">
        <f ca="1"/>
      </c>
      <c r="AV977">
        <f ca="1"/>
      </c>
      <c r="AW977">
        <f ca="1"/>
      </c>
      <c r="AX977">
        <f ca="1"/>
      </c>
      <c r="AY977">
        <f ca="1"/>
      </c>
      <c r="BA977" s="7"/>
    </row>
    <row r="978" spans="31:53" x14ac:dyDescent="0.55000000000000004">
      <c r="AE978" s="7">
        <f ca="1"/>
      </c>
      <c r="AF978">
        <f ca="1"/>
      </c>
      <c r="AG978">
        <f ca="1"/>
      </c>
      <c r="AH978">
        <f ca="1"/>
      </c>
      <c r="AI978">
        <f ca="1"/>
      </c>
      <c r="AJ978">
        <f ca="1"/>
      </c>
      <c r="AK978">
        <f ca="1"/>
      </c>
      <c r="AL978">
        <f ca="1"/>
      </c>
      <c r="AM978">
        <f ca="1"/>
      </c>
      <c r="AN978">
        <f ca="1"/>
      </c>
      <c r="AO978">
        <f ca="1"/>
      </c>
      <c r="AP978">
        <f ca="1"/>
      </c>
      <c r="AQ978">
        <f ca="1"/>
      </c>
      <c r="AR978">
        <f ca="1"/>
      </c>
      <c r="AT978" s="7">
        <f ca="1"/>
      </c>
      <c r="AU978">
        <f ca="1"/>
      </c>
      <c r="AV978">
        <f ca="1"/>
      </c>
      <c r="AW978">
        <f ca="1"/>
      </c>
      <c r="AX978">
        <f ca="1"/>
      </c>
      <c r="AY978">
        <f ca="1"/>
      </c>
      <c r="BA978" s="7"/>
    </row>
    <row r="979" spans="31:53" x14ac:dyDescent="0.55000000000000004">
      <c r="AE979" s="7">
        <f ca="1"/>
      </c>
      <c r="AF979">
        <f ca="1"/>
      </c>
      <c r="AG979">
        <f ca="1"/>
      </c>
      <c r="AH979">
        <f ca="1"/>
      </c>
      <c r="AI979">
        <f ca="1"/>
      </c>
      <c r="AJ979">
        <f ca="1"/>
      </c>
      <c r="AK979">
        <f ca="1"/>
      </c>
      <c r="AL979">
        <f ca="1"/>
      </c>
      <c r="AM979">
        <f ca="1"/>
      </c>
      <c r="AN979">
        <f ca="1"/>
      </c>
      <c r="AO979">
        <f ca="1"/>
      </c>
      <c r="AP979">
        <f ca="1"/>
      </c>
      <c r="AQ979">
        <f ca="1"/>
      </c>
      <c r="AR979">
        <f ca="1"/>
      </c>
      <c r="AT979" s="7">
        <f ca="1"/>
      </c>
      <c r="AU979">
        <f ca="1"/>
      </c>
      <c r="AV979">
        <f ca="1"/>
      </c>
      <c r="AW979">
        <f ca="1"/>
      </c>
      <c r="AX979">
        <f ca="1"/>
      </c>
      <c r="AY979">
        <f ca="1"/>
      </c>
      <c r="BA979" s="7"/>
    </row>
    <row r="980" spans="31:53" x14ac:dyDescent="0.55000000000000004">
      <c r="AE980" s="7">
        <f ca="1"/>
      </c>
      <c r="AF980">
        <f ca="1"/>
      </c>
      <c r="AG980">
        <f ca="1"/>
      </c>
      <c r="AH980">
        <f ca="1"/>
      </c>
      <c r="AI980">
        <f ca="1"/>
      </c>
      <c r="AJ980">
        <f ca="1"/>
      </c>
      <c r="AK980">
        <f ca="1"/>
      </c>
      <c r="AL980">
        <f ca="1"/>
      </c>
      <c r="AM980">
        <f ca="1"/>
      </c>
      <c r="AN980">
        <f ca="1"/>
      </c>
      <c r="AO980">
        <f ca="1"/>
      </c>
      <c r="AP980">
        <f ca="1"/>
      </c>
      <c r="AQ980">
        <f ca="1"/>
      </c>
      <c r="AR980">
        <f ca="1"/>
      </c>
      <c r="AT980" s="7">
        <f ca="1"/>
      </c>
      <c r="AU980">
        <f ca="1"/>
      </c>
      <c r="AV980">
        <f ca="1"/>
      </c>
      <c r="AW980">
        <f ca="1"/>
      </c>
      <c r="AX980">
        <f ca="1"/>
      </c>
      <c r="AY980">
        <f ca="1"/>
      </c>
      <c r="BA980" s="7"/>
    </row>
    <row r="981" spans="31:53" x14ac:dyDescent="0.55000000000000004">
      <c r="AE981" s="7">
        <f ca="1"/>
      </c>
      <c r="AF981">
        <f ca="1"/>
      </c>
      <c r="AG981">
        <f ca="1"/>
      </c>
      <c r="AH981">
        <f ca="1"/>
      </c>
      <c r="AI981">
        <f ca="1"/>
      </c>
      <c r="AJ981">
        <f ca="1"/>
      </c>
      <c r="AK981">
        <f ca="1"/>
      </c>
      <c r="AL981">
        <f ca="1"/>
      </c>
      <c r="AM981">
        <f ca="1"/>
      </c>
      <c r="AN981">
        <f ca="1"/>
      </c>
      <c r="AO981">
        <f ca="1"/>
      </c>
      <c r="AP981">
        <f ca="1"/>
      </c>
      <c r="AQ981">
        <f ca="1"/>
      </c>
      <c r="AR981">
        <f ca="1"/>
      </c>
      <c r="AT981" s="7">
        <f ca="1"/>
      </c>
      <c r="AU981">
        <f ca="1"/>
      </c>
      <c r="AV981">
        <f ca="1"/>
      </c>
      <c r="AW981">
        <f ca="1"/>
      </c>
      <c r="AX981">
        <f ca="1"/>
      </c>
      <c r="AY981">
        <f ca="1"/>
      </c>
      <c r="BA981" s="7"/>
    </row>
    <row r="982" spans="31:53" x14ac:dyDescent="0.55000000000000004">
      <c r="AE982" s="7">
        <f ca="1"/>
      </c>
      <c r="AF982">
        <f ca="1"/>
      </c>
      <c r="AG982">
        <f ca="1"/>
      </c>
      <c r="AH982">
        <f ca="1"/>
      </c>
      <c r="AI982">
        <f ca="1"/>
      </c>
      <c r="AJ982">
        <f ca="1"/>
      </c>
      <c r="AK982">
        <f ca="1"/>
      </c>
      <c r="AL982">
        <f ca="1"/>
      </c>
      <c r="AM982">
        <f ca="1"/>
      </c>
      <c r="AN982">
        <f ca="1"/>
      </c>
      <c r="AO982">
        <f ca="1"/>
      </c>
      <c r="AP982">
        <f ca="1"/>
      </c>
      <c r="AQ982">
        <f ca="1"/>
      </c>
      <c r="AR982">
        <f ca="1"/>
      </c>
      <c r="AT982" s="7">
        <f ca="1"/>
      </c>
      <c r="AU982">
        <f ca="1"/>
      </c>
      <c r="AV982">
        <f ca="1"/>
      </c>
      <c r="AW982">
        <f ca="1"/>
      </c>
      <c r="AX982">
        <f ca="1"/>
      </c>
      <c r="AY982">
        <f ca="1"/>
      </c>
      <c r="BA982" s="7"/>
    </row>
    <row r="983" spans="31:53" x14ac:dyDescent="0.55000000000000004">
      <c r="AE983" s="7">
        <f ca="1"/>
      </c>
      <c r="AF983">
        <f ca="1"/>
      </c>
      <c r="AG983">
        <f ca="1"/>
      </c>
      <c r="AH983">
        <f ca="1"/>
      </c>
      <c r="AI983">
        <f ca="1"/>
      </c>
      <c r="AJ983">
        <f ca="1"/>
      </c>
      <c r="AK983">
        <f ca="1"/>
      </c>
      <c r="AL983">
        <f ca="1"/>
      </c>
      <c r="AM983">
        <f ca="1"/>
      </c>
      <c r="AN983">
        <f ca="1"/>
      </c>
      <c r="AO983">
        <f ca="1"/>
      </c>
      <c r="AP983">
        <f ca="1"/>
      </c>
      <c r="AQ983">
        <f ca="1"/>
      </c>
      <c r="AR983">
        <f ca="1"/>
      </c>
      <c r="AT983" s="7">
        <f ca="1"/>
      </c>
      <c r="AU983">
        <f ca="1"/>
      </c>
      <c r="AV983">
        <f ca="1"/>
      </c>
      <c r="AW983">
        <f ca="1"/>
      </c>
      <c r="AX983">
        <f ca="1"/>
      </c>
      <c r="AY983">
        <f ca="1"/>
      </c>
      <c r="BA983" s="7"/>
    </row>
    <row r="984" spans="31:53" x14ac:dyDescent="0.55000000000000004">
      <c r="AE984" s="7">
        <f ca="1"/>
      </c>
      <c r="AF984">
        <f ca="1"/>
      </c>
      <c r="AG984">
        <f ca="1"/>
      </c>
      <c r="AH984">
        <f ca="1"/>
      </c>
      <c r="AI984">
        <f ca="1"/>
      </c>
      <c r="AJ984">
        <f ca="1"/>
      </c>
      <c r="AK984">
        <f ca="1"/>
      </c>
      <c r="AL984">
        <f ca="1"/>
      </c>
      <c r="AM984">
        <f ca="1"/>
      </c>
      <c r="AN984">
        <f ca="1"/>
      </c>
      <c r="AO984">
        <f ca="1"/>
      </c>
      <c r="AP984">
        <f ca="1"/>
      </c>
      <c r="AQ984">
        <f ca="1"/>
      </c>
      <c r="AR984">
        <f ca="1"/>
      </c>
      <c r="AT984" s="7">
        <f ca="1"/>
      </c>
      <c r="AU984">
        <f ca="1"/>
      </c>
      <c r="AV984">
        <f ca="1"/>
      </c>
      <c r="AW984">
        <f ca="1"/>
      </c>
      <c r="AX984">
        <f ca="1"/>
      </c>
      <c r="AY984">
        <f ca="1"/>
      </c>
      <c r="BA984" s="7"/>
    </row>
    <row r="985" spans="31:53" x14ac:dyDescent="0.55000000000000004">
      <c r="AE985" s="7">
        <f ca="1"/>
      </c>
      <c r="AF985">
        <f ca="1"/>
      </c>
      <c r="AG985">
        <f ca="1"/>
      </c>
      <c r="AH985">
        <f ca="1"/>
      </c>
      <c r="AI985">
        <f ca="1"/>
      </c>
      <c r="AJ985">
        <f ca="1"/>
      </c>
      <c r="AK985">
        <f ca="1"/>
      </c>
      <c r="AL985">
        <f ca="1"/>
      </c>
      <c r="AM985">
        <f ca="1"/>
      </c>
      <c r="AN985">
        <f ca="1"/>
      </c>
      <c r="AO985">
        <f ca="1"/>
      </c>
      <c r="AP985">
        <f ca="1"/>
      </c>
      <c r="AQ985">
        <f ca="1"/>
      </c>
      <c r="AR985">
        <f ca="1"/>
      </c>
      <c r="AT985" s="7">
        <f ca="1"/>
      </c>
      <c r="AU985">
        <f ca="1"/>
      </c>
      <c r="AV985">
        <f ca="1"/>
      </c>
      <c r="AW985">
        <f ca="1"/>
      </c>
      <c r="AX985">
        <f ca="1"/>
      </c>
      <c r="AY985">
        <f ca="1"/>
      </c>
      <c r="BA985" s="7"/>
    </row>
    <row r="986" spans="31:53" x14ac:dyDescent="0.55000000000000004">
      <c r="AE986" s="7">
        <f ca="1"/>
      </c>
      <c r="AF986">
        <f ca="1"/>
      </c>
      <c r="AG986">
        <f ca="1"/>
      </c>
      <c r="AH986">
        <f ca="1"/>
      </c>
      <c r="AI986">
        <f ca="1"/>
      </c>
      <c r="AJ986">
        <f ca="1"/>
      </c>
      <c r="AK986">
        <f ca="1"/>
      </c>
      <c r="AL986">
        <f ca="1"/>
      </c>
      <c r="AM986">
        <f ca="1"/>
      </c>
      <c r="AN986">
        <f ca="1"/>
      </c>
      <c r="AO986">
        <f ca="1"/>
      </c>
      <c r="AP986">
        <f ca="1"/>
      </c>
      <c r="AQ986">
        <f ca="1"/>
      </c>
      <c r="AR986">
        <f ca="1"/>
      </c>
      <c r="AT986" s="7">
        <f ca="1"/>
      </c>
      <c r="AU986">
        <f ca="1"/>
      </c>
      <c r="AV986">
        <f ca="1"/>
      </c>
      <c r="AW986">
        <f ca="1"/>
      </c>
      <c r="AX986">
        <f ca="1"/>
      </c>
      <c r="AY986">
        <f ca="1"/>
      </c>
      <c r="BA986" s="7"/>
    </row>
    <row r="987" spans="31:53" x14ac:dyDescent="0.55000000000000004">
      <c r="AE987" s="7">
        <f ca="1"/>
      </c>
      <c r="AF987">
        <f ca="1"/>
      </c>
      <c r="AG987">
        <f ca="1"/>
      </c>
      <c r="AH987">
        <f ca="1"/>
      </c>
      <c r="AI987">
        <f ca="1"/>
      </c>
      <c r="AJ987">
        <f ca="1"/>
      </c>
      <c r="AK987">
        <f ca="1"/>
      </c>
      <c r="AL987">
        <f ca="1"/>
      </c>
      <c r="AM987">
        <f ca="1"/>
      </c>
      <c r="AN987">
        <f ca="1"/>
      </c>
      <c r="AO987">
        <f ca="1"/>
      </c>
      <c r="AP987">
        <f ca="1"/>
      </c>
      <c r="AQ987">
        <f ca="1"/>
      </c>
      <c r="AR987">
        <f ca="1"/>
      </c>
      <c r="AT987" s="7">
        <f ca="1"/>
      </c>
      <c r="AU987">
        <f ca="1"/>
      </c>
      <c r="AV987">
        <f ca="1"/>
      </c>
      <c r="AW987">
        <f ca="1"/>
      </c>
      <c r="AX987">
        <f ca="1"/>
      </c>
      <c r="AY987">
        <f ca="1"/>
      </c>
      <c r="BA987" s="7"/>
    </row>
    <row r="988" spans="31:53" x14ac:dyDescent="0.55000000000000004">
      <c r="AE988" s="7">
        <f ca="1"/>
      </c>
      <c r="AF988">
        <f ca="1"/>
      </c>
      <c r="AG988">
        <f ca="1"/>
      </c>
      <c r="AH988">
        <f ca="1"/>
      </c>
      <c r="AI988">
        <f ca="1"/>
      </c>
      <c r="AJ988">
        <f ca="1"/>
      </c>
      <c r="AK988">
        <f ca="1"/>
      </c>
      <c r="AL988">
        <f ca="1"/>
      </c>
      <c r="AM988">
        <f ca="1"/>
      </c>
      <c r="AN988">
        <f ca="1"/>
      </c>
      <c r="AO988">
        <f ca="1"/>
      </c>
      <c r="AP988">
        <f ca="1"/>
      </c>
      <c r="AQ988">
        <f ca="1"/>
      </c>
      <c r="AR988">
        <f ca="1"/>
      </c>
      <c r="AT988" s="7">
        <f ca="1"/>
      </c>
      <c r="AU988">
        <f ca="1"/>
      </c>
      <c r="AV988">
        <f ca="1"/>
      </c>
      <c r="AW988">
        <f ca="1"/>
      </c>
      <c r="AX988">
        <f ca="1"/>
      </c>
      <c r="AY988">
        <f ca="1"/>
      </c>
      <c r="BA988" s="7"/>
    </row>
    <row r="989" spans="31:53" x14ac:dyDescent="0.55000000000000004">
      <c r="AE989" s="7">
        <f ca="1"/>
      </c>
      <c r="AF989">
        <f ca="1"/>
      </c>
      <c r="AG989">
        <f ca="1"/>
      </c>
      <c r="AH989">
        <f ca="1"/>
      </c>
      <c r="AI989">
        <f ca="1"/>
      </c>
      <c r="AJ989">
        <f ca="1"/>
      </c>
      <c r="AK989">
        <f ca="1"/>
      </c>
      <c r="AL989">
        <f ca="1"/>
      </c>
      <c r="AM989">
        <f ca="1"/>
      </c>
      <c r="AN989">
        <f ca="1"/>
      </c>
      <c r="AO989">
        <f ca="1"/>
      </c>
      <c r="AP989">
        <f ca="1"/>
      </c>
      <c r="AQ989">
        <f ca="1"/>
      </c>
      <c r="AR989">
        <f ca="1"/>
      </c>
      <c r="AT989" s="7">
        <f ca="1"/>
      </c>
      <c r="AU989">
        <f ca="1"/>
      </c>
      <c r="AV989">
        <f ca="1"/>
      </c>
      <c r="AW989">
        <f ca="1"/>
      </c>
      <c r="AX989">
        <f ca="1"/>
      </c>
      <c r="AY989">
        <f ca="1"/>
      </c>
      <c r="BA989" s="7"/>
    </row>
    <row r="990" spans="31:53" x14ac:dyDescent="0.55000000000000004">
      <c r="AE990" s="7">
        <f ca="1"/>
      </c>
      <c r="AF990">
        <f ca="1"/>
      </c>
      <c r="AG990">
        <f ca="1"/>
      </c>
      <c r="AH990">
        <f ca="1"/>
      </c>
      <c r="AI990">
        <f ca="1"/>
      </c>
      <c r="AJ990">
        <f ca="1"/>
      </c>
      <c r="AK990">
        <f ca="1"/>
      </c>
      <c r="AL990">
        <f ca="1"/>
      </c>
      <c r="AM990">
        <f ca="1"/>
      </c>
      <c r="AN990">
        <f ca="1"/>
      </c>
      <c r="AO990">
        <f ca="1"/>
      </c>
      <c r="AP990">
        <f ca="1"/>
      </c>
      <c r="AQ990">
        <f ca="1"/>
      </c>
      <c r="AR990">
        <f ca="1"/>
      </c>
      <c r="AT990" s="7">
        <f ca="1"/>
      </c>
      <c r="AU990">
        <f ca="1"/>
      </c>
      <c r="AV990">
        <f ca="1"/>
      </c>
      <c r="AW990">
        <f ca="1"/>
      </c>
      <c r="AX990">
        <f ca="1"/>
      </c>
      <c r="AY990">
        <f ca="1"/>
      </c>
      <c r="BA990" s="7"/>
    </row>
    <row r="991" spans="31:53" x14ac:dyDescent="0.55000000000000004">
      <c r="AE991" s="7">
        <f ca="1"/>
      </c>
      <c r="AF991">
        <f ca="1"/>
      </c>
      <c r="AG991">
        <f ca="1"/>
      </c>
      <c r="AH991">
        <f ca="1"/>
      </c>
      <c r="AI991">
        <f ca="1"/>
      </c>
      <c r="AJ991">
        <f ca="1"/>
      </c>
      <c r="AK991">
        <f ca="1"/>
      </c>
      <c r="AL991">
        <f ca="1"/>
      </c>
      <c r="AM991">
        <f ca="1"/>
      </c>
      <c r="AN991">
        <f ca="1"/>
      </c>
      <c r="AO991">
        <f ca="1"/>
      </c>
      <c r="AP991">
        <f ca="1"/>
      </c>
      <c r="AQ991">
        <f ca="1"/>
      </c>
      <c r="AR991">
        <f ca="1"/>
      </c>
      <c r="AT991" s="7">
        <f ca="1"/>
      </c>
      <c r="AU991">
        <f ca="1"/>
      </c>
      <c r="AV991">
        <f ca="1"/>
      </c>
      <c r="AW991">
        <f ca="1"/>
      </c>
      <c r="AX991">
        <f ca="1"/>
      </c>
      <c r="AY991">
        <f ca="1"/>
      </c>
      <c r="BA991" s="7"/>
    </row>
    <row r="992" spans="31:53" x14ac:dyDescent="0.55000000000000004">
      <c r="AE992" s="7">
        <f ca="1"/>
      </c>
      <c r="AF992">
        <f ca="1"/>
      </c>
      <c r="AG992">
        <f ca="1"/>
      </c>
      <c r="AH992">
        <f ca="1"/>
      </c>
      <c r="AI992">
        <f ca="1"/>
      </c>
      <c r="AJ992">
        <f ca="1"/>
      </c>
      <c r="AK992">
        <f ca="1"/>
      </c>
      <c r="AL992">
        <f ca="1"/>
      </c>
      <c r="AM992">
        <f ca="1"/>
      </c>
      <c r="AN992">
        <f ca="1"/>
      </c>
      <c r="AO992">
        <f ca="1"/>
      </c>
      <c r="AP992">
        <f ca="1"/>
      </c>
      <c r="AQ992">
        <f ca="1"/>
      </c>
      <c r="AR992">
        <f ca="1"/>
      </c>
      <c r="AT992" s="7">
        <f ca="1"/>
      </c>
      <c r="AU992">
        <f ca="1"/>
      </c>
      <c r="AV992">
        <f ca="1"/>
      </c>
      <c r="AW992">
        <f ca="1"/>
      </c>
      <c r="AX992">
        <f ca="1"/>
      </c>
      <c r="AY992">
        <f ca="1"/>
      </c>
      <c r="BA992" s="7"/>
    </row>
    <row r="993" spans="31:53" x14ac:dyDescent="0.55000000000000004">
      <c r="AE993" s="7">
        <f ca="1"/>
      </c>
      <c r="AF993">
        <f ca="1"/>
      </c>
      <c r="AG993">
        <f ca="1"/>
      </c>
      <c r="AH993">
        <f ca="1"/>
      </c>
      <c r="AI993">
        <f ca="1"/>
      </c>
      <c r="AJ993">
        <f ca="1"/>
      </c>
      <c r="AK993">
        <f ca="1"/>
      </c>
      <c r="AL993">
        <f ca="1"/>
      </c>
      <c r="AM993">
        <f ca="1"/>
      </c>
      <c r="AN993">
        <f ca="1"/>
      </c>
      <c r="AO993">
        <f ca="1"/>
      </c>
      <c r="AP993">
        <f ca="1"/>
      </c>
      <c r="AQ993">
        <f ca="1"/>
      </c>
      <c r="AR993">
        <f ca="1"/>
      </c>
      <c r="AT993" s="7">
        <f ca="1"/>
      </c>
      <c r="AU993">
        <f ca="1"/>
      </c>
      <c r="AV993">
        <f ca="1"/>
      </c>
      <c r="AW993">
        <f ca="1"/>
      </c>
      <c r="AX993">
        <f ca="1"/>
      </c>
      <c r="AY993">
        <f ca="1"/>
      </c>
      <c r="BA993" s="7"/>
    </row>
    <row r="994" spans="31:53" x14ac:dyDescent="0.55000000000000004">
      <c r="AE994" s="7">
        <f ca="1"/>
      </c>
      <c r="AF994">
        <f ca="1"/>
      </c>
      <c r="AG994">
        <f ca="1"/>
      </c>
      <c r="AH994">
        <f ca="1"/>
      </c>
      <c r="AI994">
        <f ca="1"/>
      </c>
      <c r="AJ994">
        <f ca="1"/>
      </c>
      <c r="AK994">
        <f ca="1"/>
      </c>
      <c r="AL994">
        <f ca="1"/>
      </c>
      <c r="AM994">
        <f ca="1"/>
      </c>
      <c r="AN994">
        <f ca="1"/>
      </c>
      <c r="AO994">
        <f ca="1"/>
      </c>
      <c r="AP994">
        <f ca="1"/>
      </c>
      <c r="AQ994">
        <f ca="1"/>
      </c>
      <c r="AR994">
        <f ca="1"/>
      </c>
      <c r="AT994" s="7">
        <f ca="1"/>
      </c>
      <c r="AU994">
        <f ca="1"/>
      </c>
      <c r="AV994">
        <f ca="1"/>
      </c>
      <c r="AW994">
        <f ca="1"/>
      </c>
      <c r="AX994">
        <f ca="1"/>
      </c>
      <c r="AY994">
        <f ca="1"/>
      </c>
      <c r="BA994" s="7"/>
    </row>
    <row r="995" spans="31:53" x14ac:dyDescent="0.55000000000000004">
      <c r="AE995" s="7">
        <f ca="1"/>
      </c>
      <c r="AF995">
        <f ca="1"/>
      </c>
      <c r="AG995">
        <f ca="1"/>
      </c>
      <c r="AH995">
        <f ca="1"/>
      </c>
      <c r="AI995">
        <f ca="1"/>
      </c>
      <c r="AJ995">
        <f ca="1"/>
      </c>
      <c r="AK995">
        <f ca="1"/>
      </c>
      <c r="AL995">
        <f ca="1"/>
      </c>
      <c r="AM995">
        <f ca="1"/>
      </c>
      <c r="AN995">
        <f ca="1"/>
      </c>
      <c r="AO995">
        <f ca="1"/>
      </c>
      <c r="AP995">
        <f ca="1"/>
      </c>
      <c r="AQ995">
        <f ca="1"/>
      </c>
      <c r="AR995">
        <f ca="1"/>
      </c>
      <c r="AT995" s="7">
        <f ca="1"/>
      </c>
      <c r="AU995">
        <f ca="1"/>
      </c>
      <c r="AV995">
        <f ca="1"/>
      </c>
      <c r="AW995">
        <f ca="1"/>
      </c>
      <c r="AX995">
        <f ca="1"/>
      </c>
      <c r="AY995">
        <f ca="1"/>
      </c>
      <c r="BA995" s="7"/>
    </row>
    <row r="996" spans="31:53" x14ac:dyDescent="0.55000000000000004">
      <c r="AE996" s="7">
        <f ca="1"/>
      </c>
      <c r="AF996">
        <f ca="1"/>
      </c>
      <c r="AG996">
        <f ca="1"/>
      </c>
      <c r="AH996">
        <f ca="1"/>
      </c>
      <c r="AI996">
        <f ca="1"/>
      </c>
      <c r="AJ996">
        <f ca="1"/>
      </c>
      <c r="AK996">
        <f ca="1"/>
      </c>
      <c r="AL996">
        <f ca="1"/>
      </c>
      <c r="AM996">
        <f ca="1"/>
      </c>
      <c r="AN996">
        <f ca="1"/>
      </c>
      <c r="AO996">
        <f ca="1"/>
      </c>
      <c r="AP996">
        <f ca="1"/>
      </c>
      <c r="AQ996">
        <f ca="1"/>
      </c>
      <c r="AR996">
        <f ca="1"/>
      </c>
      <c r="AT996" s="7">
        <f ca="1"/>
      </c>
      <c r="AU996">
        <f ca="1"/>
      </c>
      <c r="AV996">
        <f ca="1"/>
      </c>
      <c r="AW996">
        <f ca="1"/>
      </c>
      <c r="AX996">
        <f ca="1"/>
      </c>
      <c r="AY996">
        <f ca="1"/>
      </c>
      <c r="BA996" s="7"/>
    </row>
    <row r="997" spans="31:53" x14ac:dyDescent="0.55000000000000004">
      <c r="AE997" s="7">
        <f ca="1"/>
      </c>
      <c r="AF997">
        <f ca="1"/>
      </c>
      <c r="AG997">
        <f ca="1"/>
      </c>
      <c r="AH997">
        <f ca="1"/>
      </c>
      <c r="AI997">
        <f ca="1"/>
      </c>
      <c r="AJ997">
        <f ca="1"/>
      </c>
      <c r="AK997">
        <f ca="1"/>
      </c>
      <c r="AL997">
        <f ca="1"/>
      </c>
      <c r="AM997">
        <f ca="1"/>
      </c>
      <c r="AN997">
        <f ca="1"/>
      </c>
      <c r="AO997">
        <f ca="1"/>
      </c>
      <c r="AP997">
        <f ca="1"/>
      </c>
      <c r="AQ997">
        <f ca="1"/>
      </c>
      <c r="AR997">
        <f ca="1"/>
      </c>
      <c r="AT997" s="7">
        <f ca="1"/>
      </c>
      <c r="AU997">
        <f ca="1"/>
      </c>
      <c r="AV997">
        <f ca="1"/>
      </c>
      <c r="AW997">
        <f ca="1"/>
      </c>
      <c r="AX997">
        <f ca="1"/>
      </c>
      <c r="AY997">
        <f ca="1"/>
      </c>
      <c r="BA997" s="7"/>
    </row>
    <row r="998" spans="31:53" x14ac:dyDescent="0.55000000000000004">
      <c r="AE998" s="7">
        <f ca="1"/>
      </c>
      <c r="AF998">
        <f ca="1"/>
      </c>
      <c r="AG998">
        <f ca="1"/>
      </c>
      <c r="AH998">
        <f ca="1"/>
      </c>
      <c r="AI998">
        <f ca="1"/>
      </c>
      <c r="AJ998">
        <f ca="1"/>
      </c>
      <c r="AK998">
        <f ca="1"/>
      </c>
      <c r="AL998">
        <f ca="1"/>
      </c>
      <c r="AM998">
        <f ca="1"/>
      </c>
      <c r="AN998">
        <f ca="1"/>
      </c>
      <c r="AO998">
        <f ca="1"/>
      </c>
      <c r="AP998">
        <f ca="1"/>
      </c>
      <c r="AQ998">
        <f ca="1"/>
      </c>
      <c r="AR998">
        <f ca="1"/>
      </c>
      <c r="AT998" s="7">
        <f ca="1"/>
      </c>
      <c r="AU998">
        <f ca="1"/>
      </c>
      <c r="AV998">
        <f ca="1"/>
      </c>
      <c r="AW998">
        <f ca="1"/>
      </c>
      <c r="AX998">
        <f ca="1"/>
      </c>
      <c r="AY998">
        <f ca="1"/>
      </c>
      <c r="BA998" s="7"/>
    </row>
    <row r="999" spans="31:53" x14ac:dyDescent="0.55000000000000004">
      <c r="AE999" s="7">
        <f ca="1"/>
      </c>
      <c r="AF999">
        <f ca="1"/>
      </c>
      <c r="AG999">
        <f ca="1"/>
      </c>
      <c r="AH999">
        <f ca="1"/>
      </c>
      <c r="AI999">
        <f ca="1"/>
      </c>
      <c r="AJ999">
        <f ca="1"/>
      </c>
      <c r="AK999">
        <f ca="1"/>
      </c>
      <c r="AL999">
        <f ca="1"/>
      </c>
      <c r="AM999">
        <f ca="1"/>
      </c>
      <c r="AN999">
        <f ca="1"/>
      </c>
      <c r="AO999">
        <f ca="1"/>
      </c>
      <c r="AP999">
        <f ca="1"/>
      </c>
      <c r="AQ999">
        <f ca="1"/>
      </c>
      <c r="AR999">
        <f ca="1"/>
      </c>
      <c r="AT999" s="7">
        <f ca="1"/>
      </c>
      <c r="AU999">
        <f ca="1"/>
      </c>
      <c r="AV999">
        <f ca="1"/>
      </c>
      <c r="AW999">
        <f ca="1"/>
      </c>
      <c r="AX999">
        <f ca="1"/>
      </c>
      <c r="AY999">
        <f ca="1"/>
      </c>
      <c r="BA999" s="7"/>
    </row>
    <row r="1000" spans="31:53" x14ac:dyDescent="0.55000000000000004">
      <c r="AE1000" s="7">
        <f ca="1"/>
      </c>
      <c r="AF1000">
        <f ca="1"/>
      </c>
      <c r="AG1000">
        <f ca="1"/>
      </c>
      <c r="AH1000">
        <f ca="1"/>
      </c>
      <c r="AI1000">
        <f ca="1"/>
      </c>
      <c r="AJ1000">
        <f ca="1"/>
      </c>
      <c r="AK1000">
        <f ca="1"/>
      </c>
      <c r="AL1000">
        <f ca="1"/>
      </c>
      <c r="AM1000">
        <f ca="1"/>
      </c>
      <c r="AN1000">
        <f ca="1"/>
      </c>
      <c r="AO1000">
        <f ca="1"/>
      </c>
      <c r="AP1000">
        <f ca="1"/>
      </c>
      <c r="AQ1000">
        <f ca="1"/>
      </c>
      <c r="AR1000">
        <f ca="1"/>
      </c>
      <c r="AT1000" s="7">
        <f ca="1"/>
      </c>
      <c r="AU1000">
        <f ca="1"/>
      </c>
      <c r="AV1000">
        <f ca="1"/>
      </c>
      <c r="AW1000">
        <f ca="1"/>
      </c>
      <c r="AX1000">
        <f ca="1"/>
      </c>
      <c r="AY1000">
        <f ca="1"/>
      </c>
      <c r="BA1000" s="7"/>
    </row>
    <row r="1001" spans="31:53" x14ac:dyDescent="0.55000000000000004">
      <c r="AE1001" s="7">
        <f ca="1"/>
      </c>
      <c r="AF1001">
        <f ca="1"/>
      </c>
      <c r="AG1001">
        <f ca="1"/>
      </c>
      <c r="AH1001">
        <f ca="1"/>
      </c>
      <c r="AI1001">
        <f ca="1"/>
      </c>
      <c r="AJ1001">
        <f ca="1"/>
      </c>
      <c r="AK1001">
        <f ca="1"/>
      </c>
      <c r="AL1001">
        <f ca="1"/>
      </c>
      <c r="AM1001">
        <f ca="1"/>
      </c>
      <c r="AN1001">
        <f ca="1"/>
      </c>
      <c r="AO1001">
        <f ca="1"/>
      </c>
      <c r="AP1001">
        <f ca="1"/>
      </c>
      <c r="AQ1001">
        <f ca="1"/>
      </c>
      <c r="AR1001">
        <f ca="1"/>
      </c>
      <c r="AT1001" s="7">
        <f ca="1"/>
      </c>
      <c r="AU1001">
        <f ca="1"/>
      </c>
      <c r="AV1001">
        <f ca="1"/>
      </c>
      <c r="AW1001">
        <f ca="1"/>
      </c>
      <c r="AX1001">
        <f ca="1"/>
      </c>
      <c r="AY1001">
        <f ca="1"/>
      </c>
      <c r="BA1001" s="7"/>
    </row>
    <row r="1002" spans="31:53" x14ac:dyDescent="0.55000000000000004">
      <c r="AE1002" s="7">
        <f ca="1"/>
      </c>
      <c r="AF1002">
        <f ca="1"/>
      </c>
      <c r="AG1002">
        <f ca="1"/>
      </c>
      <c r="AH1002">
        <f ca="1"/>
      </c>
      <c r="AI1002">
        <f ca="1"/>
      </c>
      <c r="AJ1002">
        <f ca="1"/>
      </c>
      <c r="AK1002">
        <f ca="1"/>
      </c>
      <c r="AL1002">
        <f ca="1"/>
      </c>
      <c r="AM1002">
        <f ca="1"/>
      </c>
      <c r="AN1002">
        <f ca="1"/>
      </c>
      <c r="AO1002">
        <f ca="1"/>
      </c>
      <c r="AP1002">
        <f ca="1"/>
      </c>
      <c r="AQ1002">
        <f ca="1"/>
      </c>
      <c r="AR1002">
        <f ca="1"/>
      </c>
      <c r="AT1002" s="7">
        <f ca="1"/>
      </c>
      <c r="AU1002">
        <f ca="1"/>
      </c>
      <c r="AV1002">
        <f ca="1"/>
      </c>
      <c r="AW1002">
        <f ca="1"/>
      </c>
      <c r="AX1002">
        <f ca="1"/>
      </c>
      <c r="AY1002">
        <f ca="1"/>
      </c>
      <c r="BA1002" s="7"/>
    </row>
    <row r="1003" spans="31:53" x14ac:dyDescent="0.55000000000000004">
      <c r="AE1003" s="7">
        <f ca="1"/>
      </c>
      <c r="AF1003">
        <f ca="1"/>
      </c>
      <c r="AG1003">
        <f ca="1"/>
      </c>
      <c r="AH1003">
        <f ca="1"/>
      </c>
      <c r="AI1003">
        <f ca="1"/>
      </c>
      <c r="AJ1003">
        <f ca="1"/>
      </c>
      <c r="AK1003">
        <f ca="1"/>
      </c>
      <c r="AL1003">
        <f ca="1"/>
      </c>
      <c r="AM1003">
        <f ca="1"/>
      </c>
      <c r="AN1003">
        <f ca="1"/>
      </c>
      <c r="AO1003">
        <f ca="1"/>
      </c>
      <c r="AP1003">
        <f ca="1"/>
      </c>
      <c r="AQ1003">
        <f ca="1"/>
      </c>
      <c r="AR1003">
        <f ca="1"/>
      </c>
      <c r="AT1003" s="7">
        <f ca="1"/>
      </c>
      <c r="AU1003">
        <f ca="1"/>
      </c>
      <c r="AV1003">
        <f ca="1"/>
      </c>
      <c r="AW1003">
        <f ca="1"/>
      </c>
      <c r="AX1003">
        <f ca="1"/>
      </c>
      <c r="AY1003">
        <f ca="1"/>
      </c>
      <c r="BA1003" s="7"/>
    </row>
    <row r="1004" spans="31:53" x14ac:dyDescent="0.55000000000000004">
      <c r="AE1004" s="7">
        <f ca="1"/>
      </c>
      <c r="AF1004">
        <f ca="1"/>
      </c>
      <c r="AG1004">
        <f ca="1"/>
      </c>
      <c r="AH1004">
        <f ca="1"/>
      </c>
      <c r="AI1004">
        <f ca="1"/>
      </c>
      <c r="AJ1004">
        <f ca="1"/>
      </c>
      <c r="AK1004">
        <f ca="1"/>
      </c>
      <c r="AL1004">
        <f ca="1"/>
      </c>
      <c r="AM1004">
        <f ca="1"/>
      </c>
      <c r="AN1004">
        <f ca="1"/>
      </c>
      <c r="AO1004">
        <f ca="1"/>
      </c>
      <c r="AP1004">
        <f ca="1"/>
      </c>
      <c r="AQ1004">
        <f ca="1"/>
      </c>
      <c r="AR1004">
        <f ca="1"/>
      </c>
      <c r="AT1004" s="7">
        <f ca="1"/>
      </c>
      <c r="AU1004">
        <f ca="1"/>
      </c>
      <c r="AV1004">
        <f ca="1"/>
      </c>
      <c r="AW1004">
        <f ca="1"/>
      </c>
      <c r="AX1004">
        <f ca="1"/>
      </c>
      <c r="AY1004">
        <f ca="1"/>
      </c>
      <c r="BA1004" s="7"/>
    </row>
    <row r="1005" spans="31:53" x14ac:dyDescent="0.55000000000000004">
      <c r="AE1005" s="7">
        <f ca="1"/>
      </c>
      <c r="AF1005">
        <f ca="1"/>
      </c>
      <c r="AG1005">
        <f ca="1"/>
      </c>
      <c r="AH1005">
        <f ca="1"/>
      </c>
      <c r="AI1005">
        <f ca="1"/>
      </c>
      <c r="AJ1005">
        <f ca="1"/>
      </c>
      <c r="AK1005">
        <f ca="1"/>
      </c>
      <c r="AL1005">
        <f ca="1"/>
      </c>
      <c r="AM1005">
        <f ca="1"/>
      </c>
      <c r="AN1005">
        <f ca="1"/>
      </c>
      <c r="AO1005">
        <f ca="1"/>
      </c>
      <c r="AP1005">
        <f ca="1"/>
      </c>
      <c r="AQ1005">
        <f ca="1"/>
      </c>
      <c r="AR1005">
        <f ca="1"/>
      </c>
      <c r="AT1005" s="7">
        <f ca="1"/>
      </c>
      <c r="AU1005">
        <f ca="1"/>
      </c>
      <c r="AV1005">
        <f ca="1"/>
      </c>
      <c r="AW1005">
        <f ca="1"/>
      </c>
      <c r="AX1005">
        <f ca="1"/>
      </c>
      <c r="AY1005">
        <f ca="1"/>
      </c>
      <c r="BA1005" s="7"/>
    </row>
    <row r="1006" spans="31:53" x14ac:dyDescent="0.55000000000000004">
      <c r="AE1006" s="7">
        <f ca="1"/>
      </c>
      <c r="AF1006">
        <f ca="1"/>
      </c>
      <c r="AG1006">
        <f ca="1"/>
      </c>
      <c r="AH1006">
        <f ca="1"/>
      </c>
      <c r="AI1006">
        <f ca="1"/>
      </c>
      <c r="AJ1006">
        <f ca="1"/>
      </c>
      <c r="AK1006">
        <f ca="1"/>
      </c>
      <c r="AL1006">
        <f ca="1"/>
      </c>
      <c r="AM1006">
        <f ca="1"/>
      </c>
      <c r="AN1006">
        <f ca="1"/>
      </c>
      <c r="AO1006">
        <f ca="1"/>
      </c>
      <c r="AP1006">
        <f ca="1"/>
      </c>
      <c r="AQ1006">
        <f ca="1"/>
      </c>
      <c r="AR1006">
        <f ca="1"/>
      </c>
      <c r="AT1006" s="7">
        <f ca="1"/>
      </c>
      <c r="AU1006">
        <f ca="1"/>
      </c>
      <c r="AV1006">
        <f ca="1"/>
      </c>
      <c r="AW1006">
        <f ca="1"/>
      </c>
      <c r="AX1006">
        <f ca="1"/>
      </c>
      <c r="AY1006">
        <f ca="1"/>
      </c>
      <c r="BA1006" s="7"/>
    </row>
    <row r="1007" spans="31:53" x14ac:dyDescent="0.55000000000000004">
      <c r="AE1007" s="7">
        <f ca="1"/>
      </c>
      <c r="AF1007">
        <f ca="1"/>
      </c>
      <c r="AG1007">
        <f ca="1"/>
      </c>
      <c r="AH1007">
        <f ca="1"/>
      </c>
      <c r="AI1007">
        <f ca="1"/>
      </c>
      <c r="AJ1007">
        <f ca="1"/>
      </c>
      <c r="AK1007">
        <f ca="1"/>
      </c>
      <c r="AL1007">
        <f ca="1"/>
      </c>
      <c r="AM1007">
        <f ca="1"/>
      </c>
      <c r="AN1007">
        <f ca="1"/>
      </c>
      <c r="AO1007">
        <f ca="1"/>
      </c>
      <c r="AP1007">
        <f ca="1"/>
      </c>
      <c r="AQ1007">
        <f ca="1"/>
      </c>
      <c r="AR1007">
        <f ca="1"/>
      </c>
      <c r="AT1007" s="7">
        <f ca="1"/>
      </c>
      <c r="AU1007">
        <f ca="1"/>
      </c>
      <c r="AV1007">
        <f ca="1"/>
      </c>
      <c r="AW1007">
        <f ca="1"/>
      </c>
      <c r="AX1007">
        <f ca="1"/>
      </c>
      <c r="AY1007">
        <f ca="1"/>
      </c>
      <c r="BA1007" s="7"/>
    </row>
    <row r="1008" spans="31:53" x14ac:dyDescent="0.55000000000000004">
      <c r="AE1008" s="7">
        <f ca="1"/>
      </c>
      <c r="AF1008">
        <f ca="1"/>
      </c>
      <c r="AG1008">
        <f ca="1"/>
      </c>
      <c r="AH1008">
        <f ca="1"/>
      </c>
      <c r="AI1008">
        <f ca="1"/>
      </c>
      <c r="AJ1008">
        <f ca="1"/>
      </c>
      <c r="AK1008">
        <f ca="1"/>
      </c>
      <c r="AL1008">
        <f ca="1"/>
      </c>
      <c r="AM1008">
        <f ca="1"/>
      </c>
      <c r="AN1008">
        <f ca="1"/>
      </c>
      <c r="AO1008">
        <f ca="1"/>
      </c>
      <c r="AP1008">
        <f ca="1"/>
      </c>
      <c r="AQ1008">
        <f ca="1"/>
      </c>
      <c r="AR1008">
        <f ca="1"/>
      </c>
      <c r="AT1008" s="7">
        <f ca="1"/>
      </c>
      <c r="AU1008">
        <f ca="1"/>
      </c>
      <c r="AV1008">
        <f ca="1"/>
      </c>
      <c r="AW1008">
        <f ca="1"/>
      </c>
      <c r="AX1008">
        <f ca="1"/>
      </c>
      <c r="AY1008">
        <f ca="1"/>
      </c>
      <c r="BA1008" s="7"/>
    </row>
    <row r="1009" spans="31:53" x14ac:dyDescent="0.55000000000000004">
      <c r="AE1009" s="7">
        <f ca="1"/>
      </c>
      <c r="AF1009">
        <f ca="1"/>
      </c>
      <c r="AG1009">
        <f ca="1"/>
      </c>
      <c r="AH1009">
        <f ca="1"/>
      </c>
      <c r="AI1009">
        <f ca="1"/>
      </c>
      <c r="AJ1009">
        <f ca="1"/>
      </c>
      <c r="AK1009">
        <f ca="1"/>
      </c>
      <c r="AL1009">
        <f ca="1"/>
      </c>
      <c r="AM1009">
        <f ca="1"/>
      </c>
      <c r="AN1009">
        <f ca="1"/>
      </c>
      <c r="AO1009">
        <f ca="1"/>
      </c>
      <c r="AP1009">
        <f ca="1"/>
      </c>
      <c r="AQ1009">
        <f ca="1"/>
      </c>
      <c r="AR1009">
        <f ca="1"/>
      </c>
      <c r="AT1009" s="7">
        <f ca="1"/>
      </c>
      <c r="AU1009">
        <f ca="1"/>
      </c>
      <c r="AV1009">
        <f ca="1"/>
      </c>
      <c r="AW1009">
        <f ca="1"/>
      </c>
      <c r="AX1009">
        <f ca="1"/>
      </c>
      <c r="AY1009">
        <f ca="1"/>
      </c>
      <c r="BA1009" s="7"/>
    </row>
    <row r="1010" spans="31:53" x14ac:dyDescent="0.55000000000000004">
      <c r="AE1010" s="7">
        <f ca="1"/>
      </c>
      <c r="AF1010">
        <f ca="1"/>
      </c>
      <c r="AG1010">
        <f ca="1"/>
      </c>
      <c r="AH1010">
        <f ca="1"/>
      </c>
      <c r="AI1010">
        <f ca="1"/>
      </c>
      <c r="AJ1010">
        <f ca="1"/>
      </c>
      <c r="AK1010">
        <f ca="1"/>
      </c>
      <c r="AL1010">
        <f ca="1"/>
      </c>
      <c r="AM1010">
        <f ca="1"/>
      </c>
      <c r="AN1010">
        <f ca="1"/>
      </c>
      <c r="AO1010">
        <f ca="1"/>
      </c>
      <c r="AP1010">
        <f ca="1"/>
      </c>
      <c r="AQ1010">
        <f ca="1"/>
      </c>
      <c r="AR1010">
        <f ca="1"/>
      </c>
      <c r="AT1010" s="7">
        <f ca="1"/>
      </c>
      <c r="AU1010">
        <f ca="1"/>
      </c>
      <c r="AV1010">
        <f ca="1"/>
      </c>
      <c r="AW1010">
        <f ca="1"/>
      </c>
      <c r="AX1010">
        <f ca="1"/>
      </c>
      <c r="AY1010">
        <f ca="1"/>
      </c>
      <c r="BA1010" s="7"/>
    </row>
    <row r="1011" spans="31:53" x14ac:dyDescent="0.55000000000000004">
      <c r="AE1011" s="7">
        <f ca="1"/>
      </c>
      <c r="AF1011">
        <f ca="1"/>
      </c>
      <c r="AG1011">
        <f ca="1"/>
      </c>
      <c r="AH1011">
        <f ca="1"/>
      </c>
      <c r="AI1011">
        <f ca="1"/>
      </c>
      <c r="AJ1011">
        <f ca="1"/>
      </c>
      <c r="AK1011">
        <f ca="1"/>
      </c>
      <c r="AL1011">
        <f ca="1"/>
      </c>
      <c r="AM1011">
        <f ca="1"/>
      </c>
      <c r="AN1011">
        <f ca="1"/>
      </c>
      <c r="AO1011">
        <f ca="1"/>
      </c>
      <c r="AP1011">
        <f ca="1"/>
      </c>
      <c r="AQ1011">
        <f ca="1"/>
      </c>
      <c r="AR1011">
        <f ca="1"/>
      </c>
      <c r="AT1011" s="7">
        <f ca="1"/>
      </c>
      <c r="AU1011">
        <f ca="1"/>
      </c>
      <c r="AV1011">
        <f ca="1"/>
      </c>
      <c r="AW1011">
        <f ca="1"/>
      </c>
      <c r="AX1011">
        <f ca="1"/>
      </c>
      <c r="AY1011">
        <f ca="1"/>
      </c>
      <c r="BA1011" s="7"/>
    </row>
    <row r="1012" spans="31:53" x14ac:dyDescent="0.55000000000000004">
      <c r="AE1012" s="7">
        <f ca="1"/>
      </c>
      <c r="AF1012">
        <f ca="1"/>
      </c>
      <c r="AG1012">
        <f ca="1"/>
      </c>
      <c r="AH1012">
        <f ca="1"/>
      </c>
      <c r="AI1012">
        <f ca="1"/>
      </c>
      <c r="AJ1012">
        <f ca="1"/>
      </c>
      <c r="AK1012">
        <f ca="1"/>
      </c>
      <c r="AL1012">
        <f ca="1"/>
      </c>
      <c r="AM1012">
        <f ca="1"/>
      </c>
      <c r="AN1012">
        <f ca="1"/>
      </c>
      <c r="AO1012">
        <f ca="1"/>
      </c>
      <c r="AP1012">
        <f ca="1"/>
      </c>
      <c r="AQ1012">
        <f ca="1"/>
      </c>
      <c r="AR1012">
        <f ca="1"/>
      </c>
      <c r="AT1012" s="7">
        <f ca="1"/>
      </c>
      <c r="AU1012">
        <f ca="1"/>
      </c>
      <c r="AV1012">
        <f ca="1"/>
      </c>
      <c r="AW1012">
        <f ca="1"/>
      </c>
      <c r="AX1012">
        <f ca="1"/>
      </c>
      <c r="AY1012">
        <f ca="1"/>
      </c>
      <c r="BA1012" s="7"/>
    </row>
    <row r="1013" spans="31:53" x14ac:dyDescent="0.55000000000000004">
      <c r="AE1013" s="7">
        <f ca="1"/>
      </c>
      <c r="AF1013">
        <f ca="1"/>
      </c>
      <c r="AG1013">
        <f ca="1"/>
      </c>
      <c r="AH1013">
        <f ca="1"/>
      </c>
      <c r="AI1013">
        <f ca="1"/>
      </c>
      <c r="AJ1013">
        <f ca="1"/>
      </c>
      <c r="AK1013">
        <f ca="1"/>
      </c>
      <c r="AL1013">
        <f ca="1"/>
      </c>
      <c r="AM1013">
        <f ca="1"/>
      </c>
      <c r="AN1013">
        <f ca="1"/>
      </c>
      <c r="AO1013">
        <f ca="1"/>
      </c>
      <c r="AP1013">
        <f ca="1"/>
      </c>
      <c r="AQ1013">
        <f ca="1"/>
      </c>
      <c r="AR1013">
        <f ca="1"/>
      </c>
      <c r="AT1013" s="7">
        <f ca="1"/>
      </c>
      <c r="AU1013">
        <f ca="1"/>
      </c>
      <c r="AV1013">
        <f ca="1"/>
      </c>
      <c r="AW1013">
        <f ca="1"/>
      </c>
      <c r="AX1013">
        <f ca="1"/>
      </c>
      <c r="AY1013">
        <f ca="1"/>
      </c>
      <c r="BA1013" s="7"/>
    </row>
    <row r="1014" spans="31:53" x14ac:dyDescent="0.55000000000000004">
      <c r="AE1014" s="7">
        <f ca="1"/>
      </c>
      <c r="AF1014">
        <f ca="1"/>
      </c>
      <c r="AG1014">
        <f ca="1"/>
      </c>
      <c r="AH1014">
        <f ca="1"/>
      </c>
      <c r="AI1014">
        <f ca="1"/>
      </c>
      <c r="AJ1014">
        <f ca="1"/>
      </c>
      <c r="AK1014">
        <f ca="1"/>
      </c>
      <c r="AL1014">
        <f ca="1"/>
      </c>
      <c r="AM1014">
        <f ca="1"/>
      </c>
      <c r="AN1014">
        <f ca="1"/>
      </c>
      <c r="AO1014">
        <f ca="1"/>
      </c>
      <c r="AP1014">
        <f ca="1"/>
      </c>
      <c r="AQ1014">
        <f ca="1"/>
      </c>
      <c r="AR1014">
        <f ca="1"/>
      </c>
      <c r="AT1014" s="7">
        <f ca="1"/>
      </c>
      <c r="AU1014">
        <f ca="1"/>
      </c>
      <c r="AV1014">
        <f ca="1"/>
      </c>
      <c r="AW1014">
        <f ca="1"/>
      </c>
      <c r="AX1014">
        <f ca="1"/>
      </c>
      <c r="AY1014">
        <f ca="1"/>
      </c>
      <c r="BA1014" s="7"/>
    </row>
    <row r="1015" spans="31:53" x14ac:dyDescent="0.55000000000000004">
      <c r="AE1015" s="7">
        <f ca="1"/>
      </c>
      <c r="AF1015">
        <f ca="1"/>
      </c>
      <c r="AG1015">
        <f ca="1"/>
      </c>
      <c r="AH1015">
        <f ca="1"/>
      </c>
      <c r="AI1015">
        <f ca="1"/>
      </c>
      <c r="AJ1015">
        <f ca="1"/>
      </c>
      <c r="AK1015">
        <f ca="1"/>
      </c>
      <c r="AL1015">
        <f ca="1"/>
      </c>
      <c r="AM1015">
        <f ca="1"/>
      </c>
      <c r="AN1015">
        <f ca="1"/>
      </c>
      <c r="AO1015">
        <f ca="1"/>
      </c>
      <c r="AP1015">
        <f ca="1"/>
      </c>
      <c r="AQ1015">
        <f ca="1"/>
      </c>
      <c r="AR1015">
        <f ca="1"/>
      </c>
      <c r="AT1015" s="7">
        <f ca="1"/>
      </c>
      <c r="AU1015">
        <f ca="1"/>
      </c>
      <c r="AV1015">
        <f ca="1"/>
      </c>
      <c r="AW1015">
        <f ca="1"/>
      </c>
      <c r="AX1015">
        <f ca="1"/>
      </c>
      <c r="AY1015">
        <f ca="1"/>
      </c>
      <c r="BA1015" s="7"/>
    </row>
    <row r="1016" spans="31:53" x14ac:dyDescent="0.55000000000000004">
      <c r="AE1016" s="7">
        <f ca="1"/>
      </c>
      <c r="AF1016">
        <f ca="1"/>
      </c>
      <c r="AG1016">
        <f ca="1"/>
      </c>
      <c r="AH1016">
        <f ca="1"/>
      </c>
      <c r="AI1016">
        <f ca="1"/>
      </c>
      <c r="AJ1016">
        <f ca="1"/>
      </c>
      <c r="AK1016">
        <f ca="1"/>
      </c>
      <c r="AL1016">
        <f ca="1"/>
      </c>
      <c r="AM1016">
        <f ca="1"/>
      </c>
      <c r="AN1016">
        <f ca="1"/>
      </c>
      <c r="AO1016">
        <f ca="1"/>
      </c>
      <c r="AP1016">
        <f ca="1"/>
      </c>
      <c r="AQ1016">
        <f ca="1"/>
      </c>
      <c r="AR1016">
        <f ca="1"/>
      </c>
      <c r="AT1016" s="7">
        <f ca="1"/>
      </c>
      <c r="AU1016">
        <f ca="1"/>
      </c>
      <c r="AV1016">
        <f ca="1"/>
      </c>
      <c r="AW1016">
        <f ca="1"/>
      </c>
      <c r="AX1016">
        <f ca="1"/>
      </c>
      <c r="AY1016">
        <f ca="1"/>
      </c>
      <c r="BA1016" s="7"/>
    </row>
    <row r="1017" spans="31:53" x14ac:dyDescent="0.55000000000000004">
      <c r="AE1017" s="7">
        <f ca="1"/>
      </c>
      <c r="AF1017">
        <f ca="1"/>
      </c>
      <c r="AG1017">
        <f ca="1"/>
      </c>
      <c r="AH1017">
        <f ca="1"/>
      </c>
      <c r="AI1017">
        <f ca="1"/>
      </c>
      <c r="AJ1017">
        <f ca="1"/>
      </c>
      <c r="AK1017">
        <f ca="1"/>
      </c>
      <c r="AL1017">
        <f ca="1"/>
      </c>
      <c r="AM1017">
        <f ca="1"/>
      </c>
      <c r="AN1017">
        <f ca="1"/>
      </c>
      <c r="AO1017">
        <f ca="1"/>
      </c>
      <c r="AP1017">
        <f ca="1"/>
      </c>
      <c r="AQ1017">
        <f ca="1"/>
      </c>
      <c r="AR1017">
        <f ca="1"/>
      </c>
      <c r="AT1017" s="7">
        <f ca="1"/>
      </c>
      <c r="AU1017">
        <f ca="1"/>
      </c>
      <c r="AV1017">
        <f ca="1"/>
      </c>
      <c r="AW1017">
        <f ca="1"/>
      </c>
      <c r="AX1017">
        <f ca="1"/>
      </c>
      <c r="AY1017">
        <f ca="1"/>
      </c>
      <c r="BA1017" s="7"/>
    </row>
    <row r="1018" spans="31:53" x14ac:dyDescent="0.55000000000000004">
      <c r="AE1018" s="7">
        <f ca="1"/>
      </c>
      <c r="AF1018">
        <f ca="1"/>
      </c>
      <c r="AG1018">
        <f ca="1"/>
      </c>
      <c r="AH1018">
        <f ca="1"/>
      </c>
      <c r="AI1018">
        <f ca="1"/>
      </c>
      <c r="AJ1018">
        <f ca="1"/>
      </c>
      <c r="AK1018">
        <f ca="1"/>
      </c>
      <c r="AL1018">
        <f ca="1"/>
      </c>
      <c r="AM1018">
        <f ca="1"/>
      </c>
      <c r="AN1018">
        <f ca="1"/>
      </c>
      <c r="AO1018">
        <f ca="1"/>
      </c>
      <c r="AP1018">
        <f ca="1"/>
      </c>
      <c r="AQ1018">
        <f ca="1"/>
      </c>
      <c r="AR1018">
        <f ca="1"/>
      </c>
      <c r="AT1018" s="7">
        <f ca="1"/>
      </c>
      <c r="AU1018">
        <f ca="1"/>
      </c>
      <c r="AV1018">
        <f ca="1"/>
      </c>
      <c r="AW1018">
        <f ca="1"/>
      </c>
      <c r="AX1018">
        <f ca="1"/>
      </c>
      <c r="AY1018">
        <f ca="1"/>
      </c>
      <c r="BA1018" s="7"/>
    </row>
    <row r="1019" spans="31:53" x14ac:dyDescent="0.55000000000000004">
      <c r="AE1019" s="7">
        <f ca="1"/>
      </c>
      <c r="AF1019">
        <f ca="1"/>
      </c>
      <c r="AG1019">
        <f ca="1"/>
      </c>
      <c r="AH1019">
        <f ca="1"/>
      </c>
      <c r="AI1019">
        <f ca="1"/>
      </c>
      <c r="AJ1019">
        <f ca="1"/>
      </c>
      <c r="AK1019">
        <f ca="1"/>
      </c>
      <c r="AL1019">
        <f ca="1"/>
      </c>
      <c r="AM1019">
        <f ca="1"/>
      </c>
      <c r="AN1019">
        <f ca="1"/>
      </c>
      <c r="AO1019">
        <f ca="1"/>
      </c>
      <c r="AP1019">
        <f ca="1"/>
      </c>
      <c r="AQ1019">
        <f ca="1"/>
      </c>
      <c r="AR1019">
        <f ca="1"/>
      </c>
      <c r="AT1019" s="7">
        <f ca="1"/>
      </c>
      <c r="AU1019">
        <f ca="1"/>
      </c>
      <c r="AV1019">
        <f ca="1"/>
      </c>
      <c r="AW1019">
        <f ca="1"/>
      </c>
      <c r="AX1019">
        <f ca="1"/>
      </c>
      <c r="AY1019">
        <f ca="1"/>
      </c>
      <c r="BA1019" s="7"/>
    </row>
    <row r="1020" spans="31:53" x14ac:dyDescent="0.55000000000000004">
      <c r="AE1020" s="7">
        <f ca="1"/>
      </c>
      <c r="AF1020">
        <f ca="1"/>
      </c>
      <c r="AG1020">
        <f ca="1"/>
      </c>
      <c r="AH1020">
        <f ca="1"/>
      </c>
      <c r="AI1020">
        <f ca="1"/>
      </c>
      <c r="AJ1020">
        <f ca="1"/>
      </c>
      <c r="AK1020">
        <f ca="1"/>
      </c>
      <c r="AL1020">
        <f ca="1"/>
      </c>
      <c r="AM1020">
        <f ca="1"/>
      </c>
      <c r="AN1020">
        <f ca="1"/>
      </c>
      <c r="AO1020">
        <f ca="1"/>
      </c>
      <c r="AP1020">
        <f ca="1"/>
      </c>
      <c r="AQ1020">
        <f ca="1"/>
      </c>
      <c r="AR1020">
        <f ca="1"/>
      </c>
      <c r="AT1020" s="7">
        <f ca="1"/>
      </c>
      <c r="AU1020">
        <f ca="1"/>
      </c>
      <c r="AV1020">
        <f ca="1"/>
      </c>
      <c r="AW1020">
        <f ca="1"/>
      </c>
      <c r="AX1020">
        <f ca="1"/>
      </c>
      <c r="AY1020">
        <f ca="1"/>
      </c>
      <c r="BA1020" s="7"/>
    </row>
    <row r="1021" spans="31:53" x14ac:dyDescent="0.55000000000000004">
      <c r="AE1021" s="7">
        <f ca="1"/>
      </c>
      <c r="AF1021">
        <f ca="1"/>
      </c>
      <c r="AG1021">
        <f ca="1"/>
      </c>
      <c r="AH1021">
        <f ca="1"/>
      </c>
      <c r="AI1021">
        <f ca="1"/>
      </c>
      <c r="AJ1021">
        <f ca="1"/>
      </c>
      <c r="AK1021">
        <f ca="1"/>
      </c>
      <c r="AL1021">
        <f ca="1"/>
      </c>
      <c r="AM1021">
        <f ca="1"/>
      </c>
      <c r="AN1021">
        <f ca="1"/>
      </c>
      <c r="AO1021">
        <f ca="1"/>
      </c>
      <c r="AP1021">
        <f ca="1"/>
      </c>
      <c r="AQ1021">
        <f ca="1"/>
      </c>
      <c r="AR1021">
        <f ca="1"/>
      </c>
      <c r="AT1021" s="7">
        <f ca="1"/>
      </c>
      <c r="AU1021">
        <f ca="1"/>
      </c>
      <c r="AV1021">
        <f ca="1"/>
      </c>
      <c r="AW1021">
        <f ca="1"/>
      </c>
      <c r="AX1021">
        <f ca="1"/>
      </c>
      <c r="AY1021">
        <f ca="1"/>
      </c>
      <c r="BA1021" s="7"/>
    </row>
    <row r="1022" spans="31:53" x14ac:dyDescent="0.55000000000000004">
      <c r="AE1022" s="7">
        <f ca="1"/>
      </c>
      <c r="AF1022">
        <f ca="1"/>
      </c>
      <c r="AG1022">
        <f ca="1"/>
      </c>
      <c r="AH1022">
        <f ca="1"/>
      </c>
      <c r="AI1022">
        <f ca="1"/>
      </c>
      <c r="AJ1022">
        <f ca="1"/>
      </c>
      <c r="AK1022">
        <f ca="1"/>
      </c>
      <c r="AL1022">
        <f ca="1"/>
      </c>
      <c r="AM1022">
        <f ca="1"/>
      </c>
      <c r="AN1022">
        <f ca="1"/>
      </c>
      <c r="AO1022">
        <f ca="1"/>
      </c>
      <c r="AP1022">
        <f ca="1"/>
      </c>
      <c r="AQ1022">
        <f ca="1"/>
      </c>
      <c r="AR1022">
        <f ca="1"/>
      </c>
      <c r="AT1022" s="7">
        <f ca="1"/>
      </c>
      <c r="AU1022">
        <f ca="1"/>
      </c>
      <c r="AV1022">
        <f ca="1"/>
      </c>
      <c r="AW1022">
        <f ca="1"/>
      </c>
      <c r="AX1022">
        <f ca="1"/>
      </c>
      <c r="AY1022">
        <f ca="1"/>
      </c>
      <c r="BA1022" s="7"/>
    </row>
    <row r="1023" spans="31:53" x14ac:dyDescent="0.55000000000000004">
      <c r="AE1023" s="7">
        <f ca="1"/>
      </c>
      <c r="AF1023">
        <f ca="1"/>
      </c>
      <c r="AG1023">
        <f ca="1"/>
      </c>
      <c r="AH1023">
        <f ca="1"/>
      </c>
      <c r="AI1023">
        <f ca="1"/>
      </c>
      <c r="AJ1023">
        <f ca="1"/>
      </c>
      <c r="AK1023">
        <f ca="1"/>
      </c>
      <c r="AL1023">
        <f ca="1"/>
      </c>
      <c r="AM1023">
        <f ca="1"/>
      </c>
      <c r="AN1023">
        <f ca="1"/>
      </c>
      <c r="AO1023">
        <f ca="1"/>
      </c>
      <c r="AP1023">
        <f ca="1"/>
      </c>
      <c r="AQ1023">
        <f ca="1"/>
      </c>
      <c r="AR1023">
        <f ca="1"/>
      </c>
      <c r="AT1023" s="7">
        <f ca="1"/>
      </c>
      <c r="AU1023">
        <f ca="1"/>
      </c>
      <c r="AV1023">
        <f ca="1"/>
      </c>
      <c r="AW1023">
        <f ca="1"/>
      </c>
      <c r="AX1023">
        <f ca="1"/>
      </c>
      <c r="AY1023">
        <f ca="1"/>
      </c>
      <c r="BA1023" s="7"/>
    </row>
    <row r="1024" spans="31:53" x14ac:dyDescent="0.55000000000000004">
      <c r="AE1024" s="7">
        <f ca="1"/>
      </c>
      <c r="AF1024">
        <f ca="1"/>
      </c>
      <c r="AG1024">
        <f ca="1"/>
      </c>
      <c r="AH1024">
        <f ca="1"/>
      </c>
      <c r="AI1024">
        <f ca="1"/>
      </c>
      <c r="AJ1024">
        <f ca="1"/>
      </c>
      <c r="AK1024">
        <f ca="1"/>
      </c>
      <c r="AL1024">
        <f ca="1"/>
      </c>
      <c r="AM1024">
        <f ca="1"/>
      </c>
      <c r="AN1024">
        <f ca="1"/>
      </c>
      <c r="AO1024">
        <f ca="1"/>
      </c>
      <c r="AP1024">
        <f ca="1"/>
      </c>
      <c r="AQ1024">
        <f ca="1"/>
      </c>
      <c r="AR1024">
        <f ca="1"/>
      </c>
      <c r="AT1024" s="7">
        <f ca="1"/>
      </c>
      <c r="AU1024">
        <f ca="1"/>
      </c>
      <c r="AV1024">
        <f ca="1"/>
      </c>
      <c r="AW1024">
        <f ca="1"/>
      </c>
      <c r="AX1024">
        <f ca="1"/>
      </c>
      <c r="AY1024">
        <f ca="1"/>
      </c>
      <c r="BA1024" s="7"/>
    </row>
    <row r="1025" spans="31:53" x14ac:dyDescent="0.55000000000000004">
      <c r="AE1025" s="7">
        <f ca="1"/>
      </c>
      <c r="AF1025">
        <f ca="1"/>
      </c>
      <c r="AG1025">
        <f ca="1"/>
      </c>
      <c r="AH1025">
        <f ca="1"/>
      </c>
      <c r="AI1025">
        <f ca="1"/>
      </c>
      <c r="AJ1025">
        <f ca="1"/>
      </c>
      <c r="AK1025">
        <f ca="1"/>
      </c>
      <c r="AL1025">
        <f ca="1"/>
      </c>
      <c r="AM1025">
        <f ca="1"/>
      </c>
      <c r="AN1025">
        <f ca="1"/>
      </c>
      <c r="AO1025">
        <f ca="1"/>
      </c>
      <c r="AP1025">
        <f ca="1"/>
      </c>
      <c r="AQ1025">
        <f ca="1"/>
      </c>
      <c r="AR1025">
        <f ca="1"/>
      </c>
      <c r="AT1025" s="7">
        <f ca="1"/>
      </c>
      <c r="AU1025">
        <f ca="1"/>
      </c>
      <c r="AV1025">
        <f ca="1"/>
      </c>
      <c r="AW1025">
        <f ca="1"/>
      </c>
      <c r="AX1025">
        <f ca="1"/>
      </c>
      <c r="AY1025">
        <f ca="1"/>
      </c>
      <c r="BA1025" s="7"/>
    </row>
    <row r="1026" spans="31:53" x14ac:dyDescent="0.55000000000000004">
      <c r="AE1026" s="7">
        <f ca="1"/>
      </c>
      <c r="AF1026">
        <f ca="1"/>
      </c>
      <c r="AG1026">
        <f ca="1"/>
      </c>
      <c r="AH1026">
        <f ca="1"/>
      </c>
      <c r="AI1026">
        <f ca="1"/>
      </c>
      <c r="AJ1026">
        <f ca="1"/>
      </c>
      <c r="AK1026">
        <f ca="1"/>
      </c>
      <c r="AL1026">
        <f ca="1"/>
      </c>
      <c r="AM1026">
        <f ca="1"/>
      </c>
      <c r="AN1026">
        <f ca="1"/>
      </c>
      <c r="AO1026">
        <f ca="1"/>
      </c>
      <c r="AP1026">
        <f ca="1"/>
      </c>
      <c r="AQ1026">
        <f ca="1"/>
      </c>
      <c r="AR1026">
        <f ca="1"/>
      </c>
      <c r="AT1026" s="7">
        <f ca="1"/>
      </c>
      <c r="AU1026">
        <f ca="1"/>
      </c>
      <c r="AV1026">
        <f ca="1"/>
      </c>
      <c r="AW1026">
        <f ca="1"/>
      </c>
      <c r="AX1026">
        <f ca="1"/>
      </c>
      <c r="AY1026">
        <f ca="1"/>
      </c>
      <c r="BA1026" s="7"/>
    </row>
    <row r="1027" spans="31:53" x14ac:dyDescent="0.55000000000000004">
      <c r="AE1027" s="7">
        <f ca="1"/>
      </c>
      <c r="AF1027">
        <f ca="1"/>
      </c>
      <c r="AG1027">
        <f ca="1"/>
      </c>
      <c r="AH1027">
        <f ca="1"/>
      </c>
      <c r="AI1027">
        <f ca="1"/>
      </c>
      <c r="AJ1027">
        <f ca="1"/>
      </c>
      <c r="AK1027">
        <f ca="1"/>
      </c>
      <c r="AL1027">
        <f ca="1"/>
      </c>
      <c r="AM1027">
        <f ca="1"/>
      </c>
      <c r="AN1027">
        <f ca="1"/>
      </c>
      <c r="AO1027">
        <f ca="1"/>
      </c>
      <c r="AP1027">
        <f ca="1"/>
      </c>
      <c r="AQ1027">
        <f ca="1"/>
      </c>
      <c r="AR1027">
        <f ca="1"/>
      </c>
      <c r="AT1027" s="7">
        <f ca="1"/>
      </c>
      <c r="AU1027">
        <f ca="1"/>
      </c>
      <c r="AV1027">
        <f ca="1"/>
      </c>
      <c r="AW1027">
        <f ca="1"/>
      </c>
      <c r="AX1027">
        <f ca="1"/>
      </c>
      <c r="AY1027">
        <f ca="1"/>
      </c>
      <c r="BA1027" s="7"/>
    </row>
    <row r="1028" spans="31:53" x14ac:dyDescent="0.55000000000000004">
      <c r="AE1028" s="7">
        <f ca="1"/>
      </c>
      <c r="AF1028">
        <f ca="1"/>
      </c>
      <c r="AG1028">
        <f ca="1"/>
      </c>
      <c r="AH1028">
        <f ca="1"/>
      </c>
      <c r="AI1028">
        <f ca="1"/>
      </c>
      <c r="AJ1028">
        <f ca="1"/>
      </c>
      <c r="AK1028">
        <f ca="1"/>
      </c>
      <c r="AL1028">
        <f ca="1"/>
      </c>
      <c r="AM1028">
        <f ca="1"/>
      </c>
      <c r="AN1028">
        <f ca="1"/>
      </c>
      <c r="AO1028">
        <f ca="1"/>
      </c>
      <c r="AP1028">
        <f ca="1"/>
      </c>
      <c r="AQ1028">
        <f ca="1"/>
      </c>
      <c r="AR1028">
        <f ca="1"/>
      </c>
      <c r="AT1028" s="7">
        <f ca="1"/>
      </c>
      <c r="AU1028">
        <f ca="1"/>
      </c>
      <c r="AV1028">
        <f ca="1"/>
      </c>
      <c r="AW1028">
        <f ca="1"/>
      </c>
      <c r="AX1028">
        <f ca="1"/>
      </c>
      <c r="AY1028">
        <f ca="1"/>
      </c>
      <c r="BA1028" s="7"/>
    </row>
    <row r="1029" spans="31:53" x14ac:dyDescent="0.55000000000000004">
      <c r="AE1029" s="7">
        <f ca="1"/>
      </c>
      <c r="AF1029">
        <f ca="1"/>
      </c>
      <c r="AG1029">
        <f ca="1"/>
      </c>
      <c r="AH1029">
        <f ca="1"/>
      </c>
      <c r="AI1029">
        <f ca="1"/>
      </c>
      <c r="AJ1029">
        <f ca="1"/>
      </c>
      <c r="AK1029">
        <f ca="1"/>
      </c>
      <c r="AL1029">
        <f ca="1"/>
      </c>
      <c r="AM1029">
        <f ca="1"/>
      </c>
      <c r="AN1029">
        <f ca="1"/>
      </c>
      <c r="AO1029">
        <f ca="1"/>
      </c>
      <c r="AP1029">
        <f ca="1"/>
      </c>
      <c r="AQ1029">
        <f ca="1"/>
      </c>
      <c r="AR1029">
        <f ca="1"/>
      </c>
      <c r="AT1029" s="7">
        <f ca="1"/>
      </c>
      <c r="AU1029">
        <f ca="1"/>
      </c>
      <c r="AV1029">
        <f ca="1"/>
      </c>
      <c r="AW1029">
        <f ca="1"/>
      </c>
      <c r="AX1029">
        <f ca="1"/>
      </c>
      <c r="AY1029">
        <f ca="1"/>
      </c>
      <c r="BA1029" s="7"/>
    </row>
    <row r="1030" spans="31:53" x14ac:dyDescent="0.55000000000000004">
      <c r="AE1030" s="7">
        <f ca="1"/>
      </c>
      <c r="AF1030">
        <f ca="1"/>
      </c>
      <c r="AG1030">
        <f ca="1"/>
      </c>
      <c r="AH1030">
        <f ca="1"/>
      </c>
      <c r="AI1030">
        <f ca="1"/>
      </c>
      <c r="AJ1030">
        <f ca="1"/>
      </c>
      <c r="AK1030">
        <f ca="1"/>
      </c>
      <c r="AL1030">
        <f ca="1"/>
      </c>
      <c r="AM1030">
        <f ca="1"/>
      </c>
      <c r="AN1030">
        <f ca="1"/>
      </c>
      <c r="AO1030">
        <f ca="1"/>
      </c>
      <c r="AP1030">
        <f ca="1"/>
      </c>
      <c r="AQ1030">
        <f ca="1"/>
      </c>
      <c r="AR1030">
        <f ca="1"/>
      </c>
      <c r="AT1030" s="7">
        <f ca="1"/>
      </c>
      <c r="AU1030">
        <f ca="1"/>
      </c>
      <c r="AV1030">
        <f ca="1"/>
      </c>
      <c r="AW1030">
        <f ca="1"/>
      </c>
      <c r="AX1030">
        <f ca="1"/>
      </c>
      <c r="AY1030">
        <f ca="1"/>
      </c>
      <c r="BA1030" s="7"/>
    </row>
    <row r="1031" spans="31:53" x14ac:dyDescent="0.55000000000000004">
      <c r="AE1031" s="7">
        <f ca="1"/>
      </c>
      <c r="AF1031">
        <f ca="1"/>
      </c>
      <c r="AG1031">
        <f ca="1"/>
      </c>
      <c r="AH1031">
        <f ca="1"/>
      </c>
      <c r="AI1031">
        <f ca="1"/>
      </c>
      <c r="AJ1031">
        <f ca="1"/>
      </c>
      <c r="AK1031">
        <f ca="1"/>
      </c>
      <c r="AL1031">
        <f ca="1"/>
      </c>
      <c r="AM1031">
        <f ca="1"/>
      </c>
      <c r="AN1031">
        <f ca="1"/>
      </c>
      <c r="AO1031">
        <f ca="1"/>
      </c>
      <c r="AP1031">
        <f ca="1"/>
      </c>
      <c r="AQ1031">
        <f ca="1"/>
      </c>
      <c r="AR1031">
        <f ca="1"/>
      </c>
      <c r="AT1031" s="7">
        <f ca="1"/>
      </c>
      <c r="AU1031">
        <f ca="1"/>
      </c>
      <c r="AV1031">
        <f ca="1"/>
      </c>
      <c r="AW1031">
        <f ca="1"/>
      </c>
      <c r="AX1031">
        <f ca="1"/>
      </c>
      <c r="AY1031">
        <f ca="1"/>
      </c>
      <c r="BA1031" s="7"/>
    </row>
    <row r="1032" spans="31:53" x14ac:dyDescent="0.55000000000000004">
      <c r="AE1032" s="7">
        <f ca="1"/>
      </c>
      <c r="AF1032">
        <f ca="1"/>
      </c>
      <c r="AG1032">
        <f ca="1"/>
      </c>
      <c r="AH1032">
        <f ca="1"/>
      </c>
      <c r="AI1032">
        <f ca="1"/>
      </c>
      <c r="AJ1032">
        <f ca="1"/>
      </c>
      <c r="AK1032">
        <f ca="1"/>
      </c>
      <c r="AL1032">
        <f ca="1"/>
      </c>
      <c r="AM1032">
        <f ca="1"/>
      </c>
      <c r="AN1032">
        <f ca="1"/>
      </c>
      <c r="AO1032">
        <f ca="1"/>
      </c>
      <c r="AP1032">
        <f ca="1"/>
      </c>
      <c r="AQ1032">
        <f ca="1"/>
      </c>
      <c r="AR1032">
        <f ca="1"/>
      </c>
      <c r="AT1032" s="7">
        <f ca="1"/>
      </c>
      <c r="AU1032">
        <f ca="1"/>
      </c>
      <c r="AV1032">
        <f ca="1"/>
      </c>
      <c r="AW1032">
        <f ca="1"/>
      </c>
      <c r="AX1032">
        <f ca="1"/>
      </c>
      <c r="AY1032">
        <f ca="1"/>
      </c>
      <c r="BA1032" s="7"/>
    </row>
    <row r="1033" spans="31:53" x14ac:dyDescent="0.55000000000000004">
      <c r="AE1033" s="7">
        <f ca="1"/>
      </c>
      <c r="AF1033">
        <f ca="1"/>
      </c>
      <c r="AG1033">
        <f ca="1"/>
      </c>
      <c r="AH1033">
        <f ca="1"/>
      </c>
      <c r="AI1033">
        <f ca="1"/>
      </c>
      <c r="AJ1033">
        <f ca="1"/>
      </c>
      <c r="AK1033">
        <f ca="1"/>
      </c>
      <c r="AL1033">
        <f ca="1"/>
      </c>
      <c r="AM1033">
        <f ca="1"/>
      </c>
      <c r="AN1033">
        <f ca="1"/>
      </c>
      <c r="AO1033">
        <f ca="1"/>
      </c>
      <c r="AP1033">
        <f ca="1"/>
      </c>
      <c r="AQ1033">
        <f ca="1"/>
      </c>
      <c r="AR1033">
        <f ca="1"/>
      </c>
      <c r="AT1033" s="7">
        <f ca="1"/>
      </c>
      <c r="AU1033">
        <f ca="1"/>
      </c>
      <c r="AV1033">
        <f ca="1"/>
      </c>
      <c r="AW1033">
        <f ca="1"/>
      </c>
      <c r="AX1033">
        <f ca="1"/>
      </c>
      <c r="AY1033">
        <f ca="1"/>
      </c>
      <c r="BA1033" s="7"/>
    </row>
    <row r="1034" spans="31:53" x14ac:dyDescent="0.55000000000000004">
      <c r="AE1034" s="7">
        <f ca="1"/>
      </c>
      <c r="AF1034">
        <f ca="1"/>
      </c>
      <c r="AG1034">
        <f ca="1"/>
      </c>
      <c r="AH1034">
        <f ca="1"/>
      </c>
      <c r="AI1034">
        <f ca="1"/>
      </c>
      <c r="AJ1034">
        <f ca="1"/>
      </c>
      <c r="AK1034">
        <f ca="1"/>
      </c>
      <c r="AL1034">
        <f ca="1"/>
      </c>
      <c r="AM1034">
        <f ca="1"/>
      </c>
      <c r="AN1034">
        <f ca="1"/>
      </c>
      <c r="AO1034">
        <f ca="1"/>
      </c>
      <c r="AP1034">
        <f ca="1"/>
      </c>
      <c r="AQ1034">
        <f ca="1"/>
      </c>
      <c r="AR1034">
        <f ca="1"/>
      </c>
      <c r="AT1034" s="7">
        <f ca="1"/>
      </c>
      <c r="AU1034">
        <f ca="1"/>
      </c>
      <c r="AV1034">
        <f ca="1"/>
      </c>
      <c r="AW1034">
        <f ca="1"/>
      </c>
      <c r="AX1034">
        <f ca="1"/>
      </c>
      <c r="AY1034">
        <f ca="1"/>
      </c>
      <c r="BA1034" s="7"/>
    </row>
    <row r="1035" spans="31:53" x14ac:dyDescent="0.55000000000000004">
      <c r="AE1035" s="7">
        <f ca="1"/>
      </c>
      <c r="AF1035">
        <f ca="1"/>
      </c>
      <c r="AG1035">
        <f ca="1"/>
      </c>
      <c r="AH1035">
        <f ca="1"/>
      </c>
      <c r="AI1035">
        <f ca="1"/>
      </c>
      <c r="AJ1035">
        <f ca="1"/>
      </c>
      <c r="AK1035">
        <f ca="1"/>
      </c>
      <c r="AL1035">
        <f ca="1"/>
      </c>
      <c r="AM1035">
        <f ca="1"/>
      </c>
      <c r="AN1035">
        <f ca="1"/>
      </c>
      <c r="AO1035">
        <f ca="1"/>
      </c>
      <c r="AP1035">
        <f ca="1"/>
      </c>
      <c r="AQ1035">
        <f ca="1"/>
      </c>
      <c r="AR1035">
        <f ca="1"/>
      </c>
      <c r="AT1035" s="7">
        <f ca="1"/>
      </c>
      <c r="AU1035">
        <f ca="1"/>
      </c>
      <c r="AV1035">
        <f ca="1"/>
      </c>
      <c r="AW1035">
        <f ca="1"/>
      </c>
      <c r="AX1035">
        <f ca="1"/>
      </c>
      <c r="AY1035">
        <f ca="1"/>
      </c>
      <c r="BA1035" s="7"/>
    </row>
    <row r="1036" spans="31:53" x14ac:dyDescent="0.55000000000000004">
      <c r="AE1036" s="7">
        <f ca="1"/>
      </c>
      <c r="AF1036">
        <f ca="1"/>
      </c>
      <c r="AG1036">
        <f ca="1"/>
      </c>
      <c r="AH1036">
        <f ca="1"/>
      </c>
      <c r="AI1036">
        <f ca="1"/>
      </c>
      <c r="AJ1036">
        <f ca="1"/>
      </c>
      <c r="AK1036">
        <f ca="1"/>
      </c>
      <c r="AL1036">
        <f ca="1"/>
      </c>
      <c r="AM1036">
        <f ca="1"/>
      </c>
      <c r="AN1036">
        <f ca="1"/>
      </c>
      <c r="AO1036">
        <f ca="1"/>
      </c>
      <c r="AP1036">
        <f ca="1"/>
      </c>
      <c r="AQ1036">
        <f ca="1"/>
      </c>
      <c r="AR1036">
        <f ca="1"/>
      </c>
      <c r="AT1036" s="7">
        <f ca="1"/>
      </c>
      <c r="AU1036">
        <f ca="1"/>
      </c>
      <c r="AV1036">
        <f ca="1"/>
      </c>
      <c r="AW1036">
        <f ca="1"/>
      </c>
      <c r="AX1036">
        <f ca="1"/>
      </c>
      <c r="AY1036">
        <f ca="1"/>
      </c>
      <c r="BA1036" s="7"/>
    </row>
    <row r="1037" spans="31:53" x14ac:dyDescent="0.55000000000000004">
      <c r="AE1037" s="7">
        <f ca="1"/>
      </c>
      <c r="AF1037">
        <f ca="1"/>
      </c>
      <c r="AG1037">
        <f ca="1"/>
      </c>
      <c r="AH1037">
        <f ca="1"/>
      </c>
      <c r="AI1037">
        <f ca="1"/>
      </c>
      <c r="AJ1037">
        <f ca="1"/>
      </c>
      <c r="AK1037">
        <f ca="1"/>
      </c>
      <c r="AL1037">
        <f ca="1"/>
      </c>
      <c r="AM1037">
        <f ca="1"/>
      </c>
      <c r="AN1037">
        <f ca="1"/>
      </c>
      <c r="AO1037">
        <f ca="1"/>
      </c>
      <c r="AP1037">
        <f ca="1"/>
      </c>
      <c r="AQ1037">
        <f ca="1"/>
      </c>
      <c r="AR1037">
        <f ca="1"/>
      </c>
      <c r="AT1037" s="7">
        <f ca="1"/>
      </c>
      <c r="AU1037">
        <f ca="1"/>
      </c>
      <c r="AV1037">
        <f ca="1"/>
      </c>
      <c r="AW1037">
        <f ca="1"/>
      </c>
      <c r="AX1037">
        <f ca="1"/>
      </c>
      <c r="AY1037">
        <f ca="1"/>
      </c>
      <c r="BA1037" s="7"/>
    </row>
    <row r="1038" spans="31:53" x14ac:dyDescent="0.55000000000000004">
      <c r="AE1038" s="7">
        <f ca="1"/>
      </c>
      <c r="AF1038">
        <f ca="1"/>
      </c>
      <c r="AG1038">
        <f ca="1"/>
      </c>
      <c r="AH1038">
        <f ca="1"/>
      </c>
      <c r="AI1038">
        <f ca="1"/>
      </c>
      <c r="AJ1038">
        <f ca="1"/>
      </c>
      <c r="AK1038">
        <f ca="1"/>
      </c>
      <c r="AL1038">
        <f ca="1"/>
      </c>
      <c r="AM1038">
        <f ca="1"/>
      </c>
      <c r="AN1038">
        <f ca="1"/>
      </c>
      <c r="AO1038">
        <f ca="1"/>
      </c>
      <c r="AP1038">
        <f ca="1"/>
      </c>
      <c r="AQ1038">
        <f ca="1"/>
      </c>
      <c r="AR1038">
        <f ca="1"/>
      </c>
      <c r="AT1038" s="7">
        <f ca="1"/>
      </c>
      <c r="AU1038">
        <f ca="1"/>
      </c>
      <c r="AV1038">
        <f ca="1"/>
      </c>
      <c r="AW1038">
        <f ca="1"/>
      </c>
      <c r="AX1038">
        <f ca="1"/>
      </c>
      <c r="AY1038">
        <f ca="1"/>
      </c>
      <c r="BA1038" s="7"/>
    </row>
    <row r="1039" spans="31:53" x14ac:dyDescent="0.55000000000000004">
      <c r="AE1039" s="7">
        <f ca="1"/>
      </c>
      <c r="AF1039">
        <f ca="1"/>
      </c>
      <c r="AG1039">
        <f ca="1"/>
      </c>
      <c r="AH1039">
        <f ca="1"/>
      </c>
      <c r="AI1039">
        <f ca="1"/>
      </c>
      <c r="AJ1039">
        <f ca="1"/>
      </c>
      <c r="AK1039">
        <f ca="1"/>
      </c>
      <c r="AL1039">
        <f ca="1"/>
      </c>
      <c r="AM1039">
        <f ca="1"/>
      </c>
      <c r="AN1039">
        <f ca="1"/>
      </c>
      <c r="AO1039">
        <f ca="1"/>
      </c>
      <c r="AP1039">
        <f ca="1"/>
      </c>
      <c r="AQ1039">
        <f ca="1"/>
      </c>
      <c r="AR1039">
        <f ca="1"/>
      </c>
      <c r="AT1039" s="7">
        <f ca="1"/>
      </c>
      <c r="AU1039">
        <f ca="1"/>
      </c>
      <c r="AV1039">
        <f ca="1"/>
      </c>
      <c r="AW1039">
        <f ca="1"/>
      </c>
      <c r="AX1039">
        <f ca="1"/>
      </c>
      <c r="AY1039">
        <f ca="1"/>
      </c>
      <c r="BA1039" s="7"/>
    </row>
    <row r="1040" spans="31:53" x14ac:dyDescent="0.55000000000000004">
      <c r="AE1040" s="7">
        <f ca="1"/>
      </c>
      <c r="AF1040">
        <f ca="1"/>
      </c>
      <c r="AG1040">
        <f ca="1"/>
      </c>
      <c r="AH1040">
        <f ca="1"/>
      </c>
      <c r="AI1040">
        <f ca="1"/>
      </c>
      <c r="AJ1040">
        <f ca="1"/>
      </c>
      <c r="AK1040">
        <f ca="1"/>
      </c>
      <c r="AL1040">
        <f ca="1"/>
      </c>
      <c r="AM1040">
        <f ca="1"/>
      </c>
      <c r="AN1040">
        <f ca="1"/>
      </c>
      <c r="AO1040">
        <f ca="1"/>
      </c>
      <c r="AP1040">
        <f ca="1"/>
      </c>
      <c r="AQ1040">
        <f ca="1"/>
      </c>
      <c r="AR1040">
        <f ca="1"/>
      </c>
      <c r="AT1040" s="7">
        <f ca="1"/>
      </c>
      <c r="AU1040">
        <f ca="1"/>
      </c>
      <c r="AV1040">
        <f ca="1"/>
      </c>
      <c r="AW1040">
        <f ca="1"/>
      </c>
      <c r="AX1040">
        <f ca="1"/>
      </c>
      <c r="AY1040">
        <f ca="1"/>
      </c>
      <c r="BA1040" s="7"/>
    </row>
    <row r="1041" spans="31:53" x14ac:dyDescent="0.55000000000000004">
      <c r="AE1041" s="7">
        <f ca="1"/>
      </c>
      <c r="AF1041">
        <f ca="1"/>
      </c>
      <c r="AG1041">
        <f ca="1"/>
      </c>
      <c r="AH1041">
        <f ca="1"/>
      </c>
      <c r="AI1041">
        <f ca="1"/>
      </c>
      <c r="AJ1041">
        <f ca="1"/>
      </c>
      <c r="AK1041">
        <f ca="1"/>
      </c>
      <c r="AL1041">
        <f ca="1"/>
      </c>
      <c r="AM1041">
        <f ca="1"/>
      </c>
      <c r="AN1041">
        <f ca="1"/>
      </c>
      <c r="AO1041">
        <f ca="1"/>
      </c>
      <c r="AP1041">
        <f ca="1"/>
      </c>
      <c r="AQ1041">
        <f ca="1"/>
      </c>
      <c r="AR1041">
        <f ca="1"/>
      </c>
      <c r="AT1041" s="7">
        <f ca="1"/>
      </c>
      <c r="AU1041">
        <f ca="1"/>
      </c>
      <c r="AV1041">
        <f ca="1"/>
      </c>
      <c r="AW1041">
        <f ca="1"/>
      </c>
      <c r="AX1041">
        <f ca="1"/>
      </c>
      <c r="AY1041">
        <f ca="1"/>
      </c>
      <c r="BA1041" s="7"/>
    </row>
    <row r="1042" spans="31:53" x14ac:dyDescent="0.55000000000000004">
      <c r="AE1042" s="7">
        <f ca="1"/>
      </c>
      <c r="AF1042">
        <f ca="1"/>
      </c>
      <c r="AG1042">
        <f ca="1"/>
      </c>
      <c r="AH1042">
        <f ca="1"/>
      </c>
      <c r="AI1042">
        <f ca="1"/>
      </c>
      <c r="AJ1042">
        <f ca="1"/>
      </c>
      <c r="AK1042">
        <f ca="1"/>
      </c>
      <c r="AL1042">
        <f ca="1"/>
      </c>
      <c r="AM1042">
        <f ca="1"/>
      </c>
      <c r="AN1042">
        <f ca="1"/>
      </c>
      <c r="AO1042">
        <f ca="1"/>
      </c>
      <c r="AP1042">
        <f ca="1"/>
      </c>
      <c r="AQ1042">
        <f ca="1"/>
      </c>
      <c r="AR1042">
        <f ca="1"/>
      </c>
      <c r="AT1042" s="7">
        <f ca="1"/>
      </c>
      <c r="AU1042">
        <f ca="1"/>
      </c>
      <c r="AV1042">
        <f ca="1"/>
      </c>
      <c r="AW1042">
        <f ca="1"/>
      </c>
      <c r="AX1042">
        <f ca="1"/>
      </c>
      <c r="AY1042">
        <f ca="1"/>
      </c>
      <c r="BA1042" s="7"/>
    </row>
    <row r="1043" spans="31:53" x14ac:dyDescent="0.55000000000000004">
      <c r="AE1043" s="7">
        <f ca="1"/>
      </c>
      <c r="AF1043">
        <f ca="1"/>
      </c>
      <c r="AG1043">
        <f ca="1"/>
      </c>
      <c r="AH1043">
        <f ca="1"/>
      </c>
      <c r="AI1043">
        <f ca="1"/>
      </c>
      <c r="AJ1043">
        <f ca="1"/>
      </c>
      <c r="AK1043">
        <f ca="1"/>
      </c>
      <c r="AL1043">
        <f ca="1"/>
      </c>
      <c r="AM1043">
        <f ca="1"/>
      </c>
      <c r="AN1043">
        <f ca="1"/>
      </c>
      <c r="AO1043">
        <f ca="1"/>
      </c>
      <c r="AP1043">
        <f ca="1"/>
      </c>
      <c r="AQ1043">
        <f ca="1"/>
      </c>
      <c r="AR1043">
        <f ca="1"/>
      </c>
      <c r="AT1043" s="7">
        <f ca="1"/>
      </c>
      <c r="AU1043">
        <f ca="1"/>
      </c>
      <c r="AV1043">
        <f ca="1"/>
      </c>
      <c r="AW1043">
        <f ca="1"/>
      </c>
      <c r="AX1043">
        <f ca="1"/>
      </c>
      <c r="AY1043">
        <f ca="1"/>
      </c>
      <c r="BA1043" s="7"/>
    </row>
    <row r="1044" spans="31:53" x14ac:dyDescent="0.55000000000000004">
      <c r="AE1044" s="7">
        <f ca="1"/>
      </c>
      <c r="AF1044">
        <f ca="1"/>
      </c>
      <c r="AG1044">
        <f ca="1"/>
      </c>
      <c r="AH1044">
        <f ca="1"/>
      </c>
      <c r="AI1044">
        <f ca="1"/>
      </c>
      <c r="AJ1044">
        <f ca="1"/>
      </c>
      <c r="AK1044">
        <f ca="1"/>
      </c>
      <c r="AL1044">
        <f ca="1"/>
      </c>
      <c r="AM1044">
        <f ca="1"/>
      </c>
      <c r="AN1044">
        <f ca="1"/>
      </c>
      <c r="AO1044">
        <f ca="1"/>
      </c>
      <c r="AP1044">
        <f ca="1"/>
      </c>
      <c r="AQ1044">
        <f ca="1"/>
      </c>
      <c r="AR1044">
        <f ca="1"/>
      </c>
      <c r="AT1044" s="7">
        <f ca="1"/>
      </c>
      <c r="AU1044">
        <f ca="1"/>
      </c>
      <c r="AV1044">
        <f ca="1"/>
      </c>
      <c r="AW1044">
        <f ca="1"/>
      </c>
      <c r="AX1044">
        <f ca="1"/>
      </c>
      <c r="AY1044">
        <f ca="1"/>
      </c>
      <c r="BA1044" s="7"/>
    </row>
    <row r="1045" spans="31:53" x14ac:dyDescent="0.55000000000000004">
      <c r="AE1045" s="7">
        <f ca="1"/>
      </c>
      <c r="AF1045">
        <f ca="1"/>
      </c>
      <c r="AG1045">
        <f ca="1"/>
      </c>
      <c r="AH1045">
        <f ca="1"/>
      </c>
      <c r="AI1045">
        <f ca="1"/>
      </c>
      <c r="AJ1045">
        <f ca="1"/>
      </c>
      <c r="AK1045">
        <f ca="1"/>
      </c>
      <c r="AL1045">
        <f ca="1"/>
      </c>
      <c r="AM1045">
        <f ca="1"/>
      </c>
      <c r="AN1045">
        <f ca="1"/>
      </c>
      <c r="AO1045">
        <f ca="1"/>
      </c>
      <c r="AP1045">
        <f ca="1"/>
      </c>
      <c r="AQ1045">
        <f ca="1"/>
      </c>
      <c r="AR1045">
        <f ca="1"/>
      </c>
      <c r="AT1045" s="7">
        <f ca="1"/>
      </c>
      <c r="AU1045">
        <f ca="1"/>
      </c>
      <c r="AV1045">
        <f ca="1"/>
      </c>
      <c r="AW1045">
        <f ca="1"/>
      </c>
      <c r="AX1045">
        <f ca="1"/>
      </c>
      <c r="AY1045">
        <f ca="1"/>
      </c>
      <c r="BA1045" s="7"/>
    </row>
    <row r="1046" spans="31:53" x14ac:dyDescent="0.55000000000000004">
      <c r="AE1046" s="7">
        <f ca="1"/>
      </c>
      <c r="AF1046">
        <f ca="1"/>
      </c>
      <c r="AG1046">
        <f ca="1"/>
      </c>
      <c r="AH1046">
        <f ca="1"/>
      </c>
      <c r="AI1046">
        <f ca="1"/>
      </c>
      <c r="AJ1046">
        <f ca="1"/>
      </c>
      <c r="AK1046">
        <f ca="1"/>
      </c>
      <c r="AL1046">
        <f ca="1"/>
      </c>
      <c r="AM1046">
        <f ca="1"/>
      </c>
      <c r="AN1046">
        <f ca="1"/>
      </c>
      <c r="AO1046">
        <f ca="1"/>
      </c>
      <c r="AP1046">
        <f ca="1"/>
      </c>
      <c r="AQ1046">
        <f ca="1"/>
      </c>
      <c r="AR1046">
        <f ca="1"/>
      </c>
      <c r="AT1046" s="7">
        <f ca="1"/>
      </c>
      <c r="AU1046">
        <f ca="1"/>
      </c>
      <c r="AV1046">
        <f ca="1"/>
      </c>
      <c r="AW1046">
        <f ca="1"/>
      </c>
      <c r="AX1046">
        <f ca="1"/>
      </c>
      <c r="AY1046">
        <f ca="1"/>
      </c>
      <c r="BA1046" s="7"/>
    </row>
    <row r="1047" spans="31:53" x14ac:dyDescent="0.55000000000000004">
      <c r="AE1047" s="7">
        <f ca="1"/>
      </c>
      <c r="AF1047">
        <f ca="1"/>
      </c>
      <c r="AG1047">
        <f ca="1"/>
      </c>
      <c r="AH1047">
        <f ca="1"/>
      </c>
      <c r="AI1047">
        <f ca="1"/>
      </c>
      <c r="AJ1047">
        <f ca="1"/>
      </c>
      <c r="AK1047">
        <f ca="1"/>
      </c>
      <c r="AL1047">
        <f ca="1"/>
      </c>
      <c r="AM1047">
        <f ca="1"/>
      </c>
      <c r="AN1047">
        <f ca="1"/>
      </c>
      <c r="AO1047">
        <f ca="1"/>
      </c>
      <c r="AP1047">
        <f ca="1"/>
      </c>
      <c r="AQ1047">
        <f ca="1"/>
      </c>
      <c r="AR1047">
        <f ca="1"/>
      </c>
      <c r="AT1047" s="7">
        <f ca="1"/>
      </c>
      <c r="AU1047">
        <f ca="1"/>
      </c>
      <c r="AV1047">
        <f ca="1"/>
      </c>
      <c r="AW1047">
        <f ca="1"/>
      </c>
      <c r="AX1047">
        <f ca="1"/>
      </c>
      <c r="AY1047">
        <f ca="1"/>
      </c>
      <c r="BA1047" s="7"/>
    </row>
    <row r="1048" spans="31:53" x14ac:dyDescent="0.55000000000000004">
      <c r="AE1048" s="7">
        <f ca="1"/>
      </c>
      <c r="AF1048">
        <f ca="1"/>
      </c>
      <c r="AG1048">
        <f ca="1"/>
      </c>
      <c r="AH1048">
        <f ca="1"/>
      </c>
      <c r="AI1048">
        <f ca="1"/>
      </c>
      <c r="AJ1048">
        <f ca="1"/>
      </c>
      <c r="AK1048">
        <f ca="1"/>
      </c>
      <c r="AL1048">
        <f ca="1"/>
      </c>
      <c r="AM1048">
        <f ca="1"/>
      </c>
      <c r="AN1048">
        <f ca="1"/>
      </c>
      <c r="AO1048">
        <f ca="1"/>
      </c>
      <c r="AP1048">
        <f ca="1"/>
      </c>
      <c r="AQ1048">
        <f ca="1"/>
      </c>
      <c r="AR1048">
        <f ca="1"/>
      </c>
      <c r="AT1048" s="7">
        <f ca="1"/>
      </c>
      <c r="AU1048">
        <f ca="1"/>
      </c>
      <c r="AV1048">
        <f ca="1"/>
      </c>
      <c r="AW1048">
        <f ca="1"/>
      </c>
      <c r="AX1048">
        <f ca="1"/>
      </c>
      <c r="AY1048">
        <f ca="1"/>
      </c>
      <c r="BA1048" s="7"/>
    </row>
    <row r="1049" spans="31:53" x14ac:dyDescent="0.55000000000000004">
      <c r="AE1049" s="7">
        <f ca="1"/>
      </c>
      <c r="AF1049">
        <f ca="1"/>
      </c>
      <c r="AG1049">
        <f ca="1"/>
      </c>
      <c r="AH1049">
        <f ca="1"/>
      </c>
      <c r="AI1049">
        <f ca="1"/>
      </c>
      <c r="AJ1049">
        <f ca="1"/>
      </c>
      <c r="AK1049">
        <f ca="1"/>
      </c>
      <c r="AL1049">
        <f ca="1"/>
      </c>
      <c r="AM1049">
        <f ca="1"/>
      </c>
      <c r="AN1049">
        <f ca="1"/>
      </c>
      <c r="AO1049">
        <f ca="1"/>
      </c>
      <c r="AP1049">
        <f ca="1"/>
      </c>
      <c r="AQ1049">
        <f ca="1"/>
      </c>
      <c r="AR1049">
        <f ca="1"/>
      </c>
      <c r="AT1049" s="7">
        <f ca="1"/>
      </c>
      <c r="AU1049">
        <f ca="1"/>
      </c>
      <c r="AV1049">
        <f ca="1"/>
      </c>
      <c r="AW1049">
        <f ca="1"/>
      </c>
      <c r="AX1049">
        <f ca="1"/>
      </c>
      <c r="AY1049">
        <f ca="1"/>
      </c>
      <c r="BA1049" s="7"/>
    </row>
    <row r="1050" spans="31:53" x14ac:dyDescent="0.55000000000000004">
      <c r="AE1050" s="7">
        <f ca="1"/>
      </c>
      <c r="AF1050">
        <f ca="1"/>
      </c>
      <c r="AG1050">
        <f ca="1"/>
      </c>
      <c r="AH1050">
        <f ca="1"/>
      </c>
      <c r="AI1050">
        <f ca="1"/>
      </c>
      <c r="AJ1050">
        <f ca="1"/>
      </c>
      <c r="AK1050">
        <f ca="1"/>
      </c>
      <c r="AL1050">
        <f ca="1"/>
      </c>
      <c r="AM1050">
        <f ca="1"/>
      </c>
      <c r="AN1050">
        <f ca="1"/>
      </c>
      <c r="AO1050">
        <f ca="1"/>
      </c>
      <c r="AP1050">
        <f ca="1"/>
      </c>
      <c r="AQ1050">
        <f ca="1"/>
      </c>
      <c r="AR1050">
        <f ca="1"/>
      </c>
      <c r="AT1050" s="7">
        <f ca="1"/>
      </c>
      <c r="AU1050">
        <f ca="1"/>
      </c>
      <c r="AV1050">
        <f ca="1"/>
      </c>
      <c r="AW1050">
        <f ca="1"/>
      </c>
      <c r="AX1050">
        <f ca="1"/>
      </c>
      <c r="AY1050">
        <f ca="1"/>
      </c>
      <c r="BA1050" s="7"/>
    </row>
    <row r="1051" spans="31:53" x14ac:dyDescent="0.55000000000000004">
      <c r="AE1051" s="7">
        <f ca="1"/>
      </c>
      <c r="AF1051">
        <f ca="1"/>
      </c>
      <c r="AG1051">
        <f ca="1"/>
      </c>
      <c r="AH1051">
        <f ca="1"/>
      </c>
      <c r="AI1051">
        <f ca="1"/>
      </c>
      <c r="AJ1051">
        <f ca="1"/>
      </c>
      <c r="AK1051">
        <f ca="1"/>
      </c>
      <c r="AL1051">
        <f ca="1"/>
      </c>
      <c r="AM1051">
        <f ca="1"/>
      </c>
      <c r="AN1051">
        <f ca="1"/>
      </c>
      <c r="AO1051">
        <f ca="1"/>
      </c>
      <c r="AP1051">
        <f ca="1"/>
      </c>
      <c r="AQ1051">
        <f ca="1"/>
      </c>
      <c r="AR1051">
        <f ca="1"/>
      </c>
      <c r="AT1051" s="7">
        <f ca="1"/>
      </c>
      <c r="AU1051">
        <f ca="1"/>
      </c>
      <c r="AV1051">
        <f ca="1"/>
      </c>
      <c r="AW1051">
        <f ca="1"/>
      </c>
      <c r="AX1051">
        <f ca="1"/>
      </c>
      <c r="AY1051">
        <f ca="1"/>
      </c>
      <c r="BA1051" s="7"/>
    </row>
    <row r="1052" spans="31:53" x14ac:dyDescent="0.55000000000000004">
      <c r="AE1052" s="7">
        <f ca="1"/>
      </c>
      <c r="AF1052">
        <f ca="1"/>
      </c>
      <c r="AG1052">
        <f ca="1"/>
      </c>
      <c r="AH1052">
        <f ca="1"/>
      </c>
      <c r="AI1052">
        <f ca="1"/>
      </c>
      <c r="AJ1052">
        <f ca="1"/>
      </c>
      <c r="AK1052">
        <f ca="1"/>
      </c>
      <c r="AL1052">
        <f ca="1"/>
      </c>
      <c r="AM1052">
        <f ca="1"/>
      </c>
      <c r="AN1052">
        <f ca="1"/>
      </c>
      <c r="AO1052">
        <f ca="1"/>
      </c>
      <c r="AP1052">
        <f ca="1"/>
      </c>
      <c r="AQ1052">
        <f ca="1"/>
      </c>
      <c r="AR1052">
        <f ca="1"/>
      </c>
      <c r="AT1052" s="7">
        <f ca="1"/>
      </c>
      <c r="AU1052">
        <f ca="1"/>
      </c>
      <c r="AV1052">
        <f ca="1"/>
      </c>
      <c r="AW1052">
        <f ca="1"/>
      </c>
      <c r="AX1052">
        <f ca="1"/>
      </c>
      <c r="AY1052">
        <f ca="1"/>
      </c>
      <c r="BA1052" s="7"/>
    </row>
    <row r="1053" spans="31:53" x14ac:dyDescent="0.55000000000000004">
      <c r="AE1053" s="7">
        <f ca="1"/>
      </c>
      <c r="AF1053">
        <f ca="1"/>
      </c>
      <c r="AG1053">
        <f ca="1"/>
      </c>
      <c r="AH1053">
        <f ca="1"/>
      </c>
      <c r="AI1053">
        <f ca="1"/>
      </c>
      <c r="AJ1053">
        <f ca="1"/>
      </c>
      <c r="AK1053">
        <f ca="1"/>
      </c>
      <c r="AL1053">
        <f ca="1"/>
      </c>
      <c r="AM1053">
        <f ca="1"/>
      </c>
      <c r="AN1053">
        <f ca="1"/>
      </c>
      <c r="AO1053">
        <f ca="1"/>
      </c>
      <c r="AP1053">
        <f ca="1"/>
      </c>
      <c r="AQ1053">
        <f ca="1"/>
      </c>
      <c r="AR1053">
        <f ca="1"/>
      </c>
      <c r="AT1053" s="7">
        <f ca="1"/>
      </c>
      <c r="AU1053">
        <f ca="1"/>
      </c>
      <c r="AV1053">
        <f ca="1"/>
      </c>
      <c r="AW1053">
        <f ca="1"/>
      </c>
      <c r="AX1053">
        <f ca="1"/>
      </c>
      <c r="AY1053">
        <f ca="1"/>
      </c>
      <c r="BA1053" s="7"/>
    </row>
    <row r="1054" spans="31:53" x14ac:dyDescent="0.55000000000000004">
      <c r="AE1054" s="7">
        <f ca="1"/>
      </c>
      <c r="AF1054">
        <f ca="1"/>
      </c>
      <c r="AG1054">
        <f ca="1"/>
      </c>
      <c r="AH1054">
        <f ca="1"/>
      </c>
      <c r="AI1054">
        <f ca="1"/>
      </c>
      <c r="AJ1054">
        <f ca="1"/>
      </c>
      <c r="AK1054">
        <f ca="1"/>
      </c>
      <c r="AL1054">
        <f ca="1"/>
      </c>
      <c r="AM1054">
        <f ca="1"/>
      </c>
      <c r="AN1054">
        <f ca="1"/>
      </c>
      <c r="AO1054">
        <f ca="1"/>
      </c>
      <c r="AP1054">
        <f ca="1"/>
      </c>
      <c r="AQ1054">
        <f ca="1"/>
      </c>
      <c r="AR1054">
        <f ca="1"/>
      </c>
      <c r="AT1054" s="7">
        <f ca="1"/>
      </c>
      <c r="AU1054">
        <f ca="1"/>
      </c>
      <c r="AV1054">
        <f ca="1"/>
      </c>
      <c r="AW1054">
        <f ca="1"/>
      </c>
      <c r="AX1054">
        <f ca="1"/>
      </c>
      <c r="AY1054">
        <f ca="1"/>
      </c>
      <c r="BA1054" s="7"/>
    </row>
    <row r="1055" spans="31:53" x14ac:dyDescent="0.55000000000000004">
      <c r="AE1055" s="7">
        <f ca="1"/>
      </c>
      <c r="AF1055">
        <f ca="1"/>
      </c>
      <c r="AG1055">
        <f ca="1"/>
      </c>
      <c r="AH1055">
        <f ca="1"/>
      </c>
      <c r="AI1055">
        <f ca="1"/>
      </c>
      <c r="AJ1055">
        <f ca="1"/>
      </c>
      <c r="AK1055">
        <f ca="1"/>
      </c>
      <c r="AL1055">
        <f ca="1"/>
      </c>
      <c r="AM1055">
        <f ca="1"/>
      </c>
      <c r="AN1055">
        <f ca="1"/>
      </c>
      <c r="AO1055">
        <f ca="1"/>
      </c>
      <c r="AP1055">
        <f ca="1"/>
      </c>
      <c r="AQ1055">
        <f ca="1"/>
      </c>
      <c r="AR1055">
        <f ca="1"/>
      </c>
      <c r="AT1055" s="7">
        <f ca="1"/>
      </c>
      <c r="AU1055">
        <f ca="1"/>
      </c>
      <c r="AV1055">
        <f ca="1"/>
      </c>
      <c r="AW1055">
        <f ca="1"/>
      </c>
      <c r="AX1055">
        <f ca="1"/>
      </c>
      <c r="AY1055">
        <f ca="1"/>
      </c>
      <c r="BA1055" s="7"/>
    </row>
    <row r="1056" spans="31:53" x14ac:dyDescent="0.55000000000000004">
      <c r="AE1056" s="7">
        <f ca="1"/>
      </c>
      <c r="AF1056">
        <f ca="1"/>
      </c>
      <c r="AG1056">
        <f ca="1"/>
      </c>
      <c r="AH1056">
        <f ca="1"/>
      </c>
      <c r="AI1056">
        <f ca="1"/>
      </c>
      <c r="AJ1056">
        <f ca="1"/>
      </c>
      <c r="AK1056">
        <f ca="1"/>
      </c>
      <c r="AL1056">
        <f ca="1"/>
      </c>
      <c r="AM1056">
        <f ca="1"/>
      </c>
      <c r="AN1056">
        <f ca="1"/>
      </c>
      <c r="AO1056">
        <f ca="1"/>
      </c>
      <c r="AP1056">
        <f ca="1"/>
      </c>
      <c r="AQ1056">
        <f ca="1"/>
      </c>
      <c r="AR1056">
        <f ca="1"/>
      </c>
      <c r="AT1056" s="7">
        <f ca="1"/>
      </c>
      <c r="AU1056">
        <f ca="1"/>
      </c>
      <c r="AV1056">
        <f ca="1"/>
      </c>
      <c r="AW1056">
        <f ca="1"/>
      </c>
      <c r="AX1056">
        <f ca="1"/>
      </c>
      <c r="AY1056">
        <f ca="1"/>
      </c>
      <c r="BA1056" s="7"/>
    </row>
    <row r="1057" spans="31:53" x14ac:dyDescent="0.55000000000000004">
      <c r="AE1057" s="7">
        <f ca="1"/>
      </c>
      <c r="AF1057">
        <f ca="1"/>
      </c>
      <c r="AG1057">
        <f ca="1"/>
      </c>
      <c r="AH1057">
        <f ca="1"/>
      </c>
      <c r="AI1057">
        <f ca="1"/>
      </c>
      <c r="AJ1057">
        <f ca="1"/>
      </c>
      <c r="AK1057">
        <f ca="1"/>
      </c>
      <c r="AL1057">
        <f ca="1"/>
      </c>
      <c r="AM1057">
        <f ca="1"/>
      </c>
      <c r="AN1057">
        <f ca="1"/>
      </c>
      <c r="AO1057">
        <f ca="1"/>
      </c>
      <c r="AP1057">
        <f ca="1"/>
      </c>
      <c r="AQ1057">
        <f ca="1"/>
      </c>
      <c r="AR1057">
        <f ca="1"/>
      </c>
      <c r="AT1057" s="7">
        <f ca="1"/>
      </c>
      <c r="AU1057">
        <f ca="1"/>
      </c>
      <c r="AV1057">
        <f ca="1"/>
      </c>
      <c r="AW1057">
        <f ca="1"/>
      </c>
      <c r="AX1057">
        <f ca="1"/>
      </c>
      <c r="AY1057">
        <f ca="1"/>
      </c>
      <c r="BA1057" s="7"/>
    </row>
    <row r="1058" spans="31:53" x14ac:dyDescent="0.55000000000000004">
      <c r="AE1058" s="7">
        <f ca="1"/>
      </c>
      <c r="AF1058">
        <f ca="1"/>
      </c>
      <c r="AG1058">
        <f ca="1"/>
      </c>
      <c r="AH1058">
        <f ca="1"/>
      </c>
      <c r="AI1058">
        <f ca="1"/>
      </c>
      <c r="AJ1058">
        <f ca="1"/>
      </c>
      <c r="AK1058">
        <f ca="1"/>
      </c>
      <c r="AL1058">
        <f ca="1"/>
      </c>
      <c r="AM1058">
        <f ca="1"/>
      </c>
      <c r="AN1058">
        <f ca="1"/>
      </c>
      <c r="AO1058">
        <f ca="1"/>
      </c>
      <c r="AP1058">
        <f ca="1"/>
      </c>
      <c r="AQ1058">
        <f ca="1"/>
      </c>
      <c r="AR1058">
        <f ca="1"/>
      </c>
      <c r="AT1058" s="7">
        <f ca="1"/>
      </c>
      <c r="AU1058">
        <f ca="1"/>
      </c>
      <c r="AV1058">
        <f ca="1"/>
      </c>
      <c r="AW1058">
        <f ca="1"/>
      </c>
      <c r="AX1058">
        <f ca="1"/>
      </c>
      <c r="AY1058">
        <f ca="1"/>
      </c>
      <c r="BA1058" s="7"/>
    </row>
    <row r="1059" spans="31:53" x14ac:dyDescent="0.55000000000000004">
      <c r="AE1059" s="7">
        <f ca="1"/>
      </c>
      <c r="AF1059">
        <f ca="1"/>
      </c>
      <c r="AG1059">
        <f ca="1"/>
      </c>
      <c r="AH1059">
        <f ca="1"/>
      </c>
      <c r="AI1059">
        <f ca="1"/>
      </c>
      <c r="AJ1059">
        <f ca="1"/>
      </c>
      <c r="AK1059">
        <f ca="1"/>
      </c>
      <c r="AL1059">
        <f ca="1"/>
      </c>
      <c r="AM1059">
        <f ca="1"/>
      </c>
      <c r="AN1059">
        <f ca="1"/>
      </c>
      <c r="AO1059">
        <f ca="1"/>
      </c>
      <c r="AP1059">
        <f ca="1"/>
      </c>
      <c r="AQ1059">
        <f ca="1"/>
      </c>
      <c r="AR1059">
        <f ca="1"/>
      </c>
      <c r="AT1059" s="7">
        <f ca="1"/>
      </c>
      <c r="AU1059">
        <f ca="1"/>
      </c>
      <c r="AV1059">
        <f ca="1"/>
      </c>
      <c r="AW1059">
        <f ca="1"/>
      </c>
      <c r="AX1059">
        <f ca="1"/>
      </c>
      <c r="AY1059">
        <f ca="1"/>
      </c>
      <c r="BA1059" s="7"/>
    </row>
    <row r="1060" spans="31:53" x14ac:dyDescent="0.55000000000000004">
      <c r="AE1060" s="7">
        <f ca="1"/>
      </c>
      <c r="AF1060">
        <f ca="1"/>
      </c>
      <c r="AG1060">
        <f ca="1"/>
      </c>
      <c r="AH1060">
        <f ca="1"/>
      </c>
      <c r="AI1060">
        <f ca="1"/>
      </c>
      <c r="AJ1060">
        <f ca="1"/>
      </c>
      <c r="AK1060">
        <f ca="1"/>
      </c>
      <c r="AL1060">
        <f ca="1"/>
      </c>
      <c r="AM1060">
        <f ca="1"/>
      </c>
      <c r="AN1060">
        <f ca="1"/>
      </c>
      <c r="AO1060">
        <f ca="1"/>
      </c>
      <c r="AP1060">
        <f ca="1"/>
      </c>
      <c r="AQ1060">
        <f ca="1"/>
      </c>
      <c r="AR1060">
        <f ca="1"/>
      </c>
      <c r="AT1060" s="7">
        <f ca="1"/>
      </c>
      <c r="AU1060">
        <f ca="1"/>
      </c>
      <c r="AV1060">
        <f ca="1"/>
      </c>
      <c r="AW1060">
        <f ca="1"/>
      </c>
      <c r="AX1060">
        <f ca="1"/>
      </c>
      <c r="AY1060">
        <f ca="1"/>
      </c>
      <c r="BA1060" s="7"/>
    </row>
    <row r="1061" spans="31:53" x14ac:dyDescent="0.55000000000000004">
      <c r="AE1061" s="7">
        <f ca="1"/>
      </c>
      <c r="AF1061">
        <f ca="1"/>
      </c>
      <c r="AG1061">
        <f ca="1"/>
      </c>
      <c r="AH1061">
        <f ca="1"/>
      </c>
      <c r="AI1061">
        <f ca="1"/>
      </c>
      <c r="AJ1061">
        <f ca="1"/>
      </c>
      <c r="AK1061">
        <f ca="1"/>
      </c>
      <c r="AL1061">
        <f ca="1"/>
      </c>
      <c r="AM1061">
        <f ca="1"/>
      </c>
      <c r="AN1061">
        <f ca="1"/>
      </c>
      <c r="AO1061">
        <f ca="1"/>
      </c>
      <c r="AP1061">
        <f ca="1"/>
      </c>
      <c r="AQ1061">
        <f ca="1"/>
      </c>
      <c r="AR1061">
        <f ca="1"/>
      </c>
      <c r="AT1061" s="7">
        <f ca="1"/>
      </c>
      <c r="AU1061">
        <f ca="1"/>
      </c>
      <c r="AV1061">
        <f ca="1"/>
      </c>
      <c r="AW1061">
        <f ca="1"/>
      </c>
      <c r="AX1061">
        <f ca="1"/>
      </c>
      <c r="AY1061">
        <f ca="1"/>
      </c>
      <c r="BA1061" s="7"/>
    </row>
    <row r="1062" spans="31:53" x14ac:dyDescent="0.55000000000000004">
      <c r="AE1062" s="7">
        <f ca="1"/>
      </c>
      <c r="AF1062">
        <f ca="1"/>
      </c>
      <c r="AG1062">
        <f ca="1"/>
      </c>
      <c r="AH1062">
        <f ca="1"/>
      </c>
      <c r="AI1062">
        <f ca="1"/>
      </c>
      <c r="AJ1062">
        <f ca="1"/>
      </c>
      <c r="AK1062">
        <f ca="1"/>
      </c>
      <c r="AL1062">
        <f ca="1"/>
      </c>
      <c r="AM1062">
        <f ca="1"/>
      </c>
      <c r="AN1062">
        <f ca="1"/>
      </c>
      <c r="AO1062">
        <f ca="1"/>
      </c>
      <c r="AP1062">
        <f ca="1"/>
      </c>
      <c r="AQ1062">
        <f ca="1"/>
      </c>
      <c r="AR1062">
        <f ca="1"/>
      </c>
      <c r="AT1062" s="7">
        <f ca="1"/>
      </c>
      <c r="AU1062">
        <f ca="1"/>
      </c>
      <c r="AV1062">
        <f ca="1"/>
      </c>
      <c r="AW1062">
        <f ca="1"/>
      </c>
      <c r="AX1062">
        <f ca="1"/>
      </c>
      <c r="AY1062">
        <f ca="1"/>
      </c>
      <c r="BA1062" s="7"/>
    </row>
    <row r="1063" spans="31:53" x14ac:dyDescent="0.55000000000000004">
      <c r="AE1063" s="7">
        <f ca="1"/>
      </c>
      <c r="AF1063">
        <f ca="1"/>
      </c>
      <c r="AG1063">
        <f ca="1"/>
      </c>
      <c r="AH1063">
        <f ca="1"/>
      </c>
      <c r="AI1063">
        <f ca="1"/>
      </c>
      <c r="AJ1063">
        <f ca="1"/>
      </c>
      <c r="AK1063">
        <f ca="1"/>
      </c>
      <c r="AL1063">
        <f ca="1"/>
      </c>
      <c r="AM1063">
        <f ca="1"/>
      </c>
      <c r="AN1063">
        <f ca="1"/>
      </c>
      <c r="AO1063">
        <f ca="1"/>
      </c>
      <c r="AP1063">
        <f ca="1"/>
      </c>
      <c r="AQ1063">
        <f ca="1"/>
      </c>
      <c r="AR1063">
        <f ca="1"/>
      </c>
      <c r="AT1063" s="7">
        <f ca="1"/>
      </c>
      <c r="AU1063">
        <f ca="1"/>
      </c>
      <c r="AV1063">
        <f ca="1"/>
      </c>
      <c r="AW1063">
        <f ca="1"/>
      </c>
      <c r="AX1063">
        <f ca="1"/>
      </c>
      <c r="AY1063">
        <f ca="1"/>
      </c>
      <c r="BA1063" s="7"/>
    </row>
    <row r="1064" spans="31:53" x14ac:dyDescent="0.55000000000000004">
      <c r="AE1064" s="7">
        <f ca="1"/>
      </c>
      <c r="AF1064">
        <f ca="1"/>
      </c>
      <c r="AG1064">
        <f ca="1"/>
      </c>
      <c r="AH1064">
        <f ca="1"/>
      </c>
      <c r="AI1064">
        <f ca="1"/>
      </c>
      <c r="AJ1064">
        <f ca="1"/>
      </c>
      <c r="AK1064">
        <f ca="1"/>
      </c>
      <c r="AL1064">
        <f ca="1"/>
      </c>
      <c r="AM1064">
        <f ca="1"/>
      </c>
      <c r="AN1064">
        <f ca="1"/>
      </c>
      <c r="AO1064">
        <f ca="1"/>
      </c>
      <c r="AP1064">
        <f ca="1"/>
      </c>
      <c r="AQ1064">
        <f ca="1"/>
      </c>
      <c r="AR1064">
        <f ca="1"/>
      </c>
      <c r="AT1064" s="7">
        <f ca="1"/>
      </c>
      <c r="AU1064">
        <f ca="1"/>
      </c>
      <c r="AV1064">
        <f ca="1"/>
      </c>
      <c r="AW1064">
        <f ca="1"/>
      </c>
      <c r="AX1064">
        <f ca="1"/>
      </c>
      <c r="AY1064">
        <f ca="1"/>
      </c>
      <c r="BA1064" s="7"/>
    </row>
    <row r="1065" spans="31:53" x14ac:dyDescent="0.55000000000000004">
      <c r="AE1065" s="7">
        <f ca="1"/>
      </c>
      <c r="AF1065">
        <f ca="1"/>
      </c>
      <c r="AG1065">
        <f ca="1"/>
      </c>
      <c r="AH1065">
        <f ca="1"/>
      </c>
      <c r="AI1065">
        <f ca="1"/>
      </c>
      <c r="AJ1065">
        <f ca="1"/>
      </c>
      <c r="AK1065">
        <f ca="1"/>
      </c>
      <c r="AL1065">
        <f ca="1"/>
      </c>
      <c r="AM1065">
        <f ca="1"/>
      </c>
      <c r="AN1065">
        <f ca="1"/>
      </c>
      <c r="AO1065">
        <f ca="1"/>
      </c>
      <c r="AP1065">
        <f ca="1"/>
      </c>
      <c r="AQ1065">
        <f ca="1"/>
      </c>
      <c r="AR1065">
        <f ca="1"/>
      </c>
      <c r="AT1065" s="7">
        <f ca="1"/>
      </c>
      <c r="AU1065">
        <f ca="1"/>
      </c>
      <c r="AV1065">
        <f ca="1"/>
      </c>
      <c r="AW1065">
        <f ca="1"/>
      </c>
      <c r="AX1065">
        <f ca="1"/>
      </c>
      <c r="AY1065">
        <f ca="1"/>
      </c>
      <c r="BA1065" s="7"/>
    </row>
    <row r="1066" spans="31:53" x14ac:dyDescent="0.55000000000000004">
      <c r="AE1066" s="7">
        <f ca="1"/>
      </c>
      <c r="AF1066">
        <f ca="1"/>
      </c>
      <c r="AG1066">
        <f ca="1"/>
      </c>
      <c r="AH1066">
        <f ca="1"/>
      </c>
      <c r="AI1066">
        <f ca="1"/>
      </c>
      <c r="AJ1066">
        <f ca="1"/>
      </c>
      <c r="AK1066">
        <f ca="1"/>
      </c>
      <c r="AL1066">
        <f ca="1"/>
      </c>
      <c r="AM1066">
        <f ca="1"/>
      </c>
      <c r="AN1066">
        <f ca="1"/>
      </c>
      <c r="AO1066">
        <f ca="1"/>
      </c>
      <c r="AP1066">
        <f ca="1"/>
      </c>
      <c r="AQ1066">
        <f ca="1"/>
      </c>
      <c r="AR1066">
        <f ca="1"/>
      </c>
      <c r="AT1066" s="7">
        <f ca="1"/>
      </c>
      <c r="AU1066">
        <f ca="1"/>
      </c>
      <c r="AV1066">
        <f ca="1"/>
      </c>
      <c r="AW1066">
        <f ca="1"/>
      </c>
      <c r="AX1066">
        <f ca="1"/>
      </c>
      <c r="AY1066">
        <f ca="1"/>
      </c>
      <c r="BA1066" s="7"/>
    </row>
    <row r="1067" spans="31:53" x14ac:dyDescent="0.55000000000000004">
      <c r="AE1067" s="7">
        <f ca="1"/>
      </c>
      <c r="AF1067">
        <f ca="1"/>
      </c>
      <c r="AG1067">
        <f ca="1"/>
      </c>
      <c r="AH1067">
        <f ca="1"/>
      </c>
      <c r="AI1067">
        <f ca="1"/>
      </c>
      <c r="AJ1067">
        <f ca="1"/>
      </c>
      <c r="AK1067">
        <f ca="1"/>
      </c>
      <c r="AL1067">
        <f ca="1"/>
      </c>
      <c r="AM1067">
        <f ca="1"/>
      </c>
      <c r="AN1067">
        <f ca="1"/>
      </c>
      <c r="AO1067">
        <f ca="1"/>
      </c>
      <c r="AP1067">
        <f ca="1"/>
      </c>
      <c r="AQ1067">
        <f ca="1"/>
      </c>
      <c r="AR1067">
        <f ca="1"/>
      </c>
      <c r="AT1067" s="7">
        <f ca="1"/>
      </c>
      <c r="AU1067">
        <f ca="1"/>
      </c>
      <c r="AV1067">
        <f ca="1"/>
      </c>
      <c r="AW1067">
        <f ca="1"/>
      </c>
      <c r="AX1067">
        <f ca="1"/>
      </c>
      <c r="AY1067">
        <f ca="1"/>
      </c>
      <c r="BA1067" s="7"/>
    </row>
    <row r="1068" spans="31:53" x14ac:dyDescent="0.55000000000000004">
      <c r="AE1068" s="7">
        <f ca="1"/>
      </c>
      <c r="AF1068">
        <f ca="1"/>
      </c>
      <c r="AG1068">
        <f ca="1"/>
      </c>
      <c r="AH1068">
        <f ca="1"/>
      </c>
      <c r="AI1068">
        <f ca="1"/>
      </c>
      <c r="AJ1068">
        <f ca="1"/>
      </c>
      <c r="AK1068">
        <f ca="1"/>
      </c>
      <c r="AL1068">
        <f ca="1"/>
      </c>
      <c r="AM1068">
        <f ca="1"/>
      </c>
      <c r="AN1068">
        <f ca="1"/>
      </c>
      <c r="AO1068">
        <f ca="1"/>
      </c>
      <c r="AP1068">
        <f ca="1"/>
      </c>
      <c r="AQ1068">
        <f ca="1"/>
      </c>
      <c r="AR1068">
        <f ca="1"/>
      </c>
      <c r="AT1068" s="7">
        <f ca="1"/>
      </c>
      <c r="AU1068">
        <f ca="1"/>
      </c>
      <c r="AV1068">
        <f ca="1"/>
      </c>
      <c r="AW1068">
        <f ca="1"/>
      </c>
      <c r="AX1068">
        <f ca="1"/>
      </c>
      <c r="AY1068">
        <f ca="1"/>
      </c>
      <c r="BA1068" s="7"/>
    </row>
    <row r="1069" spans="31:53" x14ac:dyDescent="0.55000000000000004">
      <c r="AE1069" s="7">
        <f ca="1"/>
      </c>
      <c r="AF1069">
        <f ca="1"/>
      </c>
      <c r="AG1069">
        <f ca="1"/>
      </c>
      <c r="AH1069">
        <f ca="1"/>
      </c>
      <c r="AI1069">
        <f ca="1"/>
      </c>
      <c r="AJ1069">
        <f ca="1"/>
      </c>
      <c r="AK1069">
        <f ca="1"/>
      </c>
      <c r="AL1069">
        <f ca="1"/>
      </c>
      <c r="AM1069">
        <f ca="1"/>
      </c>
      <c r="AN1069">
        <f ca="1"/>
      </c>
      <c r="AO1069">
        <f ca="1"/>
      </c>
      <c r="AP1069">
        <f ca="1"/>
      </c>
      <c r="AQ1069">
        <f ca="1"/>
      </c>
      <c r="AR1069">
        <f ca="1"/>
      </c>
      <c r="AT1069" s="7">
        <f ca="1"/>
      </c>
      <c r="AU1069">
        <f ca="1"/>
      </c>
      <c r="AV1069">
        <f ca="1"/>
      </c>
      <c r="AW1069">
        <f ca="1"/>
      </c>
      <c r="AX1069">
        <f ca="1"/>
      </c>
      <c r="AY1069">
        <f ca="1"/>
      </c>
      <c r="BA1069" s="7"/>
    </row>
    <row r="1070" spans="31:53" x14ac:dyDescent="0.55000000000000004">
      <c r="AE1070" s="7">
        <f ca="1"/>
      </c>
      <c r="AF1070">
        <f ca="1"/>
      </c>
      <c r="AG1070">
        <f ca="1"/>
      </c>
      <c r="AH1070">
        <f ca="1"/>
      </c>
      <c r="AI1070">
        <f ca="1"/>
      </c>
      <c r="AJ1070">
        <f ca="1"/>
      </c>
      <c r="AK1070">
        <f ca="1"/>
      </c>
      <c r="AL1070">
        <f ca="1"/>
      </c>
      <c r="AM1070">
        <f ca="1"/>
      </c>
      <c r="AN1070">
        <f ca="1"/>
      </c>
      <c r="AO1070">
        <f ca="1"/>
      </c>
      <c r="AP1070">
        <f ca="1"/>
      </c>
      <c r="AQ1070">
        <f ca="1"/>
      </c>
      <c r="AR1070">
        <f ca="1"/>
      </c>
      <c r="AT1070" s="7">
        <f ca="1"/>
      </c>
      <c r="AU1070">
        <f ca="1"/>
      </c>
      <c r="AV1070">
        <f ca="1"/>
      </c>
      <c r="AW1070">
        <f ca="1"/>
      </c>
      <c r="AX1070">
        <f ca="1"/>
      </c>
      <c r="AY1070">
        <f ca="1"/>
      </c>
      <c r="BA1070" s="7"/>
    </row>
    <row r="1071" spans="31:53" x14ac:dyDescent="0.55000000000000004">
      <c r="AE1071" s="7">
        <f ca="1"/>
      </c>
      <c r="AF1071">
        <f ca="1"/>
      </c>
      <c r="AG1071">
        <f ca="1"/>
      </c>
      <c r="AH1071">
        <f ca="1"/>
      </c>
      <c r="AI1071">
        <f ca="1"/>
      </c>
      <c r="AJ1071">
        <f ca="1"/>
      </c>
      <c r="AK1071">
        <f ca="1"/>
      </c>
      <c r="AL1071">
        <f ca="1"/>
      </c>
      <c r="AM1071">
        <f ca="1"/>
      </c>
      <c r="AN1071">
        <f ca="1"/>
      </c>
      <c r="AO1071">
        <f ca="1"/>
      </c>
      <c r="AP1071">
        <f ca="1"/>
      </c>
      <c r="AQ1071">
        <f ca="1"/>
      </c>
      <c r="AR1071">
        <f ca="1"/>
      </c>
      <c r="AT1071" s="7">
        <f ca="1"/>
      </c>
      <c r="AU1071">
        <f ca="1"/>
      </c>
      <c r="AV1071">
        <f ca="1"/>
      </c>
      <c r="AW1071">
        <f ca="1"/>
      </c>
      <c r="AX1071">
        <f ca="1"/>
      </c>
      <c r="AY1071">
        <f ca="1"/>
      </c>
      <c r="BA1071" s="7"/>
    </row>
    <row r="1072" spans="31:53" x14ac:dyDescent="0.55000000000000004">
      <c r="AE1072" s="7">
        <f ca="1"/>
      </c>
      <c r="AF1072">
        <f ca="1"/>
      </c>
      <c r="AG1072">
        <f ca="1"/>
      </c>
      <c r="AH1072">
        <f ca="1"/>
      </c>
      <c r="AI1072">
        <f ca="1"/>
      </c>
      <c r="AJ1072">
        <f ca="1"/>
      </c>
      <c r="AK1072">
        <f ca="1"/>
      </c>
      <c r="AL1072">
        <f ca="1"/>
      </c>
      <c r="AM1072">
        <f ca="1"/>
      </c>
      <c r="AN1072">
        <f ca="1"/>
      </c>
      <c r="AO1072">
        <f ca="1"/>
      </c>
      <c r="AP1072">
        <f ca="1"/>
      </c>
      <c r="AQ1072">
        <f ca="1"/>
      </c>
      <c r="AR1072">
        <f ca="1"/>
      </c>
      <c r="AT1072" s="7">
        <f ca="1"/>
      </c>
      <c r="AU1072">
        <f ca="1"/>
      </c>
      <c r="AV1072">
        <f ca="1"/>
      </c>
      <c r="AW1072">
        <f ca="1"/>
      </c>
      <c r="AX1072">
        <f ca="1"/>
      </c>
      <c r="AY1072">
        <f ca="1"/>
      </c>
      <c r="BA1072" s="7"/>
    </row>
    <row r="1073" spans="31:53" x14ac:dyDescent="0.55000000000000004">
      <c r="AE1073" s="7">
        <f ca="1"/>
      </c>
      <c r="AF1073">
        <f ca="1"/>
      </c>
      <c r="AG1073">
        <f ca="1"/>
      </c>
      <c r="AH1073">
        <f ca="1"/>
      </c>
      <c r="AI1073">
        <f ca="1"/>
      </c>
      <c r="AJ1073">
        <f ca="1"/>
      </c>
      <c r="AK1073">
        <f ca="1"/>
      </c>
      <c r="AL1073">
        <f ca="1"/>
      </c>
      <c r="AM1073">
        <f ca="1"/>
      </c>
      <c r="AN1073">
        <f ca="1"/>
      </c>
      <c r="AO1073">
        <f ca="1"/>
      </c>
      <c r="AP1073">
        <f ca="1"/>
      </c>
      <c r="AQ1073">
        <f ca="1"/>
      </c>
      <c r="AR1073">
        <f ca="1"/>
      </c>
      <c r="AT1073" s="7">
        <f ca="1"/>
      </c>
      <c r="AU1073">
        <f ca="1"/>
      </c>
      <c r="AV1073">
        <f ca="1"/>
      </c>
      <c r="AW1073">
        <f ca="1"/>
      </c>
      <c r="AX1073">
        <f ca="1"/>
      </c>
      <c r="AY1073">
        <f ca="1"/>
      </c>
      <c r="BA1073" s="7"/>
    </row>
    <row r="1074" spans="31:53" x14ac:dyDescent="0.55000000000000004">
      <c r="AE1074" s="7">
        <f ca="1"/>
      </c>
      <c r="AF1074">
        <f ca="1"/>
      </c>
      <c r="AG1074">
        <f ca="1"/>
      </c>
      <c r="AH1074">
        <f ca="1"/>
      </c>
      <c r="AI1074">
        <f ca="1"/>
      </c>
      <c r="AJ1074">
        <f ca="1"/>
      </c>
      <c r="AK1074">
        <f ca="1"/>
      </c>
      <c r="AL1074">
        <f ca="1"/>
      </c>
      <c r="AM1074">
        <f ca="1"/>
      </c>
      <c r="AN1074">
        <f ca="1"/>
      </c>
      <c r="AO1074">
        <f ca="1"/>
      </c>
      <c r="AP1074">
        <f ca="1"/>
      </c>
      <c r="AQ1074">
        <f ca="1"/>
      </c>
      <c r="AR1074">
        <f ca="1"/>
      </c>
      <c r="AT1074" s="7">
        <f ca="1"/>
      </c>
      <c r="AU1074">
        <f ca="1"/>
      </c>
      <c r="AV1074">
        <f ca="1"/>
      </c>
      <c r="AW1074">
        <f ca="1"/>
      </c>
      <c r="AX1074">
        <f ca="1"/>
      </c>
      <c r="AY1074">
        <f ca="1"/>
      </c>
      <c r="BA1074" s="7"/>
    </row>
    <row r="1075" spans="31:53" x14ac:dyDescent="0.55000000000000004">
      <c r="AE1075" s="7">
        <f ca="1"/>
      </c>
      <c r="AF1075">
        <f ca="1"/>
      </c>
      <c r="AG1075">
        <f ca="1"/>
      </c>
      <c r="AH1075">
        <f ca="1"/>
      </c>
      <c r="AI1075">
        <f ca="1"/>
      </c>
      <c r="AJ1075">
        <f ca="1"/>
      </c>
      <c r="AK1075">
        <f ca="1"/>
      </c>
      <c r="AL1075">
        <f ca="1"/>
      </c>
      <c r="AM1075">
        <f ca="1"/>
      </c>
      <c r="AN1075">
        <f ca="1"/>
      </c>
      <c r="AO1075">
        <f ca="1"/>
      </c>
      <c r="AP1075">
        <f ca="1"/>
      </c>
      <c r="AQ1075">
        <f ca="1"/>
      </c>
      <c r="AR1075">
        <f ca="1"/>
      </c>
      <c r="AT1075" s="7">
        <f ca="1"/>
      </c>
      <c r="AU1075">
        <f ca="1"/>
      </c>
      <c r="AV1075">
        <f ca="1"/>
      </c>
      <c r="AW1075">
        <f ca="1"/>
      </c>
      <c r="AX1075">
        <f ca="1"/>
      </c>
      <c r="AY1075">
        <f ca="1"/>
      </c>
      <c r="BA1075" s="7"/>
    </row>
    <row r="1076" spans="31:53" x14ac:dyDescent="0.55000000000000004">
      <c r="AE1076" s="7">
        <f ca="1"/>
      </c>
      <c r="AF1076">
        <f ca="1"/>
      </c>
      <c r="AG1076">
        <f ca="1"/>
      </c>
      <c r="AH1076">
        <f ca="1"/>
      </c>
      <c r="AI1076">
        <f ca="1"/>
      </c>
      <c r="AJ1076">
        <f ca="1"/>
      </c>
      <c r="AK1076">
        <f ca="1"/>
      </c>
      <c r="AL1076">
        <f ca="1"/>
      </c>
      <c r="AM1076">
        <f ca="1"/>
      </c>
      <c r="AN1076">
        <f ca="1"/>
      </c>
      <c r="AO1076">
        <f ca="1"/>
      </c>
      <c r="AP1076">
        <f ca="1"/>
      </c>
      <c r="AQ1076">
        <f ca="1"/>
      </c>
      <c r="AR1076">
        <f ca="1"/>
      </c>
      <c r="AT1076" s="7">
        <f ca="1"/>
      </c>
      <c r="AU1076">
        <f ca="1"/>
      </c>
      <c r="AV1076">
        <f ca="1"/>
      </c>
      <c r="AW1076">
        <f ca="1"/>
      </c>
      <c r="AX1076">
        <f ca="1"/>
      </c>
      <c r="AY1076">
        <f ca="1"/>
      </c>
      <c r="BA1076" s="7"/>
    </row>
    <row r="1077" spans="31:53" x14ac:dyDescent="0.55000000000000004">
      <c r="AE1077" s="7">
        <f ca="1"/>
      </c>
      <c r="AF1077">
        <f ca="1"/>
      </c>
      <c r="AG1077">
        <f ca="1"/>
      </c>
      <c r="AH1077">
        <f ca="1"/>
      </c>
      <c r="AI1077">
        <f ca="1"/>
      </c>
      <c r="AJ1077">
        <f ca="1"/>
      </c>
      <c r="AK1077">
        <f ca="1"/>
      </c>
      <c r="AL1077">
        <f ca="1"/>
      </c>
      <c r="AM1077">
        <f ca="1"/>
      </c>
      <c r="AN1077">
        <f ca="1"/>
      </c>
      <c r="AO1077">
        <f ca="1"/>
      </c>
      <c r="AP1077">
        <f ca="1"/>
      </c>
      <c r="AQ1077">
        <f ca="1"/>
      </c>
      <c r="AR1077">
        <f ca="1"/>
      </c>
      <c r="AT1077" s="7">
        <f ca="1"/>
      </c>
      <c r="AU1077">
        <f ca="1"/>
      </c>
      <c r="AV1077">
        <f ca="1"/>
      </c>
      <c r="AW1077">
        <f ca="1"/>
      </c>
      <c r="AX1077">
        <f ca="1"/>
      </c>
      <c r="AY1077">
        <f ca="1"/>
      </c>
      <c r="BA1077" s="7"/>
    </row>
    <row r="1078" spans="31:53" x14ac:dyDescent="0.55000000000000004">
      <c r="AE1078" s="7">
        <f ca="1"/>
      </c>
      <c r="AF1078">
        <f ca="1"/>
      </c>
      <c r="AG1078">
        <f ca="1"/>
      </c>
      <c r="AH1078">
        <f ca="1"/>
      </c>
      <c r="AI1078">
        <f ca="1"/>
      </c>
      <c r="AJ1078">
        <f ca="1"/>
      </c>
      <c r="AK1078">
        <f ca="1"/>
      </c>
      <c r="AL1078">
        <f ca="1"/>
      </c>
      <c r="AM1078">
        <f ca="1"/>
      </c>
      <c r="AN1078">
        <f ca="1"/>
      </c>
      <c r="AO1078">
        <f ca="1"/>
      </c>
      <c r="AP1078">
        <f ca="1"/>
      </c>
      <c r="AQ1078">
        <f ca="1"/>
      </c>
      <c r="AR1078">
        <f ca="1"/>
      </c>
      <c r="AT1078" s="7">
        <f ca="1"/>
      </c>
      <c r="AU1078">
        <f ca="1"/>
      </c>
      <c r="AV1078">
        <f ca="1"/>
      </c>
      <c r="AW1078">
        <f ca="1"/>
      </c>
      <c r="AX1078">
        <f ca="1"/>
      </c>
      <c r="AY1078">
        <f ca="1"/>
      </c>
      <c r="BA1078" s="7"/>
    </row>
    <row r="1079" spans="31:53" x14ac:dyDescent="0.55000000000000004">
      <c r="AE1079" s="7">
        <f ca="1"/>
      </c>
      <c r="AF1079">
        <f ca="1"/>
      </c>
      <c r="AG1079">
        <f ca="1"/>
      </c>
      <c r="AH1079">
        <f ca="1"/>
      </c>
      <c r="AI1079">
        <f ca="1"/>
      </c>
      <c r="AJ1079">
        <f ca="1"/>
      </c>
      <c r="AK1079">
        <f ca="1"/>
      </c>
      <c r="AL1079">
        <f ca="1"/>
      </c>
      <c r="AM1079">
        <f ca="1"/>
      </c>
      <c r="AN1079">
        <f ca="1"/>
      </c>
      <c r="AO1079">
        <f ca="1"/>
      </c>
      <c r="AP1079">
        <f ca="1"/>
      </c>
      <c r="AQ1079">
        <f ca="1"/>
      </c>
      <c r="AR1079">
        <f ca="1"/>
      </c>
      <c r="AT1079" s="7">
        <f ca="1"/>
      </c>
      <c r="AU1079">
        <f ca="1"/>
      </c>
      <c r="AV1079">
        <f ca="1"/>
      </c>
      <c r="AW1079">
        <f ca="1"/>
      </c>
      <c r="AX1079">
        <f ca="1"/>
      </c>
      <c r="AY1079">
        <f ca="1"/>
      </c>
      <c r="BA1079" s="7"/>
    </row>
    <row r="1080" spans="31:53" x14ac:dyDescent="0.55000000000000004">
      <c r="AE1080" s="7">
        <f ca="1"/>
      </c>
      <c r="AF1080">
        <f ca="1"/>
      </c>
      <c r="AG1080">
        <f ca="1"/>
      </c>
      <c r="AH1080">
        <f ca="1"/>
      </c>
      <c r="AI1080">
        <f ca="1"/>
      </c>
      <c r="AJ1080">
        <f ca="1"/>
      </c>
      <c r="AK1080">
        <f ca="1"/>
      </c>
      <c r="AL1080">
        <f ca="1"/>
      </c>
      <c r="AM1080">
        <f ca="1"/>
      </c>
      <c r="AN1080">
        <f ca="1"/>
      </c>
      <c r="AO1080">
        <f ca="1"/>
      </c>
      <c r="AP1080">
        <f ca="1"/>
      </c>
      <c r="AQ1080">
        <f ca="1"/>
      </c>
      <c r="AR1080">
        <f ca="1"/>
      </c>
      <c r="AT1080" s="7">
        <f ca="1"/>
      </c>
      <c r="AU1080">
        <f ca="1"/>
      </c>
      <c r="AV1080">
        <f ca="1"/>
      </c>
      <c r="AW1080">
        <f ca="1"/>
      </c>
      <c r="AX1080">
        <f ca="1"/>
      </c>
      <c r="AY1080">
        <f ca="1"/>
      </c>
      <c r="BA1080" s="7"/>
    </row>
    <row r="1081" spans="31:53" x14ac:dyDescent="0.55000000000000004">
      <c r="AE1081" s="7">
        <f ca="1"/>
      </c>
      <c r="AF1081">
        <f ca="1"/>
      </c>
      <c r="AG1081">
        <f ca="1"/>
      </c>
      <c r="AH1081">
        <f ca="1"/>
      </c>
      <c r="AI1081">
        <f ca="1"/>
      </c>
      <c r="AJ1081">
        <f ca="1"/>
      </c>
      <c r="AK1081">
        <f ca="1"/>
      </c>
      <c r="AL1081">
        <f ca="1"/>
      </c>
      <c r="AM1081">
        <f ca="1"/>
      </c>
      <c r="AN1081">
        <f ca="1"/>
      </c>
      <c r="AO1081">
        <f ca="1"/>
      </c>
      <c r="AP1081">
        <f ca="1"/>
      </c>
      <c r="AQ1081">
        <f ca="1"/>
      </c>
      <c r="AR1081">
        <f ca="1"/>
      </c>
      <c r="AT1081" s="7">
        <f ca="1"/>
      </c>
      <c r="AU1081">
        <f ca="1"/>
      </c>
      <c r="AV1081">
        <f ca="1"/>
      </c>
      <c r="AW1081">
        <f ca="1"/>
      </c>
      <c r="AX1081">
        <f ca="1"/>
      </c>
      <c r="AY1081">
        <f ca="1"/>
      </c>
      <c r="BA1081" s="7"/>
    </row>
    <row r="1082" spans="31:53" x14ac:dyDescent="0.55000000000000004">
      <c r="AE1082" s="7">
        <f ca="1"/>
      </c>
      <c r="AF1082">
        <f ca="1"/>
      </c>
      <c r="AG1082">
        <f ca="1"/>
      </c>
      <c r="AH1082">
        <f ca="1"/>
      </c>
      <c r="AI1082">
        <f ca="1"/>
      </c>
      <c r="AJ1082">
        <f ca="1"/>
      </c>
      <c r="AK1082">
        <f ca="1"/>
      </c>
      <c r="AL1082">
        <f ca="1"/>
      </c>
      <c r="AM1082">
        <f ca="1"/>
      </c>
      <c r="AN1082">
        <f ca="1"/>
      </c>
      <c r="AO1082">
        <f ca="1"/>
      </c>
      <c r="AP1082">
        <f ca="1"/>
      </c>
      <c r="AQ1082">
        <f ca="1"/>
      </c>
      <c r="AR1082">
        <f ca="1"/>
      </c>
      <c r="AT1082" s="7">
        <f ca="1"/>
      </c>
      <c r="AU1082">
        <f ca="1"/>
      </c>
      <c r="AV1082">
        <f ca="1"/>
      </c>
      <c r="AW1082">
        <f ca="1"/>
      </c>
      <c r="AX1082">
        <f ca="1"/>
      </c>
      <c r="AY1082">
        <f ca="1"/>
      </c>
      <c r="BA1082" s="7"/>
    </row>
    <row r="1083" spans="31:53" x14ac:dyDescent="0.55000000000000004">
      <c r="AE1083" s="7">
        <f ca="1"/>
      </c>
      <c r="AF1083">
        <f ca="1"/>
      </c>
      <c r="AG1083">
        <f ca="1"/>
      </c>
      <c r="AH1083">
        <f ca="1"/>
      </c>
      <c r="AI1083">
        <f ca="1"/>
      </c>
      <c r="AJ1083">
        <f ca="1"/>
      </c>
      <c r="AK1083">
        <f ca="1"/>
      </c>
      <c r="AL1083">
        <f ca="1"/>
      </c>
      <c r="AM1083">
        <f ca="1"/>
      </c>
      <c r="AN1083">
        <f ca="1"/>
      </c>
      <c r="AO1083">
        <f ca="1"/>
      </c>
      <c r="AP1083">
        <f ca="1"/>
      </c>
      <c r="AQ1083">
        <f ca="1"/>
      </c>
      <c r="AR1083">
        <f ca="1"/>
      </c>
      <c r="AT1083" s="7">
        <f ca="1"/>
      </c>
      <c r="AU1083">
        <f ca="1"/>
      </c>
      <c r="AV1083">
        <f ca="1"/>
      </c>
      <c r="AW1083">
        <f ca="1"/>
      </c>
      <c r="AX1083">
        <f ca="1"/>
      </c>
      <c r="AY1083">
        <f ca="1"/>
      </c>
      <c r="BA1083" s="7"/>
    </row>
    <row r="1084" spans="31:53" x14ac:dyDescent="0.55000000000000004">
      <c r="AE1084" s="7">
        <f ca="1"/>
      </c>
      <c r="AF1084">
        <f ca="1"/>
      </c>
      <c r="AG1084">
        <f ca="1"/>
      </c>
      <c r="AH1084">
        <f ca="1"/>
      </c>
      <c r="AI1084">
        <f ca="1"/>
      </c>
      <c r="AJ1084">
        <f ca="1"/>
      </c>
      <c r="AK1084">
        <f ca="1"/>
      </c>
      <c r="AL1084">
        <f ca="1"/>
      </c>
      <c r="AM1084">
        <f ca="1"/>
      </c>
      <c r="AN1084">
        <f ca="1"/>
      </c>
      <c r="AO1084">
        <f ca="1"/>
      </c>
      <c r="AP1084">
        <f ca="1"/>
      </c>
      <c r="AQ1084">
        <f ca="1"/>
      </c>
      <c r="AR1084">
        <f ca="1"/>
      </c>
      <c r="AT1084" s="7">
        <f ca="1"/>
      </c>
      <c r="AU1084">
        <f ca="1"/>
      </c>
      <c r="AV1084">
        <f ca="1"/>
      </c>
      <c r="AW1084">
        <f ca="1"/>
      </c>
      <c r="AX1084">
        <f ca="1"/>
      </c>
      <c r="AY1084">
        <f ca="1"/>
      </c>
      <c r="BA1084" s="7"/>
    </row>
    <row r="1085" spans="31:53" x14ac:dyDescent="0.55000000000000004">
      <c r="AE1085" s="7">
        <f ca="1"/>
      </c>
      <c r="AF1085">
        <f ca="1"/>
      </c>
      <c r="AG1085">
        <f ca="1"/>
      </c>
      <c r="AH1085">
        <f ca="1"/>
      </c>
      <c r="AI1085">
        <f ca="1"/>
      </c>
      <c r="AJ1085">
        <f ca="1"/>
      </c>
      <c r="AK1085">
        <f ca="1"/>
      </c>
      <c r="AL1085">
        <f ca="1"/>
      </c>
      <c r="AM1085">
        <f ca="1"/>
      </c>
      <c r="AN1085">
        <f ca="1"/>
      </c>
      <c r="AO1085">
        <f ca="1"/>
      </c>
      <c r="AP1085">
        <f ca="1"/>
      </c>
      <c r="AQ1085">
        <f ca="1"/>
      </c>
      <c r="AR1085">
        <f ca="1"/>
      </c>
      <c r="AT1085" s="7">
        <f ca="1"/>
      </c>
      <c r="AU1085">
        <f ca="1"/>
      </c>
      <c r="AV1085">
        <f ca="1"/>
      </c>
      <c r="AW1085">
        <f ca="1"/>
      </c>
      <c r="AX1085">
        <f ca="1"/>
      </c>
      <c r="AY1085">
        <f ca="1"/>
      </c>
      <c r="BA1085" s="7"/>
    </row>
    <row r="1086" spans="31:53" x14ac:dyDescent="0.55000000000000004">
      <c r="AE1086" s="7">
        <f ca="1"/>
      </c>
      <c r="AF1086">
        <f ca="1"/>
      </c>
      <c r="AG1086">
        <f ca="1"/>
      </c>
      <c r="AH1086">
        <f ca="1"/>
      </c>
      <c r="AI1086">
        <f ca="1"/>
      </c>
      <c r="AJ1086">
        <f ca="1"/>
      </c>
      <c r="AK1086">
        <f ca="1"/>
      </c>
      <c r="AL1086">
        <f ca="1"/>
      </c>
      <c r="AM1086">
        <f ca="1"/>
      </c>
      <c r="AN1086">
        <f ca="1"/>
      </c>
      <c r="AO1086">
        <f ca="1"/>
      </c>
      <c r="AP1086">
        <f ca="1"/>
      </c>
      <c r="AQ1086">
        <f ca="1"/>
      </c>
      <c r="AR1086">
        <f ca="1"/>
      </c>
      <c r="AT1086" s="7">
        <f ca="1"/>
      </c>
      <c r="AU1086">
        <f ca="1"/>
      </c>
      <c r="AV1086">
        <f ca="1"/>
      </c>
      <c r="AW1086">
        <f ca="1"/>
      </c>
      <c r="AX1086">
        <f ca="1"/>
      </c>
      <c r="AY1086">
        <f ca="1"/>
      </c>
      <c r="BA1086" s="7"/>
    </row>
    <row r="1087" spans="31:53" x14ac:dyDescent="0.55000000000000004">
      <c r="AE1087" s="7">
        <f ca="1"/>
      </c>
      <c r="AF1087">
        <f ca="1"/>
      </c>
      <c r="AG1087">
        <f ca="1"/>
      </c>
      <c r="AH1087">
        <f ca="1"/>
      </c>
      <c r="AI1087">
        <f ca="1"/>
      </c>
      <c r="AJ1087">
        <f ca="1"/>
      </c>
      <c r="AK1087">
        <f ca="1"/>
      </c>
      <c r="AL1087">
        <f ca="1"/>
      </c>
      <c r="AM1087">
        <f ca="1"/>
      </c>
      <c r="AN1087">
        <f ca="1"/>
      </c>
      <c r="AO1087">
        <f ca="1"/>
      </c>
      <c r="AP1087">
        <f ca="1"/>
      </c>
      <c r="AQ1087">
        <f ca="1"/>
      </c>
      <c r="AR1087">
        <f ca="1"/>
      </c>
      <c r="AT1087" s="7">
        <f ca="1"/>
      </c>
      <c r="AU1087">
        <f ca="1"/>
      </c>
      <c r="AV1087">
        <f ca="1"/>
      </c>
      <c r="AW1087">
        <f ca="1"/>
      </c>
      <c r="AX1087">
        <f ca="1"/>
      </c>
      <c r="AY1087">
        <f ca="1"/>
      </c>
      <c r="BA1087" s="7"/>
    </row>
    <row r="1088" spans="31:53" x14ac:dyDescent="0.55000000000000004">
      <c r="AE1088" s="7">
        <f ca="1"/>
      </c>
      <c r="AF1088">
        <f ca="1"/>
      </c>
      <c r="AG1088">
        <f ca="1"/>
      </c>
      <c r="AH1088">
        <f ca="1"/>
      </c>
      <c r="AI1088">
        <f ca="1"/>
      </c>
      <c r="AJ1088">
        <f ca="1"/>
      </c>
      <c r="AK1088">
        <f ca="1"/>
      </c>
      <c r="AL1088">
        <f ca="1"/>
      </c>
      <c r="AM1088">
        <f ca="1"/>
      </c>
      <c r="AN1088">
        <f ca="1"/>
      </c>
      <c r="AO1088">
        <f ca="1"/>
      </c>
      <c r="AP1088">
        <f ca="1"/>
      </c>
      <c r="AQ1088">
        <f ca="1"/>
      </c>
      <c r="AR1088">
        <f ca="1"/>
      </c>
      <c r="AT1088" s="7">
        <f ca="1"/>
      </c>
      <c r="AU1088">
        <f ca="1"/>
      </c>
      <c r="AV1088">
        <f ca="1"/>
      </c>
      <c r="AW1088">
        <f ca="1"/>
      </c>
      <c r="AX1088">
        <f ca="1"/>
      </c>
      <c r="AY1088">
        <f ca="1"/>
      </c>
      <c r="BA1088" s="7"/>
    </row>
    <row r="1089" spans="31:53" x14ac:dyDescent="0.55000000000000004">
      <c r="AE1089" s="7">
        <f ca="1"/>
      </c>
      <c r="AF1089">
        <f ca="1"/>
      </c>
      <c r="AG1089">
        <f ca="1"/>
      </c>
      <c r="AH1089">
        <f ca="1"/>
      </c>
      <c r="AI1089">
        <f ca="1"/>
      </c>
      <c r="AJ1089">
        <f ca="1"/>
      </c>
      <c r="AK1089">
        <f ca="1"/>
      </c>
      <c r="AL1089">
        <f ca="1"/>
      </c>
      <c r="AM1089">
        <f ca="1"/>
      </c>
      <c r="AN1089">
        <f ca="1"/>
      </c>
      <c r="AO1089">
        <f ca="1"/>
      </c>
      <c r="AP1089">
        <f ca="1"/>
      </c>
      <c r="AQ1089">
        <f ca="1"/>
      </c>
      <c r="AR1089">
        <f ca="1"/>
      </c>
      <c r="AT1089" s="7">
        <f ca="1"/>
      </c>
      <c r="AU1089">
        <f ca="1"/>
      </c>
      <c r="AV1089">
        <f ca="1"/>
      </c>
      <c r="AW1089">
        <f ca="1"/>
      </c>
      <c r="AX1089">
        <f ca="1"/>
      </c>
      <c r="AY1089">
        <f ca="1"/>
      </c>
      <c r="BA1089" s="7"/>
    </row>
    <row r="1090" spans="31:53" x14ac:dyDescent="0.55000000000000004">
      <c r="AE1090" s="7">
        <f ca="1"/>
      </c>
      <c r="AF1090">
        <f ca="1"/>
      </c>
      <c r="AG1090">
        <f ca="1"/>
      </c>
      <c r="AH1090">
        <f ca="1"/>
      </c>
      <c r="AI1090">
        <f ca="1"/>
      </c>
      <c r="AJ1090">
        <f ca="1"/>
      </c>
      <c r="AK1090">
        <f ca="1"/>
      </c>
      <c r="AL1090">
        <f ca="1"/>
      </c>
      <c r="AM1090">
        <f ca="1"/>
      </c>
      <c r="AN1090">
        <f ca="1"/>
      </c>
      <c r="AO1090">
        <f ca="1"/>
      </c>
      <c r="AP1090">
        <f ca="1"/>
      </c>
      <c r="AQ1090">
        <f ca="1"/>
      </c>
      <c r="AR1090">
        <f ca="1"/>
      </c>
      <c r="AT1090" s="7">
        <f ca="1"/>
      </c>
      <c r="AU1090">
        <f ca="1"/>
      </c>
      <c r="AV1090">
        <f ca="1"/>
      </c>
      <c r="AW1090">
        <f ca="1"/>
      </c>
      <c r="AX1090">
        <f ca="1"/>
      </c>
      <c r="AY1090">
        <f ca="1"/>
      </c>
      <c r="BA1090" s="7"/>
    </row>
    <row r="1091" spans="31:53" x14ac:dyDescent="0.55000000000000004">
      <c r="AE1091" s="7">
        <f ca="1"/>
      </c>
      <c r="AF1091">
        <f ca="1"/>
      </c>
      <c r="AG1091">
        <f ca="1"/>
      </c>
      <c r="AH1091">
        <f ca="1"/>
      </c>
      <c r="AI1091">
        <f ca="1"/>
      </c>
      <c r="AJ1091">
        <f ca="1"/>
      </c>
      <c r="AK1091">
        <f ca="1"/>
      </c>
      <c r="AL1091">
        <f ca="1"/>
      </c>
      <c r="AM1091">
        <f ca="1"/>
      </c>
      <c r="AN1091">
        <f ca="1"/>
      </c>
      <c r="AO1091">
        <f ca="1"/>
      </c>
      <c r="AP1091">
        <f ca="1"/>
      </c>
      <c r="AQ1091">
        <f ca="1"/>
      </c>
      <c r="AR1091">
        <f ca="1"/>
      </c>
      <c r="AT1091" s="7">
        <f ca="1"/>
      </c>
      <c r="AU1091">
        <f ca="1"/>
      </c>
      <c r="AV1091">
        <f ca="1"/>
      </c>
      <c r="AW1091">
        <f ca="1"/>
      </c>
      <c r="AX1091">
        <f ca="1"/>
      </c>
      <c r="AY1091">
        <f ca="1"/>
      </c>
      <c r="BA1091" s="7"/>
    </row>
    <row r="1092" spans="31:53" x14ac:dyDescent="0.55000000000000004">
      <c r="AE1092" s="7">
        <f ca="1"/>
      </c>
      <c r="AF1092">
        <f ca="1"/>
      </c>
      <c r="AG1092">
        <f ca="1"/>
      </c>
      <c r="AH1092">
        <f ca="1"/>
      </c>
      <c r="AI1092">
        <f ca="1"/>
      </c>
      <c r="AJ1092">
        <f ca="1"/>
      </c>
      <c r="AK1092">
        <f ca="1"/>
      </c>
      <c r="AL1092">
        <f ca="1"/>
      </c>
      <c r="AM1092">
        <f ca="1"/>
      </c>
      <c r="AN1092">
        <f ca="1"/>
      </c>
      <c r="AO1092">
        <f ca="1"/>
      </c>
      <c r="AP1092">
        <f ca="1"/>
      </c>
      <c r="AQ1092">
        <f ca="1"/>
      </c>
      <c r="AR1092">
        <f ca="1"/>
      </c>
      <c r="AT1092" s="7">
        <f ca="1"/>
      </c>
      <c r="AU1092">
        <f ca="1"/>
      </c>
      <c r="AV1092">
        <f ca="1"/>
      </c>
      <c r="AW1092">
        <f ca="1"/>
      </c>
      <c r="AX1092">
        <f ca="1"/>
      </c>
      <c r="AY1092">
        <f ca="1"/>
      </c>
      <c r="BA1092" s="7"/>
    </row>
    <row r="1093" spans="31:53" x14ac:dyDescent="0.55000000000000004">
      <c r="AE1093" s="7">
        <f ca="1"/>
      </c>
      <c r="AF1093">
        <f ca="1"/>
      </c>
      <c r="AG1093">
        <f ca="1"/>
      </c>
      <c r="AH1093">
        <f ca="1"/>
      </c>
      <c r="AI1093">
        <f ca="1"/>
      </c>
      <c r="AJ1093">
        <f ca="1"/>
      </c>
      <c r="AK1093">
        <f ca="1"/>
      </c>
      <c r="AL1093">
        <f ca="1"/>
      </c>
      <c r="AM1093">
        <f ca="1"/>
      </c>
      <c r="AN1093">
        <f ca="1"/>
      </c>
      <c r="AO1093">
        <f ca="1"/>
      </c>
      <c r="AP1093">
        <f ca="1"/>
      </c>
      <c r="AQ1093">
        <f ca="1"/>
      </c>
      <c r="AR1093">
        <f ca="1"/>
      </c>
      <c r="AT1093" s="7">
        <f ca="1"/>
      </c>
      <c r="AU1093">
        <f ca="1"/>
      </c>
      <c r="AV1093">
        <f ca="1"/>
      </c>
      <c r="AW1093">
        <f ca="1"/>
      </c>
      <c r="AX1093">
        <f ca="1"/>
      </c>
      <c r="AY1093">
        <f ca="1"/>
      </c>
      <c r="BA1093" s="7"/>
    </row>
    <row r="1094" spans="31:53" x14ac:dyDescent="0.55000000000000004">
      <c r="AE1094" s="7">
        <f ca="1"/>
      </c>
      <c r="AF1094">
        <f ca="1"/>
      </c>
      <c r="AG1094">
        <f ca="1"/>
      </c>
      <c r="AH1094">
        <f ca="1"/>
      </c>
      <c r="AI1094">
        <f ca="1"/>
      </c>
      <c r="AJ1094">
        <f ca="1"/>
      </c>
      <c r="AK1094">
        <f ca="1"/>
      </c>
      <c r="AL1094">
        <f ca="1"/>
      </c>
      <c r="AM1094">
        <f ca="1"/>
      </c>
      <c r="AN1094">
        <f ca="1"/>
      </c>
      <c r="AO1094">
        <f ca="1"/>
      </c>
      <c r="AP1094">
        <f ca="1"/>
      </c>
      <c r="AQ1094">
        <f ca="1"/>
      </c>
      <c r="AR1094">
        <f ca="1"/>
      </c>
      <c r="AT1094" s="7">
        <f ca="1"/>
      </c>
      <c r="AU1094">
        <f ca="1"/>
      </c>
      <c r="AV1094">
        <f ca="1"/>
      </c>
      <c r="AW1094">
        <f ca="1"/>
      </c>
      <c r="AX1094">
        <f ca="1"/>
      </c>
      <c r="AY1094">
        <f ca="1"/>
      </c>
      <c r="BA1094" s="7"/>
    </row>
    <row r="1095" spans="31:53" x14ac:dyDescent="0.55000000000000004">
      <c r="AE1095" s="7">
        <f ca="1"/>
      </c>
      <c r="AF1095">
        <f ca="1"/>
      </c>
      <c r="AG1095">
        <f ca="1"/>
      </c>
      <c r="AH1095">
        <f ca="1"/>
      </c>
      <c r="AI1095">
        <f ca="1"/>
      </c>
      <c r="AJ1095">
        <f ca="1"/>
      </c>
      <c r="AK1095">
        <f ca="1"/>
      </c>
      <c r="AL1095">
        <f ca="1"/>
      </c>
      <c r="AM1095">
        <f ca="1"/>
      </c>
      <c r="AN1095">
        <f ca="1"/>
      </c>
      <c r="AO1095">
        <f ca="1"/>
      </c>
      <c r="AP1095">
        <f ca="1"/>
      </c>
      <c r="AQ1095">
        <f ca="1"/>
      </c>
      <c r="AR1095">
        <f ca="1"/>
      </c>
      <c r="AT1095" s="7">
        <f ca="1"/>
      </c>
      <c r="AU1095">
        <f ca="1"/>
      </c>
      <c r="AV1095">
        <f ca="1"/>
      </c>
      <c r="AW1095">
        <f ca="1"/>
      </c>
      <c r="AX1095">
        <f ca="1"/>
      </c>
      <c r="AY1095">
        <f ca="1"/>
      </c>
      <c r="BA1095" s="7"/>
    </row>
    <row r="1096" spans="31:53" x14ac:dyDescent="0.55000000000000004">
      <c r="AE1096" s="7">
        <f ca="1"/>
      </c>
      <c r="AF1096">
        <f ca="1"/>
      </c>
      <c r="AG1096">
        <f ca="1"/>
      </c>
      <c r="AH1096">
        <f ca="1"/>
      </c>
      <c r="AI1096">
        <f ca="1"/>
      </c>
      <c r="AJ1096">
        <f ca="1"/>
      </c>
      <c r="AK1096">
        <f ca="1"/>
      </c>
      <c r="AL1096">
        <f ca="1"/>
      </c>
      <c r="AM1096">
        <f ca="1"/>
      </c>
      <c r="AN1096">
        <f ca="1"/>
      </c>
      <c r="AO1096">
        <f ca="1"/>
      </c>
      <c r="AP1096">
        <f ca="1"/>
      </c>
      <c r="AQ1096">
        <f ca="1"/>
      </c>
      <c r="AR1096">
        <f ca="1"/>
      </c>
      <c r="AT1096" s="7">
        <f ca="1"/>
      </c>
      <c r="AU1096">
        <f ca="1"/>
      </c>
      <c r="AV1096">
        <f ca="1"/>
      </c>
      <c r="AW1096">
        <f ca="1"/>
      </c>
      <c r="AX1096">
        <f ca="1"/>
      </c>
      <c r="AY1096">
        <f ca="1"/>
      </c>
      <c r="BA1096" s="7"/>
    </row>
    <row r="1097" spans="31:53" x14ac:dyDescent="0.55000000000000004">
      <c r="AE1097" s="7">
        <f ca="1"/>
      </c>
      <c r="AF1097">
        <f ca="1"/>
      </c>
      <c r="AG1097">
        <f ca="1"/>
      </c>
      <c r="AH1097">
        <f ca="1"/>
      </c>
      <c r="AI1097">
        <f ca="1"/>
      </c>
      <c r="AJ1097">
        <f ca="1"/>
      </c>
      <c r="AK1097">
        <f ca="1"/>
      </c>
      <c r="AL1097">
        <f ca="1"/>
      </c>
      <c r="AM1097">
        <f ca="1"/>
      </c>
      <c r="AN1097">
        <f ca="1"/>
      </c>
      <c r="AO1097">
        <f ca="1"/>
      </c>
      <c r="AP1097">
        <f ca="1"/>
      </c>
      <c r="AQ1097">
        <f ca="1"/>
      </c>
      <c r="AR1097">
        <f ca="1"/>
      </c>
      <c r="AT1097" s="7">
        <f ca="1"/>
      </c>
      <c r="AU1097">
        <f ca="1"/>
      </c>
      <c r="AV1097">
        <f ca="1"/>
      </c>
      <c r="AW1097">
        <f ca="1"/>
      </c>
      <c r="AX1097">
        <f ca="1"/>
      </c>
      <c r="AY1097">
        <f ca="1"/>
      </c>
      <c r="BA1097" s="7"/>
    </row>
    <row r="1098" spans="31:53" x14ac:dyDescent="0.55000000000000004">
      <c r="AE1098" s="7">
        <f ca="1"/>
      </c>
      <c r="AF1098">
        <f ca="1"/>
      </c>
      <c r="AG1098">
        <f ca="1"/>
      </c>
      <c r="AH1098">
        <f ca="1"/>
      </c>
      <c r="AI1098">
        <f ca="1"/>
      </c>
      <c r="AJ1098">
        <f ca="1"/>
      </c>
      <c r="AK1098">
        <f ca="1"/>
      </c>
      <c r="AL1098">
        <f ca="1"/>
      </c>
      <c r="AM1098">
        <f ca="1"/>
      </c>
      <c r="AN1098">
        <f ca="1"/>
      </c>
      <c r="AO1098">
        <f ca="1"/>
      </c>
      <c r="AP1098">
        <f ca="1"/>
      </c>
      <c r="AQ1098">
        <f ca="1"/>
      </c>
      <c r="AR1098">
        <f ca="1"/>
      </c>
      <c r="AT1098" s="7">
        <f ca="1"/>
      </c>
      <c r="AU1098">
        <f ca="1"/>
      </c>
      <c r="AV1098">
        <f ca="1"/>
      </c>
      <c r="AW1098">
        <f ca="1"/>
      </c>
      <c r="AX1098">
        <f ca="1"/>
      </c>
      <c r="AY1098">
        <f ca="1"/>
      </c>
      <c r="BA1098" s="7"/>
    </row>
    <row r="1099" spans="31:53" x14ac:dyDescent="0.55000000000000004">
      <c r="AE1099" s="7">
        <f ca="1"/>
      </c>
      <c r="AF1099">
        <f ca="1"/>
      </c>
      <c r="AG1099">
        <f ca="1"/>
      </c>
      <c r="AH1099">
        <f ca="1"/>
      </c>
      <c r="AI1099">
        <f ca="1"/>
      </c>
      <c r="AJ1099">
        <f ca="1"/>
      </c>
      <c r="AK1099">
        <f ca="1"/>
      </c>
      <c r="AL1099">
        <f ca="1"/>
      </c>
      <c r="AM1099">
        <f ca="1"/>
      </c>
      <c r="AN1099">
        <f ca="1"/>
      </c>
      <c r="AO1099">
        <f ca="1"/>
      </c>
      <c r="AP1099">
        <f ca="1"/>
      </c>
      <c r="AQ1099">
        <f ca="1"/>
      </c>
      <c r="AR1099">
        <f ca="1"/>
      </c>
      <c r="AT1099" s="7">
        <f ca="1"/>
      </c>
      <c r="AU1099">
        <f ca="1"/>
      </c>
      <c r="AV1099">
        <f ca="1"/>
      </c>
      <c r="AW1099">
        <f ca="1"/>
      </c>
      <c r="AX1099">
        <f ca="1"/>
      </c>
      <c r="AY1099">
        <f ca="1"/>
      </c>
      <c r="BA1099" s="7"/>
    </row>
    <row r="1100" spans="31:53" x14ac:dyDescent="0.55000000000000004">
      <c r="AE1100" s="7">
        <f ca="1"/>
      </c>
      <c r="AF1100">
        <f ca="1"/>
      </c>
      <c r="AG1100">
        <f ca="1"/>
      </c>
      <c r="AH1100">
        <f ca="1"/>
      </c>
      <c r="AI1100">
        <f ca="1"/>
      </c>
      <c r="AJ1100">
        <f ca="1"/>
      </c>
      <c r="AK1100">
        <f ca="1"/>
      </c>
      <c r="AL1100">
        <f ca="1"/>
      </c>
      <c r="AM1100">
        <f ca="1"/>
      </c>
      <c r="AN1100">
        <f ca="1"/>
      </c>
      <c r="AO1100">
        <f ca="1"/>
      </c>
      <c r="AP1100">
        <f ca="1"/>
      </c>
      <c r="AQ1100">
        <f ca="1"/>
      </c>
      <c r="AR1100">
        <f ca="1"/>
      </c>
      <c r="AT1100" s="7">
        <f ca="1"/>
      </c>
      <c r="AU1100">
        <f ca="1"/>
      </c>
      <c r="AV1100">
        <f ca="1"/>
      </c>
      <c r="AW1100">
        <f ca="1"/>
      </c>
      <c r="AX1100">
        <f ca="1"/>
      </c>
      <c r="AY1100">
        <f ca="1"/>
      </c>
      <c r="BA1100" s="7"/>
    </row>
    <row r="1101" spans="31:53" x14ac:dyDescent="0.55000000000000004">
      <c r="AE1101" s="7">
        <f ca="1"/>
      </c>
      <c r="AF1101">
        <f ca="1"/>
      </c>
      <c r="AG1101">
        <f ca="1"/>
      </c>
      <c r="AH1101">
        <f ca="1"/>
      </c>
      <c r="AI1101">
        <f ca="1"/>
      </c>
      <c r="AJ1101">
        <f ca="1"/>
      </c>
      <c r="AK1101">
        <f ca="1"/>
      </c>
      <c r="AL1101">
        <f ca="1"/>
      </c>
      <c r="AM1101">
        <f ca="1"/>
      </c>
      <c r="AN1101">
        <f ca="1"/>
      </c>
      <c r="AO1101">
        <f ca="1"/>
      </c>
      <c r="AP1101">
        <f ca="1"/>
      </c>
      <c r="AQ1101">
        <f ca="1"/>
      </c>
      <c r="AR1101">
        <f ca="1"/>
      </c>
      <c r="AT1101" s="7">
        <f ca="1"/>
      </c>
      <c r="AU1101">
        <f ca="1"/>
      </c>
      <c r="AV1101">
        <f ca="1"/>
      </c>
      <c r="AW1101">
        <f ca="1"/>
      </c>
      <c r="AX1101">
        <f ca="1"/>
      </c>
      <c r="AY1101">
        <f ca="1"/>
      </c>
      <c r="BA1101" s="7"/>
    </row>
    <row r="1102" spans="31:53" x14ac:dyDescent="0.55000000000000004">
      <c r="AE1102" s="7">
        <f ca="1"/>
      </c>
      <c r="AF1102">
        <f ca="1"/>
      </c>
      <c r="AG1102">
        <f ca="1"/>
      </c>
      <c r="AH1102">
        <f ca="1"/>
      </c>
      <c r="AI1102">
        <f ca="1"/>
      </c>
      <c r="AJ1102">
        <f ca="1"/>
      </c>
      <c r="AK1102">
        <f ca="1"/>
      </c>
      <c r="AL1102">
        <f ca="1"/>
      </c>
      <c r="AM1102">
        <f ca="1"/>
      </c>
      <c r="AN1102">
        <f ca="1"/>
      </c>
      <c r="AO1102">
        <f ca="1"/>
      </c>
      <c r="AP1102">
        <f ca="1"/>
      </c>
      <c r="AQ1102">
        <f ca="1"/>
      </c>
      <c r="AR1102">
        <f ca="1"/>
      </c>
      <c r="AT1102" s="7">
        <f ca="1"/>
      </c>
      <c r="AU1102">
        <f ca="1"/>
      </c>
      <c r="AV1102">
        <f ca="1"/>
      </c>
      <c r="AW1102">
        <f ca="1"/>
      </c>
      <c r="AX1102">
        <f ca="1"/>
      </c>
      <c r="AY1102">
        <f ca="1"/>
      </c>
      <c r="BA1102" s="7"/>
    </row>
    <row r="1103" spans="31:53" x14ac:dyDescent="0.55000000000000004">
      <c r="AE1103" s="7">
        <f ca="1"/>
      </c>
      <c r="AF1103">
        <f ca="1"/>
      </c>
      <c r="AG1103">
        <f ca="1"/>
      </c>
      <c r="AH1103">
        <f ca="1"/>
      </c>
      <c r="AI1103">
        <f ca="1"/>
      </c>
      <c r="AJ1103">
        <f ca="1"/>
      </c>
      <c r="AK1103">
        <f ca="1"/>
      </c>
      <c r="AL1103">
        <f ca="1"/>
      </c>
      <c r="AM1103">
        <f ca="1"/>
      </c>
      <c r="AN1103">
        <f ca="1"/>
      </c>
      <c r="AO1103">
        <f ca="1"/>
      </c>
      <c r="AP1103">
        <f ca="1"/>
      </c>
      <c r="AQ1103">
        <f ca="1"/>
      </c>
      <c r="AR1103">
        <f ca="1"/>
      </c>
      <c r="AT1103" s="7">
        <f ca="1"/>
      </c>
      <c r="AU1103">
        <f ca="1"/>
      </c>
      <c r="AV1103">
        <f ca="1"/>
      </c>
      <c r="AW1103">
        <f ca="1"/>
      </c>
      <c r="AX1103">
        <f ca="1"/>
      </c>
      <c r="AY1103">
        <f ca="1"/>
      </c>
      <c r="BA1103" s="7"/>
    </row>
    <row r="1104" spans="31:53" x14ac:dyDescent="0.55000000000000004">
      <c r="AE1104" s="7">
        <f ca="1"/>
      </c>
      <c r="AF1104">
        <f ca="1"/>
      </c>
      <c r="AG1104">
        <f ca="1"/>
      </c>
      <c r="AH1104">
        <f ca="1"/>
      </c>
      <c r="AI1104">
        <f ca="1"/>
      </c>
      <c r="AJ1104">
        <f ca="1"/>
      </c>
      <c r="AK1104">
        <f ca="1"/>
      </c>
      <c r="AL1104">
        <f ca="1"/>
      </c>
      <c r="AM1104">
        <f ca="1"/>
      </c>
      <c r="AN1104">
        <f ca="1"/>
      </c>
      <c r="AO1104">
        <f ca="1"/>
      </c>
      <c r="AP1104">
        <f ca="1"/>
      </c>
      <c r="AQ1104">
        <f ca="1"/>
      </c>
      <c r="AR1104">
        <f ca="1"/>
      </c>
      <c r="AT1104" s="7">
        <f ca="1"/>
      </c>
      <c r="AU1104">
        <f ca="1"/>
      </c>
      <c r="AV1104">
        <f ca="1"/>
      </c>
      <c r="AW1104">
        <f ca="1"/>
      </c>
      <c r="AX1104">
        <f ca="1"/>
      </c>
      <c r="AY1104">
        <f ca="1"/>
      </c>
      <c r="BA1104" s="7"/>
    </row>
    <row r="1105" spans="31:53" x14ac:dyDescent="0.55000000000000004">
      <c r="AE1105" s="7">
        <f ca="1"/>
      </c>
      <c r="AF1105">
        <f ca="1"/>
      </c>
      <c r="AG1105">
        <f ca="1"/>
      </c>
      <c r="AH1105">
        <f ca="1"/>
      </c>
      <c r="AI1105">
        <f ca="1"/>
      </c>
      <c r="AJ1105">
        <f ca="1"/>
      </c>
      <c r="AK1105">
        <f ca="1"/>
      </c>
      <c r="AL1105">
        <f ca="1"/>
      </c>
      <c r="AM1105">
        <f ca="1"/>
      </c>
      <c r="AN1105">
        <f ca="1"/>
      </c>
      <c r="AO1105">
        <f ca="1"/>
      </c>
      <c r="AP1105">
        <f ca="1"/>
      </c>
      <c r="AQ1105">
        <f ca="1"/>
      </c>
      <c r="AR1105">
        <f ca="1"/>
      </c>
      <c r="AT1105" s="7">
        <f ca="1"/>
      </c>
      <c r="AU1105">
        <f ca="1"/>
      </c>
      <c r="AV1105">
        <f ca="1"/>
      </c>
      <c r="AW1105">
        <f ca="1"/>
      </c>
      <c r="AX1105">
        <f ca="1"/>
      </c>
      <c r="AY1105">
        <f ca="1"/>
      </c>
      <c r="BA1105" s="7"/>
    </row>
    <row r="1106" spans="31:53" x14ac:dyDescent="0.55000000000000004">
      <c r="AE1106" s="7">
        <f ca="1"/>
      </c>
      <c r="AF1106">
        <f ca="1"/>
      </c>
      <c r="AG1106">
        <f ca="1"/>
      </c>
      <c r="AH1106">
        <f ca="1"/>
      </c>
      <c r="AI1106">
        <f ca="1"/>
      </c>
      <c r="AJ1106">
        <f ca="1"/>
      </c>
      <c r="AK1106">
        <f ca="1"/>
      </c>
      <c r="AL1106">
        <f ca="1"/>
      </c>
      <c r="AM1106">
        <f ca="1"/>
      </c>
      <c r="AN1106">
        <f ca="1"/>
      </c>
      <c r="AO1106">
        <f ca="1"/>
      </c>
      <c r="AP1106">
        <f ca="1"/>
      </c>
      <c r="AQ1106">
        <f ca="1"/>
      </c>
      <c r="AR1106">
        <f ca="1"/>
      </c>
      <c r="AT1106" s="7">
        <f ca="1"/>
      </c>
      <c r="AU1106">
        <f ca="1"/>
      </c>
      <c r="AV1106">
        <f ca="1"/>
      </c>
      <c r="AW1106">
        <f ca="1"/>
      </c>
      <c r="AX1106">
        <f ca="1"/>
      </c>
      <c r="AY1106">
        <f ca="1"/>
      </c>
      <c r="BA1106" s="7"/>
    </row>
    <row r="1107" spans="31:53" x14ac:dyDescent="0.55000000000000004">
      <c r="AE1107" s="7">
        <f ca="1"/>
      </c>
      <c r="AF1107">
        <f ca="1"/>
      </c>
      <c r="AG1107">
        <f ca="1"/>
      </c>
      <c r="AH1107">
        <f ca="1"/>
      </c>
      <c r="AI1107">
        <f ca="1"/>
      </c>
      <c r="AJ1107">
        <f ca="1"/>
      </c>
      <c r="AK1107">
        <f ca="1"/>
      </c>
      <c r="AL1107">
        <f ca="1"/>
      </c>
      <c r="AM1107">
        <f ca="1"/>
      </c>
      <c r="AN1107">
        <f ca="1"/>
      </c>
      <c r="AO1107">
        <f ca="1"/>
      </c>
      <c r="AP1107">
        <f ca="1"/>
      </c>
      <c r="AQ1107">
        <f ca="1"/>
      </c>
      <c r="AR1107">
        <f ca="1"/>
      </c>
      <c r="AT1107" s="7">
        <f ca="1"/>
      </c>
      <c r="AU1107">
        <f ca="1"/>
      </c>
      <c r="AV1107">
        <f ca="1"/>
      </c>
      <c r="AW1107">
        <f ca="1"/>
      </c>
      <c r="AX1107">
        <f ca="1"/>
      </c>
      <c r="AY1107">
        <f ca="1"/>
      </c>
      <c r="BA1107" s="7"/>
    </row>
    <row r="1108" spans="31:53" x14ac:dyDescent="0.55000000000000004">
      <c r="AE1108" s="7">
        <f ca="1"/>
      </c>
      <c r="AF1108">
        <f ca="1"/>
      </c>
      <c r="AG1108">
        <f ca="1"/>
      </c>
      <c r="AH1108">
        <f ca="1"/>
      </c>
      <c r="AI1108">
        <f ca="1"/>
      </c>
      <c r="AJ1108">
        <f ca="1"/>
      </c>
      <c r="AK1108">
        <f ca="1"/>
      </c>
      <c r="AL1108">
        <f ca="1"/>
      </c>
      <c r="AM1108">
        <f ca="1"/>
      </c>
      <c r="AN1108">
        <f ca="1"/>
      </c>
      <c r="AO1108">
        <f ca="1"/>
      </c>
      <c r="AP1108">
        <f ca="1"/>
      </c>
      <c r="AQ1108">
        <f ca="1"/>
      </c>
      <c r="AR1108">
        <f ca="1"/>
      </c>
      <c r="AT1108" s="7">
        <f ca="1"/>
      </c>
      <c r="AU1108">
        <f ca="1"/>
      </c>
      <c r="AV1108">
        <f ca="1"/>
      </c>
      <c r="AW1108">
        <f ca="1"/>
      </c>
      <c r="AX1108">
        <f ca="1"/>
      </c>
      <c r="AY1108">
        <f ca="1"/>
      </c>
      <c r="BA1108" s="7"/>
    </row>
    <row r="1109" spans="31:53" x14ac:dyDescent="0.55000000000000004">
      <c r="AE1109" s="7">
        <f ca="1"/>
      </c>
      <c r="AF1109">
        <f ca="1"/>
      </c>
      <c r="AG1109">
        <f ca="1"/>
      </c>
      <c r="AH1109">
        <f ca="1"/>
      </c>
      <c r="AI1109">
        <f ca="1"/>
      </c>
      <c r="AJ1109">
        <f ca="1"/>
      </c>
      <c r="AK1109">
        <f ca="1"/>
      </c>
      <c r="AL1109">
        <f ca="1"/>
      </c>
      <c r="AM1109">
        <f ca="1"/>
      </c>
      <c r="AN1109">
        <f ca="1"/>
      </c>
      <c r="AO1109">
        <f ca="1"/>
      </c>
      <c r="AP1109">
        <f ca="1"/>
      </c>
      <c r="AQ1109">
        <f ca="1"/>
      </c>
      <c r="AR1109">
        <f ca="1"/>
      </c>
      <c r="AT1109" s="7">
        <f ca="1"/>
      </c>
      <c r="AU1109">
        <f ca="1"/>
      </c>
      <c r="AV1109">
        <f ca="1"/>
      </c>
      <c r="AW1109">
        <f ca="1"/>
      </c>
      <c r="AX1109">
        <f ca="1"/>
      </c>
      <c r="AY1109">
        <f ca="1"/>
      </c>
      <c r="BA1109" s="7"/>
    </row>
    <row r="1110" spans="31:53" x14ac:dyDescent="0.55000000000000004">
      <c r="AE1110" s="7">
        <f ca="1"/>
      </c>
      <c r="AF1110">
        <f ca="1"/>
      </c>
      <c r="AG1110">
        <f ca="1"/>
      </c>
      <c r="AH1110">
        <f ca="1"/>
      </c>
      <c r="AI1110">
        <f ca="1"/>
      </c>
      <c r="AJ1110">
        <f ca="1"/>
      </c>
      <c r="AK1110">
        <f ca="1"/>
      </c>
      <c r="AL1110">
        <f ca="1"/>
      </c>
      <c r="AM1110">
        <f ca="1"/>
      </c>
      <c r="AN1110">
        <f ca="1"/>
      </c>
      <c r="AO1110">
        <f ca="1"/>
      </c>
      <c r="AP1110">
        <f ca="1"/>
      </c>
      <c r="AQ1110">
        <f ca="1"/>
      </c>
      <c r="AR1110">
        <f ca="1"/>
      </c>
      <c r="AT1110" s="7">
        <f ca="1"/>
      </c>
      <c r="AU1110">
        <f ca="1"/>
      </c>
      <c r="AV1110">
        <f ca="1"/>
      </c>
      <c r="AW1110">
        <f ca="1"/>
      </c>
      <c r="AX1110">
        <f ca="1"/>
      </c>
      <c r="AY1110">
        <f ca="1"/>
      </c>
      <c r="BA1110" s="7"/>
    </row>
    <row r="1111" spans="31:53" x14ac:dyDescent="0.55000000000000004">
      <c r="AE1111" s="7">
        <f ca="1"/>
      </c>
      <c r="AF1111">
        <f ca="1"/>
      </c>
      <c r="AG1111">
        <f ca="1"/>
      </c>
      <c r="AH1111">
        <f ca="1"/>
      </c>
      <c r="AI1111">
        <f ca="1"/>
      </c>
      <c r="AJ1111">
        <f ca="1"/>
      </c>
      <c r="AK1111">
        <f ca="1"/>
      </c>
      <c r="AL1111">
        <f ca="1"/>
      </c>
      <c r="AM1111">
        <f ca="1"/>
      </c>
      <c r="AN1111">
        <f ca="1"/>
      </c>
      <c r="AO1111">
        <f ca="1"/>
      </c>
      <c r="AP1111">
        <f ca="1"/>
      </c>
      <c r="AQ1111">
        <f ca="1"/>
      </c>
      <c r="AR1111">
        <f ca="1"/>
      </c>
      <c r="AT1111" s="7">
        <f ca="1"/>
      </c>
      <c r="AU1111">
        <f ca="1"/>
      </c>
      <c r="AV1111">
        <f ca="1"/>
      </c>
      <c r="AW1111">
        <f ca="1"/>
      </c>
      <c r="AX1111">
        <f ca="1"/>
      </c>
      <c r="AY1111">
        <f ca="1"/>
      </c>
      <c r="BA1111" s="7"/>
    </row>
    <row r="1112" spans="31:53" x14ac:dyDescent="0.55000000000000004">
      <c r="AE1112" s="7">
        <f ca="1"/>
      </c>
      <c r="AF1112">
        <f ca="1"/>
      </c>
      <c r="AG1112">
        <f ca="1"/>
      </c>
      <c r="AH1112">
        <f ca="1"/>
      </c>
      <c r="AI1112">
        <f ca="1"/>
      </c>
      <c r="AJ1112">
        <f ca="1"/>
      </c>
      <c r="AK1112">
        <f ca="1"/>
      </c>
      <c r="AL1112">
        <f ca="1"/>
      </c>
      <c r="AM1112">
        <f ca="1"/>
      </c>
      <c r="AN1112">
        <f ca="1"/>
      </c>
      <c r="AO1112">
        <f ca="1"/>
      </c>
      <c r="AP1112">
        <f ca="1"/>
      </c>
      <c r="AQ1112">
        <f ca="1"/>
      </c>
      <c r="AR1112">
        <f ca="1"/>
      </c>
      <c r="AT1112" s="7">
        <f ca="1"/>
      </c>
      <c r="AU1112">
        <f ca="1"/>
      </c>
      <c r="AV1112">
        <f ca="1"/>
      </c>
      <c r="AW1112">
        <f ca="1"/>
      </c>
      <c r="AX1112">
        <f ca="1"/>
      </c>
      <c r="AY1112">
        <f ca="1"/>
      </c>
      <c r="BA1112" s="7"/>
    </row>
    <row r="1113" spans="31:53" x14ac:dyDescent="0.55000000000000004">
      <c r="AE1113" s="7">
        <f ca="1"/>
      </c>
      <c r="AF1113">
        <f ca="1"/>
      </c>
      <c r="AG1113">
        <f ca="1"/>
      </c>
      <c r="AH1113">
        <f ca="1"/>
      </c>
      <c r="AI1113">
        <f ca="1"/>
      </c>
      <c r="AJ1113">
        <f ca="1"/>
      </c>
      <c r="AK1113">
        <f ca="1"/>
      </c>
      <c r="AL1113">
        <f ca="1"/>
      </c>
      <c r="AM1113">
        <f ca="1"/>
      </c>
      <c r="AN1113">
        <f ca="1"/>
      </c>
      <c r="AO1113">
        <f ca="1"/>
      </c>
      <c r="AP1113">
        <f ca="1"/>
      </c>
      <c r="AQ1113">
        <f ca="1"/>
      </c>
      <c r="AR1113">
        <f ca="1"/>
      </c>
      <c r="AT1113" s="7">
        <f ca="1"/>
      </c>
      <c r="AU1113">
        <f ca="1"/>
      </c>
      <c r="AV1113">
        <f ca="1"/>
      </c>
      <c r="AW1113">
        <f ca="1"/>
      </c>
      <c r="AX1113">
        <f ca="1"/>
      </c>
      <c r="AY1113">
        <f ca="1"/>
      </c>
      <c r="BA1113" s="7"/>
    </row>
    <row r="1114" spans="31:53" x14ac:dyDescent="0.55000000000000004">
      <c r="AE1114" s="7">
        <f ca="1"/>
      </c>
      <c r="AF1114">
        <f ca="1"/>
      </c>
      <c r="AG1114">
        <f ca="1"/>
      </c>
      <c r="AH1114">
        <f ca="1"/>
      </c>
      <c r="AI1114">
        <f ca="1"/>
      </c>
      <c r="AJ1114">
        <f ca="1"/>
      </c>
      <c r="AK1114">
        <f ca="1"/>
      </c>
      <c r="AL1114">
        <f ca="1"/>
      </c>
      <c r="AM1114">
        <f ca="1"/>
      </c>
      <c r="AN1114">
        <f ca="1"/>
      </c>
      <c r="AO1114">
        <f ca="1"/>
      </c>
      <c r="AP1114">
        <f ca="1"/>
      </c>
      <c r="AQ1114">
        <f ca="1"/>
      </c>
      <c r="AR1114">
        <f ca="1"/>
      </c>
      <c r="AT1114" s="7">
        <f ca="1"/>
      </c>
      <c r="AU1114">
        <f ca="1"/>
      </c>
      <c r="AV1114">
        <f ca="1"/>
      </c>
      <c r="AW1114">
        <f ca="1"/>
      </c>
      <c r="AX1114">
        <f ca="1"/>
      </c>
      <c r="AY1114">
        <f ca="1"/>
      </c>
      <c r="BA1114" s="7"/>
    </row>
    <row r="1115" spans="31:53" x14ac:dyDescent="0.55000000000000004">
      <c r="AE1115" s="7">
        <f ca="1"/>
      </c>
      <c r="AF1115">
        <f ca="1"/>
      </c>
      <c r="AG1115">
        <f ca="1"/>
      </c>
      <c r="AH1115">
        <f ca="1"/>
      </c>
      <c r="AI1115">
        <f ca="1"/>
      </c>
      <c r="AJ1115">
        <f ca="1"/>
      </c>
      <c r="AK1115">
        <f ca="1"/>
      </c>
      <c r="AL1115">
        <f ca="1"/>
      </c>
      <c r="AM1115">
        <f ca="1"/>
      </c>
      <c r="AN1115">
        <f ca="1"/>
      </c>
      <c r="AO1115">
        <f ca="1"/>
      </c>
      <c r="AP1115">
        <f ca="1"/>
      </c>
      <c r="AQ1115">
        <f ca="1"/>
      </c>
      <c r="AR1115">
        <f ca="1"/>
      </c>
      <c r="AT1115" s="7">
        <f ca="1"/>
      </c>
      <c r="AU1115">
        <f ca="1"/>
      </c>
      <c r="AV1115">
        <f ca="1"/>
      </c>
      <c r="AW1115">
        <f ca="1"/>
      </c>
      <c r="AX1115">
        <f ca="1"/>
      </c>
      <c r="AY1115">
        <f ca="1"/>
      </c>
      <c r="BA1115" s="7"/>
    </row>
    <row r="1116" spans="31:53" x14ac:dyDescent="0.55000000000000004">
      <c r="AE1116" s="7">
        <f ca="1"/>
      </c>
      <c r="AF1116">
        <f ca="1"/>
      </c>
      <c r="AG1116">
        <f ca="1"/>
      </c>
      <c r="AH1116">
        <f ca="1"/>
      </c>
      <c r="AI1116">
        <f ca="1"/>
      </c>
      <c r="AJ1116">
        <f ca="1"/>
      </c>
      <c r="AK1116">
        <f ca="1"/>
      </c>
      <c r="AL1116">
        <f ca="1"/>
      </c>
      <c r="AM1116">
        <f ca="1"/>
      </c>
      <c r="AN1116">
        <f ca="1"/>
      </c>
      <c r="AO1116">
        <f ca="1"/>
      </c>
      <c r="AP1116">
        <f ca="1"/>
      </c>
      <c r="AQ1116">
        <f ca="1"/>
      </c>
      <c r="AR1116">
        <f ca="1"/>
      </c>
      <c r="AT1116" s="7">
        <f ca="1"/>
      </c>
      <c r="AU1116">
        <f ca="1"/>
      </c>
      <c r="AV1116">
        <f ca="1"/>
      </c>
      <c r="AW1116">
        <f ca="1"/>
      </c>
      <c r="AX1116">
        <f ca="1"/>
      </c>
      <c r="AY1116">
        <f ca="1"/>
      </c>
      <c r="BA1116" s="7"/>
    </row>
    <row r="1117" spans="31:53" x14ac:dyDescent="0.55000000000000004">
      <c r="AE1117" s="7">
        <f ca="1"/>
      </c>
      <c r="AF1117">
        <f ca="1"/>
      </c>
      <c r="AG1117">
        <f ca="1"/>
      </c>
      <c r="AH1117">
        <f ca="1"/>
      </c>
      <c r="AI1117">
        <f ca="1"/>
      </c>
      <c r="AJ1117">
        <f ca="1"/>
      </c>
      <c r="AK1117">
        <f ca="1"/>
      </c>
      <c r="AL1117">
        <f ca="1"/>
      </c>
      <c r="AM1117">
        <f ca="1"/>
      </c>
      <c r="AN1117">
        <f ca="1"/>
      </c>
      <c r="AO1117">
        <f ca="1"/>
      </c>
      <c r="AP1117">
        <f ca="1"/>
      </c>
      <c r="AQ1117">
        <f ca="1"/>
      </c>
      <c r="AR1117">
        <f ca="1"/>
      </c>
      <c r="AT1117" s="7">
        <f ca="1"/>
      </c>
      <c r="AU1117">
        <f ca="1"/>
      </c>
      <c r="AV1117">
        <f ca="1"/>
      </c>
      <c r="AW1117">
        <f ca="1"/>
      </c>
      <c r="AX1117">
        <f ca="1"/>
      </c>
      <c r="AY1117">
        <f ca="1"/>
      </c>
      <c r="BA1117" s="7"/>
    </row>
    <row r="1118" spans="31:53" x14ac:dyDescent="0.55000000000000004">
      <c r="AE1118" s="7">
        <f ca="1"/>
      </c>
      <c r="AF1118">
        <f ca="1"/>
      </c>
      <c r="AG1118">
        <f ca="1"/>
      </c>
      <c r="AH1118">
        <f ca="1"/>
      </c>
      <c r="AI1118">
        <f ca="1"/>
      </c>
      <c r="AJ1118">
        <f ca="1"/>
      </c>
      <c r="AK1118">
        <f ca="1"/>
      </c>
      <c r="AL1118">
        <f ca="1"/>
      </c>
      <c r="AM1118">
        <f ca="1"/>
      </c>
      <c r="AN1118">
        <f ca="1"/>
      </c>
      <c r="AO1118">
        <f ca="1"/>
      </c>
      <c r="AP1118">
        <f ca="1"/>
      </c>
      <c r="AQ1118">
        <f ca="1"/>
      </c>
      <c r="AR1118">
        <f ca="1"/>
      </c>
      <c r="AT1118" s="7">
        <f ca="1"/>
      </c>
      <c r="AU1118">
        <f ca="1"/>
      </c>
      <c r="AV1118">
        <f ca="1"/>
      </c>
      <c r="AW1118">
        <f ca="1"/>
      </c>
      <c r="AX1118">
        <f ca="1"/>
      </c>
      <c r="AY1118">
        <f ca="1"/>
      </c>
      <c r="BA1118" s="7"/>
    </row>
    <row r="1119" spans="31:53" x14ac:dyDescent="0.55000000000000004">
      <c r="AE1119" s="7">
        <f ca="1"/>
      </c>
      <c r="AF1119">
        <f ca="1"/>
      </c>
      <c r="AG1119">
        <f ca="1"/>
      </c>
      <c r="AH1119">
        <f ca="1"/>
      </c>
      <c r="AI1119">
        <f ca="1"/>
      </c>
      <c r="AJ1119">
        <f ca="1"/>
      </c>
      <c r="AK1119">
        <f ca="1"/>
      </c>
      <c r="AL1119">
        <f ca="1"/>
      </c>
      <c r="AM1119">
        <f ca="1"/>
      </c>
      <c r="AN1119">
        <f ca="1"/>
      </c>
      <c r="AO1119">
        <f ca="1"/>
      </c>
      <c r="AP1119">
        <f ca="1"/>
      </c>
      <c r="AQ1119">
        <f ca="1"/>
      </c>
      <c r="AR1119">
        <f ca="1"/>
      </c>
      <c r="AT1119" s="7">
        <f ca="1"/>
      </c>
      <c r="AU1119">
        <f ca="1"/>
      </c>
      <c r="AV1119">
        <f ca="1"/>
      </c>
      <c r="AW1119">
        <f ca="1"/>
      </c>
      <c r="AX1119">
        <f ca="1"/>
      </c>
      <c r="AY1119">
        <f ca="1"/>
      </c>
      <c r="BA1119" s="7"/>
    </row>
    <row r="1120" spans="31:53" x14ac:dyDescent="0.55000000000000004">
      <c r="AE1120" s="7">
        <f ca="1"/>
      </c>
      <c r="AF1120">
        <f ca="1"/>
      </c>
      <c r="AG1120">
        <f ca="1"/>
      </c>
      <c r="AH1120">
        <f ca="1"/>
      </c>
      <c r="AI1120">
        <f ca="1"/>
      </c>
      <c r="AJ1120">
        <f ca="1"/>
      </c>
      <c r="AK1120">
        <f ca="1"/>
      </c>
      <c r="AL1120">
        <f ca="1"/>
      </c>
      <c r="AM1120">
        <f ca="1"/>
      </c>
      <c r="AN1120">
        <f ca="1"/>
      </c>
      <c r="AO1120">
        <f ca="1"/>
      </c>
      <c r="AP1120">
        <f ca="1"/>
      </c>
      <c r="AQ1120">
        <f ca="1"/>
      </c>
      <c r="AR1120">
        <f ca="1"/>
      </c>
      <c r="AT1120" s="7">
        <f ca="1"/>
      </c>
      <c r="AU1120">
        <f ca="1"/>
      </c>
      <c r="AV1120">
        <f ca="1"/>
      </c>
      <c r="AW1120">
        <f ca="1"/>
      </c>
      <c r="AX1120">
        <f ca="1"/>
      </c>
      <c r="AY1120">
        <f ca="1"/>
      </c>
      <c r="BA1120" s="7"/>
    </row>
    <row r="1121" spans="31:53" x14ac:dyDescent="0.55000000000000004">
      <c r="AE1121" s="7">
        <f ca="1"/>
      </c>
      <c r="AF1121">
        <f ca="1"/>
      </c>
      <c r="AG1121">
        <f ca="1"/>
      </c>
      <c r="AH1121">
        <f ca="1"/>
      </c>
      <c r="AI1121">
        <f ca="1"/>
      </c>
      <c r="AJ1121">
        <f ca="1"/>
      </c>
      <c r="AK1121">
        <f ca="1"/>
      </c>
      <c r="AL1121">
        <f ca="1"/>
      </c>
      <c r="AM1121">
        <f ca="1"/>
      </c>
      <c r="AN1121">
        <f ca="1"/>
      </c>
      <c r="AO1121">
        <f ca="1"/>
      </c>
      <c r="AP1121">
        <f ca="1"/>
      </c>
      <c r="AQ1121">
        <f ca="1"/>
      </c>
      <c r="AR1121">
        <f ca="1"/>
      </c>
      <c r="AT1121" s="7">
        <f ca="1"/>
      </c>
      <c r="AU1121">
        <f ca="1"/>
      </c>
      <c r="AV1121">
        <f ca="1"/>
      </c>
      <c r="AW1121">
        <f ca="1"/>
      </c>
      <c r="AX1121">
        <f ca="1"/>
      </c>
      <c r="AY1121">
        <f ca="1"/>
      </c>
      <c r="BA1121" s="7"/>
    </row>
    <row r="1122" spans="31:53" x14ac:dyDescent="0.55000000000000004">
      <c r="AE1122" s="7">
        <f ca="1"/>
      </c>
      <c r="AF1122">
        <f ca="1"/>
      </c>
      <c r="AG1122">
        <f ca="1"/>
      </c>
      <c r="AH1122">
        <f ca="1"/>
      </c>
      <c r="AI1122">
        <f ca="1"/>
      </c>
      <c r="AJ1122">
        <f ca="1"/>
      </c>
      <c r="AK1122">
        <f ca="1"/>
      </c>
      <c r="AL1122">
        <f ca="1"/>
      </c>
      <c r="AM1122">
        <f ca="1"/>
      </c>
      <c r="AN1122">
        <f ca="1"/>
      </c>
      <c r="AO1122">
        <f ca="1"/>
      </c>
      <c r="AP1122">
        <f ca="1"/>
      </c>
      <c r="AQ1122">
        <f ca="1"/>
      </c>
      <c r="AR1122">
        <f ca="1"/>
      </c>
      <c r="AT1122" s="7">
        <f ca="1"/>
      </c>
      <c r="AU1122">
        <f ca="1"/>
      </c>
      <c r="AV1122">
        <f ca="1"/>
      </c>
      <c r="AW1122">
        <f ca="1"/>
      </c>
      <c r="AX1122">
        <f ca="1"/>
      </c>
      <c r="AY1122">
        <f ca="1"/>
      </c>
      <c r="BA1122" s="7"/>
    </row>
    <row r="1123" spans="31:53" x14ac:dyDescent="0.55000000000000004">
      <c r="AE1123" s="7">
        <f ca="1"/>
      </c>
      <c r="AF1123">
        <f ca="1"/>
      </c>
      <c r="AG1123">
        <f ca="1"/>
      </c>
      <c r="AH1123">
        <f ca="1"/>
      </c>
      <c r="AI1123">
        <f ca="1"/>
      </c>
      <c r="AJ1123">
        <f ca="1"/>
      </c>
      <c r="AK1123">
        <f ca="1"/>
      </c>
      <c r="AL1123">
        <f ca="1"/>
      </c>
      <c r="AM1123">
        <f ca="1"/>
      </c>
      <c r="AN1123">
        <f ca="1"/>
      </c>
      <c r="AO1123">
        <f ca="1"/>
      </c>
      <c r="AP1123">
        <f ca="1"/>
      </c>
      <c r="AQ1123">
        <f ca="1"/>
      </c>
      <c r="AR1123">
        <f ca="1"/>
      </c>
      <c r="AT1123" s="7">
        <f ca="1"/>
      </c>
      <c r="AU1123">
        <f ca="1"/>
      </c>
      <c r="AV1123">
        <f ca="1"/>
      </c>
      <c r="AW1123">
        <f ca="1"/>
      </c>
      <c r="AX1123">
        <f ca="1"/>
      </c>
      <c r="AY1123">
        <f ca="1"/>
      </c>
      <c r="BA1123" s="7"/>
    </row>
    <row r="1124" spans="31:53" x14ac:dyDescent="0.55000000000000004">
      <c r="AE1124" s="7">
        <f ca="1"/>
      </c>
      <c r="AF1124">
        <f ca="1"/>
      </c>
      <c r="AG1124">
        <f ca="1"/>
      </c>
      <c r="AH1124">
        <f ca="1"/>
      </c>
      <c r="AI1124">
        <f ca="1"/>
      </c>
      <c r="AJ1124">
        <f ca="1"/>
      </c>
      <c r="AK1124">
        <f ca="1"/>
      </c>
      <c r="AL1124">
        <f ca="1"/>
      </c>
      <c r="AM1124">
        <f ca="1"/>
      </c>
      <c r="AN1124">
        <f ca="1"/>
      </c>
      <c r="AO1124">
        <f ca="1"/>
      </c>
      <c r="AP1124">
        <f ca="1"/>
      </c>
      <c r="AQ1124">
        <f ca="1"/>
      </c>
      <c r="AR1124">
        <f ca="1"/>
      </c>
      <c r="AT1124" s="7">
        <f ca="1"/>
      </c>
      <c r="AU1124">
        <f ca="1"/>
      </c>
      <c r="AV1124">
        <f ca="1"/>
      </c>
      <c r="AW1124">
        <f ca="1"/>
      </c>
      <c r="AX1124">
        <f ca="1"/>
      </c>
      <c r="AY1124">
        <f ca="1"/>
      </c>
      <c r="BA1124" s="7"/>
    </row>
    <row r="1125" spans="31:53" x14ac:dyDescent="0.55000000000000004">
      <c r="AE1125" s="7">
        <f ca="1"/>
      </c>
      <c r="AF1125">
        <f ca="1"/>
      </c>
      <c r="AG1125">
        <f ca="1"/>
      </c>
      <c r="AH1125">
        <f ca="1"/>
      </c>
      <c r="AI1125">
        <f ca="1"/>
      </c>
      <c r="AJ1125">
        <f ca="1"/>
      </c>
      <c r="AK1125">
        <f ca="1"/>
      </c>
      <c r="AL1125">
        <f ca="1"/>
      </c>
      <c r="AM1125">
        <f ca="1"/>
      </c>
      <c r="AN1125">
        <f ca="1"/>
      </c>
      <c r="AO1125">
        <f ca="1"/>
      </c>
      <c r="AP1125">
        <f ca="1"/>
      </c>
      <c r="AQ1125">
        <f ca="1"/>
      </c>
      <c r="AR1125">
        <f ca="1"/>
      </c>
      <c r="AT1125" s="7">
        <f ca="1"/>
      </c>
      <c r="AU1125">
        <f ca="1"/>
      </c>
      <c r="AV1125">
        <f ca="1"/>
      </c>
      <c r="AW1125">
        <f ca="1"/>
      </c>
      <c r="AX1125">
        <f ca="1"/>
      </c>
      <c r="AY1125">
        <f ca="1"/>
      </c>
      <c r="BA1125" s="7"/>
    </row>
    <row r="1126" spans="31:53" x14ac:dyDescent="0.55000000000000004">
      <c r="AE1126" s="7">
        <f ca="1"/>
      </c>
      <c r="AF1126">
        <f ca="1"/>
      </c>
      <c r="AG1126">
        <f ca="1"/>
      </c>
      <c r="AH1126">
        <f ca="1"/>
      </c>
      <c r="AI1126">
        <f ca="1"/>
      </c>
      <c r="AJ1126">
        <f ca="1"/>
      </c>
      <c r="AK1126">
        <f ca="1"/>
      </c>
      <c r="AL1126">
        <f ca="1"/>
      </c>
      <c r="AM1126">
        <f ca="1"/>
      </c>
      <c r="AN1126">
        <f ca="1"/>
      </c>
      <c r="AO1126">
        <f ca="1"/>
      </c>
      <c r="AP1126">
        <f ca="1"/>
      </c>
      <c r="AQ1126">
        <f ca="1"/>
      </c>
      <c r="AR1126">
        <f ca="1"/>
      </c>
      <c r="AT1126" s="7">
        <f ca="1"/>
      </c>
      <c r="AU1126">
        <f ca="1"/>
      </c>
      <c r="AV1126">
        <f ca="1"/>
      </c>
      <c r="AW1126">
        <f ca="1"/>
      </c>
      <c r="AX1126">
        <f ca="1"/>
      </c>
      <c r="AY1126">
        <f ca="1"/>
      </c>
      <c r="BA1126" s="7"/>
    </row>
    <row r="1127" spans="31:53" x14ac:dyDescent="0.55000000000000004">
      <c r="AE1127" s="7">
        <f ca="1"/>
      </c>
      <c r="AF1127">
        <f ca="1"/>
      </c>
      <c r="AG1127">
        <f ca="1"/>
      </c>
      <c r="AH1127">
        <f ca="1"/>
      </c>
      <c r="AI1127">
        <f ca="1"/>
      </c>
      <c r="AJ1127">
        <f ca="1"/>
      </c>
      <c r="AK1127">
        <f ca="1"/>
      </c>
      <c r="AL1127">
        <f ca="1"/>
      </c>
      <c r="AM1127">
        <f ca="1"/>
      </c>
      <c r="AN1127">
        <f ca="1"/>
      </c>
      <c r="AO1127">
        <f ca="1"/>
      </c>
      <c r="AP1127">
        <f ca="1"/>
      </c>
      <c r="AQ1127">
        <f ca="1"/>
      </c>
      <c r="AR1127">
        <f ca="1"/>
      </c>
      <c r="AT1127" s="7">
        <f ca="1"/>
      </c>
      <c r="AU1127">
        <f ca="1"/>
      </c>
      <c r="AV1127">
        <f ca="1"/>
      </c>
      <c r="AW1127">
        <f ca="1"/>
      </c>
      <c r="AX1127">
        <f ca="1"/>
      </c>
      <c r="AY1127">
        <f ca="1"/>
      </c>
      <c r="BA1127" s="7"/>
    </row>
    <row r="1128" spans="31:53" x14ac:dyDescent="0.55000000000000004">
      <c r="AE1128" s="7">
        <f ca="1"/>
      </c>
      <c r="AF1128">
        <f ca="1"/>
      </c>
      <c r="AG1128">
        <f ca="1"/>
      </c>
      <c r="AH1128">
        <f ca="1"/>
      </c>
      <c r="AI1128">
        <f ca="1"/>
      </c>
      <c r="AJ1128">
        <f ca="1"/>
      </c>
      <c r="AK1128">
        <f ca="1"/>
      </c>
      <c r="AL1128">
        <f ca="1"/>
      </c>
      <c r="AM1128">
        <f ca="1"/>
      </c>
      <c r="AN1128">
        <f ca="1"/>
      </c>
      <c r="AO1128">
        <f ca="1"/>
      </c>
      <c r="AP1128">
        <f ca="1"/>
      </c>
      <c r="AQ1128">
        <f ca="1"/>
      </c>
      <c r="AR1128">
        <f ca="1"/>
      </c>
      <c r="AT1128" s="7">
        <f ca="1"/>
      </c>
      <c r="AU1128">
        <f ca="1"/>
      </c>
      <c r="AV1128">
        <f ca="1"/>
      </c>
      <c r="AW1128">
        <f ca="1"/>
      </c>
      <c r="AX1128">
        <f ca="1"/>
      </c>
      <c r="AY1128">
        <f ca="1"/>
      </c>
      <c r="BA1128" s="7"/>
    </row>
    <row r="1129" spans="31:53" x14ac:dyDescent="0.55000000000000004">
      <c r="AE1129" s="7">
        <f ca="1"/>
      </c>
      <c r="AF1129">
        <f ca="1"/>
      </c>
      <c r="AG1129">
        <f ca="1"/>
      </c>
      <c r="AH1129">
        <f ca="1"/>
      </c>
      <c r="AI1129">
        <f ca="1"/>
      </c>
      <c r="AJ1129">
        <f ca="1"/>
      </c>
      <c r="AK1129">
        <f ca="1"/>
      </c>
      <c r="AL1129">
        <f ca="1"/>
      </c>
      <c r="AM1129">
        <f ca="1"/>
      </c>
      <c r="AN1129">
        <f ca="1"/>
      </c>
      <c r="AO1129">
        <f ca="1"/>
      </c>
      <c r="AP1129">
        <f ca="1"/>
      </c>
      <c r="AQ1129">
        <f ca="1"/>
      </c>
      <c r="AR1129">
        <f ca="1"/>
      </c>
      <c r="AT1129" s="7">
        <f ca="1"/>
      </c>
      <c r="AU1129">
        <f ca="1"/>
      </c>
      <c r="AV1129">
        <f ca="1"/>
      </c>
      <c r="AW1129">
        <f ca="1"/>
      </c>
      <c r="AX1129">
        <f ca="1"/>
      </c>
      <c r="AY1129">
        <f ca="1"/>
      </c>
      <c r="BA1129" s="7"/>
    </row>
    <row r="1130" spans="31:53" x14ac:dyDescent="0.55000000000000004">
      <c r="AE1130" s="7">
        <f ca="1"/>
      </c>
      <c r="AF1130">
        <f ca="1"/>
      </c>
      <c r="AG1130">
        <f ca="1"/>
      </c>
      <c r="AH1130">
        <f ca="1"/>
      </c>
      <c r="AI1130">
        <f ca="1"/>
      </c>
      <c r="AJ1130">
        <f ca="1"/>
      </c>
      <c r="AK1130">
        <f ca="1"/>
      </c>
      <c r="AL1130">
        <f ca="1"/>
      </c>
      <c r="AM1130">
        <f ca="1"/>
      </c>
      <c r="AN1130">
        <f ca="1"/>
      </c>
      <c r="AO1130">
        <f ca="1"/>
      </c>
      <c r="AP1130">
        <f ca="1"/>
      </c>
      <c r="AQ1130">
        <f ca="1"/>
      </c>
      <c r="AR1130">
        <f ca="1"/>
      </c>
      <c r="AT1130" s="7">
        <f ca="1"/>
      </c>
      <c r="AU1130">
        <f ca="1"/>
      </c>
      <c r="AV1130">
        <f ca="1"/>
      </c>
      <c r="AW1130">
        <f ca="1"/>
      </c>
      <c r="AX1130">
        <f ca="1"/>
      </c>
      <c r="AY1130">
        <f ca="1"/>
      </c>
      <c r="BA1130" s="7"/>
    </row>
    <row r="1131" spans="31:53" x14ac:dyDescent="0.55000000000000004">
      <c r="AE1131" s="7">
        <f ca="1"/>
      </c>
      <c r="AF1131">
        <f ca="1"/>
      </c>
      <c r="AG1131">
        <f ca="1"/>
      </c>
      <c r="AH1131">
        <f ca="1"/>
      </c>
      <c r="AI1131">
        <f ca="1"/>
      </c>
      <c r="AJ1131">
        <f ca="1"/>
      </c>
      <c r="AK1131">
        <f ca="1"/>
      </c>
      <c r="AL1131">
        <f ca="1"/>
      </c>
      <c r="AM1131">
        <f ca="1"/>
      </c>
      <c r="AN1131">
        <f ca="1"/>
      </c>
      <c r="AO1131">
        <f ca="1"/>
      </c>
      <c r="AP1131">
        <f ca="1"/>
      </c>
      <c r="AQ1131">
        <f ca="1"/>
      </c>
      <c r="AR1131">
        <f ca="1"/>
      </c>
      <c r="AT1131" s="7">
        <f ca="1"/>
      </c>
      <c r="AU1131">
        <f ca="1"/>
      </c>
      <c r="AV1131">
        <f ca="1"/>
      </c>
      <c r="AW1131">
        <f ca="1"/>
      </c>
      <c r="AX1131">
        <f ca="1"/>
      </c>
      <c r="AY1131">
        <f ca="1"/>
      </c>
      <c r="BA1131" s="7"/>
    </row>
    <row r="1132" spans="31:53" x14ac:dyDescent="0.55000000000000004">
      <c r="AE1132" s="7">
        <f ca="1"/>
      </c>
      <c r="AF1132">
        <f ca="1"/>
      </c>
      <c r="AG1132">
        <f ca="1"/>
      </c>
      <c r="AH1132">
        <f ca="1"/>
      </c>
      <c r="AI1132">
        <f ca="1"/>
      </c>
      <c r="AJ1132">
        <f ca="1"/>
      </c>
      <c r="AK1132">
        <f ca="1"/>
      </c>
      <c r="AL1132">
        <f ca="1"/>
      </c>
      <c r="AM1132">
        <f ca="1"/>
      </c>
      <c r="AN1132">
        <f ca="1"/>
      </c>
      <c r="AO1132">
        <f ca="1"/>
      </c>
      <c r="AP1132">
        <f ca="1"/>
      </c>
      <c r="AQ1132">
        <f ca="1"/>
      </c>
      <c r="AR1132">
        <f ca="1"/>
      </c>
      <c r="AT1132" s="7">
        <f ca="1"/>
      </c>
      <c r="AU1132">
        <f ca="1"/>
      </c>
      <c r="AV1132">
        <f ca="1"/>
      </c>
      <c r="AW1132">
        <f ca="1"/>
      </c>
      <c r="AX1132">
        <f ca="1"/>
      </c>
      <c r="AY1132">
        <f ca="1"/>
      </c>
      <c r="BA1132" s="7"/>
    </row>
    <row r="1133" spans="31:53" x14ac:dyDescent="0.55000000000000004">
      <c r="AE1133" s="7">
        <f ca="1"/>
      </c>
      <c r="AF1133">
        <f ca="1"/>
      </c>
      <c r="AG1133">
        <f ca="1"/>
      </c>
      <c r="AH1133">
        <f ca="1"/>
      </c>
      <c r="AI1133">
        <f ca="1"/>
      </c>
      <c r="AJ1133">
        <f ca="1"/>
      </c>
      <c r="AK1133">
        <f ca="1"/>
      </c>
      <c r="AL1133">
        <f ca="1"/>
      </c>
      <c r="AM1133">
        <f ca="1"/>
      </c>
      <c r="AN1133">
        <f ca="1"/>
      </c>
      <c r="AO1133">
        <f ca="1"/>
      </c>
      <c r="AP1133">
        <f ca="1"/>
      </c>
      <c r="AQ1133">
        <f ca="1"/>
      </c>
      <c r="AR1133">
        <f ca="1"/>
      </c>
      <c r="AT1133" s="7">
        <f ca="1"/>
      </c>
      <c r="AU1133">
        <f ca="1"/>
      </c>
      <c r="AV1133">
        <f ca="1"/>
      </c>
      <c r="AW1133">
        <f ca="1"/>
      </c>
      <c r="AX1133">
        <f ca="1"/>
      </c>
      <c r="AY1133">
        <f ca="1"/>
      </c>
      <c r="BA1133" s="7"/>
    </row>
    <row r="1134" spans="31:53" x14ac:dyDescent="0.55000000000000004">
      <c r="AE1134" s="7">
        <f ca="1"/>
      </c>
      <c r="AF1134">
        <f ca="1"/>
      </c>
      <c r="AG1134">
        <f ca="1"/>
      </c>
      <c r="AH1134">
        <f ca="1"/>
      </c>
      <c r="AI1134">
        <f ca="1"/>
      </c>
      <c r="AJ1134">
        <f ca="1"/>
      </c>
      <c r="AK1134">
        <f ca="1"/>
      </c>
      <c r="AL1134">
        <f ca="1"/>
      </c>
      <c r="AM1134">
        <f ca="1"/>
      </c>
      <c r="AN1134">
        <f ca="1"/>
      </c>
      <c r="AO1134">
        <f ca="1"/>
      </c>
      <c r="AP1134">
        <f ca="1"/>
      </c>
      <c r="AQ1134">
        <f ca="1"/>
      </c>
      <c r="AR1134">
        <f ca="1"/>
      </c>
      <c r="AT1134" s="7">
        <f ca="1"/>
      </c>
      <c r="AU1134">
        <f ca="1"/>
      </c>
      <c r="AV1134">
        <f ca="1"/>
      </c>
      <c r="AW1134">
        <f ca="1"/>
      </c>
      <c r="AX1134">
        <f ca="1"/>
      </c>
      <c r="AY1134">
        <f ca="1"/>
      </c>
      <c r="BA1134" s="7"/>
    </row>
    <row r="1135" spans="31:53" x14ac:dyDescent="0.55000000000000004">
      <c r="AE1135" s="7">
        <f ca="1"/>
      </c>
      <c r="AF1135">
        <f ca="1"/>
      </c>
      <c r="AG1135">
        <f ca="1"/>
      </c>
      <c r="AH1135">
        <f ca="1"/>
      </c>
      <c r="AI1135">
        <f ca="1"/>
      </c>
      <c r="AJ1135">
        <f ca="1"/>
      </c>
      <c r="AK1135">
        <f ca="1"/>
      </c>
      <c r="AL1135">
        <f ca="1"/>
      </c>
      <c r="AM1135">
        <f ca="1"/>
      </c>
      <c r="AN1135">
        <f ca="1"/>
      </c>
      <c r="AO1135">
        <f ca="1"/>
      </c>
      <c r="AP1135">
        <f ca="1"/>
      </c>
      <c r="AQ1135">
        <f ca="1"/>
      </c>
      <c r="AR1135">
        <f ca="1"/>
      </c>
      <c r="AT1135" s="7">
        <f ca="1"/>
      </c>
      <c r="AU1135">
        <f ca="1"/>
      </c>
      <c r="AV1135">
        <f ca="1"/>
      </c>
      <c r="AW1135">
        <f ca="1"/>
      </c>
      <c r="AX1135">
        <f ca="1"/>
      </c>
      <c r="AY1135">
        <f ca="1"/>
      </c>
      <c r="BA1135" s="7"/>
    </row>
    <row r="1136" spans="31:53" x14ac:dyDescent="0.55000000000000004">
      <c r="AE1136" s="7">
        <f ca="1"/>
      </c>
      <c r="AF1136">
        <f ca="1"/>
      </c>
      <c r="AG1136">
        <f ca="1"/>
      </c>
      <c r="AH1136">
        <f ca="1"/>
      </c>
      <c r="AI1136">
        <f ca="1"/>
      </c>
      <c r="AJ1136">
        <f ca="1"/>
      </c>
      <c r="AK1136">
        <f ca="1"/>
      </c>
      <c r="AL1136">
        <f ca="1"/>
      </c>
      <c r="AM1136">
        <f ca="1"/>
      </c>
      <c r="AN1136">
        <f ca="1"/>
      </c>
      <c r="AO1136">
        <f ca="1"/>
      </c>
      <c r="AP1136">
        <f ca="1"/>
      </c>
      <c r="AQ1136">
        <f ca="1"/>
      </c>
      <c r="AR1136">
        <f ca="1"/>
      </c>
      <c r="AT1136" s="7">
        <f ca="1"/>
      </c>
      <c r="AU1136">
        <f ca="1"/>
      </c>
      <c r="AV1136">
        <f ca="1"/>
      </c>
      <c r="AW1136">
        <f ca="1"/>
      </c>
      <c r="AX1136">
        <f ca="1"/>
      </c>
      <c r="AY1136">
        <f ca="1"/>
      </c>
      <c r="BA1136" s="7"/>
    </row>
    <row r="1137" spans="31:53" x14ac:dyDescent="0.55000000000000004">
      <c r="AE1137" s="7">
        <f ca="1"/>
      </c>
      <c r="AF1137">
        <f ca="1"/>
      </c>
      <c r="AG1137">
        <f ca="1"/>
      </c>
      <c r="AH1137">
        <f ca="1"/>
      </c>
      <c r="AI1137">
        <f ca="1"/>
      </c>
      <c r="AJ1137">
        <f ca="1"/>
      </c>
      <c r="AK1137">
        <f ca="1"/>
      </c>
      <c r="AL1137">
        <f ca="1"/>
      </c>
      <c r="AM1137">
        <f ca="1"/>
      </c>
      <c r="AN1137">
        <f ca="1"/>
      </c>
      <c r="AO1137">
        <f ca="1"/>
      </c>
      <c r="AP1137">
        <f ca="1"/>
      </c>
      <c r="AQ1137">
        <f ca="1"/>
      </c>
      <c r="AR1137">
        <f ca="1"/>
      </c>
      <c r="AT1137" s="7">
        <f ca="1"/>
      </c>
      <c r="AU1137">
        <f ca="1"/>
      </c>
      <c r="AV1137">
        <f ca="1"/>
      </c>
      <c r="AW1137">
        <f ca="1"/>
      </c>
      <c r="AX1137">
        <f ca="1"/>
      </c>
      <c r="AY1137">
        <f ca="1"/>
      </c>
      <c r="BA1137" s="7"/>
    </row>
    <row r="1138" spans="31:53" x14ac:dyDescent="0.55000000000000004">
      <c r="AE1138" s="7">
        <f ca="1"/>
      </c>
      <c r="AF1138">
        <f ca="1"/>
      </c>
      <c r="AG1138">
        <f ca="1"/>
      </c>
      <c r="AH1138">
        <f ca="1"/>
      </c>
      <c r="AI1138">
        <f ca="1"/>
      </c>
      <c r="AJ1138">
        <f ca="1"/>
      </c>
      <c r="AK1138">
        <f ca="1"/>
      </c>
      <c r="AL1138">
        <f ca="1"/>
      </c>
      <c r="AM1138">
        <f ca="1"/>
      </c>
      <c r="AN1138">
        <f ca="1"/>
      </c>
      <c r="AO1138">
        <f ca="1"/>
      </c>
      <c r="AP1138">
        <f ca="1"/>
      </c>
      <c r="AQ1138">
        <f ca="1"/>
      </c>
      <c r="AR1138">
        <f ca="1"/>
      </c>
      <c r="AT1138" s="7">
        <f ca="1"/>
      </c>
      <c r="AU1138">
        <f ca="1"/>
      </c>
      <c r="AV1138">
        <f ca="1"/>
      </c>
      <c r="AW1138">
        <f ca="1"/>
      </c>
      <c r="AX1138">
        <f ca="1"/>
      </c>
      <c r="AY1138">
        <f ca="1"/>
      </c>
      <c r="BA1138" s="7"/>
    </row>
    <row r="1139" spans="31:53" x14ac:dyDescent="0.55000000000000004">
      <c r="AE1139" s="7">
        <f ca="1"/>
      </c>
      <c r="AF1139">
        <f ca="1"/>
      </c>
      <c r="AG1139">
        <f ca="1"/>
      </c>
      <c r="AH1139">
        <f ca="1"/>
      </c>
      <c r="AI1139">
        <f ca="1"/>
      </c>
      <c r="AJ1139">
        <f ca="1"/>
      </c>
      <c r="AK1139">
        <f ca="1"/>
      </c>
      <c r="AL1139">
        <f ca="1"/>
      </c>
      <c r="AM1139">
        <f ca="1"/>
      </c>
      <c r="AN1139">
        <f ca="1"/>
      </c>
      <c r="AO1139">
        <f ca="1"/>
      </c>
      <c r="AP1139">
        <f ca="1"/>
      </c>
      <c r="AQ1139">
        <f ca="1"/>
      </c>
      <c r="AR1139">
        <f ca="1"/>
      </c>
      <c r="AT1139" s="7">
        <f ca="1"/>
      </c>
      <c r="AU1139">
        <f ca="1"/>
      </c>
      <c r="AV1139">
        <f ca="1"/>
      </c>
      <c r="AW1139">
        <f ca="1"/>
      </c>
      <c r="AX1139">
        <f ca="1"/>
      </c>
      <c r="AY1139">
        <f ca="1"/>
      </c>
      <c r="BA1139" s="7"/>
    </row>
    <row r="1140" spans="31:53" x14ac:dyDescent="0.55000000000000004">
      <c r="AE1140" s="7">
        <f ca="1"/>
      </c>
      <c r="AF1140">
        <f ca="1"/>
      </c>
      <c r="AG1140">
        <f ca="1"/>
      </c>
      <c r="AH1140">
        <f ca="1"/>
      </c>
      <c r="AI1140">
        <f ca="1"/>
      </c>
      <c r="AJ1140">
        <f ca="1"/>
      </c>
      <c r="AK1140">
        <f ca="1"/>
      </c>
      <c r="AL1140">
        <f ca="1"/>
      </c>
      <c r="AM1140">
        <f ca="1"/>
      </c>
      <c r="AN1140">
        <f ca="1"/>
      </c>
      <c r="AO1140">
        <f ca="1"/>
      </c>
      <c r="AP1140">
        <f ca="1"/>
      </c>
      <c r="AQ1140">
        <f ca="1"/>
      </c>
      <c r="AR1140">
        <f ca="1"/>
      </c>
      <c r="AT1140" s="7">
        <f ca="1"/>
      </c>
      <c r="AU1140">
        <f ca="1"/>
      </c>
      <c r="AV1140">
        <f ca="1"/>
      </c>
      <c r="AW1140">
        <f ca="1"/>
      </c>
      <c r="AX1140">
        <f ca="1"/>
      </c>
      <c r="AY1140">
        <f ca="1"/>
      </c>
      <c r="BA1140" s="7"/>
    </row>
    <row r="1141" spans="31:53" x14ac:dyDescent="0.55000000000000004">
      <c r="AE1141" s="7">
        <f ca="1"/>
      </c>
      <c r="AF1141">
        <f ca="1"/>
      </c>
      <c r="AG1141">
        <f ca="1"/>
      </c>
      <c r="AH1141">
        <f ca="1"/>
      </c>
      <c r="AI1141">
        <f ca="1"/>
      </c>
      <c r="AJ1141">
        <f ca="1"/>
      </c>
      <c r="AK1141">
        <f ca="1"/>
      </c>
      <c r="AL1141">
        <f ca="1"/>
      </c>
      <c r="AM1141">
        <f ca="1"/>
      </c>
      <c r="AN1141">
        <f ca="1"/>
      </c>
      <c r="AO1141">
        <f ca="1"/>
      </c>
      <c r="AP1141">
        <f ca="1"/>
      </c>
      <c r="AQ1141">
        <f ca="1"/>
      </c>
      <c r="AR1141">
        <f ca="1"/>
      </c>
      <c r="AT1141" s="7">
        <f ca="1"/>
      </c>
      <c r="AU1141">
        <f ca="1"/>
      </c>
      <c r="AV1141">
        <f ca="1"/>
      </c>
      <c r="AW1141">
        <f ca="1"/>
      </c>
      <c r="AX1141">
        <f ca="1"/>
      </c>
      <c r="AY1141">
        <f ca="1"/>
      </c>
      <c r="BA1141" s="7"/>
    </row>
    <row r="1142" spans="31:53" x14ac:dyDescent="0.55000000000000004">
      <c r="AE1142" s="7">
        <f ca="1"/>
      </c>
      <c r="AF1142">
        <f ca="1"/>
      </c>
      <c r="AG1142">
        <f ca="1"/>
      </c>
      <c r="AH1142">
        <f ca="1"/>
      </c>
      <c r="AI1142">
        <f ca="1"/>
      </c>
      <c r="AJ1142">
        <f ca="1"/>
      </c>
      <c r="AK1142">
        <f ca="1"/>
      </c>
      <c r="AL1142">
        <f ca="1"/>
      </c>
      <c r="AM1142">
        <f ca="1"/>
      </c>
      <c r="AN1142">
        <f ca="1"/>
      </c>
      <c r="AO1142">
        <f ca="1"/>
      </c>
      <c r="AP1142">
        <f ca="1"/>
      </c>
      <c r="AQ1142">
        <f ca="1"/>
      </c>
      <c r="AR1142">
        <f ca="1"/>
      </c>
      <c r="AT1142" s="7">
        <f ca="1"/>
      </c>
      <c r="AU1142">
        <f ca="1"/>
      </c>
      <c r="AV1142">
        <f ca="1"/>
      </c>
      <c r="AW1142">
        <f ca="1"/>
      </c>
      <c r="AX1142">
        <f ca="1"/>
      </c>
      <c r="AY1142">
        <f ca="1"/>
      </c>
      <c r="BA1142" s="7"/>
    </row>
    <row r="1143" spans="31:53" x14ac:dyDescent="0.55000000000000004">
      <c r="AE1143" s="7">
        <f ca="1"/>
      </c>
      <c r="AF1143">
        <f ca="1"/>
      </c>
      <c r="AG1143">
        <f ca="1"/>
      </c>
      <c r="AH1143">
        <f ca="1"/>
      </c>
      <c r="AI1143">
        <f ca="1"/>
      </c>
      <c r="AJ1143">
        <f ca="1"/>
      </c>
      <c r="AK1143">
        <f ca="1"/>
      </c>
      <c r="AL1143">
        <f ca="1"/>
      </c>
      <c r="AM1143">
        <f ca="1"/>
      </c>
      <c r="AN1143">
        <f ca="1"/>
      </c>
      <c r="AO1143">
        <f ca="1"/>
      </c>
      <c r="AP1143">
        <f ca="1"/>
      </c>
      <c r="AQ1143">
        <f ca="1"/>
      </c>
      <c r="AR1143">
        <f ca="1"/>
      </c>
      <c r="AT1143" s="7">
        <f ca="1"/>
      </c>
      <c r="AU1143">
        <f ca="1"/>
      </c>
      <c r="AV1143">
        <f ca="1"/>
      </c>
      <c r="AW1143">
        <f ca="1"/>
      </c>
      <c r="AX1143">
        <f ca="1"/>
      </c>
      <c r="AY1143">
        <f ca="1"/>
      </c>
      <c r="BA1143" s="7"/>
    </row>
    <row r="1144" spans="31:53" x14ac:dyDescent="0.55000000000000004">
      <c r="AE1144" s="7">
        <f ca="1"/>
      </c>
      <c r="AF1144">
        <f ca="1"/>
      </c>
      <c r="AG1144">
        <f ca="1"/>
      </c>
      <c r="AH1144">
        <f ca="1"/>
      </c>
      <c r="AI1144">
        <f ca="1"/>
      </c>
      <c r="AJ1144">
        <f ca="1"/>
      </c>
      <c r="AK1144">
        <f ca="1"/>
      </c>
      <c r="AL1144">
        <f ca="1"/>
      </c>
      <c r="AM1144">
        <f ca="1"/>
      </c>
      <c r="AN1144">
        <f ca="1"/>
      </c>
      <c r="AO1144">
        <f ca="1"/>
      </c>
      <c r="AP1144">
        <f ca="1"/>
      </c>
      <c r="AQ1144">
        <f ca="1"/>
      </c>
      <c r="AR1144">
        <f ca="1"/>
      </c>
      <c r="AT1144" s="7">
        <f ca="1"/>
      </c>
      <c r="AU1144">
        <f ca="1"/>
      </c>
      <c r="AV1144">
        <f ca="1"/>
      </c>
      <c r="AW1144">
        <f ca="1"/>
      </c>
      <c r="AX1144">
        <f ca="1"/>
      </c>
      <c r="AY1144">
        <f ca="1"/>
      </c>
      <c r="BA1144" s="7"/>
    </row>
    <row r="1145" spans="31:53" x14ac:dyDescent="0.55000000000000004">
      <c r="AE1145" s="7">
        <f ca="1"/>
      </c>
      <c r="AF1145">
        <f ca="1"/>
      </c>
      <c r="AG1145">
        <f ca="1"/>
      </c>
      <c r="AH1145">
        <f ca="1"/>
      </c>
      <c r="AI1145">
        <f ca="1"/>
      </c>
      <c r="AJ1145">
        <f ca="1"/>
      </c>
      <c r="AK1145">
        <f ca="1"/>
      </c>
      <c r="AL1145">
        <f ca="1"/>
      </c>
      <c r="AM1145">
        <f ca="1"/>
      </c>
      <c r="AN1145">
        <f ca="1"/>
      </c>
      <c r="AO1145">
        <f ca="1"/>
      </c>
      <c r="AP1145">
        <f ca="1"/>
      </c>
      <c r="AQ1145">
        <f ca="1"/>
      </c>
      <c r="AR1145">
        <f ca="1"/>
      </c>
      <c r="AT1145" s="7">
        <f ca="1"/>
      </c>
      <c r="AU1145">
        <f ca="1"/>
      </c>
      <c r="AV1145">
        <f ca="1"/>
      </c>
      <c r="AW1145">
        <f ca="1"/>
      </c>
      <c r="AX1145">
        <f ca="1"/>
      </c>
      <c r="AY1145">
        <f ca="1"/>
      </c>
      <c r="BA1145" s="7"/>
    </row>
    <row r="1146" spans="31:53" x14ac:dyDescent="0.55000000000000004">
      <c r="AE1146" s="7">
        <f ca="1"/>
      </c>
      <c r="AF1146">
        <f ca="1"/>
      </c>
      <c r="AG1146">
        <f ca="1"/>
      </c>
      <c r="AH1146">
        <f ca="1"/>
      </c>
      <c r="AI1146">
        <f ca="1"/>
      </c>
      <c r="AJ1146">
        <f ca="1"/>
      </c>
      <c r="AK1146">
        <f ca="1"/>
      </c>
      <c r="AL1146">
        <f ca="1"/>
      </c>
      <c r="AM1146">
        <f ca="1"/>
      </c>
      <c r="AN1146">
        <f ca="1"/>
      </c>
      <c r="AO1146">
        <f ca="1"/>
      </c>
      <c r="AP1146">
        <f ca="1"/>
      </c>
      <c r="AQ1146">
        <f ca="1"/>
      </c>
      <c r="AR1146">
        <f ca="1"/>
      </c>
      <c r="AT1146" s="7">
        <f ca="1"/>
      </c>
      <c r="AU1146">
        <f ca="1"/>
      </c>
      <c r="AV1146">
        <f ca="1"/>
      </c>
      <c r="AW1146">
        <f ca="1"/>
      </c>
      <c r="AX1146">
        <f ca="1"/>
      </c>
      <c r="AY1146">
        <f ca="1"/>
      </c>
      <c r="BA1146" s="7"/>
    </row>
    <row r="1147" spans="31:53" x14ac:dyDescent="0.55000000000000004">
      <c r="AE1147" s="7">
        <f ca="1"/>
      </c>
      <c r="AF1147">
        <f ca="1"/>
      </c>
      <c r="AG1147">
        <f ca="1"/>
      </c>
      <c r="AH1147">
        <f ca="1"/>
      </c>
      <c r="AI1147">
        <f ca="1"/>
      </c>
      <c r="AJ1147">
        <f ca="1"/>
      </c>
      <c r="AK1147">
        <f ca="1"/>
      </c>
      <c r="AL1147">
        <f ca="1"/>
      </c>
      <c r="AM1147">
        <f ca="1"/>
      </c>
      <c r="AN1147">
        <f ca="1"/>
      </c>
      <c r="AO1147">
        <f ca="1"/>
      </c>
      <c r="AP1147">
        <f ca="1"/>
      </c>
      <c r="AQ1147">
        <f ca="1"/>
      </c>
      <c r="AR1147">
        <f ca="1"/>
      </c>
      <c r="AT1147" s="7">
        <f ca="1"/>
      </c>
      <c r="AU1147">
        <f ca="1"/>
      </c>
      <c r="AV1147">
        <f ca="1"/>
      </c>
      <c r="AW1147">
        <f ca="1"/>
      </c>
      <c r="AX1147">
        <f ca="1"/>
      </c>
      <c r="AY1147">
        <f ca="1"/>
      </c>
      <c r="BA1147" s="7"/>
    </row>
    <row r="1148" spans="31:53" x14ac:dyDescent="0.55000000000000004">
      <c r="AE1148" s="7">
        <f ca="1"/>
      </c>
      <c r="AF1148">
        <f ca="1"/>
      </c>
      <c r="AG1148">
        <f ca="1"/>
      </c>
      <c r="AH1148">
        <f ca="1"/>
      </c>
      <c r="AI1148">
        <f ca="1"/>
      </c>
      <c r="AJ1148">
        <f ca="1"/>
      </c>
      <c r="AK1148">
        <f ca="1"/>
      </c>
      <c r="AL1148">
        <f ca="1"/>
      </c>
      <c r="AM1148">
        <f ca="1"/>
      </c>
      <c r="AN1148">
        <f ca="1"/>
      </c>
      <c r="AO1148">
        <f ca="1"/>
      </c>
      <c r="AP1148">
        <f ca="1"/>
      </c>
      <c r="AQ1148">
        <f ca="1"/>
      </c>
      <c r="AR1148">
        <f ca="1"/>
      </c>
      <c r="AT1148" s="7">
        <f ca="1"/>
      </c>
      <c r="AU1148">
        <f ca="1"/>
      </c>
      <c r="AV1148">
        <f ca="1"/>
      </c>
      <c r="AW1148">
        <f ca="1"/>
      </c>
      <c r="AX1148">
        <f ca="1"/>
      </c>
      <c r="AY1148">
        <f ca="1"/>
      </c>
      <c r="BA1148" s="7"/>
    </row>
    <row r="1149" spans="31:53" x14ac:dyDescent="0.55000000000000004">
      <c r="AE1149" s="7">
        <f ca="1"/>
      </c>
      <c r="AF1149">
        <f ca="1"/>
      </c>
      <c r="AG1149">
        <f ca="1"/>
      </c>
      <c r="AH1149">
        <f ca="1"/>
      </c>
      <c r="AI1149">
        <f ca="1"/>
      </c>
      <c r="AJ1149">
        <f ca="1"/>
      </c>
      <c r="AK1149">
        <f ca="1"/>
      </c>
      <c r="AL1149">
        <f ca="1"/>
      </c>
      <c r="AM1149">
        <f ca="1"/>
      </c>
      <c r="AN1149">
        <f ca="1"/>
      </c>
      <c r="AO1149">
        <f ca="1"/>
      </c>
      <c r="AP1149">
        <f ca="1"/>
      </c>
      <c r="AQ1149">
        <f ca="1"/>
      </c>
      <c r="AR1149">
        <f ca="1"/>
      </c>
      <c r="AT1149" s="7">
        <f ca="1"/>
      </c>
      <c r="AU1149">
        <f ca="1"/>
      </c>
      <c r="AV1149">
        <f ca="1"/>
      </c>
      <c r="AW1149">
        <f ca="1"/>
      </c>
      <c r="AX1149">
        <f ca="1"/>
      </c>
      <c r="AY1149">
        <f ca="1"/>
      </c>
      <c r="BA1149" s="7"/>
    </row>
    <row r="1150" spans="31:53" x14ac:dyDescent="0.55000000000000004">
      <c r="AE1150" s="7">
        <f ca="1"/>
      </c>
      <c r="AF1150">
        <f ca="1"/>
      </c>
      <c r="AG1150">
        <f ca="1"/>
      </c>
      <c r="AH1150">
        <f ca="1"/>
      </c>
      <c r="AI1150">
        <f ca="1"/>
      </c>
      <c r="AJ1150">
        <f ca="1"/>
      </c>
      <c r="AK1150">
        <f ca="1"/>
      </c>
      <c r="AL1150">
        <f ca="1"/>
      </c>
      <c r="AM1150">
        <f ca="1"/>
      </c>
      <c r="AN1150">
        <f ca="1"/>
      </c>
      <c r="AO1150">
        <f ca="1"/>
      </c>
      <c r="AP1150">
        <f ca="1"/>
      </c>
      <c r="AQ1150">
        <f ca="1"/>
      </c>
      <c r="AR1150">
        <f ca="1"/>
      </c>
      <c r="AT1150" s="7">
        <f ca="1"/>
      </c>
      <c r="AU1150">
        <f ca="1"/>
      </c>
      <c r="AV1150">
        <f ca="1"/>
      </c>
      <c r="AW1150">
        <f ca="1"/>
      </c>
      <c r="AX1150">
        <f ca="1"/>
      </c>
      <c r="AY1150">
        <f ca="1"/>
      </c>
      <c r="BA1150" s="7"/>
    </row>
    <row r="1151" spans="31:53" x14ac:dyDescent="0.55000000000000004">
      <c r="AE1151" s="7">
        <f ca="1"/>
      </c>
      <c r="AF1151">
        <f ca="1"/>
      </c>
      <c r="AG1151">
        <f ca="1"/>
      </c>
      <c r="AH1151">
        <f ca="1"/>
      </c>
      <c r="AI1151">
        <f ca="1"/>
      </c>
      <c r="AJ1151">
        <f ca="1"/>
      </c>
      <c r="AK1151">
        <f ca="1"/>
      </c>
      <c r="AL1151">
        <f ca="1"/>
      </c>
      <c r="AM1151">
        <f ca="1"/>
      </c>
      <c r="AN1151">
        <f ca="1"/>
      </c>
      <c r="AO1151">
        <f ca="1"/>
      </c>
      <c r="AP1151">
        <f ca="1"/>
      </c>
      <c r="AQ1151">
        <f ca="1"/>
      </c>
      <c r="AR1151">
        <f ca="1"/>
      </c>
      <c r="AT1151" s="7">
        <f ca="1"/>
      </c>
      <c r="AU1151">
        <f ca="1"/>
      </c>
      <c r="AV1151">
        <f ca="1"/>
      </c>
      <c r="AW1151">
        <f ca="1"/>
      </c>
      <c r="AX1151">
        <f ca="1"/>
      </c>
      <c r="AY1151">
        <f ca="1"/>
      </c>
      <c r="BA1151" s="7"/>
    </row>
    <row r="1152" spans="31:53" x14ac:dyDescent="0.55000000000000004">
      <c r="AE1152" s="7">
        <f ca="1"/>
      </c>
      <c r="AF1152">
        <f ca="1"/>
      </c>
      <c r="AG1152">
        <f ca="1"/>
      </c>
      <c r="AH1152">
        <f ca="1"/>
      </c>
      <c r="AI1152">
        <f ca="1"/>
      </c>
      <c r="AJ1152">
        <f ca="1"/>
      </c>
      <c r="AK1152">
        <f ca="1"/>
      </c>
      <c r="AL1152">
        <f ca="1"/>
      </c>
      <c r="AM1152">
        <f ca="1"/>
      </c>
      <c r="AN1152">
        <f ca="1"/>
      </c>
      <c r="AO1152">
        <f ca="1"/>
      </c>
      <c r="AP1152">
        <f ca="1"/>
      </c>
      <c r="AQ1152">
        <f ca="1"/>
      </c>
      <c r="AR1152">
        <f ca="1"/>
      </c>
      <c r="AT1152" s="7">
        <f ca="1"/>
      </c>
      <c r="AU1152">
        <f ca="1"/>
      </c>
      <c r="AV1152">
        <f ca="1"/>
      </c>
      <c r="AW1152">
        <f ca="1"/>
      </c>
      <c r="AX1152">
        <f ca="1"/>
      </c>
      <c r="AY1152">
        <f ca="1"/>
      </c>
      <c r="BA1152" s="7"/>
    </row>
    <row r="1153" spans="31:53" x14ac:dyDescent="0.55000000000000004">
      <c r="AE1153" s="7">
        <f ca="1"/>
      </c>
      <c r="AF1153">
        <f ca="1"/>
      </c>
      <c r="AG1153">
        <f ca="1"/>
      </c>
      <c r="AH1153">
        <f ca="1"/>
      </c>
      <c r="AI1153">
        <f ca="1"/>
      </c>
      <c r="AJ1153">
        <f ca="1"/>
      </c>
      <c r="AK1153">
        <f ca="1"/>
      </c>
      <c r="AL1153">
        <f ca="1"/>
      </c>
      <c r="AM1153">
        <f ca="1"/>
      </c>
      <c r="AN1153">
        <f ca="1"/>
      </c>
      <c r="AO1153">
        <f ca="1"/>
      </c>
      <c r="AP1153">
        <f ca="1"/>
      </c>
      <c r="AQ1153">
        <f ca="1"/>
      </c>
      <c r="AR1153">
        <f ca="1"/>
      </c>
      <c r="AT1153" s="7">
        <f ca="1"/>
      </c>
      <c r="AU1153">
        <f ca="1"/>
      </c>
      <c r="AV1153">
        <f ca="1"/>
      </c>
      <c r="AW1153">
        <f ca="1"/>
      </c>
      <c r="AX1153">
        <f ca="1"/>
      </c>
      <c r="AY1153">
        <f ca="1"/>
      </c>
      <c r="BA1153" s="7"/>
    </row>
    <row r="1154" spans="31:53" x14ac:dyDescent="0.55000000000000004">
      <c r="AE1154" s="7">
        <f ca="1"/>
      </c>
      <c r="AF1154">
        <f ca="1"/>
      </c>
      <c r="AG1154">
        <f ca="1"/>
      </c>
      <c r="AH1154">
        <f ca="1"/>
      </c>
      <c r="AI1154">
        <f ca="1"/>
      </c>
      <c r="AJ1154">
        <f ca="1"/>
      </c>
      <c r="AK1154">
        <f ca="1"/>
      </c>
      <c r="AL1154">
        <f ca="1"/>
      </c>
      <c r="AM1154">
        <f ca="1"/>
      </c>
      <c r="AN1154">
        <f ca="1"/>
      </c>
      <c r="AO1154">
        <f ca="1"/>
      </c>
      <c r="AP1154">
        <f ca="1"/>
      </c>
      <c r="AQ1154">
        <f ca="1"/>
      </c>
      <c r="AR1154">
        <f ca="1"/>
      </c>
      <c r="AT1154" s="7">
        <f ca="1"/>
      </c>
      <c r="AU1154">
        <f ca="1"/>
      </c>
      <c r="AV1154">
        <f ca="1"/>
      </c>
      <c r="AW1154">
        <f ca="1"/>
      </c>
      <c r="AX1154">
        <f ca="1"/>
      </c>
      <c r="AY1154">
        <f ca="1"/>
      </c>
      <c r="BA1154" s="7"/>
    </row>
    <row r="1155" spans="31:53" x14ac:dyDescent="0.55000000000000004">
      <c r="AE1155" s="7">
        <f ca="1"/>
      </c>
      <c r="AF1155">
        <f ca="1"/>
      </c>
      <c r="AG1155">
        <f ca="1"/>
      </c>
      <c r="AH1155">
        <f ca="1"/>
      </c>
      <c r="AI1155">
        <f ca="1"/>
      </c>
      <c r="AJ1155">
        <f ca="1"/>
      </c>
      <c r="AK1155">
        <f ca="1"/>
      </c>
      <c r="AL1155">
        <f ca="1"/>
      </c>
      <c r="AM1155">
        <f ca="1"/>
      </c>
      <c r="AN1155">
        <f ca="1"/>
      </c>
      <c r="AO1155">
        <f ca="1"/>
      </c>
      <c r="AP1155">
        <f ca="1"/>
      </c>
      <c r="AQ1155">
        <f ca="1"/>
      </c>
      <c r="AR1155">
        <f ca="1"/>
      </c>
      <c r="AT1155" s="7">
        <f ca="1"/>
      </c>
      <c r="AU1155">
        <f ca="1"/>
      </c>
      <c r="AV1155">
        <f ca="1"/>
      </c>
      <c r="AW1155">
        <f ca="1"/>
      </c>
      <c r="AX1155">
        <f ca="1"/>
      </c>
      <c r="AY1155">
        <f ca="1"/>
      </c>
      <c r="BA1155" s="7"/>
    </row>
    <row r="1156" spans="31:53" x14ac:dyDescent="0.55000000000000004">
      <c r="AE1156" s="7">
        <f ca="1"/>
      </c>
      <c r="AF1156">
        <f ca="1"/>
      </c>
      <c r="AG1156">
        <f ca="1"/>
      </c>
      <c r="AH1156">
        <f ca="1"/>
      </c>
      <c r="AI1156">
        <f ca="1"/>
      </c>
      <c r="AJ1156">
        <f ca="1"/>
      </c>
      <c r="AK1156">
        <f ca="1"/>
      </c>
      <c r="AL1156">
        <f ca="1"/>
      </c>
      <c r="AM1156">
        <f ca="1"/>
      </c>
      <c r="AN1156">
        <f ca="1"/>
      </c>
      <c r="AO1156">
        <f ca="1"/>
      </c>
      <c r="AP1156">
        <f ca="1"/>
      </c>
      <c r="AQ1156">
        <f ca="1"/>
      </c>
      <c r="AR1156">
        <f ca="1"/>
      </c>
      <c r="AT1156" s="7">
        <f ca="1"/>
      </c>
      <c r="AU1156">
        <f ca="1"/>
      </c>
      <c r="AV1156">
        <f ca="1"/>
      </c>
      <c r="AW1156">
        <f ca="1"/>
      </c>
      <c r="AX1156">
        <f ca="1"/>
      </c>
      <c r="AY1156">
        <f ca="1"/>
      </c>
      <c r="BA1156" s="7"/>
    </row>
    <row r="1157" spans="31:53" x14ac:dyDescent="0.55000000000000004">
      <c r="AE1157" s="7">
        <f ca="1"/>
      </c>
      <c r="AF1157">
        <f ca="1"/>
      </c>
      <c r="AG1157">
        <f ca="1"/>
      </c>
      <c r="AH1157">
        <f ca="1"/>
      </c>
      <c r="AI1157">
        <f ca="1"/>
      </c>
      <c r="AJ1157">
        <f ca="1"/>
      </c>
      <c r="AK1157">
        <f ca="1"/>
      </c>
      <c r="AL1157">
        <f ca="1"/>
      </c>
      <c r="AM1157">
        <f ca="1"/>
      </c>
      <c r="AN1157">
        <f ca="1"/>
      </c>
      <c r="AO1157">
        <f ca="1"/>
      </c>
      <c r="AP1157">
        <f ca="1"/>
      </c>
      <c r="AQ1157">
        <f ca="1"/>
      </c>
      <c r="AR1157">
        <f ca="1"/>
      </c>
      <c r="AT1157" s="7">
        <f ca="1"/>
      </c>
      <c r="AU1157">
        <f ca="1"/>
      </c>
      <c r="AV1157">
        <f ca="1"/>
      </c>
      <c r="AW1157">
        <f ca="1"/>
      </c>
      <c r="AX1157">
        <f ca="1"/>
      </c>
      <c r="AY1157">
        <f ca="1"/>
      </c>
      <c r="BA1157" s="7"/>
    </row>
    <row r="1158" spans="31:53" x14ac:dyDescent="0.55000000000000004">
      <c r="AE1158" s="7">
        <f ca="1"/>
      </c>
      <c r="AF1158">
        <f ca="1"/>
      </c>
      <c r="AG1158">
        <f ca="1"/>
      </c>
      <c r="AH1158">
        <f ca="1"/>
      </c>
      <c r="AI1158">
        <f ca="1"/>
      </c>
      <c r="AJ1158">
        <f ca="1"/>
      </c>
      <c r="AK1158">
        <f ca="1"/>
      </c>
      <c r="AL1158">
        <f ca="1"/>
      </c>
      <c r="AM1158">
        <f ca="1"/>
      </c>
      <c r="AN1158">
        <f ca="1"/>
      </c>
      <c r="AO1158">
        <f ca="1"/>
      </c>
      <c r="AP1158">
        <f ca="1"/>
      </c>
      <c r="AQ1158">
        <f ca="1"/>
      </c>
      <c r="AR1158">
        <f ca="1"/>
      </c>
      <c r="AT1158" s="7">
        <f ca="1"/>
      </c>
      <c r="AU1158">
        <f ca="1"/>
      </c>
      <c r="AV1158">
        <f ca="1"/>
      </c>
      <c r="AW1158">
        <f ca="1"/>
      </c>
      <c r="AX1158">
        <f ca="1"/>
      </c>
      <c r="AY1158">
        <f ca="1"/>
      </c>
      <c r="BA1158" s="7"/>
    </row>
    <row r="1159" spans="31:53" x14ac:dyDescent="0.55000000000000004">
      <c r="AE1159" s="7">
        <f ca="1"/>
      </c>
      <c r="AF1159">
        <f ca="1"/>
      </c>
      <c r="AG1159">
        <f ca="1"/>
      </c>
      <c r="AH1159">
        <f ca="1"/>
      </c>
      <c r="AI1159">
        <f ca="1"/>
      </c>
      <c r="AJ1159">
        <f ca="1"/>
      </c>
      <c r="AK1159">
        <f ca="1"/>
      </c>
      <c r="AL1159">
        <f ca="1"/>
      </c>
      <c r="AM1159">
        <f ca="1"/>
      </c>
      <c r="AN1159">
        <f ca="1"/>
      </c>
      <c r="AO1159">
        <f ca="1"/>
      </c>
      <c r="AP1159">
        <f ca="1"/>
      </c>
      <c r="AQ1159">
        <f ca="1"/>
      </c>
      <c r="AR1159">
        <f ca="1"/>
      </c>
      <c r="AT1159" s="7">
        <f ca="1"/>
      </c>
      <c r="AU1159">
        <f ca="1"/>
      </c>
      <c r="AV1159">
        <f ca="1"/>
      </c>
      <c r="AW1159">
        <f ca="1"/>
      </c>
      <c r="AX1159">
        <f ca="1"/>
      </c>
      <c r="AY1159">
        <f ca="1"/>
      </c>
      <c r="BA1159" s="7"/>
    </row>
    <row r="1160" spans="31:53" x14ac:dyDescent="0.55000000000000004">
      <c r="AE1160" s="7">
        <f ca="1"/>
      </c>
      <c r="AF1160">
        <f ca="1"/>
      </c>
      <c r="AG1160">
        <f ca="1"/>
      </c>
      <c r="AH1160">
        <f ca="1"/>
      </c>
      <c r="AI1160">
        <f ca="1"/>
      </c>
      <c r="AJ1160">
        <f ca="1"/>
      </c>
      <c r="AK1160">
        <f ca="1"/>
      </c>
      <c r="AL1160">
        <f ca="1"/>
      </c>
      <c r="AM1160">
        <f ca="1"/>
      </c>
      <c r="AN1160">
        <f ca="1"/>
      </c>
      <c r="AO1160">
        <f ca="1"/>
      </c>
      <c r="AP1160">
        <f ca="1"/>
      </c>
      <c r="AQ1160">
        <f ca="1"/>
      </c>
      <c r="AR1160">
        <f ca="1"/>
      </c>
      <c r="AT1160" s="7">
        <f ca="1"/>
      </c>
      <c r="AU1160">
        <f ca="1"/>
      </c>
      <c r="AV1160">
        <f ca="1"/>
      </c>
      <c r="AW1160">
        <f ca="1"/>
      </c>
      <c r="AX1160">
        <f ca="1"/>
      </c>
      <c r="AY1160">
        <f ca="1"/>
      </c>
      <c r="BA1160" s="7"/>
    </row>
    <row r="1161" spans="31:53" x14ac:dyDescent="0.55000000000000004">
      <c r="AE1161" s="7">
        <f ca="1"/>
      </c>
      <c r="AF1161">
        <f ca="1"/>
      </c>
      <c r="AG1161">
        <f ca="1"/>
      </c>
      <c r="AH1161">
        <f ca="1"/>
      </c>
      <c r="AI1161">
        <f ca="1"/>
      </c>
      <c r="AJ1161">
        <f ca="1"/>
      </c>
      <c r="AK1161">
        <f ca="1"/>
      </c>
      <c r="AL1161">
        <f ca="1"/>
      </c>
      <c r="AM1161">
        <f ca="1"/>
      </c>
      <c r="AN1161">
        <f ca="1"/>
      </c>
      <c r="AO1161">
        <f ca="1"/>
      </c>
      <c r="AP1161">
        <f ca="1"/>
      </c>
      <c r="AQ1161">
        <f ca="1"/>
      </c>
      <c r="AR1161">
        <f ca="1"/>
      </c>
      <c r="AT1161" s="7">
        <f ca="1"/>
      </c>
      <c r="AU1161">
        <f ca="1"/>
      </c>
      <c r="AV1161">
        <f ca="1"/>
      </c>
      <c r="AW1161">
        <f ca="1"/>
      </c>
      <c r="AX1161">
        <f ca="1"/>
      </c>
      <c r="AY1161">
        <f ca="1"/>
      </c>
      <c r="BA1161" s="7"/>
    </row>
    <row r="1162" spans="31:53" x14ac:dyDescent="0.55000000000000004">
      <c r="AE1162" s="7">
        <f ca="1"/>
      </c>
      <c r="AF1162">
        <f ca="1"/>
      </c>
      <c r="AG1162">
        <f ca="1"/>
      </c>
      <c r="AH1162">
        <f ca="1"/>
      </c>
      <c r="AI1162">
        <f ca="1"/>
      </c>
      <c r="AJ1162">
        <f ca="1"/>
      </c>
      <c r="AK1162">
        <f ca="1"/>
      </c>
      <c r="AL1162">
        <f ca="1"/>
      </c>
      <c r="AM1162">
        <f ca="1"/>
      </c>
      <c r="AN1162">
        <f ca="1"/>
      </c>
      <c r="AO1162">
        <f ca="1"/>
      </c>
      <c r="AP1162">
        <f ca="1"/>
      </c>
      <c r="AQ1162">
        <f ca="1"/>
      </c>
      <c r="AR1162">
        <f ca="1"/>
      </c>
      <c r="AT1162" s="7">
        <f ca="1"/>
      </c>
      <c r="AU1162">
        <f ca="1"/>
      </c>
      <c r="AV1162">
        <f ca="1"/>
      </c>
      <c r="AW1162">
        <f ca="1"/>
      </c>
      <c r="AX1162">
        <f ca="1"/>
      </c>
      <c r="AY1162">
        <f ca="1"/>
      </c>
      <c r="BA1162" s="7"/>
    </row>
    <row r="1163" spans="31:53" x14ac:dyDescent="0.55000000000000004">
      <c r="AE1163" s="7">
        <f ca="1"/>
      </c>
      <c r="AF1163">
        <f ca="1"/>
      </c>
      <c r="AG1163">
        <f ca="1"/>
      </c>
      <c r="AH1163">
        <f ca="1"/>
      </c>
      <c r="AI1163">
        <f ca="1"/>
      </c>
      <c r="AJ1163">
        <f ca="1"/>
      </c>
      <c r="AK1163">
        <f ca="1"/>
      </c>
      <c r="AL1163">
        <f ca="1"/>
      </c>
      <c r="AM1163">
        <f ca="1"/>
      </c>
      <c r="AN1163">
        <f ca="1"/>
      </c>
      <c r="AO1163">
        <f ca="1"/>
      </c>
      <c r="AP1163">
        <f ca="1"/>
      </c>
      <c r="AQ1163">
        <f ca="1"/>
      </c>
      <c r="AR1163">
        <f ca="1"/>
      </c>
      <c r="AT1163" s="7">
        <f ca="1"/>
      </c>
      <c r="AU1163">
        <f ca="1"/>
      </c>
      <c r="AV1163">
        <f ca="1"/>
      </c>
      <c r="AW1163">
        <f ca="1"/>
      </c>
      <c r="AX1163">
        <f ca="1"/>
      </c>
      <c r="AY1163">
        <f ca="1"/>
      </c>
      <c r="BA1163" s="7"/>
    </row>
    <row r="1164" spans="31:53" x14ac:dyDescent="0.55000000000000004">
      <c r="AE1164" s="7">
        <f ca="1"/>
      </c>
      <c r="AF1164">
        <f ca="1"/>
      </c>
      <c r="AG1164">
        <f ca="1"/>
      </c>
      <c r="AH1164">
        <f ca="1"/>
      </c>
      <c r="AI1164">
        <f ca="1"/>
      </c>
      <c r="AJ1164">
        <f ca="1"/>
      </c>
      <c r="AK1164">
        <f ca="1"/>
      </c>
      <c r="AL1164">
        <f ca="1"/>
      </c>
      <c r="AM1164">
        <f ca="1"/>
      </c>
      <c r="AN1164">
        <f ca="1"/>
      </c>
      <c r="AO1164">
        <f ca="1"/>
      </c>
      <c r="AP1164">
        <f ca="1"/>
      </c>
      <c r="AQ1164">
        <f ca="1"/>
      </c>
      <c r="AR1164">
        <f ca="1"/>
      </c>
      <c r="AT1164" s="7">
        <f ca="1"/>
      </c>
      <c r="AU1164">
        <f ca="1"/>
      </c>
      <c r="AV1164">
        <f ca="1"/>
      </c>
      <c r="AW1164">
        <f ca="1"/>
      </c>
      <c r="AX1164">
        <f ca="1"/>
      </c>
      <c r="AY1164">
        <f ca="1"/>
      </c>
      <c r="BA1164" s="7"/>
    </row>
    <row r="1165" spans="31:53" x14ac:dyDescent="0.55000000000000004">
      <c r="AE1165" s="7">
        <f ca="1"/>
      </c>
      <c r="AF1165">
        <f ca="1"/>
      </c>
      <c r="AG1165">
        <f ca="1"/>
      </c>
      <c r="AH1165">
        <f ca="1"/>
      </c>
      <c r="AI1165">
        <f ca="1"/>
      </c>
      <c r="AJ1165">
        <f ca="1"/>
      </c>
      <c r="AK1165">
        <f ca="1"/>
      </c>
      <c r="AL1165">
        <f ca="1"/>
      </c>
      <c r="AM1165">
        <f ca="1"/>
      </c>
      <c r="AN1165">
        <f ca="1"/>
      </c>
      <c r="AO1165">
        <f ca="1"/>
      </c>
      <c r="AP1165">
        <f ca="1"/>
      </c>
      <c r="AQ1165">
        <f ca="1"/>
      </c>
      <c r="AR1165">
        <f ca="1"/>
      </c>
      <c r="AT1165" s="7">
        <f ca="1"/>
      </c>
      <c r="AU1165">
        <f ca="1"/>
      </c>
      <c r="AV1165">
        <f ca="1"/>
      </c>
      <c r="AW1165">
        <f ca="1"/>
      </c>
      <c r="AX1165">
        <f ca="1"/>
      </c>
      <c r="AY1165">
        <f ca="1"/>
      </c>
      <c r="BA1165" s="7"/>
    </row>
    <row r="1166" spans="31:53" x14ac:dyDescent="0.55000000000000004">
      <c r="AE1166" s="7">
        <f ca="1"/>
      </c>
      <c r="AF1166">
        <f ca="1"/>
      </c>
      <c r="AG1166">
        <f ca="1"/>
      </c>
      <c r="AH1166">
        <f ca="1"/>
      </c>
      <c r="AI1166">
        <f ca="1"/>
      </c>
      <c r="AJ1166">
        <f ca="1"/>
      </c>
      <c r="AK1166">
        <f ca="1"/>
      </c>
      <c r="AL1166">
        <f ca="1"/>
      </c>
      <c r="AM1166">
        <f ca="1"/>
      </c>
      <c r="AN1166">
        <f ca="1"/>
      </c>
      <c r="AO1166">
        <f ca="1"/>
      </c>
      <c r="AP1166">
        <f ca="1"/>
      </c>
      <c r="AQ1166">
        <f ca="1"/>
      </c>
      <c r="AR1166">
        <f ca="1"/>
      </c>
      <c r="AT1166" s="7">
        <f ca="1"/>
      </c>
      <c r="AU1166">
        <f ca="1"/>
      </c>
      <c r="AV1166">
        <f ca="1"/>
      </c>
      <c r="AW1166">
        <f ca="1"/>
      </c>
      <c r="AX1166">
        <f ca="1"/>
      </c>
      <c r="AY1166">
        <f ca="1"/>
      </c>
      <c r="BA1166" s="7"/>
    </row>
    <row r="1167" spans="31:53" x14ac:dyDescent="0.55000000000000004">
      <c r="AE1167" s="7">
        <f ca="1"/>
      </c>
      <c r="AF1167">
        <f ca="1"/>
      </c>
      <c r="AG1167">
        <f ca="1"/>
      </c>
      <c r="AH1167">
        <f ca="1"/>
      </c>
      <c r="AI1167">
        <f ca="1"/>
      </c>
      <c r="AJ1167">
        <f ca="1"/>
      </c>
      <c r="AK1167">
        <f ca="1"/>
      </c>
      <c r="AL1167">
        <f ca="1"/>
      </c>
      <c r="AM1167">
        <f ca="1"/>
      </c>
      <c r="AN1167">
        <f ca="1"/>
      </c>
      <c r="AO1167">
        <f ca="1"/>
      </c>
      <c r="AP1167">
        <f ca="1"/>
      </c>
      <c r="AQ1167">
        <f ca="1"/>
      </c>
      <c r="AR1167">
        <f ca="1"/>
      </c>
      <c r="AT1167" s="7">
        <f ca="1"/>
      </c>
      <c r="AU1167">
        <f ca="1"/>
      </c>
      <c r="AV1167">
        <f ca="1"/>
      </c>
      <c r="AW1167">
        <f ca="1"/>
      </c>
      <c r="AX1167">
        <f ca="1"/>
      </c>
      <c r="AY1167">
        <f ca="1"/>
      </c>
      <c r="BA1167" s="7"/>
    </row>
    <row r="1168" spans="31:53" x14ac:dyDescent="0.55000000000000004">
      <c r="AE1168" s="7">
        <f ca="1"/>
      </c>
      <c r="AF1168">
        <f ca="1"/>
      </c>
      <c r="AG1168">
        <f ca="1"/>
      </c>
      <c r="AH1168">
        <f ca="1"/>
      </c>
      <c r="AI1168">
        <f ca="1"/>
      </c>
      <c r="AJ1168">
        <f ca="1"/>
      </c>
      <c r="AK1168">
        <f ca="1"/>
      </c>
      <c r="AL1168">
        <f ca="1"/>
      </c>
      <c r="AM1168">
        <f ca="1"/>
      </c>
      <c r="AN1168">
        <f ca="1"/>
      </c>
      <c r="AO1168">
        <f ca="1"/>
      </c>
      <c r="AP1168">
        <f ca="1"/>
      </c>
      <c r="AQ1168">
        <f ca="1"/>
      </c>
      <c r="AR1168">
        <f ca="1"/>
      </c>
      <c r="AT1168" s="7">
        <f ca="1"/>
      </c>
      <c r="AU1168">
        <f ca="1"/>
      </c>
      <c r="AV1168">
        <f ca="1"/>
      </c>
      <c r="AW1168">
        <f ca="1"/>
      </c>
      <c r="AX1168">
        <f ca="1"/>
      </c>
      <c r="AY1168">
        <f ca="1"/>
      </c>
      <c r="BA1168" s="7"/>
    </row>
    <row r="1169" spans="31:53" x14ac:dyDescent="0.55000000000000004">
      <c r="AE1169" s="7">
        <f ca="1"/>
      </c>
      <c r="AF1169">
        <f ca="1"/>
      </c>
      <c r="AG1169">
        <f ca="1"/>
      </c>
      <c r="AH1169">
        <f ca="1"/>
      </c>
      <c r="AI1169">
        <f ca="1"/>
      </c>
      <c r="AJ1169">
        <f ca="1"/>
      </c>
      <c r="AK1169">
        <f ca="1"/>
      </c>
      <c r="AL1169">
        <f ca="1"/>
      </c>
      <c r="AM1169">
        <f ca="1"/>
      </c>
      <c r="AN1169">
        <f ca="1"/>
      </c>
      <c r="AO1169">
        <f ca="1"/>
      </c>
      <c r="AP1169">
        <f ca="1"/>
      </c>
      <c r="AQ1169">
        <f ca="1"/>
      </c>
      <c r="AR1169">
        <f ca="1"/>
      </c>
      <c r="AT1169" s="7">
        <f ca="1"/>
      </c>
      <c r="AU1169">
        <f ca="1"/>
      </c>
      <c r="AV1169">
        <f ca="1"/>
      </c>
      <c r="AW1169">
        <f ca="1"/>
      </c>
      <c r="AX1169">
        <f ca="1"/>
      </c>
      <c r="AY1169">
        <f ca="1"/>
      </c>
      <c r="BA1169" s="7"/>
    </row>
    <row r="1170" spans="31:53" x14ac:dyDescent="0.55000000000000004">
      <c r="AE1170" s="7">
        <f ca="1"/>
      </c>
      <c r="AF1170">
        <f ca="1"/>
      </c>
      <c r="AG1170">
        <f ca="1"/>
      </c>
      <c r="AH1170">
        <f ca="1"/>
      </c>
      <c r="AI1170">
        <f ca="1"/>
      </c>
      <c r="AJ1170">
        <f ca="1"/>
      </c>
      <c r="AK1170">
        <f ca="1"/>
      </c>
      <c r="AL1170">
        <f ca="1"/>
      </c>
      <c r="AM1170">
        <f ca="1"/>
      </c>
      <c r="AN1170">
        <f ca="1"/>
      </c>
      <c r="AO1170">
        <f ca="1"/>
      </c>
      <c r="AP1170">
        <f ca="1"/>
      </c>
      <c r="AQ1170">
        <f ca="1"/>
      </c>
      <c r="AR1170">
        <f ca="1"/>
      </c>
      <c r="AT1170" s="7">
        <f ca="1"/>
      </c>
      <c r="AU1170">
        <f ca="1"/>
      </c>
      <c r="AV1170">
        <f ca="1"/>
      </c>
      <c r="AW1170">
        <f ca="1"/>
      </c>
      <c r="AX1170">
        <f ca="1"/>
      </c>
      <c r="AY1170">
        <f ca="1"/>
      </c>
      <c r="BA1170" s="7"/>
    </row>
    <row r="1171" spans="31:53" x14ac:dyDescent="0.55000000000000004">
      <c r="AE1171" s="7">
        <f ca="1"/>
      </c>
      <c r="AF1171">
        <f ca="1"/>
      </c>
      <c r="AG1171">
        <f ca="1"/>
      </c>
      <c r="AH1171">
        <f ca="1"/>
      </c>
      <c r="AI1171">
        <f ca="1"/>
      </c>
      <c r="AJ1171">
        <f ca="1"/>
      </c>
      <c r="AK1171">
        <f ca="1"/>
      </c>
      <c r="AL1171">
        <f ca="1"/>
      </c>
      <c r="AM1171">
        <f ca="1"/>
      </c>
      <c r="AN1171">
        <f ca="1"/>
      </c>
      <c r="AO1171">
        <f ca="1"/>
      </c>
      <c r="AP1171">
        <f ca="1"/>
      </c>
      <c r="AQ1171">
        <f ca="1"/>
      </c>
      <c r="AR1171">
        <f ca="1"/>
      </c>
      <c r="AT1171" s="7">
        <f ca="1"/>
      </c>
      <c r="AU1171">
        <f ca="1"/>
      </c>
      <c r="AV1171">
        <f ca="1"/>
      </c>
      <c r="AW1171">
        <f ca="1"/>
      </c>
      <c r="AX1171">
        <f ca="1"/>
      </c>
      <c r="AY1171">
        <f ca="1"/>
      </c>
      <c r="BA1171" s="7"/>
    </row>
    <row r="1172" spans="31:53" x14ac:dyDescent="0.55000000000000004">
      <c r="AE1172" s="7">
        <f ca="1"/>
      </c>
      <c r="AF1172">
        <f ca="1"/>
      </c>
      <c r="AG1172">
        <f ca="1"/>
      </c>
      <c r="AH1172">
        <f ca="1"/>
      </c>
      <c r="AI1172">
        <f ca="1"/>
      </c>
      <c r="AJ1172">
        <f ca="1"/>
      </c>
      <c r="AK1172">
        <f ca="1"/>
      </c>
      <c r="AL1172">
        <f ca="1"/>
      </c>
      <c r="AM1172">
        <f ca="1"/>
      </c>
      <c r="AN1172">
        <f ca="1"/>
      </c>
      <c r="AO1172">
        <f ca="1"/>
      </c>
      <c r="AP1172">
        <f ca="1"/>
      </c>
      <c r="AQ1172">
        <f ca="1"/>
      </c>
      <c r="AR1172">
        <f ca="1"/>
      </c>
      <c r="AT1172" s="7">
        <f ca="1"/>
      </c>
      <c r="AU1172">
        <f ca="1"/>
      </c>
      <c r="AV1172">
        <f ca="1"/>
      </c>
      <c r="AW1172">
        <f ca="1"/>
      </c>
      <c r="AX1172">
        <f ca="1"/>
      </c>
      <c r="AY1172">
        <f ca="1"/>
      </c>
      <c r="BA1172" s="7"/>
    </row>
    <row r="1173" spans="31:53" x14ac:dyDescent="0.55000000000000004">
      <c r="AE1173" s="7">
        <f ca="1"/>
      </c>
      <c r="AF1173">
        <f ca="1"/>
      </c>
      <c r="AG1173">
        <f ca="1"/>
      </c>
      <c r="AH1173">
        <f ca="1"/>
      </c>
      <c r="AI1173">
        <f ca="1"/>
      </c>
      <c r="AJ1173">
        <f ca="1"/>
      </c>
      <c r="AK1173">
        <f ca="1"/>
      </c>
      <c r="AL1173">
        <f ca="1"/>
      </c>
      <c r="AM1173">
        <f ca="1"/>
      </c>
      <c r="AN1173">
        <f ca="1"/>
      </c>
      <c r="AO1173">
        <f ca="1"/>
      </c>
      <c r="AP1173">
        <f ca="1"/>
      </c>
      <c r="AQ1173">
        <f ca="1"/>
      </c>
      <c r="AR1173">
        <f ca="1"/>
      </c>
      <c r="AT1173" s="7">
        <f ca="1"/>
      </c>
      <c r="AU1173">
        <f ca="1"/>
      </c>
      <c r="AV1173">
        <f ca="1"/>
      </c>
      <c r="AW1173">
        <f ca="1"/>
      </c>
      <c r="AX1173">
        <f ca="1"/>
      </c>
      <c r="AY1173">
        <f ca="1"/>
      </c>
      <c r="BA1173" s="7"/>
    </row>
    <row r="1174" spans="31:53" x14ac:dyDescent="0.55000000000000004">
      <c r="AE1174" s="7">
        <f ca="1"/>
      </c>
      <c r="AF1174">
        <f ca="1"/>
      </c>
      <c r="AG1174">
        <f ca="1"/>
      </c>
      <c r="AH1174">
        <f ca="1"/>
      </c>
      <c r="AI1174">
        <f ca="1"/>
      </c>
      <c r="AJ1174">
        <f ca="1"/>
      </c>
      <c r="AK1174">
        <f ca="1"/>
      </c>
      <c r="AL1174">
        <f ca="1"/>
      </c>
      <c r="AM1174">
        <f ca="1"/>
      </c>
      <c r="AN1174">
        <f ca="1"/>
      </c>
      <c r="AO1174">
        <f ca="1"/>
      </c>
      <c r="AP1174">
        <f ca="1"/>
      </c>
      <c r="AQ1174">
        <f ca="1"/>
      </c>
      <c r="AR1174">
        <f ca="1"/>
      </c>
      <c r="AT1174" s="7">
        <f ca="1"/>
      </c>
      <c r="AU1174">
        <f ca="1"/>
      </c>
      <c r="AV1174">
        <f ca="1"/>
      </c>
      <c r="AW1174">
        <f ca="1"/>
      </c>
      <c r="AX1174">
        <f ca="1"/>
      </c>
      <c r="AY1174">
        <f ca="1"/>
      </c>
      <c r="BA1174" s="7"/>
    </row>
    <row r="1175" spans="31:53" x14ac:dyDescent="0.55000000000000004">
      <c r="AE1175" s="7">
        <f ca="1"/>
      </c>
      <c r="AF1175">
        <f ca="1"/>
      </c>
      <c r="AG1175">
        <f ca="1"/>
      </c>
      <c r="AH1175">
        <f ca="1"/>
      </c>
      <c r="AI1175">
        <f ca="1"/>
      </c>
      <c r="AJ1175">
        <f ca="1"/>
      </c>
      <c r="AK1175">
        <f ca="1"/>
      </c>
      <c r="AL1175">
        <f ca="1"/>
      </c>
      <c r="AM1175">
        <f ca="1"/>
      </c>
      <c r="AN1175">
        <f ca="1"/>
      </c>
      <c r="AO1175">
        <f ca="1"/>
      </c>
      <c r="AP1175">
        <f ca="1"/>
      </c>
      <c r="AQ1175">
        <f ca="1"/>
      </c>
      <c r="AR1175">
        <f ca="1"/>
      </c>
      <c r="AT1175" s="7">
        <f ca="1"/>
      </c>
      <c r="AU1175">
        <f ca="1"/>
      </c>
      <c r="AV1175">
        <f ca="1"/>
      </c>
      <c r="AW1175">
        <f ca="1"/>
      </c>
      <c r="AX1175">
        <f ca="1"/>
      </c>
      <c r="AY1175">
        <f ca="1"/>
      </c>
      <c r="BA1175" s="7"/>
    </row>
    <row r="1176" spans="31:53" x14ac:dyDescent="0.55000000000000004">
      <c r="AE1176" s="7">
        <f ca="1"/>
      </c>
      <c r="AF1176">
        <f ca="1"/>
      </c>
      <c r="AG1176">
        <f ca="1"/>
      </c>
      <c r="AH1176">
        <f ca="1"/>
      </c>
      <c r="AI1176">
        <f ca="1"/>
      </c>
      <c r="AJ1176">
        <f ca="1"/>
      </c>
      <c r="AK1176">
        <f ca="1"/>
      </c>
      <c r="AL1176">
        <f ca="1"/>
      </c>
      <c r="AM1176">
        <f ca="1"/>
      </c>
      <c r="AN1176">
        <f ca="1"/>
      </c>
      <c r="AO1176">
        <f ca="1"/>
      </c>
      <c r="AP1176">
        <f ca="1"/>
      </c>
      <c r="AQ1176">
        <f ca="1"/>
      </c>
      <c r="AR1176">
        <f ca="1"/>
      </c>
      <c r="AT1176" s="7">
        <f ca="1"/>
      </c>
      <c r="AU1176">
        <f ca="1"/>
      </c>
      <c r="AV1176">
        <f ca="1"/>
      </c>
      <c r="AW1176">
        <f ca="1"/>
      </c>
      <c r="AX1176">
        <f ca="1"/>
      </c>
      <c r="AY1176">
        <f ca="1"/>
      </c>
      <c r="BA1176" s="7"/>
    </row>
    <row r="1177" spans="31:53" x14ac:dyDescent="0.55000000000000004">
      <c r="AE1177" s="7">
        <f ca="1"/>
      </c>
      <c r="AF1177">
        <f ca="1"/>
      </c>
      <c r="AG1177">
        <f ca="1"/>
      </c>
      <c r="AH1177">
        <f ca="1"/>
      </c>
      <c r="AI1177">
        <f ca="1"/>
      </c>
      <c r="AJ1177">
        <f ca="1"/>
      </c>
      <c r="AK1177">
        <f ca="1"/>
      </c>
      <c r="AL1177">
        <f ca="1"/>
      </c>
      <c r="AM1177">
        <f ca="1"/>
      </c>
      <c r="AN1177">
        <f ca="1"/>
      </c>
      <c r="AO1177">
        <f ca="1"/>
      </c>
      <c r="AP1177">
        <f ca="1"/>
      </c>
      <c r="AQ1177">
        <f ca="1"/>
      </c>
      <c r="AR1177">
        <f ca="1"/>
      </c>
      <c r="AT1177" s="7">
        <f ca="1"/>
      </c>
      <c r="AU1177">
        <f ca="1"/>
      </c>
      <c r="AV1177">
        <f ca="1"/>
      </c>
      <c r="AW1177">
        <f ca="1"/>
      </c>
      <c r="AX1177">
        <f ca="1"/>
      </c>
      <c r="AY1177">
        <f ca="1"/>
      </c>
      <c r="BA1177" s="7"/>
    </row>
    <row r="1178" spans="31:53" x14ac:dyDescent="0.55000000000000004">
      <c r="AE1178" s="7">
        <f ca="1"/>
      </c>
      <c r="AF1178">
        <f ca="1"/>
      </c>
      <c r="AG1178">
        <f ca="1"/>
      </c>
      <c r="AH1178">
        <f ca="1"/>
      </c>
      <c r="AI1178">
        <f ca="1"/>
      </c>
      <c r="AJ1178">
        <f ca="1"/>
      </c>
      <c r="AK1178">
        <f ca="1"/>
      </c>
      <c r="AL1178">
        <f ca="1"/>
      </c>
      <c r="AM1178">
        <f ca="1"/>
      </c>
      <c r="AN1178">
        <f ca="1"/>
      </c>
      <c r="AO1178">
        <f ca="1"/>
      </c>
      <c r="AP1178">
        <f ca="1"/>
      </c>
      <c r="AQ1178">
        <f ca="1"/>
      </c>
      <c r="AR1178">
        <f ca="1"/>
      </c>
      <c r="AT1178" s="7">
        <f ca="1"/>
      </c>
      <c r="AU1178">
        <f ca="1"/>
      </c>
      <c r="AV1178">
        <f ca="1"/>
      </c>
      <c r="AW1178">
        <f ca="1"/>
      </c>
      <c r="AX1178">
        <f ca="1"/>
      </c>
      <c r="AY1178">
        <f ca="1"/>
      </c>
      <c r="BA1178" s="7"/>
    </row>
    <row r="1179" spans="31:53" x14ac:dyDescent="0.55000000000000004">
      <c r="AE1179" s="7">
        <f ca="1"/>
      </c>
      <c r="AF1179">
        <f ca="1"/>
      </c>
      <c r="AG1179">
        <f ca="1"/>
      </c>
      <c r="AH1179">
        <f ca="1"/>
      </c>
      <c r="AI1179">
        <f ca="1"/>
      </c>
      <c r="AJ1179">
        <f ca="1"/>
      </c>
      <c r="AK1179">
        <f ca="1"/>
      </c>
      <c r="AL1179">
        <f ca="1"/>
      </c>
      <c r="AM1179">
        <f ca="1"/>
      </c>
      <c r="AN1179">
        <f ca="1"/>
      </c>
      <c r="AO1179">
        <f ca="1"/>
      </c>
      <c r="AP1179">
        <f ca="1"/>
      </c>
      <c r="AQ1179">
        <f ca="1"/>
      </c>
      <c r="AR1179">
        <f ca="1"/>
      </c>
      <c r="AT1179" s="7">
        <f ca="1"/>
      </c>
      <c r="AU1179">
        <f ca="1"/>
      </c>
      <c r="AV1179">
        <f ca="1"/>
      </c>
      <c r="AW1179">
        <f ca="1"/>
      </c>
      <c r="AX1179">
        <f ca="1"/>
      </c>
      <c r="AY1179">
        <f ca="1"/>
      </c>
      <c r="BA1179" s="7"/>
    </row>
    <row r="1180" spans="31:53" x14ac:dyDescent="0.55000000000000004">
      <c r="AE1180" s="7">
        <f ca="1"/>
      </c>
      <c r="AF1180">
        <f ca="1"/>
      </c>
      <c r="AG1180">
        <f ca="1"/>
      </c>
      <c r="AH1180">
        <f ca="1"/>
      </c>
      <c r="AI1180">
        <f ca="1"/>
      </c>
      <c r="AJ1180">
        <f ca="1"/>
      </c>
      <c r="AK1180">
        <f ca="1"/>
      </c>
      <c r="AL1180">
        <f ca="1"/>
      </c>
      <c r="AM1180">
        <f ca="1"/>
      </c>
      <c r="AN1180">
        <f ca="1"/>
      </c>
      <c r="AO1180">
        <f ca="1"/>
      </c>
      <c r="AP1180">
        <f ca="1"/>
      </c>
      <c r="AQ1180">
        <f ca="1"/>
      </c>
      <c r="AR1180">
        <f ca="1"/>
      </c>
      <c r="AT1180" s="7">
        <f ca="1"/>
      </c>
      <c r="AU1180">
        <f ca="1"/>
      </c>
      <c r="AV1180">
        <f ca="1"/>
      </c>
      <c r="AW1180">
        <f ca="1"/>
      </c>
      <c r="AX1180">
        <f ca="1"/>
      </c>
      <c r="AY1180">
        <f ca="1"/>
      </c>
      <c r="BA1180" s="7"/>
    </row>
    <row r="1181" spans="31:53" x14ac:dyDescent="0.55000000000000004">
      <c r="AE1181" s="7">
        <f ca="1"/>
      </c>
      <c r="AF1181">
        <f ca="1"/>
      </c>
      <c r="AG1181">
        <f ca="1"/>
      </c>
      <c r="AH1181">
        <f ca="1"/>
      </c>
      <c r="AI1181">
        <f ca="1"/>
      </c>
      <c r="AJ1181">
        <f ca="1"/>
      </c>
      <c r="AK1181">
        <f ca="1"/>
      </c>
      <c r="AL1181">
        <f ca="1"/>
      </c>
      <c r="AM1181">
        <f ca="1"/>
      </c>
      <c r="AN1181">
        <f ca="1"/>
      </c>
      <c r="AO1181">
        <f ca="1"/>
      </c>
      <c r="AP1181">
        <f ca="1"/>
      </c>
      <c r="AQ1181">
        <f ca="1"/>
      </c>
      <c r="AR1181">
        <f ca="1"/>
      </c>
      <c r="AT1181" s="7">
        <f ca="1"/>
      </c>
      <c r="AU1181">
        <f ca="1"/>
      </c>
      <c r="AV1181">
        <f ca="1"/>
      </c>
      <c r="AW1181">
        <f ca="1"/>
      </c>
      <c r="AX1181">
        <f ca="1"/>
      </c>
      <c r="AY1181">
        <f ca="1"/>
      </c>
      <c r="BA1181" s="7"/>
    </row>
    <row r="1182" spans="31:53" x14ac:dyDescent="0.55000000000000004">
      <c r="AE1182" s="7">
        <f ca="1"/>
      </c>
      <c r="AF1182">
        <f ca="1"/>
      </c>
      <c r="AG1182">
        <f ca="1"/>
      </c>
      <c r="AH1182">
        <f ca="1"/>
      </c>
      <c r="AI1182">
        <f ca="1"/>
      </c>
      <c r="AJ1182">
        <f ca="1"/>
      </c>
      <c r="AK1182">
        <f ca="1"/>
      </c>
      <c r="AL1182">
        <f ca="1"/>
      </c>
      <c r="AM1182">
        <f ca="1"/>
      </c>
      <c r="AN1182">
        <f ca="1"/>
      </c>
      <c r="AO1182">
        <f ca="1"/>
      </c>
      <c r="AP1182">
        <f ca="1"/>
      </c>
      <c r="AQ1182">
        <f ca="1"/>
      </c>
      <c r="AR1182">
        <f ca="1"/>
      </c>
      <c r="AT1182" s="7">
        <f ca="1"/>
      </c>
      <c r="AU1182">
        <f ca="1"/>
      </c>
      <c r="AV1182">
        <f ca="1"/>
      </c>
      <c r="AW1182">
        <f ca="1"/>
      </c>
      <c r="AX1182">
        <f ca="1"/>
      </c>
      <c r="AY1182">
        <f ca="1"/>
      </c>
      <c r="BA1182" s="7"/>
    </row>
    <row r="1183" spans="31:53" x14ac:dyDescent="0.55000000000000004">
      <c r="AE1183" s="7">
        <f ca="1"/>
      </c>
      <c r="AF1183">
        <f ca="1"/>
      </c>
      <c r="AG1183">
        <f ca="1"/>
      </c>
      <c r="AH1183">
        <f ca="1"/>
      </c>
      <c r="AI1183">
        <f ca="1"/>
      </c>
      <c r="AJ1183">
        <f ca="1"/>
      </c>
      <c r="AK1183">
        <f ca="1"/>
      </c>
      <c r="AL1183">
        <f ca="1"/>
      </c>
      <c r="AM1183">
        <f ca="1"/>
      </c>
      <c r="AN1183">
        <f ca="1"/>
      </c>
      <c r="AO1183">
        <f ca="1"/>
      </c>
      <c r="AP1183">
        <f ca="1"/>
      </c>
      <c r="AQ1183">
        <f ca="1"/>
      </c>
      <c r="AR1183">
        <f ca="1"/>
      </c>
      <c r="AT1183" s="7">
        <f ca="1"/>
      </c>
      <c r="AU1183">
        <f ca="1"/>
      </c>
      <c r="AV1183">
        <f ca="1"/>
      </c>
      <c r="AW1183">
        <f ca="1"/>
      </c>
      <c r="AX1183">
        <f ca="1"/>
      </c>
      <c r="AY1183">
        <f ca="1"/>
      </c>
      <c r="BA1183" s="7"/>
    </row>
    <row r="1184" spans="31:53" x14ac:dyDescent="0.55000000000000004">
      <c r="AE1184" s="7">
        <f ca="1"/>
      </c>
      <c r="AF1184">
        <f ca="1"/>
      </c>
      <c r="AG1184">
        <f ca="1"/>
      </c>
      <c r="AH1184">
        <f ca="1"/>
      </c>
      <c r="AI1184">
        <f ca="1"/>
      </c>
      <c r="AJ1184">
        <f ca="1"/>
      </c>
      <c r="AK1184">
        <f ca="1"/>
      </c>
      <c r="AL1184">
        <f ca="1"/>
      </c>
      <c r="AM1184">
        <f ca="1"/>
      </c>
      <c r="AN1184">
        <f ca="1"/>
      </c>
      <c r="AO1184">
        <f ca="1"/>
      </c>
      <c r="AP1184">
        <f ca="1"/>
      </c>
      <c r="AQ1184">
        <f ca="1"/>
      </c>
      <c r="AR1184">
        <f ca="1"/>
      </c>
      <c r="AT1184" s="7">
        <f ca="1"/>
      </c>
      <c r="AU1184">
        <f ca="1"/>
      </c>
      <c r="AV1184">
        <f ca="1"/>
      </c>
      <c r="AW1184">
        <f ca="1"/>
      </c>
      <c r="AX1184">
        <f ca="1"/>
      </c>
      <c r="AY1184">
        <f ca="1"/>
      </c>
      <c r="BA1184" s="7"/>
    </row>
    <row r="1185" spans="31:53" x14ac:dyDescent="0.55000000000000004">
      <c r="AE1185" s="7">
        <f ca="1"/>
      </c>
      <c r="AF1185">
        <f ca="1"/>
      </c>
      <c r="AG1185">
        <f ca="1"/>
      </c>
      <c r="AH1185">
        <f ca="1"/>
      </c>
      <c r="AI1185">
        <f ca="1"/>
      </c>
      <c r="AJ1185">
        <f ca="1"/>
      </c>
      <c r="AK1185">
        <f ca="1"/>
      </c>
      <c r="AL1185">
        <f ca="1"/>
      </c>
      <c r="AM1185">
        <f ca="1"/>
      </c>
      <c r="AN1185">
        <f ca="1"/>
      </c>
      <c r="AO1185">
        <f ca="1"/>
      </c>
      <c r="AP1185">
        <f ca="1"/>
      </c>
      <c r="AQ1185">
        <f ca="1"/>
      </c>
      <c r="AR1185">
        <f ca="1"/>
      </c>
      <c r="AT1185" s="7">
        <f ca="1"/>
      </c>
      <c r="AU1185">
        <f ca="1"/>
      </c>
      <c r="AV1185">
        <f ca="1"/>
      </c>
      <c r="AW1185">
        <f ca="1"/>
      </c>
      <c r="AX1185">
        <f ca="1"/>
      </c>
      <c r="AY1185">
        <f ca="1"/>
      </c>
      <c r="BA1185" s="7"/>
    </row>
    <row r="1186" spans="31:53" x14ac:dyDescent="0.55000000000000004">
      <c r="AE1186" s="7">
        <f ca="1"/>
      </c>
      <c r="AF1186">
        <f ca="1"/>
      </c>
      <c r="AG1186">
        <f ca="1"/>
      </c>
      <c r="AH1186">
        <f ca="1"/>
      </c>
      <c r="AI1186">
        <f ca="1"/>
      </c>
      <c r="AJ1186">
        <f ca="1"/>
      </c>
      <c r="AK1186">
        <f ca="1"/>
      </c>
      <c r="AL1186">
        <f ca="1"/>
      </c>
      <c r="AM1186">
        <f ca="1"/>
      </c>
      <c r="AN1186">
        <f ca="1"/>
      </c>
      <c r="AO1186">
        <f ca="1"/>
      </c>
      <c r="AP1186">
        <f ca="1"/>
      </c>
      <c r="AQ1186">
        <f ca="1"/>
      </c>
      <c r="AR1186">
        <f ca="1"/>
      </c>
      <c r="AT1186" s="7">
        <f ca="1"/>
      </c>
      <c r="AU1186">
        <f ca="1"/>
      </c>
      <c r="AV1186">
        <f ca="1"/>
      </c>
      <c r="AW1186">
        <f ca="1"/>
      </c>
      <c r="AX1186">
        <f ca="1"/>
      </c>
      <c r="AY1186">
        <f ca="1"/>
      </c>
      <c r="BA1186" s="7"/>
    </row>
    <row r="1187" spans="31:53" x14ac:dyDescent="0.55000000000000004">
      <c r="AE1187" s="7">
        <f ca="1"/>
      </c>
      <c r="AF1187">
        <f ca="1"/>
      </c>
      <c r="AG1187">
        <f ca="1"/>
      </c>
      <c r="AH1187">
        <f ca="1"/>
      </c>
      <c r="AI1187">
        <f ca="1"/>
      </c>
      <c r="AJ1187">
        <f ca="1"/>
      </c>
      <c r="AK1187">
        <f ca="1"/>
      </c>
      <c r="AL1187">
        <f ca="1"/>
      </c>
      <c r="AM1187">
        <f ca="1"/>
      </c>
      <c r="AN1187">
        <f ca="1"/>
      </c>
      <c r="AO1187">
        <f ca="1"/>
      </c>
      <c r="AP1187">
        <f ca="1"/>
      </c>
      <c r="AQ1187">
        <f ca="1"/>
      </c>
      <c r="AR1187">
        <f ca="1"/>
      </c>
      <c r="AT1187" s="7">
        <f ca="1"/>
      </c>
      <c r="AU1187">
        <f ca="1"/>
      </c>
      <c r="AV1187">
        <f ca="1"/>
      </c>
      <c r="AW1187">
        <f ca="1"/>
      </c>
      <c r="AX1187">
        <f ca="1"/>
      </c>
      <c r="AY1187">
        <f ca="1"/>
      </c>
      <c r="BA1187" s="7"/>
    </row>
    <row r="1188" spans="31:53" x14ac:dyDescent="0.55000000000000004">
      <c r="AE1188" s="7">
        <f ca="1"/>
      </c>
      <c r="AF1188">
        <f ca="1"/>
      </c>
      <c r="AG1188">
        <f ca="1"/>
      </c>
      <c r="AH1188">
        <f ca="1"/>
      </c>
      <c r="AI1188">
        <f ca="1"/>
      </c>
      <c r="AJ1188">
        <f ca="1"/>
      </c>
      <c r="AK1188">
        <f ca="1"/>
      </c>
      <c r="AL1188">
        <f ca="1"/>
      </c>
      <c r="AM1188">
        <f ca="1"/>
      </c>
      <c r="AN1188">
        <f ca="1"/>
      </c>
      <c r="AO1188">
        <f ca="1"/>
      </c>
      <c r="AP1188">
        <f ca="1"/>
      </c>
      <c r="AQ1188">
        <f ca="1"/>
      </c>
      <c r="AR1188">
        <f ca="1"/>
      </c>
      <c r="AT1188" s="7">
        <f ca="1"/>
      </c>
      <c r="AU1188">
        <f ca="1"/>
      </c>
      <c r="AV1188">
        <f ca="1"/>
      </c>
      <c r="AW1188">
        <f ca="1"/>
      </c>
      <c r="AX1188">
        <f ca="1"/>
      </c>
      <c r="AY1188">
        <f ca="1"/>
      </c>
      <c r="BA1188" s="7"/>
    </row>
    <row r="1189" spans="31:53" x14ac:dyDescent="0.55000000000000004">
      <c r="AE1189" s="7">
        <f ca="1"/>
      </c>
      <c r="AF1189">
        <f ca="1"/>
      </c>
      <c r="AG1189">
        <f ca="1"/>
      </c>
      <c r="AH1189">
        <f ca="1"/>
      </c>
      <c r="AI1189">
        <f ca="1"/>
      </c>
      <c r="AJ1189">
        <f ca="1"/>
      </c>
      <c r="AK1189">
        <f ca="1"/>
      </c>
      <c r="AL1189">
        <f ca="1"/>
      </c>
      <c r="AM1189">
        <f ca="1"/>
      </c>
      <c r="AN1189">
        <f ca="1"/>
      </c>
      <c r="AO1189">
        <f ca="1"/>
      </c>
      <c r="AP1189">
        <f ca="1"/>
      </c>
      <c r="AQ1189">
        <f ca="1"/>
      </c>
      <c r="AR1189">
        <f ca="1"/>
      </c>
      <c r="AT1189" s="7">
        <f ca="1"/>
      </c>
      <c r="AU1189">
        <f ca="1"/>
      </c>
      <c r="AV1189">
        <f ca="1"/>
      </c>
      <c r="AW1189">
        <f ca="1"/>
      </c>
      <c r="AX1189">
        <f ca="1"/>
      </c>
      <c r="AY1189">
        <f ca="1"/>
      </c>
      <c r="BA1189" s="7"/>
    </row>
    <row r="1190" spans="31:53" x14ac:dyDescent="0.55000000000000004">
      <c r="AE1190" s="7">
        <f ca="1"/>
      </c>
      <c r="AF1190">
        <f ca="1"/>
      </c>
      <c r="AG1190">
        <f ca="1"/>
      </c>
      <c r="AH1190">
        <f ca="1"/>
      </c>
      <c r="AI1190">
        <f ca="1"/>
      </c>
      <c r="AJ1190">
        <f ca="1"/>
      </c>
      <c r="AK1190">
        <f ca="1"/>
      </c>
      <c r="AL1190">
        <f ca="1"/>
      </c>
      <c r="AM1190">
        <f ca="1"/>
      </c>
      <c r="AN1190">
        <f ca="1"/>
      </c>
      <c r="AO1190">
        <f ca="1"/>
      </c>
      <c r="AP1190">
        <f ca="1"/>
      </c>
      <c r="AQ1190">
        <f ca="1"/>
      </c>
      <c r="AR1190">
        <f ca="1"/>
      </c>
      <c r="AT1190" s="7">
        <f ca="1"/>
      </c>
      <c r="AU1190">
        <f ca="1"/>
      </c>
      <c r="AV1190">
        <f ca="1"/>
      </c>
      <c r="AW1190">
        <f ca="1"/>
      </c>
      <c r="AX1190">
        <f ca="1"/>
      </c>
      <c r="AY1190">
        <f ca="1"/>
      </c>
      <c r="BA1190" s="7"/>
    </row>
    <row r="1191" spans="31:53" x14ac:dyDescent="0.55000000000000004">
      <c r="AE1191" s="7">
        <f ca="1"/>
      </c>
      <c r="AF1191">
        <f ca="1"/>
      </c>
      <c r="AG1191">
        <f ca="1"/>
      </c>
      <c r="AH1191">
        <f ca="1"/>
      </c>
      <c r="AI1191">
        <f ca="1"/>
      </c>
      <c r="AJ1191">
        <f ca="1"/>
      </c>
      <c r="AK1191">
        <f ca="1"/>
      </c>
      <c r="AL1191">
        <f ca="1"/>
      </c>
      <c r="AM1191">
        <f ca="1"/>
      </c>
      <c r="AN1191">
        <f ca="1"/>
      </c>
      <c r="AO1191">
        <f ca="1"/>
      </c>
      <c r="AP1191">
        <f ca="1"/>
      </c>
      <c r="AQ1191">
        <f ca="1"/>
      </c>
      <c r="AR1191">
        <f ca="1"/>
      </c>
      <c r="AT1191" s="7">
        <f ca="1"/>
      </c>
      <c r="AU1191">
        <f ca="1"/>
      </c>
      <c r="AV1191">
        <f ca="1"/>
      </c>
      <c r="AW1191">
        <f ca="1"/>
      </c>
      <c r="AX1191">
        <f ca="1"/>
      </c>
      <c r="AY1191">
        <f ca="1"/>
      </c>
      <c r="BA1191" s="7"/>
    </row>
    <row r="1192" spans="31:53" x14ac:dyDescent="0.55000000000000004">
      <c r="AE1192" s="7">
        <f ca="1"/>
      </c>
      <c r="AF1192">
        <f ca="1"/>
      </c>
      <c r="AG1192">
        <f ca="1"/>
      </c>
      <c r="AH1192">
        <f ca="1"/>
      </c>
      <c r="AI1192">
        <f ca="1"/>
      </c>
      <c r="AJ1192">
        <f ca="1"/>
      </c>
      <c r="AK1192">
        <f ca="1"/>
      </c>
      <c r="AL1192">
        <f ca="1"/>
      </c>
      <c r="AM1192">
        <f ca="1"/>
      </c>
      <c r="AN1192">
        <f ca="1"/>
      </c>
      <c r="AO1192">
        <f ca="1"/>
      </c>
      <c r="AP1192">
        <f ca="1"/>
      </c>
      <c r="AQ1192">
        <f ca="1"/>
      </c>
      <c r="AR1192">
        <f ca="1"/>
      </c>
      <c r="AT1192" s="7">
        <f ca="1"/>
      </c>
      <c r="AU1192">
        <f ca="1"/>
      </c>
      <c r="AV1192">
        <f ca="1"/>
      </c>
      <c r="AW1192">
        <f ca="1"/>
      </c>
      <c r="AX1192">
        <f ca="1"/>
      </c>
      <c r="AY1192">
        <f ca="1"/>
      </c>
      <c r="BA1192" s="7"/>
    </row>
    <row r="1193" spans="31:53" x14ac:dyDescent="0.55000000000000004">
      <c r="AE1193" s="7">
        <f ca="1"/>
      </c>
      <c r="AF1193">
        <f ca="1"/>
      </c>
      <c r="AG1193">
        <f ca="1"/>
      </c>
      <c r="AH1193">
        <f ca="1"/>
      </c>
      <c r="AI1193">
        <f ca="1"/>
      </c>
      <c r="AJ1193">
        <f ca="1"/>
      </c>
      <c r="AK1193">
        <f ca="1"/>
      </c>
      <c r="AL1193">
        <f ca="1"/>
      </c>
      <c r="AM1193">
        <f ca="1"/>
      </c>
      <c r="AN1193">
        <f ca="1"/>
      </c>
      <c r="AO1193">
        <f ca="1"/>
      </c>
      <c r="AP1193">
        <f ca="1"/>
      </c>
      <c r="AQ1193">
        <f ca="1"/>
      </c>
      <c r="AR1193">
        <f ca="1"/>
      </c>
      <c r="AT1193" s="7">
        <f ca="1"/>
      </c>
      <c r="AU1193">
        <f ca="1"/>
      </c>
      <c r="AV1193">
        <f ca="1"/>
      </c>
      <c r="AW1193">
        <f ca="1"/>
      </c>
      <c r="AX1193">
        <f ca="1"/>
      </c>
      <c r="AY1193">
        <f ca="1"/>
      </c>
      <c r="BA1193" s="7"/>
    </row>
    <row r="1194" spans="31:53" x14ac:dyDescent="0.55000000000000004">
      <c r="AE1194" s="7">
        <f ca="1"/>
      </c>
      <c r="AF1194">
        <f ca="1"/>
      </c>
      <c r="AG1194">
        <f ca="1"/>
      </c>
      <c r="AH1194">
        <f ca="1"/>
      </c>
      <c r="AI1194">
        <f ca="1"/>
      </c>
      <c r="AJ1194">
        <f ca="1"/>
      </c>
      <c r="AK1194">
        <f ca="1"/>
      </c>
      <c r="AL1194">
        <f ca="1"/>
      </c>
      <c r="AM1194">
        <f ca="1"/>
      </c>
      <c r="AN1194">
        <f ca="1"/>
      </c>
      <c r="AO1194">
        <f ca="1"/>
      </c>
      <c r="AP1194">
        <f ca="1"/>
      </c>
      <c r="AQ1194">
        <f ca="1"/>
      </c>
      <c r="AR1194">
        <f ca="1"/>
      </c>
      <c r="AT1194" s="7">
        <f ca="1"/>
      </c>
      <c r="AU1194">
        <f ca="1"/>
      </c>
      <c r="AV1194">
        <f ca="1"/>
      </c>
      <c r="AW1194">
        <f ca="1"/>
      </c>
      <c r="AX1194">
        <f ca="1"/>
      </c>
      <c r="AY1194">
        <f ca="1"/>
      </c>
      <c r="BA1194" s="7"/>
    </row>
    <row r="1195" spans="31:53" x14ac:dyDescent="0.55000000000000004">
      <c r="AE1195" s="7">
        <f ca="1"/>
      </c>
      <c r="AF1195">
        <f ca="1"/>
      </c>
      <c r="AG1195">
        <f ca="1"/>
      </c>
      <c r="AH1195">
        <f ca="1"/>
      </c>
      <c r="AI1195">
        <f ca="1"/>
      </c>
      <c r="AJ1195">
        <f ca="1"/>
      </c>
      <c r="AK1195">
        <f ca="1"/>
      </c>
      <c r="AL1195">
        <f ca="1"/>
      </c>
      <c r="AM1195">
        <f ca="1"/>
      </c>
      <c r="AN1195">
        <f ca="1"/>
      </c>
      <c r="AO1195">
        <f ca="1"/>
      </c>
      <c r="AP1195">
        <f ca="1"/>
      </c>
      <c r="AQ1195">
        <f ca="1"/>
      </c>
      <c r="AR1195">
        <f ca="1"/>
      </c>
      <c r="AT1195" s="7">
        <f ca="1"/>
      </c>
      <c r="AU1195">
        <f ca="1"/>
      </c>
      <c r="AV1195">
        <f ca="1"/>
      </c>
      <c r="AW1195">
        <f ca="1"/>
      </c>
      <c r="AX1195">
        <f ca="1"/>
      </c>
      <c r="AY1195">
        <f ca="1"/>
      </c>
      <c r="BA1195" s="7"/>
    </row>
    <row r="1196" spans="31:53" x14ac:dyDescent="0.55000000000000004">
      <c r="AE1196" s="7">
        <f ca="1"/>
      </c>
      <c r="AF1196">
        <f ca="1"/>
      </c>
      <c r="AG1196">
        <f ca="1"/>
      </c>
      <c r="AH1196">
        <f ca="1"/>
      </c>
      <c r="AI1196">
        <f ca="1"/>
      </c>
      <c r="AJ1196">
        <f ca="1"/>
      </c>
      <c r="AK1196">
        <f ca="1"/>
      </c>
      <c r="AL1196">
        <f ca="1"/>
      </c>
      <c r="AM1196">
        <f ca="1"/>
      </c>
      <c r="AN1196">
        <f ca="1"/>
      </c>
      <c r="AO1196">
        <f ca="1"/>
      </c>
      <c r="AP1196">
        <f ca="1"/>
      </c>
      <c r="AQ1196">
        <f ca="1"/>
      </c>
      <c r="AR1196">
        <f ca="1"/>
      </c>
      <c r="AT1196" s="7">
        <f ca="1"/>
      </c>
      <c r="AU1196">
        <f ca="1"/>
      </c>
      <c r="AV1196">
        <f ca="1"/>
      </c>
      <c r="AW1196">
        <f ca="1"/>
      </c>
      <c r="AX1196">
        <f ca="1"/>
      </c>
      <c r="AY1196">
        <f ca="1"/>
      </c>
      <c r="BA1196" s="7"/>
    </row>
    <row r="1197" spans="31:53" x14ac:dyDescent="0.55000000000000004">
      <c r="AE1197" s="7">
        <f ca="1"/>
      </c>
      <c r="AF1197">
        <f ca="1"/>
      </c>
      <c r="AG1197">
        <f ca="1"/>
      </c>
      <c r="AH1197">
        <f ca="1"/>
      </c>
      <c r="AI1197">
        <f ca="1"/>
      </c>
      <c r="AJ1197">
        <f ca="1"/>
      </c>
      <c r="AK1197">
        <f ca="1"/>
      </c>
      <c r="AL1197">
        <f ca="1"/>
      </c>
      <c r="AM1197">
        <f ca="1"/>
      </c>
      <c r="AN1197">
        <f ca="1"/>
      </c>
      <c r="AO1197">
        <f ca="1"/>
      </c>
      <c r="AP1197">
        <f ca="1"/>
      </c>
      <c r="AQ1197">
        <f ca="1"/>
      </c>
      <c r="AR1197">
        <f ca="1"/>
      </c>
      <c r="AT1197" s="7">
        <f ca="1"/>
      </c>
      <c r="AU1197">
        <f ca="1"/>
      </c>
      <c r="AV1197">
        <f ca="1"/>
      </c>
      <c r="AW1197">
        <f ca="1"/>
      </c>
      <c r="AX1197">
        <f ca="1"/>
      </c>
      <c r="AY1197">
        <f ca="1"/>
      </c>
      <c r="BA1197" s="7"/>
    </row>
    <row r="1198" spans="31:53" x14ac:dyDescent="0.55000000000000004">
      <c r="AE1198" s="7">
        <f ca="1"/>
      </c>
      <c r="AF1198">
        <f ca="1"/>
      </c>
      <c r="AG1198">
        <f ca="1"/>
      </c>
      <c r="AH1198">
        <f ca="1"/>
      </c>
      <c r="AI1198">
        <f ca="1"/>
      </c>
      <c r="AJ1198">
        <f ca="1"/>
      </c>
      <c r="AK1198">
        <f ca="1"/>
      </c>
      <c r="AL1198">
        <f ca="1"/>
      </c>
      <c r="AM1198">
        <f ca="1"/>
      </c>
      <c r="AN1198">
        <f ca="1"/>
      </c>
      <c r="AO1198">
        <f ca="1"/>
      </c>
      <c r="AP1198">
        <f ca="1"/>
      </c>
      <c r="AQ1198">
        <f ca="1"/>
      </c>
      <c r="AR1198">
        <f ca="1"/>
      </c>
      <c r="AT1198" s="7">
        <f ca="1"/>
      </c>
      <c r="AU1198">
        <f ca="1"/>
      </c>
      <c r="AV1198">
        <f ca="1"/>
      </c>
      <c r="AW1198">
        <f ca="1"/>
      </c>
      <c r="AX1198">
        <f ca="1"/>
      </c>
      <c r="AY1198">
        <f ca="1"/>
      </c>
      <c r="BA1198" s="7"/>
    </row>
    <row r="1199" spans="31:53" x14ac:dyDescent="0.55000000000000004">
      <c r="AE1199" s="7">
        <f ca="1"/>
      </c>
      <c r="AF1199">
        <f ca="1"/>
      </c>
      <c r="AG1199">
        <f ca="1"/>
      </c>
      <c r="AH1199">
        <f ca="1"/>
      </c>
      <c r="AI1199">
        <f ca="1"/>
      </c>
      <c r="AJ1199">
        <f ca="1"/>
      </c>
      <c r="AK1199">
        <f ca="1"/>
      </c>
      <c r="AL1199">
        <f ca="1"/>
      </c>
      <c r="AM1199">
        <f ca="1"/>
      </c>
      <c r="AN1199">
        <f ca="1"/>
      </c>
      <c r="AO1199">
        <f ca="1"/>
      </c>
      <c r="AP1199">
        <f ca="1"/>
      </c>
      <c r="AQ1199">
        <f ca="1"/>
      </c>
      <c r="AR1199">
        <f ca="1"/>
      </c>
      <c r="AT1199" s="7">
        <f ca="1"/>
      </c>
      <c r="AU1199">
        <f ca="1"/>
      </c>
      <c r="AV1199">
        <f ca="1"/>
      </c>
      <c r="AW1199">
        <f ca="1"/>
      </c>
      <c r="AX1199">
        <f ca="1"/>
      </c>
      <c r="AY1199">
        <f ca="1"/>
      </c>
      <c r="BA1199" s="7"/>
    </row>
    <row r="1200" spans="31:53" x14ac:dyDescent="0.55000000000000004">
      <c r="AE1200" s="7">
        <f ca="1"/>
      </c>
      <c r="AF1200">
        <f ca="1"/>
      </c>
      <c r="AG1200">
        <f ca="1"/>
      </c>
      <c r="AH1200">
        <f ca="1"/>
      </c>
      <c r="AI1200">
        <f ca="1"/>
      </c>
      <c r="AJ1200">
        <f ca="1"/>
      </c>
      <c r="AK1200">
        <f ca="1"/>
      </c>
      <c r="AL1200">
        <f ca="1"/>
      </c>
      <c r="AM1200">
        <f ca="1"/>
      </c>
      <c r="AN1200">
        <f ca="1"/>
      </c>
      <c r="AO1200">
        <f ca="1"/>
      </c>
      <c r="AP1200">
        <f ca="1"/>
      </c>
      <c r="AQ1200">
        <f ca="1"/>
      </c>
      <c r="AR1200">
        <f ca="1"/>
      </c>
      <c r="AT1200" s="7">
        <f ca="1"/>
      </c>
      <c r="AU1200">
        <f ca="1"/>
      </c>
      <c r="AV1200">
        <f ca="1"/>
      </c>
      <c r="AW1200">
        <f ca="1"/>
      </c>
      <c r="AX1200">
        <f ca="1"/>
      </c>
      <c r="AY1200">
        <f ca="1"/>
      </c>
      <c r="BA1200" s="7"/>
    </row>
    <row r="1201" spans="31:53" x14ac:dyDescent="0.55000000000000004">
      <c r="AE1201" s="7">
        <f ca="1"/>
      </c>
      <c r="AF1201">
        <f ca="1"/>
      </c>
      <c r="AG1201">
        <f ca="1"/>
      </c>
      <c r="AH1201">
        <f ca="1"/>
      </c>
      <c r="AI1201">
        <f ca="1"/>
      </c>
      <c r="AJ1201">
        <f ca="1"/>
      </c>
      <c r="AK1201">
        <f ca="1"/>
      </c>
      <c r="AL1201">
        <f ca="1"/>
      </c>
      <c r="AM1201">
        <f ca="1"/>
      </c>
      <c r="AN1201">
        <f ca="1"/>
      </c>
      <c r="AO1201">
        <f ca="1"/>
      </c>
      <c r="AP1201">
        <f ca="1"/>
      </c>
      <c r="AQ1201">
        <f ca="1"/>
      </c>
      <c r="AR1201">
        <f ca="1"/>
      </c>
      <c r="AT1201" s="7">
        <f ca="1"/>
      </c>
      <c r="AU1201">
        <f ca="1"/>
      </c>
      <c r="AV1201">
        <f ca="1"/>
      </c>
      <c r="AW1201">
        <f ca="1"/>
      </c>
      <c r="AX1201">
        <f ca="1"/>
      </c>
      <c r="AY1201">
        <f ca="1"/>
      </c>
      <c r="BA1201" s="7"/>
    </row>
    <row r="1202" spans="31:53" x14ac:dyDescent="0.55000000000000004">
      <c r="AE1202" s="7">
        <f ca="1"/>
      </c>
      <c r="AF1202">
        <f ca="1"/>
      </c>
      <c r="AG1202">
        <f ca="1"/>
      </c>
      <c r="AH1202">
        <f ca="1"/>
      </c>
      <c r="AI1202">
        <f ca="1"/>
      </c>
      <c r="AJ1202">
        <f ca="1"/>
      </c>
      <c r="AK1202">
        <f ca="1"/>
      </c>
      <c r="AL1202">
        <f ca="1"/>
      </c>
      <c r="AM1202">
        <f ca="1"/>
      </c>
      <c r="AN1202">
        <f ca="1"/>
      </c>
      <c r="AO1202">
        <f ca="1"/>
      </c>
      <c r="AP1202">
        <f ca="1"/>
      </c>
      <c r="AQ1202">
        <f ca="1"/>
      </c>
      <c r="AR1202">
        <f ca="1"/>
      </c>
      <c r="AT1202" s="7">
        <f ca="1"/>
      </c>
      <c r="AU1202">
        <f ca="1"/>
      </c>
      <c r="AV1202">
        <f ca="1"/>
      </c>
      <c r="AW1202">
        <f ca="1"/>
      </c>
      <c r="AX1202">
        <f ca="1"/>
      </c>
      <c r="AY1202">
        <f ca="1"/>
      </c>
      <c r="BA1202" s="7"/>
    </row>
    <row r="1203" spans="31:53" x14ac:dyDescent="0.55000000000000004">
      <c r="AE1203" s="7">
        <f ca="1"/>
      </c>
      <c r="AF1203">
        <f ca="1"/>
      </c>
      <c r="AG1203">
        <f ca="1"/>
      </c>
      <c r="AH1203">
        <f ca="1"/>
      </c>
      <c r="AI1203">
        <f ca="1"/>
      </c>
      <c r="AJ1203">
        <f ca="1"/>
      </c>
      <c r="AK1203">
        <f ca="1"/>
      </c>
      <c r="AL1203">
        <f ca="1"/>
      </c>
      <c r="AM1203">
        <f ca="1"/>
      </c>
      <c r="AN1203">
        <f ca="1"/>
      </c>
      <c r="AO1203">
        <f ca="1"/>
      </c>
      <c r="AP1203">
        <f ca="1"/>
      </c>
      <c r="AQ1203">
        <f ca="1"/>
      </c>
      <c r="AR1203">
        <f ca="1"/>
      </c>
      <c r="AT1203" s="7">
        <f ca="1"/>
      </c>
      <c r="AU1203">
        <f ca="1"/>
      </c>
      <c r="AV1203">
        <f ca="1"/>
      </c>
      <c r="AW1203">
        <f ca="1"/>
      </c>
      <c r="AX1203">
        <f ca="1"/>
      </c>
      <c r="AY1203">
        <f ca="1"/>
      </c>
      <c r="BA1203" s="7"/>
    </row>
    <row r="1204" spans="31:53" x14ac:dyDescent="0.55000000000000004">
      <c r="AE1204" s="7">
        <f ca="1"/>
      </c>
      <c r="AF1204">
        <f ca="1"/>
      </c>
      <c r="AG1204">
        <f ca="1"/>
      </c>
      <c r="AH1204">
        <f ca="1"/>
      </c>
      <c r="AI1204">
        <f ca="1"/>
      </c>
      <c r="AJ1204">
        <f ca="1"/>
      </c>
      <c r="AK1204">
        <f ca="1"/>
      </c>
      <c r="AL1204">
        <f ca="1"/>
      </c>
      <c r="AM1204">
        <f ca="1"/>
      </c>
      <c r="AN1204">
        <f ca="1"/>
      </c>
      <c r="AO1204">
        <f ca="1"/>
      </c>
      <c r="AP1204">
        <f ca="1"/>
      </c>
      <c r="AQ1204">
        <f ca="1"/>
      </c>
      <c r="AR1204">
        <f ca="1"/>
      </c>
      <c r="AT1204" s="7">
        <f ca="1"/>
      </c>
      <c r="AU1204">
        <f ca="1"/>
      </c>
      <c r="AV1204">
        <f ca="1"/>
      </c>
      <c r="AW1204">
        <f ca="1"/>
      </c>
      <c r="AX1204">
        <f ca="1"/>
      </c>
      <c r="AY1204">
        <f ca="1"/>
      </c>
      <c r="BA1204" s="7"/>
    </row>
    <row r="1205" spans="31:53" x14ac:dyDescent="0.55000000000000004">
      <c r="AE1205" s="7">
        <f ca="1"/>
      </c>
      <c r="AF1205">
        <f ca="1"/>
      </c>
      <c r="AG1205">
        <f ca="1"/>
      </c>
      <c r="AH1205">
        <f ca="1"/>
      </c>
      <c r="AI1205">
        <f ca="1"/>
      </c>
      <c r="AJ1205">
        <f ca="1"/>
      </c>
      <c r="AK1205">
        <f ca="1"/>
      </c>
      <c r="AL1205">
        <f ca="1"/>
      </c>
      <c r="AM1205">
        <f ca="1"/>
      </c>
      <c r="AN1205">
        <f ca="1"/>
      </c>
      <c r="AO1205">
        <f ca="1"/>
      </c>
      <c r="AP1205">
        <f ca="1"/>
      </c>
      <c r="AQ1205">
        <f ca="1"/>
      </c>
      <c r="AR1205">
        <f ca="1"/>
      </c>
      <c r="AT1205" s="7">
        <f ca="1"/>
      </c>
      <c r="AU1205">
        <f ca="1"/>
      </c>
      <c r="AV1205">
        <f ca="1"/>
      </c>
      <c r="AW1205">
        <f ca="1"/>
      </c>
      <c r="AX1205">
        <f ca="1"/>
      </c>
      <c r="AY1205">
        <f ca="1"/>
      </c>
      <c r="BA1205" s="7"/>
    </row>
    <row r="1206" spans="31:53" x14ac:dyDescent="0.55000000000000004">
      <c r="AE1206" s="7">
        <f ca="1"/>
      </c>
      <c r="AF1206">
        <f ca="1"/>
      </c>
      <c r="AG1206">
        <f ca="1"/>
      </c>
      <c r="AH1206">
        <f ca="1"/>
      </c>
      <c r="AI1206">
        <f ca="1"/>
      </c>
      <c r="AJ1206">
        <f ca="1"/>
      </c>
      <c r="AK1206">
        <f ca="1"/>
      </c>
      <c r="AL1206">
        <f ca="1"/>
      </c>
      <c r="AM1206">
        <f ca="1"/>
      </c>
      <c r="AN1206">
        <f ca="1"/>
      </c>
      <c r="AO1206">
        <f ca="1"/>
      </c>
      <c r="AP1206">
        <f ca="1"/>
      </c>
      <c r="AQ1206">
        <f ca="1"/>
      </c>
      <c r="AR1206">
        <f ca="1"/>
      </c>
      <c r="AT1206" s="7">
        <f ca="1"/>
      </c>
      <c r="AU1206">
        <f ca="1"/>
      </c>
      <c r="AV1206">
        <f ca="1"/>
      </c>
      <c r="AW1206">
        <f ca="1"/>
      </c>
      <c r="AX1206">
        <f ca="1"/>
      </c>
      <c r="AY1206">
        <f ca="1"/>
      </c>
      <c r="BA1206" s="7"/>
    </row>
    <row r="1207" spans="31:53" x14ac:dyDescent="0.55000000000000004">
      <c r="AE1207" s="7">
        <f ca="1"/>
      </c>
      <c r="AF1207">
        <f ca="1"/>
      </c>
      <c r="AG1207">
        <f ca="1"/>
      </c>
      <c r="AH1207">
        <f ca="1"/>
      </c>
      <c r="AI1207">
        <f ca="1"/>
      </c>
      <c r="AJ1207">
        <f ca="1"/>
      </c>
      <c r="AK1207">
        <f ca="1"/>
      </c>
      <c r="AL1207">
        <f ca="1"/>
      </c>
      <c r="AM1207">
        <f ca="1"/>
      </c>
      <c r="AN1207">
        <f ca="1"/>
      </c>
      <c r="AO1207">
        <f ca="1"/>
      </c>
      <c r="AP1207">
        <f ca="1"/>
      </c>
      <c r="AQ1207">
        <f ca="1"/>
      </c>
      <c r="AR1207">
        <f ca="1"/>
      </c>
      <c r="AT1207" s="7">
        <f ca="1"/>
      </c>
      <c r="AU1207">
        <f ca="1"/>
      </c>
      <c r="AV1207">
        <f ca="1"/>
      </c>
      <c r="AW1207">
        <f ca="1"/>
      </c>
      <c r="AX1207">
        <f ca="1"/>
      </c>
      <c r="AY1207">
        <f ca="1"/>
      </c>
      <c r="BA1207" s="7"/>
    </row>
    <row r="1208" spans="31:53" x14ac:dyDescent="0.55000000000000004">
      <c r="AE1208" s="7">
        <f ca="1"/>
      </c>
      <c r="AF1208">
        <f ca="1"/>
      </c>
      <c r="AG1208">
        <f ca="1"/>
      </c>
      <c r="AH1208">
        <f ca="1"/>
      </c>
      <c r="AI1208">
        <f ca="1"/>
      </c>
      <c r="AJ1208">
        <f ca="1"/>
      </c>
      <c r="AK1208">
        <f ca="1"/>
      </c>
      <c r="AL1208">
        <f ca="1"/>
      </c>
      <c r="AM1208">
        <f ca="1"/>
      </c>
      <c r="AN1208">
        <f ca="1"/>
      </c>
      <c r="AO1208">
        <f ca="1"/>
      </c>
      <c r="AP1208">
        <f ca="1"/>
      </c>
      <c r="AQ1208">
        <f ca="1"/>
      </c>
      <c r="AR1208">
        <f ca="1"/>
      </c>
      <c r="AT1208" s="7">
        <f ca="1"/>
      </c>
      <c r="AU1208">
        <f ca="1"/>
      </c>
      <c r="AV1208">
        <f ca="1"/>
      </c>
      <c r="AW1208">
        <f ca="1"/>
      </c>
      <c r="AX1208">
        <f ca="1"/>
      </c>
      <c r="AY1208">
        <f ca="1"/>
      </c>
      <c r="BA1208" s="7"/>
    </row>
    <row r="1209" spans="31:53" x14ac:dyDescent="0.55000000000000004">
      <c r="AE1209" s="7">
        <f ca="1"/>
      </c>
      <c r="AF1209">
        <f ca="1"/>
      </c>
      <c r="AG1209">
        <f ca="1"/>
      </c>
      <c r="AH1209">
        <f ca="1"/>
      </c>
      <c r="AI1209">
        <f ca="1"/>
      </c>
      <c r="AJ1209">
        <f ca="1"/>
      </c>
      <c r="AK1209">
        <f ca="1"/>
      </c>
      <c r="AL1209">
        <f ca="1"/>
      </c>
      <c r="AM1209">
        <f ca="1"/>
      </c>
      <c r="AN1209">
        <f ca="1"/>
      </c>
      <c r="AO1209">
        <f ca="1"/>
      </c>
      <c r="AP1209">
        <f ca="1"/>
      </c>
      <c r="AQ1209">
        <f ca="1"/>
      </c>
      <c r="AR1209">
        <f ca="1"/>
      </c>
      <c r="AT1209" s="7">
        <f ca="1"/>
      </c>
      <c r="AU1209">
        <f ca="1"/>
      </c>
      <c r="AV1209">
        <f ca="1"/>
      </c>
      <c r="AW1209">
        <f ca="1"/>
      </c>
      <c r="AX1209">
        <f ca="1"/>
      </c>
      <c r="AY1209">
        <f ca="1"/>
      </c>
      <c r="BA1209" s="7"/>
    </row>
    <row r="1210" spans="31:53" x14ac:dyDescent="0.55000000000000004">
      <c r="AE1210" s="7">
        <f ca="1"/>
      </c>
      <c r="AF1210">
        <f ca="1"/>
      </c>
      <c r="AG1210">
        <f ca="1"/>
      </c>
      <c r="AH1210">
        <f ca="1"/>
      </c>
      <c r="AI1210">
        <f ca="1"/>
      </c>
      <c r="AJ1210">
        <f ca="1"/>
      </c>
      <c r="AK1210">
        <f ca="1"/>
      </c>
      <c r="AL1210">
        <f ca="1"/>
      </c>
      <c r="AM1210">
        <f ca="1"/>
      </c>
      <c r="AN1210">
        <f ca="1"/>
      </c>
      <c r="AO1210">
        <f ca="1"/>
      </c>
      <c r="AP1210">
        <f ca="1"/>
      </c>
      <c r="AQ1210">
        <f ca="1"/>
      </c>
      <c r="AR1210">
        <f ca="1"/>
      </c>
      <c r="AT1210" s="7">
        <f ca="1"/>
      </c>
      <c r="AU1210">
        <f ca="1"/>
      </c>
      <c r="AV1210">
        <f ca="1"/>
      </c>
      <c r="AW1210">
        <f ca="1"/>
      </c>
      <c r="AX1210">
        <f ca="1"/>
      </c>
      <c r="AY1210">
        <f ca="1"/>
      </c>
      <c r="BA1210" s="7"/>
    </row>
    <row r="1211" spans="31:53" x14ac:dyDescent="0.55000000000000004">
      <c r="AE1211" s="7">
        <f ca="1"/>
      </c>
      <c r="AF1211">
        <f ca="1"/>
      </c>
      <c r="AG1211">
        <f ca="1"/>
      </c>
      <c r="AH1211">
        <f ca="1"/>
      </c>
      <c r="AI1211">
        <f ca="1"/>
      </c>
      <c r="AJ1211">
        <f ca="1"/>
      </c>
      <c r="AK1211">
        <f ca="1"/>
      </c>
      <c r="AL1211">
        <f ca="1"/>
      </c>
      <c r="AM1211">
        <f ca="1"/>
      </c>
      <c r="AN1211">
        <f ca="1"/>
      </c>
      <c r="AO1211">
        <f ca="1"/>
      </c>
      <c r="AP1211">
        <f ca="1"/>
      </c>
      <c r="AQ1211">
        <f ca="1"/>
      </c>
      <c r="AR1211">
        <f ca="1"/>
      </c>
      <c r="AT1211" s="7">
        <f ca="1"/>
      </c>
      <c r="AU1211">
        <f ca="1"/>
      </c>
      <c r="AV1211">
        <f ca="1"/>
      </c>
      <c r="AW1211">
        <f ca="1"/>
      </c>
      <c r="AX1211">
        <f ca="1"/>
      </c>
      <c r="AY1211">
        <f ca="1"/>
      </c>
      <c r="BA1211" s="7"/>
    </row>
    <row r="1212" spans="31:53" x14ac:dyDescent="0.55000000000000004">
      <c r="AE1212" s="7">
        <f ca="1"/>
      </c>
      <c r="AF1212">
        <f ca="1"/>
      </c>
      <c r="AG1212">
        <f ca="1"/>
      </c>
      <c r="AH1212">
        <f ca="1"/>
      </c>
      <c r="AI1212">
        <f ca="1"/>
      </c>
      <c r="AJ1212">
        <f ca="1"/>
      </c>
      <c r="AK1212">
        <f ca="1"/>
      </c>
      <c r="AL1212">
        <f ca="1"/>
      </c>
      <c r="AM1212">
        <f ca="1"/>
      </c>
      <c r="AN1212">
        <f ca="1"/>
      </c>
      <c r="AO1212">
        <f ca="1"/>
      </c>
      <c r="AP1212">
        <f ca="1"/>
      </c>
      <c r="AQ1212">
        <f ca="1"/>
      </c>
      <c r="AR1212">
        <f ca="1"/>
      </c>
      <c r="AT1212" s="7">
        <f ca="1"/>
      </c>
      <c r="AU1212">
        <f ca="1"/>
      </c>
      <c r="AV1212">
        <f ca="1"/>
      </c>
      <c r="AW1212">
        <f ca="1"/>
      </c>
      <c r="AX1212">
        <f ca="1"/>
      </c>
      <c r="AY1212">
        <f ca="1"/>
      </c>
      <c r="BA1212" s="7"/>
    </row>
    <row r="1213" spans="31:53" x14ac:dyDescent="0.55000000000000004">
      <c r="AE1213" s="7">
        <f ca="1"/>
      </c>
      <c r="AF1213">
        <f ca="1"/>
      </c>
      <c r="AG1213">
        <f ca="1"/>
      </c>
      <c r="AH1213">
        <f ca="1"/>
      </c>
      <c r="AI1213">
        <f ca="1"/>
      </c>
      <c r="AJ1213">
        <f ca="1"/>
      </c>
      <c r="AK1213">
        <f ca="1"/>
      </c>
      <c r="AL1213">
        <f ca="1"/>
      </c>
      <c r="AM1213">
        <f ca="1"/>
      </c>
      <c r="AN1213">
        <f ca="1"/>
      </c>
      <c r="AO1213">
        <f ca="1"/>
      </c>
      <c r="AP1213">
        <f ca="1"/>
      </c>
      <c r="AQ1213">
        <f ca="1"/>
      </c>
      <c r="AR1213">
        <f ca="1"/>
      </c>
      <c r="AT1213" s="7">
        <f ca="1"/>
      </c>
      <c r="AU1213">
        <f ca="1"/>
      </c>
      <c r="AV1213">
        <f ca="1"/>
      </c>
      <c r="AW1213">
        <f ca="1"/>
      </c>
      <c r="AX1213">
        <f ca="1"/>
      </c>
      <c r="AY1213">
        <f ca="1"/>
      </c>
      <c r="BA1213" s="7"/>
    </row>
    <row r="1214" spans="31:53" x14ac:dyDescent="0.55000000000000004">
      <c r="AE1214" s="7">
        <f ca="1"/>
      </c>
      <c r="AF1214">
        <f ca="1"/>
      </c>
      <c r="AG1214">
        <f ca="1"/>
      </c>
      <c r="AH1214">
        <f ca="1"/>
      </c>
      <c r="AI1214">
        <f ca="1"/>
      </c>
      <c r="AJ1214">
        <f ca="1"/>
      </c>
      <c r="AK1214">
        <f ca="1"/>
      </c>
      <c r="AL1214">
        <f ca="1"/>
      </c>
      <c r="AM1214">
        <f ca="1"/>
      </c>
      <c r="AN1214">
        <f ca="1"/>
      </c>
      <c r="AO1214">
        <f ca="1"/>
      </c>
      <c r="AP1214">
        <f ca="1"/>
      </c>
      <c r="AQ1214">
        <f ca="1"/>
      </c>
      <c r="AR1214">
        <f ca="1"/>
      </c>
      <c r="AT1214" s="7">
        <f ca="1"/>
      </c>
      <c r="AU1214">
        <f ca="1"/>
      </c>
      <c r="AV1214">
        <f ca="1"/>
      </c>
      <c r="AW1214">
        <f ca="1"/>
      </c>
      <c r="AX1214">
        <f ca="1"/>
      </c>
      <c r="AY1214">
        <f ca="1"/>
      </c>
      <c r="BA1214" s="7"/>
    </row>
    <row r="1215" spans="31:53" x14ac:dyDescent="0.55000000000000004">
      <c r="AE1215" s="7">
        <f ca="1"/>
      </c>
      <c r="AF1215">
        <f ca="1"/>
      </c>
      <c r="AG1215">
        <f ca="1"/>
      </c>
      <c r="AH1215">
        <f ca="1"/>
      </c>
      <c r="AI1215">
        <f ca="1"/>
      </c>
      <c r="AJ1215">
        <f ca="1"/>
      </c>
      <c r="AK1215">
        <f ca="1"/>
      </c>
      <c r="AL1215">
        <f ca="1"/>
      </c>
      <c r="AM1215">
        <f ca="1"/>
      </c>
      <c r="AN1215">
        <f ca="1"/>
      </c>
      <c r="AO1215">
        <f ca="1"/>
      </c>
      <c r="AP1215">
        <f ca="1"/>
      </c>
      <c r="AQ1215">
        <f ca="1"/>
      </c>
      <c r="AR1215">
        <f ca="1"/>
      </c>
      <c r="AT1215" s="7">
        <f ca="1"/>
      </c>
      <c r="AU1215">
        <f ca="1"/>
      </c>
      <c r="AV1215">
        <f ca="1"/>
      </c>
      <c r="AW1215">
        <f ca="1"/>
      </c>
      <c r="AX1215">
        <f ca="1"/>
      </c>
      <c r="AY1215">
        <f ca="1"/>
      </c>
      <c r="BA1215" s="7"/>
    </row>
    <row r="1216" spans="31:53" x14ac:dyDescent="0.55000000000000004">
      <c r="AE1216" s="7">
        <f ca="1"/>
      </c>
      <c r="AF1216">
        <f ca="1"/>
      </c>
      <c r="AG1216">
        <f ca="1"/>
      </c>
      <c r="AH1216">
        <f ca="1"/>
      </c>
      <c r="AI1216">
        <f ca="1"/>
      </c>
      <c r="AJ1216">
        <f ca="1"/>
      </c>
      <c r="AK1216">
        <f ca="1"/>
      </c>
      <c r="AL1216">
        <f ca="1"/>
      </c>
      <c r="AM1216">
        <f ca="1"/>
      </c>
      <c r="AN1216">
        <f ca="1"/>
      </c>
      <c r="AO1216">
        <f ca="1"/>
      </c>
      <c r="AP1216">
        <f ca="1"/>
      </c>
      <c r="AQ1216">
        <f ca="1"/>
      </c>
      <c r="AR1216">
        <f ca="1"/>
      </c>
      <c r="AT1216" s="7">
        <f ca="1"/>
      </c>
      <c r="AU1216">
        <f ca="1"/>
      </c>
      <c r="AV1216">
        <f ca="1"/>
      </c>
      <c r="AW1216">
        <f ca="1"/>
      </c>
      <c r="AX1216">
        <f ca="1"/>
      </c>
      <c r="AY1216">
        <f ca="1"/>
      </c>
      <c r="BA1216" s="7"/>
    </row>
    <row r="1217" spans="31:53" x14ac:dyDescent="0.55000000000000004">
      <c r="AE1217" s="7">
        <f ca="1"/>
      </c>
      <c r="AF1217">
        <f ca="1"/>
      </c>
      <c r="AG1217">
        <f ca="1"/>
      </c>
      <c r="AH1217">
        <f ca="1"/>
      </c>
      <c r="AI1217">
        <f ca="1"/>
      </c>
      <c r="AJ1217">
        <f ca="1"/>
      </c>
      <c r="AK1217">
        <f ca="1"/>
      </c>
      <c r="AL1217">
        <f ca="1"/>
      </c>
      <c r="AM1217">
        <f ca="1"/>
      </c>
      <c r="AN1217">
        <f ca="1"/>
      </c>
      <c r="AO1217">
        <f ca="1"/>
      </c>
      <c r="AP1217">
        <f ca="1"/>
      </c>
      <c r="AQ1217">
        <f ca="1"/>
      </c>
      <c r="AR1217">
        <f ca="1"/>
      </c>
      <c r="AT1217" s="7">
        <f ca="1"/>
      </c>
      <c r="AU1217">
        <f ca="1"/>
      </c>
      <c r="AV1217">
        <f ca="1"/>
      </c>
      <c r="AW1217">
        <f ca="1"/>
      </c>
      <c r="AX1217">
        <f ca="1"/>
      </c>
      <c r="AY1217">
        <f ca="1"/>
      </c>
      <c r="BA1217" s="7"/>
    </row>
    <row r="1218" spans="31:53" x14ac:dyDescent="0.55000000000000004">
      <c r="AE1218" s="7">
        <f ca="1"/>
      </c>
      <c r="AF1218">
        <f ca="1"/>
      </c>
      <c r="AG1218">
        <f ca="1"/>
      </c>
      <c r="AH1218">
        <f ca="1"/>
      </c>
      <c r="AI1218">
        <f ca="1"/>
      </c>
      <c r="AJ1218">
        <f ca="1"/>
      </c>
      <c r="AK1218">
        <f ca="1"/>
      </c>
      <c r="AL1218">
        <f ca="1"/>
      </c>
      <c r="AM1218">
        <f ca="1"/>
      </c>
      <c r="AN1218">
        <f ca="1"/>
      </c>
      <c r="AO1218">
        <f ca="1"/>
      </c>
      <c r="AP1218">
        <f ca="1"/>
      </c>
      <c r="AQ1218">
        <f ca="1"/>
      </c>
      <c r="AR1218">
        <f ca="1"/>
      </c>
      <c r="AT1218" s="7">
        <f ca="1"/>
      </c>
      <c r="AU1218">
        <f ca="1"/>
      </c>
      <c r="AV1218">
        <f ca="1"/>
      </c>
      <c r="AW1218">
        <f ca="1"/>
      </c>
      <c r="AX1218">
        <f ca="1"/>
      </c>
      <c r="AY1218">
        <f ca="1"/>
      </c>
      <c r="BA1218" s="7"/>
    </row>
    <row r="1219" spans="31:53" x14ac:dyDescent="0.55000000000000004">
      <c r="AE1219" s="7">
        <f ca="1"/>
      </c>
      <c r="AF1219">
        <f ca="1"/>
      </c>
      <c r="AG1219">
        <f ca="1"/>
      </c>
      <c r="AH1219">
        <f ca="1"/>
      </c>
      <c r="AI1219">
        <f ca="1"/>
      </c>
      <c r="AJ1219">
        <f ca="1"/>
      </c>
      <c r="AK1219">
        <f ca="1"/>
      </c>
      <c r="AL1219">
        <f ca="1"/>
      </c>
      <c r="AM1219">
        <f ca="1"/>
      </c>
      <c r="AN1219">
        <f ca="1"/>
      </c>
      <c r="AO1219">
        <f ca="1"/>
      </c>
      <c r="AP1219">
        <f ca="1"/>
      </c>
      <c r="AQ1219">
        <f ca="1"/>
      </c>
      <c r="AR1219">
        <f ca="1"/>
      </c>
      <c r="AT1219" s="7">
        <f ca="1"/>
      </c>
      <c r="AU1219">
        <f ca="1"/>
      </c>
      <c r="AV1219">
        <f ca="1"/>
      </c>
      <c r="AW1219">
        <f ca="1"/>
      </c>
      <c r="AX1219">
        <f ca="1"/>
      </c>
      <c r="AY1219">
        <f ca="1"/>
      </c>
      <c r="BA1219" s="7"/>
    </row>
    <row r="1220" spans="31:53" x14ac:dyDescent="0.55000000000000004">
      <c r="AE1220" s="7">
        <f ca="1"/>
      </c>
      <c r="AF1220">
        <f ca="1"/>
      </c>
      <c r="AG1220">
        <f ca="1"/>
      </c>
      <c r="AH1220">
        <f ca="1"/>
      </c>
      <c r="AI1220">
        <f ca="1"/>
      </c>
      <c r="AJ1220">
        <f ca="1"/>
      </c>
      <c r="AK1220">
        <f ca="1"/>
      </c>
      <c r="AL1220">
        <f ca="1"/>
      </c>
      <c r="AM1220">
        <f ca="1"/>
      </c>
      <c r="AN1220">
        <f ca="1"/>
      </c>
      <c r="AO1220">
        <f ca="1"/>
      </c>
      <c r="AP1220">
        <f ca="1"/>
      </c>
      <c r="AQ1220">
        <f ca="1"/>
      </c>
      <c r="AR1220">
        <f ca="1"/>
      </c>
      <c r="AT1220" s="7">
        <f ca="1"/>
      </c>
      <c r="AU1220">
        <f ca="1"/>
      </c>
      <c r="AV1220">
        <f ca="1"/>
      </c>
      <c r="AW1220">
        <f ca="1"/>
      </c>
      <c r="AX1220">
        <f ca="1"/>
      </c>
      <c r="AY1220">
        <f ca="1"/>
      </c>
      <c r="BA1220" s="7"/>
    </row>
    <row r="1221" spans="31:53" x14ac:dyDescent="0.55000000000000004">
      <c r="AE1221" s="7">
        <f ca="1"/>
      </c>
      <c r="AF1221">
        <f ca="1"/>
      </c>
      <c r="AG1221">
        <f ca="1"/>
      </c>
      <c r="AH1221">
        <f ca="1"/>
      </c>
      <c r="AI1221">
        <f ca="1"/>
      </c>
      <c r="AJ1221">
        <f ca="1"/>
      </c>
      <c r="AK1221">
        <f ca="1"/>
      </c>
      <c r="AL1221">
        <f ca="1"/>
      </c>
      <c r="AM1221">
        <f ca="1"/>
      </c>
      <c r="AN1221">
        <f ca="1"/>
      </c>
      <c r="AO1221">
        <f ca="1"/>
      </c>
      <c r="AP1221">
        <f ca="1"/>
      </c>
      <c r="AQ1221">
        <f ca="1"/>
      </c>
      <c r="AR1221">
        <f ca="1"/>
      </c>
      <c r="AT1221" s="7">
        <f ca="1"/>
      </c>
      <c r="AU1221">
        <f ca="1"/>
      </c>
      <c r="AV1221">
        <f ca="1"/>
      </c>
      <c r="AW1221">
        <f ca="1"/>
      </c>
      <c r="AX1221">
        <f ca="1"/>
      </c>
      <c r="AY1221">
        <f ca="1"/>
      </c>
      <c r="BA1221" s="7"/>
    </row>
    <row r="1222" spans="31:53" x14ac:dyDescent="0.55000000000000004">
      <c r="AE1222" s="7">
        <f ca="1"/>
      </c>
      <c r="AF1222">
        <f ca="1"/>
      </c>
      <c r="AG1222">
        <f ca="1"/>
      </c>
      <c r="AH1222">
        <f ca="1"/>
      </c>
      <c r="AI1222">
        <f ca="1"/>
      </c>
      <c r="AJ1222">
        <f ca="1"/>
      </c>
      <c r="AK1222">
        <f ca="1"/>
      </c>
      <c r="AL1222">
        <f ca="1"/>
      </c>
      <c r="AM1222">
        <f ca="1"/>
      </c>
      <c r="AN1222">
        <f ca="1"/>
      </c>
      <c r="AO1222">
        <f ca="1"/>
      </c>
      <c r="AP1222">
        <f ca="1"/>
      </c>
      <c r="AQ1222">
        <f ca="1"/>
      </c>
      <c r="AR1222">
        <f ca="1"/>
      </c>
      <c r="AT1222" s="7">
        <f ca="1"/>
      </c>
      <c r="AU1222">
        <f ca="1"/>
      </c>
      <c r="AV1222">
        <f ca="1"/>
      </c>
      <c r="AW1222">
        <f ca="1"/>
      </c>
      <c r="AX1222">
        <f ca="1"/>
      </c>
      <c r="AY1222">
        <f ca="1"/>
      </c>
      <c r="BA1222" s="7"/>
    </row>
    <row r="1223" spans="31:53" x14ac:dyDescent="0.55000000000000004">
      <c r="AE1223" s="7">
        <f ca="1"/>
      </c>
      <c r="AF1223">
        <f ca="1"/>
      </c>
      <c r="AG1223">
        <f ca="1"/>
      </c>
      <c r="AH1223">
        <f ca="1"/>
      </c>
      <c r="AI1223">
        <f ca="1"/>
      </c>
      <c r="AJ1223">
        <f ca="1"/>
      </c>
      <c r="AK1223">
        <f ca="1"/>
      </c>
      <c r="AL1223">
        <f ca="1"/>
      </c>
      <c r="AM1223">
        <f ca="1"/>
      </c>
      <c r="AN1223">
        <f ca="1"/>
      </c>
      <c r="AO1223">
        <f ca="1"/>
      </c>
      <c r="AP1223">
        <f ca="1"/>
      </c>
      <c r="AQ1223">
        <f ca="1"/>
      </c>
      <c r="AR1223">
        <f ca="1"/>
      </c>
      <c r="AT1223" s="7">
        <f ca="1"/>
      </c>
      <c r="AU1223">
        <f ca="1"/>
      </c>
      <c r="AV1223">
        <f ca="1"/>
      </c>
      <c r="AW1223">
        <f ca="1"/>
      </c>
      <c r="AX1223">
        <f ca="1"/>
      </c>
      <c r="AY1223">
        <f ca="1"/>
      </c>
      <c r="BA1223" s="7"/>
    </row>
    <row r="1224" spans="31:53" x14ac:dyDescent="0.55000000000000004">
      <c r="AE1224" s="7">
        <f ca="1"/>
      </c>
      <c r="AF1224">
        <f ca="1"/>
      </c>
      <c r="AG1224">
        <f ca="1"/>
      </c>
      <c r="AH1224">
        <f ca="1"/>
      </c>
      <c r="AI1224">
        <f ca="1"/>
      </c>
      <c r="AJ1224">
        <f ca="1"/>
      </c>
      <c r="AK1224">
        <f ca="1"/>
      </c>
      <c r="AL1224">
        <f ca="1"/>
      </c>
      <c r="AM1224">
        <f ca="1"/>
      </c>
      <c r="AN1224">
        <f ca="1"/>
      </c>
      <c r="AO1224">
        <f ca="1"/>
      </c>
      <c r="AP1224">
        <f ca="1"/>
      </c>
      <c r="AQ1224">
        <f ca="1"/>
      </c>
      <c r="AR1224">
        <f ca="1"/>
      </c>
      <c r="AT1224" s="7">
        <f ca="1"/>
      </c>
      <c r="AU1224">
        <f ca="1"/>
      </c>
      <c r="AV1224">
        <f ca="1"/>
      </c>
      <c r="AW1224">
        <f ca="1"/>
      </c>
      <c r="AX1224">
        <f ca="1"/>
      </c>
      <c r="AY1224">
        <f ca="1"/>
      </c>
      <c r="BA1224" s="7"/>
    </row>
    <row r="1225" spans="31:53" x14ac:dyDescent="0.55000000000000004">
      <c r="AE1225" s="7">
        <f ca="1"/>
      </c>
      <c r="AF1225">
        <f ca="1"/>
      </c>
      <c r="AG1225">
        <f ca="1"/>
      </c>
      <c r="AH1225">
        <f ca="1"/>
      </c>
      <c r="AI1225">
        <f ca="1"/>
      </c>
      <c r="AJ1225">
        <f ca="1"/>
      </c>
      <c r="AK1225">
        <f ca="1"/>
      </c>
      <c r="AL1225">
        <f ca="1"/>
      </c>
      <c r="AM1225">
        <f ca="1"/>
      </c>
      <c r="AN1225">
        <f ca="1"/>
      </c>
      <c r="AO1225">
        <f ca="1"/>
      </c>
      <c r="AP1225">
        <f ca="1"/>
      </c>
      <c r="AQ1225">
        <f ca="1"/>
      </c>
      <c r="AR1225">
        <f ca="1"/>
      </c>
      <c r="AT1225" s="7">
        <f ca="1"/>
      </c>
      <c r="AU1225">
        <f ca="1"/>
      </c>
      <c r="AV1225">
        <f ca="1"/>
      </c>
      <c r="AW1225">
        <f ca="1"/>
      </c>
      <c r="AX1225">
        <f ca="1"/>
      </c>
      <c r="AY1225">
        <f ca="1"/>
      </c>
      <c r="BA1225" s="7"/>
    </row>
    <row r="1226" spans="31:53" x14ac:dyDescent="0.55000000000000004">
      <c r="AE1226" s="7">
        <f ca="1"/>
      </c>
      <c r="AF1226">
        <f ca="1"/>
      </c>
      <c r="AG1226">
        <f ca="1"/>
      </c>
      <c r="AH1226">
        <f ca="1"/>
      </c>
      <c r="AI1226">
        <f ca="1"/>
      </c>
      <c r="AJ1226">
        <f ca="1"/>
      </c>
      <c r="AK1226">
        <f ca="1"/>
      </c>
      <c r="AL1226">
        <f ca="1"/>
      </c>
      <c r="AM1226">
        <f ca="1"/>
      </c>
      <c r="AN1226">
        <f ca="1"/>
      </c>
      <c r="AO1226">
        <f ca="1"/>
      </c>
      <c r="AP1226">
        <f ca="1"/>
      </c>
      <c r="AQ1226">
        <f ca="1"/>
      </c>
      <c r="AR1226">
        <f ca="1"/>
      </c>
      <c r="AT1226" s="7">
        <f ca="1"/>
      </c>
      <c r="AU1226">
        <f ca="1"/>
      </c>
      <c r="AV1226">
        <f ca="1"/>
      </c>
      <c r="AW1226">
        <f ca="1"/>
      </c>
      <c r="AX1226">
        <f ca="1"/>
      </c>
      <c r="AY1226">
        <f ca="1"/>
      </c>
      <c r="BA1226" s="7"/>
    </row>
    <row r="1227" spans="31:53" x14ac:dyDescent="0.55000000000000004">
      <c r="AE1227" s="7">
        <f ca="1"/>
      </c>
      <c r="AF1227">
        <f ca="1"/>
      </c>
      <c r="AG1227">
        <f ca="1"/>
      </c>
      <c r="AH1227">
        <f ca="1"/>
      </c>
      <c r="AI1227">
        <f ca="1"/>
      </c>
      <c r="AJ1227">
        <f ca="1"/>
      </c>
      <c r="AK1227">
        <f ca="1"/>
      </c>
      <c r="AL1227">
        <f ca="1"/>
      </c>
      <c r="AM1227">
        <f ca="1"/>
      </c>
      <c r="AN1227">
        <f ca="1"/>
      </c>
      <c r="AO1227">
        <f ca="1"/>
      </c>
      <c r="AP1227">
        <f ca="1"/>
      </c>
      <c r="AQ1227">
        <f ca="1"/>
      </c>
      <c r="AR1227">
        <f ca="1"/>
      </c>
      <c r="AT1227" s="7">
        <f ca="1"/>
      </c>
      <c r="AU1227">
        <f ca="1"/>
      </c>
      <c r="AV1227">
        <f ca="1"/>
      </c>
      <c r="AW1227">
        <f ca="1"/>
      </c>
      <c r="AX1227">
        <f ca="1"/>
      </c>
      <c r="AY1227">
        <f ca="1"/>
      </c>
      <c r="BA1227" s="7"/>
    </row>
    <row r="1228" spans="31:53" x14ac:dyDescent="0.55000000000000004">
      <c r="AE1228" s="7">
        <f ca="1"/>
      </c>
      <c r="AF1228">
        <f ca="1"/>
      </c>
      <c r="AG1228">
        <f ca="1"/>
      </c>
      <c r="AH1228">
        <f ca="1"/>
      </c>
      <c r="AI1228">
        <f ca="1"/>
      </c>
      <c r="AJ1228">
        <f ca="1"/>
      </c>
      <c r="AK1228">
        <f ca="1"/>
      </c>
      <c r="AL1228">
        <f ca="1"/>
      </c>
      <c r="AM1228">
        <f ca="1"/>
      </c>
      <c r="AN1228">
        <f ca="1"/>
      </c>
      <c r="AO1228">
        <f ca="1"/>
      </c>
      <c r="AP1228">
        <f ca="1"/>
      </c>
      <c r="AQ1228">
        <f ca="1"/>
      </c>
      <c r="AR1228">
        <f ca="1"/>
      </c>
      <c r="AT1228" s="7">
        <f ca="1"/>
      </c>
      <c r="AU1228">
        <f ca="1"/>
      </c>
      <c r="AV1228">
        <f ca="1"/>
      </c>
      <c r="AW1228">
        <f ca="1"/>
      </c>
      <c r="AX1228">
        <f ca="1"/>
      </c>
      <c r="AY1228">
        <f ca="1"/>
      </c>
      <c r="BA1228" s="7"/>
    </row>
    <row r="1229" spans="31:53" x14ac:dyDescent="0.55000000000000004">
      <c r="AE1229" s="7">
        <f ca="1"/>
      </c>
      <c r="AF1229">
        <f ca="1"/>
      </c>
      <c r="AG1229">
        <f ca="1"/>
      </c>
      <c r="AH1229">
        <f ca="1"/>
      </c>
      <c r="AI1229">
        <f ca="1"/>
      </c>
      <c r="AJ1229">
        <f ca="1"/>
      </c>
      <c r="AK1229">
        <f ca="1"/>
      </c>
      <c r="AL1229">
        <f ca="1"/>
      </c>
      <c r="AM1229">
        <f ca="1"/>
      </c>
      <c r="AN1229">
        <f ca="1"/>
      </c>
      <c r="AO1229">
        <f ca="1"/>
      </c>
      <c r="AP1229">
        <f ca="1"/>
      </c>
      <c r="AQ1229">
        <f ca="1"/>
      </c>
      <c r="AR1229">
        <f ca="1"/>
      </c>
      <c r="AT1229" s="7">
        <f ca="1"/>
      </c>
      <c r="AU1229">
        <f ca="1"/>
      </c>
      <c r="AV1229">
        <f ca="1"/>
      </c>
      <c r="AW1229">
        <f ca="1"/>
      </c>
      <c r="AX1229">
        <f ca="1"/>
      </c>
      <c r="AY1229">
        <f ca="1"/>
      </c>
      <c r="BA1229" s="7"/>
    </row>
    <row r="1230" spans="31:53" x14ac:dyDescent="0.55000000000000004">
      <c r="AE1230" s="7">
        <f ca="1"/>
      </c>
      <c r="AF1230">
        <f ca="1"/>
      </c>
      <c r="AG1230">
        <f ca="1"/>
      </c>
      <c r="AH1230">
        <f ca="1"/>
      </c>
      <c r="AI1230">
        <f ca="1"/>
      </c>
      <c r="AJ1230">
        <f ca="1"/>
      </c>
      <c r="AK1230">
        <f ca="1"/>
      </c>
      <c r="AL1230">
        <f ca="1"/>
      </c>
      <c r="AM1230">
        <f ca="1"/>
      </c>
      <c r="AN1230">
        <f ca="1"/>
      </c>
      <c r="AO1230">
        <f ca="1"/>
      </c>
      <c r="AP1230">
        <f ca="1"/>
      </c>
      <c r="AQ1230">
        <f ca="1"/>
      </c>
      <c r="AR1230">
        <f ca="1"/>
      </c>
      <c r="AT1230" s="7">
        <f ca="1"/>
      </c>
      <c r="AU1230">
        <f ca="1"/>
      </c>
      <c r="AV1230">
        <f ca="1"/>
      </c>
      <c r="AW1230">
        <f ca="1"/>
      </c>
      <c r="AX1230">
        <f ca="1"/>
      </c>
      <c r="AY1230">
        <f ca="1"/>
      </c>
      <c r="BA1230" s="7"/>
    </row>
    <row r="1231" spans="31:53" x14ac:dyDescent="0.55000000000000004">
      <c r="AE1231" s="7">
        <f ca="1"/>
      </c>
      <c r="AF1231">
        <f ca="1"/>
      </c>
      <c r="AG1231">
        <f ca="1"/>
      </c>
      <c r="AH1231">
        <f ca="1"/>
      </c>
      <c r="AI1231">
        <f ca="1"/>
      </c>
      <c r="AJ1231">
        <f ca="1"/>
      </c>
      <c r="AK1231">
        <f ca="1"/>
      </c>
      <c r="AL1231">
        <f ca="1"/>
      </c>
      <c r="AM1231">
        <f ca="1"/>
      </c>
      <c r="AN1231">
        <f ca="1"/>
      </c>
      <c r="AO1231">
        <f ca="1"/>
      </c>
      <c r="AP1231">
        <f ca="1"/>
      </c>
      <c r="AQ1231">
        <f ca="1"/>
      </c>
      <c r="AR1231">
        <f ca="1"/>
      </c>
      <c r="AT1231" s="7">
        <f ca="1"/>
      </c>
      <c r="AU1231">
        <f ca="1"/>
      </c>
      <c r="AV1231">
        <f ca="1"/>
      </c>
      <c r="AW1231">
        <f ca="1"/>
      </c>
      <c r="AX1231">
        <f ca="1"/>
      </c>
      <c r="AY1231">
        <f ca="1"/>
      </c>
      <c r="BA1231" s="7"/>
    </row>
    <row r="1232" spans="31:53" x14ac:dyDescent="0.55000000000000004">
      <c r="AE1232" s="7">
        <f ca="1"/>
      </c>
      <c r="AF1232">
        <f ca="1"/>
      </c>
      <c r="AG1232">
        <f ca="1"/>
      </c>
      <c r="AH1232">
        <f ca="1"/>
      </c>
      <c r="AI1232">
        <f ca="1"/>
      </c>
      <c r="AJ1232">
        <f ca="1"/>
      </c>
      <c r="AK1232">
        <f ca="1"/>
      </c>
      <c r="AL1232">
        <f ca="1"/>
      </c>
      <c r="AM1232">
        <f ca="1"/>
      </c>
      <c r="AN1232">
        <f ca="1"/>
      </c>
      <c r="AO1232">
        <f ca="1"/>
      </c>
      <c r="AP1232">
        <f ca="1"/>
      </c>
      <c r="AQ1232">
        <f ca="1"/>
      </c>
      <c r="AR1232">
        <f ca="1"/>
      </c>
      <c r="AT1232" s="7">
        <f ca="1"/>
      </c>
      <c r="AU1232">
        <f ca="1"/>
      </c>
      <c r="AV1232">
        <f ca="1"/>
      </c>
      <c r="AW1232">
        <f ca="1"/>
      </c>
      <c r="AX1232">
        <f ca="1"/>
      </c>
      <c r="AY1232">
        <f ca="1"/>
      </c>
      <c r="BA1232" s="7"/>
    </row>
    <row r="1233" spans="31:53" x14ac:dyDescent="0.55000000000000004">
      <c r="AE1233" s="7">
        <f ca="1"/>
      </c>
      <c r="AF1233">
        <f ca="1"/>
      </c>
      <c r="AG1233">
        <f ca="1"/>
      </c>
      <c r="AH1233">
        <f ca="1"/>
      </c>
      <c r="AI1233">
        <f ca="1"/>
      </c>
      <c r="AJ1233">
        <f ca="1"/>
      </c>
      <c r="AK1233">
        <f ca="1"/>
      </c>
      <c r="AL1233">
        <f ca="1"/>
      </c>
      <c r="AM1233">
        <f ca="1"/>
      </c>
      <c r="AN1233">
        <f ca="1"/>
      </c>
      <c r="AO1233">
        <f ca="1"/>
      </c>
      <c r="AP1233">
        <f ca="1"/>
      </c>
      <c r="AQ1233">
        <f ca="1"/>
      </c>
      <c r="AR1233">
        <f ca="1"/>
      </c>
      <c r="AT1233" s="7">
        <f ca="1"/>
      </c>
      <c r="AU1233">
        <f ca="1"/>
      </c>
      <c r="AV1233">
        <f ca="1"/>
      </c>
      <c r="AW1233">
        <f ca="1"/>
      </c>
      <c r="AX1233">
        <f ca="1"/>
      </c>
      <c r="AY1233">
        <f ca="1"/>
      </c>
      <c r="BA1233" s="7"/>
    </row>
    <row r="1234" spans="31:53" x14ac:dyDescent="0.55000000000000004">
      <c r="AE1234" s="7">
        <f ca="1"/>
      </c>
      <c r="AF1234">
        <f ca="1"/>
      </c>
      <c r="AG1234">
        <f ca="1"/>
      </c>
      <c r="AH1234">
        <f ca="1"/>
      </c>
      <c r="AI1234">
        <f ca="1"/>
      </c>
      <c r="AJ1234">
        <f ca="1"/>
      </c>
      <c r="AK1234">
        <f ca="1"/>
      </c>
      <c r="AL1234">
        <f ca="1"/>
      </c>
      <c r="AM1234">
        <f ca="1"/>
      </c>
      <c r="AN1234">
        <f ca="1"/>
      </c>
      <c r="AO1234">
        <f ca="1"/>
      </c>
      <c r="AP1234">
        <f ca="1"/>
      </c>
      <c r="AQ1234">
        <f ca="1"/>
      </c>
      <c r="AR1234">
        <f ca="1"/>
      </c>
      <c r="AT1234" s="7">
        <f ca="1"/>
      </c>
      <c r="AU1234">
        <f ca="1"/>
      </c>
      <c r="AV1234">
        <f ca="1"/>
      </c>
      <c r="AW1234">
        <f ca="1"/>
      </c>
      <c r="AX1234">
        <f ca="1"/>
      </c>
      <c r="AY1234">
        <f ca="1"/>
      </c>
      <c r="BA1234" s="7"/>
    </row>
    <row r="1235" spans="31:53" x14ac:dyDescent="0.55000000000000004">
      <c r="AE1235" s="7">
        <f ca="1"/>
      </c>
      <c r="AF1235">
        <f ca="1"/>
      </c>
      <c r="AG1235">
        <f ca="1"/>
      </c>
      <c r="AH1235">
        <f ca="1"/>
      </c>
      <c r="AI1235">
        <f ca="1"/>
      </c>
      <c r="AJ1235">
        <f ca="1"/>
      </c>
      <c r="AK1235">
        <f ca="1"/>
      </c>
      <c r="AL1235">
        <f ca="1"/>
      </c>
      <c r="AM1235">
        <f ca="1"/>
      </c>
      <c r="AN1235">
        <f ca="1"/>
      </c>
      <c r="AO1235">
        <f ca="1"/>
      </c>
      <c r="AP1235">
        <f ca="1"/>
      </c>
      <c r="AQ1235">
        <f ca="1"/>
      </c>
      <c r="AR1235">
        <f ca="1"/>
      </c>
      <c r="AT1235" s="7">
        <f ca="1"/>
      </c>
      <c r="AU1235">
        <f ca="1"/>
      </c>
      <c r="AV1235">
        <f ca="1"/>
      </c>
      <c r="AW1235">
        <f ca="1"/>
      </c>
      <c r="AX1235">
        <f ca="1"/>
      </c>
      <c r="AY1235">
        <f ca="1"/>
      </c>
      <c r="BA1235" s="7"/>
    </row>
    <row r="1236" spans="31:53" x14ac:dyDescent="0.55000000000000004">
      <c r="AE1236" s="7">
        <f ca="1"/>
      </c>
      <c r="AF1236">
        <f ca="1"/>
      </c>
      <c r="AG1236">
        <f ca="1"/>
      </c>
      <c r="AH1236">
        <f ca="1"/>
      </c>
      <c r="AI1236">
        <f ca="1"/>
      </c>
      <c r="AJ1236">
        <f ca="1"/>
      </c>
      <c r="AK1236">
        <f ca="1"/>
      </c>
      <c r="AL1236">
        <f ca="1"/>
      </c>
      <c r="AM1236">
        <f ca="1"/>
      </c>
      <c r="AN1236">
        <f ca="1"/>
      </c>
      <c r="AO1236">
        <f ca="1"/>
      </c>
      <c r="AP1236">
        <f ca="1"/>
      </c>
      <c r="AQ1236">
        <f ca="1"/>
      </c>
      <c r="AR1236">
        <f ca="1"/>
      </c>
      <c r="AT1236" s="7">
        <f ca="1"/>
      </c>
      <c r="AU1236">
        <f ca="1"/>
      </c>
      <c r="AV1236">
        <f ca="1"/>
      </c>
      <c r="AW1236">
        <f ca="1"/>
      </c>
      <c r="AX1236">
        <f ca="1"/>
      </c>
      <c r="AY1236">
        <f ca="1"/>
      </c>
      <c r="BA1236" s="7"/>
    </row>
    <row r="1237" spans="31:53" x14ac:dyDescent="0.55000000000000004">
      <c r="AE1237" s="7">
        <f ca="1"/>
      </c>
      <c r="AF1237">
        <f ca="1"/>
      </c>
      <c r="AG1237">
        <f ca="1"/>
      </c>
      <c r="AH1237">
        <f ca="1"/>
      </c>
      <c r="AI1237">
        <f ca="1"/>
      </c>
      <c r="AJ1237">
        <f ca="1"/>
      </c>
      <c r="AK1237">
        <f ca="1"/>
      </c>
      <c r="AL1237">
        <f ca="1"/>
      </c>
      <c r="AM1237">
        <f ca="1"/>
      </c>
      <c r="AN1237">
        <f ca="1"/>
      </c>
      <c r="AO1237">
        <f ca="1"/>
      </c>
      <c r="AP1237">
        <f ca="1"/>
      </c>
      <c r="AQ1237">
        <f ca="1"/>
      </c>
      <c r="AR1237">
        <f ca="1"/>
      </c>
      <c r="AT1237" s="7">
        <f ca="1"/>
      </c>
      <c r="AU1237">
        <f ca="1"/>
      </c>
      <c r="AV1237">
        <f ca="1"/>
      </c>
      <c r="AW1237">
        <f ca="1"/>
      </c>
      <c r="AX1237">
        <f ca="1"/>
      </c>
      <c r="AY1237">
        <f ca="1"/>
      </c>
      <c r="BA1237" s="7"/>
    </row>
    <row r="1238" spans="31:53" x14ac:dyDescent="0.55000000000000004">
      <c r="AE1238" s="7">
        <f ca="1"/>
      </c>
      <c r="AF1238">
        <f ca="1"/>
      </c>
      <c r="AG1238">
        <f ca="1"/>
      </c>
      <c r="AH1238">
        <f ca="1"/>
      </c>
      <c r="AI1238">
        <f ca="1"/>
      </c>
      <c r="AJ1238">
        <f ca="1"/>
      </c>
      <c r="AK1238">
        <f ca="1"/>
      </c>
      <c r="AL1238">
        <f ca="1"/>
      </c>
      <c r="AM1238">
        <f ca="1"/>
      </c>
      <c r="AN1238">
        <f ca="1"/>
      </c>
      <c r="AO1238">
        <f ca="1"/>
      </c>
      <c r="AP1238">
        <f ca="1"/>
      </c>
      <c r="AQ1238">
        <f ca="1"/>
      </c>
      <c r="AR1238">
        <f ca="1"/>
      </c>
      <c r="AT1238" s="7">
        <f ca="1"/>
      </c>
      <c r="AU1238">
        <f ca="1"/>
      </c>
      <c r="AV1238">
        <f ca="1"/>
      </c>
      <c r="AW1238">
        <f ca="1"/>
      </c>
      <c r="AX1238">
        <f ca="1"/>
      </c>
      <c r="AY1238">
        <f ca="1"/>
      </c>
      <c r="BA1238" s="7"/>
    </row>
    <row r="1239" spans="31:53" x14ac:dyDescent="0.55000000000000004">
      <c r="AE1239" s="7">
        <f ca="1"/>
      </c>
      <c r="AF1239">
        <f ca="1"/>
      </c>
      <c r="AG1239">
        <f ca="1"/>
      </c>
      <c r="AH1239">
        <f ca="1"/>
      </c>
      <c r="AI1239">
        <f ca="1"/>
      </c>
      <c r="AJ1239">
        <f ca="1"/>
      </c>
      <c r="AK1239">
        <f ca="1"/>
      </c>
      <c r="AL1239">
        <f ca="1"/>
      </c>
      <c r="AM1239">
        <f ca="1"/>
      </c>
      <c r="AN1239">
        <f ca="1"/>
      </c>
      <c r="AO1239">
        <f ca="1"/>
      </c>
      <c r="AP1239">
        <f ca="1"/>
      </c>
      <c r="AQ1239">
        <f ca="1"/>
      </c>
      <c r="AR1239">
        <f ca="1"/>
      </c>
      <c r="AT1239" s="7">
        <f ca="1"/>
      </c>
      <c r="AU1239">
        <f ca="1"/>
      </c>
      <c r="AV1239">
        <f ca="1"/>
      </c>
      <c r="AW1239">
        <f ca="1"/>
      </c>
      <c r="AX1239">
        <f ca="1"/>
      </c>
      <c r="AY1239">
        <f ca="1"/>
      </c>
      <c r="BA1239" s="7"/>
    </row>
    <row r="1240" spans="31:53" x14ac:dyDescent="0.55000000000000004">
      <c r="AE1240" s="7">
        <f ca="1"/>
      </c>
      <c r="AF1240">
        <f ca="1"/>
      </c>
      <c r="AG1240">
        <f ca="1"/>
      </c>
      <c r="AH1240">
        <f ca="1"/>
      </c>
      <c r="AI1240">
        <f ca="1"/>
      </c>
      <c r="AJ1240">
        <f ca="1"/>
      </c>
      <c r="AK1240">
        <f ca="1"/>
      </c>
      <c r="AL1240">
        <f ca="1"/>
      </c>
      <c r="AM1240">
        <f ca="1"/>
      </c>
      <c r="AN1240">
        <f ca="1"/>
      </c>
      <c r="AO1240">
        <f ca="1"/>
      </c>
      <c r="AP1240">
        <f ca="1"/>
      </c>
      <c r="AQ1240">
        <f ca="1"/>
      </c>
      <c r="AR1240">
        <f ca="1"/>
      </c>
      <c r="AT1240" s="7">
        <f ca="1"/>
      </c>
      <c r="AU1240">
        <f ca="1"/>
      </c>
      <c r="AV1240">
        <f ca="1"/>
      </c>
      <c r="AW1240">
        <f ca="1"/>
      </c>
      <c r="AX1240">
        <f ca="1"/>
      </c>
      <c r="AY1240">
        <f ca="1"/>
      </c>
      <c r="BA1240" s="7"/>
    </row>
    <row r="1241" spans="31:53" x14ac:dyDescent="0.55000000000000004">
      <c r="AE1241" s="7">
        <f ca="1"/>
      </c>
      <c r="AF1241">
        <f ca="1"/>
      </c>
      <c r="AG1241">
        <f ca="1"/>
      </c>
      <c r="AH1241">
        <f ca="1"/>
      </c>
      <c r="AI1241">
        <f ca="1"/>
      </c>
      <c r="AJ1241">
        <f ca="1"/>
      </c>
      <c r="AK1241">
        <f ca="1"/>
      </c>
      <c r="AL1241">
        <f ca="1"/>
      </c>
      <c r="AM1241">
        <f ca="1"/>
      </c>
      <c r="AN1241">
        <f ca="1"/>
      </c>
      <c r="AO1241">
        <f ca="1"/>
      </c>
      <c r="AP1241">
        <f ca="1"/>
      </c>
      <c r="AQ1241">
        <f ca="1"/>
      </c>
      <c r="AR1241">
        <f ca="1"/>
      </c>
      <c r="AT1241" s="7">
        <f ca="1"/>
      </c>
      <c r="AU1241">
        <f ca="1"/>
      </c>
      <c r="AV1241">
        <f ca="1"/>
      </c>
      <c r="AW1241">
        <f ca="1"/>
      </c>
      <c r="AX1241">
        <f ca="1"/>
      </c>
      <c r="AY1241">
        <f ca="1"/>
      </c>
      <c r="BA1241" s="7"/>
    </row>
    <row r="1242" spans="31:53" x14ac:dyDescent="0.55000000000000004">
      <c r="AE1242" s="7">
        <f ca="1"/>
      </c>
      <c r="AF1242">
        <f ca="1"/>
      </c>
      <c r="AG1242">
        <f ca="1"/>
      </c>
      <c r="AH1242">
        <f ca="1"/>
      </c>
      <c r="AI1242">
        <f ca="1"/>
      </c>
      <c r="AJ1242">
        <f ca="1"/>
      </c>
      <c r="AK1242">
        <f ca="1"/>
      </c>
      <c r="AL1242">
        <f ca="1"/>
      </c>
      <c r="AM1242">
        <f ca="1"/>
      </c>
      <c r="AN1242">
        <f ca="1"/>
      </c>
      <c r="AO1242">
        <f ca="1"/>
      </c>
      <c r="AP1242">
        <f ca="1"/>
      </c>
      <c r="AQ1242">
        <f ca="1"/>
      </c>
      <c r="AR1242">
        <f ca="1"/>
      </c>
      <c r="AT1242" s="7">
        <f ca="1"/>
      </c>
      <c r="AU1242">
        <f ca="1"/>
      </c>
      <c r="AV1242">
        <f ca="1"/>
      </c>
      <c r="AW1242">
        <f ca="1"/>
      </c>
      <c r="AX1242">
        <f ca="1"/>
      </c>
      <c r="AY1242">
        <f ca="1"/>
      </c>
      <c r="BA1242" s="7"/>
    </row>
    <row r="1243" spans="31:53" x14ac:dyDescent="0.55000000000000004">
      <c r="AE1243" s="7">
        <f ca="1"/>
      </c>
      <c r="AF1243">
        <f ca="1"/>
      </c>
      <c r="AG1243">
        <f ca="1"/>
      </c>
      <c r="AH1243">
        <f ca="1"/>
      </c>
      <c r="AI1243">
        <f ca="1"/>
      </c>
      <c r="AJ1243">
        <f ca="1"/>
      </c>
      <c r="AK1243">
        <f ca="1"/>
      </c>
      <c r="AL1243">
        <f ca="1"/>
      </c>
      <c r="AM1243">
        <f ca="1"/>
      </c>
      <c r="AN1243">
        <f ca="1"/>
      </c>
      <c r="AO1243">
        <f ca="1"/>
      </c>
      <c r="AP1243">
        <f ca="1"/>
      </c>
      <c r="AQ1243">
        <f ca="1"/>
      </c>
      <c r="AR1243">
        <f ca="1"/>
      </c>
      <c r="AT1243" s="7">
        <f ca="1"/>
      </c>
      <c r="AU1243">
        <f ca="1"/>
      </c>
      <c r="AV1243">
        <f ca="1"/>
      </c>
      <c r="AW1243">
        <f ca="1"/>
      </c>
      <c r="AX1243">
        <f ca="1"/>
      </c>
      <c r="AY1243">
        <f ca="1"/>
      </c>
      <c r="BA1243" s="7"/>
    </row>
    <row r="1244" spans="31:53" x14ac:dyDescent="0.55000000000000004">
      <c r="AE1244" s="7">
        <f ca="1"/>
      </c>
      <c r="AF1244">
        <f ca="1"/>
      </c>
      <c r="AG1244">
        <f ca="1"/>
      </c>
      <c r="AH1244">
        <f ca="1"/>
      </c>
      <c r="AI1244">
        <f ca="1"/>
      </c>
      <c r="AJ1244">
        <f ca="1"/>
      </c>
      <c r="AK1244">
        <f ca="1"/>
      </c>
      <c r="AL1244">
        <f ca="1"/>
      </c>
      <c r="AM1244">
        <f ca="1"/>
      </c>
      <c r="AN1244">
        <f ca="1"/>
      </c>
      <c r="AO1244">
        <f ca="1"/>
      </c>
      <c r="AP1244">
        <f ca="1"/>
      </c>
      <c r="AQ1244">
        <f ca="1"/>
      </c>
      <c r="AR1244">
        <f ca="1"/>
      </c>
      <c r="AT1244" s="7">
        <f ca="1"/>
      </c>
      <c r="AU1244">
        <f ca="1"/>
      </c>
      <c r="AV1244">
        <f ca="1"/>
      </c>
      <c r="AW1244">
        <f ca="1"/>
      </c>
      <c r="AX1244">
        <f ca="1"/>
      </c>
      <c r="AY1244">
        <f ca="1"/>
      </c>
      <c r="BA1244" s="7"/>
    </row>
    <row r="1245" spans="31:53" x14ac:dyDescent="0.55000000000000004">
      <c r="AE1245" s="7">
        <f ca="1"/>
      </c>
      <c r="AF1245">
        <f ca="1"/>
      </c>
      <c r="AG1245">
        <f ca="1"/>
      </c>
      <c r="AH1245">
        <f ca="1"/>
      </c>
      <c r="AI1245">
        <f ca="1"/>
      </c>
      <c r="AJ1245">
        <f ca="1"/>
      </c>
      <c r="AK1245">
        <f ca="1"/>
      </c>
      <c r="AL1245">
        <f ca="1"/>
      </c>
      <c r="AM1245">
        <f ca="1"/>
      </c>
      <c r="AN1245">
        <f ca="1"/>
      </c>
      <c r="AO1245">
        <f ca="1"/>
      </c>
      <c r="AP1245">
        <f ca="1"/>
      </c>
      <c r="AQ1245">
        <f ca="1"/>
      </c>
      <c r="AR1245">
        <f ca="1"/>
      </c>
      <c r="AT1245" s="7">
        <f ca="1"/>
      </c>
      <c r="AU1245">
        <f ca="1"/>
      </c>
      <c r="AV1245">
        <f ca="1"/>
      </c>
      <c r="AW1245">
        <f ca="1"/>
      </c>
      <c r="AX1245">
        <f ca="1"/>
      </c>
      <c r="AY1245">
        <f ca="1"/>
      </c>
      <c r="BA1245" s="7"/>
    </row>
    <row r="1246" spans="31:53" x14ac:dyDescent="0.55000000000000004">
      <c r="AE1246" s="7">
        <f ca="1"/>
      </c>
      <c r="AF1246">
        <f ca="1"/>
      </c>
      <c r="AG1246">
        <f ca="1"/>
      </c>
      <c r="AH1246">
        <f ca="1"/>
      </c>
      <c r="AI1246">
        <f ca="1"/>
      </c>
      <c r="AJ1246">
        <f ca="1"/>
      </c>
      <c r="AK1246">
        <f ca="1"/>
      </c>
      <c r="AL1246">
        <f ca="1"/>
      </c>
      <c r="AM1246">
        <f ca="1"/>
      </c>
      <c r="AN1246">
        <f ca="1"/>
      </c>
      <c r="AO1246">
        <f ca="1"/>
      </c>
      <c r="AP1246">
        <f ca="1"/>
      </c>
      <c r="AQ1246">
        <f ca="1"/>
      </c>
      <c r="AR1246">
        <f ca="1"/>
      </c>
      <c r="AT1246" s="7">
        <f ca="1"/>
      </c>
      <c r="AU1246">
        <f ca="1"/>
      </c>
      <c r="AV1246">
        <f ca="1"/>
      </c>
      <c r="AW1246">
        <f ca="1"/>
      </c>
      <c r="AX1246">
        <f ca="1"/>
      </c>
      <c r="AY1246">
        <f ca="1"/>
      </c>
      <c r="BA1246" s="7"/>
    </row>
    <row r="1247" spans="31:53" x14ac:dyDescent="0.55000000000000004">
      <c r="AE1247" s="7">
        <f ca="1"/>
      </c>
      <c r="AF1247">
        <f ca="1"/>
      </c>
      <c r="AG1247">
        <f ca="1"/>
      </c>
      <c r="AH1247">
        <f ca="1"/>
      </c>
      <c r="AI1247">
        <f ca="1"/>
      </c>
      <c r="AJ1247">
        <f ca="1"/>
      </c>
      <c r="AK1247">
        <f ca="1"/>
      </c>
      <c r="AL1247">
        <f ca="1"/>
      </c>
      <c r="AM1247">
        <f ca="1"/>
      </c>
      <c r="AN1247">
        <f ca="1"/>
      </c>
      <c r="AO1247">
        <f ca="1"/>
      </c>
      <c r="AP1247">
        <f ca="1"/>
      </c>
      <c r="AQ1247">
        <f ca="1"/>
      </c>
      <c r="AR1247">
        <f ca="1"/>
      </c>
      <c r="AT1247" s="7">
        <f ca="1"/>
      </c>
      <c r="AU1247">
        <f ca="1"/>
      </c>
      <c r="AV1247">
        <f ca="1"/>
      </c>
      <c r="AW1247">
        <f ca="1"/>
      </c>
      <c r="AX1247">
        <f ca="1"/>
      </c>
      <c r="AY1247">
        <f ca="1"/>
      </c>
      <c r="BA1247" s="7"/>
    </row>
    <row r="1248" spans="31:53" x14ac:dyDescent="0.55000000000000004">
      <c r="AE1248" s="7">
        <f ca="1"/>
      </c>
      <c r="AF1248">
        <f ca="1"/>
      </c>
      <c r="AG1248">
        <f ca="1"/>
      </c>
      <c r="AH1248">
        <f ca="1"/>
      </c>
      <c r="AI1248">
        <f ca="1"/>
      </c>
      <c r="AJ1248">
        <f ca="1"/>
      </c>
      <c r="AK1248">
        <f ca="1"/>
      </c>
      <c r="AL1248">
        <f ca="1"/>
      </c>
      <c r="AM1248">
        <f ca="1"/>
      </c>
      <c r="AN1248">
        <f ca="1"/>
      </c>
      <c r="AO1248">
        <f ca="1"/>
      </c>
      <c r="AP1248">
        <f ca="1"/>
      </c>
      <c r="AQ1248">
        <f ca="1"/>
      </c>
      <c r="AR1248">
        <f ca="1"/>
      </c>
      <c r="AT1248" s="7">
        <f ca="1"/>
      </c>
      <c r="AU1248">
        <f ca="1"/>
      </c>
      <c r="AV1248">
        <f ca="1"/>
      </c>
      <c r="AW1248">
        <f ca="1"/>
      </c>
      <c r="AX1248">
        <f ca="1"/>
      </c>
      <c r="AY1248">
        <f ca="1"/>
      </c>
      <c r="BA1248" s="7"/>
    </row>
    <row r="1249" spans="31:53" x14ac:dyDescent="0.55000000000000004">
      <c r="AE1249" s="7">
        <f ca="1"/>
      </c>
      <c r="AF1249">
        <f ca="1"/>
      </c>
      <c r="AG1249">
        <f ca="1"/>
      </c>
      <c r="AH1249">
        <f ca="1"/>
      </c>
      <c r="AI1249">
        <f ca="1"/>
      </c>
      <c r="AJ1249">
        <f ca="1"/>
      </c>
      <c r="AK1249">
        <f ca="1"/>
      </c>
      <c r="AL1249">
        <f ca="1"/>
      </c>
      <c r="AM1249">
        <f ca="1"/>
      </c>
      <c r="AN1249">
        <f ca="1"/>
      </c>
      <c r="AO1249">
        <f ca="1"/>
      </c>
      <c r="AP1249">
        <f ca="1"/>
      </c>
      <c r="AQ1249">
        <f ca="1"/>
      </c>
      <c r="AR1249">
        <f ca="1"/>
      </c>
      <c r="AT1249" s="7">
        <f ca="1"/>
      </c>
      <c r="AU1249">
        <f ca="1"/>
      </c>
      <c r="AV1249">
        <f ca="1"/>
      </c>
      <c r="AW1249">
        <f ca="1"/>
      </c>
      <c r="AX1249">
        <f ca="1"/>
      </c>
      <c r="AY1249">
        <f ca="1"/>
      </c>
      <c r="BA1249" s="7"/>
    </row>
    <row r="1250" spans="31:53" x14ac:dyDescent="0.55000000000000004">
      <c r="AE1250" s="7">
        <f ca="1"/>
      </c>
      <c r="AF1250">
        <f ca="1"/>
      </c>
      <c r="AG1250">
        <f ca="1"/>
      </c>
      <c r="AH1250">
        <f ca="1"/>
      </c>
      <c r="AI1250">
        <f ca="1"/>
      </c>
      <c r="AJ1250">
        <f ca="1"/>
      </c>
      <c r="AK1250">
        <f ca="1"/>
      </c>
      <c r="AL1250">
        <f ca="1"/>
      </c>
      <c r="AM1250">
        <f ca="1"/>
      </c>
      <c r="AN1250">
        <f ca="1"/>
      </c>
      <c r="AO1250">
        <f ca="1"/>
      </c>
      <c r="AP1250">
        <f ca="1"/>
      </c>
      <c r="AQ1250">
        <f ca="1"/>
      </c>
      <c r="AR1250">
        <f ca="1"/>
      </c>
      <c r="AT1250" s="7">
        <f ca="1"/>
      </c>
      <c r="AU1250">
        <f ca="1"/>
      </c>
      <c r="AV1250">
        <f ca="1"/>
      </c>
      <c r="AW1250">
        <f ca="1"/>
      </c>
      <c r="AX1250">
        <f ca="1"/>
      </c>
      <c r="AY1250">
        <f ca="1"/>
      </c>
      <c r="BA1250" s="7"/>
    </row>
    <row r="1251" spans="31:53" x14ac:dyDescent="0.55000000000000004">
      <c r="AE1251" s="7">
        <f ca="1"/>
      </c>
      <c r="AF1251">
        <f ca="1"/>
      </c>
      <c r="AG1251">
        <f ca="1"/>
      </c>
      <c r="AH1251">
        <f ca="1"/>
      </c>
      <c r="AI1251">
        <f ca="1"/>
      </c>
      <c r="AJ1251">
        <f ca="1"/>
      </c>
      <c r="AK1251">
        <f ca="1"/>
      </c>
      <c r="AL1251">
        <f ca="1"/>
      </c>
      <c r="AM1251">
        <f ca="1"/>
      </c>
      <c r="AN1251">
        <f ca="1"/>
      </c>
      <c r="AO1251">
        <f ca="1"/>
      </c>
      <c r="AP1251">
        <f ca="1"/>
      </c>
      <c r="AQ1251">
        <f ca="1"/>
      </c>
      <c r="AR1251">
        <f ca="1"/>
      </c>
      <c r="AT1251" s="7">
        <f ca="1"/>
      </c>
      <c r="AU1251">
        <f ca="1"/>
      </c>
      <c r="AV1251">
        <f ca="1"/>
      </c>
      <c r="AW1251">
        <f ca="1"/>
      </c>
      <c r="AX1251">
        <f ca="1"/>
      </c>
      <c r="AY1251">
        <f ca="1"/>
      </c>
      <c r="BA1251" s="7"/>
    </row>
    <row r="1252" spans="31:53" x14ac:dyDescent="0.55000000000000004">
      <c r="AE1252" s="7">
        <f ca="1"/>
      </c>
      <c r="AF1252">
        <f ca="1"/>
      </c>
      <c r="AG1252">
        <f ca="1"/>
      </c>
      <c r="AH1252">
        <f ca="1"/>
      </c>
      <c r="AI1252">
        <f ca="1"/>
      </c>
      <c r="AJ1252">
        <f ca="1"/>
      </c>
      <c r="AK1252">
        <f ca="1"/>
      </c>
      <c r="AL1252">
        <f ca="1"/>
      </c>
      <c r="AM1252">
        <f ca="1"/>
      </c>
      <c r="AN1252">
        <f ca="1"/>
      </c>
      <c r="AO1252">
        <f ca="1"/>
      </c>
      <c r="AP1252">
        <f ca="1"/>
      </c>
      <c r="AQ1252">
        <f ca="1"/>
      </c>
      <c r="AR1252">
        <f ca="1"/>
      </c>
      <c r="AT1252" s="7">
        <f ca="1"/>
      </c>
      <c r="AU1252">
        <f ca="1"/>
      </c>
      <c r="AV1252">
        <f ca="1"/>
      </c>
      <c r="AW1252">
        <f ca="1"/>
      </c>
      <c r="AX1252">
        <f ca="1"/>
      </c>
      <c r="AY1252">
        <f ca="1"/>
      </c>
      <c r="BA1252" s="7"/>
    </row>
    <row r="1253" spans="31:53" x14ac:dyDescent="0.55000000000000004">
      <c r="AE1253" s="7">
        <f ca="1"/>
      </c>
      <c r="AF1253">
        <f ca="1"/>
      </c>
      <c r="AG1253">
        <f ca="1"/>
      </c>
      <c r="AH1253">
        <f ca="1"/>
      </c>
      <c r="AI1253">
        <f ca="1"/>
      </c>
      <c r="AJ1253">
        <f ca="1"/>
      </c>
      <c r="AK1253">
        <f ca="1"/>
      </c>
      <c r="AL1253">
        <f ca="1"/>
      </c>
      <c r="AM1253">
        <f ca="1"/>
      </c>
      <c r="AN1253">
        <f ca="1"/>
      </c>
      <c r="AO1253">
        <f ca="1"/>
      </c>
      <c r="AP1253">
        <f ca="1"/>
      </c>
      <c r="AQ1253">
        <f ca="1"/>
      </c>
      <c r="AR1253">
        <f ca="1"/>
      </c>
      <c r="AT1253" s="7">
        <f ca="1"/>
      </c>
      <c r="AU1253">
        <f ca="1"/>
      </c>
      <c r="AV1253">
        <f ca="1"/>
      </c>
      <c r="AW1253">
        <f ca="1"/>
      </c>
      <c r="AX1253">
        <f ca="1"/>
      </c>
      <c r="AY1253">
        <f ca="1"/>
      </c>
      <c r="BA1253" s="7"/>
    </row>
    <row r="1254" spans="31:53" x14ac:dyDescent="0.55000000000000004">
      <c r="AE1254" s="7">
        <f ca="1"/>
      </c>
      <c r="AF1254">
        <f ca="1"/>
      </c>
      <c r="AG1254">
        <f ca="1"/>
      </c>
      <c r="AH1254">
        <f ca="1"/>
      </c>
      <c r="AI1254">
        <f ca="1"/>
      </c>
      <c r="AJ1254">
        <f ca="1"/>
      </c>
      <c r="AK1254">
        <f ca="1"/>
      </c>
      <c r="AL1254">
        <f ca="1"/>
      </c>
      <c r="AM1254">
        <f ca="1"/>
      </c>
      <c r="AN1254">
        <f ca="1"/>
      </c>
      <c r="AO1254">
        <f ca="1"/>
      </c>
      <c r="AP1254">
        <f ca="1"/>
      </c>
      <c r="AQ1254">
        <f ca="1"/>
      </c>
      <c r="AR1254">
        <f ca="1"/>
      </c>
      <c r="AT1254" s="7">
        <f ca="1"/>
      </c>
      <c r="AU1254">
        <f ca="1"/>
      </c>
      <c r="AV1254">
        <f ca="1"/>
      </c>
      <c r="AW1254">
        <f ca="1"/>
      </c>
      <c r="AX1254">
        <f ca="1"/>
      </c>
      <c r="AY1254">
        <f ca="1"/>
      </c>
      <c r="BA1254" s="7"/>
    </row>
    <row r="1255" spans="31:53" x14ac:dyDescent="0.55000000000000004">
      <c r="AE1255" s="7">
        <f ca="1"/>
      </c>
      <c r="AF1255">
        <f ca="1"/>
      </c>
      <c r="AG1255">
        <f ca="1"/>
      </c>
      <c r="AH1255">
        <f ca="1"/>
      </c>
      <c r="AI1255">
        <f ca="1"/>
      </c>
      <c r="AJ1255">
        <f ca="1"/>
      </c>
      <c r="AK1255">
        <f ca="1"/>
      </c>
      <c r="AL1255">
        <f ca="1"/>
      </c>
      <c r="AM1255">
        <f ca="1"/>
      </c>
      <c r="AN1255">
        <f ca="1"/>
      </c>
      <c r="AO1255">
        <f ca="1"/>
      </c>
      <c r="AP1255">
        <f ca="1"/>
      </c>
      <c r="AQ1255">
        <f ca="1"/>
      </c>
      <c r="AR1255">
        <f ca="1"/>
      </c>
      <c r="AT1255" s="7">
        <f ca="1"/>
      </c>
      <c r="AU1255">
        <f ca="1"/>
      </c>
      <c r="AV1255">
        <f ca="1"/>
      </c>
      <c r="AW1255">
        <f ca="1"/>
      </c>
      <c r="AX1255">
        <f ca="1"/>
      </c>
      <c r="AY1255">
        <f ca="1"/>
      </c>
      <c r="BA1255" s="7"/>
    </row>
    <row r="1256" spans="31:53" x14ac:dyDescent="0.55000000000000004">
      <c r="AE1256" s="7">
        <f ca="1"/>
      </c>
      <c r="AF1256">
        <f ca="1"/>
      </c>
      <c r="AG1256">
        <f ca="1"/>
      </c>
      <c r="AH1256">
        <f ca="1"/>
      </c>
      <c r="AI1256">
        <f ca="1"/>
      </c>
      <c r="AJ1256">
        <f ca="1"/>
      </c>
      <c r="AK1256">
        <f ca="1"/>
      </c>
      <c r="AL1256">
        <f ca="1"/>
      </c>
      <c r="AM1256">
        <f ca="1"/>
      </c>
      <c r="AN1256">
        <f ca="1"/>
      </c>
      <c r="AO1256">
        <f ca="1"/>
      </c>
      <c r="AP1256">
        <f ca="1"/>
      </c>
      <c r="AQ1256">
        <f ca="1"/>
      </c>
      <c r="AR1256">
        <f ca="1"/>
      </c>
      <c r="AT1256" s="7">
        <f ca="1"/>
      </c>
      <c r="AU1256">
        <f ca="1"/>
      </c>
      <c r="AV1256">
        <f ca="1"/>
      </c>
      <c r="AW1256">
        <f ca="1"/>
      </c>
      <c r="AX1256">
        <f ca="1"/>
      </c>
      <c r="AY1256">
        <f ca="1"/>
      </c>
      <c r="BA1256" s="7"/>
    </row>
    <row r="1257" spans="31:53" x14ac:dyDescent="0.55000000000000004">
      <c r="AE1257" s="7">
        <f ca="1"/>
      </c>
      <c r="AF1257">
        <f ca="1"/>
      </c>
      <c r="AG1257">
        <f ca="1"/>
      </c>
      <c r="AH1257">
        <f ca="1"/>
      </c>
      <c r="AI1257">
        <f ca="1"/>
      </c>
      <c r="AJ1257">
        <f ca="1"/>
      </c>
      <c r="AK1257">
        <f ca="1"/>
      </c>
      <c r="AL1257">
        <f ca="1"/>
      </c>
      <c r="AM1257">
        <f ca="1"/>
      </c>
      <c r="AN1257">
        <f ca="1"/>
      </c>
      <c r="AO1257">
        <f ca="1"/>
      </c>
      <c r="AP1257">
        <f ca="1"/>
      </c>
      <c r="AQ1257">
        <f ca="1"/>
      </c>
      <c r="AR1257">
        <f ca="1"/>
      </c>
      <c r="AT1257" s="7">
        <f ca="1"/>
      </c>
      <c r="AU1257">
        <f ca="1"/>
      </c>
      <c r="AV1257">
        <f ca="1"/>
      </c>
      <c r="AW1257">
        <f ca="1"/>
      </c>
      <c r="AX1257">
        <f ca="1"/>
      </c>
      <c r="AY1257">
        <f ca="1"/>
      </c>
      <c r="BA1257" s="7"/>
    </row>
    <row r="1258" spans="31:53" x14ac:dyDescent="0.55000000000000004">
      <c r="AE1258" s="7">
        <f ca="1"/>
      </c>
      <c r="AF1258">
        <f ca="1"/>
      </c>
      <c r="AG1258">
        <f ca="1"/>
      </c>
      <c r="AH1258">
        <f ca="1"/>
      </c>
      <c r="AI1258">
        <f ca="1"/>
      </c>
      <c r="AJ1258">
        <f ca="1"/>
      </c>
      <c r="AK1258">
        <f ca="1"/>
      </c>
      <c r="AL1258">
        <f ca="1"/>
      </c>
      <c r="AM1258">
        <f ca="1"/>
      </c>
      <c r="AN1258">
        <f ca="1"/>
      </c>
      <c r="AO1258">
        <f ca="1"/>
      </c>
      <c r="AP1258">
        <f ca="1"/>
      </c>
      <c r="AQ1258">
        <f ca="1"/>
      </c>
      <c r="AR1258">
        <f ca="1"/>
      </c>
      <c r="AT1258" s="7">
        <f ca="1"/>
      </c>
      <c r="AU1258">
        <f ca="1"/>
      </c>
      <c r="AV1258">
        <f ca="1"/>
      </c>
      <c r="AW1258">
        <f ca="1"/>
      </c>
      <c r="AX1258">
        <f ca="1"/>
      </c>
      <c r="AY1258">
        <f ca="1"/>
      </c>
      <c r="BA1258" s="7"/>
    </row>
    <row r="1259" spans="31:53" x14ac:dyDescent="0.55000000000000004">
      <c r="AE1259" s="7">
        <f ca="1"/>
      </c>
      <c r="AF1259">
        <f ca="1"/>
      </c>
      <c r="AG1259">
        <f ca="1"/>
      </c>
      <c r="AH1259">
        <f ca="1"/>
      </c>
      <c r="AI1259">
        <f ca="1"/>
      </c>
      <c r="AJ1259">
        <f ca="1"/>
      </c>
      <c r="AK1259">
        <f ca="1"/>
      </c>
      <c r="AL1259">
        <f ca="1"/>
      </c>
      <c r="AM1259">
        <f ca="1"/>
      </c>
      <c r="AN1259">
        <f ca="1"/>
      </c>
      <c r="AO1259">
        <f ca="1"/>
      </c>
      <c r="AP1259">
        <f ca="1"/>
      </c>
      <c r="AQ1259">
        <f ca="1"/>
      </c>
      <c r="AR1259">
        <f ca="1"/>
      </c>
      <c r="AT1259" s="7">
        <f ca="1"/>
      </c>
      <c r="AU1259">
        <f ca="1"/>
      </c>
      <c r="AV1259">
        <f ca="1"/>
      </c>
      <c r="AW1259">
        <f ca="1"/>
      </c>
      <c r="AX1259">
        <f ca="1"/>
      </c>
      <c r="AY1259">
        <f ca="1"/>
      </c>
      <c r="BA1259" s="7"/>
    </row>
    <row r="1260" spans="31:53" x14ac:dyDescent="0.55000000000000004">
      <c r="AE1260" s="7">
        <f ca="1"/>
      </c>
      <c r="AF1260">
        <f ca="1"/>
      </c>
      <c r="AG1260">
        <f ca="1"/>
      </c>
      <c r="AH1260">
        <f ca="1"/>
      </c>
      <c r="AI1260">
        <f ca="1"/>
      </c>
      <c r="AJ1260">
        <f ca="1"/>
      </c>
      <c r="AK1260">
        <f ca="1"/>
      </c>
      <c r="AL1260">
        <f ca="1"/>
      </c>
      <c r="AM1260">
        <f ca="1"/>
      </c>
      <c r="AN1260">
        <f ca="1"/>
      </c>
      <c r="AO1260">
        <f ca="1"/>
      </c>
      <c r="AP1260">
        <f ca="1"/>
      </c>
      <c r="AQ1260">
        <f ca="1"/>
      </c>
      <c r="AR1260">
        <f ca="1"/>
      </c>
      <c r="AT1260" s="7">
        <f ca="1"/>
      </c>
      <c r="AU1260">
        <f ca="1"/>
      </c>
      <c r="AV1260">
        <f ca="1"/>
      </c>
      <c r="AW1260">
        <f ca="1"/>
      </c>
      <c r="AX1260">
        <f ca="1"/>
      </c>
      <c r="AY1260">
        <f ca="1"/>
      </c>
      <c r="BA1260" s="7"/>
    </row>
    <row r="1261" spans="31:53" x14ac:dyDescent="0.55000000000000004">
      <c r="AE1261" s="7">
        <f ca="1"/>
      </c>
      <c r="AF1261">
        <f ca="1"/>
      </c>
      <c r="AG1261">
        <f ca="1"/>
      </c>
      <c r="AH1261">
        <f ca="1"/>
      </c>
      <c r="AI1261">
        <f ca="1"/>
      </c>
      <c r="AJ1261">
        <f ca="1"/>
      </c>
      <c r="AK1261">
        <f ca="1"/>
      </c>
      <c r="AL1261">
        <f ca="1"/>
      </c>
      <c r="AM1261">
        <f ca="1"/>
      </c>
      <c r="AN1261">
        <f ca="1"/>
      </c>
      <c r="AO1261">
        <f ca="1"/>
      </c>
      <c r="AP1261">
        <f ca="1"/>
      </c>
      <c r="AQ1261">
        <f ca="1"/>
      </c>
      <c r="AR1261">
        <f ca="1"/>
      </c>
      <c r="AT1261" s="7">
        <f ca="1"/>
      </c>
      <c r="AU1261">
        <f ca="1"/>
      </c>
      <c r="AV1261">
        <f ca="1"/>
      </c>
      <c r="AW1261">
        <f ca="1"/>
      </c>
      <c r="AX1261">
        <f ca="1"/>
      </c>
      <c r="AY1261">
        <f ca="1"/>
      </c>
      <c r="BA1261" s="7"/>
    </row>
    <row r="1262" spans="31:53" x14ac:dyDescent="0.55000000000000004">
      <c r="AE1262" s="7">
        <f ca="1"/>
      </c>
      <c r="AF1262">
        <f ca="1"/>
      </c>
      <c r="AG1262">
        <f ca="1"/>
      </c>
      <c r="AH1262">
        <f ca="1"/>
      </c>
      <c r="AI1262">
        <f ca="1"/>
      </c>
      <c r="AJ1262">
        <f ca="1"/>
      </c>
      <c r="AK1262">
        <f ca="1"/>
      </c>
      <c r="AL1262">
        <f ca="1"/>
      </c>
      <c r="AM1262">
        <f ca="1"/>
      </c>
      <c r="AN1262">
        <f ca="1"/>
      </c>
      <c r="AO1262">
        <f ca="1"/>
      </c>
      <c r="AP1262">
        <f ca="1"/>
      </c>
      <c r="AQ1262">
        <f ca="1"/>
      </c>
      <c r="AR1262">
        <f ca="1"/>
      </c>
      <c r="AT1262" s="7">
        <f ca="1"/>
      </c>
      <c r="AU1262">
        <f ca="1"/>
      </c>
      <c r="AV1262">
        <f ca="1"/>
      </c>
      <c r="AW1262">
        <f ca="1"/>
      </c>
      <c r="AX1262">
        <f ca="1"/>
      </c>
      <c r="AY1262">
        <f ca="1"/>
      </c>
      <c r="BA1262" s="7"/>
    </row>
    <row r="1263" spans="31:53" x14ac:dyDescent="0.55000000000000004">
      <c r="AE1263" s="7">
        <f ca="1"/>
      </c>
      <c r="AF1263">
        <f ca="1"/>
      </c>
      <c r="AG1263">
        <f ca="1"/>
      </c>
      <c r="AH1263">
        <f ca="1"/>
      </c>
      <c r="AI1263">
        <f ca="1"/>
      </c>
      <c r="AJ1263">
        <f ca="1"/>
      </c>
      <c r="AK1263">
        <f ca="1"/>
      </c>
      <c r="AL1263">
        <f ca="1"/>
      </c>
      <c r="AM1263">
        <f ca="1"/>
      </c>
      <c r="AN1263">
        <f ca="1"/>
      </c>
      <c r="AO1263">
        <f ca="1"/>
      </c>
      <c r="AP1263">
        <f ca="1"/>
      </c>
      <c r="AQ1263">
        <f ca="1"/>
      </c>
      <c r="AR1263">
        <f ca="1"/>
      </c>
      <c r="AT1263" s="7">
        <f ca="1"/>
      </c>
      <c r="AU1263">
        <f ca="1"/>
      </c>
      <c r="AV1263">
        <f ca="1"/>
      </c>
      <c r="AW1263">
        <f ca="1"/>
      </c>
      <c r="AX1263">
        <f ca="1"/>
      </c>
      <c r="AY1263">
        <f ca="1"/>
      </c>
      <c r="BA1263" s="7"/>
    </row>
    <row r="1264" spans="31:53" x14ac:dyDescent="0.55000000000000004">
      <c r="AE1264" s="7">
        <f ca="1"/>
      </c>
      <c r="AF1264">
        <f ca="1"/>
      </c>
      <c r="AG1264">
        <f ca="1"/>
      </c>
      <c r="AH1264">
        <f ca="1"/>
      </c>
      <c r="AI1264">
        <f ca="1"/>
      </c>
      <c r="AJ1264">
        <f ca="1"/>
      </c>
      <c r="AK1264">
        <f ca="1"/>
      </c>
      <c r="AL1264">
        <f ca="1"/>
      </c>
      <c r="AM1264">
        <f ca="1"/>
      </c>
      <c r="AN1264">
        <f ca="1"/>
      </c>
      <c r="AO1264">
        <f ca="1"/>
      </c>
      <c r="AP1264">
        <f ca="1"/>
      </c>
      <c r="AQ1264">
        <f ca="1"/>
      </c>
      <c r="AR1264">
        <f ca="1"/>
      </c>
      <c r="AT1264" s="7">
        <f ca="1"/>
      </c>
      <c r="AU1264">
        <f ca="1"/>
      </c>
      <c r="AV1264">
        <f ca="1"/>
      </c>
      <c r="AW1264">
        <f ca="1"/>
      </c>
      <c r="AX1264">
        <f ca="1"/>
      </c>
      <c r="AY1264">
        <f ca="1"/>
      </c>
      <c r="BA1264" s="7"/>
    </row>
    <row r="1265" spans="31:53" x14ac:dyDescent="0.55000000000000004">
      <c r="AE1265" s="7">
        <f ca="1"/>
      </c>
      <c r="AF1265">
        <f ca="1"/>
      </c>
      <c r="AG1265">
        <f ca="1"/>
      </c>
      <c r="AH1265">
        <f ca="1"/>
      </c>
      <c r="AI1265">
        <f ca="1"/>
      </c>
      <c r="AJ1265">
        <f ca="1"/>
      </c>
      <c r="AK1265">
        <f ca="1"/>
      </c>
      <c r="AL1265">
        <f ca="1"/>
      </c>
      <c r="AM1265">
        <f ca="1"/>
      </c>
      <c r="AN1265">
        <f ca="1"/>
      </c>
      <c r="AO1265">
        <f ca="1"/>
      </c>
      <c r="AP1265">
        <f ca="1"/>
      </c>
      <c r="AQ1265">
        <f ca="1"/>
      </c>
      <c r="AR1265">
        <f ca="1"/>
      </c>
      <c r="AT1265" s="7">
        <f ca="1"/>
      </c>
      <c r="AU1265">
        <f ca="1"/>
      </c>
      <c r="AV1265">
        <f ca="1"/>
      </c>
      <c r="AW1265">
        <f ca="1"/>
      </c>
      <c r="AX1265">
        <f ca="1"/>
      </c>
      <c r="AY1265">
        <f ca="1"/>
      </c>
      <c r="BA1265" s="7"/>
    </row>
    <row r="1266" spans="31:53" x14ac:dyDescent="0.55000000000000004">
      <c r="AE1266" s="7">
        <f ca="1"/>
      </c>
      <c r="AF1266">
        <f ca="1"/>
      </c>
      <c r="AG1266">
        <f ca="1"/>
      </c>
      <c r="AH1266">
        <f ca="1"/>
      </c>
      <c r="AI1266">
        <f ca="1"/>
      </c>
      <c r="AJ1266">
        <f ca="1"/>
      </c>
      <c r="AK1266">
        <f ca="1"/>
      </c>
      <c r="AL1266">
        <f ca="1"/>
      </c>
      <c r="AM1266">
        <f ca="1"/>
      </c>
      <c r="AN1266">
        <f ca="1"/>
      </c>
      <c r="AO1266">
        <f ca="1"/>
      </c>
      <c r="AP1266">
        <f ca="1"/>
      </c>
      <c r="AQ1266">
        <f ca="1"/>
      </c>
      <c r="AR1266">
        <f ca="1"/>
      </c>
      <c r="AT1266" s="7">
        <f ca="1"/>
      </c>
      <c r="AU1266">
        <f ca="1"/>
      </c>
      <c r="AV1266">
        <f ca="1"/>
      </c>
      <c r="AW1266">
        <f ca="1"/>
      </c>
      <c r="AX1266">
        <f ca="1"/>
      </c>
      <c r="AY1266">
        <f ca="1"/>
      </c>
      <c r="BA1266" s="7"/>
    </row>
    <row r="1267" spans="31:53" x14ac:dyDescent="0.55000000000000004">
      <c r="AE1267" s="7">
        <f ca="1"/>
      </c>
      <c r="AF1267">
        <f ca="1"/>
      </c>
      <c r="AG1267">
        <f ca="1"/>
      </c>
      <c r="AH1267">
        <f ca="1"/>
      </c>
      <c r="AI1267">
        <f ca="1"/>
      </c>
      <c r="AJ1267">
        <f ca="1"/>
      </c>
      <c r="AK1267">
        <f ca="1"/>
      </c>
      <c r="AL1267">
        <f ca="1"/>
      </c>
      <c r="AM1267">
        <f ca="1"/>
      </c>
      <c r="AN1267">
        <f ca="1"/>
      </c>
      <c r="AO1267">
        <f ca="1"/>
      </c>
      <c r="AP1267">
        <f ca="1"/>
      </c>
      <c r="AQ1267">
        <f ca="1"/>
      </c>
      <c r="AR1267">
        <f ca="1"/>
      </c>
      <c r="AT1267" s="7">
        <f ca="1"/>
      </c>
      <c r="AU1267">
        <f ca="1"/>
      </c>
      <c r="AV1267">
        <f ca="1"/>
      </c>
      <c r="AW1267">
        <f ca="1"/>
      </c>
      <c r="AX1267">
        <f ca="1"/>
      </c>
      <c r="AY1267">
        <f ca="1"/>
      </c>
      <c r="BA1267" s="7"/>
    </row>
    <row r="1268" spans="31:53" x14ac:dyDescent="0.55000000000000004">
      <c r="AE1268" s="7">
        <f ca="1"/>
      </c>
      <c r="AF1268">
        <f ca="1"/>
      </c>
      <c r="AG1268">
        <f ca="1"/>
      </c>
      <c r="AH1268">
        <f ca="1"/>
      </c>
      <c r="AI1268">
        <f ca="1"/>
      </c>
      <c r="AJ1268">
        <f ca="1"/>
      </c>
      <c r="AK1268">
        <f ca="1"/>
      </c>
      <c r="AL1268">
        <f ca="1"/>
      </c>
      <c r="AM1268">
        <f ca="1"/>
      </c>
      <c r="AN1268">
        <f ca="1"/>
      </c>
      <c r="AO1268">
        <f ca="1"/>
      </c>
      <c r="AP1268">
        <f ca="1"/>
      </c>
      <c r="AQ1268">
        <f ca="1"/>
      </c>
      <c r="AR1268">
        <f ca="1"/>
      </c>
      <c r="AT1268" s="7">
        <f ca="1"/>
      </c>
      <c r="AU1268">
        <f ca="1"/>
      </c>
      <c r="AV1268">
        <f ca="1"/>
      </c>
      <c r="AW1268">
        <f ca="1"/>
      </c>
      <c r="AX1268">
        <f ca="1"/>
      </c>
      <c r="AY1268">
        <f ca="1"/>
      </c>
      <c r="BA1268" s="7"/>
    </row>
    <row r="1269" spans="31:53" x14ac:dyDescent="0.55000000000000004">
      <c r="AE1269" s="7">
        <f ca="1"/>
      </c>
      <c r="AF1269">
        <f ca="1"/>
      </c>
      <c r="AG1269">
        <f ca="1"/>
      </c>
      <c r="AH1269">
        <f ca="1"/>
      </c>
      <c r="AI1269">
        <f ca="1"/>
      </c>
      <c r="AJ1269">
        <f ca="1"/>
      </c>
      <c r="AK1269">
        <f ca="1"/>
      </c>
      <c r="AL1269">
        <f ca="1"/>
      </c>
      <c r="AM1269">
        <f ca="1"/>
      </c>
      <c r="AN1269">
        <f ca="1"/>
      </c>
      <c r="AO1269">
        <f ca="1"/>
      </c>
      <c r="AP1269">
        <f ca="1"/>
      </c>
      <c r="AQ1269">
        <f ca="1"/>
      </c>
      <c r="AR1269">
        <f ca="1"/>
      </c>
      <c r="AT1269" s="7">
        <f ca="1"/>
      </c>
      <c r="AU1269">
        <f ca="1"/>
      </c>
      <c r="AV1269">
        <f ca="1"/>
      </c>
      <c r="AW1269">
        <f ca="1"/>
      </c>
      <c r="AX1269">
        <f ca="1"/>
      </c>
      <c r="AY1269">
        <f ca="1"/>
      </c>
      <c r="BA1269" s="7"/>
    </row>
    <row r="1270" spans="31:53" x14ac:dyDescent="0.55000000000000004">
      <c r="AE1270" s="7">
        <f ca="1"/>
      </c>
      <c r="AF1270">
        <f ca="1"/>
      </c>
      <c r="AG1270">
        <f ca="1"/>
      </c>
      <c r="AH1270">
        <f ca="1"/>
      </c>
      <c r="AI1270">
        <f ca="1"/>
      </c>
      <c r="AJ1270">
        <f ca="1"/>
      </c>
      <c r="AK1270">
        <f ca="1"/>
      </c>
      <c r="AL1270">
        <f ca="1"/>
      </c>
      <c r="AM1270">
        <f ca="1"/>
      </c>
      <c r="AN1270">
        <f ca="1"/>
      </c>
      <c r="AO1270">
        <f ca="1"/>
      </c>
      <c r="AP1270">
        <f ca="1"/>
      </c>
      <c r="AQ1270">
        <f ca="1"/>
      </c>
      <c r="AR1270">
        <f ca="1"/>
      </c>
      <c r="AT1270" s="7">
        <f ca="1"/>
      </c>
      <c r="AU1270">
        <f ca="1"/>
      </c>
      <c r="AV1270">
        <f ca="1"/>
      </c>
      <c r="AW1270">
        <f ca="1"/>
      </c>
      <c r="AX1270">
        <f ca="1"/>
      </c>
      <c r="AY1270">
        <f ca="1"/>
      </c>
      <c r="BA1270" s="7"/>
    </row>
    <row r="1271" spans="31:53" x14ac:dyDescent="0.55000000000000004">
      <c r="AE1271" s="7">
        <f ca="1"/>
      </c>
      <c r="AF1271">
        <f ca="1"/>
      </c>
      <c r="AG1271">
        <f ca="1"/>
      </c>
      <c r="AH1271">
        <f ca="1"/>
      </c>
      <c r="AI1271">
        <f ca="1"/>
      </c>
      <c r="AJ1271">
        <f ca="1"/>
      </c>
      <c r="AK1271">
        <f ca="1"/>
      </c>
      <c r="AL1271">
        <f ca="1"/>
      </c>
      <c r="AM1271">
        <f ca="1"/>
      </c>
      <c r="AN1271">
        <f ca="1"/>
      </c>
      <c r="AO1271">
        <f ca="1"/>
      </c>
      <c r="AP1271">
        <f ca="1"/>
      </c>
      <c r="AQ1271">
        <f ca="1"/>
      </c>
      <c r="AR1271">
        <f ca="1"/>
      </c>
      <c r="AT1271" s="7">
        <f ca="1"/>
      </c>
      <c r="AU1271">
        <f ca="1"/>
      </c>
      <c r="AV1271">
        <f ca="1"/>
      </c>
      <c r="AW1271">
        <f ca="1"/>
      </c>
      <c r="AX1271">
        <f ca="1"/>
      </c>
      <c r="AY1271">
        <f ca="1"/>
      </c>
      <c r="BA1271" s="7"/>
    </row>
    <row r="1272" spans="31:53" x14ac:dyDescent="0.55000000000000004">
      <c r="AE1272" s="7">
        <f ca="1"/>
      </c>
      <c r="AF1272">
        <f ca="1"/>
      </c>
      <c r="AG1272">
        <f ca="1"/>
      </c>
      <c r="AH1272">
        <f ca="1"/>
      </c>
      <c r="AI1272">
        <f ca="1"/>
      </c>
      <c r="AJ1272">
        <f ca="1"/>
      </c>
      <c r="AK1272">
        <f ca="1"/>
      </c>
      <c r="AL1272">
        <f ca="1"/>
      </c>
      <c r="AM1272">
        <f ca="1"/>
      </c>
      <c r="AN1272">
        <f ca="1"/>
      </c>
      <c r="AO1272">
        <f ca="1"/>
      </c>
      <c r="AP1272">
        <f ca="1"/>
      </c>
      <c r="AQ1272">
        <f ca="1"/>
      </c>
      <c r="AR1272">
        <f ca="1"/>
      </c>
      <c r="AT1272" s="7">
        <f ca="1"/>
      </c>
      <c r="AU1272">
        <f ca="1"/>
      </c>
      <c r="AV1272">
        <f ca="1"/>
      </c>
      <c r="AW1272">
        <f ca="1"/>
      </c>
      <c r="AX1272">
        <f ca="1"/>
      </c>
      <c r="AY1272">
        <f ca="1"/>
      </c>
      <c r="BA1272" s="7"/>
    </row>
    <row r="1273" spans="31:53" x14ac:dyDescent="0.55000000000000004">
      <c r="AE1273" s="7">
        <f ca="1"/>
      </c>
      <c r="AF1273">
        <f ca="1"/>
      </c>
      <c r="AG1273">
        <f ca="1"/>
      </c>
      <c r="AH1273">
        <f ca="1"/>
      </c>
      <c r="AI1273">
        <f ca="1"/>
      </c>
      <c r="AJ1273">
        <f ca="1"/>
      </c>
      <c r="AK1273">
        <f ca="1"/>
      </c>
      <c r="AL1273">
        <f ca="1"/>
      </c>
      <c r="AM1273">
        <f ca="1"/>
      </c>
      <c r="AN1273">
        <f ca="1"/>
      </c>
      <c r="AO1273">
        <f ca="1"/>
      </c>
      <c r="AP1273">
        <f ca="1"/>
      </c>
      <c r="AQ1273">
        <f ca="1"/>
      </c>
      <c r="AR1273">
        <f ca="1"/>
      </c>
      <c r="AT1273" s="7">
        <f ca="1"/>
      </c>
      <c r="AU1273">
        <f ca="1"/>
      </c>
      <c r="AV1273">
        <f ca="1"/>
      </c>
      <c r="AW1273">
        <f ca="1"/>
      </c>
      <c r="AX1273">
        <f ca="1"/>
      </c>
      <c r="AY1273">
        <f ca="1"/>
      </c>
      <c r="BA1273" s="7"/>
    </row>
    <row r="1274" spans="31:53" x14ac:dyDescent="0.55000000000000004">
      <c r="AE1274" s="7">
        <f ca="1"/>
      </c>
      <c r="AF1274">
        <f ca="1"/>
      </c>
      <c r="AG1274">
        <f ca="1"/>
      </c>
      <c r="AH1274">
        <f ca="1"/>
      </c>
      <c r="AI1274">
        <f ca="1"/>
      </c>
      <c r="AJ1274">
        <f ca="1"/>
      </c>
      <c r="AK1274">
        <f ca="1"/>
      </c>
      <c r="AL1274">
        <f ca="1"/>
      </c>
      <c r="AM1274">
        <f ca="1"/>
      </c>
      <c r="AN1274">
        <f ca="1"/>
      </c>
      <c r="AO1274">
        <f ca="1"/>
      </c>
      <c r="AP1274">
        <f ca="1"/>
      </c>
      <c r="AQ1274">
        <f ca="1"/>
      </c>
      <c r="AR1274">
        <f ca="1"/>
      </c>
      <c r="AT1274" s="7">
        <f ca="1"/>
      </c>
      <c r="AU1274">
        <f ca="1"/>
      </c>
      <c r="AV1274">
        <f ca="1"/>
      </c>
      <c r="AW1274">
        <f ca="1"/>
      </c>
      <c r="AX1274">
        <f ca="1"/>
      </c>
      <c r="AY1274">
        <f ca="1"/>
      </c>
      <c r="BA1274" s="7"/>
    </row>
    <row r="1275" spans="31:53" x14ac:dyDescent="0.55000000000000004">
      <c r="AE1275" s="7">
        <f ca="1"/>
      </c>
      <c r="AF1275">
        <f ca="1"/>
      </c>
      <c r="AG1275">
        <f ca="1"/>
      </c>
      <c r="AH1275">
        <f ca="1"/>
      </c>
      <c r="AI1275">
        <f ca="1"/>
      </c>
      <c r="AJ1275">
        <f ca="1"/>
      </c>
      <c r="AK1275">
        <f ca="1"/>
      </c>
      <c r="AL1275">
        <f ca="1"/>
      </c>
      <c r="AM1275">
        <f ca="1"/>
      </c>
      <c r="AN1275">
        <f ca="1"/>
      </c>
      <c r="AO1275">
        <f ca="1"/>
      </c>
      <c r="AP1275">
        <f ca="1"/>
      </c>
      <c r="AQ1275">
        <f ca="1"/>
      </c>
      <c r="AR1275">
        <f ca="1"/>
      </c>
      <c r="AT1275" s="7">
        <f ca="1"/>
      </c>
      <c r="AU1275">
        <f ca="1"/>
      </c>
      <c r="AV1275">
        <f ca="1"/>
      </c>
      <c r="AW1275">
        <f ca="1"/>
      </c>
      <c r="AX1275">
        <f ca="1"/>
      </c>
      <c r="AY1275">
        <f ca="1"/>
      </c>
      <c r="BA1275" s="7"/>
    </row>
    <row r="1276" spans="31:53" x14ac:dyDescent="0.55000000000000004">
      <c r="AE1276" s="7">
        <f ca="1"/>
      </c>
      <c r="AF1276">
        <f ca="1"/>
      </c>
      <c r="AG1276">
        <f ca="1"/>
      </c>
      <c r="AH1276">
        <f ca="1"/>
      </c>
      <c r="AI1276">
        <f ca="1"/>
      </c>
      <c r="AJ1276">
        <f ca="1"/>
      </c>
      <c r="AK1276">
        <f ca="1"/>
      </c>
      <c r="AL1276">
        <f ca="1"/>
      </c>
      <c r="AM1276">
        <f ca="1"/>
      </c>
      <c r="AN1276">
        <f ca="1"/>
      </c>
      <c r="AO1276">
        <f ca="1"/>
      </c>
      <c r="AP1276">
        <f ca="1"/>
      </c>
      <c r="AQ1276">
        <f ca="1"/>
      </c>
      <c r="AR1276">
        <f ca="1"/>
      </c>
      <c r="AT1276" s="7">
        <f ca="1"/>
      </c>
      <c r="AU1276">
        <f ca="1"/>
      </c>
      <c r="AV1276">
        <f ca="1"/>
      </c>
      <c r="AW1276">
        <f ca="1"/>
      </c>
      <c r="AX1276">
        <f ca="1"/>
      </c>
      <c r="AY1276">
        <f ca="1"/>
      </c>
      <c r="BA1276" s="7"/>
    </row>
    <row r="1277" spans="31:53" x14ac:dyDescent="0.55000000000000004">
      <c r="AE1277" s="7">
        <f ca="1"/>
      </c>
      <c r="AF1277">
        <f ca="1"/>
      </c>
      <c r="AG1277">
        <f ca="1"/>
      </c>
      <c r="AH1277">
        <f ca="1"/>
      </c>
      <c r="AI1277">
        <f ca="1"/>
      </c>
      <c r="AJ1277">
        <f ca="1"/>
      </c>
      <c r="AK1277">
        <f ca="1"/>
      </c>
      <c r="AL1277">
        <f ca="1"/>
      </c>
      <c r="AM1277">
        <f ca="1"/>
      </c>
      <c r="AN1277">
        <f ca="1"/>
      </c>
      <c r="AO1277">
        <f ca="1"/>
      </c>
      <c r="AP1277">
        <f ca="1"/>
      </c>
      <c r="AQ1277">
        <f ca="1"/>
      </c>
      <c r="AR1277">
        <f ca="1"/>
      </c>
      <c r="AT1277" s="7">
        <f ca="1"/>
      </c>
      <c r="AU1277">
        <f ca="1"/>
      </c>
      <c r="AV1277">
        <f ca="1"/>
      </c>
      <c r="AW1277">
        <f ca="1"/>
      </c>
      <c r="AX1277">
        <f ca="1"/>
      </c>
      <c r="AY1277">
        <f ca="1"/>
      </c>
      <c r="BA1277" s="7"/>
    </row>
    <row r="1278" spans="31:53" x14ac:dyDescent="0.55000000000000004">
      <c r="AE1278" s="7">
        <f ca="1"/>
      </c>
      <c r="AF1278">
        <f ca="1"/>
      </c>
      <c r="AG1278">
        <f ca="1"/>
      </c>
      <c r="AH1278">
        <f ca="1"/>
      </c>
      <c r="AI1278">
        <f ca="1"/>
      </c>
      <c r="AJ1278">
        <f ca="1"/>
      </c>
      <c r="AK1278">
        <f ca="1"/>
      </c>
      <c r="AL1278">
        <f ca="1"/>
      </c>
      <c r="AM1278">
        <f ca="1"/>
      </c>
      <c r="AN1278">
        <f ca="1"/>
      </c>
      <c r="AO1278">
        <f ca="1"/>
      </c>
      <c r="AP1278">
        <f ca="1"/>
      </c>
      <c r="AQ1278">
        <f ca="1"/>
      </c>
      <c r="AR1278">
        <f ca="1"/>
      </c>
      <c r="AT1278" s="7">
        <f ca="1"/>
      </c>
      <c r="AU1278">
        <f ca="1"/>
      </c>
      <c r="AV1278">
        <f ca="1"/>
      </c>
      <c r="AW1278">
        <f ca="1"/>
      </c>
      <c r="AX1278">
        <f ca="1"/>
      </c>
      <c r="AY1278">
        <f ca="1"/>
      </c>
      <c r="BA1278" s="7"/>
    </row>
    <row r="1279" spans="31:53" x14ac:dyDescent="0.55000000000000004">
      <c r="AE1279" s="7">
        <f ca="1"/>
      </c>
      <c r="AF1279">
        <f ca="1"/>
      </c>
      <c r="AG1279">
        <f ca="1"/>
      </c>
      <c r="AH1279">
        <f ca="1"/>
      </c>
      <c r="AI1279">
        <f ca="1"/>
      </c>
      <c r="AJ1279">
        <f ca="1"/>
      </c>
      <c r="AK1279">
        <f ca="1"/>
      </c>
      <c r="AL1279">
        <f ca="1"/>
      </c>
      <c r="AM1279">
        <f ca="1"/>
      </c>
      <c r="AN1279">
        <f ca="1"/>
      </c>
      <c r="AO1279">
        <f ca="1"/>
      </c>
      <c r="AP1279">
        <f ca="1"/>
      </c>
      <c r="AQ1279">
        <f ca="1"/>
      </c>
      <c r="AR1279">
        <f ca="1"/>
      </c>
      <c r="AT1279" s="7">
        <f ca="1"/>
      </c>
      <c r="AU1279">
        <f ca="1"/>
      </c>
      <c r="AV1279">
        <f ca="1"/>
      </c>
      <c r="AW1279">
        <f ca="1"/>
      </c>
      <c r="AX1279">
        <f ca="1"/>
      </c>
      <c r="AY1279">
        <f ca="1"/>
      </c>
      <c r="BA1279" s="7"/>
    </row>
    <row r="1280" spans="31:53" x14ac:dyDescent="0.55000000000000004">
      <c r="AE1280" s="7">
        <f ca="1"/>
      </c>
      <c r="AF1280">
        <f ca="1"/>
      </c>
      <c r="AG1280">
        <f ca="1"/>
      </c>
      <c r="AH1280">
        <f ca="1"/>
      </c>
      <c r="AI1280">
        <f ca="1"/>
      </c>
      <c r="AJ1280">
        <f ca="1"/>
      </c>
      <c r="AK1280">
        <f ca="1"/>
      </c>
      <c r="AL1280">
        <f ca="1"/>
      </c>
      <c r="AM1280">
        <f ca="1"/>
      </c>
      <c r="AN1280">
        <f ca="1"/>
      </c>
      <c r="AO1280">
        <f ca="1"/>
      </c>
      <c r="AP1280">
        <f ca="1"/>
      </c>
      <c r="AQ1280">
        <f ca="1"/>
      </c>
      <c r="AR1280">
        <f ca="1"/>
      </c>
      <c r="AT1280" s="7">
        <f ca="1"/>
      </c>
      <c r="AU1280">
        <f ca="1"/>
      </c>
      <c r="AV1280">
        <f ca="1"/>
      </c>
      <c r="AW1280">
        <f ca="1"/>
      </c>
      <c r="AX1280">
        <f ca="1"/>
      </c>
      <c r="AY1280">
        <f ca="1"/>
      </c>
      <c r="BA1280" s="7"/>
    </row>
    <row r="1281" spans="31:53" x14ac:dyDescent="0.55000000000000004">
      <c r="AE1281" s="7">
        <f ca="1"/>
      </c>
      <c r="AF1281">
        <f ca="1"/>
      </c>
      <c r="AG1281">
        <f ca="1"/>
      </c>
      <c r="AH1281">
        <f ca="1"/>
      </c>
      <c r="AI1281">
        <f ca="1"/>
      </c>
      <c r="AJ1281">
        <f ca="1"/>
      </c>
      <c r="AK1281">
        <f ca="1"/>
      </c>
      <c r="AL1281">
        <f ca="1"/>
      </c>
      <c r="AM1281">
        <f ca="1"/>
      </c>
      <c r="AN1281">
        <f ca="1"/>
      </c>
      <c r="AO1281">
        <f ca="1"/>
      </c>
      <c r="AP1281">
        <f ca="1"/>
      </c>
      <c r="AQ1281">
        <f ca="1"/>
      </c>
      <c r="AR1281">
        <f ca="1"/>
      </c>
      <c r="AT1281" s="7">
        <f ca="1"/>
      </c>
      <c r="AU1281">
        <f ca="1"/>
      </c>
      <c r="AV1281">
        <f ca="1"/>
      </c>
      <c r="AW1281">
        <f ca="1"/>
      </c>
      <c r="AX1281">
        <f ca="1"/>
      </c>
      <c r="AY1281">
        <f ca="1"/>
      </c>
      <c r="BA1281" s="7"/>
    </row>
    <row r="1282" spans="31:53" x14ac:dyDescent="0.55000000000000004">
      <c r="AE1282" s="7">
        <f ca="1"/>
      </c>
      <c r="AF1282">
        <f ca="1"/>
      </c>
      <c r="AG1282">
        <f ca="1"/>
      </c>
      <c r="AH1282">
        <f ca="1"/>
      </c>
      <c r="AI1282">
        <f ca="1"/>
      </c>
      <c r="AJ1282">
        <f ca="1"/>
      </c>
      <c r="AK1282">
        <f ca="1"/>
      </c>
      <c r="AL1282">
        <f ca="1"/>
      </c>
      <c r="AM1282">
        <f ca="1"/>
      </c>
      <c r="AN1282">
        <f ca="1"/>
      </c>
      <c r="AO1282">
        <f ca="1"/>
      </c>
      <c r="AP1282">
        <f ca="1"/>
      </c>
      <c r="AQ1282">
        <f ca="1"/>
      </c>
      <c r="AR1282">
        <f ca="1"/>
      </c>
      <c r="AT1282" s="7">
        <f ca="1"/>
      </c>
      <c r="AU1282">
        <f ca="1"/>
      </c>
      <c r="AV1282">
        <f ca="1"/>
      </c>
      <c r="AW1282">
        <f ca="1"/>
      </c>
      <c r="AX1282">
        <f ca="1"/>
      </c>
      <c r="AY1282">
        <f ca="1"/>
      </c>
      <c r="BA1282" s="7"/>
    </row>
    <row r="1283" spans="31:53" x14ac:dyDescent="0.55000000000000004">
      <c r="AE1283" s="7">
        <f ca="1"/>
      </c>
      <c r="AF1283">
        <f ca="1"/>
      </c>
      <c r="AG1283">
        <f ca="1"/>
      </c>
      <c r="AH1283">
        <f ca="1"/>
      </c>
      <c r="AI1283">
        <f ca="1"/>
      </c>
      <c r="AJ1283">
        <f ca="1"/>
      </c>
      <c r="AK1283">
        <f ca="1"/>
      </c>
      <c r="AL1283">
        <f ca="1"/>
      </c>
      <c r="AM1283">
        <f ca="1"/>
      </c>
      <c r="AN1283">
        <f ca="1"/>
      </c>
      <c r="AO1283">
        <f ca="1"/>
      </c>
      <c r="AP1283">
        <f ca="1"/>
      </c>
      <c r="AQ1283">
        <f ca="1"/>
      </c>
      <c r="AR1283">
        <f ca="1"/>
      </c>
      <c r="AT1283" s="7">
        <f ca="1"/>
      </c>
      <c r="AU1283">
        <f ca="1"/>
      </c>
      <c r="AV1283">
        <f ca="1"/>
      </c>
      <c r="AW1283">
        <f ca="1"/>
      </c>
      <c r="AX1283">
        <f ca="1"/>
      </c>
      <c r="AY1283">
        <f ca="1"/>
      </c>
      <c r="BA1283" s="7"/>
    </row>
    <row r="1284" spans="31:53" x14ac:dyDescent="0.55000000000000004">
      <c r="AE1284" s="7">
        <f ca="1"/>
      </c>
      <c r="AF1284">
        <f ca="1"/>
      </c>
      <c r="AG1284">
        <f ca="1"/>
      </c>
      <c r="AH1284">
        <f ca="1"/>
      </c>
      <c r="AI1284">
        <f ca="1"/>
      </c>
      <c r="AJ1284">
        <f ca="1"/>
      </c>
      <c r="AK1284">
        <f ca="1"/>
      </c>
      <c r="AL1284">
        <f ca="1"/>
      </c>
      <c r="AM1284">
        <f ca="1"/>
      </c>
      <c r="AN1284">
        <f ca="1"/>
      </c>
      <c r="AO1284">
        <f ca="1"/>
      </c>
      <c r="AP1284">
        <f ca="1"/>
      </c>
      <c r="AQ1284">
        <f ca="1"/>
      </c>
      <c r="AR1284">
        <f ca="1"/>
      </c>
      <c r="AT1284" s="7">
        <f ca="1"/>
      </c>
      <c r="AU1284">
        <f ca="1"/>
      </c>
      <c r="AV1284">
        <f ca="1"/>
      </c>
      <c r="AW1284">
        <f ca="1"/>
      </c>
      <c r="AX1284">
        <f ca="1"/>
      </c>
      <c r="AY1284">
        <f ca="1"/>
      </c>
      <c r="BA1284" s="7"/>
    </row>
    <row r="1285" spans="31:53" x14ac:dyDescent="0.55000000000000004">
      <c r="AE1285" s="7">
        <f ca="1"/>
      </c>
      <c r="AF1285">
        <f ca="1"/>
      </c>
      <c r="AG1285">
        <f ca="1"/>
      </c>
      <c r="AH1285">
        <f ca="1"/>
      </c>
      <c r="AI1285">
        <f ca="1"/>
      </c>
      <c r="AJ1285">
        <f ca="1"/>
      </c>
      <c r="AK1285">
        <f ca="1"/>
      </c>
      <c r="AL1285">
        <f ca="1"/>
      </c>
      <c r="AM1285">
        <f ca="1"/>
      </c>
      <c r="AN1285">
        <f ca="1"/>
      </c>
      <c r="AO1285">
        <f ca="1"/>
      </c>
      <c r="AP1285">
        <f ca="1"/>
      </c>
      <c r="AQ1285">
        <f ca="1"/>
      </c>
      <c r="AR1285">
        <f ca="1"/>
      </c>
      <c r="AT1285" s="7">
        <f ca="1"/>
      </c>
      <c r="AU1285">
        <f ca="1"/>
      </c>
      <c r="AV1285">
        <f ca="1"/>
      </c>
      <c r="AW1285">
        <f ca="1"/>
      </c>
      <c r="AX1285">
        <f ca="1"/>
      </c>
      <c r="AY1285">
        <f ca="1"/>
      </c>
      <c r="BA1285" s="7"/>
    </row>
    <row r="1286" spans="31:53" x14ac:dyDescent="0.55000000000000004">
      <c r="AE1286" s="7">
        <f ca="1"/>
      </c>
      <c r="AF1286">
        <f ca="1"/>
      </c>
      <c r="AG1286">
        <f ca="1"/>
      </c>
      <c r="AH1286">
        <f ca="1"/>
      </c>
      <c r="AI1286">
        <f ca="1"/>
      </c>
      <c r="AJ1286">
        <f ca="1"/>
      </c>
      <c r="AK1286">
        <f ca="1"/>
      </c>
      <c r="AL1286">
        <f ca="1"/>
      </c>
      <c r="AM1286">
        <f ca="1"/>
      </c>
      <c r="AN1286">
        <f ca="1"/>
      </c>
      <c r="AO1286">
        <f ca="1"/>
      </c>
      <c r="AP1286">
        <f ca="1"/>
      </c>
      <c r="AQ1286">
        <f ca="1"/>
      </c>
      <c r="AR1286">
        <f ca="1"/>
      </c>
      <c r="AT1286" s="7">
        <f ca="1"/>
      </c>
      <c r="AU1286">
        <f ca="1"/>
      </c>
      <c r="AV1286">
        <f ca="1"/>
      </c>
      <c r="AW1286">
        <f ca="1"/>
      </c>
      <c r="AX1286">
        <f ca="1"/>
      </c>
      <c r="AY1286">
        <f ca="1"/>
      </c>
      <c r="BA1286" s="7"/>
    </row>
    <row r="1287" spans="31:53" x14ac:dyDescent="0.55000000000000004">
      <c r="AE1287" s="7">
        <f ca="1"/>
      </c>
      <c r="AF1287">
        <f ca="1"/>
      </c>
      <c r="AG1287">
        <f ca="1"/>
      </c>
      <c r="AH1287">
        <f ca="1"/>
      </c>
      <c r="AI1287">
        <f ca="1"/>
      </c>
      <c r="AJ1287">
        <f ca="1"/>
      </c>
      <c r="AK1287">
        <f ca="1"/>
      </c>
      <c r="AL1287">
        <f ca="1"/>
      </c>
      <c r="AM1287">
        <f ca="1"/>
      </c>
      <c r="AN1287">
        <f ca="1"/>
      </c>
      <c r="AO1287">
        <f ca="1"/>
      </c>
      <c r="AP1287">
        <f ca="1"/>
      </c>
      <c r="AQ1287">
        <f ca="1"/>
      </c>
      <c r="AR1287">
        <f ca="1"/>
      </c>
      <c r="AT1287" s="7">
        <f ca="1"/>
      </c>
      <c r="AU1287">
        <f ca="1"/>
      </c>
      <c r="AV1287">
        <f ca="1"/>
      </c>
      <c r="AW1287">
        <f ca="1"/>
      </c>
      <c r="AX1287">
        <f ca="1"/>
      </c>
      <c r="AY1287">
        <f ca="1"/>
      </c>
      <c r="BA1287" s="7"/>
    </row>
    <row r="1288" spans="31:53" x14ac:dyDescent="0.55000000000000004">
      <c r="AE1288" s="7">
        <f ca="1"/>
      </c>
      <c r="AF1288">
        <f ca="1"/>
      </c>
      <c r="AG1288">
        <f ca="1"/>
      </c>
      <c r="AH1288">
        <f ca="1"/>
      </c>
      <c r="AI1288">
        <f ca="1"/>
      </c>
      <c r="AJ1288">
        <f ca="1"/>
      </c>
      <c r="AK1288">
        <f ca="1"/>
      </c>
      <c r="AL1288">
        <f ca="1"/>
      </c>
      <c r="AM1288">
        <f ca="1"/>
      </c>
      <c r="AN1288">
        <f ca="1"/>
      </c>
      <c r="AO1288">
        <f ca="1"/>
      </c>
      <c r="AP1288">
        <f ca="1"/>
      </c>
      <c r="AQ1288">
        <f ca="1"/>
      </c>
      <c r="AR1288">
        <f ca="1"/>
      </c>
      <c r="AT1288" s="7">
        <f ca="1"/>
      </c>
      <c r="AU1288">
        <f ca="1"/>
      </c>
      <c r="AV1288">
        <f ca="1"/>
      </c>
      <c r="AW1288">
        <f ca="1"/>
      </c>
      <c r="AX1288">
        <f ca="1"/>
      </c>
      <c r="AY1288">
        <f ca="1"/>
      </c>
      <c r="BA1288" s="7"/>
    </row>
    <row r="1289" spans="31:53" x14ac:dyDescent="0.55000000000000004">
      <c r="AE1289" s="7">
        <f ca="1"/>
      </c>
      <c r="AF1289">
        <f ca="1"/>
      </c>
      <c r="AG1289">
        <f ca="1"/>
      </c>
      <c r="AH1289">
        <f ca="1"/>
      </c>
      <c r="AI1289">
        <f ca="1"/>
      </c>
      <c r="AJ1289">
        <f ca="1"/>
      </c>
      <c r="AK1289">
        <f ca="1"/>
      </c>
      <c r="AL1289">
        <f ca="1"/>
      </c>
      <c r="AM1289">
        <f ca="1"/>
      </c>
      <c r="AN1289">
        <f ca="1"/>
      </c>
      <c r="AO1289">
        <f ca="1"/>
      </c>
      <c r="AP1289">
        <f ca="1"/>
      </c>
      <c r="AQ1289">
        <f ca="1"/>
      </c>
      <c r="AR1289">
        <f ca="1"/>
      </c>
      <c r="AT1289" s="7">
        <f ca="1"/>
      </c>
      <c r="AU1289">
        <f ca="1"/>
      </c>
      <c r="AV1289">
        <f ca="1"/>
      </c>
      <c r="AW1289">
        <f ca="1"/>
      </c>
      <c r="AX1289">
        <f ca="1"/>
      </c>
      <c r="AY1289">
        <f ca="1"/>
      </c>
      <c r="BA1289" s="7"/>
    </row>
    <row r="1290" spans="31:53" x14ac:dyDescent="0.55000000000000004">
      <c r="AE1290" s="7">
        <f ca="1"/>
      </c>
      <c r="AF1290">
        <f ca="1"/>
      </c>
      <c r="AG1290">
        <f ca="1"/>
      </c>
      <c r="AH1290">
        <f ca="1"/>
      </c>
      <c r="AI1290">
        <f ca="1"/>
      </c>
      <c r="AJ1290">
        <f ca="1"/>
      </c>
      <c r="AK1290">
        <f ca="1"/>
      </c>
      <c r="AL1290">
        <f ca="1"/>
      </c>
      <c r="AM1290">
        <f ca="1"/>
      </c>
      <c r="AN1290">
        <f ca="1"/>
      </c>
      <c r="AO1290">
        <f ca="1"/>
      </c>
      <c r="AP1290">
        <f ca="1"/>
      </c>
      <c r="AQ1290">
        <f ca="1"/>
      </c>
      <c r="AR1290">
        <f ca="1"/>
      </c>
      <c r="AT1290" s="7">
        <f ca="1"/>
      </c>
      <c r="AU1290">
        <f ca="1"/>
      </c>
      <c r="AV1290">
        <f ca="1"/>
      </c>
      <c r="AW1290">
        <f ca="1"/>
      </c>
      <c r="AX1290">
        <f ca="1"/>
      </c>
      <c r="AY1290">
        <f ca="1"/>
      </c>
      <c r="BA1290" s="7"/>
    </row>
    <row r="1291" spans="31:53" x14ac:dyDescent="0.55000000000000004">
      <c r="AE1291" s="7">
        <f ca="1"/>
      </c>
      <c r="AF1291">
        <f ca="1"/>
      </c>
      <c r="AG1291">
        <f ca="1"/>
      </c>
      <c r="AH1291">
        <f ca="1"/>
      </c>
      <c r="AI1291">
        <f ca="1"/>
      </c>
      <c r="AJ1291">
        <f ca="1"/>
      </c>
      <c r="AK1291">
        <f ca="1"/>
      </c>
      <c r="AL1291">
        <f ca="1"/>
      </c>
      <c r="AM1291">
        <f ca="1"/>
      </c>
      <c r="AN1291">
        <f ca="1"/>
      </c>
      <c r="AO1291">
        <f ca="1"/>
      </c>
      <c r="AP1291">
        <f ca="1"/>
      </c>
      <c r="AQ1291">
        <f ca="1"/>
      </c>
      <c r="AR1291">
        <f ca="1"/>
      </c>
      <c r="AT1291" s="7">
        <f ca="1"/>
      </c>
      <c r="AU1291">
        <f ca="1"/>
      </c>
      <c r="AV1291">
        <f ca="1"/>
      </c>
      <c r="AW1291">
        <f ca="1"/>
      </c>
      <c r="AX1291">
        <f ca="1"/>
      </c>
      <c r="AY1291">
        <f ca="1"/>
      </c>
      <c r="BA1291" s="7"/>
    </row>
    <row r="1292" spans="31:53" x14ac:dyDescent="0.55000000000000004">
      <c r="AE1292" s="7">
        <f ca="1"/>
      </c>
      <c r="AF1292">
        <f ca="1"/>
      </c>
      <c r="AG1292">
        <f ca="1"/>
      </c>
      <c r="AH1292">
        <f ca="1"/>
      </c>
      <c r="AI1292">
        <f ca="1"/>
      </c>
      <c r="AJ1292">
        <f ca="1"/>
      </c>
      <c r="AK1292">
        <f ca="1"/>
      </c>
      <c r="AL1292">
        <f ca="1"/>
      </c>
      <c r="AM1292">
        <f ca="1"/>
      </c>
      <c r="AN1292">
        <f ca="1"/>
      </c>
      <c r="AO1292">
        <f ca="1"/>
      </c>
      <c r="AP1292">
        <f ca="1"/>
      </c>
      <c r="AQ1292">
        <f ca="1"/>
      </c>
      <c r="AR1292">
        <f ca="1"/>
      </c>
      <c r="AT1292" s="7">
        <f ca="1"/>
      </c>
      <c r="AU1292">
        <f ca="1"/>
      </c>
      <c r="AV1292">
        <f ca="1"/>
      </c>
      <c r="AW1292">
        <f ca="1"/>
      </c>
      <c r="AX1292">
        <f ca="1"/>
      </c>
      <c r="AY1292">
        <f ca="1"/>
      </c>
      <c r="BA1292" s="7"/>
    </row>
    <row r="1293" spans="31:53" x14ac:dyDescent="0.55000000000000004">
      <c r="AE1293" s="7">
        <f ca="1"/>
      </c>
      <c r="AF1293">
        <f ca="1"/>
      </c>
      <c r="AG1293">
        <f ca="1"/>
      </c>
      <c r="AH1293">
        <f ca="1"/>
      </c>
      <c r="AI1293">
        <f ca="1"/>
      </c>
      <c r="AJ1293">
        <f ca="1"/>
      </c>
      <c r="AK1293">
        <f ca="1"/>
      </c>
      <c r="AL1293">
        <f ca="1"/>
      </c>
      <c r="AM1293">
        <f ca="1"/>
      </c>
      <c r="AN1293">
        <f ca="1"/>
      </c>
      <c r="AO1293">
        <f ca="1"/>
      </c>
      <c r="AP1293">
        <f ca="1"/>
      </c>
      <c r="AQ1293">
        <f ca="1"/>
      </c>
      <c r="AR1293">
        <f ca="1"/>
      </c>
      <c r="AT1293" s="7">
        <f ca="1"/>
      </c>
      <c r="AU1293">
        <f ca="1"/>
      </c>
      <c r="AV1293">
        <f ca="1"/>
      </c>
      <c r="AW1293">
        <f ca="1"/>
      </c>
      <c r="AX1293">
        <f ca="1"/>
      </c>
      <c r="AY1293">
        <f ca="1"/>
      </c>
      <c r="BA1293" s="7"/>
    </row>
    <row r="1294" spans="31:53" x14ac:dyDescent="0.55000000000000004">
      <c r="AE1294" s="7">
        <f ca="1"/>
      </c>
      <c r="AF1294">
        <f ca="1"/>
      </c>
      <c r="AG1294">
        <f ca="1"/>
      </c>
      <c r="AH1294">
        <f ca="1"/>
      </c>
      <c r="AI1294">
        <f ca="1"/>
      </c>
      <c r="AJ1294">
        <f ca="1"/>
      </c>
      <c r="AK1294">
        <f ca="1"/>
      </c>
      <c r="AL1294">
        <f ca="1"/>
      </c>
      <c r="AM1294">
        <f ca="1"/>
      </c>
      <c r="AN1294">
        <f ca="1"/>
      </c>
      <c r="AO1294">
        <f ca="1"/>
      </c>
      <c r="AP1294">
        <f ca="1"/>
      </c>
      <c r="AQ1294">
        <f ca="1"/>
      </c>
      <c r="AR1294">
        <f ca="1"/>
      </c>
      <c r="AT1294" s="7">
        <f ca="1"/>
      </c>
      <c r="AU1294">
        <f ca="1"/>
      </c>
      <c r="AV1294">
        <f ca="1"/>
      </c>
      <c r="AW1294">
        <f ca="1"/>
      </c>
      <c r="AX1294">
        <f ca="1"/>
      </c>
      <c r="AY1294">
        <f ca="1"/>
      </c>
      <c r="BA1294" s="7"/>
    </row>
    <row r="1295" spans="31:53" x14ac:dyDescent="0.55000000000000004">
      <c r="AE1295" s="7">
        <f ca="1"/>
      </c>
      <c r="AF1295">
        <f ca="1"/>
      </c>
      <c r="AG1295">
        <f ca="1"/>
      </c>
      <c r="AH1295">
        <f ca="1"/>
      </c>
      <c r="AI1295">
        <f ca="1"/>
      </c>
      <c r="AJ1295">
        <f ca="1"/>
      </c>
      <c r="AK1295">
        <f ca="1"/>
      </c>
      <c r="AL1295">
        <f ca="1"/>
      </c>
      <c r="AM1295">
        <f ca="1"/>
      </c>
      <c r="AN1295">
        <f ca="1"/>
      </c>
      <c r="AO1295">
        <f ca="1"/>
      </c>
      <c r="AP1295">
        <f ca="1"/>
      </c>
      <c r="AQ1295">
        <f ca="1"/>
      </c>
      <c r="AR1295">
        <f ca="1"/>
      </c>
      <c r="AT1295" s="7">
        <f ca="1"/>
      </c>
      <c r="AU1295">
        <f ca="1"/>
      </c>
      <c r="AV1295">
        <f ca="1"/>
      </c>
      <c r="AW1295">
        <f ca="1"/>
      </c>
      <c r="AX1295">
        <f ca="1"/>
      </c>
      <c r="AY1295">
        <f ca="1"/>
      </c>
      <c r="BA1295" s="7"/>
    </row>
    <row r="1296" spans="31:53" x14ac:dyDescent="0.55000000000000004">
      <c r="AE1296" s="7">
        <f ca="1"/>
      </c>
      <c r="AF1296">
        <f ca="1"/>
      </c>
      <c r="AG1296">
        <f ca="1"/>
      </c>
      <c r="AH1296">
        <f ca="1"/>
      </c>
      <c r="AI1296">
        <f ca="1"/>
      </c>
      <c r="AJ1296">
        <f ca="1"/>
      </c>
      <c r="AK1296">
        <f ca="1"/>
      </c>
      <c r="AL1296">
        <f ca="1"/>
      </c>
      <c r="AM1296">
        <f ca="1"/>
      </c>
      <c r="AN1296">
        <f ca="1"/>
      </c>
      <c r="AO1296">
        <f ca="1"/>
      </c>
      <c r="AP1296">
        <f ca="1"/>
      </c>
      <c r="AQ1296">
        <f ca="1"/>
      </c>
      <c r="AR1296">
        <f ca="1"/>
      </c>
      <c r="AT1296" s="7">
        <f ca="1"/>
      </c>
      <c r="AU1296">
        <f ca="1"/>
      </c>
      <c r="AV1296">
        <f ca="1"/>
      </c>
      <c r="AW1296">
        <f ca="1"/>
      </c>
      <c r="AX1296">
        <f ca="1"/>
      </c>
      <c r="AY1296">
        <f ca="1"/>
      </c>
      <c r="BA1296" s="7"/>
    </row>
    <row r="1297" spans="31:53" x14ac:dyDescent="0.55000000000000004">
      <c r="AE1297" s="7">
        <f ca="1"/>
      </c>
      <c r="AF1297">
        <f ca="1"/>
      </c>
      <c r="AG1297">
        <f ca="1"/>
      </c>
      <c r="AH1297">
        <f ca="1"/>
      </c>
      <c r="AI1297">
        <f ca="1"/>
      </c>
      <c r="AJ1297">
        <f ca="1"/>
      </c>
      <c r="AK1297">
        <f ca="1"/>
      </c>
      <c r="AL1297">
        <f ca="1"/>
      </c>
      <c r="AM1297">
        <f ca="1"/>
      </c>
      <c r="AN1297">
        <f ca="1"/>
      </c>
      <c r="AO1297">
        <f ca="1"/>
      </c>
      <c r="AP1297">
        <f ca="1"/>
      </c>
      <c r="AQ1297">
        <f ca="1"/>
      </c>
      <c r="AR1297">
        <f ca="1"/>
      </c>
      <c r="AT1297" s="7">
        <f ca="1"/>
      </c>
      <c r="AU1297">
        <f ca="1"/>
      </c>
      <c r="AV1297">
        <f ca="1"/>
      </c>
      <c r="AW1297">
        <f ca="1"/>
      </c>
      <c r="AX1297">
        <f ca="1"/>
      </c>
      <c r="AY1297">
        <f ca="1"/>
      </c>
      <c r="BA1297" s="7"/>
    </row>
    <row r="1298" spans="31:53" x14ac:dyDescent="0.55000000000000004">
      <c r="AE1298" s="7">
        <f ca="1"/>
      </c>
      <c r="AF1298">
        <f ca="1"/>
      </c>
      <c r="AG1298">
        <f ca="1"/>
      </c>
      <c r="AH1298">
        <f ca="1"/>
      </c>
      <c r="AI1298">
        <f ca="1"/>
      </c>
      <c r="AJ1298">
        <f ca="1"/>
      </c>
      <c r="AK1298">
        <f ca="1"/>
      </c>
      <c r="AL1298">
        <f ca="1"/>
      </c>
      <c r="AM1298">
        <f ca="1"/>
      </c>
      <c r="AN1298">
        <f ca="1"/>
      </c>
      <c r="AO1298">
        <f ca="1"/>
      </c>
      <c r="AP1298">
        <f ca="1"/>
      </c>
      <c r="AQ1298">
        <f ca="1"/>
      </c>
      <c r="AR1298">
        <f ca="1"/>
      </c>
      <c r="AT1298" s="7">
        <f ca="1"/>
      </c>
      <c r="AU1298">
        <f ca="1"/>
      </c>
      <c r="AV1298">
        <f ca="1"/>
      </c>
      <c r="AW1298">
        <f ca="1"/>
      </c>
      <c r="AX1298">
        <f ca="1"/>
      </c>
      <c r="AY1298">
        <f ca="1"/>
      </c>
      <c r="BA1298" s="7"/>
    </row>
    <row r="1299" spans="31:53" x14ac:dyDescent="0.55000000000000004">
      <c r="AE1299" s="7">
        <f ca="1"/>
      </c>
      <c r="AF1299">
        <f ca="1"/>
      </c>
      <c r="AG1299">
        <f ca="1"/>
      </c>
      <c r="AH1299">
        <f ca="1"/>
      </c>
      <c r="AI1299">
        <f ca="1"/>
      </c>
      <c r="AJ1299">
        <f ca="1"/>
      </c>
      <c r="AK1299">
        <f ca="1"/>
      </c>
      <c r="AL1299">
        <f ca="1"/>
      </c>
      <c r="AM1299">
        <f ca="1"/>
      </c>
      <c r="AN1299">
        <f ca="1"/>
      </c>
      <c r="AO1299">
        <f ca="1"/>
      </c>
      <c r="AP1299">
        <f ca="1"/>
      </c>
      <c r="AQ1299">
        <f ca="1"/>
      </c>
      <c r="AR1299">
        <f ca="1"/>
      </c>
      <c r="AT1299" s="7">
        <f ca="1"/>
      </c>
      <c r="AU1299">
        <f ca="1"/>
      </c>
      <c r="AV1299">
        <f ca="1"/>
      </c>
      <c r="AW1299">
        <f ca="1"/>
      </c>
      <c r="AX1299">
        <f ca="1"/>
      </c>
      <c r="AY1299">
        <f ca="1"/>
      </c>
      <c r="BA1299" s="7"/>
    </row>
    <row r="1300" spans="31:53" x14ac:dyDescent="0.55000000000000004">
      <c r="AE1300" s="7">
        <f ca="1"/>
      </c>
      <c r="AF1300">
        <f ca="1"/>
      </c>
      <c r="AG1300">
        <f ca="1"/>
      </c>
      <c r="AH1300">
        <f ca="1"/>
      </c>
      <c r="AI1300">
        <f ca="1"/>
      </c>
      <c r="AJ1300">
        <f ca="1"/>
      </c>
      <c r="AK1300">
        <f ca="1"/>
      </c>
      <c r="AL1300">
        <f ca="1"/>
      </c>
      <c r="AM1300">
        <f ca="1"/>
      </c>
      <c r="AN1300">
        <f ca="1"/>
      </c>
      <c r="AO1300">
        <f ca="1"/>
      </c>
      <c r="AP1300">
        <f ca="1"/>
      </c>
      <c r="AQ1300">
        <f ca="1"/>
      </c>
      <c r="AR1300">
        <f ca="1"/>
      </c>
      <c r="AT1300" s="7">
        <f ca="1"/>
      </c>
      <c r="AU1300">
        <f ca="1"/>
      </c>
      <c r="AV1300">
        <f ca="1"/>
      </c>
      <c r="AW1300">
        <f ca="1"/>
      </c>
      <c r="AX1300">
        <f ca="1"/>
      </c>
      <c r="AY1300">
        <f ca="1"/>
      </c>
      <c r="BA1300" s="7"/>
    </row>
    <row r="1301" spans="31:53" x14ac:dyDescent="0.55000000000000004">
      <c r="AE1301" s="7">
        <f ca="1"/>
      </c>
      <c r="AF1301">
        <f ca="1"/>
      </c>
      <c r="AG1301">
        <f ca="1"/>
      </c>
      <c r="AH1301">
        <f ca="1"/>
      </c>
      <c r="AI1301">
        <f ca="1"/>
      </c>
      <c r="AJ1301">
        <f ca="1"/>
      </c>
      <c r="AK1301">
        <f ca="1"/>
      </c>
      <c r="AL1301">
        <f ca="1"/>
      </c>
      <c r="AM1301">
        <f ca="1"/>
      </c>
      <c r="AN1301">
        <f ca="1"/>
      </c>
      <c r="AO1301">
        <f ca="1"/>
      </c>
      <c r="AP1301">
        <f ca="1"/>
      </c>
      <c r="AQ1301">
        <f ca="1"/>
      </c>
      <c r="AR1301">
        <f ca="1"/>
      </c>
      <c r="AT1301" s="7">
        <f ca="1"/>
      </c>
      <c r="AU1301">
        <f ca="1"/>
      </c>
      <c r="AV1301">
        <f ca="1"/>
      </c>
      <c r="AW1301">
        <f ca="1"/>
      </c>
      <c r="AX1301">
        <f ca="1"/>
      </c>
      <c r="AY1301">
        <f ca="1"/>
      </c>
      <c r="BA1301" s="7"/>
    </row>
    <row r="1302" spans="31:53" x14ac:dyDescent="0.55000000000000004">
      <c r="AE1302" s="7">
        <f ca="1"/>
      </c>
      <c r="AF1302">
        <f ca="1"/>
      </c>
      <c r="AG1302">
        <f ca="1"/>
      </c>
      <c r="AH1302">
        <f ca="1"/>
      </c>
      <c r="AI1302">
        <f ca="1"/>
      </c>
      <c r="AJ1302">
        <f ca="1"/>
      </c>
      <c r="AK1302">
        <f ca="1"/>
      </c>
      <c r="AL1302">
        <f ca="1"/>
      </c>
      <c r="AM1302">
        <f ca="1"/>
      </c>
      <c r="AN1302">
        <f ca="1"/>
      </c>
      <c r="AO1302">
        <f ca="1"/>
      </c>
      <c r="AP1302">
        <f ca="1"/>
      </c>
      <c r="AQ1302">
        <f ca="1"/>
      </c>
      <c r="AR1302">
        <f ca="1"/>
      </c>
      <c r="AT1302" s="7">
        <f ca="1"/>
      </c>
      <c r="AU1302">
        <f ca="1"/>
      </c>
      <c r="AV1302">
        <f ca="1"/>
      </c>
      <c r="AW1302">
        <f ca="1"/>
      </c>
      <c r="AX1302">
        <f ca="1"/>
      </c>
      <c r="AY1302">
        <f ca="1"/>
      </c>
      <c r="BA1302" s="7"/>
    </row>
    <row r="1303" spans="31:53" x14ac:dyDescent="0.55000000000000004">
      <c r="AE1303" s="7">
        <f ca="1"/>
      </c>
      <c r="AF1303">
        <f ca="1"/>
      </c>
      <c r="AG1303">
        <f ca="1"/>
      </c>
      <c r="AH1303">
        <f ca="1"/>
      </c>
      <c r="AI1303">
        <f ca="1"/>
      </c>
      <c r="AJ1303">
        <f ca="1"/>
      </c>
      <c r="AK1303">
        <f ca="1"/>
      </c>
      <c r="AL1303">
        <f ca="1"/>
      </c>
      <c r="AM1303">
        <f ca="1"/>
      </c>
      <c r="AN1303">
        <f ca="1"/>
      </c>
      <c r="AO1303">
        <f ca="1"/>
      </c>
      <c r="AP1303">
        <f ca="1"/>
      </c>
      <c r="AQ1303">
        <f ca="1"/>
      </c>
      <c r="AR1303">
        <f ca="1"/>
      </c>
      <c r="AT1303" s="7">
        <f ca="1"/>
      </c>
      <c r="AU1303">
        <f ca="1"/>
      </c>
      <c r="AV1303">
        <f ca="1"/>
      </c>
      <c r="AW1303">
        <f ca="1"/>
      </c>
      <c r="AX1303">
        <f ca="1"/>
      </c>
      <c r="AY1303">
        <f ca="1"/>
      </c>
      <c r="BA1303" s="7"/>
    </row>
    <row r="1304" spans="31:53" x14ac:dyDescent="0.55000000000000004">
      <c r="AE1304" s="7">
        <f ca="1"/>
      </c>
      <c r="AF1304">
        <f ca="1"/>
      </c>
      <c r="AG1304">
        <f ca="1"/>
      </c>
      <c r="AH1304">
        <f ca="1"/>
      </c>
      <c r="AI1304">
        <f ca="1"/>
      </c>
      <c r="AJ1304">
        <f ca="1"/>
      </c>
      <c r="AK1304">
        <f ca="1"/>
      </c>
      <c r="AL1304">
        <f ca="1"/>
      </c>
      <c r="AM1304">
        <f ca="1"/>
      </c>
      <c r="AN1304">
        <f ca="1"/>
      </c>
      <c r="AO1304">
        <f ca="1"/>
      </c>
      <c r="AP1304">
        <f ca="1"/>
      </c>
      <c r="AQ1304">
        <f ca="1"/>
      </c>
      <c r="AR1304">
        <f ca="1"/>
      </c>
      <c r="AT1304" s="7">
        <f ca="1"/>
      </c>
      <c r="AU1304">
        <f ca="1"/>
      </c>
      <c r="AV1304">
        <f ca="1"/>
      </c>
      <c r="AW1304">
        <f ca="1"/>
      </c>
      <c r="AX1304">
        <f ca="1"/>
      </c>
      <c r="AY1304">
        <f ca="1"/>
      </c>
      <c r="BA1304" s="7"/>
    </row>
    <row r="1305" spans="31:53" x14ac:dyDescent="0.55000000000000004">
      <c r="AE1305" s="7">
        <f ca="1"/>
      </c>
      <c r="AF1305">
        <f ca="1"/>
      </c>
      <c r="AG1305">
        <f ca="1"/>
      </c>
      <c r="AH1305">
        <f ca="1"/>
      </c>
      <c r="AI1305">
        <f ca="1"/>
      </c>
      <c r="AJ1305">
        <f ca="1"/>
      </c>
      <c r="AK1305">
        <f ca="1"/>
      </c>
      <c r="AL1305">
        <f ca="1"/>
      </c>
      <c r="AM1305">
        <f ca="1"/>
      </c>
      <c r="AN1305">
        <f ca="1"/>
      </c>
      <c r="AO1305">
        <f ca="1"/>
      </c>
      <c r="AP1305">
        <f ca="1"/>
      </c>
      <c r="AQ1305">
        <f ca="1"/>
      </c>
      <c r="AR1305">
        <f ca="1"/>
      </c>
      <c r="AT1305" s="7">
        <f ca="1"/>
      </c>
      <c r="AU1305">
        <f ca="1"/>
      </c>
      <c r="AV1305">
        <f ca="1"/>
      </c>
      <c r="AW1305">
        <f ca="1"/>
      </c>
      <c r="AX1305">
        <f ca="1"/>
      </c>
      <c r="AY1305">
        <f ca="1"/>
      </c>
      <c r="BA1305" s="7"/>
    </row>
    <row r="1306" spans="31:53" x14ac:dyDescent="0.55000000000000004">
      <c r="AE1306" s="7">
        <f ca="1"/>
      </c>
      <c r="AF1306">
        <f ca="1"/>
      </c>
      <c r="AG1306">
        <f ca="1"/>
      </c>
      <c r="AH1306">
        <f ca="1"/>
      </c>
      <c r="AI1306">
        <f ca="1"/>
      </c>
      <c r="AJ1306">
        <f ca="1"/>
      </c>
      <c r="AK1306">
        <f ca="1"/>
      </c>
      <c r="AL1306">
        <f ca="1"/>
      </c>
      <c r="AM1306">
        <f ca="1"/>
      </c>
      <c r="AN1306">
        <f ca="1"/>
      </c>
      <c r="AO1306">
        <f ca="1"/>
      </c>
      <c r="AP1306">
        <f ca="1"/>
      </c>
      <c r="AQ1306">
        <f ca="1"/>
      </c>
      <c r="AR1306">
        <f ca="1"/>
      </c>
      <c r="AT1306" s="7">
        <f ca="1"/>
      </c>
      <c r="AU1306">
        <f ca="1"/>
      </c>
      <c r="AV1306">
        <f ca="1"/>
      </c>
      <c r="AW1306">
        <f ca="1"/>
      </c>
      <c r="AX1306">
        <f ca="1"/>
      </c>
      <c r="AY1306">
        <f ca="1"/>
      </c>
      <c r="BA1306" s="7"/>
    </row>
    <row r="1307" spans="31:53" x14ac:dyDescent="0.55000000000000004">
      <c r="AE1307" s="7">
        <f ca="1"/>
      </c>
      <c r="AF1307">
        <f ca="1"/>
      </c>
      <c r="AG1307">
        <f ca="1"/>
      </c>
      <c r="AH1307">
        <f ca="1"/>
      </c>
      <c r="AI1307">
        <f ca="1"/>
      </c>
      <c r="AJ1307">
        <f ca="1"/>
      </c>
      <c r="AK1307">
        <f ca="1"/>
      </c>
      <c r="AL1307">
        <f ca="1"/>
      </c>
      <c r="AM1307">
        <f ca="1"/>
      </c>
      <c r="AN1307">
        <f ca="1"/>
      </c>
      <c r="AO1307">
        <f ca="1"/>
      </c>
      <c r="AP1307">
        <f ca="1"/>
      </c>
      <c r="AQ1307">
        <f ca="1"/>
      </c>
      <c r="AR1307">
        <f ca="1"/>
      </c>
      <c r="AT1307" s="7">
        <f ca="1"/>
      </c>
      <c r="AU1307">
        <f ca="1"/>
      </c>
      <c r="AV1307">
        <f ca="1"/>
      </c>
      <c r="AW1307">
        <f ca="1"/>
      </c>
      <c r="AX1307">
        <f ca="1"/>
      </c>
      <c r="AY1307">
        <f ca="1"/>
      </c>
      <c r="BA1307" s="7"/>
    </row>
    <row r="1308" spans="31:53" x14ac:dyDescent="0.55000000000000004">
      <c r="AE1308" s="7">
        <f ca="1"/>
      </c>
      <c r="AF1308">
        <f ca="1"/>
      </c>
      <c r="AG1308">
        <f ca="1"/>
      </c>
      <c r="AH1308">
        <f ca="1"/>
      </c>
      <c r="AI1308">
        <f ca="1"/>
      </c>
      <c r="AJ1308">
        <f ca="1"/>
      </c>
      <c r="AK1308">
        <f ca="1"/>
      </c>
      <c r="AL1308">
        <f ca="1"/>
      </c>
      <c r="AM1308">
        <f ca="1"/>
      </c>
      <c r="AN1308">
        <f ca="1"/>
      </c>
      <c r="AO1308">
        <f ca="1"/>
      </c>
      <c r="AP1308">
        <f ca="1"/>
      </c>
      <c r="AQ1308">
        <f ca="1"/>
      </c>
      <c r="AR1308">
        <f ca="1"/>
      </c>
      <c r="AT1308" s="7">
        <f ca="1"/>
      </c>
      <c r="AU1308">
        <f ca="1"/>
      </c>
      <c r="AV1308">
        <f ca="1"/>
      </c>
      <c r="AW1308">
        <f ca="1"/>
      </c>
      <c r="AX1308">
        <f ca="1"/>
      </c>
      <c r="AY1308">
        <f ca="1"/>
      </c>
      <c r="BA1308" s="7"/>
    </row>
    <row r="1309" spans="31:53" x14ac:dyDescent="0.55000000000000004">
      <c r="AE1309" s="7">
        <f ca="1"/>
      </c>
      <c r="AF1309">
        <f ca="1"/>
      </c>
      <c r="AG1309">
        <f ca="1"/>
      </c>
      <c r="AH1309">
        <f ca="1"/>
      </c>
      <c r="AI1309">
        <f ca="1"/>
      </c>
      <c r="AJ1309">
        <f ca="1"/>
      </c>
      <c r="AK1309">
        <f ca="1"/>
      </c>
      <c r="AL1309">
        <f ca="1"/>
      </c>
      <c r="AM1309">
        <f ca="1"/>
      </c>
      <c r="AN1309">
        <f ca="1"/>
      </c>
      <c r="AO1309">
        <f ca="1"/>
      </c>
      <c r="AP1309">
        <f ca="1"/>
      </c>
      <c r="AQ1309">
        <f ca="1"/>
      </c>
      <c r="AR1309">
        <f ca="1"/>
      </c>
      <c r="AT1309" s="7">
        <f ca="1"/>
      </c>
      <c r="AU1309">
        <f ca="1"/>
      </c>
      <c r="AV1309">
        <f ca="1"/>
      </c>
      <c r="AW1309">
        <f ca="1"/>
      </c>
      <c r="AX1309">
        <f ca="1"/>
      </c>
      <c r="AY1309">
        <f ca="1"/>
      </c>
      <c r="BA1309" s="7"/>
    </row>
    <row r="1310" spans="31:53" x14ac:dyDescent="0.55000000000000004">
      <c r="AE1310" s="7">
        <f ca="1"/>
      </c>
      <c r="AF1310">
        <f ca="1"/>
      </c>
      <c r="AG1310">
        <f ca="1"/>
      </c>
      <c r="AH1310">
        <f ca="1"/>
      </c>
      <c r="AI1310">
        <f ca="1"/>
      </c>
      <c r="AJ1310">
        <f ca="1"/>
      </c>
      <c r="AK1310">
        <f ca="1"/>
      </c>
      <c r="AL1310">
        <f ca="1"/>
      </c>
      <c r="AM1310">
        <f ca="1"/>
      </c>
      <c r="AN1310">
        <f ca="1"/>
      </c>
      <c r="AO1310">
        <f ca="1"/>
      </c>
      <c r="AP1310">
        <f ca="1"/>
      </c>
      <c r="AQ1310">
        <f ca="1"/>
      </c>
      <c r="AR1310">
        <f ca="1"/>
      </c>
      <c r="AT1310" s="7">
        <f ca="1"/>
      </c>
      <c r="AU1310">
        <f ca="1"/>
      </c>
      <c r="AV1310">
        <f ca="1"/>
      </c>
      <c r="AW1310">
        <f ca="1"/>
      </c>
      <c r="AX1310">
        <f ca="1"/>
      </c>
      <c r="AY1310">
        <f ca="1"/>
      </c>
      <c r="BA1310" s="7"/>
    </row>
    <row r="1311" spans="31:53" x14ac:dyDescent="0.55000000000000004">
      <c r="AE1311" s="7">
        <f ca="1"/>
      </c>
      <c r="AF1311">
        <f ca="1"/>
      </c>
      <c r="AG1311">
        <f ca="1"/>
      </c>
      <c r="AH1311">
        <f ca="1"/>
      </c>
      <c r="AI1311">
        <f ca="1"/>
      </c>
      <c r="AJ1311">
        <f ca="1"/>
      </c>
      <c r="AK1311">
        <f ca="1"/>
      </c>
      <c r="AL1311">
        <f ca="1"/>
      </c>
      <c r="AM1311">
        <f ca="1"/>
      </c>
      <c r="AN1311">
        <f ca="1"/>
      </c>
      <c r="AO1311">
        <f ca="1"/>
      </c>
      <c r="AP1311">
        <f ca="1"/>
      </c>
      <c r="AQ1311">
        <f ca="1"/>
      </c>
      <c r="AR1311">
        <f ca="1"/>
      </c>
      <c r="AT1311" s="7">
        <f ca="1"/>
      </c>
      <c r="AU1311">
        <f ca="1"/>
      </c>
      <c r="AV1311">
        <f ca="1"/>
      </c>
      <c r="AW1311">
        <f ca="1"/>
      </c>
      <c r="AX1311">
        <f ca="1"/>
      </c>
      <c r="AY1311">
        <f ca="1"/>
      </c>
      <c r="BA1311" s="7"/>
    </row>
    <row r="1312" spans="31:53" x14ac:dyDescent="0.55000000000000004">
      <c r="AE1312" s="7">
        <f ca="1"/>
      </c>
      <c r="AF1312">
        <f ca="1"/>
      </c>
      <c r="AG1312">
        <f ca="1"/>
      </c>
      <c r="AH1312">
        <f ca="1"/>
      </c>
      <c r="AI1312">
        <f ca="1"/>
      </c>
      <c r="AJ1312">
        <f ca="1"/>
      </c>
      <c r="AK1312">
        <f ca="1"/>
      </c>
      <c r="AL1312">
        <f ca="1"/>
      </c>
      <c r="AM1312">
        <f ca="1"/>
      </c>
      <c r="AN1312">
        <f ca="1"/>
      </c>
      <c r="AO1312">
        <f ca="1"/>
      </c>
      <c r="AP1312">
        <f ca="1"/>
      </c>
      <c r="AQ1312">
        <f ca="1"/>
      </c>
      <c r="AR1312">
        <f ca="1"/>
      </c>
      <c r="AT1312" s="7">
        <f ca="1"/>
      </c>
      <c r="AU1312">
        <f ca="1"/>
      </c>
      <c r="AV1312">
        <f ca="1"/>
      </c>
      <c r="AW1312">
        <f ca="1"/>
      </c>
      <c r="AX1312">
        <f ca="1"/>
      </c>
      <c r="AY1312">
        <f ca="1"/>
      </c>
      <c r="BA1312" s="7"/>
    </row>
    <row r="1313" spans="31:53" x14ac:dyDescent="0.55000000000000004">
      <c r="AE1313" s="7">
        <f ca="1"/>
      </c>
      <c r="AF1313">
        <f ca="1"/>
      </c>
      <c r="AG1313">
        <f ca="1"/>
      </c>
      <c r="AH1313">
        <f ca="1"/>
      </c>
      <c r="AI1313">
        <f ca="1"/>
      </c>
      <c r="AJ1313">
        <f ca="1"/>
      </c>
      <c r="AK1313">
        <f ca="1"/>
      </c>
      <c r="AL1313">
        <f ca="1"/>
      </c>
      <c r="AM1313">
        <f ca="1"/>
      </c>
      <c r="AN1313">
        <f ca="1"/>
      </c>
      <c r="AO1313">
        <f ca="1"/>
      </c>
      <c r="AP1313">
        <f ca="1"/>
      </c>
      <c r="AQ1313">
        <f ca="1"/>
      </c>
      <c r="AR1313">
        <f ca="1"/>
      </c>
      <c r="AT1313" s="7">
        <f ca="1"/>
      </c>
      <c r="AU1313">
        <f ca="1"/>
      </c>
      <c r="AV1313">
        <f ca="1"/>
      </c>
      <c r="AW1313">
        <f ca="1"/>
      </c>
      <c r="AX1313">
        <f ca="1"/>
      </c>
      <c r="AY1313">
        <f ca="1"/>
      </c>
      <c r="BA1313" s="7"/>
    </row>
    <row r="1314" spans="31:53" x14ac:dyDescent="0.55000000000000004">
      <c r="AE1314" s="7">
        <f ca="1"/>
      </c>
      <c r="AF1314">
        <f ca="1"/>
      </c>
      <c r="AG1314">
        <f ca="1"/>
      </c>
      <c r="AH1314">
        <f ca="1"/>
      </c>
      <c r="AI1314">
        <f ca="1"/>
      </c>
      <c r="AJ1314">
        <f ca="1"/>
      </c>
      <c r="AK1314">
        <f ca="1"/>
      </c>
      <c r="AL1314">
        <f ca="1"/>
      </c>
      <c r="AM1314">
        <f ca="1"/>
      </c>
      <c r="AN1314">
        <f ca="1"/>
      </c>
      <c r="AO1314">
        <f ca="1"/>
      </c>
      <c r="AP1314">
        <f ca="1"/>
      </c>
      <c r="AQ1314">
        <f ca="1"/>
      </c>
      <c r="AR1314">
        <f ca="1"/>
      </c>
      <c r="AT1314" s="7">
        <f ca="1"/>
      </c>
      <c r="AU1314">
        <f ca="1"/>
      </c>
      <c r="AV1314">
        <f ca="1"/>
      </c>
      <c r="AW1314">
        <f ca="1"/>
      </c>
      <c r="AX1314">
        <f ca="1"/>
      </c>
      <c r="AY1314">
        <f ca="1"/>
      </c>
      <c r="BA1314" s="7"/>
    </row>
    <row r="1315" spans="31:53" x14ac:dyDescent="0.55000000000000004">
      <c r="AE1315" s="7">
        <f ca="1"/>
      </c>
      <c r="AF1315">
        <f ca="1"/>
      </c>
      <c r="AG1315">
        <f ca="1"/>
      </c>
      <c r="AH1315">
        <f ca="1"/>
      </c>
      <c r="AI1315">
        <f ca="1"/>
      </c>
      <c r="AJ1315">
        <f ca="1"/>
      </c>
      <c r="AK1315">
        <f ca="1"/>
      </c>
      <c r="AL1315">
        <f ca="1"/>
      </c>
      <c r="AM1315">
        <f ca="1"/>
      </c>
      <c r="AN1315">
        <f ca="1"/>
      </c>
      <c r="AO1315">
        <f ca="1"/>
      </c>
      <c r="AP1315">
        <f ca="1"/>
      </c>
      <c r="AQ1315">
        <f ca="1"/>
      </c>
      <c r="AR1315">
        <f ca="1"/>
      </c>
      <c r="AT1315" s="7">
        <f ca="1"/>
      </c>
      <c r="AU1315">
        <f ca="1"/>
      </c>
      <c r="AV1315">
        <f ca="1"/>
      </c>
      <c r="AW1315">
        <f ca="1"/>
      </c>
      <c r="AX1315">
        <f ca="1"/>
      </c>
      <c r="AY1315">
        <f ca="1"/>
      </c>
      <c r="BA1315" s="7"/>
    </row>
    <row r="1316" spans="31:53" x14ac:dyDescent="0.55000000000000004">
      <c r="AE1316" s="7">
        <f ca="1"/>
      </c>
      <c r="AF1316">
        <f ca="1"/>
      </c>
      <c r="AG1316">
        <f ca="1"/>
      </c>
      <c r="AH1316">
        <f ca="1"/>
      </c>
      <c r="AI1316">
        <f ca="1"/>
      </c>
      <c r="AJ1316">
        <f ca="1"/>
      </c>
      <c r="AK1316">
        <f ca="1"/>
      </c>
      <c r="AL1316">
        <f ca="1"/>
      </c>
      <c r="AM1316">
        <f ca="1"/>
      </c>
      <c r="AN1316">
        <f ca="1"/>
      </c>
      <c r="AO1316">
        <f ca="1"/>
      </c>
      <c r="AP1316">
        <f ca="1"/>
      </c>
      <c r="AQ1316">
        <f ca="1"/>
      </c>
      <c r="AR1316">
        <f ca="1"/>
      </c>
      <c r="AT1316" s="7">
        <f ca="1"/>
      </c>
      <c r="AU1316">
        <f ca="1"/>
      </c>
      <c r="AV1316">
        <f ca="1"/>
      </c>
      <c r="AW1316">
        <f ca="1"/>
      </c>
      <c r="AX1316">
        <f ca="1"/>
      </c>
      <c r="AY1316">
        <f ca="1"/>
      </c>
      <c r="BA1316" s="7"/>
    </row>
    <row r="1317" spans="31:53" x14ac:dyDescent="0.55000000000000004">
      <c r="AE1317" s="7">
        <f ca="1"/>
      </c>
      <c r="AF1317">
        <f ca="1"/>
      </c>
      <c r="AG1317">
        <f ca="1"/>
      </c>
      <c r="AH1317">
        <f ca="1"/>
      </c>
      <c r="AI1317">
        <f ca="1"/>
      </c>
      <c r="AJ1317">
        <f ca="1"/>
      </c>
      <c r="AK1317">
        <f ca="1"/>
      </c>
      <c r="AL1317">
        <f ca="1"/>
      </c>
      <c r="AM1317">
        <f ca="1"/>
      </c>
      <c r="AN1317">
        <f ca="1"/>
      </c>
      <c r="AO1317">
        <f ca="1"/>
      </c>
      <c r="AP1317">
        <f ca="1"/>
      </c>
      <c r="AQ1317">
        <f ca="1"/>
      </c>
      <c r="AR1317">
        <f ca="1"/>
      </c>
      <c r="AT1317" s="7">
        <f ca="1"/>
      </c>
      <c r="AU1317">
        <f ca="1"/>
      </c>
      <c r="AV1317">
        <f ca="1"/>
      </c>
      <c r="AW1317">
        <f ca="1"/>
      </c>
      <c r="AX1317">
        <f ca="1"/>
      </c>
      <c r="AY1317">
        <f ca="1"/>
      </c>
      <c r="BA1317" s="7"/>
    </row>
    <row r="1318" spans="31:53" x14ac:dyDescent="0.55000000000000004">
      <c r="AE1318" s="7">
        <f ca="1"/>
      </c>
      <c r="AF1318">
        <f ca="1"/>
      </c>
      <c r="AG1318">
        <f ca="1"/>
      </c>
      <c r="AH1318">
        <f ca="1"/>
      </c>
      <c r="AI1318">
        <f ca="1"/>
      </c>
      <c r="AJ1318">
        <f ca="1"/>
      </c>
      <c r="AK1318">
        <f ca="1"/>
      </c>
      <c r="AL1318">
        <f ca="1"/>
      </c>
      <c r="AM1318">
        <f ca="1"/>
      </c>
      <c r="AN1318">
        <f ca="1"/>
      </c>
      <c r="AO1318">
        <f ca="1"/>
      </c>
      <c r="AP1318">
        <f ca="1"/>
      </c>
      <c r="AQ1318">
        <f ca="1"/>
      </c>
      <c r="AR1318">
        <f ca="1"/>
      </c>
      <c r="AT1318" s="7">
        <f ca="1"/>
      </c>
      <c r="AU1318">
        <f ca="1"/>
      </c>
      <c r="AV1318">
        <f ca="1"/>
      </c>
      <c r="AW1318">
        <f ca="1"/>
      </c>
      <c r="AX1318">
        <f ca="1"/>
      </c>
      <c r="AY1318">
        <f ca="1"/>
      </c>
      <c r="BA1318" s="7"/>
    </row>
    <row r="1319" spans="31:53" x14ac:dyDescent="0.55000000000000004">
      <c r="AE1319" s="7">
        <f ca="1"/>
      </c>
      <c r="AF1319">
        <f ca="1"/>
      </c>
      <c r="AG1319">
        <f ca="1"/>
      </c>
      <c r="AH1319">
        <f ca="1"/>
      </c>
      <c r="AI1319">
        <f ca="1"/>
      </c>
      <c r="AJ1319">
        <f ca="1"/>
      </c>
      <c r="AK1319">
        <f ca="1"/>
      </c>
      <c r="AL1319">
        <f ca="1"/>
      </c>
      <c r="AM1319">
        <f ca="1"/>
      </c>
      <c r="AN1319">
        <f ca="1"/>
      </c>
      <c r="AO1319">
        <f ca="1"/>
      </c>
      <c r="AP1319">
        <f ca="1"/>
      </c>
      <c r="AQ1319">
        <f ca="1"/>
      </c>
      <c r="AR1319">
        <f ca="1"/>
      </c>
      <c r="AT1319" s="7">
        <f ca="1"/>
      </c>
      <c r="AU1319">
        <f ca="1"/>
      </c>
      <c r="AV1319">
        <f ca="1"/>
      </c>
      <c r="AW1319">
        <f ca="1"/>
      </c>
      <c r="AX1319">
        <f ca="1"/>
      </c>
      <c r="AY1319">
        <f ca="1"/>
      </c>
      <c r="BA1319" s="7"/>
    </row>
    <row r="1320" spans="31:53" x14ac:dyDescent="0.55000000000000004">
      <c r="AE1320" s="7">
        <f ca="1"/>
      </c>
      <c r="AF1320">
        <f ca="1"/>
      </c>
      <c r="AG1320">
        <f ca="1"/>
      </c>
      <c r="AH1320">
        <f ca="1"/>
      </c>
      <c r="AI1320">
        <f ca="1"/>
      </c>
      <c r="AJ1320">
        <f ca="1"/>
      </c>
      <c r="AK1320">
        <f ca="1"/>
      </c>
      <c r="AL1320">
        <f ca="1"/>
      </c>
      <c r="AM1320">
        <f ca="1"/>
      </c>
      <c r="AN1320">
        <f ca="1"/>
      </c>
      <c r="AO1320">
        <f ca="1"/>
      </c>
      <c r="AP1320">
        <f ca="1"/>
      </c>
      <c r="AQ1320">
        <f ca="1"/>
      </c>
      <c r="AR1320">
        <f ca="1"/>
      </c>
      <c r="AT1320" s="7">
        <f ca="1"/>
      </c>
      <c r="AU1320">
        <f ca="1"/>
      </c>
      <c r="AV1320">
        <f ca="1"/>
      </c>
      <c r="AW1320">
        <f ca="1"/>
      </c>
      <c r="AX1320">
        <f ca="1"/>
      </c>
      <c r="AY1320">
        <f ca="1"/>
      </c>
      <c r="BA1320" s="7"/>
    </row>
    <row r="1321" spans="31:53" x14ac:dyDescent="0.55000000000000004">
      <c r="AE1321" s="7">
        <f ca="1"/>
      </c>
      <c r="AF1321">
        <f ca="1"/>
      </c>
      <c r="AG1321">
        <f ca="1"/>
      </c>
      <c r="AH1321">
        <f ca="1"/>
      </c>
      <c r="AI1321">
        <f ca="1"/>
      </c>
      <c r="AJ1321">
        <f ca="1"/>
      </c>
      <c r="AK1321">
        <f ca="1"/>
      </c>
      <c r="AL1321">
        <f ca="1"/>
      </c>
      <c r="AM1321">
        <f ca="1"/>
      </c>
      <c r="AN1321">
        <f ca="1"/>
      </c>
      <c r="AO1321">
        <f ca="1"/>
      </c>
      <c r="AP1321">
        <f ca="1"/>
      </c>
      <c r="AQ1321">
        <f ca="1"/>
      </c>
      <c r="AR1321">
        <f ca="1"/>
      </c>
      <c r="AT1321" s="7">
        <f ca="1"/>
      </c>
      <c r="AU1321">
        <f ca="1"/>
      </c>
      <c r="AV1321">
        <f ca="1"/>
      </c>
      <c r="AW1321">
        <f ca="1"/>
      </c>
      <c r="AX1321">
        <f ca="1"/>
      </c>
      <c r="AY1321">
        <f ca="1"/>
      </c>
      <c r="BA1321" s="7"/>
    </row>
    <row r="1322" spans="31:53" x14ac:dyDescent="0.55000000000000004">
      <c r="AE1322" s="7">
        <f ca="1"/>
      </c>
      <c r="AF1322">
        <f ca="1"/>
      </c>
      <c r="AG1322">
        <f ca="1"/>
      </c>
      <c r="AH1322">
        <f ca="1"/>
      </c>
      <c r="AI1322">
        <f ca="1"/>
      </c>
      <c r="AJ1322">
        <f ca="1"/>
      </c>
      <c r="AK1322">
        <f ca="1"/>
      </c>
      <c r="AL1322">
        <f ca="1"/>
      </c>
      <c r="AM1322">
        <f ca="1"/>
      </c>
      <c r="AN1322">
        <f ca="1"/>
      </c>
      <c r="AO1322">
        <f ca="1"/>
      </c>
      <c r="AP1322">
        <f ca="1"/>
      </c>
      <c r="AQ1322">
        <f ca="1"/>
      </c>
      <c r="AR1322">
        <f ca="1"/>
      </c>
      <c r="AT1322" s="7">
        <f ca="1"/>
      </c>
      <c r="AU1322">
        <f ca="1"/>
      </c>
      <c r="AV1322">
        <f ca="1"/>
      </c>
      <c r="AW1322">
        <f ca="1"/>
      </c>
      <c r="AX1322">
        <f ca="1"/>
      </c>
      <c r="AY1322">
        <f ca="1"/>
      </c>
      <c r="BA1322" s="7"/>
    </row>
    <row r="1323" spans="31:53" x14ac:dyDescent="0.55000000000000004">
      <c r="AE1323" s="7">
        <f ca="1"/>
      </c>
      <c r="AF1323">
        <f ca="1"/>
      </c>
      <c r="AG1323">
        <f ca="1"/>
      </c>
      <c r="AH1323">
        <f ca="1"/>
      </c>
      <c r="AI1323">
        <f ca="1"/>
      </c>
      <c r="AJ1323">
        <f ca="1"/>
      </c>
      <c r="AK1323">
        <f ca="1"/>
      </c>
      <c r="AL1323">
        <f ca="1"/>
      </c>
      <c r="AM1323">
        <f ca="1"/>
      </c>
      <c r="AN1323">
        <f ca="1"/>
      </c>
      <c r="AO1323">
        <f ca="1"/>
      </c>
      <c r="AP1323">
        <f ca="1"/>
      </c>
      <c r="AQ1323">
        <f ca="1"/>
      </c>
      <c r="AR1323">
        <f ca="1"/>
      </c>
      <c r="AT1323" s="7">
        <f ca="1"/>
      </c>
      <c r="AU1323">
        <f ca="1"/>
      </c>
      <c r="AV1323">
        <f ca="1"/>
      </c>
      <c r="AW1323">
        <f ca="1"/>
      </c>
      <c r="AX1323">
        <f ca="1"/>
      </c>
      <c r="AY1323">
        <f ca="1"/>
      </c>
      <c r="BA1323" s="7"/>
    </row>
    <row r="1324" spans="31:53" x14ac:dyDescent="0.55000000000000004">
      <c r="AE1324" s="7">
        <f ca="1"/>
      </c>
      <c r="AF1324">
        <f ca="1"/>
      </c>
      <c r="AG1324">
        <f ca="1"/>
      </c>
      <c r="AH1324">
        <f ca="1"/>
      </c>
      <c r="AI1324">
        <f ca="1"/>
      </c>
      <c r="AJ1324">
        <f ca="1"/>
      </c>
      <c r="AK1324">
        <f ca="1"/>
      </c>
      <c r="AL1324">
        <f ca="1"/>
      </c>
      <c r="AM1324">
        <f ca="1"/>
      </c>
      <c r="AN1324">
        <f ca="1"/>
      </c>
      <c r="AO1324">
        <f ca="1"/>
      </c>
      <c r="AP1324">
        <f ca="1"/>
      </c>
      <c r="AQ1324">
        <f ca="1"/>
      </c>
      <c r="AR1324">
        <f ca="1"/>
      </c>
      <c r="AT1324" s="7">
        <f ca="1"/>
      </c>
      <c r="AU1324">
        <f ca="1"/>
      </c>
      <c r="AV1324">
        <f ca="1"/>
      </c>
      <c r="AW1324">
        <f ca="1"/>
      </c>
      <c r="AX1324">
        <f ca="1"/>
      </c>
      <c r="AY1324">
        <f ca="1"/>
      </c>
      <c r="BA1324" s="7"/>
    </row>
    <row r="1325" spans="31:53" x14ac:dyDescent="0.55000000000000004">
      <c r="AE1325" s="7">
        <f ca="1"/>
      </c>
      <c r="AF1325">
        <f ca="1"/>
      </c>
      <c r="AG1325">
        <f ca="1"/>
      </c>
      <c r="AH1325">
        <f ca="1"/>
      </c>
      <c r="AI1325">
        <f ca="1"/>
      </c>
      <c r="AJ1325">
        <f ca="1"/>
      </c>
      <c r="AK1325">
        <f ca="1"/>
      </c>
      <c r="AL1325">
        <f ca="1"/>
      </c>
      <c r="AM1325">
        <f ca="1"/>
      </c>
      <c r="AN1325">
        <f ca="1"/>
      </c>
      <c r="AO1325">
        <f ca="1"/>
      </c>
      <c r="AP1325">
        <f ca="1"/>
      </c>
      <c r="AQ1325">
        <f ca="1"/>
      </c>
      <c r="AR1325">
        <f ca="1"/>
      </c>
      <c r="AT1325" s="7">
        <f ca="1"/>
      </c>
      <c r="AU1325">
        <f ca="1"/>
      </c>
      <c r="AV1325">
        <f ca="1"/>
      </c>
      <c r="AW1325">
        <f ca="1"/>
      </c>
      <c r="AX1325">
        <f ca="1"/>
      </c>
      <c r="AY1325">
        <f ca="1"/>
      </c>
      <c r="BA1325" s="7"/>
    </row>
    <row r="1326" spans="31:53" x14ac:dyDescent="0.55000000000000004">
      <c r="AE1326" s="7">
        <f ca="1"/>
      </c>
      <c r="AF1326">
        <f ca="1"/>
      </c>
      <c r="AG1326">
        <f ca="1"/>
      </c>
      <c r="AH1326">
        <f ca="1"/>
      </c>
      <c r="AI1326">
        <f ca="1"/>
      </c>
      <c r="AJ1326">
        <f ca="1"/>
      </c>
      <c r="AK1326">
        <f ca="1"/>
      </c>
      <c r="AL1326">
        <f ca="1"/>
      </c>
      <c r="AM1326">
        <f ca="1"/>
      </c>
      <c r="AN1326">
        <f ca="1"/>
      </c>
      <c r="AO1326">
        <f ca="1"/>
      </c>
      <c r="AP1326">
        <f ca="1"/>
      </c>
      <c r="AQ1326">
        <f ca="1"/>
      </c>
      <c r="AR1326">
        <f ca="1"/>
      </c>
      <c r="AT1326" s="7">
        <f ca="1"/>
      </c>
      <c r="AU1326">
        <f ca="1"/>
      </c>
      <c r="AV1326">
        <f ca="1"/>
      </c>
      <c r="AW1326">
        <f ca="1"/>
      </c>
      <c r="AX1326">
        <f ca="1"/>
      </c>
      <c r="AY1326">
        <f ca="1"/>
      </c>
      <c r="BA1326" s="7"/>
    </row>
    <row r="1327" spans="31:53" x14ac:dyDescent="0.55000000000000004">
      <c r="AE1327" s="7">
        <f ca="1"/>
      </c>
      <c r="AF1327">
        <f ca="1"/>
      </c>
      <c r="AG1327">
        <f ca="1"/>
      </c>
      <c r="AH1327">
        <f ca="1"/>
      </c>
      <c r="AI1327">
        <f ca="1"/>
      </c>
      <c r="AJ1327">
        <f ca="1"/>
      </c>
      <c r="AK1327">
        <f ca="1"/>
      </c>
      <c r="AL1327">
        <f ca="1"/>
      </c>
      <c r="AM1327">
        <f ca="1"/>
      </c>
      <c r="AN1327">
        <f ca="1"/>
      </c>
      <c r="AO1327">
        <f ca="1"/>
      </c>
      <c r="AP1327">
        <f ca="1"/>
      </c>
      <c r="AQ1327">
        <f ca="1"/>
      </c>
      <c r="AR1327">
        <f ca="1"/>
      </c>
      <c r="AT1327" s="7">
        <f ca="1"/>
      </c>
      <c r="AU1327">
        <f ca="1"/>
      </c>
      <c r="AV1327">
        <f ca="1"/>
      </c>
      <c r="AW1327">
        <f ca="1"/>
      </c>
      <c r="AX1327">
        <f ca="1"/>
      </c>
      <c r="AY1327">
        <f ca="1"/>
      </c>
      <c r="BA1327" s="7"/>
    </row>
    <row r="1328" spans="31:53" x14ac:dyDescent="0.55000000000000004">
      <c r="AE1328" s="7">
        <f ca="1"/>
      </c>
      <c r="AF1328">
        <f ca="1"/>
      </c>
      <c r="AG1328">
        <f ca="1"/>
      </c>
      <c r="AH1328">
        <f ca="1"/>
      </c>
      <c r="AI1328">
        <f ca="1"/>
      </c>
      <c r="AJ1328">
        <f ca="1"/>
      </c>
      <c r="AK1328">
        <f ca="1"/>
      </c>
      <c r="AL1328">
        <f ca="1"/>
      </c>
      <c r="AM1328">
        <f ca="1"/>
      </c>
      <c r="AN1328">
        <f ca="1"/>
      </c>
      <c r="AO1328">
        <f ca="1"/>
      </c>
      <c r="AP1328">
        <f ca="1"/>
      </c>
      <c r="AQ1328">
        <f ca="1"/>
      </c>
      <c r="AR1328">
        <f ca="1"/>
      </c>
      <c r="AT1328" s="7">
        <f ca="1"/>
      </c>
      <c r="AU1328">
        <f ca="1"/>
      </c>
      <c r="AV1328">
        <f ca="1"/>
      </c>
      <c r="AW1328">
        <f ca="1"/>
      </c>
      <c r="AX1328">
        <f ca="1"/>
      </c>
      <c r="AY1328">
        <f ca="1"/>
      </c>
      <c r="BA1328" s="7"/>
    </row>
    <row r="1329" spans="31:53" x14ac:dyDescent="0.55000000000000004">
      <c r="AE1329" s="7">
        <f ca="1"/>
      </c>
      <c r="AF1329">
        <f ca="1"/>
      </c>
      <c r="AG1329">
        <f ca="1"/>
      </c>
      <c r="AH1329">
        <f ca="1"/>
      </c>
      <c r="AI1329">
        <f ca="1"/>
      </c>
      <c r="AJ1329">
        <f ca="1"/>
      </c>
      <c r="AK1329">
        <f ca="1"/>
      </c>
      <c r="AL1329">
        <f ca="1"/>
      </c>
      <c r="AM1329">
        <f ca="1"/>
      </c>
      <c r="AN1329">
        <f ca="1"/>
      </c>
      <c r="AO1329">
        <f ca="1"/>
      </c>
      <c r="AP1329">
        <f ca="1"/>
      </c>
      <c r="AQ1329">
        <f ca="1"/>
      </c>
      <c r="AR1329">
        <f ca="1"/>
      </c>
      <c r="AT1329" s="7">
        <f ca="1"/>
      </c>
      <c r="AU1329">
        <f ca="1"/>
      </c>
      <c r="AV1329">
        <f ca="1"/>
      </c>
      <c r="AW1329">
        <f ca="1"/>
      </c>
      <c r="AX1329">
        <f ca="1"/>
      </c>
      <c r="AY1329">
        <f ca="1"/>
      </c>
      <c r="BA1329" s="7"/>
    </row>
    <row r="1330" spans="31:53" x14ac:dyDescent="0.55000000000000004">
      <c r="AE1330" s="7">
        <f ca="1"/>
      </c>
      <c r="AF1330">
        <f ca="1"/>
      </c>
      <c r="AG1330">
        <f ca="1"/>
      </c>
      <c r="AH1330">
        <f ca="1"/>
      </c>
      <c r="AI1330">
        <f ca="1"/>
      </c>
      <c r="AJ1330">
        <f ca="1"/>
      </c>
      <c r="AK1330">
        <f ca="1"/>
      </c>
      <c r="AL1330">
        <f ca="1"/>
      </c>
      <c r="AM1330">
        <f ca="1"/>
      </c>
      <c r="AN1330">
        <f ca="1"/>
      </c>
      <c r="AO1330">
        <f ca="1"/>
      </c>
      <c r="AP1330">
        <f ca="1"/>
      </c>
      <c r="AQ1330">
        <f ca="1"/>
      </c>
      <c r="AR1330">
        <f ca="1"/>
      </c>
      <c r="AT1330" s="7">
        <f ca="1"/>
      </c>
      <c r="AU1330">
        <f ca="1"/>
      </c>
      <c r="AV1330">
        <f ca="1"/>
      </c>
      <c r="AW1330">
        <f ca="1"/>
      </c>
      <c r="AX1330">
        <f ca="1"/>
      </c>
      <c r="AY1330">
        <f ca="1"/>
      </c>
      <c r="BA1330" s="7"/>
    </row>
    <row r="1331" spans="31:53" x14ac:dyDescent="0.55000000000000004">
      <c r="AE1331" s="7">
        <f ca="1"/>
      </c>
      <c r="AF1331">
        <f ca="1"/>
      </c>
      <c r="AG1331">
        <f ca="1"/>
      </c>
      <c r="AH1331">
        <f ca="1"/>
      </c>
      <c r="AI1331">
        <f ca="1"/>
      </c>
      <c r="AJ1331">
        <f ca="1"/>
      </c>
      <c r="AK1331">
        <f ca="1"/>
      </c>
      <c r="AL1331">
        <f ca="1"/>
      </c>
      <c r="AM1331">
        <f ca="1"/>
      </c>
      <c r="AN1331">
        <f ca="1"/>
      </c>
      <c r="AO1331">
        <f ca="1"/>
      </c>
      <c r="AP1331">
        <f ca="1"/>
      </c>
      <c r="AQ1331">
        <f ca="1"/>
      </c>
      <c r="AR1331">
        <f ca="1"/>
      </c>
      <c r="AT1331" s="7">
        <f ca="1"/>
      </c>
      <c r="AU1331">
        <f ca="1"/>
      </c>
      <c r="AV1331">
        <f ca="1"/>
      </c>
      <c r="AW1331">
        <f ca="1"/>
      </c>
      <c r="AX1331">
        <f ca="1"/>
      </c>
      <c r="AY1331">
        <f ca="1"/>
      </c>
      <c r="BA1331" s="7"/>
    </row>
    <row r="1332" spans="31:53" x14ac:dyDescent="0.55000000000000004">
      <c r="AE1332" s="7">
        <f ca="1"/>
      </c>
      <c r="AF1332">
        <f ca="1"/>
      </c>
      <c r="AG1332">
        <f ca="1"/>
      </c>
      <c r="AH1332">
        <f ca="1"/>
      </c>
      <c r="AI1332">
        <f ca="1"/>
      </c>
      <c r="AJ1332">
        <f ca="1"/>
      </c>
      <c r="AK1332">
        <f ca="1"/>
      </c>
      <c r="AL1332">
        <f ca="1"/>
      </c>
      <c r="AM1332">
        <f ca="1"/>
      </c>
      <c r="AN1332">
        <f ca="1"/>
      </c>
      <c r="AO1332">
        <f ca="1"/>
      </c>
      <c r="AP1332">
        <f ca="1"/>
      </c>
      <c r="AQ1332">
        <f ca="1"/>
      </c>
      <c r="AR1332">
        <f ca="1"/>
      </c>
      <c r="AT1332" s="7">
        <f ca="1"/>
      </c>
      <c r="AU1332">
        <f ca="1"/>
      </c>
      <c r="AV1332">
        <f ca="1"/>
      </c>
      <c r="AW1332">
        <f ca="1"/>
      </c>
      <c r="AX1332">
        <f ca="1"/>
      </c>
      <c r="AY1332">
        <f ca="1"/>
      </c>
      <c r="BA1332" s="7"/>
    </row>
    <row r="1333" spans="31:53" x14ac:dyDescent="0.55000000000000004">
      <c r="AE1333" s="7">
        <f ca="1"/>
      </c>
      <c r="AF1333">
        <f ca="1"/>
      </c>
      <c r="AG1333">
        <f ca="1"/>
      </c>
      <c r="AH1333">
        <f ca="1"/>
      </c>
      <c r="AI1333">
        <f ca="1"/>
      </c>
      <c r="AJ1333">
        <f ca="1"/>
      </c>
      <c r="AK1333">
        <f ca="1"/>
      </c>
      <c r="AL1333">
        <f ca="1"/>
      </c>
      <c r="AM1333">
        <f ca="1"/>
      </c>
      <c r="AN1333">
        <f ca="1"/>
      </c>
      <c r="AO1333">
        <f ca="1"/>
      </c>
      <c r="AP1333">
        <f ca="1"/>
      </c>
      <c r="AQ1333">
        <f ca="1"/>
      </c>
      <c r="AR1333">
        <f ca="1"/>
      </c>
      <c r="AT1333" s="7">
        <f ca="1"/>
      </c>
      <c r="AU1333">
        <f ca="1"/>
      </c>
      <c r="AV1333">
        <f ca="1"/>
      </c>
      <c r="AW1333">
        <f ca="1"/>
      </c>
      <c r="AX1333">
        <f ca="1"/>
      </c>
      <c r="AY1333">
        <f ca="1"/>
      </c>
      <c r="BA1333" s="7"/>
    </row>
    <row r="1334" spans="31:53" x14ac:dyDescent="0.55000000000000004">
      <c r="AE1334" s="7">
        <f ca="1"/>
      </c>
      <c r="AF1334">
        <f ca="1"/>
      </c>
      <c r="AG1334">
        <f ca="1"/>
      </c>
      <c r="AH1334">
        <f ca="1"/>
      </c>
      <c r="AI1334">
        <f ca="1"/>
      </c>
      <c r="AJ1334">
        <f ca="1"/>
      </c>
      <c r="AK1334">
        <f ca="1"/>
      </c>
      <c r="AL1334">
        <f ca="1"/>
      </c>
      <c r="AM1334">
        <f ca="1"/>
      </c>
      <c r="AN1334">
        <f ca="1"/>
      </c>
      <c r="AO1334">
        <f ca="1"/>
      </c>
      <c r="AP1334">
        <f ca="1"/>
      </c>
      <c r="AQ1334">
        <f ca="1"/>
      </c>
      <c r="AR1334">
        <f ca="1"/>
      </c>
      <c r="AT1334" s="7">
        <f ca="1"/>
      </c>
      <c r="AU1334">
        <f ca="1"/>
      </c>
      <c r="AV1334">
        <f ca="1"/>
      </c>
      <c r="AW1334">
        <f ca="1"/>
      </c>
      <c r="AX1334">
        <f ca="1"/>
      </c>
      <c r="AY1334">
        <f ca="1"/>
      </c>
      <c r="BA1334" s="7"/>
    </row>
    <row r="1335" spans="31:53" x14ac:dyDescent="0.55000000000000004">
      <c r="AE1335" s="7">
        <f ca="1"/>
      </c>
      <c r="AF1335">
        <f ca="1"/>
      </c>
      <c r="AG1335">
        <f ca="1"/>
      </c>
      <c r="AH1335">
        <f ca="1"/>
      </c>
      <c r="AI1335">
        <f ca="1"/>
      </c>
      <c r="AJ1335">
        <f ca="1"/>
      </c>
      <c r="AK1335">
        <f ca="1"/>
      </c>
      <c r="AL1335">
        <f ca="1"/>
      </c>
      <c r="AM1335">
        <f ca="1"/>
      </c>
      <c r="AN1335">
        <f ca="1"/>
      </c>
      <c r="AO1335">
        <f ca="1"/>
      </c>
      <c r="AP1335">
        <f ca="1"/>
      </c>
      <c r="AQ1335">
        <f ca="1"/>
      </c>
      <c r="AR1335">
        <f ca="1"/>
      </c>
      <c r="AT1335" s="7">
        <f ca="1"/>
      </c>
      <c r="AU1335">
        <f ca="1"/>
      </c>
      <c r="AV1335">
        <f ca="1"/>
      </c>
      <c r="AW1335">
        <f ca="1"/>
      </c>
      <c r="AX1335">
        <f ca="1"/>
      </c>
      <c r="AY1335">
        <f ca="1"/>
      </c>
      <c r="BA1335" s="7"/>
    </row>
    <row r="1336" spans="31:53" x14ac:dyDescent="0.55000000000000004">
      <c r="AE1336" s="7">
        <f ca="1"/>
      </c>
      <c r="AF1336">
        <f ca="1"/>
      </c>
      <c r="AG1336">
        <f ca="1"/>
      </c>
      <c r="AH1336">
        <f ca="1"/>
      </c>
      <c r="AI1336">
        <f ca="1"/>
      </c>
      <c r="AJ1336">
        <f ca="1"/>
      </c>
      <c r="AK1336">
        <f ca="1"/>
      </c>
      <c r="AL1336">
        <f ca="1"/>
      </c>
      <c r="AM1336">
        <f ca="1"/>
      </c>
      <c r="AN1336">
        <f ca="1"/>
      </c>
      <c r="AO1336">
        <f ca="1"/>
      </c>
      <c r="AP1336">
        <f ca="1"/>
      </c>
      <c r="AQ1336">
        <f ca="1"/>
      </c>
      <c r="AR1336">
        <f ca="1"/>
      </c>
      <c r="AT1336" s="7">
        <f ca="1"/>
      </c>
      <c r="AU1336">
        <f ca="1"/>
      </c>
      <c r="AV1336">
        <f ca="1"/>
      </c>
      <c r="AW1336">
        <f ca="1"/>
      </c>
      <c r="AX1336">
        <f ca="1"/>
      </c>
      <c r="AY1336">
        <f ca="1"/>
      </c>
      <c r="BA1336" s="7"/>
    </row>
    <row r="1337" spans="31:53" x14ac:dyDescent="0.55000000000000004">
      <c r="AE1337" s="7">
        <f ca="1"/>
      </c>
      <c r="AF1337">
        <f ca="1"/>
      </c>
      <c r="AG1337">
        <f ca="1"/>
      </c>
      <c r="AH1337">
        <f ca="1"/>
      </c>
      <c r="AI1337">
        <f ca="1"/>
      </c>
      <c r="AJ1337">
        <f ca="1"/>
      </c>
      <c r="AK1337">
        <f ca="1"/>
      </c>
      <c r="AL1337">
        <f ca="1"/>
      </c>
      <c r="AM1337">
        <f ca="1"/>
      </c>
      <c r="AN1337">
        <f ca="1"/>
      </c>
      <c r="AO1337">
        <f ca="1"/>
      </c>
      <c r="AP1337">
        <f ca="1"/>
      </c>
      <c r="AQ1337">
        <f ca="1"/>
      </c>
      <c r="AR1337">
        <f ca="1"/>
      </c>
      <c r="AT1337" s="7">
        <f ca="1"/>
      </c>
      <c r="AU1337">
        <f ca="1"/>
      </c>
      <c r="AV1337">
        <f ca="1"/>
      </c>
      <c r="AW1337">
        <f ca="1"/>
      </c>
      <c r="AX1337">
        <f ca="1"/>
      </c>
      <c r="AY1337">
        <f ca="1"/>
      </c>
      <c r="BA1337" s="7"/>
    </row>
    <row r="1338" spans="31:53" x14ac:dyDescent="0.55000000000000004">
      <c r="AE1338" s="7">
        <f ca="1"/>
      </c>
      <c r="AF1338">
        <f ca="1"/>
      </c>
      <c r="AG1338">
        <f ca="1"/>
      </c>
      <c r="AH1338">
        <f ca="1"/>
      </c>
      <c r="AI1338">
        <f ca="1"/>
      </c>
      <c r="AJ1338">
        <f ca="1"/>
      </c>
      <c r="AK1338">
        <f ca="1"/>
      </c>
      <c r="AL1338">
        <f ca="1"/>
      </c>
      <c r="AM1338">
        <f ca="1"/>
      </c>
      <c r="AN1338">
        <f ca="1"/>
      </c>
      <c r="AO1338">
        <f ca="1"/>
      </c>
      <c r="AP1338">
        <f ca="1"/>
      </c>
      <c r="AQ1338">
        <f ca="1"/>
      </c>
      <c r="AR1338">
        <f ca="1"/>
      </c>
      <c r="AT1338" s="7">
        <f ca="1"/>
      </c>
      <c r="AU1338">
        <f ca="1"/>
      </c>
      <c r="AV1338">
        <f ca="1"/>
      </c>
      <c r="AW1338">
        <f ca="1"/>
      </c>
      <c r="AX1338">
        <f ca="1"/>
      </c>
      <c r="AY1338">
        <f ca="1"/>
      </c>
      <c r="BA1338" s="7"/>
    </row>
    <row r="1339" spans="31:53" x14ac:dyDescent="0.55000000000000004">
      <c r="AE1339" s="7">
        <f ca="1"/>
      </c>
      <c r="AF1339">
        <f ca="1"/>
      </c>
      <c r="AG1339">
        <f ca="1"/>
      </c>
      <c r="AH1339">
        <f ca="1"/>
      </c>
      <c r="AI1339">
        <f ca="1"/>
      </c>
      <c r="AJ1339">
        <f ca="1"/>
      </c>
      <c r="AK1339">
        <f ca="1"/>
      </c>
      <c r="AL1339">
        <f ca="1"/>
      </c>
      <c r="AM1339">
        <f ca="1"/>
      </c>
      <c r="AN1339">
        <f ca="1"/>
      </c>
      <c r="AO1339">
        <f ca="1"/>
      </c>
      <c r="AP1339">
        <f ca="1"/>
      </c>
      <c r="AQ1339">
        <f ca="1"/>
      </c>
      <c r="AR1339">
        <f ca="1"/>
      </c>
      <c r="AT1339" s="7">
        <f ca="1"/>
      </c>
      <c r="AU1339">
        <f ca="1"/>
      </c>
      <c r="AV1339">
        <f ca="1"/>
      </c>
      <c r="AW1339">
        <f ca="1"/>
      </c>
      <c r="AX1339">
        <f ca="1"/>
      </c>
      <c r="AY1339">
        <f ca="1"/>
      </c>
      <c r="BA1339" s="7"/>
    </row>
    <row r="1340" spans="31:53" x14ac:dyDescent="0.55000000000000004">
      <c r="AE1340" s="7">
        <f ca="1"/>
      </c>
      <c r="AF1340">
        <f ca="1"/>
      </c>
      <c r="AG1340">
        <f ca="1"/>
      </c>
      <c r="AH1340">
        <f ca="1"/>
      </c>
      <c r="AI1340">
        <f ca="1"/>
      </c>
      <c r="AJ1340">
        <f ca="1"/>
      </c>
      <c r="AK1340">
        <f ca="1"/>
      </c>
      <c r="AL1340">
        <f ca="1"/>
      </c>
      <c r="AM1340">
        <f ca="1"/>
      </c>
      <c r="AN1340">
        <f ca="1"/>
      </c>
      <c r="AO1340">
        <f ca="1"/>
      </c>
      <c r="AP1340">
        <f ca="1"/>
      </c>
      <c r="AQ1340">
        <f ca="1"/>
      </c>
      <c r="AR1340">
        <f ca="1"/>
      </c>
      <c r="AT1340" s="7">
        <f ca="1"/>
      </c>
      <c r="AU1340">
        <f ca="1"/>
      </c>
      <c r="AV1340">
        <f ca="1"/>
      </c>
      <c r="AW1340">
        <f ca="1"/>
      </c>
      <c r="AX1340">
        <f ca="1"/>
      </c>
      <c r="AY1340">
        <f ca="1"/>
      </c>
      <c r="BA1340" s="7"/>
    </row>
    <row r="1341" spans="31:53" x14ac:dyDescent="0.55000000000000004">
      <c r="AE1341" s="7">
        <f ca="1"/>
      </c>
      <c r="AF1341">
        <f ca="1"/>
      </c>
      <c r="AG1341">
        <f ca="1"/>
      </c>
      <c r="AH1341">
        <f ca="1"/>
      </c>
      <c r="AI1341">
        <f ca="1"/>
      </c>
      <c r="AJ1341">
        <f ca="1"/>
      </c>
      <c r="AK1341">
        <f ca="1"/>
      </c>
      <c r="AL1341">
        <f ca="1"/>
      </c>
      <c r="AM1341">
        <f ca="1"/>
      </c>
      <c r="AN1341">
        <f ca="1"/>
      </c>
      <c r="AO1341">
        <f ca="1"/>
      </c>
      <c r="AP1341">
        <f ca="1"/>
      </c>
      <c r="AQ1341">
        <f ca="1"/>
      </c>
      <c r="AR1341">
        <f ca="1"/>
      </c>
      <c r="AT1341" s="7">
        <f ca="1"/>
      </c>
      <c r="AU1341">
        <f ca="1"/>
      </c>
      <c r="AV1341">
        <f ca="1"/>
      </c>
      <c r="AW1341">
        <f ca="1"/>
      </c>
      <c r="AX1341">
        <f ca="1"/>
      </c>
      <c r="AY1341">
        <f ca="1"/>
      </c>
      <c r="BA1341" s="7"/>
    </row>
    <row r="1342" spans="31:53" x14ac:dyDescent="0.55000000000000004">
      <c r="AE1342" s="7">
        <f ca="1"/>
      </c>
      <c r="AF1342">
        <f ca="1"/>
      </c>
      <c r="AG1342">
        <f ca="1"/>
      </c>
      <c r="AH1342">
        <f ca="1"/>
      </c>
      <c r="AI1342">
        <f ca="1"/>
      </c>
      <c r="AJ1342">
        <f ca="1"/>
      </c>
      <c r="AK1342">
        <f ca="1"/>
      </c>
      <c r="AL1342">
        <f ca="1"/>
      </c>
      <c r="AM1342">
        <f ca="1"/>
      </c>
      <c r="AN1342">
        <f ca="1"/>
      </c>
      <c r="AO1342">
        <f ca="1"/>
      </c>
      <c r="AP1342">
        <f ca="1"/>
      </c>
      <c r="AQ1342">
        <f ca="1"/>
      </c>
      <c r="AR1342">
        <f ca="1"/>
      </c>
      <c r="AT1342" s="7">
        <f ca="1"/>
      </c>
      <c r="AU1342">
        <f ca="1"/>
      </c>
      <c r="AV1342">
        <f ca="1"/>
      </c>
      <c r="AW1342">
        <f ca="1"/>
      </c>
      <c r="AX1342">
        <f ca="1"/>
      </c>
      <c r="AY1342">
        <f ca="1"/>
      </c>
      <c r="BA1342" s="7"/>
    </row>
    <row r="1343" spans="31:53" x14ac:dyDescent="0.55000000000000004">
      <c r="AE1343" s="7">
        <f ca="1"/>
      </c>
      <c r="AF1343">
        <f ca="1"/>
      </c>
      <c r="AG1343">
        <f ca="1"/>
      </c>
      <c r="AH1343">
        <f ca="1"/>
      </c>
      <c r="AI1343">
        <f ca="1"/>
      </c>
      <c r="AJ1343">
        <f ca="1"/>
      </c>
      <c r="AK1343">
        <f ca="1"/>
      </c>
      <c r="AL1343">
        <f ca="1"/>
      </c>
      <c r="AM1343">
        <f ca="1"/>
      </c>
      <c r="AN1343">
        <f ca="1"/>
      </c>
      <c r="AO1343">
        <f ca="1"/>
      </c>
      <c r="AP1343">
        <f ca="1"/>
      </c>
      <c r="AQ1343">
        <f ca="1"/>
      </c>
      <c r="AR1343">
        <f ca="1"/>
      </c>
      <c r="AT1343" s="7">
        <f ca="1"/>
      </c>
      <c r="AU1343">
        <f ca="1"/>
      </c>
      <c r="AV1343">
        <f ca="1"/>
      </c>
      <c r="AW1343">
        <f ca="1"/>
      </c>
      <c r="AX1343">
        <f ca="1"/>
      </c>
      <c r="AY1343">
        <f ca="1"/>
      </c>
      <c r="BA1343" s="7"/>
    </row>
    <row r="1344" spans="31:53" x14ac:dyDescent="0.55000000000000004">
      <c r="AE1344" s="7">
        <f ca="1"/>
      </c>
      <c r="AF1344">
        <f ca="1"/>
      </c>
      <c r="AG1344">
        <f ca="1"/>
      </c>
      <c r="AH1344">
        <f ca="1"/>
      </c>
      <c r="AI1344">
        <f ca="1"/>
      </c>
      <c r="AJ1344">
        <f ca="1"/>
      </c>
      <c r="AK1344">
        <f ca="1"/>
      </c>
      <c r="AL1344">
        <f ca="1"/>
      </c>
      <c r="AM1344">
        <f ca="1"/>
      </c>
      <c r="AN1344">
        <f ca="1"/>
      </c>
      <c r="AO1344">
        <f ca="1"/>
      </c>
      <c r="AP1344">
        <f ca="1"/>
      </c>
      <c r="AQ1344">
        <f ca="1"/>
      </c>
      <c r="AR1344">
        <f ca="1"/>
      </c>
      <c r="AT1344" s="7">
        <f ca="1"/>
      </c>
      <c r="AU1344">
        <f ca="1"/>
      </c>
      <c r="AV1344">
        <f ca="1"/>
      </c>
      <c r="AW1344">
        <f ca="1"/>
      </c>
      <c r="AX1344">
        <f ca="1"/>
      </c>
      <c r="AY1344">
        <f ca="1"/>
      </c>
      <c r="BA1344" s="7"/>
    </row>
    <row r="1345" spans="31:53" x14ac:dyDescent="0.55000000000000004">
      <c r="AE1345" s="7">
        <f ca="1"/>
      </c>
      <c r="AF1345">
        <f ca="1"/>
      </c>
      <c r="AG1345">
        <f ca="1"/>
      </c>
      <c r="AH1345">
        <f ca="1"/>
      </c>
      <c r="AI1345">
        <f ca="1"/>
      </c>
      <c r="AJ1345">
        <f ca="1"/>
      </c>
      <c r="AK1345">
        <f ca="1"/>
      </c>
      <c r="AL1345">
        <f ca="1"/>
      </c>
      <c r="AM1345">
        <f ca="1"/>
      </c>
      <c r="AN1345">
        <f ca="1"/>
      </c>
      <c r="AO1345">
        <f ca="1"/>
      </c>
      <c r="AP1345">
        <f ca="1"/>
      </c>
      <c r="AQ1345">
        <f ca="1"/>
      </c>
      <c r="AR1345">
        <f ca="1"/>
      </c>
      <c r="AT1345" s="7">
        <f ca="1"/>
      </c>
      <c r="AU1345">
        <f ca="1"/>
      </c>
      <c r="AV1345">
        <f ca="1"/>
      </c>
      <c r="AW1345">
        <f ca="1"/>
      </c>
      <c r="AX1345">
        <f ca="1"/>
      </c>
      <c r="AY1345">
        <f ca="1"/>
      </c>
      <c r="BA1345" s="7"/>
    </row>
    <row r="1346" spans="31:53" x14ac:dyDescent="0.55000000000000004">
      <c r="AE1346" s="7">
        <f ca="1"/>
      </c>
      <c r="AF1346">
        <f ca="1"/>
      </c>
      <c r="AG1346">
        <f ca="1"/>
      </c>
      <c r="AH1346">
        <f ca="1"/>
      </c>
      <c r="AI1346">
        <f ca="1"/>
      </c>
      <c r="AJ1346">
        <f ca="1"/>
      </c>
      <c r="AK1346">
        <f ca="1"/>
      </c>
      <c r="AL1346">
        <f ca="1"/>
      </c>
      <c r="AM1346">
        <f ca="1"/>
      </c>
      <c r="AN1346">
        <f ca="1"/>
      </c>
      <c r="AO1346">
        <f ca="1"/>
      </c>
      <c r="AP1346">
        <f ca="1"/>
      </c>
      <c r="AQ1346">
        <f ca="1"/>
      </c>
      <c r="AR1346">
        <f ca="1"/>
      </c>
      <c r="AT1346" s="7">
        <f ca="1"/>
      </c>
      <c r="AU1346">
        <f ca="1"/>
      </c>
      <c r="AV1346">
        <f ca="1"/>
      </c>
      <c r="AW1346">
        <f ca="1"/>
      </c>
      <c r="AX1346">
        <f ca="1"/>
      </c>
      <c r="AY1346">
        <f ca="1"/>
      </c>
      <c r="BA1346" s="7"/>
    </row>
    <row r="1347" spans="31:53" x14ac:dyDescent="0.55000000000000004">
      <c r="AE1347" s="7">
        <f ca="1"/>
      </c>
      <c r="AF1347">
        <f ca="1"/>
      </c>
      <c r="AG1347">
        <f ca="1"/>
      </c>
      <c r="AH1347">
        <f ca="1"/>
      </c>
      <c r="AI1347">
        <f ca="1"/>
      </c>
      <c r="AJ1347">
        <f ca="1"/>
      </c>
      <c r="AK1347">
        <f ca="1"/>
      </c>
      <c r="AL1347">
        <f ca="1"/>
      </c>
      <c r="AM1347">
        <f ca="1"/>
      </c>
      <c r="AN1347">
        <f ca="1"/>
      </c>
      <c r="AO1347">
        <f ca="1"/>
      </c>
      <c r="AP1347">
        <f ca="1"/>
      </c>
      <c r="AQ1347">
        <f ca="1"/>
      </c>
      <c r="AR1347">
        <f ca="1"/>
      </c>
      <c r="AT1347" s="7">
        <f ca="1"/>
      </c>
      <c r="AU1347">
        <f ca="1"/>
      </c>
      <c r="AV1347">
        <f ca="1"/>
      </c>
      <c r="AW1347">
        <f ca="1"/>
      </c>
      <c r="AX1347">
        <f ca="1"/>
      </c>
      <c r="AY1347">
        <f ca="1"/>
      </c>
      <c r="BA1347" s="7"/>
    </row>
    <row r="1348" spans="31:53" x14ac:dyDescent="0.55000000000000004">
      <c r="AE1348" s="7">
        <f ca="1"/>
      </c>
      <c r="AF1348">
        <f ca="1"/>
      </c>
      <c r="AG1348">
        <f ca="1"/>
      </c>
      <c r="AH1348">
        <f ca="1"/>
      </c>
      <c r="AI1348">
        <f ca="1"/>
      </c>
      <c r="AJ1348">
        <f ca="1"/>
      </c>
      <c r="AK1348">
        <f ca="1"/>
      </c>
      <c r="AL1348">
        <f ca="1"/>
      </c>
      <c r="AM1348">
        <f ca="1"/>
      </c>
      <c r="AN1348">
        <f ca="1"/>
      </c>
      <c r="AO1348">
        <f ca="1"/>
      </c>
      <c r="AP1348">
        <f ca="1"/>
      </c>
      <c r="AQ1348">
        <f ca="1"/>
      </c>
      <c r="AR1348">
        <f ca="1"/>
      </c>
      <c r="AT1348" s="7">
        <f ca="1"/>
      </c>
      <c r="AU1348">
        <f ca="1"/>
      </c>
      <c r="AV1348">
        <f ca="1"/>
      </c>
      <c r="AW1348">
        <f ca="1"/>
      </c>
      <c r="AX1348">
        <f ca="1"/>
      </c>
      <c r="AY1348">
        <f ca="1"/>
      </c>
      <c r="BA1348" s="7"/>
    </row>
    <row r="1349" spans="31:53" x14ac:dyDescent="0.55000000000000004">
      <c r="AE1349" s="7">
        <f ca="1"/>
      </c>
      <c r="AF1349">
        <f ca="1"/>
      </c>
      <c r="AG1349">
        <f ca="1"/>
      </c>
      <c r="AH1349">
        <f ca="1"/>
      </c>
      <c r="AI1349">
        <f ca="1"/>
      </c>
      <c r="AJ1349">
        <f ca="1"/>
      </c>
      <c r="AK1349">
        <f ca="1"/>
      </c>
      <c r="AL1349">
        <f ca="1"/>
      </c>
      <c r="AM1349">
        <f ca="1"/>
      </c>
      <c r="AN1349">
        <f ca="1"/>
      </c>
      <c r="AO1349">
        <f ca="1"/>
      </c>
      <c r="AP1349">
        <f ca="1"/>
      </c>
      <c r="AQ1349">
        <f ca="1"/>
      </c>
      <c r="AR1349">
        <f ca="1"/>
      </c>
      <c r="AT1349" s="7">
        <f ca="1"/>
      </c>
      <c r="AU1349">
        <f ca="1"/>
      </c>
      <c r="AV1349">
        <f ca="1"/>
      </c>
      <c r="AW1349">
        <f ca="1"/>
      </c>
      <c r="AX1349">
        <f ca="1"/>
      </c>
      <c r="AY1349">
        <f ca="1"/>
      </c>
      <c r="BA1349" s="7"/>
    </row>
    <row r="1350" spans="31:53" x14ac:dyDescent="0.55000000000000004">
      <c r="AE1350" s="7">
        <f ca="1"/>
      </c>
      <c r="AF1350">
        <f ca="1"/>
      </c>
      <c r="AG1350">
        <f ca="1"/>
      </c>
      <c r="AH1350">
        <f ca="1"/>
      </c>
      <c r="AI1350">
        <f ca="1"/>
      </c>
      <c r="AJ1350">
        <f ca="1"/>
      </c>
      <c r="AK1350">
        <f ca="1"/>
      </c>
      <c r="AL1350">
        <f ca="1"/>
      </c>
      <c r="AM1350">
        <f ca="1"/>
      </c>
      <c r="AN1350">
        <f ca="1"/>
      </c>
      <c r="AO1350">
        <f ca="1"/>
      </c>
      <c r="AP1350">
        <f ca="1"/>
      </c>
      <c r="AQ1350">
        <f ca="1"/>
      </c>
      <c r="AR1350">
        <f ca="1"/>
      </c>
      <c r="AT1350" s="7">
        <f ca="1"/>
      </c>
      <c r="AU1350">
        <f ca="1"/>
      </c>
      <c r="AV1350">
        <f ca="1"/>
      </c>
      <c r="AW1350">
        <f ca="1"/>
      </c>
      <c r="AX1350">
        <f ca="1"/>
      </c>
      <c r="AY1350">
        <f ca="1"/>
      </c>
      <c r="BA1350" s="7"/>
    </row>
    <row r="1351" spans="31:53" x14ac:dyDescent="0.55000000000000004">
      <c r="AE1351" s="7">
        <f ca="1"/>
      </c>
      <c r="AF1351">
        <f ca="1"/>
      </c>
      <c r="AG1351">
        <f ca="1"/>
      </c>
      <c r="AH1351">
        <f ca="1"/>
      </c>
      <c r="AI1351">
        <f ca="1"/>
      </c>
      <c r="AJ1351">
        <f ca="1"/>
      </c>
      <c r="AK1351">
        <f ca="1"/>
      </c>
      <c r="AL1351">
        <f ca="1"/>
      </c>
      <c r="AM1351">
        <f ca="1"/>
      </c>
      <c r="AN1351">
        <f ca="1"/>
      </c>
      <c r="AO1351">
        <f ca="1"/>
      </c>
      <c r="AP1351">
        <f ca="1"/>
      </c>
      <c r="AQ1351">
        <f ca="1"/>
      </c>
      <c r="AR1351">
        <f ca="1"/>
      </c>
      <c r="AT1351" s="7">
        <f ca="1"/>
      </c>
      <c r="AU1351">
        <f ca="1"/>
      </c>
      <c r="AV1351">
        <f ca="1"/>
      </c>
      <c r="AW1351">
        <f ca="1"/>
      </c>
      <c r="AX1351">
        <f ca="1"/>
      </c>
      <c r="AY1351">
        <f ca="1"/>
      </c>
      <c r="BA1351" s="7"/>
    </row>
    <row r="1352" spans="31:53" x14ac:dyDescent="0.55000000000000004">
      <c r="AE1352" s="7">
        <f ca="1"/>
      </c>
      <c r="AF1352">
        <f ca="1"/>
      </c>
      <c r="AG1352">
        <f ca="1"/>
      </c>
      <c r="AH1352">
        <f ca="1"/>
      </c>
      <c r="AI1352">
        <f ca="1"/>
      </c>
      <c r="AJ1352">
        <f ca="1"/>
      </c>
      <c r="AK1352">
        <f ca="1"/>
      </c>
      <c r="AL1352">
        <f ca="1"/>
      </c>
      <c r="AM1352">
        <f ca="1"/>
      </c>
      <c r="AN1352">
        <f ca="1"/>
      </c>
      <c r="AO1352">
        <f ca="1"/>
      </c>
      <c r="AP1352">
        <f ca="1"/>
      </c>
      <c r="AQ1352">
        <f ca="1"/>
      </c>
      <c r="AR1352">
        <f ca="1"/>
      </c>
      <c r="AT1352" s="7">
        <f ca="1"/>
      </c>
      <c r="AU1352">
        <f ca="1"/>
      </c>
      <c r="AV1352">
        <f ca="1"/>
      </c>
      <c r="AW1352">
        <f ca="1"/>
      </c>
      <c r="AX1352">
        <f ca="1"/>
      </c>
      <c r="AY1352">
        <f ca="1"/>
      </c>
      <c r="BA1352" s="7"/>
    </row>
    <row r="1353" spans="31:53" x14ac:dyDescent="0.55000000000000004">
      <c r="AE1353" s="7">
        <f ca="1"/>
      </c>
      <c r="AF1353">
        <f ca="1"/>
      </c>
      <c r="AG1353">
        <f ca="1"/>
      </c>
      <c r="AH1353">
        <f ca="1"/>
      </c>
      <c r="AI1353">
        <f ca="1"/>
      </c>
      <c r="AJ1353">
        <f ca="1"/>
      </c>
      <c r="AK1353">
        <f ca="1"/>
      </c>
      <c r="AL1353">
        <f ca="1"/>
      </c>
      <c r="AM1353">
        <f ca="1"/>
      </c>
      <c r="AN1353">
        <f ca="1"/>
      </c>
      <c r="AO1353">
        <f ca="1"/>
      </c>
      <c r="AP1353">
        <f ca="1"/>
      </c>
      <c r="AQ1353">
        <f ca="1"/>
      </c>
      <c r="AR1353">
        <f ca="1"/>
      </c>
      <c r="AT1353" s="7">
        <f ca="1"/>
      </c>
      <c r="AU1353">
        <f ca="1"/>
      </c>
      <c r="AV1353">
        <f ca="1"/>
      </c>
      <c r="AW1353">
        <f ca="1"/>
      </c>
      <c r="AX1353">
        <f ca="1"/>
      </c>
      <c r="AY1353">
        <f ca="1"/>
      </c>
      <c r="BA1353" s="7"/>
    </row>
    <row r="1354" spans="31:53" x14ac:dyDescent="0.55000000000000004">
      <c r="AE1354" s="7">
        <f ca="1"/>
      </c>
      <c r="AF1354">
        <f ca="1"/>
      </c>
      <c r="AG1354">
        <f ca="1"/>
      </c>
      <c r="AH1354">
        <f ca="1"/>
      </c>
      <c r="AI1354">
        <f ca="1"/>
      </c>
      <c r="AJ1354">
        <f ca="1"/>
      </c>
      <c r="AK1354">
        <f ca="1"/>
      </c>
      <c r="AL1354">
        <f ca="1"/>
      </c>
      <c r="AM1354">
        <f ca="1"/>
      </c>
      <c r="AN1354">
        <f ca="1"/>
      </c>
      <c r="AO1354">
        <f ca="1"/>
      </c>
      <c r="AP1354">
        <f ca="1"/>
      </c>
      <c r="AQ1354">
        <f ca="1"/>
      </c>
      <c r="AR1354">
        <f ca="1"/>
      </c>
      <c r="AT1354" s="7">
        <f ca="1"/>
      </c>
      <c r="AU1354">
        <f ca="1"/>
      </c>
      <c r="AV1354">
        <f ca="1"/>
      </c>
      <c r="AW1354">
        <f ca="1"/>
      </c>
      <c r="AX1354">
        <f ca="1"/>
      </c>
      <c r="AY1354">
        <f ca="1"/>
      </c>
      <c r="BA1354" s="7"/>
    </row>
    <row r="1355" spans="31:53" x14ac:dyDescent="0.55000000000000004">
      <c r="AE1355" s="7">
        <f ca="1"/>
      </c>
      <c r="AF1355">
        <f ca="1"/>
      </c>
      <c r="AG1355">
        <f ca="1"/>
      </c>
      <c r="AH1355">
        <f ca="1"/>
      </c>
      <c r="AI1355">
        <f ca="1"/>
      </c>
      <c r="AJ1355">
        <f ca="1"/>
      </c>
      <c r="AK1355">
        <f ca="1"/>
      </c>
      <c r="AL1355">
        <f ca="1"/>
      </c>
      <c r="AM1355">
        <f ca="1"/>
      </c>
      <c r="AN1355">
        <f ca="1"/>
      </c>
      <c r="AO1355">
        <f ca="1"/>
      </c>
      <c r="AP1355">
        <f ca="1"/>
      </c>
      <c r="AQ1355">
        <f ca="1"/>
      </c>
      <c r="AR1355">
        <f ca="1"/>
      </c>
      <c r="AT1355" s="7">
        <f ca="1"/>
      </c>
      <c r="AU1355">
        <f ca="1"/>
      </c>
      <c r="AV1355">
        <f ca="1"/>
      </c>
      <c r="AW1355">
        <f ca="1"/>
      </c>
      <c r="AX1355">
        <f ca="1"/>
      </c>
      <c r="AY1355">
        <f ca="1"/>
      </c>
      <c r="BA1355" s="7"/>
    </row>
    <row r="1356" spans="31:53" x14ac:dyDescent="0.55000000000000004">
      <c r="AE1356" s="7">
        <f ca="1"/>
      </c>
      <c r="AF1356">
        <f ca="1"/>
      </c>
      <c r="AG1356">
        <f ca="1"/>
      </c>
      <c r="AH1356">
        <f ca="1"/>
      </c>
      <c r="AI1356">
        <f ca="1"/>
      </c>
      <c r="AJ1356">
        <f ca="1"/>
      </c>
      <c r="AK1356">
        <f ca="1"/>
      </c>
      <c r="AL1356">
        <f ca="1"/>
      </c>
      <c r="AM1356">
        <f ca="1"/>
      </c>
      <c r="AN1356">
        <f ca="1"/>
      </c>
      <c r="AO1356">
        <f ca="1"/>
      </c>
      <c r="AP1356">
        <f ca="1"/>
      </c>
      <c r="AQ1356">
        <f ca="1"/>
      </c>
      <c r="AR1356">
        <f ca="1"/>
      </c>
      <c r="AT1356" s="7">
        <f ca="1"/>
      </c>
      <c r="AU1356">
        <f ca="1"/>
      </c>
      <c r="AV1356">
        <f ca="1"/>
      </c>
      <c r="AW1356">
        <f ca="1"/>
      </c>
      <c r="AX1356">
        <f ca="1"/>
      </c>
      <c r="AY1356">
        <f ca="1"/>
      </c>
      <c r="BA1356" s="7"/>
    </row>
    <row r="1357" spans="31:53" x14ac:dyDescent="0.55000000000000004">
      <c r="AE1357" s="7">
        <f ca="1"/>
      </c>
      <c r="AF1357">
        <f ca="1"/>
      </c>
      <c r="AG1357">
        <f ca="1"/>
      </c>
      <c r="AH1357">
        <f ca="1"/>
      </c>
      <c r="AI1357">
        <f ca="1"/>
      </c>
      <c r="AJ1357">
        <f ca="1"/>
      </c>
      <c r="AK1357">
        <f ca="1"/>
      </c>
      <c r="AL1357">
        <f ca="1"/>
      </c>
      <c r="AM1357">
        <f ca="1"/>
      </c>
      <c r="AN1357">
        <f ca="1"/>
      </c>
      <c r="AO1357">
        <f ca="1"/>
      </c>
      <c r="AP1357">
        <f ca="1"/>
      </c>
      <c r="AQ1357">
        <f ca="1"/>
      </c>
      <c r="AR1357">
        <f ca="1"/>
      </c>
      <c r="AT1357" s="7">
        <f ca="1"/>
      </c>
      <c r="AU1357">
        <f ca="1"/>
      </c>
      <c r="AV1357">
        <f ca="1"/>
      </c>
      <c r="AW1357">
        <f ca="1"/>
      </c>
      <c r="AX1357">
        <f ca="1"/>
      </c>
      <c r="AY1357">
        <f ca="1"/>
      </c>
      <c r="BA1357" s="7"/>
    </row>
    <row r="1358" spans="31:53" x14ac:dyDescent="0.55000000000000004">
      <c r="AE1358" s="7">
        <f ca="1"/>
      </c>
      <c r="AF1358">
        <f ca="1"/>
      </c>
      <c r="AG1358">
        <f ca="1"/>
      </c>
      <c r="AH1358">
        <f ca="1"/>
      </c>
      <c r="AI1358">
        <f ca="1"/>
      </c>
      <c r="AJ1358">
        <f ca="1"/>
      </c>
      <c r="AK1358">
        <f ca="1"/>
      </c>
      <c r="AL1358">
        <f ca="1"/>
      </c>
      <c r="AM1358">
        <f ca="1"/>
      </c>
      <c r="AN1358">
        <f ca="1"/>
      </c>
      <c r="AO1358">
        <f ca="1"/>
      </c>
      <c r="AP1358">
        <f ca="1"/>
      </c>
      <c r="AQ1358">
        <f ca="1"/>
      </c>
      <c r="AR1358">
        <f ca="1"/>
      </c>
      <c r="AT1358" s="7">
        <f ca="1"/>
      </c>
      <c r="AU1358">
        <f ca="1"/>
      </c>
      <c r="AV1358">
        <f ca="1"/>
      </c>
      <c r="AW1358">
        <f ca="1"/>
      </c>
      <c r="AX1358">
        <f ca="1"/>
      </c>
      <c r="AY1358">
        <f ca="1"/>
      </c>
      <c r="BA1358" s="7"/>
    </row>
    <row r="1359" spans="31:53" x14ac:dyDescent="0.55000000000000004">
      <c r="AE1359" s="7">
        <f ca="1"/>
      </c>
      <c r="AF1359">
        <f ca="1"/>
      </c>
      <c r="AG1359">
        <f ca="1"/>
      </c>
      <c r="AH1359">
        <f ca="1"/>
      </c>
      <c r="AI1359">
        <f ca="1"/>
      </c>
      <c r="AJ1359">
        <f ca="1"/>
      </c>
      <c r="AK1359">
        <f ca="1"/>
      </c>
      <c r="AL1359">
        <f ca="1"/>
      </c>
      <c r="AM1359">
        <f ca="1"/>
      </c>
      <c r="AN1359">
        <f ca="1"/>
      </c>
      <c r="AO1359">
        <f ca="1"/>
      </c>
      <c r="AP1359">
        <f ca="1"/>
      </c>
      <c r="AQ1359">
        <f ca="1"/>
      </c>
      <c r="AR1359">
        <f ca="1"/>
      </c>
      <c r="AT1359" s="7">
        <f ca="1"/>
      </c>
      <c r="AU1359">
        <f ca="1"/>
      </c>
      <c r="AV1359">
        <f ca="1"/>
      </c>
      <c r="AW1359">
        <f ca="1"/>
      </c>
      <c r="AX1359">
        <f ca="1"/>
      </c>
      <c r="AY1359">
        <f ca="1"/>
      </c>
      <c r="BA1359" s="7"/>
    </row>
    <row r="1360" spans="31:53" x14ac:dyDescent="0.55000000000000004">
      <c r="AE1360" s="7">
        <f ca="1"/>
      </c>
      <c r="AF1360">
        <f ca="1"/>
      </c>
      <c r="AG1360">
        <f ca="1"/>
      </c>
      <c r="AH1360">
        <f ca="1"/>
      </c>
      <c r="AI1360">
        <f ca="1"/>
      </c>
      <c r="AJ1360">
        <f ca="1"/>
      </c>
      <c r="AK1360">
        <f ca="1"/>
      </c>
      <c r="AL1360">
        <f ca="1"/>
      </c>
      <c r="AM1360">
        <f ca="1"/>
      </c>
      <c r="AN1360">
        <f ca="1"/>
      </c>
      <c r="AO1360">
        <f ca="1"/>
      </c>
      <c r="AP1360">
        <f ca="1"/>
      </c>
      <c r="AQ1360">
        <f ca="1"/>
      </c>
      <c r="AR1360">
        <f ca="1"/>
      </c>
      <c r="AT1360" s="7">
        <f ca="1"/>
      </c>
      <c r="AU1360">
        <f ca="1"/>
      </c>
      <c r="AV1360">
        <f ca="1"/>
      </c>
      <c r="AW1360">
        <f ca="1"/>
      </c>
      <c r="AX1360">
        <f ca="1"/>
      </c>
      <c r="AY1360">
        <f ca="1"/>
      </c>
      <c r="BA1360" s="7"/>
    </row>
    <row r="1361" spans="31:53" x14ac:dyDescent="0.55000000000000004">
      <c r="AE1361" s="7">
        <f ca="1"/>
      </c>
      <c r="AF1361">
        <f ca="1"/>
      </c>
      <c r="AG1361">
        <f ca="1"/>
      </c>
      <c r="AH1361">
        <f ca="1"/>
      </c>
      <c r="AI1361">
        <f ca="1"/>
      </c>
      <c r="AJ1361">
        <f ca="1"/>
      </c>
      <c r="AK1361">
        <f ca="1"/>
      </c>
      <c r="AL1361">
        <f ca="1"/>
      </c>
      <c r="AM1361">
        <f ca="1"/>
      </c>
      <c r="AN1361">
        <f ca="1"/>
      </c>
      <c r="AO1361">
        <f ca="1"/>
      </c>
      <c r="AP1361">
        <f ca="1"/>
      </c>
      <c r="AQ1361">
        <f ca="1"/>
      </c>
      <c r="AR1361">
        <f ca="1"/>
      </c>
      <c r="AT1361" s="7">
        <f ca="1"/>
      </c>
      <c r="AU1361">
        <f ca="1"/>
      </c>
      <c r="AV1361">
        <f ca="1"/>
      </c>
      <c r="AW1361">
        <f ca="1"/>
      </c>
      <c r="AX1361">
        <f ca="1"/>
      </c>
      <c r="AY1361">
        <f ca="1"/>
      </c>
      <c r="BA1361" s="7"/>
    </row>
    <row r="1362" spans="31:53" x14ac:dyDescent="0.55000000000000004">
      <c r="AE1362" s="7">
        <f ca="1"/>
      </c>
      <c r="AF1362">
        <f ca="1"/>
      </c>
      <c r="AG1362">
        <f ca="1"/>
      </c>
      <c r="AH1362">
        <f ca="1"/>
      </c>
      <c r="AI1362">
        <f ca="1"/>
      </c>
      <c r="AJ1362">
        <f ca="1"/>
      </c>
      <c r="AK1362">
        <f ca="1"/>
      </c>
      <c r="AL1362">
        <f ca="1"/>
      </c>
      <c r="AM1362">
        <f ca="1"/>
      </c>
      <c r="AN1362">
        <f ca="1"/>
      </c>
      <c r="AO1362">
        <f ca="1"/>
      </c>
      <c r="AP1362">
        <f ca="1"/>
      </c>
      <c r="AQ1362">
        <f ca="1"/>
      </c>
      <c r="AR1362">
        <f ca="1"/>
      </c>
      <c r="AT1362" s="7">
        <f ca="1"/>
      </c>
      <c r="AU1362">
        <f ca="1"/>
      </c>
      <c r="AV1362">
        <f ca="1"/>
      </c>
      <c r="AW1362">
        <f ca="1"/>
      </c>
      <c r="AX1362">
        <f ca="1"/>
      </c>
      <c r="AY1362">
        <f ca="1"/>
      </c>
      <c r="BA1362" s="7"/>
    </row>
    <row r="1363" spans="31:53" x14ac:dyDescent="0.55000000000000004">
      <c r="AE1363" s="7">
        <f ca="1"/>
      </c>
      <c r="AF1363">
        <f ca="1"/>
      </c>
      <c r="AG1363">
        <f ca="1"/>
      </c>
      <c r="AH1363">
        <f ca="1"/>
      </c>
      <c r="AI1363">
        <f ca="1"/>
      </c>
      <c r="AJ1363">
        <f ca="1"/>
      </c>
      <c r="AK1363">
        <f ca="1"/>
      </c>
      <c r="AL1363">
        <f ca="1"/>
      </c>
      <c r="AM1363">
        <f ca="1"/>
      </c>
      <c r="AN1363">
        <f ca="1"/>
      </c>
      <c r="AO1363">
        <f ca="1"/>
      </c>
      <c r="AP1363">
        <f ca="1"/>
      </c>
      <c r="AQ1363">
        <f ca="1"/>
      </c>
      <c r="AR1363">
        <f ca="1"/>
      </c>
      <c r="AT1363" s="7">
        <f ca="1"/>
      </c>
      <c r="AU1363">
        <f ca="1"/>
      </c>
      <c r="AV1363">
        <f ca="1"/>
      </c>
      <c r="AW1363">
        <f ca="1"/>
      </c>
      <c r="AX1363">
        <f ca="1"/>
      </c>
      <c r="AY1363">
        <f ca="1"/>
      </c>
      <c r="BA1363" s="7"/>
    </row>
    <row r="1364" spans="31:53" x14ac:dyDescent="0.55000000000000004">
      <c r="AE1364" s="7">
        <f ca="1"/>
      </c>
      <c r="AF1364">
        <f ca="1"/>
      </c>
      <c r="AG1364">
        <f ca="1"/>
      </c>
      <c r="AH1364">
        <f ca="1"/>
      </c>
      <c r="AI1364">
        <f ca="1"/>
      </c>
      <c r="AJ1364">
        <f ca="1"/>
      </c>
      <c r="AK1364">
        <f ca="1"/>
      </c>
      <c r="AL1364">
        <f ca="1"/>
      </c>
      <c r="AM1364">
        <f ca="1"/>
      </c>
      <c r="AN1364">
        <f ca="1"/>
      </c>
      <c r="AO1364">
        <f ca="1"/>
      </c>
      <c r="AP1364">
        <f ca="1"/>
      </c>
      <c r="AQ1364">
        <f ca="1"/>
      </c>
      <c r="AR1364">
        <f ca="1"/>
      </c>
      <c r="AT1364" s="7">
        <f ca="1"/>
      </c>
      <c r="AU1364">
        <f ca="1"/>
      </c>
      <c r="AV1364">
        <f ca="1"/>
      </c>
      <c r="AW1364">
        <f ca="1"/>
      </c>
      <c r="AX1364">
        <f ca="1"/>
      </c>
      <c r="AY1364">
        <f ca="1"/>
      </c>
      <c r="BA1364" s="7"/>
    </row>
    <row r="1365" spans="31:53" x14ac:dyDescent="0.55000000000000004">
      <c r="AE1365" s="7">
        <f ca="1"/>
      </c>
      <c r="AF1365">
        <f ca="1"/>
      </c>
      <c r="AG1365">
        <f ca="1"/>
      </c>
      <c r="AH1365">
        <f ca="1"/>
      </c>
      <c r="AI1365">
        <f ca="1"/>
      </c>
      <c r="AJ1365">
        <f ca="1"/>
      </c>
      <c r="AK1365">
        <f ca="1"/>
      </c>
      <c r="AL1365">
        <f ca="1"/>
      </c>
      <c r="AM1365">
        <f ca="1"/>
      </c>
      <c r="AN1365">
        <f ca="1"/>
      </c>
      <c r="AO1365">
        <f ca="1"/>
      </c>
      <c r="AP1365">
        <f ca="1"/>
      </c>
      <c r="AQ1365">
        <f ca="1"/>
      </c>
      <c r="AR1365">
        <f ca="1"/>
      </c>
      <c r="AT1365" s="7">
        <f ca="1"/>
      </c>
      <c r="AU1365">
        <f ca="1"/>
      </c>
      <c r="AV1365">
        <f ca="1"/>
      </c>
      <c r="AW1365">
        <f ca="1"/>
      </c>
      <c r="AX1365">
        <f ca="1"/>
      </c>
      <c r="AY1365">
        <f ca="1"/>
      </c>
      <c r="BA1365" s="7"/>
    </row>
    <row r="1366" spans="31:53" x14ac:dyDescent="0.55000000000000004">
      <c r="AE1366" s="7">
        <f ca="1"/>
      </c>
      <c r="AF1366">
        <f ca="1"/>
      </c>
      <c r="AG1366">
        <f ca="1"/>
      </c>
      <c r="AH1366">
        <f ca="1"/>
      </c>
      <c r="AI1366">
        <f ca="1"/>
      </c>
      <c r="AJ1366">
        <f ca="1"/>
      </c>
      <c r="AK1366">
        <f ca="1"/>
      </c>
      <c r="AL1366">
        <f ca="1"/>
      </c>
      <c r="AM1366">
        <f ca="1"/>
      </c>
      <c r="AN1366">
        <f ca="1"/>
      </c>
      <c r="AO1366">
        <f ca="1"/>
      </c>
      <c r="AP1366">
        <f ca="1"/>
      </c>
      <c r="AQ1366">
        <f ca="1"/>
      </c>
      <c r="AR1366">
        <f ca="1"/>
      </c>
      <c r="AT1366" s="7">
        <f ca="1"/>
      </c>
      <c r="AU1366">
        <f ca="1"/>
      </c>
      <c r="AV1366">
        <f ca="1"/>
      </c>
      <c r="AW1366">
        <f ca="1"/>
      </c>
      <c r="AX1366">
        <f ca="1"/>
      </c>
      <c r="AY1366">
        <f ca="1"/>
      </c>
      <c r="BA1366" s="7"/>
    </row>
    <row r="1367" spans="31:53" x14ac:dyDescent="0.55000000000000004">
      <c r="AE1367" s="7">
        <f ca="1"/>
      </c>
      <c r="AF1367">
        <f ca="1"/>
      </c>
      <c r="AG1367">
        <f ca="1"/>
      </c>
      <c r="AH1367">
        <f ca="1"/>
      </c>
      <c r="AI1367">
        <f ca="1"/>
      </c>
      <c r="AJ1367">
        <f ca="1"/>
      </c>
      <c r="AK1367">
        <f ca="1"/>
      </c>
      <c r="AL1367">
        <f ca="1"/>
      </c>
      <c r="AM1367">
        <f ca="1"/>
      </c>
      <c r="AN1367">
        <f ca="1"/>
      </c>
      <c r="AO1367">
        <f ca="1"/>
      </c>
      <c r="AP1367">
        <f ca="1"/>
      </c>
      <c r="AQ1367">
        <f ca="1"/>
      </c>
      <c r="AR1367">
        <f ca="1"/>
      </c>
      <c r="AT1367" s="7">
        <f ca="1"/>
      </c>
      <c r="AU1367">
        <f ca="1"/>
      </c>
      <c r="AV1367">
        <f ca="1"/>
      </c>
      <c r="AW1367">
        <f ca="1"/>
      </c>
      <c r="AX1367">
        <f ca="1"/>
      </c>
      <c r="AY1367">
        <f ca="1"/>
      </c>
      <c r="BA1367" s="7"/>
    </row>
    <row r="1368" spans="31:53" x14ac:dyDescent="0.55000000000000004">
      <c r="AE1368" s="7">
        <f ca="1"/>
      </c>
      <c r="AF1368">
        <f ca="1"/>
      </c>
      <c r="AG1368">
        <f ca="1"/>
      </c>
      <c r="AH1368">
        <f ca="1"/>
      </c>
      <c r="AI1368">
        <f ca="1"/>
      </c>
      <c r="AJ1368">
        <f ca="1"/>
      </c>
      <c r="AK1368">
        <f ca="1"/>
      </c>
      <c r="AL1368">
        <f ca="1"/>
      </c>
      <c r="AM1368">
        <f ca="1"/>
      </c>
      <c r="AN1368">
        <f ca="1"/>
      </c>
      <c r="AO1368">
        <f ca="1"/>
      </c>
      <c r="AP1368">
        <f ca="1"/>
      </c>
      <c r="AQ1368">
        <f ca="1"/>
      </c>
      <c r="AR1368">
        <f ca="1"/>
      </c>
      <c r="AT1368" s="7">
        <f ca="1"/>
      </c>
      <c r="AU1368">
        <f ca="1"/>
      </c>
      <c r="AV1368">
        <f ca="1"/>
      </c>
      <c r="AW1368">
        <f ca="1"/>
      </c>
      <c r="AX1368">
        <f ca="1"/>
      </c>
      <c r="AY1368">
        <f ca="1"/>
      </c>
      <c r="BA1368" s="7"/>
    </row>
    <row r="1369" spans="31:53" x14ac:dyDescent="0.55000000000000004">
      <c r="AE1369" s="7">
        <f ca="1"/>
      </c>
      <c r="AF1369">
        <f ca="1"/>
      </c>
      <c r="AG1369">
        <f ca="1"/>
      </c>
      <c r="AH1369">
        <f ca="1"/>
      </c>
      <c r="AI1369">
        <f ca="1"/>
      </c>
      <c r="AJ1369">
        <f ca="1"/>
      </c>
      <c r="AK1369">
        <f ca="1"/>
      </c>
      <c r="AL1369">
        <f ca="1"/>
      </c>
      <c r="AM1369">
        <f ca="1"/>
      </c>
      <c r="AN1369">
        <f ca="1"/>
      </c>
      <c r="AO1369">
        <f ca="1"/>
      </c>
      <c r="AP1369">
        <f ca="1"/>
      </c>
      <c r="AQ1369">
        <f ca="1"/>
      </c>
      <c r="AR1369">
        <f ca="1"/>
      </c>
      <c r="AT1369" s="7">
        <f ca="1"/>
      </c>
      <c r="AU1369">
        <f ca="1"/>
      </c>
      <c r="AV1369">
        <f ca="1"/>
      </c>
      <c r="AW1369">
        <f ca="1"/>
      </c>
      <c r="AX1369">
        <f ca="1"/>
      </c>
      <c r="AY1369">
        <f ca="1"/>
      </c>
      <c r="BA1369" s="7"/>
    </row>
    <row r="1370" spans="31:53" x14ac:dyDescent="0.55000000000000004">
      <c r="AE1370" s="7">
        <f ca="1"/>
      </c>
      <c r="AF1370">
        <f ca="1"/>
      </c>
      <c r="AG1370">
        <f ca="1"/>
      </c>
      <c r="AH1370">
        <f ca="1"/>
      </c>
      <c r="AI1370">
        <f ca="1"/>
      </c>
      <c r="AJ1370">
        <f ca="1"/>
      </c>
      <c r="AK1370">
        <f ca="1"/>
      </c>
      <c r="AL1370">
        <f ca="1"/>
      </c>
      <c r="AM1370">
        <f ca="1"/>
      </c>
      <c r="AN1370">
        <f ca="1"/>
      </c>
      <c r="AO1370">
        <f ca="1"/>
      </c>
      <c r="AP1370">
        <f ca="1"/>
      </c>
      <c r="AQ1370">
        <f ca="1"/>
      </c>
      <c r="AR1370">
        <f ca="1"/>
      </c>
      <c r="AT1370" s="7">
        <f ca="1"/>
      </c>
      <c r="AU1370">
        <f ca="1"/>
      </c>
      <c r="AV1370">
        <f ca="1"/>
      </c>
      <c r="AW1370">
        <f ca="1"/>
      </c>
      <c r="AX1370">
        <f ca="1"/>
      </c>
      <c r="AY1370">
        <f ca="1"/>
      </c>
      <c r="BA1370" s="7"/>
    </row>
    <row r="1371" spans="31:53" x14ac:dyDescent="0.55000000000000004">
      <c r="AE1371" s="7">
        <f ca="1"/>
      </c>
      <c r="AF1371">
        <f ca="1"/>
      </c>
      <c r="AG1371">
        <f ca="1"/>
      </c>
      <c r="AH1371">
        <f ca="1"/>
      </c>
      <c r="AI1371">
        <f ca="1"/>
      </c>
      <c r="AJ1371">
        <f ca="1"/>
      </c>
      <c r="AK1371">
        <f ca="1"/>
      </c>
      <c r="AL1371">
        <f ca="1"/>
      </c>
      <c r="AM1371">
        <f ca="1"/>
      </c>
      <c r="AN1371">
        <f ca="1"/>
      </c>
      <c r="AO1371">
        <f ca="1"/>
      </c>
      <c r="AP1371">
        <f ca="1"/>
      </c>
      <c r="AQ1371">
        <f ca="1"/>
      </c>
      <c r="AR1371">
        <f ca="1"/>
      </c>
      <c r="AT1371" s="7">
        <f ca="1"/>
      </c>
      <c r="AU1371">
        <f ca="1"/>
      </c>
      <c r="AV1371">
        <f ca="1"/>
      </c>
      <c r="AW1371">
        <f ca="1"/>
      </c>
      <c r="AX1371">
        <f ca="1"/>
      </c>
      <c r="AY1371">
        <f ca="1"/>
      </c>
      <c r="BA1371" s="7"/>
    </row>
    <row r="1372" spans="31:53" x14ac:dyDescent="0.55000000000000004">
      <c r="AE1372" s="7">
        <f ca="1"/>
      </c>
      <c r="AF1372">
        <f ca="1"/>
      </c>
      <c r="AG1372">
        <f ca="1"/>
      </c>
      <c r="AH1372">
        <f ca="1"/>
      </c>
      <c r="AI1372">
        <f ca="1"/>
      </c>
      <c r="AJ1372">
        <f ca="1"/>
      </c>
      <c r="AK1372">
        <f ca="1"/>
      </c>
      <c r="AL1372">
        <f ca="1"/>
      </c>
      <c r="AM1372">
        <f ca="1"/>
      </c>
      <c r="AN1372">
        <f ca="1"/>
      </c>
      <c r="AO1372">
        <f ca="1"/>
      </c>
      <c r="AP1372">
        <f ca="1"/>
      </c>
      <c r="AQ1372">
        <f ca="1"/>
      </c>
      <c r="AR1372">
        <f ca="1"/>
      </c>
      <c r="AT1372" s="7">
        <f ca="1"/>
      </c>
      <c r="AU1372">
        <f ca="1"/>
      </c>
      <c r="AV1372">
        <f ca="1"/>
      </c>
      <c r="AW1372">
        <f ca="1"/>
      </c>
      <c r="AX1372">
        <f ca="1"/>
      </c>
      <c r="AY1372">
        <f ca="1"/>
      </c>
      <c r="BA1372" s="7"/>
    </row>
    <row r="1373" spans="31:53" x14ac:dyDescent="0.55000000000000004">
      <c r="AE1373" s="7">
        <f ca="1"/>
      </c>
      <c r="AF1373">
        <f ca="1"/>
      </c>
      <c r="AG1373">
        <f ca="1"/>
      </c>
      <c r="AH1373">
        <f ca="1"/>
      </c>
      <c r="AI1373">
        <f ca="1"/>
      </c>
      <c r="AJ1373">
        <f ca="1"/>
      </c>
      <c r="AK1373">
        <f ca="1"/>
      </c>
      <c r="AL1373">
        <f ca="1"/>
      </c>
      <c r="AM1373">
        <f ca="1"/>
      </c>
      <c r="AN1373">
        <f ca="1"/>
      </c>
      <c r="AO1373">
        <f ca="1"/>
      </c>
      <c r="AP1373">
        <f ca="1"/>
      </c>
      <c r="AQ1373">
        <f ca="1"/>
      </c>
      <c r="AR1373">
        <f ca="1"/>
      </c>
      <c r="AT1373" s="7">
        <f ca="1"/>
      </c>
      <c r="AU1373">
        <f ca="1"/>
      </c>
      <c r="AV1373">
        <f ca="1"/>
      </c>
      <c r="AW1373">
        <f ca="1"/>
      </c>
      <c r="AX1373">
        <f ca="1"/>
      </c>
      <c r="AY1373">
        <f ca="1"/>
      </c>
      <c r="BA1373" s="7"/>
    </row>
    <row r="1374" spans="31:53" x14ac:dyDescent="0.55000000000000004">
      <c r="AE1374" s="7">
        <f ca="1"/>
      </c>
      <c r="AF1374">
        <f ca="1"/>
      </c>
      <c r="AG1374">
        <f ca="1"/>
      </c>
      <c r="AH1374">
        <f ca="1"/>
      </c>
      <c r="AI1374">
        <f ca="1"/>
      </c>
      <c r="AJ1374">
        <f ca="1"/>
      </c>
      <c r="AK1374">
        <f ca="1"/>
      </c>
      <c r="AL1374">
        <f ca="1"/>
      </c>
      <c r="AM1374">
        <f ca="1"/>
      </c>
      <c r="AN1374">
        <f ca="1"/>
      </c>
      <c r="AO1374">
        <f ca="1"/>
      </c>
      <c r="AP1374">
        <f ca="1"/>
      </c>
      <c r="AQ1374">
        <f ca="1"/>
      </c>
      <c r="AR1374">
        <f ca="1"/>
      </c>
      <c r="AT1374" s="7">
        <f ca="1"/>
      </c>
      <c r="AU1374">
        <f ca="1"/>
      </c>
      <c r="AV1374">
        <f ca="1"/>
      </c>
      <c r="AW1374">
        <f ca="1"/>
      </c>
      <c r="AX1374">
        <f ca="1"/>
      </c>
      <c r="AY1374">
        <f ca="1"/>
      </c>
      <c r="BA1374" s="7"/>
    </row>
    <row r="1375" spans="31:53" x14ac:dyDescent="0.55000000000000004">
      <c r="AE1375" s="7">
        <f ca="1"/>
      </c>
      <c r="AF1375">
        <f ca="1"/>
      </c>
      <c r="AG1375">
        <f ca="1"/>
      </c>
      <c r="AH1375">
        <f ca="1"/>
      </c>
      <c r="AI1375">
        <f ca="1"/>
      </c>
      <c r="AJ1375">
        <f ca="1"/>
      </c>
      <c r="AK1375">
        <f ca="1"/>
      </c>
      <c r="AL1375">
        <f ca="1"/>
      </c>
      <c r="AM1375">
        <f ca="1"/>
      </c>
      <c r="AN1375">
        <f ca="1"/>
      </c>
      <c r="AO1375">
        <f ca="1"/>
      </c>
      <c r="AP1375">
        <f ca="1"/>
      </c>
      <c r="AQ1375">
        <f ca="1"/>
      </c>
      <c r="AR1375">
        <f ca="1"/>
      </c>
      <c r="AT1375" s="7">
        <f ca="1"/>
      </c>
      <c r="AU1375">
        <f ca="1"/>
      </c>
      <c r="AV1375">
        <f ca="1"/>
      </c>
      <c r="AW1375">
        <f ca="1"/>
      </c>
      <c r="AX1375">
        <f ca="1"/>
      </c>
      <c r="AY1375">
        <f ca="1"/>
      </c>
      <c r="BA1375" s="7"/>
    </row>
    <row r="1376" spans="31:53" x14ac:dyDescent="0.55000000000000004">
      <c r="AE1376" s="7">
        <f ca="1"/>
      </c>
      <c r="AF1376">
        <f ca="1"/>
      </c>
      <c r="AG1376">
        <f ca="1"/>
      </c>
      <c r="AH1376">
        <f ca="1"/>
      </c>
      <c r="AI1376">
        <f ca="1"/>
      </c>
      <c r="AJ1376">
        <f ca="1"/>
      </c>
      <c r="AK1376">
        <f ca="1"/>
      </c>
      <c r="AL1376">
        <f ca="1"/>
      </c>
      <c r="AM1376">
        <f ca="1"/>
      </c>
      <c r="AN1376">
        <f ca="1"/>
      </c>
      <c r="AO1376">
        <f ca="1"/>
      </c>
      <c r="AP1376">
        <f ca="1"/>
      </c>
      <c r="AQ1376">
        <f ca="1"/>
      </c>
      <c r="AR1376">
        <f ca="1"/>
      </c>
      <c r="AT1376" s="7">
        <f ca="1"/>
      </c>
      <c r="AU1376">
        <f ca="1"/>
      </c>
      <c r="AV1376">
        <f ca="1"/>
      </c>
      <c r="AW1376">
        <f ca="1"/>
      </c>
      <c r="AX1376">
        <f ca="1"/>
      </c>
      <c r="AY1376">
        <f ca="1"/>
      </c>
      <c r="BA1376" s="7"/>
    </row>
    <row r="1377" spans="31:53" x14ac:dyDescent="0.55000000000000004">
      <c r="AE1377" s="7">
        <f ca="1"/>
      </c>
      <c r="AF1377">
        <f ca="1"/>
      </c>
      <c r="AG1377">
        <f ca="1"/>
      </c>
      <c r="AH1377">
        <f ca="1"/>
      </c>
      <c r="AI1377">
        <f ca="1"/>
      </c>
      <c r="AJ1377">
        <f ca="1"/>
      </c>
      <c r="AK1377">
        <f ca="1"/>
      </c>
      <c r="AL1377">
        <f ca="1"/>
      </c>
      <c r="AM1377">
        <f ca="1"/>
      </c>
      <c r="AN1377">
        <f ca="1"/>
      </c>
      <c r="AO1377">
        <f ca="1"/>
      </c>
      <c r="AP1377">
        <f ca="1"/>
      </c>
      <c r="AQ1377">
        <f ca="1"/>
      </c>
      <c r="AR1377">
        <f ca="1"/>
      </c>
      <c r="AT1377" s="7">
        <f ca="1"/>
      </c>
      <c r="AU1377">
        <f ca="1"/>
      </c>
      <c r="AV1377">
        <f ca="1"/>
      </c>
      <c r="AW1377">
        <f ca="1"/>
      </c>
      <c r="AX1377">
        <f ca="1"/>
      </c>
      <c r="AY1377">
        <f ca="1"/>
      </c>
      <c r="BA1377" s="7"/>
    </row>
    <row r="1378" spans="31:53" x14ac:dyDescent="0.55000000000000004">
      <c r="AE1378" s="7">
        <f ca="1"/>
      </c>
      <c r="AF1378">
        <f ca="1"/>
      </c>
      <c r="AG1378">
        <f ca="1"/>
      </c>
      <c r="AH1378">
        <f ca="1"/>
      </c>
      <c r="AI1378">
        <f ca="1"/>
      </c>
      <c r="AJ1378">
        <f ca="1"/>
      </c>
      <c r="AK1378">
        <f ca="1"/>
      </c>
      <c r="AL1378">
        <f ca="1"/>
      </c>
      <c r="AM1378">
        <f ca="1"/>
      </c>
      <c r="AN1378">
        <f ca="1"/>
      </c>
      <c r="AO1378">
        <f ca="1"/>
      </c>
      <c r="AP1378">
        <f ca="1"/>
      </c>
      <c r="AQ1378">
        <f ca="1"/>
      </c>
      <c r="AR1378">
        <f ca="1"/>
      </c>
      <c r="AT1378" s="7">
        <f ca="1"/>
      </c>
      <c r="AU1378">
        <f ca="1"/>
      </c>
      <c r="AV1378">
        <f ca="1"/>
      </c>
      <c r="AW1378">
        <f ca="1"/>
      </c>
      <c r="AX1378">
        <f ca="1"/>
      </c>
      <c r="AY1378">
        <f ca="1"/>
      </c>
      <c r="BA1378" s="7"/>
    </row>
    <row r="1379" spans="31:53" x14ac:dyDescent="0.55000000000000004">
      <c r="AE1379" s="7">
        <f ca="1"/>
      </c>
      <c r="AF1379">
        <f ca="1"/>
      </c>
      <c r="AG1379">
        <f ca="1"/>
      </c>
      <c r="AH1379">
        <f ca="1"/>
      </c>
      <c r="AI1379">
        <f ca="1"/>
      </c>
      <c r="AJ1379">
        <f ca="1"/>
      </c>
      <c r="AK1379">
        <f ca="1"/>
      </c>
      <c r="AL1379">
        <f ca="1"/>
      </c>
      <c r="AM1379">
        <f ca="1"/>
      </c>
      <c r="AN1379">
        <f ca="1"/>
      </c>
      <c r="AO1379">
        <f ca="1"/>
      </c>
      <c r="AP1379">
        <f ca="1"/>
      </c>
      <c r="AQ1379">
        <f ca="1"/>
      </c>
      <c r="AR1379">
        <f ca="1"/>
      </c>
      <c r="AT1379" s="7">
        <f ca="1"/>
      </c>
      <c r="AU1379">
        <f ca="1"/>
      </c>
      <c r="AV1379">
        <f ca="1"/>
      </c>
      <c r="AW1379">
        <f ca="1"/>
      </c>
      <c r="AX1379">
        <f ca="1"/>
      </c>
      <c r="AY1379">
        <f ca="1"/>
      </c>
      <c r="BA1379" s="7"/>
    </row>
    <row r="1380" spans="31:53" x14ac:dyDescent="0.55000000000000004">
      <c r="AE1380" s="7">
        <f ca="1"/>
      </c>
      <c r="AF1380">
        <f ca="1"/>
      </c>
      <c r="AG1380">
        <f ca="1"/>
      </c>
      <c r="AH1380">
        <f ca="1"/>
      </c>
      <c r="AI1380">
        <f ca="1"/>
      </c>
      <c r="AJ1380">
        <f ca="1"/>
      </c>
      <c r="AK1380">
        <f ca="1"/>
      </c>
      <c r="AL1380">
        <f ca="1"/>
      </c>
      <c r="AM1380">
        <f ca="1"/>
      </c>
      <c r="AN1380">
        <f ca="1"/>
      </c>
      <c r="AO1380">
        <f ca="1"/>
      </c>
      <c r="AP1380">
        <f ca="1"/>
      </c>
      <c r="AQ1380">
        <f ca="1"/>
      </c>
      <c r="AR1380">
        <f ca="1"/>
      </c>
      <c r="AT1380" s="7">
        <f ca="1"/>
      </c>
      <c r="AU1380">
        <f ca="1"/>
      </c>
      <c r="AV1380">
        <f ca="1"/>
      </c>
      <c r="AW1380">
        <f ca="1"/>
      </c>
      <c r="AX1380">
        <f ca="1"/>
      </c>
      <c r="AY1380">
        <f ca="1"/>
      </c>
      <c r="BA1380" s="7"/>
    </row>
    <row r="1381" spans="31:53" x14ac:dyDescent="0.55000000000000004">
      <c r="AE1381" s="7">
        <f ca="1"/>
      </c>
      <c r="AF1381">
        <f ca="1"/>
      </c>
      <c r="AG1381">
        <f ca="1"/>
      </c>
      <c r="AH1381">
        <f ca="1"/>
      </c>
      <c r="AI1381">
        <f ca="1"/>
      </c>
      <c r="AJ1381">
        <f ca="1"/>
      </c>
      <c r="AK1381">
        <f ca="1"/>
      </c>
      <c r="AL1381">
        <f ca="1"/>
      </c>
      <c r="AM1381">
        <f ca="1"/>
      </c>
      <c r="AN1381">
        <f ca="1"/>
      </c>
      <c r="AO1381">
        <f ca="1"/>
      </c>
      <c r="AP1381">
        <f ca="1"/>
      </c>
      <c r="AQ1381">
        <f ca="1"/>
      </c>
      <c r="AR1381">
        <f ca="1"/>
      </c>
      <c r="AT1381" s="7">
        <f ca="1"/>
      </c>
      <c r="AU1381">
        <f ca="1"/>
      </c>
      <c r="AV1381">
        <f ca="1"/>
      </c>
      <c r="AW1381">
        <f ca="1"/>
      </c>
      <c r="AX1381">
        <f ca="1"/>
      </c>
      <c r="AY1381">
        <f ca="1"/>
      </c>
      <c r="BA1381" s="7"/>
    </row>
    <row r="1382" spans="31:53" x14ac:dyDescent="0.55000000000000004">
      <c r="AE1382" s="7">
        <f ca="1"/>
      </c>
      <c r="AF1382">
        <f ca="1"/>
      </c>
      <c r="AG1382">
        <f ca="1"/>
      </c>
      <c r="AH1382">
        <f ca="1"/>
      </c>
      <c r="AI1382">
        <f ca="1"/>
      </c>
      <c r="AJ1382">
        <f ca="1"/>
      </c>
      <c r="AK1382">
        <f ca="1"/>
      </c>
      <c r="AL1382">
        <f ca="1"/>
      </c>
      <c r="AM1382">
        <f ca="1"/>
      </c>
      <c r="AN1382">
        <f ca="1"/>
      </c>
      <c r="AO1382">
        <f ca="1"/>
      </c>
      <c r="AP1382">
        <f ca="1"/>
      </c>
      <c r="AQ1382">
        <f ca="1"/>
      </c>
      <c r="AR1382">
        <f ca="1"/>
      </c>
      <c r="AT1382" s="7">
        <f ca="1"/>
      </c>
      <c r="AU1382">
        <f ca="1"/>
      </c>
      <c r="AV1382">
        <f ca="1"/>
      </c>
      <c r="AW1382">
        <f ca="1"/>
      </c>
      <c r="AX1382">
        <f ca="1"/>
      </c>
      <c r="AY1382">
        <f ca="1"/>
      </c>
      <c r="BA1382" s="7"/>
    </row>
    <row r="1383" spans="31:53" x14ac:dyDescent="0.55000000000000004">
      <c r="AE1383" s="7">
        <f ca="1"/>
      </c>
      <c r="AF1383">
        <f ca="1"/>
      </c>
      <c r="AG1383">
        <f ca="1"/>
      </c>
      <c r="AH1383">
        <f ca="1"/>
      </c>
      <c r="AI1383">
        <f ca="1"/>
      </c>
      <c r="AJ1383">
        <f ca="1"/>
      </c>
      <c r="AK1383">
        <f ca="1"/>
      </c>
      <c r="AL1383">
        <f ca="1"/>
      </c>
      <c r="AM1383">
        <f ca="1"/>
      </c>
      <c r="AN1383">
        <f ca="1"/>
      </c>
      <c r="AO1383">
        <f ca="1"/>
      </c>
      <c r="AP1383">
        <f ca="1"/>
      </c>
      <c r="AQ1383">
        <f ca="1"/>
      </c>
      <c r="AR1383">
        <f ca="1"/>
      </c>
      <c r="AT1383" s="7">
        <f ca="1"/>
      </c>
      <c r="AU1383">
        <f ca="1"/>
      </c>
      <c r="AV1383">
        <f ca="1"/>
      </c>
      <c r="AW1383">
        <f ca="1"/>
      </c>
      <c r="AX1383">
        <f ca="1"/>
      </c>
      <c r="AY1383">
        <f ca="1"/>
      </c>
      <c r="BA1383" s="7"/>
    </row>
    <row r="1384" spans="31:53" x14ac:dyDescent="0.55000000000000004">
      <c r="AE1384" s="7">
        <f ca="1"/>
      </c>
      <c r="AF1384">
        <f ca="1"/>
      </c>
      <c r="AG1384">
        <f ca="1"/>
      </c>
      <c r="AH1384">
        <f ca="1"/>
      </c>
      <c r="AI1384">
        <f ca="1"/>
      </c>
      <c r="AJ1384">
        <f ca="1"/>
      </c>
      <c r="AK1384">
        <f ca="1"/>
      </c>
      <c r="AL1384">
        <f ca="1"/>
      </c>
      <c r="AM1384">
        <f ca="1"/>
      </c>
      <c r="AN1384">
        <f ca="1"/>
      </c>
      <c r="AO1384">
        <f ca="1"/>
      </c>
      <c r="AP1384">
        <f ca="1"/>
      </c>
      <c r="AQ1384">
        <f ca="1"/>
      </c>
      <c r="AR1384">
        <f ca="1"/>
      </c>
      <c r="AT1384" s="7">
        <f ca="1"/>
      </c>
      <c r="AU1384">
        <f ca="1"/>
      </c>
      <c r="AV1384">
        <f ca="1"/>
      </c>
      <c r="AW1384">
        <f ca="1"/>
      </c>
      <c r="AX1384">
        <f ca="1"/>
      </c>
      <c r="AY1384">
        <f ca="1"/>
      </c>
      <c r="BA1384" s="7"/>
    </row>
    <row r="1385" spans="31:53" x14ac:dyDescent="0.55000000000000004">
      <c r="AE1385" s="7">
        <f ca="1"/>
      </c>
      <c r="AF1385">
        <f ca="1"/>
      </c>
      <c r="AG1385">
        <f ca="1"/>
      </c>
      <c r="AH1385">
        <f ca="1"/>
      </c>
      <c r="AI1385">
        <f ca="1"/>
      </c>
      <c r="AJ1385">
        <f ca="1"/>
      </c>
      <c r="AK1385">
        <f ca="1"/>
      </c>
      <c r="AL1385">
        <f ca="1"/>
      </c>
      <c r="AM1385">
        <f ca="1"/>
      </c>
      <c r="AN1385">
        <f ca="1"/>
      </c>
      <c r="AO1385">
        <f ca="1"/>
      </c>
      <c r="AP1385">
        <f ca="1"/>
      </c>
      <c r="AQ1385">
        <f ca="1"/>
      </c>
      <c r="AR1385">
        <f ca="1"/>
      </c>
      <c r="AT1385" s="7">
        <f ca="1"/>
      </c>
      <c r="AU1385">
        <f ca="1"/>
      </c>
      <c r="AV1385">
        <f ca="1"/>
      </c>
      <c r="AW1385">
        <f ca="1"/>
      </c>
      <c r="AX1385">
        <f ca="1"/>
      </c>
      <c r="AY1385">
        <f ca="1"/>
      </c>
      <c r="BA1385" s="7"/>
    </row>
    <row r="1386" spans="31:53" x14ac:dyDescent="0.55000000000000004">
      <c r="AE1386" s="7">
        <f ca="1"/>
      </c>
      <c r="AF1386">
        <f ca="1"/>
      </c>
      <c r="AG1386">
        <f ca="1"/>
      </c>
      <c r="AH1386">
        <f ca="1"/>
      </c>
      <c r="AI1386">
        <f ca="1"/>
      </c>
      <c r="AJ1386">
        <f ca="1"/>
      </c>
      <c r="AK1386">
        <f ca="1"/>
      </c>
      <c r="AL1386">
        <f ca="1"/>
      </c>
      <c r="AM1386">
        <f ca="1"/>
      </c>
      <c r="AN1386">
        <f ca="1"/>
      </c>
      <c r="AO1386">
        <f ca="1"/>
      </c>
      <c r="AP1386">
        <f ca="1"/>
      </c>
      <c r="AQ1386">
        <f ca="1"/>
      </c>
      <c r="AR1386">
        <f ca="1"/>
      </c>
      <c r="AT1386" s="7">
        <f ca="1"/>
      </c>
      <c r="AU1386">
        <f ca="1"/>
      </c>
      <c r="AV1386">
        <f ca="1"/>
      </c>
      <c r="AW1386">
        <f ca="1"/>
      </c>
      <c r="AX1386">
        <f ca="1"/>
      </c>
      <c r="AY1386">
        <f ca="1"/>
      </c>
      <c r="BA1386" s="7"/>
    </row>
    <row r="1387" spans="31:53" x14ac:dyDescent="0.55000000000000004">
      <c r="AE1387" s="7">
        <f ca="1"/>
      </c>
      <c r="AF1387">
        <f ca="1"/>
      </c>
      <c r="AG1387">
        <f ca="1"/>
      </c>
      <c r="AH1387">
        <f ca="1"/>
      </c>
      <c r="AI1387">
        <f ca="1"/>
      </c>
      <c r="AJ1387">
        <f ca="1"/>
      </c>
      <c r="AK1387">
        <f ca="1"/>
      </c>
      <c r="AL1387">
        <f ca="1"/>
      </c>
      <c r="AM1387">
        <f ca="1"/>
      </c>
      <c r="AN1387">
        <f ca="1"/>
      </c>
      <c r="AO1387">
        <f ca="1"/>
      </c>
      <c r="AP1387">
        <f ca="1"/>
      </c>
      <c r="AQ1387">
        <f ca="1"/>
      </c>
      <c r="AR1387">
        <f ca="1"/>
      </c>
      <c r="AT1387" s="7">
        <f ca="1"/>
      </c>
      <c r="AU1387">
        <f ca="1"/>
      </c>
      <c r="AV1387">
        <f ca="1"/>
      </c>
      <c r="AW1387">
        <f ca="1"/>
      </c>
      <c r="AX1387">
        <f ca="1"/>
      </c>
      <c r="AY1387">
        <f ca="1"/>
      </c>
      <c r="BA1387" s="7"/>
    </row>
    <row r="1388" spans="31:53" x14ac:dyDescent="0.55000000000000004">
      <c r="AE1388" s="7">
        <f ca="1"/>
      </c>
      <c r="AF1388">
        <f ca="1"/>
      </c>
      <c r="AG1388">
        <f ca="1"/>
      </c>
      <c r="AH1388">
        <f ca="1"/>
      </c>
      <c r="AI1388">
        <f ca="1"/>
      </c>
      <c r="AJ1388">
        <f ca="1"/>
      </c>
      <c r="AK1388">
        <f ca="1"/>
      </c>
      <c r="AL1388">
        <f ca="1"/>
      </c>
      <c r="AM1388">
        <f ca="1"/>
      </c>
      <c r="AN1388">
        <f ca="1"/>
      </c>
      <c r="AO1388">
        <f ca="1"/>
      </c>
      <c r="AP1388">
        <f ca="1"/>
      </c>
      <c r="AQ1388">
        <f ca="1"/>
      </c>
      <c r="AR1388">
        <f ca="1"/>
      </c>
      <c r="AT1388" s="7">
        <f ca="1"/>
      </c>
      <c r="AU1388">
        <f ca="1"/>
      </c>
      <c r="AV1388">
        <f ca="1"/>
      </c>
      <c r="AW1388">
        <f ca="1"/>
      </c>
      <c r="AX1388">
        <f ca="1"/>
      </c>
      <c r="AY1388">
        <f ca="1"/>
      </c>
      <c r="BA1388" s="7"/>
    </row>
    <row r="1389" spans="31:53" x14ac:dyDescent="0.55000000000000004">
      <c r="AE1389" s="7">
        <f ca="1"/>
      </c>
      <c r="AF1389">
        <f ca="1"/>
      </c>
      <c r="AG1389">
        <f ca="1"/>
      </c>
      <c r="AH1389">
        <f ca="1"/>
      </c>
      <c r="AI1389">
        <f ca="1"/>
      </c>
      <c r="AJ1389">
        <f ca="1"/>
      </c>
      <c r="AK1389">
        <f ca="1"/>
      </c>
      <c r="AL1389">
        <f ca="1"/>
      </c>
      <c r="AM1389">
        <f ca="1"/>
      </c>
      <c r="AN1389">
        <f ca="1"/>
      </c>
      <c r="AO1389">
        <f ca="1"/>
      </c>
      <c r="AP1389">
        <f ca="1"/>
      </c>
      <c r="AQ1389">
        <f ca="1"/>
      </c>
      <c r="AR1389">
        <f ca="1"/>
      </c>
      <c r="AT1389" s="7">
        <f ca="1"/>
      </c>
      <c r="AU1389">
        <f ca="1"/>
      </c>
      <c r="AV1389">
        <f ca="1"/>
      </c>
      <c r="AW1389">
        <f ca="1"/>
      </c>
      <c r="AX1389">
        <f ca="1"/>
      </c>
      <c r="AY1389">
        <f ca="1"/>
      </c>
      <c r="BA1389" s="7"/>
    </row>
    <row r="1390" spans="31:53" x14ac:dyDescent="0.55000000000000004">
      <c r="AE1390" s="7">
        <f ca="1"/>
      </c>
      <c r="AF1390">
        <f ca="1"/>
      </c>
      <c r="AG1390">
        <f ca="1"/>
      </c>
      <c r="AH1390">
        <f ca="1"/>
      </c>
      <c r="AI1390">
        <f ca="1"/>
      </c>
      <c r="AJ1390">
        <f ca="1"/>
      </c>
      <c r="AK1390">
        <f ca="1"/>
      </c>
      <c r="AL1390">
        <f ca="1"/>
      </c>
      <c r="AM1390">
        <f ca="1"/>
      </c>
      <c r="AN1390">
        <f ca="1"/>
      </c>
      <c r="AO1390">
        <f ca="1"/>
      </c>
      <c r="AP1390">
        <f ca="1"/>
      </c>
      <c r="AQ1390">
        <f ca="1"/>
      </c>
      <c r="AR1390">
        <f ca="1"/>
      </c>
      <c r="AT1390" s="7">
        <f ca="1"/>
      </c>
      <c r="AU1390">
        <f ca="1"/>
      </c>
      <c r="AV1390">
        <f ca="1"/>
      </c>
      <c r="AW1390">
        <f ca="1"/>
      </c>
      <c r="AX1390">
        <f ca="1"/>
      </c>
      <c r="AY1390">
        <f ca="1"/>
      </c>
      <c r="BA1390" s="7"/>
    </row>
    <row r="1391" spans="31:53" x14ac:dyDescent="0.55000000000000004">
      <c r="AE1391" s="7">
        <f ca="1"/>
      </c>
      <c r="AF1391">
        <f ca="1"/>
      </c>
      <c r="AG1391">
        <f ca="1"/>
      </c>
      <c r="AH1391">
        <f ca="1"/>
      </c>
      <c r="AI1391">
        <f ca="1"/>
      </c>
      <c r="AJ1391">
        <f ca="1"/>
      </c>
      <c r="AK1391">
        <f ca="1"/>
      </c>
      <c r="AL1391">
        <f ca="1"/>
      </c>
      <c r="AM1391">
        <f ca="1"/>
      </c>
      <c r="AN1391">
        <f ca="1"/>
      </c>
      <c r="AO1391">
        <f ca="1"/>
      </c>
      <c r="AP1391">
        <f ca="1"/>
      </c>
      <c r="AQ1391">
        <f ca="1"/>
      </c>
      <c r="AR1391">
        <f ca="1"/>
      </c>
      <c r="AT1391" s="7">
        <f ca="1"/>
      </c>
      <c r="AU1391">
        <f ca="1"/>
      </c>
      <c r="AV1391">
        <f ca="1"/>
      </c>
      <c r="AW1391">
        <f ca="1"/>
      </c>
      <c r="AX1391">
        <f ca="1"/>
      </c>
      <c r="AY1391">
        <f ca="1"/>
      </c>
      <c r="BA1391" s="7"/>
    </row>
    <row r="1392" spans="31:53" x14ac:dyDescent="0.55000000000000004">
      <c r="AE1392" s="7">
        <f ca="1"/>
      </c>
      <c r="AF1392">
        <f ca="1"/>
      </c>
      <c r="AG1392">
        <f ca="1"/>
      </c>
      <c r="AH1392">
        <f ca="1"/>
      </c>
      <c r="AI1392">
        <f ca="1"/>
      </c>
      <c r="AJ1392">
        <f ca="1"/>
      </c>
      <c r="AK1392">
        <f ca="1"/>
      </c>
      <c r="AL1392">
        <f ca="1"/>
      </c>
      <c r="AM1392">
        <f ca="1"/>
      </c>
      <c r="AN1392">
        <f ca="1"/>
      </c>
      <c r="AO1392">
        <f ca="1"/>
      </c>
      <c r="AP1392">
        <f ca="1"/>
      </c>
      <c r="AQ1392">
        <f ca="1"/>
      </c>
      <c r="AR1392">
        <f ca="1"/>
      </c>
      <c r="AT1392" s="7">
        <f ca="1"/>
      </c>
      <c r="AU1392">
        <f ca="1"/>
      </c>
      <c r="AV1392">
        <f ca="1"/>
      </c>
      <c r="AW1392">
        <f ca="1"/>
      </c>
      <c r="AX1392">
        <f ca="1"/>
      </c>
      <c r="AY1392">
        <f ca="1"/>
      </c>
      <c r="BA1392" s="7"/>
    </row>
    <row r="1393" spans="31:53" x14ac:dyDescent="0.55000000000000004">
      <c r="AE1393" s="7">
        <f ca="1"/>
      </c>
      <c r="AF1393">
        <f ca="1"/>
      </c>
      <c r="AG1393">
        <f ca="1"/>
      </c>
      <c r="AH1393">
        <f ca="1"/>
      </c>
      <c r="AI1393">
        <f ca="1"/>
      </c>
      <c r="AJ1393">
        <f ca="1"/>
      </c>
      <c r="AK1393">
        <f ca="1"/>
      </c>
      <c r="AL1393">
        <f ca="1"/>
      </c>
      <c r="AM1393">
        <f ca="1"/>
      </c>
      <c r="AN1393">
        <f ca="1"/>
      </c>
      <c r="AO1393">
        <f ca="1"/>
      </c>
      <c r="AP1393">
        <f ca="1"/>
      </c>
      <c r="AQ1393">
        <f ca="1"/>
      </c>
      <c r="AR1393">
        <f ca="1"/>
      </c>
      <c r="AT1393" s="7">
        <f ca="1"/>
      </c>
      <c r="AU1393">
        <f ca="1"/>
      </c>
      <c r="AV1393">
        <f ca="1"/>
      </c>
      <c r="AW1393">
        <f ca="1"/>
      </c>
      <c r="AX1393">
        <f ca="1"/>
      </c>
      <c r="AY1393">
        <f ca="1"/>
      </c>
      <c r="BA1393" s="7"/>
    </row>
    <row r="1394" spans="31:53" x14ac:dyDescent="0.55000000000000004">
      <c r="AE1394" s="7">
        <f ca="1"/>
      </c>
      <c r="AF1394">
        <f ca="1"/>
      </c>
      <c r="AG1394">
        <f ca="1"/>
      </c>
      <c r="AH1394">
        <f ca="1"/>
      </c>
      <c r="AI1394">
        <f ca="1"/>
      </c>
      <c r="AJ1394">
        <f ca="1"/>
      </c>
      <c r="AK1394">
        <f ca="1"/>
      </c>
      <c r="AL1394">
        <f ca="1"/>
      </c>
      <c r="AM1394">
        <f ca="1"/>
      </c>
      <c r="AN1394">
        <f ca="1"/>
      </c>
      <c r="AO1394">
        <f ca="1"/>
      </c>
      <c r="AP1394">
        <f ca="1"/>
      </c>
      <c r="AQ1394">
        <f ca="1"/>
      </c>
      <c r="AR1394">
        <f ca="1"/>
      </c>
      <c r="AT1394" s="7">
        <f ca="1"/>
      </c>
      <c r="AU1394">
        <f ca="1"/>
      </c>
      <c r="AV1394">
        <f ca="1"/>
      </c>
      <c r="AW1394">
        <f ca="1"/>
      </c>
      <c r="AX1394">
        <f ca="1"/>
      </c>
      <c r="AY1394">
        <f ca="1"/>
      </c>
      <c r="BA1394" s="7"/>
    </row>
    <row r="1395" spans="31:53" x14ac:dyDescent="0.55000000000000004">
      <c r="AE1395" s="7">
        <f ca="1"/>
      </c>
      <c r="AF1395">
        <f ca="1"/>
      </c>
      <c r="AG1395">
        <f ca="1"/>
      </c>
      <c r="AH1395">
        <f ca="1"/>
      </c>
      <c r="AI1395">
        <f ca="1"/>
      </c>
      <c r="AJ1395">
        <f ca="1"/>
      </c>
      <c r="AK1395">
        <f ca="1"/>
      </c>
      <c r="AL1395">
        <f ca="1"/>
      </c>
      <c r="AM1395">
        <f ca="1"/>
      </c>
      <c r="AN1395">
        <f ca="1"/>
      </c>
      <c r="AO1395">
        <f ca="1"/>
      </c>
      <c r="AP1395">
        <f ca="1"/>
      </c>
      <c r="AQ1395">
        <f ca="1"/>
      </c>
      <c r="AR1395">
        <f ca="1"/>
      </c>
      <c r="AT1395" s="7">
        <f ca="1"/>
      </c>
      <c r="AU1395">
        <f ca="1"/>
      </c>
      <c r="AV1395">
        <f ca="1"/>
      </c>
      <c r="AW1395">
        <f ca="1"/>
      </c>
      <c r="AX1395">
        <f ca="1"/>
      </c>
      <c r="AY1395">
        <f ca="1"/>
      </c>
      <c r="BA1395" s="7"/>
    </row>
    <row r="1396" spans="31:53" x14ac:dyDescent="0.55000000000000004">
      <c r="AE1396" s="7">
        <f ca="1"/>
      </c>
      <c r="AF1396">
        <f ca="1"/>
      </c>
      <c r="AG1396">
        <f ca="1"/>
      </c>
      <c r="AH1396">
        <f ca="1"/>
      </c>
      <c r="AI1396">
        <f ca="1"/>
      </c>
      <c r="AJ1396">
        <f ca="1"/>
      </c>
      <c r="AK1396">
        <f ca="1"/>
      </c>
      <c r="AL1396">
        <f ca="1"/>
      </c>
      <c r="AM1396">
        <f ca="1"/>
      </c>
      <c r="AN1396">
        <f ca="1"/>
      </c>
      <c r="AO1396">
        <f ca="1"/>
      </c>
      <c r="AP1396">
        <f ca="1"/>
      </c>
      <c r="AQ1396">
        <f ca="1"/>
      </c>
      <c r="AR1396">
        <f ca="1"/>
      </c>
      <c r="AT1396" s="7">
        <f ca="1"/>
      </c>
      <c r="AU1396">
        <f ca="1"/>
      </c>
      <c r="AV1396">
        <f ca="1"/>
      </c>
      <c r="AW1396">
        <f ca="1"/>
      </c>
      <c r="AX1396">
        <f ca="1"/>
      </c>
      <c r="AY1396">
        <f ca="1"/>
      </c>
      <c r="BA1396" s="7"/>
    </row>
    <row r="1397" spans="31:53" x14ac:dyDescent="0.55000000000000004">
      <c r="AE1397" s="7">
        <f ca="1"/>
      </c>
      <c r="AF1397">
        <f ca="1"/>
      </c>
      <c r="AG1397">
        <f ca="1"/>
      </c>
      <c r="AH1397">
        <f ca="1"/>
      </c>
      <c r="AI1397">
        <f ca="1"/>
      </c>
      <c r="AJ1397">
        <f ca="1"/>
      </c>
      <c r="AK1397">
        <f ca="1"/>
      </c>
      <c r="AL1397">
        <f ca="1"/>
      </c>
      <c r="AM1397">
        <f ca="1"/>
      </c>
      <c r="AN1397">
        <f ca="1"/>
      </c>
      <c r="AO1397">
        <f ca="1"/>
      </c>
      <c r="AP1397">
        <f ca="1"/>
      </c>
      <c r="AQ1397">
        <f ca="1"/>
      </c>
      <c r="AR1397">
        <f ca="1"/>
      </c>
      <c r="AT1397" s="7">
        <f ca="1"/>
      </c>
      <c r="AU1397">
        <f ca="1"/>
      </c>
      <c r="AV1397">
        <f ca="1"/>
      </c>
      <c r="AW1397">
        <f ca="1"/>
      </c>
      <c r="AX1397">
        <f ca="1"/>
      </c>
      <c r="AY1397">
        <f ca="1"/>
      </c>
      <c r="BA1397" s="7"/>
    </row>
    <row r="1398" spans="31:53" x14ac:dyDescent="0.55000000000000004">
      <c r="AE1398" s="7">
        <f ca="1"/>
      </c>
      <c r="AF1398">
        <f ca="1"/>
      </c>
      <c r="AG1398">
        <f ca="1"/>
      </c>
      <c r="AH1398">
        <f ca="1"/>
      </c>
      <c r="AI1398">
        <f ca="1"/>
      </c>
      <c r="AJ1398">
        <f ca="1"/>
      </c>
      <c r="AK1398">
        <f ca="1"/>
      </c>
      <c r="AL1398">
        <f ca="1"/>
      </c>
      <c r="AM1398">
        <f ca="1"/>
      </c>
      <c r="AN1398">
        <f ca="1"/>
      </c>
      <c r="AO1398">
        <f ca="1"/>
      </c>
      <c r="AP1398">
        <f ca="1"/>
      </c>
      <c r="AQ1398">
        <f ca="1"/>
      </c>
      <c r="AR1398">
        <f ca="1"/>
      </c>
      <c r="AT1398" s="7">
        <f ca="1"/>
      </c>
      <c r="AU1398">
        <f ca="1"/>
      </c>
      <c r="AV1398">
        <f ca="1"/>
      </c>
      <c r="AW1398">
        <f ca="1"/>
      </c>
      <c r="AX1398">
        <f ca="1"/>
      </c>
      <c r="AY1398">
        <f ca="1"/>
      </c>
      <c r="BA1398" s="7"/>
    </row>
    <row r="1399" spans="31:53" x14ac:dyDescent="0.55000000000000004">
      <c r="AE1399" s="7">
        <f ca="1"/>
      </c>
      <c r="AF1399">
        <f ca="1"/>
      </c>
      <c r="AG1399">
        <f ca="1"/>
      </c>
      <c r="AH1399">
        <f ca="1"/>
      </c>
      <c r="AI1399">
        <f ca="1"/>
      </c>
      <c r="AJ1399">
        <f ca="1"/>
      </c>
      <c r="AK1399">
        <f ca="1"/>
      </c>
      <c r="AL1399">
        <f ca="1"/>
      </c>
      <c r="AM1399">
        <f ca="1"/>
      </c>
      <c r="AN1399">
        <f ca="1"/>
      </c>
      <c r="AO1399">
        <f ca="1"/>
      </c>
      <c r="AP1399">
        <f ca="1"/>
      </c>
      <c r="AQ1399">
        <f ca="1"/>
      </c>
      <c r="AR1399">
        <f ca="1"/>
      </c>
      <c r="AT1399" s="7">
        <f ca="1"/>
      </c>
      <c r="AU1399">
        <f ca="1"/>
      </c>
      <c r="AV1399">
        <f ca="1"/>
      </c>
      <c r="AW1399">
        <f ca="1"/>
      </c>
      <c r="AX1399">
        <f ca="1"/>
      </c>
      <c r="AY1399">
        <f ca="1"/>
      </c>
      <c r="BA1399" s="7"/>
    </row>
    <row r="1400" spans="31:53" x14ac:dyDescent="0.55000000000000004">
      <c r="AE1400" s="7">
        <f ca="1"/>
      </c>
      <c r="AF1400">
        <f ca="1"/>
      </c>
      <c r="AG1400">
        <f ca="1"/>
      </c>
      <c r="AH1400">
        <f ca="1"/>
      </c>
      <c r="AI1400">
        <f ca="1"/>
      </c>
      <c r="AJ1400">
        <f ca="1"/>
      </c>
      <c r="AK1400">
        <f ca="1"/>
      </c>
      <c r="AL1400">
        <f ca="1"/>
      </c>
      <c r="AM1400">
        <f ca="1"/>
      </c>
      <c r="AN1400">
        <f ca="1"/>
      </c>
      <c r="AO1400">
        <f ca="1"/>
      </c>
      <c r="AP1400">
        <f ca="1"/>
      </c>
      <c r="AQ1400">
        <f ca="1"/>
      </c>
      <c r="AR1400">
        <f ca="1"/>
      </c>
      <c r="AT1400" s="7">
        <f ca="1"/>
      </c>
      <c r="AU1400">
        <f ca="1"/>
      </c>
      <c r="AV1400">
        <f ca="1"/>
      </c>
      <c r="AW1400">
        <f ca="1"/>
      </c>
      <c r="AX1400">
        <f ca="1"/>
      </c>
      <c r="AY1400">
        <f ca="1"/>
      </c>
      <c r="BA1400" s="7"/>
    </row>
    <row r="1401" spans="31:53" x14ac:dyDescent="0.55000000000000004">
      <c r="AE1401" s="7">
        <f ca="1"/>
      </c>
      <c r="AF1401">
        <f ca="1"/>
      </c>
      <c r="AG1401">
        <f ca="1"/>
      </c>
      <c r="AH1401">
        <f ca="1"/>
      </c>
      <c r="AI1401">
        <f ca="1"/>
      </c>
      <c r="AJ1401">
        <f ca="1"/>
      </c>
      <c r="AK1401">
        <f ca="1"/>
      </c>
      <c r="AL1401">
        <f ca="1"/>
      </c>
      <c r="AM1401">
        <f ca="1"/>
      </c>
      <c r="AN1401">
        <f ca="1"/>
      </c>
      <c r="AO1401">
        <f ca="1"/>
      </c>
      <c r="AP1401">
        <f ca="1"/>
      </c>
      <c r="AQ1401">
        <f ca="1"/>
      </c>
      <c r="AR1401">
        <f ca="1"/>
      </c>
      <c r="AT1401" s="7">
        <f ca="1"/>
      </c>
      <c r="AU1401">
        <f ca="1"/>
      </c>
      <c r="AV1401">
        <f ca="1"/>
      </c>
      <c r="AW1401">
        <f ca="1"/>
      </c>
      <c r="AX1401">
        <f ca="1"/>
      </c>
      <c r="AY1401">
        <f ca="1"/>
      </c>
      <c r="BA1401" s="7"/>
    </row>
    <row r="1402" spans="31:53" x14ac:dyDescent="0.55000000000000004">
      <c r="AE1402" s="7">
        <f ca="1"/>
      </c>
      <c r="AF1402">
        <f ca="1"/>
      </c>
      <c r="AG1402">
        <f ca="1"/>
      </c>
      <c r="AH1402">
        <f ca="1"/>
      </c>
      <c r="AI1402">
        <f ca="1"/>
      </c>
      <c r="AJ1402">
        <f ca="1"/>
      </c>
      <c r="AK1402">
        <f ca="1"/>
      </c>
      <c r="AL1402">
        <f ca="1"/>
      </c>
      <c r="AM1402">
        <f ca="1"/>
      </c>
      <c r="AN1402">
        <f ca="1"/>
      </c>
      <c r="AO1402">
        <f ca="1"/>
      </c>
      <c r="AP1402">
        <f ca="1"/>
      </c>
      <c r="AQ1402">
        <f ca="1"/>
      </c>
      <c r="AR1402">
        <f ca="1"/>
      </c>
      <c r="AT1402" s="7">
        <f ca="1"/>
      </c>
      <c r="AU1402">
        <f ca="1"/>
      </c>
      <c r="AV1402">
        <f ca="1"/>
      </c>
      <c r="AW1402">
        <f ca="1"/>
      </c>
      <c r="AX1402">
        <f ca="1"/>
      </c>
      <c r="AY1402">
        <f ca="1"/>
      </c>
      <c r="BA1402" s="7"/>
    </row>
    <row r="1403" spans="31:53" x14ac:dyDescent="0.55000000000000004">
      <c r="AE1403" s="7">
        <f ca="1"/>
      </c>
      <c r="AF1403">
        <f ca="1"/>
      </c>
      <c r="AG1403">
        <f ca="1"/>
      </c>
      <c r="AH1403">
        <f ca="1"/>
      </c>
      <c r="AI1403">
        <f ca="1"/>
      </c>
      <c r="AJ1403">
        <f ca="1"/>
      </c>
      <c r="AK1403">
        <f ca="1"/>
      </c>
      <c r="AL1403">
        <f ca="1"/>
      </c>
      <c r="AM1403">
        <f ca="1"/>
      </c>
      <c r="AN1403">
        <f ca="1"/>
      </c>
      <c r="AO1403">
        <f ca="1"/>
      </c>
      <c r="AP1403">
        <f ca="1"/>
      </c>
      <c r="AQ1403">
        <f ca="1"/>
      </c>
      <c r="AR1403">
        <f ca="1"/>
      </c>
      <c r="AT1403" s="7">
        <f ca="1"/>
      </c>
      <c r="AU1403">
        <f ca="1"/>
      </c>
      <c r="AV1403">
        <f ca="1"/>
      </c>
      <c r="AW1403">
        <f ca="1"/>
      </c>
      <c r="AX1403">
        <f ca="1"/>
      </c>
      <c r="AY1403">
        <f ca="1"/>
      </c>
      <c r="BA1403" s="7"/>
    </row>
    <row r="1404" spans="31:53" x14ac:dyDescent="0.55000000000000004">
      <c r="AE1404" s="7">
        <f ca="1"/>
      </c>
      <c r="AF1404">
        <f ca="1"/>
      </c>
      <c r="AG1404">
        <f ca="1"/>
      </c>
      <c r="AH1404">
        <f ca="1"/>
      </c>
      <c r="AI1404">
        <f ca="1"/>
      </c>
      <c r="AJ1404">
        <f ca="1"/>
      </c>
      <c r="AK1404">
        <f ca="1"/>
      </c>
      <c r="AL1404">
        <f ca="1"/>
      </c>
      <c r="AM1404">
        <f ca="1"/>
      </c>
      <c r="AN1404">
        <f ca="1"/>
      </c>
      <c r="AO1404">
        <f ca="1"/>
      </c>
      <c r="AP1404">
        <f ca="1"/>
      </c>
      <c r="AQ1404">
        <f ca="1"/>
      </c>
      <c r="AR1404">
        <f ca="1"/>
      </c>
      <c r="AT1404" s="7">
        <f ca="1"/>
      </c>
      <c r="AU1404">
        <f ca="1"/>
      </c>
      <c r="AV1404">
        <f ca="1"/>
      </c>
      <c r="AW1404">
        <f ca="1"/>
      </c>
      <c r="AX1404">
        <f ca="1"/>
      </c>
      <c r="AY1404">
        <f ca="1"/>
      </c>
      <c r="BA1404" s="7"/>
    </row>
    <row r="1405" spans="31:53" x14ac:dyDescent="0.55000000000000004">
      <c r="AE1405" s="7">
        <f ca="1"/>
      </c>
      <c r="AF1405">
        <f ca="1"/>
      </c>
      <c r="AG1405">
        <f ca="1"/>
      </c>
      <c r="AH1405">
        <f ca="1"/>
      </c>
      <c r="AI1405">
        <f ca="1"/>
      </c>
      <c r="AJ1405">
        <f ca="1"/>
      </c>
      <c r="AK1405">
        <f ca="1"/>
      </c>
      <c r="AL1405">
        <f ca="1"/>
      </c>
      <c r="AM1405">
        <f ca="1"/>
      </c>
      <c r="AN1405">
        <f ca="1"/>
      </c>
      <c r="AO1405">
        <f ca="1"/>
      </c>
      <c r="AP1405">
        <f ca="1"/>
      </c>
      <c r="AQ1405">
        <f ca="1"/>
      </c>
      <c r="AR1405">
        <f ca="1"/>
      </c>
      <c r="AT1405" s="7">
        <f ca="1"/>
      </c>
      <c r="AU1405">
        <f ca="1"/>
      </c>
      <c r="AV1405">
        <f ca="1"/>
      </c>
      <c r="AW1405">
        <f ca="1"/>
      </c>
      <c r="AX1405">
        <f ca="1"/>
      </c>
      <c r="AY1405">
        <f ca="1"/>
      </c>
      <c r="BA1405" s="7"/>
    </row>
    <row r="1406" spans="31:53" x14ac:dyDescent="0.55000000000000004">
      <c r="AE1406" s="7">
        <f ca="1"/>
      </c>
      <c r="AF1406">
        <f ca="1"/>
      </c>
      <c r="AG1406">
        <f ca="1"/>
      </c>
      <c r="AH1406">
        <f ca="1"/>
      </c>
      <c r="AI1406">
        <f ca="1"/>
      </c>
      <c r="AJ1406">
        <f ca="1"/>
      </c>
      <c r="AK1406">
        <f ca="1"/>
      </c>
      <c r="AL1406">
        <f ca="1"/>
      </c>
      <c r="AM1406">
        <f ca="1"/>
      </c>
      <c r="AN1406">
        <f ca="1"/>
      </c>
      <c r="AO1406">
        <f ca="1"/>
      </c>
      <c r="AP1406">
        <f ca="1"/>
      </c>
      <c r="AQ1406">
        <f ca="1"/>
      </c>
      <c r="AR1406">
        <f ca="1"/>
      </c>
      <c r="AT1406" s="7">
        <f ca="1"/>
      </c>
      <c r="AU1406">
        <f ca="1"/>
      </c>
      <c r="AV1406">
        <f ca="1"/>
      </c>
      <c r="AW1406">
        <f ca="1"/>
      </c>
      <c r="AX1406">
        <f ca="1"/>
      </c>
      <c r="AY1406">
        <f ca="1"/>
      </c>
      <c r="BA1406" s="7"/>
    </row>
    <row r="1407" spans="31:53" x14ac:dyDescent="0.55000000000000004">
      <c r="AE1407" s="7">
        <f ca="1"/>
      </c>
      <c r="AF1407">
        <f ca="1"/>
      </c>
      <c r="AG1407">
        <f ca="1"/>
      </c>
      <c r="AH1407">
        <f ca="1"/>
      </c>
      <c r="AI1407">
        <f ca="1"/>
      </c>
      <c r="AJ1407">
        <f ca="1"/>
      </c>
      <c r="AK1407">
        <f ca="1"/>
      </c>
      <c r="AL1407">
        <f ca="1"/>
      </c>
      <c r="AM1407">
        <f ca="1"/>
      </c>
      <c r="AN1407">
        <f ca="1"/>
      </c>
      <c r="AO1407">
        <f ca="1"/>
      </c>
      <c r="AP1407">
        <f ca="1"/>
      </c>
      <c r="AQ1407">
        <f ca="1"/>
      </c>
      <c r="AR1407">
        <f ca="1"/>
      </c>
      <c r="AT1407" s="7">
        <f ca="1"/>
      </c>
      <c r="AU1407">
        <f ca="1"/>
      </c>
      <c r="AV1407">
        <f ca="1"/>
      </c>
      <c r="AW1407">
        <f ca="1"/>
      </c>
      <c r="AX1407">
        <f ca="1"/>
      </c>
      <c r="AY1407">
        <f ca="1"/>
      </c>
      <c r="BA1407" s="7"/>
    </row>
    <row r="1408" spans="31:53" x14ac:dyDescent="0.55000000000000004">
      <c r="AE1408" s="7">
        <f ca="1"/>
      </c>
      <c r="AF1408">
        <f ca="1"/>
      </c>
      <c r="AG1408">
        <f ca="1"/>
      </c>
      <c r="AH1408">
        <f ca="1"/>
      </c>
      <c r="AI1408">
        <f ca="1"/>
      </c>
      <c r="AJ1408">
        <f ca="1"/>
      </c>
      <c r="AK1408">
        <f ca="1"/>
      </c>
      <c r="AL1408">
        <f ca="1"/>
      </c>
      <c r="AM1408">
        <f ca="1"/>
      </c>
      <c r="AN1408">
        <f ca="1"/>
      </c>
      <c r="AO1408">
        <f ca="1"/>
      </c>
      <c r="AP1408">
        <f ca="1"/>
      </c>
      <c r="AQ1408">
        <f ca="1"/>
      </c>
      <c r="AR1408">
        <f ca="1"/>
      </c>
      <c r="AT1408" s="7">
        <f ca="1"/>
      </c>
      <c r="AU1408">
        <f ca="1"/>
      </c>
      <c r="AV1408">
        <f ca="1"/>
      </c>
      <c r="AW1408">
        <f ca="1"/>
      </c>
      <c r="AX1408">
        <f ca="1"/>
      </c>
      <c r="AY1408">
        <f ca="1"/>
      </c>
      <c r="BA1408" s="7"/>
    </row>
    <row r="1409" spans="31:53" x14ac:dyDescent="0.55000000000000004">
      <c r="AE1409" s="7">
        <f ca="1"/>
      </c>
      <c r="AF1409">
        <f ca="1"/>
      </c>
      <c r="AG1409">
        <f ca="1"/>
      </c>
      <c r="AH1409">
        <f ca="1"/>
      </c>
      <c r="AI1409">
        <f ca="1"/>
      </c>
      <c r="AJ1409">
        <f ca="1"/>
      </c>
      <c r="AK1409">
        <f ca="1"/>
      </c>
      <c r="AL1409">
        <f ca="1"/>
      </c>
      <c r="AM1409">
        <f ca="1"/>
      </c>
      <c r="AN1409">
        <f ca="1"/>
      </c>
      <c r="AO1409">
        <f ca="1"/>
      </c>
      <c r="AP1409">
        <f ca="1"/>
      </c>
      <c r="AQ1409">
        <f ca="1"/>
      </c>
      <c r="AR1409">
        <f ca="1"/>
      </c>
      <c r="AT1409" s="7">
        <f ca="1"/>
      </c>
      <c r="AU1409">
        <f ca="1"/>
      </c>
      <c r="AV1409">
        <f ca="1"/>
      </c>
      <c r="AW1409">
        <f ca="1"/>
      </c>
      <c r="AX1409">
        <f ca="1"/>
      </c>
      <c r="AY1409">
        <f ca="1"/>
      </c>
      <c r="BA1409" s="7"/>
    </row>
    <row r="1410" spans="31:53" x14ac:dyDescent="0.55000000000000004">
      <c r="AE1410" s="7">
        <f ca="1"/>
      </c>
      <c r="AF1410">
        <f ca="1"/>
      </c>
      <c r="AG1410">
        <f ca="1"/>
      </c>
      <c r="AH1410">
        <f ca="1"/>
      </c>
      <c r="AI1410">
        <f ca="1"/>
      </c>
      <c r="AJ1410">
        <f ca="1"/>
      </c>
      <c r="AK1410">
        <f ca="1"/>
      </c>
      <c r="AL1410">
        <f ca="1"/>
      </c>
      <c r="AM1410">
        <f ca="1"/>
      </c>
      <c r="AN1410">
        <f ca="1"/>
      </c>
      <c r="AO1410">
        <f ca="1"/>
      </c>
      <c r="AP1410">
        <f ca="1"/>
      </c>
      <c r="AQ1410">
        <f ca="1"/>
      </c>
      <c r="AR1410">
        <f ca="1"/>
      </c>
      <c r="AT1410" s="7">
        <f ca="1"/>
      </c>
      <c r="AU1410">
        <f ca="1"/>
      </c>
      <c r="AV1410">
        <f ca="1"/>
      </c>
      <c r="AW1410">
        <f ca="1"/>
      </c>
      <c r="AX1410">
        <f ca="1"/>
      </c>
      <c r="AY1410">
        <f ca="1"/>
      </c>
      <c r="BA1410" s="7"/>
    </row>
    <row r="1411" spans="31:53" x14ac:dyDescent="0.55000000000000004">
      <c r="AE1411" s="7">
        <f ca="1"/>
      </c>
      <c r="AF1411">
        <f ca="1"/>
      </c>
      <c r="AG1411">
        <f ca="1"/>
      </c>
      <c r="AH1411">
        <f ca="1"/>
      </c>
      <c r="AI1411">
        <f ca="1"/>
      </c>
      <c r="AJ1411">
        <f ca="1"/>
      </c>
      <c r="AK1411">
        <f ca="1"/>
      </c>
      <c r="AL1411">
        <f ca="1"/>
      </c>
      <c r="AM1411">
        <f ca="1"/>
      </c>
      <c r="AN1411">
        <f ca="1"/>
      </c>
      <c r="AO1411">
        <f ca="1"/>
      </c>
      <c r="AP1411">
        <f ca="1"/>
      </c>
      <c r="AQ1411">
        <f ca="1"/>
      </c>
      <c r="AR1411">
        <f ca="1"/>
      </c>
      <c r="AT1411" s="7">
        <f ca="1"/>
      </c>
      <c r="AU1411">
        <f ca="1"/>
      </c>
      <c r="AV1411">
        <f ca="1"/>
      </c>
      <c r="AW1411">
        <f ca="1"/>
      </c>
      <c r="AX1411">
        <f ca="1"/>
      </c>
      <c r="AY1411">
        <f ca="1"/>
      </c>
      <c r="BA1411" s="7"/>
    </row>
    <row r="1412" spans="31:53" x14ac:dyDescent="0.55000000000000004">
      <c r="AE1412" s="7">
        <f ca="1"/>
      </c>
      <c r="AF1412">
        <f ca="1"/>
      </c>
      <c r="AG1412">
        <f ca="1"/>
      </c>
      <c r="AH1412">
        <f ca="1"/>
      </c>
      <c r="AI1412">
        <f ca="1"/>
      </c>
      <c r="AJ1412">
        <f ca="1"/>
      </c>
      <c r="AK1412">
        <f ca="1"/>
      </c>
      <c r="AL1412">
        <f ca="1"/>
      </c>
      <c r="AM1412">
        <f ca="1"/>
      </c>
      <c r="AN1412">
        <f ca="1"/>
      </c>
      <c r="AO1412">
        <f ca="1"/>
      </c>
      <c r="AP1412">
        <f ca="1"/>
      </c>
      <c r="AQ1412">
        <f ca="1"/>
      </c>
      <c r="AR1412">
        <f ca="1"/>
      </c>
      <c r="AT1412" s="7">
        <f ca="1"/>
      </c>
      <c r="AU1412">
        <f ca="1"/>
      </c>
      <c r="AV1412">
        <f ca="1"/>
      </c>
      <c r="AW1412">
        <f ca="1"/>
      </c>
      <c r="AX1412">
        <f ca="1"/>
      </c>
      <c r="AY1412">
        <f ca="1"/>
      </c>
      <c r="BA1412" s="7"/>
    </row>
    <row r="1413" spans="31:53" x14ac:dyDescent="0.55000000000000004">
      <c r="AE1413" s="7">
        <f ca="1"/>
      </c>
      <c r="AF1413">
        <f ca="1"/>
      </c>
      <c r="AG1413">
        <f ca="1"/>
      </c>
      <c r="AH1413">
        <f ca="1"/>
      </c>
      <c r="AI1413">
        <f ca="1"/>
      </c>
      <c r="AJ1413">
        <f ca="1"/>
      </c>
      <c r="AK1413">
        <f ca="1"/>
      </c>
      <c r="AL1413">
        <f ca="1"/>
      </c>
      <c r="AM1413">
        <f ca="1"/>
      </c>
      <c r="AN1413">
        <f ca="1"/>
      </c>
      <c r="AO1413">
        <f ca="1"/>
      </c>
      <c r="AP1413">
        <f ca="1"/>
      </c>
      <c r="AQ1413">
        <f ca="1"/>
      </c>
      <c r="AR1413">
        <f ca="1"/>
      </c>
      <c r="AT1413" s="7">
        <f ca="1"/>
      </c>
      <c r="AU1413">
        <f ca="1"/>
      </c>
      <c r="AV1413">
        <f ca="1"/>
      </c>
      <c r="AW1413">
        <f ca="1"/>
      </c>
      <c r="AX1413">
        <f ca="1"/>
      </c>
      <c r="AY1413">
        <f ca="1"/>
      </c>
      <c r="BA1413" s="7"/>
    </row>
    <row r="1414" spans="31:53" x14ac:dyDescent="0.55000000000000004">
      <c r="AE1414" s="7">
        <f ca="1"/>
      </c>
      <c r="AF1414">
        <f ca="1"/>
      </c>
      <c r="AG1414">
        <f ca="1"/>
      </c>
      <c r="AH1414">
        <f ca="1"/>
      </c>
      <c r="AI1414">
        <f ca="1"/>
      </c>
      <c r="AJ1414">
        <f ca="1"/>
      </c>
      <c r="AK1414">
        <f ca="1"/>
      </c>
      <c r="AL1414">
        <f ca="1"/>
      </c>
      <c r="AM1414">
        <f ca="1"/>
      </c>
      <c r="AN1414">
        <f ca="1"/>
      </c>
      <c r="AO1414">
        <f ca="1"/>
      </c>
      <c r="AP1414">
        <f ca="1"/>
      </c>
      <c r="AQ1414">
        <f ca="1"/>
      </c>
      <c r="AR1414">
        <f ca="1"/>
      </c>
      <c r="AT1414" s="7">
        <f ca="1"/>
      </c>
      <c r="AU1414">
        <f ca="1"/>
      </c>
      <c r="AV1414">
        <f ca="1"/>
      </c>
      <c r="AW1414">
        <f ca="1"/>
      </c>
      <c r="AX1414">
        <f ca="1"/>
      </c>
      <c r="AY1414">
        <f ca="1"/>
      </c>
      <c r="BA1414" s="7"/>
    </row>
    <row r="1415" spans="31:53" x14ac:dyDescent="0.55000000000000004">
      <c r="AE1415" s="7">
        <f ca="1"/>
      </c>
      <c r="AF1415">
        <f ca="1"/>
      </c>
      <c r="AG1415">
        <f ca="1"/>
      </c>
      <c r="AH1415">
        <f ca="1"/>
      </c>
      <c r="AI1415">
        <f ca="1"/>
      </c>
      <c r="AJ1415">
        <f ca="1"/>
      </c>
      <c r="AK1415">
        <f ca="1"/>
      </c>
      <c r="AL1415">
        <f ca="1"/>
      </c>
      <c r="AM1415">
        <f ca="1"/>
      </c>
      <c r="AN1415">
        <f ca="1"/>
      </c>
      <c r="AO1415">
        <f ca="1"/>
      </c>
      <c r="AP1415">
        <f ca="1"/>
      </c>
      <c r="AQ1415">
        <f ca="1"/>
      </c>
      <c r="AR1415">
        <f ca="1"/>
      </c>
      <c r="AT1415" s="7">
        <f ca="1"/>
      </c>
      <c r="AU1415">
        <f ca="1"/>
      </c>
      <c r="AV1415">
        <f ca="1"/>
      </c>
      <c r="AW1415">
        <f ca="1"/>
      </c>
      <c r="AX1415">
        <f ca="1"/>
      </c>
      <c r="AY1415">
        <f ca="1"/>
      </c>
      <c r="BA1415" s="7"/>
    </row>
    <row r="1416" spans="31:53" x14ac:dyDescent="0.55000000000000004">
      <c r="AE1416" s="7">
        <f ca="1"/>
      </c>
      <c r="AF1416">
        <f ca="1"/>
      </c>
      <c r="AG1416">
        <f ca="1"/>
      </c>
      <c r="AH1416">
        <f ca="1"/>
      </c>
      <c r="AI1416">
        <f ca="1"/>
      </c>
      <c r="AJ1416">
        <f ca="1"/>
      </c>
      <c r="AK1416">
        <f ca="1"/>
      </c>
      <c r="AL1416">
        <f ca="1"/>
      </c>
      <c r="AM1416">
        <f ca="1"/>
      </c>
      <c r="AN1416">
        <f ca="1"/>
      </c>
      <c r="AO1416">
        <f ca="1"/>
      </c>
      <c r="AP1416">
        <f ca="1"/>
      </c>
      <c r="AQ1416">
        <f ca="1"/>
      </c>
      <c r="AR1416">
        <f ca="1"/>
      </c>
      <c r="AT1416" s="7">
        <f ca="1"/>
      </c>
      <c r="AU1416">
        <f ca="1"/>
      </c>
      <c r="AV1416">
        <f ca="1"/>
      </c>
      <c r="AW1416">
        <f ca="1"/>
      </c>
      <c r="AX1416">
        <f ca="1"/>
      </c>
      <c r="AY1416">
        <f ca="1"/>
      </c>
      <c r="BA1416" s="7"/>
    </row>
    <row r="1417" spans="31:53" x14ac:dyDescent="0.55000000000000004">
      <c r="AE1417" s="7">
        <f ca="1"/>
      </c>
      <c r="AF1417">
        <f ca="1"/>
      </c>
      <c r="AG1417">
        <f ca="1"/>
      </c>
      <c r="AH1417">
        <f ca="1"/>
      </c>
      <c r="AI1417">
        <f ca="1"/>
      </c>
      <c r="AJ1417">
        <f ca="1"/>
      </c>
      <c r="AK1417">
        <f ca="1"/>
      </c>
      <c r="AL1417">
        <f ca="1"/>
      </c>
      <c r="AM1417">
        <f ca="1"/>
      </c>
      <c r="AN1417">
        <f ca="1"/>
      </c>
      <c r="AO1417">
        <f ca="1"/>
      </c>
      <c r="AP1417">
        <f ca="1"/>
      </c>
      <c r="AQ1417">
        <f ca="1"/>
      </c>
      <c r="AR1417">
        <f ca="1"/>
      </c>
      <c r="AT1417" s="7">
        <f ca="1"/>
      </c>
      <c r="AU1417">
        <f ca="1"/>
      </c>
      <c r="AV1417">
        <f ca="1"/>
      </c>
      <c r="AW1417">
        <f ca="1"/>
      </c>
      <c r="AX1417">
        <f ca="1"/>
      </c>
      <c r="AY1417">
        <f ca="1"/>
      </c>
      <c r="BA1417" s="7"/>
    </row>
    <row r="1418" spans="31:53" x14ac:dyDescent="0.55000000000000004">
      <c r="AE1418" s="7">
        <f ca="1"/>
      </c>
      <c r="AF1418">
        <f ca="1"/>
      </c>
      <c r="AG1418">
        <f ca="1"/>
      </c>
      <c r="AH1418">
        <f ca="1"/>
      </c>
      <c r="AI1418">
        <f ca="1"/>
      </c>
      <c r="AJ1418">
        <f ca="1"/>
      </c>
      <c r="AK1418">
        <f ca="1"/>
      </c>
      <c r="AL1418">
        <f ca="1"/>
      </c>
      <c r="AM1418">
        <f ca="1"/>
      </c>
      <c r="AN1418">
        <f ca="1"/>
      </c>
      <c r="AO1418">
        <f ca="1"/>
      </c>
      <c r="AP1418">
        <f ca="1"/>
      </c>
      <c r="AQ1418">
        <f ca="1"/>
      </c>
      <c r="AR1418">
        <f ca="1"/>
      </c>
      <c r="AT1418" s="7">
        <f ca="1"/>
      </c>
      <c r="AU1418">
        <f ca="1"/>
      </c>
      <c r="AV1418">
        <f ca="1"/>
      </c>
      <c r="AW1418">
        <f ca="1"/>
      </c>
      <c r="AX1418">
        <f ca="1"/>
      </c>
      <c r="AY1418">
        <f ca="1"/>
      </c>
      <c r="BA1418" s="7"/>
    </row>
    <row r="1419" spans="31:53" x14ac:dyDescent="0.55000000000000004">
      <c r="AE1419" s="7">
        <f ca="1"/>
      </c>
      <c r="AF1419">
        <f ca="1"/>
      </c>
      <c r="AG1419">
        <f ca="1"/>
      </c>
      <c r="AH1419">
        <f ca="1"/>
      </c>
      <c r="AI1419">
        <f ca="1"/>
      </c>
      <c r="AJ1419">
        <f ca="1"/>
      </c>
      <c r="AK1419">
        <f ca="1"/>
      </c>
      <c r="AL1419">
        <f ca="1"/>
      </c>
      <c r="AM1419">
        <f ca="1"/>
      </c>
      <c r="AN1419">
        <f ca="1"/>
      </c>
      <c r="AO1419">
        <f ca="1"/>
      </c>
      <c r="AP1419">
        <f ca="1"/>
      </c>
      <c r="AQ1419">
        <f ca="1"/>
      </c>
      <c r="AR1419">
        <f ca="1"/>
      </c>
      <c r="AT1419" s="7">
        <f ca="1"/>
      </c>
      <c r="AU1419">
        <f ca="1"/>
      </c>
      <c r="AV1419">
        <f ca="1"/>
      </c>
      <c r="AW1419">
        <f ca="1"/>
      </c>
      <c r="AX1419">
        <f ca="1"/>
      </c>
      <c r="AY1419">
        <f ca="1"/>
      </c>
      <c r="BA1419" s="7"/>
    </row>
    <row r="1420" spans="31:53" x14ac:dyDescent="0.55000000000000004">
      <c r="AE1420" s="7">
        <f ca="1"/>
      </c>
      <c r="AF1420">
        <f ca="1"/>
      </c>
      <c r="AG1420">
        <f ca="1"/>
      </c>
      <c r="AH1420">
        <f ca="1"/>
      </c>
      <c r="AI1420">
        <f ca="1"/>
      </c>
      <c r="AJ1420">
        <f ca="1"/>
      </c>
      <c r="AK1420">
        <f ca="1"/>
      </c>
      <c r="AL1420">
        <f ca="1"/>
      </c>
      <c r="AM1420">
        <f ca="1"/>
      </c>
      <c r="AN1420">
        <f ca="1"/>
      </c>
      <c r="AO1420">
        <f ca="1"/>
      </c>
      <c r="AP1420">
        <f ca="1"/>
      </c>
      <c r="AQ1420">
        <f ca="1"/>
      </c>
      <c r="AR1420">
        <f ca="1"/>
      </c>
      <c r="AT1420" s="7">
        <f ca="1"/>
      </c>
      <c r="AU1420">
        <f ca="1"/>
      </c>
      <c r="AV1420">
        <f ca="1"/>
      </c>
      <c r="AW1420">
        <f ca="1"/>
      </c>
      <c r="AX1420">
        <f ca="1"/>
      </c>
      <c r="AY1420">
        <f ca="1"/>
      </c>
      <c r="BA1420" s="7"/>
    </row>
    <row r="1421" spans="31:53" x14ac:dyDescent="0.55000000000000004">
      <c r="AE1421" s="7">
        <f ca="1"/>
      </c>
      <c r="AF1421">
        <f ca="1"/>
      </c>
      <c r="AG1421">
        <f ca="1"/>
      </c>
      <c r="AH1421">
        <f ca="1"/>
      </c>
      <c r="AI1421">
        <f ca="1"/>
      </c>
      <c r="AJ1421">
        <f ca="1"/>
      </c>
      <c r="AK1421">
        <f ca="1"/>
      </c>
      <c r="AL1421">
        <f ca="1"/>
      </c>
      <c r="AM1421">
        <f ca="1"/>
      </c>
      <c r="AN1421">
        <f ca="1"/>
      </c>
      <c r="AO1421">
        <f ca="1"/>
      </c>
      <c r="AP1421">
        <f ca="1"/>
      </c>
      <c r="AQ1421">
        <f ca="1"/>
      </c>
      <c r="AR1421">
        <f ca="1"/>
      </c>
      <c r="AT1421" s="7">
        <f ca="1"/>
      </c>
      <c r="AU1421">
        <f ca="1"/>
      </c>
      <c r="AV1421">
        <f ca="1"/>
      </c>
      <c r="AW1421">
        <f ca="1"/>
      </c>
      <c r="AX1421">
        <f ca="1"/>
      </c>
      <c r="AY1421">
        <f ca="1"/>
      </c>
      <c r="BA1421" s="7"/>
    </row>
    <row r="1422" spans="31:53" x14ac:dyDescent="0.55000000000000004">
      <c r="AE1422" s="7">
        <f ca="1"/>
      </c>
      <c r="AF1422">
        <f ca="1"/>
      </c>
      <c r="AG1422">
        <f ca="1"/>
      </c>
      <c r="AH1422">
        <f ca="1"/>
      </c>
      <c r="AI1422">
        <f ca="1"/>
      </c>
      <c r="AJ1422">
        <f ca="1"/>
      </c>
      <c r="AK1422">
        <f ca="1"/>
      </c>
      <c r="AL1422">
        <f ca="1"/>
      </c>
      <c r="AM1422">
        <f ca="1"/>
      </c>
      <c r="AN1422">
        <f ca="1"/>
      </c>
      <c r="AO1422">
        <f ca="1"/>
      </c>
      <c r="AP1422">
        <f ca="1"/>
      </c>
      <c r="AQ1422">
        <f ca="1"/>
      </c>
      <c r="AR1422">
        <f ca="1"/>
      </c>
      <c r="AT1422" s="7">
        <f ca="1"/>
      </c>
      <c r="AU1422">
        <f ca="1"/>
      </c>
      <c r="AV1422">
        <f ca="1"/>
      </c>
      <c r="AW1422">
        <f ca="1"/>
      </c>
      <c r="AX1422">
        <f ca="1"/>
      </c>
      <c r="AY1422">
        <f ca="1"/>
      </c>
      <c r="BA1422" s="7"/>
    </row>
    <row r="1423" spans="31:53" x14ac:dyDescent="0.55000000000000004">
      <c r="AE1423" s="7">
        <f ca="1"/>
      </c>
      <c r="AF1423">
        <f ca="1"/>
      </c>
      <c r="AG1423">
        <f ca="1"/>
      </c>
      <c r="AH1423">
        <f ca="1"/>
      </c>
      <c r="AI1423">
        <f ca="1"/>
      </c>
      <c r="AJ1423">
        <f ca="1"/>
      </c>
      <c r="AK1423">
        <f ca="1"/>
      </c>
      <c r="AL1423">
        <f ca="1"/>
      </c>
      <c r="AM1423">
        <f ca="1"/>
      </c>
      <c r="AN1423">
        <f ca="1"/>
      </c>
      <c r="AO1423">
        <f ca="1"/>
      </c>
      <c r="AP1423">
        <f ca="1"/>
      </c>
      <c r="AQ1423">
        <f ca="1"/>
      </c>
      <c r="AR1423">
        <f ca="1"/>
      </c>
      <c r="AT1423" s="7">
        <f ca="1"/>
      </c>
      <c r="AU1423">
        <f ca="1"/>
      </c>
      <c r="AV1423">
        <f ca="1"/>
      </c>
      <c r="AW1423">
        <f ca="1"/>
      </c>
      <c r="AX1423">
        <f ca="1"/>
      </c>
      <c r="AY1423">
        <f ca="1"/>
      </c>
      <c r="BA1423" s="7"/>
    </row>
    <row r="1424" spans="31:53" x14ac:dyDescent="0.55000000000000004">
      <c r="AE1424" s="7">
        <f ca="1"/>
      </c>
      <c r="AF1424">
        <f ca="1"/>
      </c>
      <c r="AG1424">
        <f ca="1"/>
      </c>
      <c r="AH1424">
        <f ca="1"/>
      </c>
      <c r="AI1424">
        <f ca="1"/>
      </c>
      <c r="AJ1424">
        <f ca="1"/>
      </c>
      <c r="AK1424">
        <f ca="1"/>
      </c>
      <c r="AL1424">
        <f ca="1"/>
      </c>
      <c r="AM1424">
        <f ca="1"/>
      </c>
      <c r="AN1424">
        <f ca="1"/>
      </c>
      <c r="AO1424">
        <f ca="1"/>
      </c>
      <c r="AP1424">
        <f ca="1"/>
      </c>
      <c r="AQ1424">
        <f ca="1"/>
      </c>
      <c r="AR1424">
        <f ca="1"/>
      </c>
      <c r="AT1424" s="7">
        <f ca="1"/>
      </c>
      <c r="AU1424">
        <f ca="1"/>
      </c>
      <c r="AV1424">
        <f ca="1"/>
      </c>
      <c r="AW1424">
        <f ca="1"/>
      </c>
      <c r="AX1424">
        <f ca="1"/>
      </c>
      <c r="AY1424">
        <f ca="1"/>
      </c>
      <c r="BA1424" s="7"/>
    </row>
    <row r="1425" spans="31:53" x14ac:dyDescent="0.55000000000000004">
      <c r="AE1425" s="7">
        <f ca="1"/>
      </c>
      <c r="AF1425">
        <f ca="1"/>
      </c>
      <c r="AG1425">
        <f ca="1"/>
      </c>
      <c r="AH1425">
        <f ca="1"/>
      </c>
      <c r="AI1425">
        <f ca="1"/>
      </c>
      <c r="AJ1425">
        <f ca="1"/>
      </c>
      <c r="AK1425">
        <f ca="1"/>
      </c>
      <c r="AL1425">
        <f ca="1"/>
      </c>
      <c r="AM1425">
        <f ca="1"/>
      </c>
      <c r="AN1425">
        <f ca="1"/>
      </c>
      <c r="AO1425">
        <f ca="1"/>
      </c>
      <c r="AP1425">
        <f ca="1"/>
      </c>
      <c r="AQ1425">
        <f ca="1"/>
      </c>
      <c r="AR1425">
        <f ca="1"/>
      </c>
      <c r="AT1425" s="7">
        <f ca="1"/>
      </c>
      <c r="AU1425">
        <f ca="1"/>
      </c>
      <c r="AV1425">
        <f ca="1"/>
      </c>
      <c r="AW1425">
        <f ca="1"/>
      </c>
      <c r="AX1425">
        <f ca="1"/>
      </c>
      <c r="AY1425">
        <f ca="1"/>
      </c>
      <c r="BA1425" s="7"/>
    </row>
    <row r="1426" spans="31:53" x14ac:dyDescent="0.55000000000000004">
      <c r="AE1426" s="7">
        <f ca="1"/>
      </c>
      <c r="AF1426">
        <f ca="1"/>
      </c>
      <c r="AG1426">
        <f ca="1"/>
      </c>
      <c r="AH1426">
        <f ca="1"/>
      </c>
      <c r="AI1426">
        <f ca="1"/>
      </c>
      <c r="AJ1426">
        <f ca="1"/>
      </c>
      <c r="AK1426">
        <f ca="1"/>
      </c>
      <c r="AL1426">
        <f ca="1"/>
      </c>
      <c r="AM1426">
        <f ca="1"/>
      </c>
      <c r="AN1426">
        <f ca="1"/>
      </c>
      <c r="AO1426">
        <f ca="1"/>
      </c>
      <c r="AP1426">
        <f ca="1"/>
      </c>
      <c r="AQ1426">
        <f ca="1"/>
      </c>
      <c r="AR1426">
        <f ca="1"/>
      </c>
      <c r="AT1426" s="7">
        <f ca="1"/>
      </c>
      <c r="AU1426">
        <f ca="1"/>
      </c>
      <c r="AV1426">
        <f ca="1"/>
      </c>
      <c r="AW1426">
        <f ca="1"/>
      </c>
      <c r="AX1426">
        <f ca="1"/>
      </c>
      <c r="AY1426">
        <f ca="1"/>
      </c>
      <c r="BA1426" s="7"/>
    </row>
    <row r="1427" spans="31:53" x14ac:dyDescent="0.55000000000000004">
      <c r="AE1427" s="7">
        <f ca="1"/>
      </c>
      <c r="AF1427">
        <f ca="1"/>
      </c>
      <c r="AG1427">
        <f ca="1"/>
      </c>
      <c r="AH1427">
        <f ca="1"/>
      </c>
      <c r="AI1427">
        <f ca="1"/>
      </c>
      <c r="AJ1427">
        <f ca="1"/>
      </c>
      <c r="AK1427">
        <f ca="1"/>
      </c>
      <c r="AL1427">
        <f ca="1"/>
      </c>
      <c r="AM1427">
        <f ca="1"/>
      </c>
      <c r="AN1427">
        <f ca="1"/>
      </c>
      <c r="AO1427">
        <f ca="1"/>
      </c>
      <c r="AP1427">
        <f ca="1"/>
      </c>
      <c r="AQ1427">
        <f ca="1"/>
      </c>
      <c r="AR1427">
        <f ca="1"/>
      </c>
      <c r="AT1427" s="7">
        <f ca="1"/>
      </c>
      <c r="AU1427">
        <f ca="1"/>
      </c>
      <c r="AV1427">
        <f ca="1"/>
      </c>
      <c r="AW1427">
        <f ca="1"/>
      </c>
      <c r="AX1427">
        <f ca="1"/>
      </c>
      <c r="AY1427">
        <f ca="1"/>
      </c>
      <c r="BA1427" s="7"/>
    </row>
    <row r="1428" spans="31:53" x14ac:dyDescent="0.55000000000000004">
      <c r="AE1428" s="7">
        <f ca="1"/>
      </c>
      <c r="AF1428">
        <f ca="1"/>
      </c>
      <c r="AG1428">
        <f ca="1"/>
      </c>
      <c r="AH1428">
        <f ca="1"/>
      </c>
      <c r="AI1428">
        <f ca="1"/>
      </c>
      <c r="AJ1428">
        <f ca="1"/>
      </c>
      <c r="AK1428">
        <f ca="1"/>
      </c>
      <c r="AL1428">
        <f ca="1"/>
      </c>
      <c r="AM1428">
        <f ca="1"/>
      </c>
      <c r="AN1428">
        <f ca="1"/>
      </c>
      <c r="AO1428">
        <f ca="1"/>
      </c>
      <c r="AP1428">
        <f ca="1"/>
      </c>
      <c r="AQ1428">
        <f ca="1"/>
      </c>
      <c r="AR1428">
        <f ca="1"/>
      </c>
      <c r="AT1428" s="7">
        <f ca="1"/>
      </c>
      <c r="AU1428">
        <f ca="1"/>
      </c>
      <c r="AV1428">
        <f ca="1"/>
      </c>
      <c r="AW1428">
        <f ca="1"/>
      </c>
      <c r="AX1428">
        <f ca="1"/>
      </c>
      <c r="AY1428">
        <f ca="1"/>
      </c>
      <c r="BA1428" s="7"/>
    </row>
    <row r="1429" spans="31:53" x14ac:dyDescent="0.55000000000000004">
      <c r="AE1429" s="7">
        <f ca="1"/>
      </c>
      <c r="AF1429">
        <f ca="1"/>
      </c>
      <c r="AG1429">
        <f ca="1"/>
      </c>
      <c r="AH1429">
        <f ca="1"/>
      </c>
      <c r="AI1429">
        <f ca="1"/>
      </c>
      <c r="AJ1429">
        <f ca="1"/>
      </c>
      <c r="AK1429">
        <f ca="1"/>
      </c>
      <c r="AL1429">
        <f ca="1"/>
      </c>
      <c r="AM1429">
        <f ca="1"/>
      </c>
      <c r="AN1429">
        <f ca="1"/>
      </c>
      <c r="AO1429">
        <f ca="1"/>
      </c>
      <c r="AP1429">
        <f ca="1"/>
      </c>
      <c r="AQ1429">
        <f ca="1"/>
      </c>
      <c r="AR1429">
        <f ca="1"/>
      </c>
      <c r="AT1429" s="7">
        <f ca="1"/>
      </c>
      <c r="AU1429">
        <f ca="1"/>
      </c>
      <c r="AV1429">
        <f ca="1"/>
      </c>
      <c r="AW1429">
        <f ca="1"/>
      </c>
      <c r="AX1429">
        <f ca="1"/>
      </c>
      <c r="AY1429">
        <f ca="1"/>
      </c>
      <c r="BA1429" s="7"/>
    </row>
    <row r="1430" spans="31:53" x14ac:dyDescent="0.55000000000000004">
      <c r="AE1430" s="7">
        <f ca="1"/>
      </c>
      <c r="AF1430">
        <f ca="1"/>
      </c>
      <c r="AG1430">
        <f ca="1"/>
      </c>
      <c r="AH1430">
        <f ca="1"/>
      </c>
      <c r="AI1430">
        <f ca="1"/>
      </c>
      <c r="AJ1430">
        <f ca="1"/>
      </c>
      <c r="AK1430">
        <f ca="1"/>
      </c>
      <c r="AL1430">
        <f ca="1"/>
      </c>
      <c r="AM1430">
        <f ca="1"/>
      </c>
      <c r="AN1430">
        <f ca="1"/>
      </c>
      <c r="AO1430">
        <f ca="1"/>
      </c>
      <c r="AP1430">
        <f ca="1"/>
      </c>
      <c r="AQ1430">
        <f ca="1"/>
      </c>
      <c r="AR1430">
        <f ca="1"/>
      </c>
      <c r="AT1430" s="7">
        <f ca="1"/>
      </c>
      <c r="AU1430">
        <f ca="1"/>
      </c>
      <c r="AV1430">
        <f ca="1"/>
      </c>
      <c r="AW1430">
        <f ca="1"/>
      </c>
      <c r="AX1430">
        <f ca="1"/>
      </c>
      <c r="AY1430">
        <f ca="1"/>
      </c>
      <c r="BA1430" s="7"/>
    </row>
    <row r="1431" spans="31:53" x14ac:dyDescent="0.55000000000000004">
      <c r="AE1431" s="7">
        <f ca="1"/>
      </c>
      <c r="AF1431">
        <f ca="1"/>
      </c>
      <c r="AG1431">
        <f ca="1"/>
      </c>
      <c r="AH1431">
        <f ca="1"/>
      </c>
      <c r="AI1431">
        <f ca="1"/>
      </c>
      <c r="AJ1431">
        <f ca="1"/>
      </c>
      <c r="AK1431">
        <f ca="1"/>
      </c>
      <c r="AL1431">
        <f ca="1"/>
      </c>
      <c r="AM1431">
        <f ca="1"/>
      </c>
      <c r="AN1431">
        <f ca="1"/>
      </c>
      <c r="AO1431">
        <f ca="1"/>
      </c>
      <c r="AP1431">
        <f ca="1"/>
      </c>
      <c r="AQ1431">
        <f ca="1"/>
      </c>
      <c r="AR1431">
        <f ca="1"/>
      </c>
      <c r="AT1431" s="7">
        <f ca="1"/>
      </c>
      <c r="AU1431">
        <f ca="1"/>
      </c>
      <c r="AV1431">
        <f ca="1"/>
      </c>
      <c r="AW1431">
        <f ca="1"/>
      </c>
      <c r="AX1431">
        <f ca="1"/>
      </c>
      <c r="AY1431">
        <f ca="1"/>
      </c>
      <c r="BA1431" s="7"/>
    </row>
    <row r="1432" spans="31:53" x14ac:dyDescent="0.55000000000000004">
      <c r="AE1432" s="7">
        <f ca="1"/>
      </c>
      <c r="AF1432">
        <f ca="1"/>
      </c>
      <c r="AG1432">
        <f ca="1"/>
      </c>
      <c r="AH1432">
        <f ca="1"/>
      </c>
      <c r="AI1432">
        <f ca="1"/>
      </c>
      <c r="AJ1432">
        <f ca="1"/>
      </c>
      <c r="AK1432">
        <f ca="1"/>
      </c>
      <c r="AL1432">
        <f ca="1"/>
      </c>
      <c r="AM1432">
        <f ca="1"/>
      </c>
      <c r="AN1432">
        <f ca="1"/>
      </c>
      <c r="AO1432">
        <f ca="1"/>
      </c>
      <c r="AP1432">
        <f ca="1"/>
      </c>
      <c r="AQ1432">
        <f ca="1"/>
      </c>
      <c r="AR1432">
        <f ca="1"/>
      </c>
      <c r="AT1432" s="7">
        <f ca="1"/>
      </c>
      <c r="AU1432">
        <f ca="1"/>
      </c>
      <c r="AV1432">
        <f ca="1"/>
      </c>
      <c r="AW1432">
        <f ca="1"/>
      </c>
      <c r="AX1432">
        <f ca="1"/>
      </c>
      <c r="AY1432">
        <f ca="1"/>
      </c>
      <c r="BA1432" s="7"/>
    </row>
    <row r="1433" spans="31:53" x14ac:dyDescent="0.55000000000000004">
      <c r="AE1433" s="7">
        <f ca="1"/>
      </c>
      <c r="AF1433">
        <f ca="1"/>
      </c>
      <c r="AG1433">
        <f ca="1"/>
      </c>
      <c r="AH1433">
        <f ca="1"/>
      </c>
      <c r="AI1433">
        <f ca="1"/>
      </c>
      <c r="AJ1433">
        <f ca="1"/>
      </c>
      <c r="AK1433">
        <f ca="1"/>
      </c>
      <c r="AL1433">
        <f ca="1"/>
      </c>
      <c r="AM1433">
        <f ca="1"/>
      </c>
      <c r="AN1433">
        <f ca="1"/>
      </c>
      <c r="AO1433">
        <f ca="1"/>
      </c>
      <c r="AP1433">
        <f ca="1"/>
      </c>
      <c r="AQ1433">
        <f ca="1"/>
      </c>
      <c r="AR1433">
        <f ca="1"/>
      </c>
      <c r="AT1433" s="7">
        <f ca="1"/>
      </c>
      <c r="AU1433">
        <f ca="1"/>
      </c>
      <c r="AV1433">
        <f ca="1"/>
      </c>
      <c r="AW1433">
        <f ca="1"/>
      </c>
      <c r="AX1433">
        <f ca="1"/>
      </c>
      <c r="AY1433">
        <f ca="1"/>
      </c>
      <c r="BA1433" s="7"/>
    </row>
    <row r="1434" spans="31:53" x14ac:dyDescent="0.55000000000000004">
      <c r="AE1434" s="7">
        <f ca="1"/>
      </c>
      <c r="AF1434">
        <f ca="1"/>
      </c>
      <c r="AG1434">
        <f ca="1"/>
      </c>
      <c r="AH1434">
        <f ca="1"/>
      </c>
      <c r="AI1434">
        <f ca="1"/>
      </c>
      <c r="AJ1434">
        <f ca="1"/>
      </c>
      <c r="AK1434">
        <f ca="1"/>
      </c>
      <c r="AL1434">
        <f ca="1"/>
      </c>
      <c r="AM1434">
        <f ca="1"/>
      </c>
      <c r="AN1434">
        <f ca="1"/>
      </c>
      <c r="AO1434">
        <f ca="1"/>
      </c>
      <c r="AP1434">
        <f ca="1"/>
      </c>
      <c r="AQ1434">
        <f ca="1"/>
      </c>
      <c r="AR1434">
        <f ca="1"/>
      </c>
      <c r="AT1434" s="7">
        <f ca="1"/>
      </c>
      <c r="AU1434">
        <f ca="1"/>
      </c>
      <c r="AV1434">
        <f ca="1"/>
      </c>
      <c r="AW1434">
        <f ca="1"/>
      </c>
      <c r="AX1434">
        <f ca="1"/>
      </c>
      <c r="AY1434">
        <f ca="1"/>
      </c>
      <c r="BA1434" s="7"/>
    </row>
    <row r="1435" spans="31:53" x14ac:dyDescent="0.55000000000000004">
      <c r="AE1435" s="7">
        <f ca="1"/>
      </c>
      <c r="AF1435">
        <f ca="1"/>
      </c>
      <c r="AG1435">
        <f ca="1"/>
      </c>
      <c r="AH1435">
        <f ca="1"/>
      </c>
      <c r="AI1435">
        <f ca="1"/>
      </c>
      <c r="AJ1435">
        <f ca="1"/>
      </c>
      <c r="AK1435">
        <f ca="1"/>
      </c>
      <c r="AL1435">
        <f ca="1"/>
      </c>
      <c r="AM1435">
        <f ca="1"/>
      </c>
      <c r="AN1435">
        <f ca="1"/>
      </c>
      <c r="AO1435">
        <f ca="1"/>
      </c>
      <c r="AP1435">
        <f ca="1"/>
      </c>
      <c r="AQ1435">
        <f ca="1"/>
      </c>
      <c r="AR1435">
        <f ca="1"/>
      </c>
      <c r="AT1435" s="7">
        <f ca="1"/>
      </c>
      <c r="AU1435">
        <f ca="1"/>
      </c>
      <c r="AV1435">
        <f ca="1"/>
      </c>
      <c r="AW1435">
        <f ca="1"/>
      </c>
      <c r="AX1435">
        <f ca="1"/>
      </c>
      <c r="AY1435">
        <f ca="1"/>
      </c>
      <c r="BA1435" s="7"/>
    </row>
    <row r="1436" spans="31:53" x14ac:dyDescent="0.55000000000000004">
      <c r="AE1436" s="7">
        <f ca="1"/>
      </c>
      <c r="AF1436">
        <f ca="1"/>
      </c>
      <c r="AG1436">
        <f ca="1"/>
      </c>
      <c r="AH1436">
        <f ca="1"/>
      </c>
      <c r="AI1436">
        <f ca="1"/>
      </c>
      <c r="AJ1436">
        <f ca="1"/>
      </c>
      <c r="AK1436">
        <f ca="1"/>
      </c>
      <c r="AL1436">
        <f ca="1"/>
      </c>
      <c r="AM1436">
        <f ca="1"/>
      </c>
      <c r="AN1436">
        <f ca="1"/>
      </c>
      <c r="AO1436">
        <f ca="1"/>
      </c>
      <c r="AP1436">
        <f ca="1"/>
      </c>
      <c r="AQ1436">
        <f ca="1"/>
      </c>
      <c r="AR1436">
        <f ca="1"/>
      </c>
      <c r="AT1436" s="7">
        <f ca="1"/>
      </c>
      <c r="AU1436">
        <f ca="1"/>
      </c>
      <c r="AV1436">
        <f ca="1"/>
      </c>
      <c r="AW1436">
        <f ca="1"/>
      </c>
      <c r="AX1436">
        <f ca="1"/>
      </c>
      <c r="AY1436">
        <f ca="1"/>
      </c>
      <c r="BA1436" s="7"/>
    </row>
    <row r="1437" spans="31:53" x14ac:dyDescent="0.55000000000000004">
      <c r="AE1437" s="7">
        <f ca="1"/>
      </c>
      <c r="AF1437">
        <f ca="1"/>
      </c>
      <c r="AG1437">
        <f ca="1"/>
      </c>
      <c r="AH1437">
        <f ca="1"/>
      </c>
      <c r="AI1437">
        <f ca="1"/>
      </c>
      <c r="AJ1437">
        <f ca="1"/>
      </c>
      <c r="AK1437">
        <f ca="1"/>
      </c>
      <c r="AL1437">
        <f ca="1"/>
      </c>
      <c r="AM1437">
        <f ca="1"/>
      </c>
      <c r="AN1437">
        <f ca="1"/>
      </c>
      <c r="AO1437">
        <f ca="1"/>
      </c>
      <c r="AP1437">
        <f ca="1"/>
      </c>
      <c r="AQ1437">
        <f ca="1"/>
      </c>
      <c r="AR1437">
        <f ca="1"/>
      </c>
      <c r="AT1437" s="7">
        <f ca="1"/>
      </c>
      <c r="AU1437">
        <f ca="1"/>
      </c>
      <c r="AV1437">
        <f ca="1"/>
      </c>
      <c r="AW1437">
        <f ca="1"/>
      </c>
      <c r="AX1437">
        <f ca="1"/>
      </c>
      <c r="AY1437">
        <f ca="1"/>
      </c>
      <c r="BA1437" s="7"/>
    </row>
    <row r="1438" spans="31:53" x14ac:dyDescent="0.55000000000000004">
      <c r="AE1438" s="7">
        <f ca="1"/>
      </c>
      <c r="AF1438">
        <f ca="1"/>
      </c>
      <c r="AG1438">
        <f ca="1"/>
      </c>
      <c r="AH1438">
        <f ca="1"/>
      </c>
      <c r="AI1438">
        <f ca="1"/>
      </c>
      <c r="AJ1438">
        <f ca="1"/>
      </c>
      <c r="AK1438">
        <f ca="1"/>
      </c>
      <c r="AL1438">
        <f ca="1"/>
      </c>
      <c r="AM1438">
        <f ca="1"/>
      </c>
      <c r="AN1438">
        <f ca="1"/>
      </c>
      <c r="AO1438">
        <f ca="1"/>
      </c>
      <c r="AP1438">
        <f ca="1"/>
      </c>
      <c r="AQ1438">
        <f ca="1"/>
      </c>
      <c r="AR1438">
        <f ca="1"/>
      </c>
      <c r="AT1438" s="7">
        <f ca="1"/>
      </c>
      <c r="AU1438">
        <f ca="1"/>
      </c>
      <c r="AV1438">
        <f ca="1"/>
      </c>
      <c r="AW1438">
        <f ca="1"/>
      </c>
      <c r="AX1438">
        <f ca="1"/>
      </c>
      <c r="AY1438">
        <f ca="1"/>
      </c>
      <c r="BA1438" s="7"/>
    </row>
    <row r="1439" spans="31:53" x14ac:dyDescent="0.55000000000000004">
      <c r="AE1439" s="7">
        <f ca="1"/>
      </c>
      <c r="AF1439">
        <f ca="1"/>
      </c>
      <c r="AG1439">
        <f ca="1"/>
      </c>
      <c r="AH1439">
        <f ca="1"/>
      </c>
      <c r="AI1439">
        <f ca="1"/>
      </c>
      <c r="AJ1439">
        <f ca="1"/>
      </c>
      <c r="AK1439">
        <f ca="1"/>
      </c>
      <c r="AL1439">
        <f ca="1"/>
      </c>
      <c r="AM1439">
        <f ca="1"/>
      </c>
      <c r="AN1439">
        <f ca="1"/>
      </c>
      <c r="AO1439">
        <f ca="1"/>
      </c>
      <c r="AP1439">
        <f ca="1"/>
      </c>
      <c r="AQ1439">
        <f ca="1"/>
      </c>
      <c r="AR1439">
        <f ca="1"/>
      </c>
      <c r="AT1439" s="7">
        <f ca="1"/>
      </c>
      <c r="AU1439">
        <f ca="1"/>
      </c>
      <c r="AV1439">
        <f ca="1"/>
      </c>
      <c r="AW1439">
        <f ca="1"/>
      </c>
      <c r="AX1439">
        <f ca="1"/>
      </c>
      <c r="AY1439">
        <f ca="1"/>
      </c>
      <c r="BA1439" s="7"/>
    </row>
    <row r="1440" spans="31:53" x14ac:dyDescent="0.55000000000000004">
      <c r="AE1440" s="7">
        <f ca="1"/>
      </c>
      <c r="AF1440">
        <f ca="1"/>
      </c>
      <c r="AG1440">
        <f ca="1"/>
      </c>
      <c r="AH1440">
        <f ca="1"/>
      </c>
      <c r="AI1440">
        <f ca="1"/>
      </c>
      <c r="AJ1440">
        <f ca="1"/>
      </c>
      <c r="AK1440">
        <f ca="1"/>
      </c>
      <c r="AL1440">
        <f ca="1"/>
      </c>
      <c r="AM1440">
        <f ca="1"/>
      </c>
      <c r="AN1440">
        <f ca="1"/>
      </c>
      <c r="AO1440">
        <f ca="1"/>
      </c>
      <c r="AP1440">
        <f ca="1"/>
      </c>
      <c r="AQ1440">
        <f ca="1"/>
      </c>
      <c r="AR1440">
        <f ca="1"/>
      </c>
      <c r="AT1440" s="7">
        <f ca="1"/>
      </c>
      <c r="AU1440">
        <f ca="1"/>
      </c>
      <c r="AV1440">
        <f ca="1"/>
      </c>
      <c r="AW1440">
        <f ca="1"/>
      </c>
      <c r="AX1440">
        <f ca="1"/>
      </c>
      <c r="AY1440">
        <f ca="1"/>
      </c>
      <c r="BA1440" s="7"/>
    </row>
    <row r="1441" spans="31:53" x14ac:dyDescent="0.55000000000000004">
      <c r="AE1441" s="7">
        <f ca="1"/>
      </c>
      <c r="AF1441">
        <f ca="1"/>
      </c>
      <c r="AG1441">
        <f ca="1"/>
      </c>
      <c r="AH1441">
        <f ca="1"/>
      </c>
      <c r="AI1441">
        <f ca="1"/>
      </c>
      <c r="AJ1441">
        <f ca="1"/>
      </c>
      <c r="AK1441">
        <f ca="1"/>
      </c>
      <c r="AL1441">
        <f ca="1"/>
      </c>
      <c r="AM1441">
        <f ca="1"/>
      </c>
      <c r="AN1441">
        <f ca="1"/>
      </c>
      <c r="AO1441">
        <f ca="1"/>
      </c>
      <c r="AP1441">
        <f ca="1"/>
      </c>
      <c r="AQ1441">
        <f ca="1"/>
      </c>
      <c r="AR1441">
        <f ca="1"/>
      </c>
      <c r="AT1441" s="7">
        <f ca="1"/>
      </c>
      <c r="AU1441">
        <f ca="1"/>
      </c>
      <c r="AV1441">
        <f ca="1"/>
      </c>
      <c r="AW1441">
        <f ca="1"/>
      </c>
      <c r="AX1441">
        <f ca="1"/>
      </c>
      <c r="AY1441">
        <f ca="1"/>
      </c>
      <c r="BA1441" s="7"/>
    </row>
    <row r="1442" spans="31:53" x14ac:dyDescent="0.55000000000000004">
      <c r="AE1442" s="7">
        <f ca="1"/>
      </c>
      <c r="AF1442">
        <f ca="1"/>
      </c>
      <c r="AG1442">
        <f ca="1"/>
      </c>
      <c r="AH1442">
        <f ca="1"/>
      </c>
      <c r="AI1442">
        <f ca="1"/>
      </c>
      <c r="AJ1442">
        <f ca="1"/>
      </c>
      <c r="AK1442">
        <f ca="1"/>
      </c>
      <c r="AL1442">
        <f ca="1"/>
      </c>
      <c r="AM1442">
        <f ca="1"/>
      </c>
      <c r="AN1442">
        <f ca="1"/>
      </c>
      <c r="AO1442">
        <f ca="1"/>
      </c>
      <c r="AP1442">
        <f ca="1"/>
      </c>
      <c r="AQ1442">
        <f ca="1"/>
      </c>
      <c r="AR1442">
        <f ca="1"/>
      </c>
      <c r="AT1442" s="7">
        <f ca="1"/>
      </c>
      <c r="AU1442">
        <f ca="1"/>
      </c>
      <c r="AV1442">
        <f ca="1"/>
      </c>
      <c r="AW1442">
        <f ca="1"/>
      </c>
      <c r="AX1442">
        <f ca="1"/>
      </c>
      <c r="AY1442">
        <f ca="1"/>
      </c>
      <c r="BA1442" s="7"/>
    </row>
    <row r="1443" spans="31:53" x14ac:dyDescent="0.55000000000000004">
      <c r="AE1443" s="7">
        <f ca="1"/>
      </c>
      <c r="AF1443">
        <f ca="1"/>
      </c>
      <c r="AG1443">
        <f ca="1"/>
      </c>
      <c r="AH1443">
        <f ca="1"/>
      </c>
      <c r="AI1443">
        <f ca="1"/>
      </c>
      <c r="AJ1443">
        <f ca="1"/>
      </c>
      <c r="AK1443">
        <f ca="1"/>
      </c>
      <c r="AL1443">
        <f ca="1"/>
      </c>
      <c r="AM1443">
        <f ca="1"/>
      </c>
      <c r="AN1443">
        <f ca="1"/>
      </c>
      <c r="AO1443">
        <f ca="1"/>
      </c>
      <c r="AP1443">
        <f ca="1"/>
      </c>
      <c r="AQ1443">
        <f ca="1"/>
      </c>
      <c r="AR1443">
        <f ca="1"/>
      </c>
      <c r="AT1443" s="7">
        <f ca="1"/>
      </c>
      <c r="AU1443">
        <f ca="1"/>
      </c>
      <c r="AV1443">
        <f ca="1"/>
      </c>
      <c r="AW1443">
        <f ca="1"/>
      </c>
      <c r="AX1443">
        <f ca="1"/>
      </c>
      <c r="AY1443">
        <f ca="1"/>
      </c>
      <c r="BA1443" s="7"/>
    </row>
    <row r="1444" spans="31:53" x14ac:dyDescent="0.55000000000000004">
      <c r="AE1444" s="7">
        <f ca="1"/>
      </c>
      <c r="AF1444">
        <f ca="1"/>
      </c>
      <c r="AG1444">
        <f ca="1"/>
      </c>
      <c r="AH1444">
        <f ca="1"/>
      </c>
      <c r="AI1444">
        <f ca="1"/>
      </c>
      <c r="AJ1444">
        <f ca="1"/>
      </c>
      <c r="AK1444">
        <f ca="1"/>
      </c>
      <c r="AL1444">
        <f ca="1"/>
      </c>
      <c r="AM1444">
        <f ca="1"/>
      </c>
      <c r="AN1444">
        <f ca="1"/>
      </c>
      <c r="AO1444">
        <f ca="1"/>
      </c>
      <c r="AP1444">
        <f ca="1"/>
      </c>
      <c r="AQ1444">
        <f ca="1"/>
      </c>
      <c r="AR1444">
        <f ca="1"/>
      </c>
      <c r="AT1444" s="7">
        <f ca="1"/>
      </c>
      <c r="AU1444">
        <f ca="1"/>
      </c>
      <c r="AV1444">
        <f ca="1"/>
      </c>
      <c r="AW1444">
        <f ca="1"/>
      </c>
      <c r="AX1444">
        <f ca="1"/>
      </c>
      <c r="AY1444">
        <f ca="1"/>
      </c>
      <c r="BA1444" s="7"/>
    </row>
    <row r="1445" spans="31:53" x14ac:dyDescent="0.55000000000000004">
      <c r="AE1445" s="7">
        <f ca="1"/>
      </c>
      <c r="AF1445">
        <f ca="1"/>
      </c>
      <c r="AG1445">
        <f ca="1"/>
      </c>
      <c r="AH1445">
        <f ca="1"/>
      </c>
      <c r="AI1445">
        <f ca="1"/>
      </c>
      <c r="AJ1445">
        <f ca="1"/>
      </c>
      <c r="AK1445">
        <f ca="1"/>
      </c>
      <c r="AL1445">
        <f ca="1"/>
      </c>
      <c r="AM1445">
        <f ca="1"/>
      </c>
      <c r="AN1445">
        <f ca="1"/>
      </c>
      <c r="AO1445">
        <f ca="1"/>
      </c>
      <c r="AP1445">
        <f ca="1"/>
      </c>
      <c r="AQ1445">
        <f ca="1"/>
      </c>
      <c r="AR1445">
        <f ca="1"/>
      </c>
      <c r="AT1445" s="7">
        <f ca="1"/>
      </c>
      <c r="AU1445">
        <f ca="1"/>
      </c>
      <c r="AV1445">
        <f ca="1"/>
      </c>
      <c r="AW1445">
        <f ca="1"/>
      </c>
      <c r="AX1445">
        <f ca="1"/>
      </c>
      <c r="AY1445">
        <f ca="1"/>
      </c>
      <c r="BA1445" s="7"/>
    </row>
    <row r="1446" spans="31:53" x14ac:dyDescent="0.55000000000000004">
      <c r="AE1446" s="7">
        <f ca="1"/>
      </c>
      <c r="AF1446">
        <f ca="1"/>
      </c>
      <c r="AG1446">
        <f ca="1"/>
      </c>
      <c r="AH1446">
        <f ca="1"/>
      </c>
      <c r="AI1446">
        <f ca="1"/>
      </c>
      <c r="AJ1446">
        <f ca="1"/>
      </c>
      <c r="AK1446">
        <f ca="1"/>
      </c>
      <c r="AL1446">
        <f ca="1"/>
      </c>
      <c r="AM1446">
        <f ca="1"/>
      </c>
      <c r="AN1446">
        <f ca="1"/>
      </c>
      <c r="AO1446">
        <f ca="1"/>
      </c>
      <c r="AP1446">
        <f ca="1"/>
      </c>
      <c r="AQ1446">
        <f ca="1"/>
      </c>
      <c r="AR1446">
        <f ca="1"/>
      </c>
      <c r="AT1446" s="7">
        <f ca="1"/>
      </c>
      <c r="AU1446">
        <f ca="1"/>
      </c>
      <c r="AV1446">
        <f ca="1"/>
      </c>
      <c r="AW1446">
        <f ca="1"/>
      </c>
      <c r="AX1446">
        <f ca="1"/>
      </c>
      <c r="AY1446">
        <f ca="1"/>
      </c>
      <c r="BA1446" s="7"/>
    </row>
    <row r="1447" spans="31:53" x14ac:dyDescent="0.55000000000000004">
      <c r="AE1447" s="7">
        <f ca="1"/>
      </c>
      <c r="AF1447">
        <f ca="1"/>
      </c>
      <c r="AG1447">
        <f ca="1"/>
      </c>
      <c r="AH1447">
        <f ca="1"/>
      </c>
      <c r="AI1447">
        <f ca="1"/>
      </c>
      <c r="AJ1447">
        <f ca="1"/>
      </c>
      <c r="AK1447">
        <f ca="1"/>
      </c>
      <c r="AL1447">
        <f ca="1"/>
      </c>
      <c r="AM1447">
        <f ca="1"/>
      </c>
      <c r="AN1447">
        <f ca="1"/>
      </c>
      <c r="AO1447">
        <f ca="1"/>
      </c>
      <c r="AP1447">
        <f ca="1"/>
      </c>
      <c r="AQ1447">
        <f ca="1"/>
      </c>
      <c r="AR1447">
        <f ca="1"/>
      </c>
      <c r="AT1447" s="7">
        <f ca="1"/>
      </c>
      <c r="AU1447">
        <f ca="1"/>
      </c>
      <c r="AV1447">
        <f ca="1"/>
      </c>
      <c r="AW1447">
        <f ca="1"/>
      </c>
      <c r="AX1447">
        <f ca="1"/>
      </c>
      <c r="AY1447">
        <f ca="1"/>
      </c>
      <c r="BA1447" s="7"/>
    </row>
    <row r="1448" spans="31:53" x14ac:dyDescent="0.55000000000000004">
      <c r="AE1448" s="7">
        <f ca="1"/>
      </c>
      <c r="AF1448">
        <f ca="1"/>
      </c>
      <c r="AG1448">
        <f ca="1"/>
      </c>
      <c r="AH1448">
        <f ca="1"/>
      </c>
      <c r="AI1448">
        <f ca="1"/>
      </c>
      <c r="AJ1448">
        <f ca="1"/>
      </c>
      <c r="AK1448">
        <f ca="1"/>
      </c>
      <c r="AL1448">
        <f ca="1"/>
      </c>
      <c r="AM1448">
        <f ca="1"/>
      </c>
      <c r="AN1448">
        <f ca="1"/>
      </c>
      <c r="AO1448">
        <f ca="1"/>
      </c>
      <c r="AP1448">
        <f ca="1"/>
      </c>
      <c r="AQ1448">
        <f ca="1"/>
      </c>
      <c r="AR1448">
        <f ca="1"/>
      </c>
      <c r="AT1448" s="7">
        <f ca="1"/>
      </c>
      <c r="AU1448">
        <f ca="1"/>
      </c>
      <c r="AV1448">
        <f ca="1"/>
      </c>
      <c r="AW1448">
        <f ca="1"/>
      </c>
      <c r="AX1448">
        <f ca="1"/>
      </c>
      <c r="AY1448">
        <f ca="1"/>
      </c>
      <c r="BA1448" s="7"/>
    </row>
    <row r="1449" spans="31:53" x14ac:dyDescent="0.55000000000000004">
      <c r="AE1449" s="7">
        <f ca="1"/>
      </c>
      <c r="AF1449">
        <f ca="1"/>
      </c>
      <c r="AG1449">
        <f ca="1"/>
      </c>
      <c r="AH1449">
        <f ca="1"/>
      </c>
      <c r="AI1449">
        <f ca="1"/>
      </c>
      <c r="AJ1449">
        <f ca="1"/>
      </c>
      <c r="AK1449">
        <f ca="1"/>
      </c>
      <c r="AL1449">
        <f ca="1"/>
      </c>
      <c r="AM1449">
        <f ca="1"/>
      </c>
      <c r="AN1449">
        <f ca="1"/>
      </c>
      <c r="AO1449">
        <f ca="1"/>
      </c>
      <c r="AP1449">
        <f ca="1"/>
      </c>
      <c r="AQ1449">
        <f ca="1"/>
      </c>
      <c r="AR1449">
        <f ca="1"/>
      </c>
      <c r="AT1449" s="7">
        <f ca="1"/>
      </c>
      <c r="AU1449">
        <f ca="1"/>
      </c>
      <c r="AV1449">
        <f ca="1"/>
      </c>
      <c r="AW1449">
        <f ca="1"/>
      </c>
      <c r="AX1449">
        <f ca="1"/>
      </c>
      <c r="AY1449">
        <f ca="1"/>
      </c>
      <c r="BA1449" s="7"/>
    </row>
    <row r="1450" spans="31:53" x14ac:dyDescent="0.55000000000000004">
      <c r="AE1450" s="7">
        <f ca="1"/>
      </c>
      <c r="AF1450">
        <f ca="1"/>
      </c>
      <c r="AG1450">
        <f ca="1"/>
      </c>
      <c r="AH1450">
        <f ca="1"/>
      </c>
      <c r="AI1450">
        <f ca="1"/>
      </c>
      <c r="AJ1450">
        <f ca="1"/>
      </c>
      <c r="AK1450">
        <f ca="1"/>
      </c>
      <c r="AL1450">
        <f ca="1"/>
      </c>
      <c r="AM1450">
        <f ca="1"/>
      </c>
      <c r="AN1450">
        <f ca="1"/>
      </c>
      <c r="AO1450">
        <f ca="1"/>
      </c>
      <c r="AP1450">
        <f ca="1"/>
      </c>
      <c r="AQ1450">
        <f ca="1"/>
      </c>
      <c r="AR1450">
        <f ca="1"/>
      </c>
      <c r="AT1450" s="7">
        <f ca="1"/>
      </c>
      <c r="AU1450">
        <f ca="1"/>
      </c>
      <c r="AV1450">
        <f ca="1"/>
      </c>
      <c r="AW1450">
        <f ca="1"/>
      </c>
      <c r="AX1450">
        <f ca="1"/>
      </c>
      <c r="AY1450">
        <f ca="1"/>
      </c>
      <c r="BA1450" s="7"/>
    </row>
    <row r="1451" spans="31:53" x14ac:dyDescent="0.55000000000000004">
      <c r="AE1451" s="7">
        <f ca="1"/>
      </c>
      <c r="AF1451">
        <f ca="1"/>
      </c>
      <c r="AG1451">
        <f ca="1"/>
      </c>
      <c r="AH1451">
        <f ca="1"/>
      </c>
      <c r="AI1451">
        <f ca="1"/>
      </c>
      <c r="AJ1451">
        <f ca="1"/>
      </c>
      <c r="AK1451">
        <f ca="1"/>
      </c>
      <c r="AL1451">
        <f ca="1"/>
      </c>
      <c r="AM1451">
        <f ca="1"/>
      </c>
      <c r="AN1451">
        <f ca="1"/>
      </c>
      <c r="AO1451">
        <f ca="1"/>
      </c>
      <c r="AP1451">
        <f ca="1"/>
      </c>
      <c r="AQ1451">
        <f ca="1"/>
      </c>
      <c r="AR1451">
        <f ca="1"/>
      </c>
      <c r="AT1451" s="7">
        <f ca="1"/>
      </c>
      <c r="AU1451">
        <f ca="1"/>
      </c>
      <c r="AV1451">
        <f ca="1"/>
      </c>
      <c r="AW1451">
        <f ca="1"/>
      </c>
      <c r="AX1451">
        <f ca="1"/>
      </c>
      <c r="AY1451">
        <f ca="1"/>
      </c>
      <c r="BA1451" s="7"/>
    </row>
    <row r="1452" spans="31:53" x14ac:dyDescent="0.55000000000000004">
      <c r="AE1452" s="7">
        <f ca="1"/>
      </c>
      <c r="AF1452">
        <f ca="1"/>
      </c>
      <c r="AG1452">
        <f ca="1"/>
      </c>
      <c r="AH1452">
        <f ca="1"/>
      </c>
      <c r="AI1452">
        <f ca="1"/>
      </c>
      <c r="AJ1452">
        <f ca="1"/>
      </c>
      <c r="AK1452">
        <f ca="1"/>
      </c>
      <c r="AL1452">
        <f ca="1"/>
      </c>
      <c r="AM1452">
        <f ca="1"/>
      </c>
      <c r="AN1452">
        <f ca="1"/>
      </c>
      <c r="AO1452">
        <f ca="1"/>
      </c>
      <c r="AP1452">
        <f ca="1"/>
      </c>
      <c r="AQ1452">
        <f ca="1"/>
      </c>
      <c r="AR1452">
        <f ca="1"/>
      </c>
      <c r="AT1452" s="7">
        <f ca="1"/>
      </c>
      <c r="AU1452">
        <f ca="1"/>
      </c>
      <c r="AV1452">
        <f ca="1"/>
      </c>
      <c r="AW1452">
        <f ca="1"/>
      </c>
      <c r="AX1452">
        <f ca="1"/>
      </c>
      <c r="AY1452">
        <f ca="1"/>
      </c>
      <c r="BA1452" s="7"/>
    </row>
    <row r="1453" spans="31:53" x14ac:dyDescent="0.55000000000000004">
      <c r="AE1453" s="7">
        <f ca="1"/>
      </c>
      <c r="AF1453">
        <f ca="1"/>
      </c>
      <c r="AG1453">
        <f ca="1"/>
      </c>
      <c r="AH1453">
        <f ca="1"/>
      </c>
      <c r="AI1453">
        <f ca="1"/>
      </c>
      <c r="AJ1453">
        <f ca="1"/>
      </c>
      <c r="AK1453">
        <f ca="1"/>
      </c>
      <c r="AL1453">
        <f ca="1"/>
      </c>
      <c r="AM1453">
        <f ca="1"/>
      </c>
      <c r="AN1453">
        <f ca="1"/>
      </c>
      <c r="AO1453">
        <f ca="1"/>
      </c>
      <c r="AP1453">
        <f ca="1"/>
      </c>
      <c r="AQ1453">
        <f ca="1"/>
      </c>
      <c r="AR1453">
        <f ca="1"/>
      </c>
      <c r="AT1453" s="7">
        <f ca="1"/>
      </c>
      <c r="AU1453">
        <f ca="1"/>
      </c>
      <c r="AV1453">
        <f ca="1"/>
      </c>
      <c r="AW1453">
        <f ca="1"/>
      </c>
      <c r="AX1453">
        <f ca="1"/>
      </c>
      <c r="AY1453">
        <f ca="1"/>
      </c>
      <c r="BA1453" s="7"/>
    </row>
    <row r="1454" spans="31:53" x14ac:dyDescent="0.55000000000000004">
      <c r="AE1454" s="7">
        <f ca="1"/>
      </c>
      <c r="AF1454">
        <f ca="1"/>
      </c>
      <c r="AG1454">
        <f ca="1"/>
      </c>
      <c r="AH1454">
        <f ca="1"/>
      </c>
      <c r="AI1454">
        <f ca="1"/>
      </c>
      <c r="AJ1454">
        <f ca="1"/>
      </c>
      <c r="AK1454">
        <f ca="1"/>
      </c>
      <c r="AL1454">
        <f ca="1"/>
      </c>
      <c r="AM1454">
        <f ca="1"/>
      </c>
      <c r="AN1454">
        <f ca="1"/>
      </c>
      <c r="AO1454">
        <f ca="1"/>
      </c>
      <c r="AP1454">
        <f ca="1"/>
      </c>
      <c r="AQ1454">
        <f ca="1"/>
      </c>
      <c r="AR1454">
        <f ca="1"/>
      </c>
      <c r="AT1454" s="7">
        <f ca="1"/>
      </c>
      <c r="AU1454">
        <f ca="1"/>
      </c>
      <c r="AV1454">
        <f ca="1"/>
      </c>
      <c r="AW1454">
        <f ca="1"/>
      </c>
      <c r="AX1454">
        <f ca="1"/>
      </c>
      <c r="AY1454">
        <f ca="1"/>
      </c>
      <c r="BA1454" s="7"/>
    </row>
    <row r="1455" spans="31:53" x14ac:dyDescent="0.55000000000000004">
      <c r="AE1455" s="7">
        <f ca="1"/>
      </c>
      <c r="AF1455">
        <f ca="1"/>
      </c>
      <c r="AG1455">
        <f ca="1"/>
      </c>
      <c r="AH1455">
        <f ca="1"/>
      </c>
      <c r="AI1455">
        <f ca="1"/>
      </c>
      <c r="AJ1455">
        <f ca="1"/>
      </c>
      <c r="AK1455">
        <f ca="1"/>
      </c>
      <c r="AL1455">
        <f ca="1"/>
      </c>
      <c r="AM1455">
        <f ca="1"/>
      </c>
      <c r="AN1455">
        <f ca="1"/>
      </c>
      <c r="AO1455">
        <f ca="1"/>
      </c>
      <c r="AP1455">
        <f ca="1"/>
      </c>
      <c r="AQ1455">
        <f ca="1"/>
      </c>
      <c r="AR1455">
        <f ca="1"/>
      </c>
      <c r="AT1455" s="7">
        <f ca="1"/>
      </c>
      <c r="AU1455">
        <f ca="1"/>
      </c>
      <c r="AV1455">
        <f ca="1"/>
      </c>
      <c r="AW1455">
        <f ca="1"/>
      </c>
      <c r="AX1455">
        <f ca="1"/>
      </c>
      <c r="AY1455">
        <f ca="1"/>
      </c>
      <c r="BA1455" s="7"/>
    </row>
    <row r="1456" spans="31:53" x14ac:dyDescent="0.55000000000000004">
      <c r="AE1456" s="7">
        <f ca="1"/>
      </c>
      <c r="AF1456">
        <f ca="1"/>
      </c>
      <c r="AG1456">
        <f ca="1"/>
      </c>
      <c r="AH1456">
        <f ca="1"/>
      </c>
      <c r="AI1456">
        <f ca="1"/>
      </c>
      <c r="AJ1456">
        <f ca="1"/>
      </c>
      <c r="AK1456">
        <f ca="1"/>
      </c>
      <c r="AL1456">
        <f ca="1"/>
      </c>
      <c r="AM1456">
        <f ca="1"/>
      </c>
      <c r="AN1456">
        <f ca="1"/>
      </c>
      <c r="AO1456">
        <f ca="1"/>
      </c>
      <c r="AP1456">
        <f ca="1"/>
      </c>
      <c r="AQ1456">
        <f ca="1"/>
      </c>
      <c r="AR1456">
        <f ca="1"/>
      </c>
      <c r="AT1456" s="7">
        <f ca="1"/>
      </c>
      <c r="AU1456">
        <f ca="1"/>
      </c>
      <c r="AV1456">
        <f ca="1"/>
      </c>
      <c r="AW1456">
        <f ca="1"/>
      </c>
      <c r="AX1456">
        <f ca="1"/>
      </c>
      <c r="AY1456">
        <f ca="1"/>
      </c>
      <c r="BA1456" s="7"/>
    </row>
    <row r="1457" spans="31:53" x14ac:dyDescent="0.55000000000000004">
      <c r="AE1457" s="7">
        <f ca="1"/>
      </c>
      <c r="AF1457">
        <f ca="1"/>
      </c>
      <c r="AG1457">
        <f ca="1"/>
      </c>
      <c r="AH1457">
        <f ca="1"/>
      </c>
      <c r="AI1457">
        <f ca="1"/>
      </c>
      <c r="AJ1457">
        <f ca="1"/>
      </c>
      <c r="AK1457">
        <f ca="1"/>
      </c>
      <c r="AL1457">
        <f ca="1"/>
      </c>
      <c r="AM1457">
        <f ca="1"/>
      </c>
      <c r="AN1457">
        <f ca="1"/>
      </c>
      <c r="AO1457">
        <f ca="1"/>
      </c>
      <c r="AP1457">
        <f ca="1"/>
      </c>
      <c r="AQ1457">
        <f ca="1"/>
      </c>
      <c r="AR1457">
        <f ca="1"/>
      </c>
      <c r="AT1457" s="7">
        <f ca="1"/>
      </c>
      <c r="AU1457">
        <f ca="1"/>
      </c>
      <c r="AV1457">
        <f ca="1"/>
      </c>
      <c r="AW1457">
        <f ca="1"/>
      </c>
      <c r="AX1457">
        <f ca="1"/>
      </c>
      <c r="AY1457">
        <f ca="1"/>
      </c>
      <c r="BA1457" s="7"/>
    </row>
    <row r="1458" spans="31:53" x14ac:dyDescent="0.55000000000000004">
      <c r="AE1458" s="7">
        <f ca="1"/>
      </c>
      <c r="AF1458">
        <f ca="1"/>
      </c>
      <c r="AG1458">
        <f ca="1"/>
      </c>
      <c r="AH1458">
        <f ca="1"/>
      </c>
      <c r="AI1458">
        <f ca="1"/>
      </c>
      <c r="AJ1458">
        <f ca="1"/>
      </c>
      <c r="AK1458">
        <f ca="1"/>
      </c>
      <c r="AL1458">
        <f ca="1"/>
      </c>
      <c r="AM1458">
        <f ca="1"/>
      </c>
      <c r="AN1458">
        <f ca="1"/>
      </c>
      <c r="AO1458">
        <f ca="1"/>
      </c>
      <c r="AP1458">
        <f ca="1"/>
      </c>
      <c r="AQ1458">
        <f ca="1"/>
      </c>
      <c r="AR1458">
        <f ca="1"/>
      </c>
      <c r="AT1458" s="7">
        <f ca="1"/>
      </c>
      <c r="AU1458">
        <f ca="1"/>
      </c>
      <c r="AV1458">
        <f ca="1"/>
      </c>
      <c r="AW1458">
        <f ca="1"/>
      </c>
      <c r="AX1458">
        <f ca="1"/>
      </c>
      <c r="AY1458">
        <f ca="1"/>
      </c>
      <c r="BA1458" s="7"/>
    </row>
    <row r="1459" spans="31:53" x14ac:dyDescent="0.55000000000000004">
      <c r="AE1459" s="7">
        <f ca="1"/>
      </c>
      <c r="AF1459">
        <f ca="1"/>
      </c>
      <c r="AG1459">
        <f ca="1"/>
      </c>
      <c r="AH1459">
        <f ca="1"/>
      </c>
      <c r="AI1459">
        <f ca="1"/>
      </c>
      <c r="AJ1459">
        <f ca="1"/>
      </c>
      <c r="AK1459">
        <f ca="1"/>
      </c>
      <c r="AL1459">
        <f ca="1"/>
      </c>
      <c r="AM1459">
        <f ca="1"/>
      </c>
      <c r="AN1459">
        <f ca="1"/>
      </c>
      <c r="AO1459">
        <f ca="1"/>
      </c>
      <c r="AP1459">
        <f ca="1"/>
      </c>
      <c r="AQ1459">
        <f ca="1"/>
      </c>
      <c r="AR1459">
        <f ca="1"/>
      </c>
      <c r="AT1459" s="7">
        <f ca="1"/>
      </c>
      <c r="AU1459">
        <f ca="1"/>
      </c>
      <c r="AV1459">
        <f ca="1"/>
      </c>
      <c r="AW1459">
        <f ca="1"/>
      </c>
      <c r="AX1459">
        <f ca="1"/>
      </c>
      <c r="AY1459">
        <f ca="1"/>
      </c>
      <c r="BA1459" s="7"/>
    </row>
    <row r="1460" spans="31:53" x14ac:dyDescent="0.55000000000000004">
      <c r="AE1460" s="7">
        <f ca="1"/>
      </c>
      <c r="AF1460">
        <f ca="1"/>
      </c>
      <c r="AG1460">
        <f ca="1"/>
      </c>
      <c r="AH1460">
        <f ca="1"/>
      </c>
      <c r="AI1460">
        <f ca="1"/>
      </c>
      <c r="AJ1460">
        <f ca="1"/>
      </c>
      <c r="AK1460">
        <f ca="1"/>
      </c>
      <c r="AL1460">
        <f ca="1"/>
      </c>
      <c r="AM1460">
        <f ca="1"/>
      </c>
      <c r="AN1460">
        <f ca="1"/>
      </c>
      <c r="AO1460">
        <f ca="1"/>
      </c>
      <c r="AP1460">
        <f ca="1"/>
      </c>
      <c r="AQ1460">
        <f ca="1"/>
      </c>
      <c r="AR1460">
        <f ca="1"/>
      </c>
      <c r="AT1460" s="7">
        <f ca="1"/>
      </c>
      <c r="AU1460">
        <f ca="1"/>
      </c>
      <c r="AV1460">
        <f ca="1"/>
      </c>
      <c r="AW1460">
        <f ca="1"/>
      </c>
      <c r="AX1460">
        <f ca="1"/>
      </c>
      <c r="AY1460">
        <f ca="1"/>
      </c>
      <c r="BA1460" s="7"/>
    </row>
    <row r="1461" spans="31:53" x14ac:dyDescent="0.55000000000000004">
      <c r="AE1461" s="7">
        <f ca="1"/>
      </c>
      <c r="AF1461">
        <f ca="1"/>
      </c>
      <c r="AG1461">
        <f ca="1"/>
      </c>
      <c r="AH1461">
        <f ca="1"/>
      </c>
      <c r="AI1461">
        <f ca="1"/>
      </c>
      <c r="AJ1461">
        <f ca="1"/>
      </c>
      <c r="AK1461">
        <f ca="1"/>
      </c>
      <c r="AL1461">
        <f ca="1"/>
      </c>
      <c r="AM1461">
        <f ca="1"/>
      </c>
      <c r="AN1461">
        <f ca="1"/>
      </c>
      <c r="AO1461">
        <f ca="1"/>
      </c>
      <c r="AP1461">
        <f ca="1"/>
      </c>
      <c r="AQ1461">
        <f ca="1"/>
      </c>
      <c r="AR1461">
        <f ca="1"/>
      </c>
      <c r="AT1461" s="7">
        <f ca="1"/>
      </c>
      <c r="AU1461">
        <f ca="1"/>
      </c>
      <c r="AV1461">
        <f ca="1"/>
      </c>
      <c r="AW1461">
        <f ca="1"/>
      </c>
      <c r="AX1461">
        <f ca="1"/>
      </c>
      <c r="AY1461">
        <f ca="1"/>
      </c>
      <c r="BA1461" s="7"/>
    </row>
    <row r="1462" spans="31:53" x14ac:dyDescent="0.55000000000000004">
      <c r="AE1462" s="7">
        <f ca="1"/>
      </c>
      <c r="AF1462">
        <f ca="1"/>
      </c>
      <c r="AG1462">
        <f ca="1"/>
      </c>
      <c r="AH1462">
        <f ca="1"/>
      </c>
      <c r="AI1462">
        <f ca="1"/>
      </c>
      <c r="AJ1462">
        <f ca="1"/>
      </c>
      <c r="AK1462">
        <f ca="1"/>
      </c>
      <c r="AL1462">
        <f ca="1"/>
      </c>
      <c r="AM1462">
        <f ca="1"/>
      </c>
      <c r="AN1462">
        <f ca="1"/>
      </c>
      <c r="AO1462">
        <f ca="1"/>
      </c>
      <c r="AP1462">
        <f ca="1"/>
      </c>
      <c r="AQ1462">
        <f ca="1"/>
      </c>
      <c r="AR1462">
        <f ca="1"/>
      </c>
      <c r="AT1462" s="7">
        <f ca="1"/>
      </c>
      <c r="AU1462">
        <f ca="1"/>
      </c>
      <c r="AV1462">
        <f ca="1"/>
      </c>
      <c r="AW1462">
        <f ca="1"/>
      </c>
      <c r="AX1462">
        <f ca="1"/>
      </c>
      <c r="AY1462">
        <f ca="1"/>
      </c>
      <c r="BA1462" s="7"/>
    </row>
    <row r="1463" spans="31:53" x14ac:dyDescent="0.55000000000000004">
      <c r="AE1463" s="7">
        <f ca="1"/>
      </c>
      <c r="AF1463">
        <f ca="1"/>
      </c>
      <c r="AG1463">
        <f ca="1"/>
      </c>
      <c r="AH1463">
        <f ca="1"/>
      </c>
      <c r="AI1463">
        <f ca="1"/>
      </c>
      <c r="AJ1463">
        <f ca="1"/>
      </c>
      <c r="AK1463">
        <f ca="1"/>
      </c>
      <c r="AL1463">
        <f ca="1"/>
      </c>
      <c r="AM1463">
        <f ca="1"/>
      </c>
      <c r="AN1463">
        <f ca="1"/>
      </c>
      <c r="AO1463">
        <f ca="1"/>
      </c>
      <c r="AP1463">
        <f ca="1"/>
      </c>
      <c r="AQ1463">
        <f ca="1"/>
      </c>
      <c r="AR1463">
        <f ca="1"/>
      </c>
      <c r="AT1463" s="7">
        <f ca="1"/>
      </c>
      <c r="AU1463">
        <f ca="1"/>
      </c>
      <c r="AV1463">
        <f ca="1"/>
      </c>
      <c r="AW1463">
        <f ca="1"/>
      </c>
      <c r="AX1463">
        <f ca="1"/>
      </c>
      <c r="AY1463">
        <f ca="1"/>
      </c>
      <c r="BA1463" s="7"/>
    </row>
    <row r="1464" spans="31:53" x14ac:dyDescent="0.55000000000000004">
      <c r="AE1464" s="7">
        <f ca="1"/>
      </c>
      <c r="AF1464">
        <f ca="1"/>
      </c>
      <c r="AG1464">
        <f ca="1"/>
      </c>
      <c r="AH1464">
        <f ca="1"/>
      </c>
      <c r="AI1464">
        <f ca="1"/>
      </c>
      <c r="AJ1464">
        <f ca="1"/>
      </c>
      <c r="AK1464">
        <f ca="1"/>
      </c>
      <c r="AL1464">
        <f ca="1"/>
      </c>
      <c r="AM1464">
        <f ca="1"/>
      </c>
      <c r="AN1464">
        <f ca="1"/>
      </c>
      <c r="AO1464">
        <f ca="1"/>
      </c>
      <c r="AP1464">
        <f ca="1"/>
      </c>
      <c r="AQ1464">
        <f ca="1"/>
      </c>
      <c r="AR1464">
        <f ca="1"/>
      </c>
      <c r="AT1464" s="7">
        <f ca="1"/>
      </c>
      <c r="AU1464">
        <f ca="1"/>
      </c>
      <c r="AV1464">
        <f ca="1"/>
      </c>
      <c r="AW1464">
        <f ca="1"/>
      </c>
      <c r="AX1464">
        <f ca="1"/>
      </c>
      <c r="AY1464">
        <f ca="1"/>
      </c>
      <c r="BA1464" s="7"/>
    </row>
    <row r="1465" spans="31:53" x14ac:dyDescent="0.55000000000000004">
      <c r="AE1465" s="7">
        <f ca="1"/>
      </c>
      <c r="AF1465">
        <f ca="1"/>
      </c>
      <c r="AG1465">
        <f ca="1"/>
      </c>
      <c r="AH1465">
        <f ca="1"/>
      </c>
      <c r="AI1465">
        <f ca="1"/>
      </c>
      <c r="AJ1465">
        <f ca="1"/>
      </c>
      <c r="AK1465">
        <f ca="1"/>
      </c>
      <c r="AL1465">
        <f ca="1"/>
      </c>
      <c r="AM1465">
        <f ca="1"/>
      </c>
      <c r="AN1465">
        <f ca="1"/>
      </c>
      <c r="AO1465">
        <f ca="1"/>
      </c>
      <c r="AP1465">
        <f ca="1"/>
      </c>
      <c r="AQ1465">
        <f ca="1"/>
      </c>
      <c r="AR1465">
        <f ca="1"/>
      </c>
      <c r="AT1465" s="7">
        <f ca="1"/>
      </c>
      <c r="AU1465">
        <f ca="1"/>
      </c>
      <c r="AV1465">
        <f ca="1"/>
      </c>
      <c r="AW1465">
        <f ca="1"/>
      </c>
      <c r="AX1465">
        <f ca="1"/>
      </c>
      <c r="AY1465">
        <f ca="1"/>
      </c>
      <c r="BA1465" s="7"/>
    </row>
    <row r="1466" spans="31:53" x14ac:dyDescent="0.55000000000000004">
      <c r="AE1466" s="7">
        <f ca="1"/>
      </c>
      <c r="AF1466">
        <f ca="1"/>
      </c>
      <c r="AG1466">
        <f ca="1"/>
      </c>
      <c r="AH1466">
        <f ca="1"/>
      </c>
      <c r="AI1466">
        <f ca="1"/>
      </c>
      <c r="AJ1466">
        <f ca="1"/>
      </c>
      <c r="AK1466">
        <f ca="1"/>
      </c>
      <c r="AL1466">
        <f ca="1"/>
      </c>
      <c r="AM1466">
        <f ca="1"/>
      </c>
      <c r="AN1466">
        <f ca="1"/>
      </c>
      <c r="AO1466">
        <f ca="1"/>
      </c>
      <c r="AP1466">
        <f ca="1"/>
      </c>
      <c r="AQ1466">
        <f ca="1"/>
      </c>
      <c r="AR1466">
        <f ca="1"/>
      </c>
      <c r="AT1466" s="7">
        <f ca="1"/>
      </c>
      <c r="AU1466">
        <f ca="1"/>
      </c>
      <c r="AV1466">
        <f ca="1"/>
      </c>
      <c r="AW1466">
        <f ca="1"/>
      </c>
      <c r="AX1466">
        <f ca="1"/>
      </c>
      <c r="AY1466">
        <f ca="1"/>
      </c>
      <c r="BA1466" s="7"/>
    </row>
    <row r="1467" spans="31:53" x14ac:dyDescent="0.55000000000000004">
      <c r="AE1467" s="7">
        <f ca="1"/>
      </c>
      <c r="AF1467">
        <f ca="1"/>
      </c>
      <c r="AG1467">
        <f ca="1"/>
      </c>
      <c r="AH1467">
        <f ca="1"/>
      </c>
      <c r="AI1467">
        <f ca="1"/>
      </c>
      <c r="AJ1467">
        <f ca="1"/>
      </c>
      <c r="AK1467">
        <f ca="1"/>
      </c>
      <c r="AL1467">
        <f ca="1"/>
      </c>
      <c r="AM1467">
        <f ca="1"/>
      </c>
      <c r="AN1467">
        <f ca="1"/>
      </c>
      <c r="AO1467">
        <f ca="1"/>
      </c>
      <c r="AP1467">
        <f ca="1"/>
      </c>
      <c r="AQ1467">
        <f ca="1"/>
      </c>
      <c r="AR1467">
        <f ca="1"/>
      </c>
      <c r="AT1467" s="7">
        <f ca="1"/>
      </c>
      <c r="AU1467">
        <f ca="1"/>
      </c>
      <c r="AV1467">
        <f ca="1"/>
      </c>
      <c r="AW1467">
        <f ca="1"/>
      </c>
      <c r="AX1467">
        <f ca="1"/>
      </c>
      <c r="AY1467">
        <f ca="1"/>
      </c>
      <c r="BA1467" s="7"/>
    </row>
    <row r="1468" spans="31:53" x14ac:dyDescent="0.55000000000000004">
      <c r="AE1468" s="7">
        <f ca="1"/>
      </c>
      <c r="AF1468">
        <f ca="1"/>
      </c>
      <c r="AG1468">
        <f ca="1"/>
      </c>
      <c r="AH1468">
        <f ca="1"/>
      </c>
      <c r="AI1468">
        <f ca="1"/>
      </c>
      <c r="AJ1468">
        <f ca="1"/>
      </c>
      <c r="AK1468">
        <f ca="1"/>
      </c>
      <c r="AL1468">
        <f ca="1"/>
      </c>
      <c r="AM1468">
        <f ca="1"/>
      </c>
      <c r="AN1468">
        <f ca="1"/>
      </c>
      <c r="AO1468">
        <f ca="1"/>
      </c>
      <c r="AP1468">
        <f ca="1"/>
      </c>
      <c r="AQ1468">
        <f ca="1"/>
      </c>
      <c r="AR1468">
        <f ca="1"/>
      </c>
      <c r="AT1468" s="7">
        <f ca="1"/>
      </c>
      <c r="AU1468">
        <f ca="1"/>
      </c>
      <c r="AV1468">
        <f ca="1"/>
      </c>
      <c r="AW1468">
        <f ca="1"/>
      </c>
      <c r="AX1468">
        <f ca="1"/>
      </c>
      <c r="AY1468">
        <f ca="1"/>
      </c>
      <c r="BA1468" s="7"/>
    </row>
    <row r="1469" spans="31:53" x14ac:dyDescent="0.55000000000000004">
      <c r="AE1469" s="7">
        <f ca="1"/>
      </c>
      <c r="AF1469">
        <f ca="1"/>
      </c>
      <c r="AG1469">
        <f ca="1"/>
      </c>
      <c r="AH1469">
        <f ca="1"/>
      </c>
      <c r="AI1469">
        <f ca="1"/>
      </c>
      <c r="AJ1469">
        <f ca="1"/>
      </c>
      <c r="AK1469">
        <f ca="1"/>
      </c>
      <c r="AL1469">
        <f ca="1"/>
      </c>
      <c r="AM1469">
        <f ca="1"/>
      </c>
      <c r="AN1469">
        <f ca="1"/>
      </c>
      <c r="AO1469">
        <f ca="1"/>
      </c>
      <c r="AP1469">
        <f ca="1"/>
      </c>
      <c r="AQ1469">
        <f ca="1"/>
      </c>
      <c r="AR1469">
        <f ca="1"/>
      </c>
      <c r="AT1469" s="7">
        <f ca="1"/>
      </c>
      <c r="AU1469">
        <f ca="1"/>
      </c>
      <c r="AV1469">
        <f ca="1"/>
      </c>
      <c r="AW1469">
        <f ca="1"/>
      </c>
      <c r="AX1469">
        <f ca="1"/>
      </c>
      <c r="AY1469">
        <f ca="1"/>
      </c>
      <c r="BA1469" s="7"/>
    </row>
    <row r="1470" spans="31:53" x14ac:dyDescent="0.55000000000000004">
      <c r="AE1470" s="7">
        <f ca="1"/>
      </c>
      <c r="AF1470">
        <f ca="1"/>
      </c>
      <c r="AG1470">
        <f ca="1"/>
      </c>
      <c r="AH1470">
        <f ca="1"/>
      </c>
      <c r="AI1470">
        <f ca="1"/>
      </c>
      <c r="AJ1470">
        <f ca="1"/>
      </c>
      <c r="AK1470">
        <f ca="1"/>
      </c>
      <c r="AL1470">
        <f ca="1"/>
      </c>
      <c r="AM1470">
        <f ca="1"/>
      </c>
      <c r="AN1470">
        <f ca="1"/>
      </c>
      <c r="AO1470">
        <f ca="1"/>
      </c>
      <c r="AP1470">
        <f ca="1"/>
      </c>
      <c r="AQ1470">
        <f ca="1"/>
      </c>
      <c r="AR1470">
        <f ca="1"/>
      </c>
      <c r="AT1470" s="7">
        <f ca="1"/>
      </c>
      <c r="AU1470">
        <f ca="1"/>
      </c>
      <c r="AV1470">
        <f ca="1"/>
      </c>
      <c r="AW1470">
        <f ca="1"/>
      </c>
      <c r="AX1470">
        <f ca="1"/>
      </c>
      <c r="AY1470">
        <f ca="1"/>
      </c>
      <c r="BA1470" s="7"/>
    </row>
    <row r="1471" spans="31:53" x14ac:dyDescent="0.55000000000000004">
      <c r="AE1471" s="7">
        <f ca="1"/>
      </c>
      <c r="AF1471">
        <f ca="1"/>
      </c>
      <c r="AG1471">
        <f ca="1"/>
      </c>
      <c r="AH1471">
        <f ca="1"/>
      </c>
      <c r="AI1471">
        <f ca="1"/>
      </c>
      <c r="AJ1471">
        <f ca="1"/>
      </c>
      <c r="AK1471">
        <f ca="1"/>
      </c>
      <c r="AL1471">
        <f ca="1"/>
      </c>
      <c r="AM1471">
        <f ca="1"/>
      </c>
      <c r="AN1471">
        <f ca="1"/>
      </c>
      <c r="AO1471">
        <f ca="1"/>
      </c>
      <c r="AP1471">
        <f ca="1"/>
      </c>
      <c r="AQ1471">
        <f ca="1"/>
      </c>
      <c r="AR1471">
        <f ca="1"/>
      </c>
      <c r="AT1471" s="7">
        <f ca="1"/>
      </c>
      <c r="AU1471">
        <f ca="1"/>
      </c>
      <c r="AV1471">
        <f ca="1"/>
      </c>
      <c r="AW1471">
        <f ca="1"/>
      </c>
      <c r="AX1471">
        <f ca="1"/>
      </c>
      <c r="AY1471">
        <f ca="1"/>
      </c>
      <c r="BA1471" s="7"/>
    </row>
    <row r="1472" spans="31:53" x14ac:dyDescent="0.55000000000000004">
      <c r="AE1472" s="7">
        <f ca="1"/>
      </c>
      <c r="AF1472">
        <f ca="1"/>
      </c>
      <c r="AG1472">
        <f ca="1"/>
      </c>
      <c r="AH1472">
        <f ca="1"/>
      </c>
      <c r="AI1472">
        <f ca="1"/>
      </c>
      <c r="AJ1472">
        <f ca="1"/>
      </c>
      <c r="AK1472">
        <f ca="1"/>
      </c>
      <c r="AL1472">
        <f ca="1"/>
      </c>
      <c r="AM1472">
        <f ca="1"/>
      </c>
      <c r="AN1472">
        <f ca="1"/>
      </c>
      <c r="AO1472">
        <f ca="1"/>
      </c>
      <c r="AP1472">
        <f ca="1"/>
      </c>
      <c r="AQ1472">
        <f ca="1"/>
      </c>
      <c r="AR1472">
        <f ca="1"/>
      </c>
      <c r="AT1472" s="7">
        <f ca="1"/>
      </c>
      <c r="AU1472">
        <f ca="1"/>
      </c>
      <c r="AV1472">
        <f ca="1"/>
      </c>
      <c r="AW1472">
        <f ca="1"/>
      </c>
      <c r="AX1472">
        <f ca="1"/>
      </c>
      <c r="AY1472">
        <f ca="1"/>
      </c>
      <c r="BA1472" s="7"/>
    </row>
    <row r="1473" spans="31:53" x14ac:dyDescent="0.55000000000000004">
      <c r="AE1473" s="7">
        <f ca="1"/>
      </c>
      <c r="AF1473">
        <f ca="1"/>
      </c>
      <c r="AG1473">
        <f ca="1"/>
      </c>
      <c r="AH1473">
        <f ca="1"/>
      </c>
      <c r="AI1473">
        <f ca="1"/>
      </c>
      <c r="AJ1473">
        <f ca="1"/>
      </c>
      <c r="AK1473">
        <f ca="1"/>
      </c>
      <c r="AL1473">
        <f ca="1"/>
      </c>
      <c r="AM1473">
        <f ca="1"/>
      </c>
      <c r="AN1473">
        <f ca="1"/>
      </c>
      <c r="AO1473">
        <f ca="1"/>
      </c>
      <c r="AP1473">
        <f ca="1"/>
      </c>
      <c r="AQ1473">
        <f ca="1"/>
      </c>
      <c r="AR1473">
        <f ca="1"/>
      </c>
      <c r="AT1473" s="7">
        <f ca="1"/>
      </c>
      <c r="AU1473">
        <f ca="1"/>
      </c>
      <c r="AV1473">
        <f ca="1"/>
      </c>
      <c r="AW1473">
        <f ca="1"/>
      </c>
      <c r="AX1473">
        <f ca="1"/>
      </c>
      <c r="AY1473">
        <f ca="1"/>
      </c>
      <c r="BA1473" s="7"/>
    </row>
    <row r="1474" spans="31:53" x14ac:dyDescent="0.55000000000000004">
      <c r="AE1474" s="7">
        <f ca="1"/>
      </c>
      <c r="AF1474">
        <f ca="1"/>
      </c>
      <c r="AG1474">
        <f ca="1"/>
      </c>
      <c r="AH1474">
        <f ca="1"/>
      </c>
      <c r="AI1474">
        <f ca="1"/>
      </c>
      <c r="AJ1474">
        <f ca="1"/>
      </c>
      <c r="AK1474">
        <f ca="1"/>
      </c>
      <c r="AL1474">
        <f ca="1"/>
      </c>
      <c r="AM1474">
        <f ca="1"/>
      </c>
      <c r="AN1474">
        <f ca="1"/>
      </c>
      <c r="AO1474">
        <f ca="1"/>
      </c>
      <c r="AP1474">
        <f ca="1"/>
      </c>
      <c r="AQ1474">
        <f ca="1"/>
      </c>
      <c r="AR1474">
        <f ca="1"/>
      </c>
      <c r="AT1474" s="7">
        <f ca="1"/>
      </c>
      <c r="AU1474">
        <f ca="1"/>
      </c>
      <c r="AV1474">
        <f ca="1"/>
      </c>
      <c r="AW1474">
        <f ca="1"/>
      </c>
      <c r="AX1474">
        <f ca="1"/>
      </c>
      <c r="AY1474">
        <f ca="1"/>
      </c>
      <c r="BA1474" s="7"/>
    </row>
    <row r="1475" spans="31:53" x14ac:dyDescent="0.55000000000000004">
      <c r="AE1475" s="7">
        <f ca="1"/>
      </c>
      <c r="AF1475">
        <f ca="1"/>
      </c>
      <c r="AG1475">
        <f ca="1"/>
      </c>
      <c r="AH1475">
        <f ca="1"/>
      </c>
      <c r="AI1475">
        <f ca="1"/>
      </c>
      <c r="AJ1475">
        <f ca="1"/>
      </c>
      <c r="AK1475">
        <f ca="1"/>
      </c>
      <c r="AL1475">
        <f ca="1"/>
      </c>
      <c r="AM1475">
        <f ca="1"/>
      </c>
      <c r="AN1475">
        <f ca="1"/>
      </c>
      <c r="AO1475">
        <f ca="1"/>
      </c>
      <c r="AP1475">
        <f ca="1"/>
      </c>
      <c r="AQ1475">
        <f ca="1"/>
      </c>
      <c r="AR1475">
        <f ca="1"/>
      </c>
      <c r="AT1475" s="7">
        <f ca="1"/>
      </c>
      <c r="AU1475">
        <f ca="1"/>
      </c>
      <c r="AV1475">
        <f ca="1"/>
      </c>
      <c r="AW1475">
        <f ca="1"/>
      </c>
      <c r="AX1475">
        <f ca="1"/>
      </c>
      <c r="AY1475">
        <f ca="1"/>
      </c>
      <c r="BA1475" s="7"/>
    </row>
    <row r="1476" spans="31:53" x14ac:dyDescent="0.55000000000000004">
      <c r="AE1476" s="7">
        <f ca="1"/>
      </c>
      <c r="AF1476">
        <f ca="1"/>
      </c>
      <c r="AG1476">
        <f ca="1"/>
      </c>
      <c r="AH1476">
        <f ca="1"/>
      </c>
      <c r="AI1476">
        <f ca="1"/>
      </c>
      <c r="AJ1476">
        <f ca="1"/>
      </c>
      <c r="AK1476">
        <f ca="1"/>
      </c>
      <c r="AL1476">
        <f ca="1"/>
      </c>
      <c r="AM1476">
        <f ca="1"/>
      </c>
      <c r="AN1476">
        <f ca="1"/>
      </c>
      <c r="AO1476">
        <f ca="1"/>
      </c>
      <c r="AP1476">
        <f ca="1"/>
      </c>
      <c r="AQ1476">
        <f ca="1"/>
      </c>
      <c r="AR1476">
        <f ca="1"/>
      </c>
      <c r="AT1476" s="7">
        <f ca="1"/>
      </c>
      <c r="AU1476">
        <f ca="1"/>
      </c>
      <c r="AV1476">
        <f ca="1"/>
      </c>
      <c r="AW1476">
        <f ca="1"/>
      </c>
      <c r="AX1476">
        <f ca="1"/>
      </c>
      <c r="AY1476">
        <f ca="1"/>
      </c>
      <c r="BA1476" s="7"/>
    </row>
    <row r="1477" spans="31:53" x14ac:dyDescent="0.55000000000000004">
      <c r="AE1477" s="7">
        <f ca="1"/>
      </c>
      <c r="AF1477">
        <f ca="1"/>
      </c>
      <c r="AG1477">
        <f ca="1"/>
      </c>
      <c r="AH1477">
        <f ca="1"/>
      </c>
      <c r="AI1477">
        <f ca="1"/>
      </c>
      <c r="AJ1477">
        <f ca="1"/>
      </c>
      <c r="AK1477">
        <f ca="1"/>
      </c>
      <c r="AL1477">
        <f ca="1"/>
      </c>
      <c r="AM1477">
        <f ca="1"/>
      </c>
      <c r="AN1477">
        <f ca="1"/>
      </c>
      <c r="AO1477">
        <f ca="1"/>
      </c>
      <c r="AP1477">
        <f ca="1"/>
      </c>
      <c r="AQ1477">
        <f ca="1"/>
      </c>
      <c r="AR1477">
        <f ca="1"/>
      </c>
      <c r="AT1477" s="7">
        <f ca="1"/>
      </c>
      <c r="AU1477">
        <f ca="1"/>
      </c>
      <c r="AV1477">
        <f ca="1"/>
      </c>
      <c r="AW1477">
        <f ca="1"/>
      </c>
      <c r="AX1477">
        <f ca="1"/>
      </c>
      <c r="AY1477">
        <f ca="1"/>
      </c>
      <c r="BA1477" s="7"/>
    </row>
    <row r="1478" spans="31:53" x14ac:dyDescent="0.55000000000000004">
      <c r="AE1478" s="7">
        <f ca="1"/>
      </c>
      <c r="AF1478">
        <f ca="1"/>
      </c>
      <c r="AG1478">
        <f ca="1"/>
      </c>
      <c r="AH1478">
        <f ca="1"/>
      </c>
      <c r="AI1478">
        <f ca="1"/>
      </c>
      <c r="AJ1478">
        <f ca="1"/>
      </c>
      <c r="AK1478">
        <f ca="1"/>
      </c>
      <c r="AL1478">
        <f ca="1"/>
      </c>
      <c r="AM1478">
        <f ca="1"/>
      </c>
      <c r="AN1478">
        <f ca="1"/>
      </c>
      <c r="AO1478">
        <f ca="1"/>
      </c>
      <c r="AP1478">
        <f ca="1"/>
      </c>
      <c r="AQ1478">
        <f ca="1"/>
      </c>
      <c r="AR1478">
        <f ca="1"/>
      </c>
      <c r="AT1478" s="7">
        <f ca="1"/>
      </c>
      <c r="AU1478">
        <f ca="1"/>
      </c>
      <c r="AV1478">
        <f ca="1"/>
      </c>
      <c r="AW1478">
        <f ca="1"/>
      </c>
      <c r="AX1478">
        <f ca="1"/>
      </c>
      <c r="AY1478">
        <f ca="1"/>
      </c>
      <c r="BA1478" s="7"/>
    </row>
    <row r="1479" spans="31:53" x14ac:dyDescent="0.55000000000000004">
      <c r="AE1479" s="7">
        <f ca="1"/>
      </c>
      <c r="AF1479">
        <f ca="1"/>
      </c>
      <c r="AG1479">
        <f ca="1"/>
      </c>
      <c r="AH1479">
        <f ca="1"/>
      </c>
      <c r="AI1479">
        <f ca="1"/>
      </c>
      <c r="AJ1479">
        <f ca="1"/>
      </c>
      <c r="AK1479">
        <f ca="1"/>
      </c>
      <c r="AL1479">
        <f ca="1"/>
      </c>
      <c r="AM1479">
        <f ca="1"/>
      </c>
      <c r="AN1479">
        <f ca="1"/>
      </c>
      <c r="AO1479">
        <f ca="1"/>
      </c>
      <c r="AP1479">
        <f ca="1"/>
      </c>
      <c r="AQ1479">
        <f ca="1"/>
      </c>
      <c r="AR1479">
        <f ca="1"/>
      </c>
      <c r="AT1479" s="7">
        <f ca="1"/>
      </c>
      <c r="AU1479">
        <f ca="1"/>
      </c>
      <c r="AV1479">
        <f ca="1"/>
      </c>
      <c r="AW1479">
        <f ca="1"/>
      </c>
      <c r="AX1479">
        <f ca="1"/>
      </c>
      <c r="AY1479">
        <f ca="1"/>
      </c>
      <c r="BA1479" s="7"/>
    </row>
    <row r="1480" spans="31:53" x14ac:dyDescent="0.55000000000000004">
      <c r="AE1480" s="7">
        <f ca="1"/>
      </c>
      <c r="AF1480">
        <f ca="1"/>
      </c>
      <c r="AG1480">
        <f ca="1"/>
      </c>
      <c r="AH1480">
        <f ca="1"/>
      </c>
      <c r="AI1480">
        <f ca="1"/>
      </c>
      <c r="AJ1480">
        <f ca="1"/>
      </c>
      <c r="AK1480">
        <f ca="1"/>
      </c>
      <c r="AL1480">
        <f ca="1"/>
      </c>
      <c r="AM1480">
        <f ca="1"/>
      </c>
      <c r="AN1480">
        <f ca="1"/>
      </c>
      <c r="AO1480">
        <f ca="1"/>
      </c>
      <c r="AP1480">
        <f ca="1"/>
      </c>
      <c r="AQ1480">
        <f ca="1"/>
      </c>
      <c r="AR1480">
        <f ca="1"/>
      </c>
      <c r="AT1480" s="7">
        <f ca="1"/>
      </c>
      <c r="AU1480">
        <f ca="1"/>
      </c>
      <c r="AV1480">
        <f ca="1"/>
      </c>
      <c r="AW1480">
        <f ca="1"/>
      </c>
      <c r="AX1480">
        <f ca="1"/>
      </c>
      <c r="AY1480">
        <f ca="1"/>
      </c>
      <c r="BA1480" s="7"/>
    </row>
    <row r="1481" spans="31:53" x14ac:dyDescent="0.55000000000000004">
      <c r="AE1481" s="7">
        <f ca="1"/>
      </c>
      <c r="AF1481">
        <f ca="1"/>
      </c>
      <c r="AG1481">
        <f ca="1"/>
      </c>
      <c r="AH1481">
        <f ca="1"/>
      </c>
      <c r="AI1481">
        <f ca="1"/>
      </c>
      <c r="AJ1481">
        <f ca="1"/>
      </c>
      <c r="AK1481">
        <f ca="1"/>
      </c>
      <c r="AL1481">
        <f ca="1"/>
      </c>
      <c r="AM1481">
        <f ca="1"/>
      </c>
      <c r="AN1481">
        <f ca="1"/>
      </c>
      <c r="AO1481">
        <f ca="1"/>
      </c>
      <c r="AP1481">
        <f ca="1"/>
      </c>
      <c r="AQ1481">
        <f ca="1"/>
      </c>
      <c r="AR1481">
        <f ca="1"/>
      </c>
      <c r="AT1481" s="7">
        <f ca="1"/>
      </c>
      <c r="AU1481">
        <f ca="1"/>
      </c>
      <c r="AV1481">
        <f ca="1"/>
      </c>
      <c r="AW1481">
        <f ca="1"/>
      </c>
      <c r="AX1481">
        <f ca="1"/>
      </c>
      <c r="AY1481">
        <f ca="1"/>
      </c>
      <c r="BA1481" s="7"/>
    </row>
    <row r="1482" spans="31:53" x14ac:dyDescent="0.55000000000000004">
      <c r="AE1482" s="7">
        <f ca="1"/>
      </c>
      <c r="AF1482">
        <f ca="1"/>
      </c>
      <c r="AG1482">
        <f ca="1"/>
      </c>
      <c r="AH1482">
        <f ca="1"/>
      </c>
      <c r="AI1482">
        <f ca="1"/>
      </c>
      <c r="AJ1482">
        <f ca="1"/>
      </c>
      <c r="AK1482">
        <f ca="1"/>
      </c>
      <c r="AL1482">
        <f ca="1"/>
      </c>
      <c r="AM1482">
        <f ca="1"/>
      </c>
      <c r="AN1482">
        <f ca="1"/>
      </c>
      <c r="AO1482">
        <f ca="1"/>
      </c>
      <c r="AP1482">
        <f ca="1"/>
      </c>
      <c r="AQ1482">
        <f ca="1"/>
      </c>
      <c r="AR1482">
        <f ca="1"/>
      </c>
      <c r="AT1482" s="7">
        <f ca="1"/>
      </c>
      <c r="AU1482">
        <f ca="1"/>
      </c>
      <c r="AV1482">
        <f ca="1"/>
      </c>
      <c r="AW1482">
        <f ca="1"/>
      </c>
      <c r="AX1482">
        <f ca="1"/>
      </c>
      <c r="AY1482">
        <f ca="1"/>
      </c>
      <c r="BA1482" s="7"/>
    </row>
    <row r="1483" spans="31:53" x14ac:dyDescent="0.55000000000000004">
      <c r="AE1483" s="7">
        <f ca="1"/>
      </c>
      <c r="AF1483">
        <f ca="1"/>
      </c>
      <c r="AG1483">
        <f ca="1"/>
      </c>
      <c r="AH1483">
        <f ca="1"/>
      </c>
      <c r="AI1483">
        <f ca="1"/>
      </c>
      <c r="AJ1483">
        <f ca="1"/>
      </c>
      <c r="AK1483">
        <f ca="1"/>
      </c>
      <c r="AL1483">
        <f ca="1"/>
      </c>
      <c r="AM1483">
        <f ca="1"/>
      </c>
      <c r="AN1483">
        <f ca="1"/>
      </c>
      <c r="AO1483">
        <f ca="1"/>
      </c>
      <c r="AP1483">
        <f ca="1"/>
      </c>
      <c r="AQ1483">
        <f ca="1"/>
      </c>
      <c r="AR1483">
        <f ca="1"/>
      </c>
      <c r="AT1483" s="7">
        <f ca="1"/>
      </c>
      <c r="AU1483">
        <f ca="1"/>
      </c>
      <c r="AV1483">
        <f ca="1"/>
      </c>
      <c r="AW1483">
        <f ca="1"/>
      </c>
      <c r="AX1483">
        <f ca="1"/>
      </c>
      <c r="AY1483">
        <f ca="1"/>
      </c>
      <c r="BA1483" s="7"/>
    </row>
    <row r="1484" spans="31:53" x14ac:dyDescent="0.55000000000000004">
      <c r="AE1484" s="7">
        <f ca="1"/>
      </c>
      <c r="AF1484">
        <f ca="1"/>
      </c>
      <c r="AG1484">
        <f ca="1"/>
      </c>
      <c r="AH1484">
        <f ca="1"/>
      </c>
      <c r="AI1484">
        <f ca="1"/>
      </c>
      <c r="AJ1484">
        <f ca="1"/>
      </c>
      <c r="AK1484">
        <f ca="1"/>
      </c>
      <c r="AL1484">
        <f ca="1"/>
      </c>
      <c r="AM1484">
        <f ca="1"/>
      </c>
      <c r="AN1484">
        <f ca="1"/>
      </c>
      <c r="AO1484">
        <f ca="1"/>
      </c>
      <c r="AP1484">
        <f ca="1"/>
      </c>
      <c r="AQ1484">
        <f ca="1"/>
      </c>
      <c r="AR1484">
        <f ca="1"/>
      </c>
      <c r="AT1484" s="7">
        <f ca="1"/>
      </c>
      <c r="AU1484">
        <f ca="1"/>
      </c>
      <c r="AV1484">
        <f ca="1"/>
      </c>
      <c r="AW1484">
        <f ca="1"/>
      </c>
      <c r="AX1484">
        <f ca="1"/>
      </c>
      <c r="AY1484">
        <f ca="1"/>
      </c>
      <c r="BA1484" s="7"/>
    </row>
    <row r="1485" spans="31:53" x14ac:dyDescent="0.55000000000000004">
      <c r="AE1485" s="7">
        <f ca="1"/>
      </c>
      <c r="AF1485">
        <f ca="1"/>
      </c>
      <c r="AG1485">
        <f ca="1"/>
      </c>
      <c r="AH1485">
        <f ca="1"/>
      </c>
      <c r="AI1485">
        <f ca="1"/>
      </c>
      <c r="AJ1485">
        <f ca="1"/>
      </c>
      <c r="AK1485">
        <f ca="1"/>
      </c>
      <c r="AL1485">
        <f ca="1"/>
      </c>
      <c r="AM1485">
        <f ca="1"/>
      </c>
      <c r="AN1485">
        <f ca="1"/>
      </c>
      <c r="AO1485">
        <f ca="1"/>
      </c>
      <c r="AP1485">
        <f ca="1"/>
      </c>
      <c r="AQ1485">
        <f ca="1"/>
      </c>
      <c r="AR1485">
        <f ca="1"/>
      </c>
      <c r="AT1485" s="7">
        <f ca="1"/>
      </c>
      <c r="AU1485">
        <f ca="1"/>
      </c>
      <c r="AV1485">
        <f ca="1"/>
      </c>
      <c r="AW1485">
        <f ca="1"/>
      </c>
      <c r="AX1485">
        <f ca="1"/>
      </c>
      <c r="AY1485">
        <f ca="1"/>
      </c>
      <c r="BA1485" s="7"/>
    </row>
    <row r="1486" spans="31:53" x14ac:dyDescent="0.55000000000000004">
      <c r="AE1486" s="7">
        <f ca="1"/>
      </c>
      <c r="AF1486">
        <f ca="1"/>
      </c>
      <c r="AG1486">
        <f ca="1"/>
      </c>
      <c r="AH1486">
        <f ca="1"/>
      </c>
      <c r="AI1486">
        <f ca="1"/>
      </c>
      <c r="AJ1486">
        <f ca="1"/>
      </c>
      <c r="AK1486">
        <f ca="1"/>
      </c>
      <c r="AL1486">
        <f ca="1"/>
      </c>
      <c r="AM1486">
        <f ca="1"/>
      </c>
      <c r="AN1486">
        <f ca="1"/>
      </c>
      <c r="AO1486">
        <f ca="1"/>
      </c>
      <c r="AP1486">
        <f ca="1"/>
      </c>
      <c r="AQ1486">
        <f ca="1"/>
      </c>
      <c r="AR1486">
        <f ca="1"/>
      </c>
      <c r="AT1486" s="7">
        <f ca="1"/>
      </c>
      <c r="AU1486">
        <f ca="1"/>
      </c>
      <c r="AV1486">
        <f ca="1"/>
      </c>
      <c r="AW1486">
        <f ca="1"/>
      </c>
      <c r="AX1486">
        <f ca="1"/>
      </c>
      <c r="AY1486">
        <f ca="1"/>
      </c>
      <c r="BA1486" s="7"/>
    </row>
    <row r="1487" spans="31:53" x14ac:dyDescent="0.55000000000000004">
      <c r="AE1487" s="7">
        <f ca="1"/>
      </c>
      <c r="AF1487">
        <f ca="1"/>
      </c>
      <c r="AG1487">
        <f ca="1"/>
      </c>
      <c r="AH1487">
        <f ca="1"/>
      </c>
      <c r="AI1487">
        <f ca="1"/>
      </c>
      <c r="AJ1487">
        <f ca="1"/>
      </c>
      <c r="AK1487">
        <f ca="1"/>
      </c>
      <c r="AL1487">
        <f ca="1"/>
      </c>
      <c r="AM1487">
        <f ca="1"/>
      </c>
      <c r="AN1487">
        <f ca="1"/>
      </c>
      <c r="AO1487">
        <f ca="1"/>
      </c>
      <c r="AP1487">
        <f ca="1"/>
      </c>
      <c r="AQ1487">
        <f ca="1"/>
      </c>
      <c r="AR1487">
        <f ca="1"/>
      </c>
      <c r="AT1487" s="7">
        <f ca="1"/>
      </c>
      <c r="AU1487">
        <f ca="1"/>
      </c>
      <c r="AV1487">
        <f ca="1"/>
      </c>
      <c r="AW1487">
        <f ca="1"/>
      </c>
      <c r="AX1487">
        <f ca="1"/>
      </c>
      <c r="AY1487">
        <f ca="1"/>
      </c>
      <c r="BA1487" s="7"/>
    </row>
    <row r="1488" spans="31:53" x14ac:dyDescent="0.55000000000000004">
      <c r="AE1488" s="7">
        <f ca="1"/>
      </c>
      <c r="AF1488">
        <f ca="1"/>
      </c>
      <c r="AG1488">
        <f ca="1"/>
      </c>
      <c r="AH1488">
        <f ca="1"/>
      </c>
      <c r="AI1488">
        <f ca="1"/>
      </c>
      <c r="AJ1488">
        <f ca="1"/>
      </c>
      <c r="AK1488">
        <f ca="1"/>
      </c>
      <c r="AL1488">
        <f ca="1"/>
      </c>
      <c r="AM1488">
        <f ca="1"/>
      </c>
      <c r="AN1488">
        <f ca="1"/>
      </c>
      <c r="AO1488">
        <f ca="1"/>
      </c>
      <c r="AP1488">
        <f ca="1"/>
      </c>
      <c r="AQ1488">
        <f ca="1"/>
      </c>
      <c r="AR1488">
        <f ca="1"/>
      </c>
      <c r="AT1488" s="7">
        <f ca="1"/>
      </c>
      <c r="AU1488">
        <f ca="1"/>
      </c>
      <c r="AV1488">
        <f ca="1"/>
      </c>
      <c r="AW1488">
        <f ca="1"/>
      </c>
      <c r="AX1488">
        <f ca="1"/>
      </c>
      <c r="AY1488">
        <f ca="1"/>
      </c>
      <c r="BA1488" s="7"/>
    </row>
    <row r="1489" spans="31:53" x14ac:dyDescent="0.55000000000000004">
      <c r="AE1489" s="7">
        <f ca="1"/>
      </c>
      <c r="AF1489">
        <f ca="1"/>
      </c>
      <c r="AG1489">
        <f ca="1"/>
      </c>
      <c r="AH1489">
        <f ca="1"/>
      </c>
      <c r="AI1489">
        <f ca="1"/>
      </c>
      <c r="AJ1489">
        <f ca="1"/>
      </c>
      <c r="AK1489">
        <f ca="1"/>
      </c>
      <c r="AL1489">
        <f ca="1"/>
      </c>
      <c r="AM1489">
        <f ca="1"/>
      </c>
      <c r="AN1489">
        <f ca="1"/>
      </c>
      <c r="AO1489">
        <f ca="1"/>
      </c>
      <c r="AP1489">
        <f ca="1"/>
      </c>
      <c r="AQ1489">
        <f ca="1"/>
      </c>
      <c r="AR1489">
        <f ca="1"/>
      </c>
      <c r="AT1489" s="7">
        <f ca="1"/>
      </c>
      <c r="AU1489">
        <f ca="1"/>
      </c>
      <c r="AV1489">
        <f ca="1"/>
      </c>
      <c r="AW1489">
        <f ca="1"/>
      </c>
      <c r="AX1489">
        <f ca="1"/>
      </c>
      <c r="AY1489">
        <f ca="1"/>
      </c>
      <c r="BA1489" s="7"/>
    </row>
    <row r="1490" spans="31:53" x14ac:dyDescent="0.55000000000000004">
      <c r="AE1490" s="7">
        <f ca="1"/>
      </c>
      <c r="AF1490">
        <f ca="1"/>
      </c>
      <c r="AG1490">
        <f ca="1"/>
      </c>
      <c r="AH1490">
        <f ca="1"/>
      </c>
      <c r="AI1490">
        <f ca="1"/>
      </c>
      <c r="AJ1490">
        <f ca="1"/>
      </c>
      <c r="AK1490">
        <f ca="1"/>
      </c>
      <c r="AL1490">
        <f ca="1"/>
      </c>
      <c r="AM1490">
        <f ca="1"/>
      </c>
      <c r="AN1490">
        <f ca="1"/>
      </c>
      <c r="AO1490">
        <f ca="1"/>
      </c>
      <c r="AP1490">
        <f ca="1"/>
      </c>
      <c r="AQ1490">
        <f ca="1"/>
      </c>
      <c r="AR1490">
        <f ca="1"/>
      </c>
      <c r="AT1490" s="7">
        <f ca="1"/>
      </c>
      <c r="AU1490">
        <f ca="1"/>
      </c>
      <c r="AV1490">
        <f ca="1"/>
      </c>
      <c r="AW1490">
        <f ca="1"/>
      </c>
      <c r="AX1490">
        <f ca="1"/>
      </c>
      <c r="AY1490">
        <f ca="1"/>
      </c>
      <c r="BA1490" s="7"/>
    </row>
    <row r="1491" spans="31:53" x14ac:dyDescent="0.55000000000000004">
      <c r="AE1491" s="7">
        <f ca="1"/>
      </c>
      <c r="AF1491">
        <f ca="1"/>
      </c>
      <c r="AG1491">
        <f ca="1"/>
      </c>
      <c r="AH1491">
        <f ca="1"/>
      </c>
      <c r="AI1491">
        <f ca="1"/>
      </c>
      <c r="AJ1491">
        <f ca="1"/>
      </c>
      <c r="AK1491">
        <f ca="1"/>
      </c>
      <c r="AL1491">
        <f ca="1"/>
      </c>
      <c r="AM1491">
        <f ca="1"/>
      </c>
      <c r="AN1491">
        <f ca="1"/>
      </c>
      <c r="AO1491">
        <f ca="1"/>
      </c>
      <c r="AP1491">
        <f ca="1"/>
      </c>
      <c r="AQ1491">
        <f ca="1"/>
      </c>
      <c r="AR1491">
        <f ca="1"/>
      </c>
      <c r="AT1491" s="7">
        <f ca="1"/>
      </c>
      <c r="AU1491">
        <f ca="1"/>
      </c>
      <c r="AV1491">
        <f ca="1"/>
      </c>
      <c r="AW1491">
        <f ca="1"/>
      </c>
      <c r="AX1491">
        <f ca="1"/>
      </c>
      <c r="AY1491">
        <f ca="1"/>
      </c>
      <c r="BA1491" s="7"/>
    </row>
    <row r="1492" spans="31:53" x14ac:dyDescent="0.55000000000000004">
      <c r="AE1492" s="7">
        <f ca="1"/>
      </c>
      <c r="AF1492">
        <f ca="1"/>
      </c>
      <c r="AG1492">
        <f ca="1"/>
      </c>
      <c r="AH1492">
        <f ca="1"/>
      </c>
      <c r="AI1492">
        <f ca="1"/>
      </c>
      <c r="AJ1492">
        <f ca="1"/>
      </c>
      <c r="AK1492">
        <f ca="1"/>
      </c>
      <c r="AL1492">
        <f ca="1"/>
      </c>
      <c r="AM1492">
        <f ca="1"/>
      </c>
      <c r="AN1492">
        <f ca="1"/>
      </c>
      <c r="AO1492">
        <f ca="1"/>
      </c>
      <c r="AP1492">
        <f ca="1"/>
      </c>
      <c r="AQ1492">
        <f ca="1"/>
      </c>
      <c r="AR1492">
        <f ca="1"/>
      </c>
      <c r="AT1492" s="7">
        <f ca="1"/>
      </c>
      <c r="AU1492">
        <f ca="1"/>
      </c>
      <c r="AV1492">
        <f ca="1"/>
      </c>
      <c r="AW1492">
        <f ca="1"/>
      </c>
      <c r="AX1492">
        <f ca="1"/>
      </c>
      <c r="AY1492">
        <f ca="1"/>
      </c>
      <c r="BA1492" s="7"/>
    </row>
    <row r="1493" spans="31:53" x14ac:dyDescent="0.55000000000000004">
      <c r="AE1493" s="7">
        <f ca="1"/>
      </c>
      <c r="AF1493">
        <f ca="1"/>
      </c>
      <c r="AG1493">
        <f ca="1"/>
      </c>
      <c r="AH1493">
        <f ca="1"/>
      </c>
      <c r="AI1493">
        <f ca="1"/>
      </c>
      <c r="AJ1493">
        <f ca="1"/>
      </c>
      <c r="AK1493">
        <f ca="1"/>
      </c>
      <c r="AL1493">
        <f ca="1"/>
      </c>
      <c r="AM1493">
        <f ca="1"/>
      </c>
      <c r="AN1493">
        <f ca="1"/>
      </c>
      <c r="AO1493">
        <f ca="1"/>
      </c>
      <c r="AP1493">
        <f ca="1"/>
      </c>
      <c r="AQ1493">
        <f ca="1"/>
      </c>
      <c r="AR1493">
        <f ca="1"/>
      </c>
      <c r="AT1493" s="7">
        <f ca="1"/>
      </c>
      <c r="AU1493">
        <f ca="1"/>
      </c>
      <c r="AV1493">
        <f ca="1"/>
      </c>
      <c r="AW1493">
        <f ca="1"/>
      </c>
      <c r="AX1493">
        <f ca="1"/>
      </c>
      <c r="AY1493">
        <f ca="1"/>
      </c>
      <c r="BA1493" s="7"/>
    </row>
    <row r="1494" spans="31:53" x14ac:dyDescent="0.55000000000000004">
      <c r="AE1494" s="7">
        <f ca="1"/>
      </c>
      <c r="AF1494">
        <f ca="1"/>
      </c>
      <c r="AG1494">
        <f ca="1"/>
      </c>
      <c r="AH1494">
        <f ca="1"/>
      </c>
      <c r="AI1494">
        <f ca="1"/>
      </c>
      <c r="AJ1494">
        <f ca="1"/>
      </c>
      <c r="AK1494">
        <f ca="1"/>
      </c>
      <c r="AL1494">
        <f ca="1"/>
      </c>
      <c r="AM1494">
        <f ca="1"/>
      </c>
      <c r="AN1494">
        <f ca="1"/>
      </c>
      <c r="AO1494">
        <f ca="1"/>
      </c>
      <c r="AP1494">
        <f ca="1"/>
      </c>
      <c r="AQ1494">
        <f ca="1"/>
      </c>
      <c r="AR1494">
        <f ca="1"/>
      </c>
      <c r="AT1494" s="7">
        <f ca="1"/>
      </c>
      <c r="AU1494">
        <f ca="1"/>
      </c>
      <c r="AV1494">
        <f ca="1"/>
      </c>
      <c r="AW1494">
        <f ca="1"/>
      </c>
      <c r="AX1494">
        <f ca="1"/>
      </c>
      <c r="AY1494">
        <f ca="1"/>
      </c>
      <c r="BA1494" s="7"/>
    </row>
    <row r="1495" spans="31:53" x14ac:dyDescent="0.55000000000000004">
      <c r="AE1495" s="7">
        <f ca="1"/>
      </c>
      <c r="AF1495">
        <f ca="1"/>
      </c>
      <c r="AG1495">
        <f ca="1"/>
      </c>
      <c r="AH1495">
        <f ca="1"/>
      </c>
      <c r="AI1495">
        <f ca="1"/>
      </c>
      <c r="AJ1495">
        <f ca="1"/>
      </c>
      <c r="AK1495">
        <f ca="1"/>
      </c>
      <c r="AL1495">
        <f ca="1"/>
      </c>
      <c r="AM1495">
        <f ca="1"/>
      </c>
      <c r="AN1495">
        <f ca="1"/>
      </c>
      <c r="AO1495">
        <f ca="1"/>
      </c>
      <c r="AP1495">
        <f ca="1"/>
      </c>
      <c r="AQ1495">
        <f ca="1"/>
      </c>
      <c r="AR1495">
        <f ca="1"/>
      </c>
      <c r="AT1495" s="7">
        <f ca="1"/>
      </c>
      <c r="AU1495">
        <f ca="1"/>
      </c>
      <c r="AV1495">
        <f ca="1"/>
      </c>
      <c r="AW1495">
        <f ca="1"/>
      </c>
      <c r="AX1495">
        <f ca="1"/>
      </c>
      <c r="AY1495">
        <f ca="1"/>
      </c>
      <c r="BA1495" s="7"/>
    </row>
    <row r="1496" spans="31:53" x14ac:dyDescent="0.55000000000000004">
      <c r="AE1496" s="7">
        <f ca="1"/>
      </c>
      <c r="AF1496">
        <f ca="1"/>
      </c>
      <c r="AG1496">
        <f ca="1"/>
      </c>
      <c r="AH1496">
        <f ca="1"/>
      </c>
      <c r="AI1496">
        <f ca="1"/>
      </c>
      <c r="AJ1496">
        <f ca="1"/>
      </c>
      <c r="AK1496">
        <f ca="1"/>
      </c>
      <c r="AL1496">
        <f ca="1"/>
      </c>
      <c r="AM1496">
        <f ca="1"/>
      </c>
      <c r="AN1496">
        <f ca="1"/>
      </c>
      <c r="AO1496">
        <f ca="1"/>
      </c>
      <c r="AP1496">
        <f ca="1"/>
      </c>
      <c r="AQ1496">
        <f ca="1"/>
      </c>
      <c r="AR1496">
        <f ca="1"/>
      </c>
      <c r="AT1496" s="7">
        <f ca="1"/>
      </c>
      <c r="AU1496">
        <f ca="1"/>
      </c>
      <c r="AV1496">
        <f ca="1"/>
      </c>
      <c r="AW1496">
        <f ca="1"/>
      </c>
      <c r="AX1496">
        <f ca="1"/>
      </c>
      <c r="AY1496">
        <f ca="1"/>
      </c>
      <c r="BA1496" s="7"/>
    </row>
    <row r="1497" spans="31:53" x14ac:dyDescent="0.55000000000000004">
      <c r="AE1497" s="7">
        <f ca="1"/>
      </c>
      <c r="AF1497">
        <f ca="1"/>
      </c>
      <c r="AG1497">
        <f ca="1"/>
      </c>
      <c r="AH1497">
        <f ca="1"/>
      </c>
      <c r="AI1497">
        <f ca="1"/>
      </c>
      <c r="AJ1497">
        <f ca="1"/>
      </c>
      <c r="AK1497">
        <f ca="1"/>
      </c>
      <c r="AL1497">
        <f ca="1"/>
      </c>
      <c r="AM1497">
        <f ca="1"/>
      </c>
      <c r="AN1497">
        <f ca="1"/>
      </c>
      <c r="AO1497">
        <f ca="1"/>
      </c>
      <c r="AP1497">
        <f ca="1"/>
      </c>
      <c r="AQ1497">
        <f ca="1"/>
      </c>
      <c r="AR1497">
        <f ca="1"/>
      </c>
      <c r="AT1497" s="7">
        <f ca="1"/>
      </c>
      <c r="AU1497">
        <f ca="1"/>
      </c>
      <c r="AV1497">
        <f ca="1"/>
      </c>
      <c r="AW1497">
        <f ca="1"/>
      </c>
      <c r="AX1497">
        <f ca="1"/>
      </c>
      <c r="AY1497">
        <f ca="1"/>
      </c>
      <c r="BA1497" s="7"/>
    </row>
    <row r="1498" spans="31:53" x14ac:dyDescent="0.55000000000000004">
      <c r="AE1498" s="7">
        <f ca="1"/>
      </c>
      <c r="AF1498">
        <f ca="1"/>
      </c>
      <c r="AG1498">
        <f ca="1"/>
      </c>
      <c r="AH1498">
        <f ca="1"/>
      </c>
      <c r="AI1498">
        <f ca="1"/>
      </c>
      <c r="AJ1498">
        <f ca="1"/>
      </c>
      <c r="AK1498">
        <f ca="1"/>
      </c>
      <c r="AL1498">
        <f ca="1"/>
      </c>
      <c r="AM1498">
        <f ca="1"/>
      </c>
      <c r="AN1498">
        <f ca="1"/>
      </c>
      <c r="AO1498">
        <f ca="1"/>
      </c>
      <c r="AP1498">
        <f ca="1"/>
      </c>
      <c r="AQ1498">
        <f ca="1"/>
      </c>
      <c r="AR1498">
        <f ca="1"/>
      </c>
      <c r="AT1498" s="7">
        <f ca="1"/>
      </c>
      <c r="AU1498">
        <f ca="1"/>
      </c>
      <c r="AV1498">
        <f ca="1"/>
      </c>
      <c r="AW1498">
        <f ca="1"/>
      </c>
      <c r="AX1498">
        <f ca="1"/>
      </c>
      <c r="AY1498">
        <f ca="1"/>
      </c>
      <c r="BA1498" s="7"/>
    </row>
    <row r="1499" spans="31:53" x14ac:dyDescent="0.55000000000000004">
      <c r="AE1499" s="7">
        <f ca="1"/>
      </c>
      <c r="AF1499">
        <f ca="1"/>
      </c>
      <c r="AG1499">
        <f ca="1"/>
      </c>
      <c r="AH1499">
        <f ca="1"/>
      </c>
      <c r="AI1499">
        <f ca="1"/>
      </c>
      <c r="AJ1499">
        <f ca="1"/>
      </c>
      <c r="AK1499">
        <f ca="1"/>
      </c>
      <c r="AL1499">
        <f ca="1"/>
      </c>
      <c r="AM1499">
        <f ca="1"/>
      </c>
      <c r="AN1499">
        <f ca="1"/>
      </c>
      <c r="AO1499">
        <f ca="1"/>
      </c>
      <c r="AP1499">
        <f ca="1"/>
      </c>
      <c r="AQ1499">
        <f ca="1"/>
      </c>
      <c r="AR1499">
        <f ca="1"/>
      </c>
      <c r="AT1499" s="7">
        <f ca="1"/>
      </c>
      <c r="AU1499">
        <f ca="1"/>
      </c>
      <c r="AV1499">
        <f ca="1"/>
      </c>
      <c r="AW1499">
        <f ca="1"/>
      </c>
      <c r="AX1499">
        <f ca="1"/>
      </c>
      <c r="AY1499">
        <f ca="1"/>
      </c>
      <c r="BA1499" s="7"/>
    </row>
    <row r="1500" spans="31:53" x14ac:dyDescent="0.55000000000000004">
      <c r="AE1500" s="7">
        <f ca="1"/>
      </c>
      <c r="AF1500">
        <f ca="1"/>
      </c>
      <c r="AG1500">
        <f ca="1"/>
      </c>
      <c r="AH1500">
        <f ca="1"/>
      </c>
      <c r="AI1500">
        <f ca="1"/>
      </c>
      <c r="AJ1500">
        <f ca="1"/>
      </c>
      <c r="AK1500">
        <f ca="1"/>
      </c>
      <c r="AL1500">
        <f ca="1"/>
      </c>
      <c r="AM1500">
        <f ca="1"/>
      </c>
      <c r="AN1500">
        <f ca="1"/>
      </c>
      <c r="AO1500">
        <f ca="1"/>
      </c>
      <c r="AP1500">
        <f ca="1"/>
      </c>
      <c r="AQ1500">
        <f ca="1"/>
      </c>
      <c r="AR1500">
        <f ca="1"/>
      </c>
      <c r="AT1500" s="7">
        <f ca="1"/>
      </c>
      <c r="AU1500">
        <f ca="1"/>
      </c>
      <c r="AV1500">
        <f ca="1"/>
      </c>
      <c r="AW1500">
        <f ca="1"/>
      </c>
      <c r="AX1500">
        <f ca="1"/>
      </c>
      <c r="AY1500">
        <f ca="1"/>
      </c>
      <c r="BA1500" s="7"/>
    </row>
    <row r="1501" spans="31:53" x14ac:dyDescent="0.55000000000000004">
      <c r="AE1501" s="7">
        <f ca="1"/>
      </c>
      <c r="AF1501">
        <f ca="1"/>
      </c>
      <c r="AG1501">
        <f ca="1"/>
      </c>
      <c r="AH1501">
        <f ca="1"/>
      </c>
      <c r="AI1501">
        <f ca="1"/>
      </c>
      <c r="AJ1501">
        <f ca="1"/>
      </c>
      <c r="AK1501">
        <f ca="1"/>
      </c>
      <c r="AL1501">
        <f ca="1"/>
      </c>
      <c r="AM1501">
        <f ca="1"/>
      </c>
      <c r="AN1501">
        <f ca="1"/>
      </c>
      <c r="AO1501">
        <f ca="1"/>
      </c>
      <c r="AP1501">
        <f ca="1"/>
      </c>
      <c r="AQ1501">
        <f ca="1"/>
      </c>
      <c r="AR1501">
        <f ca="1"/>
      </c>
      <c r="AT1501" s="7">
        <f ca="1"/>
      </c>
      <c r="AU1501">
        <f ca="1"/>
      </c>
      <c r="AV1501">
        <f ca="1"/>
      </c>
      <c r="AW1501">
        <f ca="1"/>
      </c>
      <c r="AX1501">
        <f ca="1"/>
      </c>
      <c r="AY1501">
        <f ca="1"/>
      </c>
      <c r="BA1501" s="7"/>
    </row>
    <row r="1502" spans="31:53" x14ac:dyDescent="0.55000000000000004">
      <c r="AE1502" s="7">
        <f ca="1"/>
      </c>
      <c r="AF1502">
        <f ca="1"/>
      </c>
      <c r="AG1502">
        <f ca="1"/>
      </c>
      <c r="AH1502">
        <f ca="1"/>
      </c>
      <c r="AI1502">
        <f ca="1"/>
      </c>
      <c r="AJ1502">
        <f ca="1"/>
      </c>
      <c r="AK1502">
        <f ca="1"/>
      </c>
      <c r="AL1502">
        <f ca="1"/>
      </c>
      <c r="AM1502">
        <f ca="1"/>
      </c>
      <c r="AN1502">
        <f ca="1"/>
      </c>
      <c r="AO1502">
        <f ca="1"/>
      </c>
      <c r="AP1502">
        <f ca="1"/>
      </c>
      <c r="AQ1502">
        <f ca="1"/>
      </c>
      <c r="AR1502">
        <f ca="1"/>
      </c>
      <c r="AT1502" s="7">
        <f ca="1"/>
      </c>
      <c r="AU1502">
        <f ca="1"/>
      </c>
      <c r="AV1502">
        <f ca="1"/>
      </c>
      <c r="AW1502">
        <f ca="1"/>
      </c>
      <c r="AX1502">
        <f ca="1"/>
      </c>
      <c r="AY1502">
        <f ca="1"/>
      </c>
      <c r="BA1502" s="7"/>
    </row>
    <row r="1503" spans="31:53" x14ac:dyDescent="0.55000000000000004">
      <c r="AE1503" s="7">
        <f ca="1"/>
      </c>
      <c r="AF1503">
        <f ca="1"/>
      </c>
      <c r="AG1503">
        <f ca="1"/>
      </c>
      <c r="AH1503">
        <f ca="1"/>
      </c>
      <c r="AI1503">
        <f ca="1"/>
      </c>
      <c r="AJ1503">
        <f ca="1"/>
      </c>
      <c r="AK1503">
        <f ca="1"/>
      </c>
      <c r="AL1503">
        <f ca="1"/>
      </c>
      <c r="AM1503">
        <f ca="1"/>
      </c>
      <c r="AN1503">
        <f ca="1"/>
      </c>
      <c r="AO1503">
        <f ca="1"/>
      </c>
      <c r="AP1503">
        <f ca="1"/>
      </c>
      <c r="AQ1503">
        <f ca="1"/>
      </c>
      <c r="AR1503">
        <f ca="1"/>
      </c>
      <c r="AT1503" s="7">
        <f ca="1"/>
      </c>
      <c r="AU1503">
        <f ca="1"/>
      </c>
      <c r="AV1503">
        <f ca="1"/>
      </c>
      <c r="AW1503">
        <f ca="1"/>
      </c>
      <c r="AX1503">
        <f ca="1"/>
      </c>
      <c r="AY1503">
        <f ca="1"/>
      </c>
      <c r="BA1503" s="7"/>
    </row>
    <row r="1504" spans="31:53" x14ac:dyDescent="0.55000000000000004">
      <c r="AE1504" s="7">
        <f ca="1"/>
      </c>
      <c r="AF1504">
        <f ca="1"/>
      </c>
      <c r="AG1504">
        <f ca="1"/>
      </c>
      <c r="AH1504">
        <f ca="1"/>
      </c>
      <c r="AI1504">
        <f ca="1"/>
      </c>
      <c r="AJ1504">
        <f ca="1"/>
      </c>
      <c r="AK1504">
        <f ca="1"/>
      </c>
      <c r="AL1504">
        <f ca="1"/>
      </c>
      <c r="AM1504">
        <f ca="1"/>
      </c>
      <c r="AN1504">
        <f ca="1"/>
      </c>
      <c r="AO1504">
        <f ca="1"/>
      </c>
      <c r="AP1504">
        <f ca="1"/>
      </c>
      <c r="AQ1504">
        <f ca="1"/>
      </c>
      <c r="AR1504">
        <f ca="1"/>
      </c>
      <c r="AT1504" s="7">
        <f ca="1"/>
      </c>
      <c r="AU1504">
        <f ca="1"/>
      </c>
      <c r="AV1504">
        <f ca="1"/>
      </c>
      <c r="AW1504">
        <f ca="1"/>
      </c>
      <c r="AX1504">
        <f ca="1"/>
      </c>
      <c r="AY1504">
        <f ca="1"/>
      </c>
      <c r="BA1504" s="7"/>
    </row>
    <row r="1505" spans="31:53" x14ac:dyDescent="0.55000000000000004">
      <c r="AE1505" s="7">
        <f ca="1"/>
      </c>
      <c r="AF1505">
        <f ca="1"/>
      </c>
      <c r="AG1505">
        <f ca="1"/>
      </c>
      <c r="AH1505">
        <f ca="1"/>
      </c>
      <c r="AI1505">
        <f ca="1"/>
      </c>
      <c r="AJ1505">
        <f ca="1"/>
      </c>
      <c r="AK1505">
        <f ca="1"/>
      </c>
      <c r="AL1505">
        <f ca="1"/>
      </c>
      <c r="AM1505">
        <f ca="1"/>
      </c>
      <c r="AN1505">
        <f ca="1"/>
      </c>
      <c r="AO1505">
        <f ca="1"/>
      </c>
      <c r="AP1505">
        <f ca="1"/>
      </c>
      <c r="AQ1505">
        <f ca="1"/>
      </c>
      <c r="AR1505">
        <f ca="1"/>
      </c>
      <c r="AT1505" s="7">
        <f ca="1"/>
      </c>
      <c r="AU1505">
        <f ca="1"/>
      </c>
      <c r="AV1505">
        <f ca="1"/>
      </c>
      <c r="AW1505">
        <f ca="1"/>
      </c>
      <c r="AX1505">
        <f ca="1"/>
      </c>
      <c r="AY1505">
        <f ca="1"/>
      </c>
      <c r="BA1505" s="7"/>
    </row>
    <row r="1506" spans="31:53" x14ac:dyDescent="0.55000000000000004">
      <c r="AE1506" s="7">
        <f ca="1"/>
      </c>
      <c r="AF1506">
        <f ca="1"/>
      </c>
      <c r="AG1506">
        <f ca="1"/>
      </c>
      <c r="AH1506">
        <f ca="1"/>
      </c>
      <c r="AI1506">
        <f ca="1"/>
      </c>
      <c r="AJ1506">
        <f ca="1"/>
      </c>
      <c r="AK1506">
        <f ca="1"/>
      </c>
      <c r="AL1506">
        <f ca="1"/>
      </c>
      <c r="AM1506">
        <f ca="1"/>
      </c>
      <c r="AN1506">
        <f ca="1"/>
      </c>
      <c r="AO1506">
        <f ca="1"/>
      </c>
      <c r="AP1506">
        <f ca="1"/>
      </c>
      <c r="AQ1506">
        <f ca="1"/>
      </c>
      <c r="AR1506">
        <f ca="1"/>
      </c>
      <c r="AT1506" s="7">
        <f ca="1"/>
      </c>
      <c r="AU1506">
        <f ca="1"/>
      </c>
      <c r="AV1506">
        <f ca="1"/>
      </c>
      <c r="AW1506">
        <f ca="1"/>
      </c>
      <c r="AX1506">
        <f ca="1"/>
      </c>
      <c r="AY1506">
        <f ca="1"/>
      </c>
      <c r="BA1506" s="7"/>
    </row>
    <row r="1507" spans="31:53" x14ac:dyDescent="0.55000000000000004">
      <c r="AE1507" s="7">
        <f ca="1"/>
      </c>
      <c r="AF1507">
        <f ca="1"/>
      </c>
      <c r="AG1507">
        <f ca="1"/>
      </c>
      <c r="AH1507">
        <f ca="1"/>
      </c>
      <c r="AI1507">
        <f ca="1"/>
      </c>
      <c r="AJ1507">
        <f ca="1"/>
      </c>
      <c r="AK1507">
        <f ca="1"/>
      </c>
      <c r="AL1507">
        <f ca="1"/>
      </c>
      <c r="AM1507">
        <f ca="1"/>
      </c>
      <c r="AN1507">
        <f ca="1"/>
      </c>
      <c r="AO1507">
        <f ca="1"/>
      </c>
      <c r="AP1507">
        <f ca="1"/>
      </c>
      <c r="AQ1507">
        <f ca="1"/>
      </c>
      <c r="AR1507">
        <f ca="1"/>
      </c>
      <c r="AT1507" s="7">
        <f ca="1"/>
      </c>
      <c r="AU1507">
        <f ca="1"/>
      </c>
      <c r="AV1507">
        <f ca="1"/>
      </c>
      <c r="AW1507">
        <f ca="1"/>
      </c>
      <c r="AX1507">
        <f ca="1"/>
      </c>
      <c r="AY1507">
        <f ca="1"/>
      </c>
      <c r="BA1507" s="7"/>
    </row>
    <row r="1508" spans="31:53" x14ac:dyDescent="0.55000000000000004">
      <c r="AE1508" s="7">
        <f ca="1"/>
      </c>
      <c r="AF1508">
        <f ca="1"/>
      </c>
      <c r="AG1508">
        <f ca="1"/>
      </c>
      <c r="AH1508">
        <f ca="1"/>
      </c>
      <c r="AI1508">
        <f ca="1"/>
      </c>
      <c r="AJ1508">
        <f ca="1"/>
      </c>
      <c r="AK1508">
        <f ca="1"/>
      </c>
      <c r="AL1508">
        <f ca="1"/>
      </c>
      <c r="AM1508">
        <f ca="1"/>
      </c>
      <c r="AN1508">
        <f ca="1"/>
      </c>
      <c r="AO1508">
        <f ca="1"/>
      </c>
      <c r="AP1508">
        <f ca="1"/>
      </c>
      <c r="AQ1508">
        <f ca="1"/>
      </c>
      <c r="AR1508">
        <f ca="1"/>
      </c>
      <c r="AT1508" s="7">
        <f ca="1"/>
      </c>
      <c r="AU1508">
        <f ca="1"/>
      </c>
      <c r="AV1508">
        <f ca="1"/>
      </c>
      <c r="AW1508">
        <f ca="1"/>
      </c>
      <c r="AX1508">
        <f ca="1"/>
      </c>
      <c r="AY1508">
        <f ca="1"/>
      </c>
      <c r="BA1508" s="7"/>
    </row>
    <row r="1509" spans="31:53" x14ac:dyDescent="0.55000000000000004">
      <c r="AE1509" s="7">
        <f ca="1"/>
      </c>
      <c r="AF1509">
        <f ca="1"/>
      </c>
      <c r="AG1509">
        <f ca="1"/>
      </c>
      <c r="AH1509">
        <f ca="1"/>
      </c>
      <c r="AI1509">
        <f ca="1"/>
      </c>
      <c r="AJ1509">
        <f ca="1"/>
      </c>
      <c r="AK1509">
        <f ca="1"/>
      </c>
      <c r="AL1509">
        <f ca="1"/>
      </c>
      <c r="AM1509">
        <f ca="1"/>
      </c>
      <c r="AN1509">
        <f ca="1"/>
      </c>
      <c r="AO1509">
        <f ca="1"/>
      </c>
      <c r="AP1509">
        <f ca="1"/>
      </c>
      <c r="AQ1509">
        <f ca="1"/>
      </c>
      <c r="AR1509">
        <f ca="1"/>
      </c>
      <c r="AT1509" s="7">
        <f ca="1"/>
      </c>
      <c r="AU1509">
        <f ca="1"/>
      </c>
      <c r="AV1509">
        <f ca="1"/>
      </c>
      <c r="AW1509">
        <f ca="1"/>
      </c>
      <c r="AX1509">
        <f ca="1"/>
      </c>
      <c r="AY1509">
        <f ca="1"/>
      </c>
      <c r="BA1509" s="7"/>
    </row>
    <row r="1510" spans="31:53" x14ac:dyDescent="0.55000000000000004">
      <c r="AE1510" s="7">
        <f ca="1"/>
      </c>
      <c r="AF1510">
        <f ca="1"/>
      </c>
      <c r="AG1510">
        <f ca="1"/>
      </c>
      <c r="AH1510">
        <f ca="1"/>
      </c>
      <c r="AI1510">
        <f ca="1"/>
      </c>
      <c r="AJ1510">
        <f ca="1"/>
      </c>
      <c r="AK1510">
        <f ca="1"/>
      </c>
      <c r="AL1510">
        <f ca="1"/>
      </c>
      <c r="AM1510">
        <f ca="1"/>
      </c>
      <c r="AN1510">
        <f ca="1"/>
      </c>
      <c r="AO1510">
        <f ca="1"/>
      </c>
      <c r="AP1510">
        <f ca="1"/>
      </c>
      <c r="AQ1510">
        <f ca="1"/>
      </c>
      <c r="AR1510">
        <f ca="1"/>
      </c>
      <c r="AT1510" s="7">
        <f ca="1"/>
      </c>
      <c r="AU1510">
        <f ca="1"/>
      </c>
      <c r="AV1510">
        <f ca="1"/>
      </c>
      <c r="AW1510">
        <f ca="1"/>
      </c>
      <c r="AX1510">
        <f ca="1"/>
      </c>
      <c r="AY1510">
        <f ca="1"/>
      </c>
      <c r="BA1510" s="7"/>
    </row>
    <row r="1511" spans="31:53" x14ac:dyDescent="0.55000000000000004">
      <c r="AE1511" s="7">
        <f ca="1"/>
      </c>
      <c r="AF1511">
        <f ca="1"/>
      </c>
      <c r="AG1511">
        <f ca="1"/>
      </c>
      <c r="AH1511">
        <f ca="1"/>
      </c>
      <c r="AI1511">
        <f ca="1"/>
      </c>
      <c r="AJ1511">
        <f ca="1"/>
      </c>
      <c r="AK1511">
        <f ca="1"/>
      </c>
      <c r="AL1511">
        <f ca="1"/>
      </c>
      <c r="AM1511">
        <f ca="1"/>
      </c>
      <c r="AN1511">
        <f ca="1"/>
      </c>
      <c r="AO1511">
        <f ca="1"/>
      </c>
      <c r="AP1511">
        <f ca="1"/>
      </c>
      <c r="AQ1511">
        <f ca="1"/>
      </c>
      <c r="AR1511">
        <f ca="1"/>
      </c>
      <c r="AT1511" s="7">
        <f ca="1"/>
      </c>
      <c r="AU1511">
        <f ca="1"/>
      </c>
      <c r="AV1511">
        <f ca="1"/>
      </c>
      <c r="AW1511">
        <f ca="1"/>
      </c>
      <c r="AX1511">
        <f ca="1"/>
      </c>
      <c r="AY1511">
        <f ca="1"/>
      </c>
      <c r="BA1511" s="7"/>
    </row>
    <row r="1512" spans="31:53" x14ac:dyDescent="0.55000000000000004">
      <c r="AE1512" s="7">
        <f ca="1"/>
      </c>
      <c r="AF1512">
        <f ca="1"/>
      </c>
      <c r="AG1512">
        <f ca="1"/>
      </c>
      <c r="AH1512">
        <f ca="1"/>
      </c>
      <c r="AI1512">
        <f ca="1"/>
      </c>
      <c r="AJ1512">
        <f ca="1"/>
      </c>
      <c r="AK1512">
        <f ca="1"/>
      </c>
      <c r="AL1512">
        <f ca="1"/>
      </c>
      <c r="AM1512">
        <f ca="1"/>
      </c>
      <c r="AN1512">
        <f ca="1"/>
      </c>
      <c r="AO1512">
        <f ca="1"/>
      </c>
      <c r="AP1512">
        <f ca="1"/>
      </c>
      <c r="AQ1512">
        <f ca="1"/>
      </c>
      <c r="AR1512">
        <f ca="1"/>
      </c>
      <c r="AT1512" s="7">
        <f ca="1"/>
      </c>
      <c r="AU1512">
        <f ca="1"/>
      </c>
      <c r="AV1512">
        <f ca="1"/>
      </c>
      <c r="AW1512">
        <f ca="1"/>
      </c>
      <c r="AX1512">
        <f ca="1"/>
      </c>
      <c r="AY1512">
        <f ca="1"/>
      </c>
      <c r="BA1512" s="7"/>
    </row>
    <row r="1513" spans="31:53" x14ac:dyDescent="0.55000000000000004">
      <c r="AE1513" s="7">
        <f ca="1"/>
      </c>
      <c r="AF1513">
        <f ca="1"/>
      </c>
      <c r="AG1513">
        <f ca="1"/>
      </c>
      <c r="AH1513">
        <f ca="1"/>
      </c>
      <c r="AI1513">
        <f ca="1"/>
      </c>
      <c r="AJ1513">
        <f ca="1"/>
      </c>
      <c r="AK1513">
        <f ca="1"/>
      </c>
      <c r="AL1513">
        <f ca="1"/>
      </c>
      <c r="AM1513">
        <f ca="1"/>
      </c>
      <c r="AN1513">
        <f ca="1"/>
      </c>
      <c r="AO1513">
        <f ca="1"/>
      </c>
      <c r="AP1513">
        <f ca="1"/>
      </c>
      <c r="AQ1513">
        <f ca="1"/>
      </c>
      <c r="AR1513">
        <f ca="1"/>
      </c>
      <c r="AT1513" s="7">
        <f ca="1"/>
      </c>
      <c r="AU1513">
        <f ca="1"/>
      </c>
      <c r="AV1513">
        <f ca="1"/>
      </c>
      <c r="AW1513">
        <f ca="1"/>
      </c>
      <c r="AX1513">
        <f ca="1"/>
      </c>
      <c r="AY1513">
        <f ca="1"/>
      </c>
      <c r="BA1513" s="7"/>
    </row>
    <row r="1514" spans="31:53" x14ac:dyDescent="0.55000000000000004">
      <c r="AE1514" s="7">
        <f ca="1"/>
      </c>
      <c r="AF1514">
        <f ca="1"/>
      </c>
      <c r="AG1514">
        <f ca="1"/>
      </c>
      <c r="AH1514">
        <f ca="1"/>
      </c>
      <c r="AI1514">
        <f ca="1"/>
      </c>
      <c r="AJ1514">
        <f ca="1"/>
      </c>
      <c r="AK1514">
        <f ca="1"/>
      </c>
      <c r="AL1514">
        <f ca="1"/>
      </c>
      <c r="AM1514">
        <f ca="1"/>
      </c>
      <c r="AN1514">
        <f ca="1"/>
      </c>
      <c r="AO1514">
        <f ca="1"/>
      </c>
      <c r="AP1514">
        <f ca="1"/>
      </c>
      <c r="AQ1514">
        <f ca="1"/>
      </c>
      <c r="AR1514">
        <f ca="1"/>
      </c>
      <c r="AT1514" s="7">
        <f ca="1"/>
      </c>
      <c r="AU1514">
        <f ca="1"/>
      </c>
      <c r="AV1514">
        <f ca="1"/>
      </c>
      <c r="AW1514">
        <f ca="1"/>
      </c>
      <c r="AX1514">
        <f ca="1"/>
      </c>
      <c r="AY1514">
        <f ca="1"/>
      </c>
      <c r="BA1514" s="7"/>
    </row>
    <row r="1515" spans="31:53" x14ac:dyDescent="0.55000000000000004">
      <c r="AE1515" s="7">
        <f ca="1"/>
      </c>
      <c r="AF1515">
        <f ca="1"/>
      </c>
      <c r="AG1515">
        <f ca="1"/>
      </c>
      <c r="AH1515">
        <f ca="1"/>
      </c>
      <c r="AI1515">
        <f ca="1"/>
      </c>
      <c r="AJ1515">
        <f ca="1"/>
      </c>
      <c r="AK1515">
        <f ca="1"/>
      </c>
      <c r="AL1515">
        <f ca="1"/>
      </c>
      <c r="AM1515">
        <f ca="1"/>
      </c>
      <c r="AN1515">
        <f ca="1"/>
      </c>
      <c r="AO1515">
        <f ca="1"/>
      </c>
      <c r="AP1515">
        <f ca="1"/>
      </c>
      <c r="AQ1515">
        <f ca="1"/>
      </c>
      <c r="AR1515">
        <f ca="1"/>
      </c>
      <c r="AT1515" s="7">
        <f ca="1"/>
      </c>
      <c r="AU1515">
        <f ca="1"/>
      </c>
      <c r="AV1515">
        <f ca="1"/>
      </c>
      <c r="AW1515">
        <f ca="1"/>
      </c>
      <c r="AX1515">
        <f ca="1"/>
      </c>
      <c r="AY1515">
        <f ca="1"/>
      </c>
      <c r="BA1515" s="7"/>
    </row>
    <row r="1516" spans="31:53" x14ac:dyDescent="0.55000000000000004">
      <c r="AE1516" s="7">
        <f ca="1"/>
      </c>
      <c r="AF1516">
        <f ca="1"/>
      </c>
      <c r="AG1516">
        <f ca="1"/>
      </c>
      <c r="AH1516">
        <f ca="1"/>
      </c>
      <c r="AI1516">
        <f ca="1"/>
      </c>
      <c r="AJ1516">
        <f ca="1"/>
      </c>
      <c r="AK1516">
        <f ca="1"/>
      </c>
      <c r="AL1516">
        <f ca="1"/>
      </c>
      <c r="AM1516">
        <f ca="1"/>
      </c>
      <c r="AN1516">
        <f ca="1"/>
      </c>
      <c r="AO1516">
        <f ca="1"/>
      </c>
      <c r="AP1516">
        <f ca="1"/>
      </c>
      <c r="AQ1516">
        <f ca="1"/>
      </c>
      <c r="AR1516">
        <f ca="1"/>
      </c>
      <c r="AT1516" s="7">
        <f ca="1"/>
      </c>
      <c r="AU1516">
        <f ca="1"/>
      </c>
      <c r="AV1516">
        <f ca="1"/>
      </c>
      <c r="AW1516">
        <f ca="1"/>
      </c>
      <c r="AX1516">
        <f ca="1"/>
      </c>
      <c r="AY1516">
        <f ca="1"/>
      </c>
      <c r="BA1516" s="7"/>
    </row>
    <row r="1517" spans="31:53" x14ac:dyDescent="0.55000000000000004">
      <c r="AE1517" s="7">
        <f ca="1"/>
      </c>
      <c r="AF1517">
        <f ca="1"/>
      </c>
      <c r="AG1517">
        <f ca="1"/>
      </c>
      <c r="AH1517">
        <f ca="1"/>
      </c>
      <c r="AI1517">
        <f ca="1"/>
      </c>
      <c r="AJ1517">
        <f ca="1"/>
      </c>
      <c r="AK1517">
        <f ca="1"/>
      </c>
      <c r="AL1517">
        <f ca="1"/>
      </c>
      <c r="AM1517">
        <f ca="1"/>
      </c>
      <c r="AN1517">
        <f ca="1"/>
      </c>
      <c r="AO1517">
        <f ca="1"/>
      </c>
      <c r="AP1517">
        <f ca="1"/>
      </c>
      <c r="AQ1517">
        <f ca="1"/>
      </c>
      <c r="AR1517">
        <f ca="1"/>
      </c>
      <c r="AT1517" s="7">
        <f ca="1"/>
      </c>
      <c r="AU1517">
        <f ca="1"/>
      </c>
      <c r="AV1517">
        <f ca="1"/>
      </c>
      <c r="AW1517">
        <f ca="1"/>
      </c>
      <c r="AX1517">
        <f ca="1"/>
      </c>
      <c r="AY1517">
        <f ca="1"/>
      </c>
      <c r="BA1517" s="7"/>
    </row>
    <row r="1518" spans="31:53" x14ac:dyDescent="0.55000000000000004">
      <c r="AE1518" s="7">
        <f ca="1"/>
      </c>
      <c r="AF1518">
        <f ca="1"/>
      </c>
      <c r="AG1518">
        <f ca="1"/>
      </c>
      <c r="AH1518">
        <f ca="1"/>
      </c>
      <c r="AI1518">
        <f ca="1"/>
      </c>
      <c r="AJ1518">
        <f ca="1"/>
      </c>
      <c r="AK1518">
        <f ca="1"/>
      </c>
      <c r="AL1518">
        <f ca="1"/>
      </c>
      <c r="AM1518">
        <f ca="1"/>
      </c>
      <c r="AN1518">
        <f ca="1"/>
      </c>
      <c r="AO1518">
        <f ca="1"/>
      </c>
      <c r="AP1518">
        <f ca="1"/>
      </c>
      <c r="AQ1518">
        <f ca="1"/>
      </c>
      <c r="AR1518">
        <f ca="1"/>
      </c>
      <c r="AT1518" s="7">
        <f ca="1"/>
      </c>
      <c r="AU1518">
        <f ca="1"/>
      </c>
      <c r="AV1518">
        <f ca="1"/>
      </c>
      <c r="AW1518">
        <f ca="1"/>
      </c>
      <c r="AX1518">
        <f ca="1"/>
      </c>
      <c r="AY1518">
        <f ca="1"/>
      </c>
      <c r="BA1518" s="7"/>
    </row>
    <row r="1519" spans="31:53" x14ac:dyDescent="0.55000000000000004">
      <c r="AE1519" s="7">
        <f ca="1"/>
      </c>
      <c r="AF1519">
        <f ca="1"/>
      </c>
      <c r="AG1519">
        <f ca="1"/>
      </c>
      <c r="AH1519">
        <f ca="1"/>
      </c>
      <c r="AI1519">
        <f ca="1"/>
      </c>
      <c r="AJ1519">
        <f ca="1"/>
      </c>
      <c r="AK1519">
        <f ca="1"/>
      </c>
      <c r="AL1519">
        <f ca="1"/>
      </c>
      <c r="AM1519">
        <f ca="1"/>
      </c>
      <c r="AN1519">
        <f ca="1"/>
      </c>
      <c r="AO1519">
        <f ca="1"/>
      </c>
      <c r="AP1519">
        <f ca="1"/>
      </c>
      <c r="AQ1519">
        <f ca="1"/>
      </c>
      <c r="AR1519">
        <f ca="1"/>
      </c>
      <c r="AT1519" s="7">
        <f ca="1"/>
      </c>
      <c r="AU1519">
        <f ca="1"/>
      </c>
      <c r="AV1519">
        <f ca="1"/>
      </c>
      <c r="AW1519">
        <f ca="1"/>
      </c>
      <c r="AX1519">
        <f ca="1"/>
      </c>
      <c r="AY1519">
        <f ca="1"/>
      </c>
      <c r="BA1519" s="7"/>
    </row>
    <row r="1520" spans="31:53" x14ac:dyDescent="0.55000000000000004">
      <c r="AE1520" s="7">
        <f ca="1"/>
      </c>
      <c r="AF1520">
        <f ca="1"/>
      </c>
      <c r="AG1520">
        <f ca="1"/>
      </c>
      <c r="AH1520">
        <f ca="1"/>
      </c>
      <c r="AI1520">
        <f ca="1"/>
      </c>
      <c r="AJ1520">
        <f ca="1"/>
      </c>
      <c r="AK1520">
        <f ca="1"/>
      </c>
      <c r="AL1520">
        <f ca="1"/>
      </c>
      <c r="AM1520">
        <f ca="1"/>
      </c>
      <c r="AN1520">
        <f ca="1"/>
      </c>
      <c r="AO1520">
        <f ca="1"/>
      </c>
      <c r="AP1520">
        <f ca="1"/>
      </c>
      <c r="AQ1520">
        <f ca="1"/>
      </c>
      <c r="AR1520">
        <f ca="1"/>
      </c>
      <c r="AT1520" s="7">
        <f ca="1"/>
      </c>
      <c r="AU1520">
        <f ca="1"/>
      </c>
      <c r="AV1520">
        <f ca="1"/>
      </c>
      <c r="AW1520">
        <f ca="1"/>
      </c>
      <c r="AX1520">
        <f ca="1"/>
      </c>
      <c r="AY1520">
        <f ca="1"/>
      </c>
      <c r="BA1520" s="7"/>
    </row>
    <row r="1521" spans="31:53" x14ac:dyDescent="0.55000000000000004">
      <c r="AE1521" s="7">
        <f ca="1"/>
      </c>
      <c r="AF1521">
        <f ca="1"/>
      </c>
      <c r="AG1521">
        <f ca="1"/>
      </c>
      <c r="AH1521">
        <f ca="1"/>
      </c>
      <c r="AI1521">
        <f ca="1"/>
      </c>
      <c r="AJ1521">
        <f ca="1"/>
      </c>
      <c r="AK1521">
        <f ca="1"/>
      </c>
      <c r="AL1521">
        <f ca="1"/>
      </c>
      <c r="AM1521">
        <f ca="1"/>
      </c>
      <c r="AN1521">
        <f ca="1"/>
      </c>
      <c r="AO1521">
        <f ca="1"/>
      </c>
      <c r="AP1521">
        <f ca="1"/>
      </c>
      <c r="AQ1521">
        <f ca="1"/>
      </c>
      <c r="AR1521">
        <f ca="1"/>
      </c>
      <c r="AT1521" s="7">
        <f ca="1"/>
      </c>
      <c r="AU1521">
        <f ca="1"/>
      </c>
      <c r="AV1521">
        <f ca="1"/>
      </c>
      <c r="AW1521">
        <f ca="1"/>
      </c>
      <c r="AX1521">
        <f ca="1"/>
      </c>
      <c r="AY1521">
        <f ca="1"/>
      </c>
      <c r="BA1521" s="7"/>
    </row>
    <row r="1522" spans="31:53" x14ac:dyDescent="0.55000000000000004">
      <c r="AE1522" s="7">
        <f ca="1"/>
      </c>
      <c r="AF1522">
        <f ca="1"/>
      </c>
      <c r="AG1522">
        <f ca="1"/>
      </c>
      <c r="AH1522">
        <f ca="1"/>
      </c>
      <c r="AI1522">
        <f ca="1"/>
      </c>
      <c r="AJ1522">
        <f ca="1"/>
      </c>
      <c r="AK1522">
        <f ca="1"/>
      </c>
      <c r="AL1522">
        <f ca="1"/>
      </c>
      <c r="AM1522">
        <f ca="1"/>
      </c>
      <c r="AN1522">
        <f ca="1"/>
      </c>
      <c r="AO1522">
        <f ca="1"/>
      </c>
      <c r="AP1522">
        <f ca="1"/>
      </c>
      <c r="AQ1522">
        <f ca="1"/>
      </c>
      <c r="AR1522">
        <f ca="1"/>
      </c>
      <c r="AT1522" s="7">
        <f ca="1"/>
      </c>
      <c r="AU1522">
        <f ca="1"/>
      </c>
      <c r="AV1522">
        <f ca="1"/>
      </c>
      <c r="AW1522">
        <f ca="1"/>
      </c>
      <c r="AX1522">
        <f ca="1"/>
      </c>
      <c r="AY1522">
        <f ca="1"/>
      </c>
      <c r="BA1522" s="7"/>
    </row>
    <row r="1523" spans="31:53" x14ac:dyDescent="0.55000000000000004">
      <c r="AE1523" s="7">
        <f ca="1"/>
      </c>
      <c r="AF1523">
        <f ca="1"/>
      </c>
      <c r="AG1523">
        <f ca="1"/>
      </c>
      <c r="AH1523">
        <f ca="1"/>
      </c>
      <c r="AI1523">
        <f ca="1"/>
      </c>
      <c r="AJ1523">
        <f ca="1"/>
      </c>
      <c r="AK1523">
        <f ca="1"/>
      </c>
      <c r="AL1523">
        <f ca="1"/>
      </c>
      <c r="AM1523">
        <f ca="1"/>
      </c>
      <c r="AN1523">
        <f ca="1"/>
      </c>
      <c r="AO1523">
        <f ca="1"/>
      </c>
      <c r="AP1523">
        <f ca="1"/>
      </c>
      <c r="AQ1523">
        <f ca="1"/>
      </c>
      <c r="AR1523">
        <f ca="1"/>
      </c>
      <c r="AT1523" s="7">
        <f ca="1"/>
      </c>
      <c r="AU1523">
        <f ca="1"/>
      </c>
      <c r="AV1523">
        <f ca="1"/>
      </c>
      <c r="AW1523">
        <f ca="1"/>
      </c>
      <c r="AX1523">
        <f ca="1"/>
      </c>
      <c r="AY1523">
        <f ca="1"/>
      </c>
      <c r="BA1523" s="7"/>
    </row>
    <row r="1524" spans="31:53" x14ac:dyDescent="0.55000000000000004">
      <c r="AE1524" s="7">
        <f ca="1"/>
      </c>
      <c r="AF1524">
        <f ca="1"/>
      </c>
      <c r="AG1524">
        <f ca="1"/>
      </c>
      <c r="AH1524">
        <f ca="1"/>
      </c>
      <c r="AI1524">
        <f ca="1"/>
      </c>
      <c r="AJ1524">
        <f ca="1"/>
      </c>
      <c r="AK1524">
        <f ca="1"/>
      </c>
      <c r="AL1524">
        <f ca="1"/>
      </c>
      <c r="AM1524">
        <f ca="1"/>
      </c>
      <c r="AN1524">
        <f ca="1"/>
      </c>
      <c r="AO1524">
        <f ca="1"/>
      </c>
      <c r="AP1524">
        <f ca="1"/>
      </c>
      <c r="AQ1524">
        <f ca="1"/>
      </c>
      <c r="AR1524">
        <f ca="1"/>
      </c>
      <c r="AT1524" s="7">
        <f ca="1"/>
      </c>
      <c r="AU1524">
        <f ca="1"/>
      </c>
      <c r="AV1524">
        <f ca="1"/>
      </c>
      <c r="AW1524">
        <f ca="1"/>
      </c>
      <c r="AX1524">
        <f ca="1"/>
      </c>
      <c r="AY1524">
        <f ca="1"/>
      </c>
      <c r="BA1524" s="7"/>
    </row>
    <row r="1525" spans="31:53" x14ac:dyDescent="0.55000000000000004">
      <c r="AE1525" s="7">
        <f ca="1"/>
      </c>
      <c r="AF1525">
        <f ca="1"/>
      </c>
      <c r="AG1525">
        <f ca="1"/>
      </c>
      <c r="AH1525">
        <f ca="1"/>
      </c>
      <c r="AI1525">
        <f ca="1"/>
      </c>
      <c r="AJ1525">
        <f ca="1"/>
      </c>
      <c r="AK1525">
        <f ca="1"/>
      </c>
      <c r="AL1525">
        <f ca="1"/>
      </c>
      <c r="AM1525">
        <f ca="1"/>
      </c>
      <c r="AN1525">
        <f ca="1"/>
      </c>
      <c r="AO1525">
        <f ca="1"/>
      </c>
      <c r="AP1525">
        <f ca="1"/>
      </c>
      <c r="AQ1525">
        <f ca="1"/>
      </c>
      <c r="AR1525">
        <f ca="1"/>
      </c>
      <c r="AT1525" s="7">
        <f ca="1"/>
      </c>
      <c r="AU1525">
        <f ca="1"/>
      </c>
      <c r="AV1525">
        <f ca="1"/>
      </c>
      <c r="AW1525">
        <f ca="1"/>
      </c>
      <c r="AX1525">
        <f ca="1"/>
      </c>
      <c r="AY1525">
        <f ca="1"/>
      </c>
      <c r="BA1525" s="7"/>
    </row>
    <row r="1526" spans="31:53" x14ac:dyDescent="0.55000000000000004">
      <c r="AE1526" s="7">
        <f ca="1"/>
      </c>
      <c r="AF1526">
        <f ca="1"/>
      </c>
      <c r="AG1526">
        <f ca="1"/>
      </c>
      <c r="AH1526">
        <f ca="1"/>
      </c>
      <c r="AI1526">
        <f ca="1"/>
      </c>
      <c r="AJ1526">
        <f ca="1"/>
      </c>
      <c r="AK1526">
        <f ca="1"/>
      </c>
      <c r="AL1526">
        <f ca="1"/>
      </c>
      <c r="AM1526">
        <f ca="1"/>
      </c>
      <c r="AN1526">
        <f ca="1"/>
      </c>
      <c r="AO1526">
        <f ca="1"/>
      </c>
      <c r="AP1526">
        <f ca="1"/>
      </c>
      <c r="AQ1526">
        <f ca="1"/>
      </c>
      <c r="AR1526">
        <f ca="1"/>
      </c>
      <c r="AT1526" s="7">
        <f ca="1"/>
      </c>
      <c r="AU1526">
        <f ca="1"/>
      </c>
      <c r="AV1526">
        <f ca="1"/>
      </c>
      <c r="AW1526">
        <f ca="1"/>
      </c>
      <c r="AX1526">
        <f ca="1"/>
      </c>
      <c r="AY1526">
        <f ca="1"/>
      </c>
      <c r="BA1526" s="7"/>
    </row>
    <row r="1527" spans="31:53" x14ac:dyDescent="0.55000000000000004">
      <c r="AE1527" s="7">
        <f ca="1"/>
      </c>
      <c r="AF1527">
        <f ca="1"/>
      </c>
      <c r="AG1527">
        <f ca="1"/>
      </c>
      <c r="AH1527">
        <f ca="1"/>
      </c>
      <c r="AI1527">
        <f ca="1"/>
      </c>
      <c r="AJ1527">
        <f ca="1"/>
      </c>
      <c r="AK1527">
        <f ca="1"/>
      </c>
      <c r="AL1527">
        <f ca="1"/>
      </c>
      <c r="AM1527">
        <f ca="1"/>
      </c>
      <c r="AN1527">
        <f ca="1"/>
      </c>
      <c r="AO1527">
        <f ca="1"/>
      </c>
      <c r="AP1527">
        <f ca="1"/>
      </c>
      <c r="AQ1527">
        <f ca="1"/>
      </c>
      <c r="AR1527">
        <f ca="1"/>
      </c>
      <c r="AT1527" s="7">
        <f ca="1"/>
      </c>
      <c r="AU1527">
        <f ca="1"/>
      </c>
      <c r="AV1527">
        <f ca="1"/>
      </c>
      <c r="AW1527">
        <f ca="1"/>
      </c>
      <c r="AX1527">
        <f ca="1"/>
      </c>
      <c r="AY1527">
        <f ca="1"/>
      </c>
      <c r="BA1527" s="7"/>
    </row>
    <row r="1528" spans="31:53" x14ac:dyDescent="0.55000000000000004">
      <c r="AE1528" s="7">
        <f ca="1"/>
      </c>
      <c r="AF1528">
        <f ca="1"/>
      </c>
      <c r="AG1528">
        <f ca="1"/>
      </c>
      <c r="AH1528">
        <f ca="1"/>
      </c>
      <c r="AI1528">
        <f ca="1"/>
      </c>
      <c r="AJ1528">
        <f ca="1"/>
      </c>
      <c r="AK1528">
        <f ca="1"/>
      </c>
      <c r="AL1528">
        <f ca="1"/>
      </c>
      <c r="AM1528">
        <f ca="1"/>
      </c>
      <c r="AN1528">
        <f ca="1"/>
      </c>
      <c r="AO1528">
        <f ca="1"/>
      </c>
      <c r="AP1528">
        <f ca="1"/>
      </c>
      <c r="AQ1528">
        <f ca="1"/>
      </c>
      <c r="AR1528">
        <f ca="1"/>
      </c>
      <c r="AT1528" s="7">
        <f ca="1"/>
      </c>
      <c r="AU1528">
        <f ca="1"/>
      </c>
      <c r="AV1528">
        <f ca="1"/>
      </c>
      <c r="AW1528">
        <f ca="1"/>
      </c>
      <c r="AX1528">
        <f ca="1"/>
      </c>
      <c r="AY1528">
        <f ca="1"/>
      </c>
      <c r="BA1528" s="7"/>
    </row>
    <row r="1529" spans="31:53" x14ac:dyDescent="0.55000000000000004">
      <c r="AE1529" s="7">
        <f ca="1"/>
      </c>
      <c r="AF1529">
        <f ca="1"/>
      </c>
      <c r="AG1529">
        <f ca="1"/>
      </c>
      <c r="AH1529">
        <f ca="1"/>
      </c>
      <c r="AI1529">
        <f ca="1"/>
      </c>
      <c r="AJ1529">
        <f ca="1"/>
      </c>
      <c r="AK1529">
        <f ca="1"/>
      </c>
      <c r="AL1529">
        <f ca="1"/>
      </c>
      <c r="AM1529">
        <f ca="1"/>
      </c>
      <c r="AN1529">
        <f ca="1"/>
      </c>
      <c r="AO1529">
        <f ca="1"/>
      </c>
      <c r="AP1529">
        <f ca="1"/>
      </c>
      <c r="AQ1529">
        <f ca="1"/>
      </c>
      <c r="AR1529">
        <f ca="1"/>
      </c>
      <c r="AT1529" s="7">
        <f ca="1"/>
      </c>
      <c r="AU1529">
        <f ca="1"/>
      </c>
      <c r="AV1529">
        <f ca="1"/>
      </c>
      <c r="AW1529">
        <f ca="1"/>
      </c>
      <c r="AX1529">
        <f ca="1"/>
      </c>
      <c r="AY1529">
        <f ca="1"/>
      </c>
      <c r="BA1529" s="7"/>
    </row>
    <row r="1530" spans="31:53" x14ac:dyDescent="0.55000000000000004">
      <c r="AE1530" s="7">
        <f ca="1"/>
      </c>
      <c r="AF1530">
        <f ca="1"/>
      </c>
      <c r="AG1530">
        <f ca="1"/>
      </c>
      <c r="AH1530">
        <f ca="1"/>
      </c>
      <c r="AI1530">
        <f ca="1"/>
      </c>
      <c r="AJ1530">
        <f ca="1"/>
      </c>
      <c r="AK1530">
        <f ca="1"/>
      </c>
      <c r="AL1530">
        <f ca="1"/>
      </c>
      <c r="AM1530">
        <f ca="1"/>
      </c>
      <c r="AN1530">
        <f ca="1"/>
      </c>
      <c r="AO1530">
        <f ca="1"/>
      </c>
      <c r="AP1530">
        <f ca="1"/>
      </c>
      <c r="AQ1530">
        <f ca="1"/>
      </c>
      <c r="AR1530">
        <f ca="1"/>
      </c>
      <c r="AT1530" s="7">
        <f ca="1"/>
      </c>
      <c r="AU1530">
        <f ca="1"/>
      </c>
      <c r="AV1530">
        <f ca="1"/>
      </c>
      <c r="AW1530">
        <f ca="1"/>
      </c>
      <c r="AX1530">
        <f ca="1"/>
      </c>
      <c r="AY1530">
        <f ca="1"/>
      </c>
      <c r="BA1530" s="7"/>
    </row>
    <row r="1531" spans="31:53" x14ac:dyDescent="0.55000000000000004">
      <c r="AE1531" s="7">
        <f ca="1"/>
      </c>
      <c r="AF1531">
        <f ca="1"/>
      </c>
      <c r="AG1531">
        <f ca="1"/>
      </c>
      <c r="AH1531">
        <f ca="1"/>
      </c>
      <c r="AI1531">
        <f ca="1"/>
      </c>
      <c r="AJ1531">
        <f ca="1"/>
      </c>
      <c r="AK1531">
        <f ca="1"/>
      </c>
      <c r="AL1531">
        <f ca="1"/>
      </c>
      <c r="AM1531">
        <f ca="1"/>
      </c>
      <c r="AN1531">
        <f ca="1"/>
      </c>
      <c r="AO1531">
        <f ca="1"/>
      </c>
      <c r="AP1531">
        <f ca="1"/>
      </c>
      <c r="AQ1531">
        <f ca="1"/>
      </c>
      <c r="AR1531">
        <f ca="1"/>
      </c>
      <c r="AT1531" s="7">
        <f ca="1"/>
      </c>
      <c r="AU1531">
        <f ca="1"/>
      </c>
      <c r="AV1531">
        <f ca="1"/>
      </c>
      <c r="AW1531">
        <f ca="1"/>
      </c>
      <c r="AX1531">
        <f ca="1"/>
      </c>
      <c r="AY1531">
        <f ca="1"/>
      </c>
      <c r="BA1531" s="7"/>
    </row>
    <row r="1532" spans="31:53" x14ac:dyDescent="0.55000000000000004">
      <c r="AE1532" s="7">
        <f ca="1"/>
      </c>
      <c r="AF1532">
        <f ca="1"/>
      </c>
      <c r="AG1532">
        <f ca="1"/>
      </c>
      <c r="AH1532">
        <f ca="1"/>
      </c>
      <c r="AI1532">
        <f ca="1"/>
      </c>
      <c r="AJ1532">
        <f ca="1"/>
      </c>
      <c r="AK1532">
        <f ca="1"/>
      </c>
      <c r="AL1532">
        <f ca="1"/>
      </c>
      <c r="AM1532">
        <f ca="1"/>
      </c>
      <c r="AN1532">
        <f ca="1"/>
      </c>
      <c r="AO1532">
        <f ca="1"/>
      </c>
      <c r="AP1532">
        <f ca="1"/>
      </c>
      <c r="AQ1532">
        <f ca="1"/>
      </c>
      <c r="AR1532">
        <f ca="1"/>
      </c>
      <c r="AT1532" s="7">
        <f ca="1"/>
      </c>
      <c r="AU1532">
        <f ca="1"/>
      </c>
      <c r="AV1532">
        <f ca="1"/>
      </c>
      <c r="AW1532">
        <f ca="1"/>
      </c>
      <c r="AX1532">
        <f ca="1"/>
      </c>
      <c r="AY1532">
        <f ca="1"/>
      </c>
      <c r="BA1532" s="7"/>
    </row>
    <row r="1533" spans="31:53" x14ac:dyDescent="0.55000000000000004">
      <c r="AE1533" s="7">
        <f ca="1"/>
      </c>
      <c r="AF1533">
        <f ca="1"/>
      </c>
      <c r="AG1533">
        <f ca="1"/>
      </c>
      <c r="AH1533">
        <f ca="1"/>
      </c>
      <c r="AI1533">
        <f ca="1"/>
      </c>
      <c r="AJ1533">
        <f ca="1"/>
      </c>
      <c r="AK1533">
        <f ca="1"/>
      </c>
      <c r="AL1533">
        <f ca="1"/>
      </c>
      <c r="AM1533">
        <f ca="1"/>
      </c>
      <c r="AN1533">
        <f ca="1"/>
      </c>
      <c r="AO1533">
        <f ca="1"/>
      </c>
      <c r="AP1533">
        <f ca="1"/>
      </c>
      <c r="AQ1533">
        <f ca="1"/>
      </c>
      <c r="AR1533">
        <f ca="1"/>
      </c>
      <c r="AT1533" s="7">
        <f ca="1"/>
      </c>
      <c r="AU1533">
        <f ca="1"/>
      </c>
      <c r="AV1533">
        <f ca="1"/>
      </c>
      <c r="AW1533">
        <f ca="1"/>
      </c>
      <c r="AX1533">
        <f ca="1"/>
      </c>
      <c r="AY1533">
        <f ca="1"/>
      </c>
      <c r="BA1533" s="7"/>
    </row>
    <row r="1534" spans="31:53" x14ac:dyDescent="0.55000000000000004">
      <c r="AE1534" s="7">
        <f ca="1"/>
      </c>
      <c r="AF1534">
        <f ca="1"/>
      </c>
      <c r="AG1534">
        <f ca="1"/>
      </c>
      <c r="AH1534">
        <f ca="1"/>
      </c>
      <c r="AI1534">
        <f ca="1"/>
      </c>
      <c r="AJ1534">
        <f ca="1"/>
      </c>
      <c r="AK1534">
        <f ca="1"/>
      </c>
      <c r="AL1534">
        <f ca="1"/>
      </c>
      <c r="AM1534">
        <f ca="1"/>
      </c>
      <c r="AN1534">
        <f ca="1"/>
      </c>
      <c r="AO1534">
        <f ca="1"/>
      </c>
      <c r="AP1534">
        <f ca="1"/>
      </c>
      <c r="AQ1534">
        <f ca="1"/>
      </c>
      <c r="AR1534">
        <f ca="1"/>
      </c>
      <c r="AT1534" s="7">
        <f ca="1"/>
      </c>
      <c r="AU1534">
        <f ca="1"/>
      </c>
      <c r="AV1534">
        <f ca="1"/>
      </c>
      <c r="AW1534">
        <f ca="1"/>
      </c>
      <c r="AX1534">
        <f ca="1"/>
      </c>
      <c r="AY1534">
        <f ca="1"/>
      </c>
      <c r="BA1534" s="7"/>
    </row>
    <row r="1535" spans="31:53" x14ac:dyDescent="0.55000000000000004">
      <c r="AE1535" s="7">
        <f ca="1"/>
      </c>
      <c r="AF1535">
        <f ca="1"/>
      </c>
      <c r="AG1535">
        <f ca="1"/>
      </c>
      <c r="AH1535">
        <f ca="1"/>
      </c>
      <c r="AI1535">
        <f ca="1"/>
      </c>
      <c r="AJ1535">
        <f ca="1"/>
      </c>
      <c r="AK1535">
        <f ca="1"/>
      </c>
      <c r="AL1535">
        <f ca="1"/>
      </c>
      <c r="AM1535">
        <f ca="1"/>
      </c>
      <c r="AN1535">
        <f ca="1"/>
      </c>
      <c r="AO1535">
        <f ca="1"/>
      </c>
      <c r="AP1535">
        <f ca="1"/>
      </c>
      <c r="AQ1535">
        <f ca="1"/>
      </c>
      <c r="AR1535">
        <f ca="1"/>
      </c>
      <c r="AT1535" s="7">
        <f ca="1"/>
      </c>
      <c r="AU1535">
        <f ca="1"/>
      </c>
      <c r="AV1535">
        <f ca="1"/>
      </c>
      <c r="AW1535">
        <f ca="1"/>
      </c>
      <c r="AX1535">
        <f ca="1"/>
      </c>
      <c r="AY1535">
        <f ca="1"/>
      </c>
      <c r="BA1535" s="7"/>
    </row>
    <row r="1536" spans="31:53" x14ac:dyDescent="0.55000000000000004">
      <c r="AE1536" s="7">
        <f ca="1"/>
      </c>
      <c r="AF1536">
        <f ca="1"/>
      </c>
      <c r="AG1536">
        <f ca="1"/>
      </c>
      <c r="AH1536">
        <f ca="1"/>
      </c>
      <c r="AI1536">
        <f ca="1"/>
      </c>
      <c r="AJ1536">
        <f ca="1"/>
      </c>
      <c r="AK1536">
        <f ca="1"/>
      </c>
      <c r="AL1536">
        <f ca="1"/>
      </c>
      <c r="AM1536">
        <f ca="1"/>
      </c>
      <c r="AN1536">
        <f ca="1"/>
      </c>
      <c r="AO1536">
        <f ca="1"/>
      </c>
      <c r="AP1536">
        <f ca="1"/>
      </c>
      <c r="AQ1536">
        <f ca="1"/>
      </c>
      <c r="AR1536">
        <f ca="1"/>
      </c>
      <c r="AT1536" s="7">
        <f ca="1"/>
      </c>
      <c r="AU1536">
        <f ca="1"/>
      </c>
      <c r="AV1536">
        <f ca="1"/>
      </c>
      <c r="AW1536">
        <f ca="1"/>
      </c>
      <c r="AX1536">
        <f ca="1"/>
      </c>
      <c r="AY1536">
        <f ca="1"/>
      </c>
      <c r="BA1536" s="7"/>
    </row>
    <row r="1537" spans="31:53" x14ac:dyDescent="0.55000000000000004">
      <c r="AE1537" s="7">
        <f ca="1"/>
      </c>
      <c r="AF1537">
        <f ca="1"/>
      </c>
      <c r="AG1537">
        <f ca="1"/>
      </c>
      <c r="AH1537">
        <f ca="1"/>
      </c>
      <c r="AI1537">
        <f ca="1"/>
      </c>
      <c r="AJ1537">
        <f ca="1"/>
      </c>
      <c r="AK1537">
        <f ca="1"/>
      </c>
      <c r="AL1537">
        <f ca="1"/>
      </c>
      <c r="AM1537">
        <f ca="1"/>
      </c>
      <c r="AN1537">
        <f ca="1"/>
      </c>
      <c r="AO1537">
        <f ca="1"/>
      </c>
      <c r="AP1537">
        <f ca="1"/>
      </c>
      <c r="AQ1537">
        <f ca="1"/>
      </c>
      <c r="AR1537">
        <f ca="1"/>
      </c>
      <c r="AT1537" s="7">
        <f ca="1"/>
      </c>
      <c r="AU1537">
        <f ca="1"/>
      </c>
      <c r="AV1537">
        <f ca="1"/>
      </c>
      <c r="AW1537">
        <f ca="1"/>
      </c>
      <c r="AX1537">
        <f ca="1"/>
      </c>
      <c r="AY1537">
        <f ca="1"/>
      </c>
      <c r="BA1537" s="7"/>
    </row>
    <row r="1538" spans="31:53" x14ac:dyDescent="0.55000000000000004">
      <c r="AE1538" s="7">
        <f ca="1"/>
      </c>
      <c r="AF1538">
        <f ca="1"/>
      </c>
      <c r="AG1538">
        <f ca="1"/>
      </c>
      <c r="AH1538">
        <f ca="1"/>
      </c>
      <c r="AI1538">
        <f ca="1"/>
      </c>
      <c r="AJ1538">
        <f ca="1"/>
      </c>
      <c r="AK1538">
        <f ca="1"/>
      </c>
      <c r="AL1538">
        <f ca="1"/>
      </c>
      <c r="AM1538">
        <f ca="1"/>
      </c>
      <c r="AN1538">
        <f ca="1"/>
      </c>
      <c r="AO1538">
        <f ca="1"/>
      </c>
      <c r="AP1538">
        <f ca="1"/>
      </c>
      <c r="AQ1538">
        <f ca="1"/>
      </c>
      <c r="AR1538">
        <f ca="1"/>
      </c>
      <c r="AT1538" s="7">
        <f ca="1"/>
      </c>
      <c r="AU1538">
        <f ca="1"/>
      </c>
      <c r="AV1538">
        <f ca="1"/>
      </c>
      <c r="AW1538">
        <f ca="1"/>
      </c>
      <c r="AX1538">
        <f ca="1"/>
      </c>
      <c r="AY1538">
        <f ca="1"/>
      </c>
      <c r="BA1538" s="7"/>
    </row>
    <row r="1539" spans="31:53" x14ac:dyDescent="0.55000000000000004">
      <c r="AE1539" s="7">
        <f ca="1"/>
      </c>
      <c r="AF1539">
        <f ca="1"/>
      </c>
      <c r="AG1539">
        <f ca="1"/>
      </c>
      <c r="AH1539">
        <f ca="1"/>
      </c>
      <c r="AI1539">
        <f ca="1"/>
      </c>
      <c r="AJ1539">
        <f ca="1"/>
      </c>
      <c r="AK1539">
        <f ca="1"/>
      </c>
      <c r="AL1539">
        <f ca="1"/>
      </c>
      <c r="AM1539">
        <f ca="1"/>
      </c>
      <c r="AN1539">
        <f ca="1"/>
      </c>
      <c r="AO1539">
        <f ca="1"/>
      </c>
      <c r="AP1539">
        <f ca="1"/>
      </c>
      <c r="AQ1539">
        <f ca="1"/>
      </c>
      <c r="AR1539">
        <f ca="1"/>
      </c>
      <c r="AT1539" s="7">
        <f ca="1"/>
      </c>
      <c r="AU1539">
        <f ca="1"/>
      </c>
      <c r="AV1539">
        <f ca="1"/>
      </c>
      <c r="AW1539">
        <f ca="1"/>
      </c>
      <c r="AX1539">
        <f ca="1"/>
      </c>
      <c r="AY1539">
        <f ca="1"/>
      </c>
      <c r="BA1539" s="7"/>
    </row>
    <row r="1540" spans="31:53" x14ac:dyDescent="0.55000000000000004">
      <c r="AE1540" s="7">
        <f ca="1"/>
      </c>
      <c r="AF1540">
        <f ca="1"/>
      </c>
      <c r="AG1540">
        <f ca="1"/>
      </c>
      <c r="AH1540">
        <f ca="1"/>
      </c>
      <c r="AI1540">
        <f ca="1"/>
      </c>
      <c r="AJ1540">
        <f ca="1"/>
      </c>
      <c r="AK1540">
        <f ca="1"/>
      </c>
      <c r="AL1540">
        <f ca="1"/>
      </c>
      <c r="AM1540">
        <f ca="1"/>
      </c>
      <c r="AN1540">
        <f ca="1"/>
      </c>
      <c r="AO1540">
        <f ca="1"/>
      </c>
      <c r="AP1540">
        <f ca="1"/>
      </c>
      <c r="AQ1540">
        <f ca="1"/>
      </c>
      <c r="AR1540">
        <f ca="1"/>
      </c>
      <c r="AT1540" s="7">
        <f ca="1"/>
      </c>
      <c r="AU1540">
        <f ca="1"/>
      </c>
      <c r="AV1540">
        <f ca="1"/>
      </c>
      <c r="AW1540">
        <f ca="1"/>
      </c>
      <c r="AX1540">
        <f ca="1"/>
      </c>
      <c r="AY1540">
        <f ca="1"/>
      </c>
      <c r="BA1540" s="7"/>
    </row>
    <row r="1541" spans="31:53" x14ac:dyDescent="0.55000000000000004">
      <c r="AE1541" s="7">
        <f ca="1"/>
      </c>
      <c r="AF1541">
        <f ca="1"/>
      </c>
      <c r="AG1541">
        <f ca="1"/>
      </c>
      <c r="AH1541">
        <f ca="1"/>
      </c>
      <c r="AI1541">
        <f ca="1"/>
      </c>
      <c r="AJ1541">
        <f ca="1"/>
      </c>
      <c r="AK1541">
        <f ca="1"/>
      </c>
      <c r="AL1541">
        <f ca="1"/>
      </c>
      <c r="AM1541">
        <f ca="1"/>
      </c>
      <c r="AN1541">
        <f ca="1"/>
      </c>
      <c r="AO1541">
        <f ca="1"/>
      </c>
      <c r="AP1541">
        <f ca="1"/>
      </c>
      <c r="AQ1541">
        <f ca="1"/>
      </c>
      <c r="AR1541">
        <f ca="1"/>
      </c>
      <c r="AT1541" s="7">
        <f ca="1"/>
      </c>
      <c r="AU1541">
        <f ca="1"/>
      </c>
      <c r="AV1541">
        <f ca="1"/>
      </c>
      <c r="AW1541">
        <f ca="1"/>
      </c>
      <c r="AX1541">
        <f ca="1"/>
      </c>
      <c r="AY1541">
        <f ca="1"/>
      </c>
      <c r="BA1541" s="7"/>
    </row>
    <row r="1542" spans="31:53" x14ac:dyDescent="0.55000000000000004">
      <c r="AE1542" s="7">
        <f ca="1"/>
      </c>
      <c r="AF1542">
        <f ca="1"/>
      </c>
      <c r="AG1542">
        <f ca="1"/>
      </c>
      <c r="AH1542">
        <f ca="1"/>
      </c>
      <c r="AI1542">
        <f ca="1"/>
      </c>
      <c r="AJ1542">
        <f ca="1"/>
      </c>
      <c r="AK1542">
        <f ca="1"/>
      </c>
      <c r="AL1542">
        <f ca="1"/>
      </c>
      <c r="AM1542">
        <f ca="1"/>
      </c>
      <c r="AN1542">
        <f ca="1"/>
      </c>
      <c r="AO1542">
        <f ca="1"/>
      </c>
      <c r="AP1542">
        <f ca="1"/>
      </c>
      <c r="AQ1542">
        <f ca="1"/>
      </c>
      <c r="AR1542">
        <f ca="1"/>
      </c>
      <c r="AT1542" s="7">
        <f ca="1"/>
      </c>
      <c r="AU1542">
        <f ca="1"/>
      </c>
      <c r="AV1542">
        <f ca="1"/>
      </c>
      <c r="AW1542">
        <f ca="1"/>
      </c>
      <c r="AX1542">
        <f ca="1"/>
      </c>
      <c r="AY1542">
        <f ca="1"/>
      </c>
      <c r="BA1542" s="7"/>
    </row>
    <row r="1543" spans="31:53" x14ac:dyDescent="0.55000000000000004">
      <c r="AE1543" s="7">
        <f ca="1"/>
      </c>
      <c r="AF1543">
        <f ca="1"/>
      </c>
      <c r="AG1543">
        <f ca="1"/>
      </c>
      <c r="AH1543">
        <f ca="1"/>
      </c>
      <c r="AI1543">
        <f ca="1"/>
      </c>
      <c r="AJ1543">
        <f ca="1"/>
      </c>
      <c r="AK1543">
        <f ca="1"/>
      </c>
      <c r="AL1543">
        <f ca="1"/>
      </c>
      <c r="AM1543">
        <f ca="1"/>
      </c>
      <c r="AN1543">
        <f ca="1"/>
      </c>
      <c r="AO1543">
        <f ca="1"/>
      </c>
      <c r="AP1543">
        <f ca="1"/>
      </c>
      <c r="AQ1543">
        <f ca="1"/>
      </c>
      <c r="AR1543">
        <f ca="1"/>
      </c>
      <c r="AT1543" s="7">
        <f ca="1"/>
      </c>
      <c r="AU1543">
        <f ca="1"/>
      </c>
      <c r="AV1543">
        <f ca="1"/>
      </c>
      <c r="AW1543">
        <f ca="1"/>
      </c>
      <c r="AX1543">
        <f ca="1"/>
      </c>
      <c r="AY1543">
        <f ca="1"/>
      </c>
      <c r="BA1543" s="7"/>
    </row>
    <row r="1544" spans="31:53" x14ac:dyDescent="0.55000000000000004">
      <c r="AE1544" s="7">
        <f ca="1"/>
      </c>
      <c r="AF1544">
        <f ca="1"/>
      </c>
      <c r="AG1544">
        <f ca="1"/>
      </c>
      <c r="AH1544">
        <f ca="1"/>
      </c>
      <c r="AI1544">
        <f ca="1"/>
      </c>
      <c r="AJ1544">
        <f ca="1"/>
      </c>
      <c r="AK1544">
        <f ca="1"/>
      </c>
      <c r="AL1544">
        <f ca="1"/>
      </c>
      <c r="AM1544">
        <f ca="1"/>
      </c>
      <c r="AN1544">
        <f ca="1"/>
      </c>
      <c r="AO1544">
        <f ca="1"/>
      </c>
      <c r="AP1544">
        <f ca="1"/>
      </c>
      <c r="AQ1544">
        <f ca="1"/>
      </c>
      <c r="AR1544">
        <f ca="1"/>
      </c>
      <c r="AT1544" s="7">
        <f ca="1"/>
      </c>
      <c r="AU1544">
        <f ca="1"/>
      </c>
      <c r="AV1544">
        <f ca="1"/>
      </c>
      <c r="AW1544">
        <f ca="1"/>
      </c>
      <c r="AX1544">
        <f ca="1"/>
      </c>
      <c r="AY1544">
        <f ca="1"/>
      </c>
      <c r="BA1544" s="7"/>
    </row>
    <row r="1545" spans="31:53" x14ac:dyDescent="0.55000000000000004">
      <c r="AE1545" s="7">
        <f ca="1"/>
      </c>
      <c r="AF1545">
        <f ca="1"/>
      </c>
      <c r="AG1545">
        <f ca="1"/>
      </c>
      <c r="AH1545">
        <f ca="1"/>
      </c>
      <c r="AI1545">
        <f ca="1"/>
      </c>
      <c r="AJ1545">
        <f ca="1"/>
      </c>
      <c r="AK1545">
        <f ca="1"/>
      </c>
      <c r="AL1545">
        <f ca="1"/>
      </c>
      <c r="AM1545">
        <f ca="1"/>
      </c>
      <c r="AN1545">
        <f ca="1"/>
      </c>
      <c r="AO1545">
        <f ca="1"/>
      </c>
      <c r="AP1545">
        <f ca="1"/>
      </c>
      <c r="AQ1545">
        <f ca="1"/>
      </c>
      <c r="AR1545">
        <f ca="1"/>
      </c>
      <c r="AT1545" s="7">
        <f ca="1"/>
      </c>
      <c r="AU1545">
        <f ca="1"/>
      </c>
      <c r="AV1545">
        <f ca="1"/>
      </c>
      <c r="AW1545">
        <f ca="1"/>
      </c>
      <c r="AX1545">
        <f ca="1"/>
      </c>
      <c r="AY1545">
        <f ca="1"/>
      </c>
      <c r="BA1545" s="7"/>
    </row>
    <row r="1546" spans="31:53" x14ac:dyDescent="0.55000000000000004">
      <c r="AE1546" s="7">
        <f ca="1"/>
      </c>
      <c r="AF1546">
        <f ca="1"/>
      </c>
      <c r="AG1546">
        <f ca="1"/>
      </c>
      <c r="AH1546">
        <f ca="1"/>
      </c>
      <c r="AI1546">
        <f ca="1"/>
      </c>
      <c r="AJ1546">
        <f ca="1"/>
      </c>
      <c r="AK1546">
        <f ca="1"/>
      </c>
      <c r="AL1546">
        <f ca="1"/>
      </c>
      <c r="AM1546">
        <f ca="1"/>
      </c>
      <c r="AN1546">
        <f ca="1"/>
      </c>
      <c r="AO1546">
        <f ca="1"/>
      </c>
      <c r="AP1546">
        <f ca="1"/>
      </c>
      <c r="AQ1546">
        <f ca="1"/>
      </c>
      <c r="AR1546">
        <f ca="1"/>
      </c>
      <c r="AT1546" s="7">
        <f ca="1"/>
      </c>
      <c r="AU1546">
        <f ca="1"/>
      </c>
      <c r="AV1546">
        <f ca="1"/>
      </c>
      <c r="AW1546">
        <f ca="1"/>
      </c>
      <c r="AX1546">
        <f ca="1"/>
      </c>
      <c r="AY1546">
        <f ca="1"/>
      </c>
      <c r="BA1546" s="7"/>
    </row>
    <row r="1547" spans="31:53" x14ac:dyDescent="0.55000000000000004">
      <c r="AE1547" s="7">
        <f ca="1"/>
      </c>
      <c r="AF1547">
        <f ca="1"/>
      </c>
      <c r="AG1547">
        <f ca="1"/>
      </c>
      <c r="AH1547">
        <f ca="1"/>
      </c>
      <c r="AI1547">
        <f ca="1"/>
      </c>
      <c r="AJ1547">
        <f ca="1"/>
      </c>
      <c r="AK1547">
        <f ca="1"/>
      </c>
      <c r="AL1547">
        <f ca="1"/>
      </c>
      <c r="AM1547">
        <f ca="1"/>
      </c>
      <c r="AN1547">
        <f ca="1"/>
      </c>
      <c r="AO1547">
        <f ca="1"/>
      </c>
      <c r="AP1547">
        <f ca="1"/>
      </c>
      <c r="AQ1547">
        <f ca="1"/>
      </c>
      <c r="AR1547">
        <f ca="1"/>
      </c>
      <c r="AT1547" s="7">
        <f ca="1"/>
      </c>
      <c r="AU1547">
        <f ca="1"/>
      </c>
      <c r="AV1547">
        <f ca="1"/>
      </c>
      <c r="AW1547">
        <f ca="1"/>
      </c>
      <c r="AX1547">
        <f ca="1"/>
      </c>
      <c r="AY1547">
        <f ca="1"/>
      </c>
      <c r="BA1547" s="7"/>
    </row>
    <row r="1548" spans="31:53" x14ac:dyDescent="0.55000000000000004">
      <c r="AE1548" s="7">
        <f ca="1"/>
      </c>
      <c r="AF1548">
        <f ca="1"/>
      </c>
      <c r="AG1548">
        <f ca="1"/>
      </c>
      <c r="AH1548">
        <f ca="1"/>
      </c>
      <c r="AI1548">
        <f ca="1"/>
      </c>
      <c r="AJ1548">
        <f ca="1"/>
      </c>
      <c r="AK1548">
        <f ca="1"/>
      </c>
      <c r="AL1548">
        <f ca="1"/>
      </c>
      <c r="AM1548">
        <f ca="1"/>
      </c>
      <c r="AN1548">
        <f ca="1"/>
      </c>
      <c r="AO1548">
        <f ca="1"/>
      </c>
      <c r="AP1548">
        <f ca="1"/>
      </c>
      <c r="AQ1548">
        <f ca="1"/>
      </c>
      <c r="AR1548">
        <f ca="1"/>
      </c>
      <c r="AT1548" s="7">
        <f ca="1"/>
      </c>
      <c r="AU1548">
        <f ca="1"/>
      </c>
      <c r="AV1548">
        <f ca="1"/>
      </c>
      <c r="AW1548">
        <f ca="1"/>
      </c>
      <c r="AX1548">
        <f ca="1"/>
      </c>
      <c r="AY1548">
        <f ca="1"/>
      </c>
      <c r="BA1548" s="7"/>
    </row>
    <row r="1549" spans="31:53" x14ac:dyDescent="0.55000000000000004">
      <c r="AE1549" s="7">
        <f ca="1"/>
      </c>
      <c r="AF1549">
        <f ca="1"/>
      </c>
      <c r="AG1549">
        <f ca="1"/>
      </c>
      <c r="AH1549">
        <f ca="1"/>
      </c>
      <c r="AI1549">
        <f ca="1"/>
      </c>
      <c r="AJ1549">
        <f ca="1"/>
      </c>
      <c r="AK1549">
        <f ca="1"/>
      </c>
      <c r="AL1549">
        <f ca="1"/>
      </c>
      <c r="AM1549">
        <f ca="1"/>
      </c>
      <c r="AN1549">
        <f ca="1"/>
      </c>
      <c r="AO1549">
        <f ca="1"/>
      </c>
      <c r="AP1549">
        <f ca="1"/>
      </c>
      <c r="AQ1549">
        <f ca="1"/>
      </c>
      <c r="AR1549">
        <f ca="1"/>
      </c>
      <c r="AT1549" s="7">
        <f ca="1"/>
      </c>
      <c r="AU1549">
        <f ca="1"/>
      </c>
      <c r="AV1549">
        <f ca="1"/>
      </c>
      <c r="AW1549">
        <f ca="1"/>
      </c>
      <c r="AX1549">
        <f ca="1"/>
      </c>
      <c r="AY1549">
        <f ca="1"/>
      </c>
      <c r="BA1549" s="7"/>
    </row>
    <row r="1550" spans="31:53" x14ac:dyDescent="0.55000000000000004">
      <c r="AE1550" s="7">
        <f ca="1"/>
      </c>
      <c r="AF1550">
        <f ca="1"/>
      </c>
      <c r="AG1550">
        <f ca="1"/>
      </c>
      <c r="AH1550">
        <f ca="1"/>
      </c>
      <c r="AI1550">
        <f ca="1"/>
      </c>
      <c r="AJ1550">
        <f ca="1"/>
      </c>
      <c r="AK1550">
        <f ca="1"/>
      </c>
      <c r="AL1550">
        <f ca="1"/>
      </c>
      <c r="AM1550">
        <f ca="1"/>
      </c>
      <c r="AN1550">
        <f ca="1"/>
      </c>
      <c r="AO1550">
        <f ca="1"/>
      </c>
      <c r="AP1550">
        <f ca="1"/>
      </c>
      <c r="AQ1550">
        <f ca="1"/>
      </c>
      <c r="AR1550">
        <f ca="1"/>
      </c>
      <c r="AT1550" s="7">
        <f ca="1"/>
      </c>
      <c r="AU1550">
        <f ca="1"/>
      </c>
      <c r="AV1550">
        <f ca="1"/>
      </c>
      <c r="AW1550">
        <f ca="1"/>
      </c>
      <c r="AX1550">
        <f ca="1"/>
      </c>
      <c r="AY1550">
        <f ca="1"/>
      </c>
      <c r="BA1550" s="7"/>
    </row>
    <row r="1551" spans="31:53" x14ac:dyDescent="0.55000000000000004">
      <c r="AE1551" s="7">
        <f ca="1"/>
      </c>
      <c r="AF1551">
        <f ca="1"/>
      </c>
      <c r="AG1551">
        <f ca="1"/>
      </c>
      <c r="AH1551">
        <f ca="1"/>
      </c>
      <c r="AI1551">
        <f ca="1"/>
      </c>
      <c r="AJ1551">
        <f ca="1"/>
      </c>
      <c r="AK1551">
        <f ca="1"/>
      </c>
      <c r="AL1551">
        <f ca="1"/>
      </c>
      <c r="AM1551">
        <f ca="1"/>
      </c>
      <c r="AN1551">
        <f ca="1"/>
      </c>
      <c r="AO1551">
        <f ca="1"/>
      </c>
      <c r="AP1551">
        <f ca="1"/>
      </c>
      <c r="AQ1551">
        <f ca="1"/>
      </c>
      <c r="AR1551">
        <f ca="1"/>
      </c>
      <c r="AT1551" s="7">
        <f ca="1"/>
      </c>
      <c r="AU1551">
        <f ca="1"/>
      </c>
      <c r="AV1551">
        <f ca="1"/>
      </c>
      <c r="AW1551">
        <f ca="1"/>
      </c>
      <c r="AX1551">
        <f ca="1"/>
      </c>
      <c r="AY1551">
        <f ca="1"/>
      </c>
      <c r="BA1551" s="7"/>
    </row>
    <row r="1552" spans="31:53" x14ac:dyDescent="0.55000000000000004">
      <c r="AE1552" s="7">
        <f ca="1"/>
      </c>
      <c r="AF1552">
        <f ca="1"/>
      </c>
      <c r="AG1552">
        <f ca="1"/>
      </c>
      <c r="AH1552">
        <f ca="1"/>
      </c>
      <c r="AI1552">
        <f ca="1"/>
      </c>
      <c r="AJ1552">
        <f ca="1"/>
      </c>
      <c r="AK1552">
        <f ca="1"/>
      </c>
      <c r="AL1552">
        <f ca="1"/>
      </c>
      <c r="AM1552">
        <f ca="1"/>
      </c>
      <c r="AN1552">
        <f ca="1"/>
      </c>
      <c r="AO1552">
        <f ca="1"/>
      </c>
      <c r="AP1552">
        <f ca="1"/>
      </c>
      <c r="AQ1552">
        <f ca="1"/>
      </c>
      <c r="AR1552">
        <f ca="1"/>
      </c>
      <c r="AT1552" s="7">
        <f ca="1"/>
      </c>
      <c r="AU1552">
        <f ca="1"/>
      </c>
      <c r="AV1552">
        <f ca="1"/>
      </c>
      <c r="AW1552">
        <f ca="1"/>
      </c>
      <c r="AX1552">
        <f ca="1"/>
      </c>
      <c r="AY1552">
        <f ca="1"/>
      </c>
      <c r="BA1552" s="7"/>
    </row>
    <row r="1553" spans="31:53" x14ac:dyDescent="0.55000000000000004">
      <c r="AE1553" s="7">
        <f ca="1"/>
      </c>
      <c r="AF1553">
        <f ca="1"/>
      </c>
      <c r="AG1553">
        <f ca="1"/>
      </c>
      <c r="AH1553">
        <f ca="1"/>
      </c>
      <c r="AI1553">
        <f ca="1"/>
      </c>
      <c r="AJ1553">
        <f ca="1"/>
      </c>
      <c r="AK1553">
        <f ca="1"/>
      </c>
      <c r="AL1553">
        <f ca="1"/>
      </c>
      <c r="AM1553">
        <f ca="1"/>
      </c>
      <c r="AN1553">
        <f ca="1"/>
      </c>
      <c r="AO1553">
        <f ca="1"/>
      </c>
      <c r="AP1553">
        <f ca="1"/>
      </c>
      <c r="AQ1553">
        <f ca="1"/>
      </c>
      <c r="AR1553">
        <f ca="1"/>
      </c>
      <c r="AT1553" s="7">
        <f ca="1"/>
      </c>
      <c r="AU1553">
        <f ca="1"/>
      </c>
      <c r="AV1553">
        <f ca="1"/>
      </c>
      <c r="AW1553">
        <f ca="1"/>
      </c>
      <c r="AX1553">
        <f ca="1"/>
      </c>
      <c r="AY1553">
        <f ca="1"/>
      </c>
      <c r="BA1553" s="7"/>
    </row>
    <row r="1554" spans="31:53" x14ac:dyDescent="0.55000000000000004">
      <c r="AE1554" s="7">
        <f ca="1"/>
      </c>
      <c r="AF1554">
        <f ca="1"/>
      </c>
      <c r="AG1554">
        <f ca="1"/>
      </c>
      <c r="AH1554">
        <f ca="1"/>
      </c>
      <c r="AI1554">
        <f ca="1"/>
      </c>
      <c r="AJ1554">
        <f ca="1"/>
      </c>
      <c r="AK1554">
        <f ca="1"/>
      </c>
      <c r="AL1554">
        <f ca="1"/>
      </c>
      <c r="AM1554">
        <f ca="1"/>
      </c>
      <c r="AN1554">
        <f ca="1"/>
      </c>
      <c r="AO1554">
        <f ca="1"/>
      </c>
      <c r="AP1554">
        <f ca="1"/>
      </c>
      <c r="AQ1554">
        <f ca="1"/>
      </c>
      <c r="AR1554">
        <f ca="1"/>
      </c>
      <c r="AT1554" s="7">
        <f ca="1"/>
      </c>
      <c r="AU1554">
        <f ca="1"/>
      </c>
      <c r="AV1554">
        <f ca="1"/>
      </c>
      <c r="AW1554">
        <f ca="1"/>
      </c>
      <c r="AX1554">
        <f ca="1"/>
      </c>
      <c r="AY1554">
        <f ca="1"/>
      </c>
      <c r="BA1554" s="7"/>
    </row>
    <row r="1555" spans="31:53" x14ac:dyDescent="0.55000000000000004">
      <c r="AE1555" s="7">
        <f ca="1"/>
      </c>
      <c r="AF1555">
        <f ca="1"/>
      </c>
      <c r="AG1555">
        <f ca="1"/>
      </c>
      <c r="AH1555">
        <f ca="1"/>
      </c>
      <c r="AI1555">
        <f ca="1"/>
      </c>
      <c r="AJ1555">
        <f ca="1"/>
      </c>
      <c r="AK1555">
        <f ca="1"/>
      </c>
      <c r="AL1555">
        <f ca="1"/>
      </c>
      <c r="AM1555">
        <f ca="1"/>
      </c>
      <c r="AN1555">
        <f ca="1"/>
      </c>
      <c r="AO1555">
        <f ca="1"/>
      </c>
      <c r="AP1555">
        <f ca="1"/>
      </c>
      <c r="AQ1555">
        <f ca="1"/>
      </c>
      <c r="AR1555">
        <f ca="1"/>
      </c>
      <c r="AT1555" s="7">
        <f ca="1"/>
      </c>
      <c r="AU1555">
        <f ca="1"/>
      </c>
      <c r="AV1555">
        <f ca="1"/>
      </c>
      <c r="AW1555">
        <f ca="1"/>
      </c>
      <c r="AX1555">
        <f ca="1"/>
      </c>
      <c r="AY1555">
        <f ca="1"/>
      </c>
      <c r="BA1555" s="7"/>
    </row>
    <row r="1556" spans="31:53" x14ac:dyDescent="0.55000000000000004">
      <c r="AE1556" s="7">
        <f ca="1"/>
      </c>
      <c r="AF1556">
        <f ca="1"/>
      </c>
      <c r="AG1556">
        <f ca="1"/>
      </c>
      <c r="AH1556">
        <f ca="1"/>
      </c>
      <c r="AI1556">
        <f ca="1"/>
      </c>
      <c r="AJ1556">
        <f ca="1"/>
      </c>
      <c r="AK1556">
        <f ca="1"/>
      </c>
      <c r="AL1556">
        <f ca="1"/>
      </c>
      <c r="AM1556">
        <f ca="1"/>
      </c>
      <c r="AN1556">
        <f ca="1"/>
      </c>
      <c r="AO1556">
        <f ca="1"/>
      </c>
      <c r="AP1556">
        <f ca="1"/>
      </c>
      <c r="AQ1556">
        <f ca="1"/>
      </c>
      <c r="AR1556">
        <f ca="1"/>
      </c>
      <c r="AT1556" s="7">
        <f ca="1"/>
      </c>
      <c r="AU1556">
        <f ca="1"/>
      </c>
      <c r="AV1556">
        <f ca="1"/>
      </c>
      <c r="AW1556">
        <f ca="1"/>
      </c>
      <c r="AX1556">
        <f ca="1"/>
      </c>
      <c r="AY1556">
        <f ca="1"/>
      </c>
      <c r="BA1556" s="7"/>
    </row>
    <row r="1557" spans="31:53" x14ac:dyDescent="0.55000000000000004">
      <c r="AE1557" s="7">
        <f ca="1"/>
      </c>
      <c r="AF1557">
        <f ca="1"/>
      </c>
      <c r="AG1557">
        <f ca="1"/>
      </c>
      <c r="AH1557">
        <f ca="1"/>
      </c>
      <c r="AI1557">
        <f ca="1"/>
      </c>
      <c r="AJ1557">
        <f ca="1"/>
      </c>
      <c r="AK1557">
        <f ca="1"/>
      </c>
      <c r="AL1557">
        <f ca="1"/>
      </c>
      <c r="AM1557">
        <f ca="1"/>
      </c>
      <c r="AN1557">
        <f ca="1"/>
      </c>
      <c r="AO1557">
        <f ca="1"/>
      </c>
      <c r="AP1557">
        <f ca="1"/>
      </c>
      <c r="AQ1557">
        <f ca="1"/>
      </c>
      <c r="AR1557">
        <f ca="1"/>
      </c>
      <c r="AT1557" s="7">
        <f ca="1"/>
      </c>
      <c r="AU1557">
        <f ca="1"/>
      </c>
      <c r="AV1557">
        <f ca="1"/>
      </c>
      <c r="AW1557">
        <f ca="1"/>
      </c>
      <c r="AX1557">
        <f ca="1"/>
      </c>
      <c r="AY1557">
        <f ca="1"/>
      </c>
      <c r="BA1557" s="7"/>
    </row>
    <row r="1558" spans="31:53" x14ac:dyDescent="0.55000000000000004">
      <c r="AE1558" s="7">
        <f ca="1"/>
      </c>
      <c r="AF1558">
        <f ca="1"/>
      </c>
      <c r="AG1558">
        <f ca="1"/>
      </c>
      <c r="AH1558">
        <f ca="1"/>
      </c>
      <c r="AI1558">
        <f ca="1"/>
      </c>
      <c r="AJ1558">
        <f ca="1"/>
      </c>
      <c r="AK1558">
        <f ca="1"/>
      </c>
      <c r="AL1558">
        <f ca="1"/>
      </c>
      <c r="AM1558">
        <f ca="1"/>
      </c>
      <c r="AN1558">
        <f ca="1"/>
      </c>
      <c r="AO1558">
        <f ca="1"/>
      </c>
      <c r="AP1558">
        <f ca="1"/>
      </c>
      <c r="AQ1558">
        <f ca="1"/>
      </c>
      <c r="AR1558">
        <f ca="1"/>
      </c>
      <c r="AT1558" s="7">
        <f ca="1"/>
      </c>
      <c r="AU1558">
        <f ca="1"/>
      </c>
      <c r="AV1558">
        <f ca="1"/>
      </c>
      <c r="AW1558">
        <f ca="1"/>
      </c>
      <c r="AX1558">
        <f ca="1"/>
      </c>
      <c r="AY1558">
        <f ca="1"/>
      </c>
      <c r="BA1558" s="7"/>
    </row>
    <row r="1559" spans="31:53" x14ac:dyDescent="0.55000000000000004">
      <c r="AE1559" s="7">
        <f ca="1"/>
      </c>
      <c r="AF1559">
        <f ca="1"/>
      </c>
      <c r="AG1559">
        <f ca="1"/>
      </c>
      <c r="AH1559">
        <f ca="1"/>
      </c>
      <c r="AI1559">
        <f ca="1"/>
      </c>
      <c r="AJ1559">
        <f ca="1"/>
      </c>
      <c r="AK1559">
        <f ca="1"/>
      </c>
      <c r="AL1559">
        <f ca="1"/>
      </c>
      <c r="AM1559">
        <f ca="1"/>
      </c>
      <c r="AN1559">
        <f ca="1"/>
      </c>
      <c r="AO1559">
        <f ca="1"/>
      </c>
      <c r="AP1559">
        <f ca="1"/>
      </c>
      <c r="AQ1559">
        <f ca="1"/>
      </c>
      <c r="AR1559">
        <f ca="1"/>
      </c>
      <c r="AT1559" s="7">
        <f ca="1"/>
      </c>
      <c r="AU1559">
        <f ca="1"/>
      </c>
      <c r="AV1559">
        <f ca="1"/>
      </c>
      <c r="AW1559">
        <f ca="1"/>
      </c>
      <c r="AX1559">
        <f ca="1"/>
      </c>
      <c r="AY1559">
        <f ca="1"/>
      </c>
      <c r="BA1559" s="7"/>
    </row>
    <row r="1560" spans="31:53" x14ac:dyDescent="0.55000000000000004">
      <c r="AE1560" s="7">
        <f ca="1"/>
      </c>
      <c r="AF1560">
        <f ca="1"/>
      </c>
      <c r="AG1560">
        <f ca="1"/>
      </c>
      <c r="AH1560">
        <f ca="1"/>
      </c>
      <c r="AI1560">
        <f ca="1"/>
      </c>
      <c r="AJ1560">
        <f ca="1"/>
      </c>
      <c r="AK1560">
        <f ca="1"/>
      </c>
      <c r="AL1560">
        <f ca="1"/>
      </c>
      <c r="AM1560">
        <f ca="1"/>
      </c>
      <c r="AN1560">
        <f ca="1"/>
      </c>
      <c r="AO1560">
        <f ca="1"/>
      </c>
      <c r="AP1560">
        <f ca="1"/>
      </c>
      <c r="AQ1560">
        <f ca="1"/>
      </c>
      <c r="AR1560">
        <f ca="1"/>
      </c>
      <c r="AT1560" s="7">
        <f ca="1"/>
      </c>
      <c r="AU1560">
        <f ca="1"/>
      </c>
      <c r="AV1560">
        <f ca="1"/>
      </c>
      <c r="AW1560">
        <f ca="1"/>
      </c>
      <c r="AX1560">
        <f ca="1"/>
      </c>
      <c r="AY1560">
        <f ca="1"/>
      </c>
      <c r="BA1560" s="7"/>
    </row>
    <row r="1561" spans="31:53" x14ac:dyDescent="0.55000000000000004">
      <c r="AE1561" s="7">
        <f ca="1"/>
      </c>
      <c r="AF1561">
        <f ca="1"/>
      </c>
      <c r="AG1561">
        <f ca="1"/>
      </c>
      <c r="AH1561">
        <f ca="1"/>
      </c>
      <c r="AI1561">
        <f ca="1"/>
      </c>
      <c r="AJ1561">
        <f ca="1"/>
      </c>
      <c r="AK1561">
        <f ca="1"/>
      </c>
      <c r="AL1561">
        <f ca="1"/>
      </c>
      <c r="AM1561">
        <f ca="1"/>
      </c>
      <c r="AN1561">
        <f ca="1"/>
      </c>
      <c r="AO1561">
        <f ca="1"/>
      </c>
      <c r="AP1561">
        <f ca="1"/>
      </c>
      <c r="AQ1561">
        <f ca="1"/>
      </c>
      <c r="AR1561">
        <f ca="1"/>
      </c>
      <c r="AT1561" s="7">
        <f ca="1"/>
      </c>
      <c r="AU1561">
        <f ca="1"/>
      </c>
      <c r="AV1561">
        <f ca="1"/>
      </c>
      <c r="AW1561">
        <f ca="1"/>
      </c>
      <c r="AX1561">
        <f ca="1"/>
      </c>
      <c r="AY1561">
        <f ca="1"/>
      </c>
      <c r="BA1561" s="7"/>
    </row>
    <row r="1562" spans="31:53" x14ac:dyDescent="0.55000000000000004">
      <c r="AE1562" s="7">
        <f ca="1"/>
      </c>
      <c r="AF1562">
        <f ca="1"/>
      </c>
      <c r="AG1562">
        <f ca="1"/>
      </c>
      <c r="AH1562">
        <f ca="1"/>
      </c>
      <c r="AI1562">
        <f ca="1"/>
      </c>
      <c r="AJ1562">
        <f ca="1"/>
      </c>
      <c r="AK1562">
        <f ca="1"/>
      </c>
      <c r="AL1562">
        <f ca="1"/>
      </c>
      <c r="AM1562">
        <f ca="1"/>
      </c>
      <c r="AN1562">
        <f ca="1"/>
      </c>
      <c r="AO1562">
        <f ca="1"/>
      </c>
      <c r="AP1562">
        <f ca="1"/>
      </c>
      <c r="AQ1562">
        <f ca="1"/>
      </c>
      <c r="AR1562">
        <f ca="1"/>
      </c>
      <c r="AT1562" s="7">
        <f ca="1"/>
      </c>
      <c r="AU1562">
        <f ca="1"/>
      </c>
      <c r="AV1562">
        <f ca="1"/>
      </c>
      <c r="AW1562">
        <f ca="1"/>
      </c>
      <c r="AX1562">
        <f ca="1"/>
      </c>
      <c r="AY1562">
        <f ca="1"/>
      </c>
      <c r="BA1562" s="7"/>
    </row>
    <row r="1563" spans="31:53" x14ac:dyDescent="0.55000000000000004">
      <c r="AE1563" s="7">
        <f ca="1"/>
      </c>
      <c r="AF1563">
        <f ca="1"/>
      </c>
      <c r="AG1563">
        <f ca="1"/>
      </c>
      <c r="AH1563">
        <f ca="1"/>
      </c>
      <c r="AI1563">
        <f ca="1"/>
      </c>
      <c r="AJ1563">
        <f ca="1"/>
      </c>
      <c r="AK1563">
        <f ca="1"/>
      </c>
      <c r="AL1563">
        <f ca="1"/>
      </c>
      <c r="AM1563">
        <f ca="1"/>
      </c>
      <c r="AN1563">
        <f ca="1"/>
      </c>
      <c r="AO1563">
        <f ca="1"/>
      </c>
      <c r="AP1563">
        <f ca="1"/>
      </c>
      <c r="AQ1563">
        <f ca="1"/>
      </c>
      <c r="AR1563">
        <f ca="1"/>
      </c>
      <c r="AT1563" s="7">
        <f ca="1"/>
      </c>
      <c r="AU1563">
        <f ca="1"/>
      </c>
      <c r="AV1563">
        <f ca="1"/>
      </c>
      <c r="AW1563">
        <f ca="1"/>
      </c>
      <c r="AX1563">
        <f ca="1"/>
      </c>
      <c r="AY1563">
        <f ca="1"/>
      </c>
      <c r="BA1563" s="7"/>
    </row>
    <row r="1564" spans="31:53" x14ac:dyDescent="0.55000000000000004">
      <c r="AE1564" s="7">
        <f ca="1"/>
      </c>
      <c r="AF1564">
        <f ca="1"/>
      </c>
      <c r="AG1564">
        <f ca="1"/>
      </c>
      <c r="AH1564">
        <f ca="1"/>
      </c>
      <c r="AI1564">
        <f ca="1"/>
      </c>
      <c r="AJ1564">
        <f ca="1"/>
      </c>
      <c r="AK1564">
        <f ca="1"/>
      </c>
      <c r="AL1564">
        <f ca="1"/>
      </c>
      <c r="AM1564">
        <f ca="1"/>
      </c>
      <c r="AN1564">
        <f ca="1"/>
      </c>
      <c r="AO1564">
        <f ca="1"/>
      </c>
      <c r="AP1564">
        <f ca="1"/>
      </c>
      <c r="AQ1564">
        <f ca="1"/>
      </c>
      <c r="AR1564">
        <f ca="1"/>
      </c>
      <c r="AT1564" s="7">
        <f ca="1"/>
      </c>
      <c r="AU1564">
        <f ca="1"/>
      </c>
      <c r="AV1564">
        <f ca="1"/>
      </c>
      <c r="AW1564">
        <f ca="1"/>
      </c>
      <c r="AX1564">
        <f ca="1"/>
      </c>
      <c r="AY1564">
        <f ca="1"/>
      </c>
      <c r="BA1564" s="7"/>
    </row>
    <row r="1565" spans="31:53" x14ac:dyDescent="0.55000000000000004">
      <c r="AE1565" s="7">
        <f ca="1"/>
      </c>
      <c r="AF1565">
        <f ca="1"/>
      </c>
      <c r="AG1565">
        <f ca="1"/>
      </c>
      <c r="AH1565">
        <f ca="1"/>
      </c>
      <c r="AI1565">
        <f ca="1"/>
      </c>
      <c r="AJ1565">
        <f ca="1"/>
      </c>
      <c r="AK1565">
        <f ca="1"/>
      </c>
      <c r="AL1565">
        <f ca="1"/>
      </c>
      <c r="AM1565">
        <f ca="1"/>
      </c>
      <c r="AN1565">
        <f ca="1"/>
      </c>
      <c r="AO1565">
        <f ca="1"/>
      </c>
      <c r="AP1565">
        <f ca="1"/>
      </c>
      <c r="AQ1565">
        <f ca="1"/>
      </c>
      <c r="AR1565">
        <f ca="1"/>
      </c>
      <c r="AT1565" s="7">
        <f ca="1"/>
      </c>
      <c r="AU1565">
        <f ca="1"/>
      </c>
      <c r="AV1565">
        <f ca="1"/>
      </c>
      <c r="AW1565">
        <f ca="1"/>
      </c>
      <c r="AX1565">
        <f ca="1"/>
      </c>
      <c r="AY1565">
        <f ca="1"/>
      </c>
      <c r="BA1565" s="7"/>
    </row>
    <row r="1566" spans="31:53" x14ac:dyDescent="0.55000000000000004">
      <c r="AE1566" s="7">
        <f ca="1"/>
      </c>
      <c r="AF1566">
        <f ca="1"/>
      </c>
      <c r="AG1566">
        <f ca="1"/>
      </c>
      <c r="AH1566">
        <f ca="1"/>
      </c>
      <c r="AI1566">
        <f ca="1"/>
      </c>
      <c r="AJ1566">
        <f ca="1"/>
      </c>
      <c r="AK1566">
        <f ca="1"/>
      </c>
      <c r="AL1566">
        <f ca="1"/>
      </c>
      <c r="AM1566">
        <f ca="1"/>
      </c>
      <c r="AN1566">
        <f ca="1"/>
      </c>
      <c r="AO1566">
        <f ca="1"/>
      </c>
      <c r="AP1566">
        <f ca="1"/>
      </c>
      <c r="AQ1566">
        <f ca="1"/>
      </c>
      <c r="AR1566">
        <f ca="1"/>
      </c>
      <c r="AT1566" s="7">
        <f ca="1"/>
      </c>
      <c r="AU1566">
        <f ca="1"/>
      </c>
      <c r="AV1566">
        <f ca="1"/>
      </c>
      <c r="AW1566">
        <f ca="1"/>
      </c>
      <c r="AX1566">
        <f ca="1"/>
      </c>
      <c r="AY1566">
        <f ca="1"/>
      </c>
      <c r="BA1566" s="7"/>
    </row>
    <row r="1567" spans="31:53" x14ac:dyDescent="0.55000000000000004">
      <c r="AE1567" s="7">
        <f ca="1"/>
      </c>
      <c r="AF1567">
        <f ca="1"/>
      </c>
      <c r="AG1567">
        <f ca="1"/>
      </c>
      <c r="AH1567">
        <f ca="1"/>
      </c>
      <c r="AI1567">
        <f ca="1"/>
      </c>
      <c r="AJ1567">
        <f ca="1"/>
      </c>
      <c r="AK1567">
        <f ca="1"/>
      </c>
      <c r="AL1567">
        <f ca="1"/>
      </c>
      <c r="AM1567">
        <f ca="1"/>
      </c>
      <c r="AN1567">
        <f ca="1"/>
      </c>
      <c r="AO1567">
        <f ca="1"/>
      </c>
      <c r="AP1567">
        <f ca="1"/>
      </c>
      <c r="AQ1567">
        <f ca="1"/>
      </c>
      <c r="AR1567">
        <f ca="1"/>
      </c>
      <c r="AT1567" s="7">
        <f ca="1"/>
      </c>
      <c r="AU1567">
        <f ca="1"/>
      </c>
      <c r="AV1567">
        <f ca="1"/>
      </c>
      <c r="AW1567">
        <f ca="1"/>
      </c>
      <c r="AX1567">
        <f ca="1"/>
      </c>
      <c r="AY1567">
        <f ca="1"/>
      </c>
      <c r="BA1567" s="7"/>
    </row>
    <row r="1568" spans="31:53" x14ac:dyDescent="0.55000000000000004">
      <c r="AE1568" s="7">
        <f ca="1"/>
      </c>
      <c r="AF1568">
        <f ca="1"/>
      </c>
      <c r="AG1568">
        <f ca="1"/>
      </c>
      <c r="AH1568">
        <f ca="1"/>
      </c>
      <c r="AI1568">
        <f ca="1"/>
      </c>
      <c r="AJ1568">
        <f ca="1"/>
      </c>
      <c r="AK1568">
        <f ca="1"/>
      </c>
      <c r="AL1568">
        <f ca="1"/>
      </c>
      <c r="AM1568">
        <f ca="1"/>
      </c>
      <c r="AN1568">
        <f ca="1"/>
      </c>
      <c r="AO1568">
        <f ca="1"/>
      </c>
      <c r="AP1568">
        <f ca="1"/>
      </c>
      <c r="AQ1568">
        <f ca="1"/>
      </c>
      <c r="AR1568">
        <f ca="1"/>
      </c>
      <c r="AT1568" s="7">
        <f ca="1"/>
      </c>
      <c r="AU1568">
        <f ca="1"/>
      </c>
      <c r="AV1568">
        <f ca="1"/>
      </c>
      <c r="AW1568">
        <f ca="1"/>
      </c>
      <c r="AX1568">
        <f ca="1"/>
      </c>
      <c r="AY1568">
        <f ca="1"/>
      </c>
      <c r="BA1568" s="7"/>
    </row>
    <row r="1569" spans="31:53" x14ac:dyDescent="0.55000000000000004">
      <c r="AE1569" s="7">
        <f ca="1"/>
      </c>
      <c r="AF1569">
        <f ca="1"/>
      </c>
      <c r="AG1569">
        <f ca="1"/>
      </c>
      <c r="AH1569">
        <f ca="1"/>
      </c>
      <c r="AI1569">
        <f ca="1"/>
      </c>
      <c r="AJ1569">
        <f ca="1"/>
      </c>
      <c r="AK1569">
        <f ca="1"/>
      </c>
      <c r="AL1569">
        <f ca="1"/>
      </c>
      <c r="AM1569">
        <f ca="1"/>
      </c>
      <c r="AN1569">
        <f ca="1"/>
      </c>
      <c r="AO1569">
        <f ca="1"/>
      </c>
      <c r="AP1569">
        <f ca="1"/>
      </c>
      <c r="AQ1569">
        <f ca="1"/>
      </c>
      <c r="AR1569">
        <f ca="1"/>
      </c>
      <c r="AT1569" s="7">
        <f ca="1"/>
      </c>
      <c r="AU1569">
        <f ca="1"/>
      </c>
      <c r="AV1569">
        <f ca="1"/>
      </c>
      <c r="AW1569">
        <f ca="1"/>
      </c>
      <c r="AX1569">
        <f ca="1"/>
      </c>
      <c r="AY1569">
        <f ca="1"/>
      </c>
      <c r="BA1569" s="7"/>
    </row>
    <row r="1570" spans="31:53" x14ac:dyDescent="0.55000000000000004">
      <c r="AE1570" s="7">
        <f ca="1"/>
      </c>
      <c r="AF1570">
        <f ca="1"/>
      </c>
      <c r="AG1570">
        <f ca="1"/>
      </c>
      <c r="AH1570">
        <f ca="1"/>
      </c>
      <c r="AI1570">
        <f ca="1"/>
      </c>
      <c r="AJ1570">
        <f ca="1"/>
      </c>
      <c r="AK1570">
        <f ca="1"/>
      </c>
      <c r="AL1570">
        <f ca="1"/>
      </c>
      <c r="AM1570">
        <f ca="1"/>
      </c>
      <c r="AN1570">
        <f ca="1"/>
      </c>
      <c r="AO1570">
        <f ca="1"/>
      </c>
      <c r="AP1570">
        <f ca="1"/>
      </c>
      <c r="AQ1570">
        <f ca="1"/>
      </c>
      <c r="AR1570">
        <f ca="1"/>
      </c>
      <c r="AT1570" s="7">
        <f ca="1"/>
      </c>
      <c r="AU1570">
        <f ca="1"/>
      </c>
      <c r="AV1570">
        <f ca="1"/>
      </c>
      <c r="AW1570">
        <f ca="1"/>
      </c>
      <c r="AX1570">
        <f ca="1"/>
      </c>
      <c r="AY1570">
        <f ca="1"/>
      </c>
      <c r="BA1570" s="7"/>
    </row>
    <row r="1571" spans="31:53" x14ac:dyDescent="0.55000000000000004">
      <c r="AE1571" s="7">
        <f ca="1"/>
      </c>
      <c r="AF1571">
        <f ca="1"/>
      </c>
      <c r="AG1571">
        <f ca="1"/>
      </c>
      <c r="AH1571">
        <f ca="1"/>
      </c>
      <c r="AI1571">
        <f ca="1"/>
      </c>
      <c r="AJ1571">
        <f ca="1"/>
      </c>
      <c r="AK1571">
        <f ca="1"/>
      </c>
      <c r="AL1571">
        <f ca="1"/>
      </c>
      <c r="AM1571">
        <f ca="1"/>
      </c>
      <c r="AN1571">
        <f ca="1"/>
      </c>
      <c r="AO1571">
        <f ca="1"/>
      </c>
      <c r="AP1571">
        <f ca="1"/>
      </c>
      <c r="AQ1571">
        <f ca="1"/>
      </c>
      <c r="AR1571">
        <f ca="1"/>
      </c>
      <c r="AT1571" s="7">
        <f ca="1"/>
      </c>
      <c r="AU1571">
        <f ca="1"/>
      </c>
      <c r="AV1571">
        <f ca="1"/>
      </c>
      <c r="AW1571">
        <f ca="1"/>
      </c>
      <c r="AX1571">
        <f ca="1"/>
      </c>
      <c r="AY1571">
        <f ca="1"/>
      </c>
      <c r="BA1571" s="7"/>
    </row>
    <row r="1572" spans="31:53" x14ac:dyDescent="0.55000000000000004">
      <c r="AE1572" s="7">
        <f ca="1"/>
      </c>
      <c r="AF1572">
        <f ca="1"/>
      </c>
      <c r="AG1572">
        <f ca="1"/>
      </c>
      <c r="AH1572">
        <f ca="1"/>
      </c>
      <c r="AI1572">
        <f ca="1"/>
      </c>
      <c r="AJ1572">
        <f ca="1"/>
      </c>
      <c r="AK1572">
        <f ca="1"/>
      </c>
      <c r="AL1572">
        <f ca="1"/>
      </c>
      <c r="AM1572">
        <f ca="1"/>
      </c>
      <c r="AN1572">
        <f ca="1"/>
      </c>
      <c r="AO1572">
        <f ca="1"/>
      </c>
      <c r="AP1572">
        <f ca="1"/>
      </c>
      <c r="AQ1572">
        <f ca="1"/>
      </c>
      <c r="AR1572">
        <f ca="1"/>
      </c>
      <c r="AT1572" s="7">
        <f ca="1"/>
      </c>
      <c r="AU1572">
        <f ca="1"/>
      </c>
      <c r="AV1572">
        <f ca="1"/>
      </c>
      <c r="AW1572">
        <f ca="1"/>
      </c>
      <c r="AX1572">
        <f ca="1"/>
      </c>
      <c r="AY1572">
        <f ca="1"/>
      </c>
      <c r="BA1572" s="7"/>
    </row>
    <row r="1573" spans="31:53" x14ac:dyDescent="0.55000000000000004">
      <c r="AE1573" s="7">
        <f ca="1"/>
      </c>
      <c r="AF1573">
        <f ca="1"/>
      </c>
      <c r="AG1573">
        <f ca="1"/>
      </c>
      <c r="AH1573">
        <f ca="1"/>
      </c>
      <c r="AI1573">
        <f ca="1"/>
      </c>
      <c r="AJ1573">
        <f ca="1"/>
      </c>
      <c r="AK1573">
        <f ca="1"/>
      </c>
      <c r="AL1573">
        <f ca="1"/>
      </c>
      <c r="AM1573">
        <f ca="1"/>
      </c>
      <c r="AN1573">
        <f ca="1"/>
      </c>
      <c r="AO1573">
        <f ca="1"/>
      </c>
      <c r="AP1573">
        <f ca="1"/>
      </c>
      <c r="AQ1573">
        <f ca="1"/>
      </c>
      <c r="AR1573">
        <f ca="1"/>
      </c>
      <c r="AT1573" s="7">
        <f ca="1"/>
      </c>
      <c r="AU1573">
        <f ca="1"/>
      </c>
      <c r="AV1573">
        <f ca="1"/>
      </c>
      <c r="AW1573">
        <f ca="1"/>
      </c>
      <c r="AX1573">
        <f ca="1"/>
      </c>
      <c r="AY1573">
        <f ca="1"/>
      </c>
      <c r="BA1573" s="7"/>
    </row>
    <row r="1574" spans="31:53" x14ac:dyDescent="0.55000000000000004">
      <c r="AE1574" s="7">
        <f ca="1"/>
      </c>
      <c r="AF1574">
        <f ca="1"/>
      </c>
      <c r="AG1574">
        <f ca="1"/>
      </c>
      <c r="AH1574">
        <f ca="1"/>
      </c>
      <c r="AI1574">
        <f ca="1"/>
      </c>
      <c r="AJ1574">
        <f ca="1"/>
      </c>
      <c r="AK1574">
        <f ca="1"/>
      </c>
      <c r="AL1574">
        <f ca="1"/>
      </c>
      <c r="AM1574">
        <f ca="1"/>
      </c>
      <c r="AN1574">
        <f ca="1"/>
      </c>
      <c r="AO1574">
        <f ca="1"/>
      </c>
      <c r="AP1574">
        <f ca="1"/>
      </c>
      <c r="AQ1574">
        <f ca="1"/>
      </c>
      <c r="AR1574">
        <f ca="1"/>
      </c>
      <c r="AT1574" s="7">
        <f ca="1"/>
      </c>
      <c r="AU1574">
        <f ca="1"/>
      </c>
      <c r="AV1574">
        <f ca="1"/>
      </c>
      <c r="AW1574">
        <f ca="1"/>
      </c>
      <c r="AX1574">
        <f ca="1"/>
      </c>
      <c r="AY1574">
        <f ca="1"/>
      </c>
      <c r="BA1574" s="7"/>
    </row>
    <row r="1575" spans="31:53" x14ac:dyDescent="0.55000000000000004">
      <c r="AE1575" s="7">
        <f ca="1"/>
      </c>
      <c r="AF1575">
        <f ca="1"/>
      </c>
      <c r="AG1575">
        <f ca="1"/>
      </c>
      <c r="AH1575">
        <f ca="1"/>
      </c>
      <c r="AI1575">
        <f ca="1"/>
      </c>
      <c r="AJ1575">
        <f ca="1"/>
      </c>
      <c r="AK1575">
        <f ca="1"/>
      </c>
      <c r="AL1575">
        <f ca="1"/>
      </c>
      <c r="AM1575">
        <f ca="1"/>
      </c>
      <c r="AN1575">
        <f ca="1"/>
      </c>
      <c r="AO1575">
        <f ca="1"/>
      </c>
      <c r="AP1575">
        <f ca="1"/>
      </c>
      <c r="AQ1575">
        <f ca="1"/>
      </c>
      <c r="AR1575">
        <f ca="1"/>
      </c>
      <c r="AT1575" s="7">
        <f ca="1"/>
      </c>
      <c r="AU1575">
        <f ca="1"/>
      </c>
      <c r="AV1575">
        <f ca="1"/>
      </c>
      <c r="AW1575">
        <f ca="1"/>
      </c>
      <c r="AX1575">
        <f ca="1"/>
      </c>
      <c r="AY1575">
        <f ca="1"/>
      </c>
      <c r="BA1575" s="7"/>
    </row>
    <row r="1576" spans="31:53" x14ac:dyDescent="0.55000000000000004">
      <c r="AE1576" s="7">
        <f ca="1"/>
      </c>
      <c r="AF1576">
        <f ca="1"/>
      </c>
      <c r="AG1576">
        <f ca="1"/>
      </c>
      <c r="AH1576">
        <f ca="1"/>
      </c>
      <c r="AI1576">
        <f ca="1"/>
      </c>
      <c r="AJ1576">
        <f ca="1"/>
      </c>
      <c r="AK1576">
        <f ca="1"/>
      </c>
      <c r="AL1576">
        <f ca="1"/>
      </c>
      <c r="AM1576">
        <f ca="1"/>
      </c>
      <c r="AN1576">
        <f ca="1"/>
      </c>
      <c r="AO1576">
        <f ca="1"/>
      </c>
      <c r="AP1576">
        <f ca="1"/>
      </c>
      <c r="AQ1576">
        <f ca="1"/>
      </c>
      <c r="AR1576">
        <f ca="1"/>
      </c>
      <c r="AT1576" s="7">
        <f ca="1"/>
      </c>
      <c r="AU1576">
        <f ca="1"/>
      </c>
      <c r="AV1576">
        <f ca="1"/>
      </c>
      <c r="AW1576">
        <f ca="1"/>
      </c>
      <c r="AX1576">
        <f ca="1"/>
      </c>
      <c r="AY1576">
        <f ca="1"/>
      </c>
      <c r="BA1576" s="7"/>
    </row>
    <row r="1577" spans="31:53" x14ac:dyDescent="0.55000000000000004">
      <c r="AE1577" s="7">
        <f ca="1"/>
      </c>
      <c r="AF1577">
        <f ca="1"/>
      </c>
      <c r="AG1577">
        <f ca="1"/>
      </c>
      <c r="AH1577">
        <f ca="1"/>
      </c>
      <c r="AI1577">
        <f ca="1"/>
      </c>
      <c r="AJ1577">
        <f ca="1"/>
      </c>
      <c r="AK1577">
        <f ca="1"/>
      </c>
      <c r="AL1577">
        <f ca="1"/>
      </c>
      <c r="AM1577">
        <f ca="1"/>
      </c>
      <c r="AN1577">
        <f ca="1"/>
      </c>
      <c r="AO1577">
        <f ca="1"/>
      </c>
      <c r="AP1577">
        <f ca="1"/>
      </c>
      <c r="AQ1577">
        <f ca="1"/>
      </c>
      <c r="AR1577">
        <f ca="1"/>
      </c>
      <c r="AT1577" s="7">
        <f ca="1"/>
      </c>
      <c r="AU1577">
        <f ca="1"/>
      </c>
      <c r="AV1577">
        <f ca="1"/>
      </c>
      <c r="AW1577">
        <f ca="1"/>
      </c>
      <c r="AX1577">
        <f ca="1"/>
      </c>
      <c r="AY1577">
        <f ca="1"/>
      </c>
      <c r="BA1577" s="7"/>
    </row>
    <row r="1578" spans="31:53" x14ac:dyDescent="0.55000000000000004">
      <c r="AE1578" s="7">
        <f ca="1"/>
      </c>
      <c r="AF1578">
        <f ca="1"/>
      </c>
      <c r="AG1578">
        <f ca="1"/>
      </c>
      <c r="AH1578">
        <f ca="1"/>
      </c>
      <c r="AI1578">
        <f ca="1"/>
      </c>
      <c r="AJ1578">
        <f ca="1"/>
      </c>
      <c r="AK1578">
        <f ca="1"/>
      </c>
      <c r="AL1578">
        <f ca="1"/>
      </c>
      <c r="AM1578">
        <f ca="1"/>
      </c>
      <c r="AN1578">
        <f ca="1"/>
      </c>
      <c r="AO1578">
        <f ca="1"/>
      </c>
      <c r="AP1578">
        <f ca="1"/>
      </c>
      <c r="AQ1578">
        <f ca="1"/>
      </c>
      <c r="AR1578">
        <f ca="1"/>
      </c>
      <c r="AT1578" s="7">
        <f ca="1"/>
      </c>
      <c r="AU1578">
        <f ca="1"/>
      </c>
      <c r="AV1578">
        <f ca="1"/>
      </c>
      <c r="AW1578">
        <f ca="1"/>
      </c>
      <c r="AX1578">
        <f ca="1"/>
      </c>
      <c r="AY1578">
        <f ca="1"/>
      </c>
      <c r="BA1578" s="7"/>
    </row>
    <row r="1579" spans="31:53" x14ac:dyDescent="0.55000000000000004">
      <c r="AE1579" s="7">
        <f ca="1"/>
      </c>
      <c r="AF1579">
        <f ca="1"/>
      </c>
      <c r="AG1579">
        <f ca="1"/>
      </c>
      <c r="AH1579">
        <f ca="1"/>
      </c>
      <c r="AI1579">
        <f ca="1"/>
      </c>
      <c r="AJ1579">
        <f ca="1"/>
      </c>
      <c r="AK1579">
        <f ca="1"/>
      </c>
      <c r="AL1579">
        <f ca="1"/>
      </c>
      <c r="AM1579">
        <f ca="1"/>
      </c>
      <c r="AN1579">
        <f ca="1"/>
      </c>
      <c r="AO1579">
        <f ca="1"/>
      </c>
      <c r="AP1579">
        <f ca="1"/>
      </c>
      <c r="AQ1579">
        <f ca="1"/>
      </c>
      <c r="AR1579">
        <f ca="1"/>
      </c>
      <c r="AT1579" s="7">
        <f ca="1"/>
      </c>
      <c r="AU1579">
        <f ca="1"/>
      </c>
      <c r="AV1579">
        <f ca="1"/>
      </c>
      <c r="AW1579">
        <f ca="1"/>
      </c>
      <c r="AX1579">
        <f ca="1"/>
      </c>
      <c r="AY1579">
        <f ca="1"/>
      </c>
      <c r="BA1579" s="7"/>
    </row>
    <row r="1580" spans="31:53" x14ac:dyDescent="0.55000000000000004">
      <c r="AE1580" s="7">
        <f ca="1"/>
      </c>
      <c r="AF1580">
        <f ca="1"/>
      </c>
      <c r="AG1580">
        <f ca="1"/>
      </c>
      <c r="AH1580">
        <f ca="1"/>
      </c>
      <c r="AI1580">
        <f ca="1"/>
      </c>
      <c r="AJ1580">
        <f ca="1"/>
      </c>
      <c r="AK1580">
        <f ca="1"/>
      </c>
      <c r="AL1580">
        <f ca="1"/>
      </c>
      <c r="AM1580">
        <f ca="1"/>
      </c>
      <c r="AN1580">
        <f ca="1"/>
      </c>
      <c r="AO1580">
        <f ca="1"/>
      </c>
      <c r="AP1580">
        <f ca="1"/>
      </c>
      <c r="AQ1580">
        <f ca="1"/>
      </c>
      <c r="AR1580">
        <f ca="1"/>
      </c>
      <c r="AT1580" s="7">
        <f ca="1"/>
      </c>
      <c r="AU1580">
        <f ca="1"/>
      </c>
      <c r="AV1580">
        <f ca="1"/>
      </c>
      <c r="AW1580">
        <f ca="1"/>
      </c>
      <c r="AX1580">
        <f ca="1"/>
      </c>
      <c r="AY1580">
        <f ca="1"/>
      </c>
      <c r="BA1580" s="7"/>
    </row>
    <row r="1581" spans="31:53" x14ac:dyDescent="0.55000000000000004">
      <c r="AE1581" s="7">
        <f ca="1"/>
      </c>
      <c r="AF1581">
        <f ca="1"/>
      </c>
      <c r="AG1581">
        <f ca="1"/>
      </c>
      <c r="AH1581">
        <f ca="1"/>
      </c>
      <c r="AI1581">
        <f ca="1"/>
      </c>
      <c r="AJ1581">
        <f ca="1"/>
      </c>
      <c r="AK1581">
        <f ca="1"/>
      </c>
      <c r="AL1581">
        <f ca="1"/>
      </c>
      <c r="AM1581">
        <f ca="1"/>
      </c>
      <c r="AN1581">
        <f ca="1"/>
      </c>
      <c r="AO1581">
        <f ca="1"/>
      </c>
      <c r="AP1581">
        <f ca="1"/>
      </c>
      <c r="AQ1581">
        <f ca="1"/>
      </c>
      <c r="AR1581">
        <f ca="1"/>
      </c>
      <c r="AT1581" s="7">
        <f ca="1"/>
      </c>
      <c r="AU1581">
        <f ca="1"/>
      </c>
      <c r="AV1581">
        <f ca="1"/>
      </c>
      <c r="AW1581">
        <f ca="1"/>
      </c>
      <c r="AX1581">
        <f ca="1"/>
      </c>
      <c r="AY1581">
        <f ca="1"/>
      </c>
      <c r="BA1581" s="7"/>
    </row>
    <row r="1582" spans="31:53" x14ac:dyDescent="0.55000000000000004">
      <c r="AE1582" s="7">
        <f ca="1"/>
      </c>
      <c r="AF1582">
        <f ca="1"/>
      </c>
      <c r="AG1582">
        <f ca="1"/>
      </c>
      <c r="AH1582">
        <f ca="1"/>
      </c>
      <c r="AI1582">
        <f ca="1"/>
      </c>
      <c r="AJ1582">
        <f ca="1"/>
      </c>
      <c r="AK1582">
        <f ca="1"/>
      </c>
      <c r="AL1582">
        <f ca="1"/>
      </c>
      <c r="AM1582">
        <f ca="1"/>
      </c>
      <c r="AN1582">
        <f ca="1"/>
      </c>
      <c r="AO1582">
        <f ca="1"/>
      </c>
      <c r="AP1582">
        <f ca="1"/>
      </c>
      <c r="AQ1582">
        <f ca="1"/>
      </c>
      <c r="AR1582">
        <f ca="1"/>
      </c>
      <c r="AT1582" s="7">
        <f ca="1"/>
      </c>
      <c r="AU1582">
        <f ca="1"/>
      </c>
      <c r="AV1582">
        <f ca="1"/>
      </c>
      <c r="AW1582">
        <f ca="1"/>
      </c>
      <c r="AX1582">
        <f ca="1"/>
      </c>
      <c r="AY1582">
        <f ca="1"/>
      </c>
      <c r="BA1582" s="7"/>
    </row>
    <row r="1583" spans="31:53" x14ac:dyDescent="0.55000000000000004">
      <c r="AE1583" s="7">
        <f ca="1"/>
      </c>
      <c r="AF1583">
        <f ca="1"/>
      </c>
      <c r="AG1583">
        <f ca="1"/>
      </c>
      <c r="AH1583">
        <f ca="1"/>
      </c>
      <c r="AI1583">
        <f ca="1"/>
      </c>
      <c r="AJ1583">
        <f ca="1"/>
      </c>
      <c r="AK1583">
        <f ca="1"/>
      </c>
      <c r="AL1583">
        <f ca="1"/>
      </c>
      <c r="AM1583">
        <f ca="1"/>
      </c>
      <c r="AN1583">
        <f ca="1"/>
      </c>
      <c r="AO1583">
        <f ca="1"/>
      </c>
      <c r="AP1583">
        <f ca="1"/>
      </c>
      <c r="AQ1583">
        <f ca="1"/>
      </c>
      <c r="AR1583">
        <f ca="1"/>
      </c>
      <c r="AT1583" s="7">
        <f ca="1"/>
      </c>
      <c r="AU1583">
        <f ca="1"/>
      </c>
      <c r="AV1583">
        <f ca="1"/>
      </c>
      <c r="AW1583">
        <f ca="1"/>
      </c>
      <c r="AX1583">
        <f ca="1"/>
      </c>
      <c r="AY1583">
        <f ca="1"/>
      </c>
      <c r="BA1583" s="7"/>
    </row>
    <row r="1584" spans="31:53" x14ac:dyDescent="0.55000000000000004">
      <c r="AE1584" s="7">
        <f ca="1"/>
      </c>
      <c r="AF1584">
        <f ca="1"/>
      </c>
      <c r="AG1584">
        <f ca="1"/>
      </c>
      <c r="AH1584">
        <f ca="1"/>
      </c>
      <c r="AI1584">
        <f ca="1"/>
      </c>
      <c r="AJ1584">
        <f ca="1"/>
      </c>
      <c r="AK1584">
        <f ca="1"/>
      </c>
      <c r="AL1584">
        <f ca="1"/>
      </c>
      <c r="AM1584">
        <f ca="1"/>
      </c>
      <c r="AN1584">
        <f ca="1"/>
      </c>
      <c r="AO1584">
        <f ca="1"/>
      </c>
      <c r="AP1584">
        <f ca="1"/>
      </c>
      <c r="AQ1584">
        <f ca="1"/>
      </c>
      <c r="AR1584">
        <f ca="1"/>
      </c>
      <c r="AT1584" s="7">
        <f ca="1"/>
      </c>
      <c r="AU1584">
        <f ca="1"/>
      </c>
      <c r="AV1584">
        <f ca="1"/>
      </c>
      <c r="AW1584">
        <f ca="1"/>
      </c>
      <c r="AX1584">
        <f ca="1"/>
      </c>
      <c r="AY1584">
        <f ca="1"/>
      </c>
      <c r="BA1584" s="7"/>
    </row>
    <row r="1585" spans="31:53" x14ac:dyDescent="0.55000000000000004">
      <c r="AE1585" s="7">
        <f ca="1"/>
      </c>
      <c r="AF1585">
        <f ca="1"/>
      </c>
      <c r="AG1585">
        <f ca="1"/>
      </c>
      <c r="AH1585">
        <f ca="1"/>
      </c>
      <c r="AI1585">
        <f ca="1"/>
      </c>
      <c r="AJ1585">
        <f ca="1"/>
      </c>
      <c r="AK1585">
        <f ca="1"/>
      </c>
      <c r="AL1585">
        <f ca="1"/>
      </c>
      <c r="AM1585">
        <f ca="1"/>
      </c>
      <c r="AN1585">
        <f ca="1"/>
      </c>
      <c r="AO1585">
        <f ca="1"/>
      </c>
      <c r="AP1585">
        <f ca="1"/>
      </c>
      <c r="AQ1585">
        <f ca="1"/>
      </c>
      <c r="AR1585">
        <f ca="1"/>
      </c>
      <c r="AT1585" s="7">
        <f ca="1"/>
      </c>
      <c r="AU1585">
        <f ca="1"/>
      </c>
      <c r="AV1585">
        <f ca="1"/>
      </c>
      <c r="AW1585">
        <f ca="1"/>
      </c>
      <c r="AX1585">
        <f ca="1"/>
      </c>
      <c r="AY1585">
        <f ca="1"/>
      </c>
      <c r="BA1585" s="7"/>
    </row>
    <row r="1586" spans="31:53" x14ac:dyDescent="0.55000000000000004">
      <c r="AE1586" s="7">
        <f ca="1"/>
      </c>
      <c r="AF1586">
        <f ca="1"/>
      </c>
      <c r="AG1586">
        <f ca="1"/>
      </c>
      <c r="AH1586">
        <f ca="1"/>
      </c>
      <c r="AI1586">
        <f ca="1"/>
      </c>
      <c r="AJ1586">
        <f ca="1"/>
      </c>
      <c r="AK1586">
        <f ca="1"/>
      </c>
      <c r="AL1586">
        <f ca="1"/>
      </c>
      <c r="AM1586">
        <f ca="1"/>
      </c>
      <c r="AN1586">
        <f ca="1"/>
      </c>
      <c r="AO1586">
        <f ca="1"/>
      </c>
      <c r="AP1586">
        <f ca="1"/>
      </c>
      <c r="AQ1586">
        <f ca="1"/>
      </c>
      <c r="AR1586">
        <f ca="1"/>
      </c>
      <c r="AT1586" s="7">
        <f ca="1"/>
      </c>
      <c r="AU1586">
        <f ca="1"/>
      </c>
      <c r="AV1586">
        <f ca="1"/>
      </c>
      <c r="AW1586">
        <f ca="1"/>
      </c>
      <c r="AX1586">
        <f ca="1"/>
      </c>
      <c r="AY1586">
        <f ca="1"/>
      </c>
      <c r="BA1586" s="7"/>
    </row>
    <row r="1587" spans="31:53" x14ac:dyDescent="0.55000000000000004">
      <c r="AE1587" s="7">
        <f ca="1"/>
      </c>
      <c r="AF1587">
        <f ca="1"/>
      </c>
      <c r="AG1587">
        <f ca="1"/>
      </c>
      <c r="AH1587">
        <f ca="1"/>
      </c>
      <c r="AI1587">
        <f ca="1"/>
      </c>
      <c r="AJ1587">
        <f ca="1"/>
      </c>
      <c r="AK1587">
        <f ca="1"/>
      </c>
      <c r="AL1587">
        <f ca="1"/>
      </c>
      <c r="AM1587">
        <f ca="1"/>
      </c>
      <c r="AN1587">
        <f ca="1"/>
      </c>
      <c r="AO1587">
        <f ca="1"/>
      </c>
      <c r="AP1587">
        <f ca="1"/>
      </c>
      <c r="AQ1587">
        <f ca="1"/>
      </c>
      <c r="AR1587">
        <f ca="1"/>
      </c>
      <c r="AT1587" s="7">
        <f ca="1"/>
      </c>
      <c r="AU1587">
        <f ca="1"/>
      </c>
      <c r="AV1587">
        <f ca="1"/>
      </c>
      <c r="AW1587">
        <f ca="1"/>
      </c>
      <c r="AX1587">
        <f ca="1"/>
      </c>
      <c r="AY1587">
        <f ca="1"/>
      </c>
      <c r="BA1587" s="7"/>
    </row>
    <row r="1588" spans="31:53" x14ac:dyDescent="0.55000000000000004">
      <c r="AE1588" s="7">
        <f ca="1"/>
      </c>
      <c r="AF1588">
        <f ca="1"/>
      </c>
      <c r="AG1588">
        <f ca="1"/>
      </c>
      <c r="AH1588">
        <f ca="1"/>
      </c>
      <c r="AI1588">
        <f ca="1"/>
      </c>
      <c r="AJ1588">
        <f ca="1"/>
      </c>
      <c r="AK1588">
        <f ca="1"/>
      </c>
      <c r="AL1588">
        <f ca="1"/>
      </c>
      <c r="AM1588">
        <f ca="1"/>
      </c>
      <c r="AN1588">
        <f ca="1"/>
      </c>
      <c r="AO1588">
        <f ca="1"/>
      </c>
      <c r="AP1588">
        <f ca="1"/>
      </c>
      <c r="AQ1588">
        <f ca="1"/>
      </c>
      <c r="AR1588">
        <f ca="1"/>
      </c>
      <c r="AT1588" s="7">
        <f ca="1"/>
      </c>
      <c r="AU1588">
        <f ca="1"/>
      </c>
      <c r="AV1588">
        <f ca="1"/>
      </c>
      <c r="AW1588">
        <f ca="1"/>
      </c>
      <c r="AX1588">
        <f ca="1"/>
      </c>
      <c r="AY1588">
        <f ca="1"/>
      </c>
      <c r="BA1588" s="7"/>
    </row>
    <row r="1589" spans="31:53" x14ac:dyDescent="0.55000000000000004">
      <c r="AE1589" s="7">
        <f ca="1"/>
      </c>
      <c r="AF1589">
        <f ca="1"/>
      </c>
      <c r="AG1589">
        <f ca="1"/>
      </c>
      <c r="AH1589">
        <f ca="1"/>
      </c>
      <c r="AI1589">
        <f ca="1"/>
      </c>
      <c r="AJ1589">
        <f ca="1"/>
      </c>
      <c r="AK1589">
        <f ca="1"/>
      </c>
      <c r="AL1589">
        <f ca="1"/>
      </c>
      <c r="AM1589">
        <f ca="1"/>
      </c>
      <c r="AN1589">
        <f ca="1"/>
      </c>
      <c r="AO1589">
        <f ca="1"/>
      </c>
      <c r="AP1589">
        <f ca="1"/>
      </c>
      <c r="AQ1589">
        <f ca="1"/>
      </c>
      <c r="AR1589">
        <f ca="1"/>
      </c>
      <c r="AT1589" s="7">
        <f ca="1"/>
      </c>
      <c r="AU1589">
        <f ca="1"/>
      </c>
      <c r="AV1589">
        <f ca="1"/>
      </c>
      <c r="AW1589">
        <f ca="1"/>
      </c>
      <c r="AX1589">
        <f ca="1"/>
      </c>
      <c r="AY1589">
        <f ca="1"/>
      </c>
      <c r="BA1589" s="7"/>
    </row>
    <row r="1590" spans="31:53" x14ac:dyDescent="0.55000000000000004">
      <c r="AE1590" s="7">
        <f ca="1"/>
      </c>
      <c r="AF1590">
        <f ca="1"/>
      </c>
      <c r="AG1590">
        <f ca="1"/>
      </c>
      <c r="AH1590">
        <f ca="1"/>
      </c>
      <c r="AI1590">
        <f ca="1"/>
      </c>
      <c r="AJ1590">
        <f ca="1"/>
      </c>
      <c r="AK1590">
        <f ca="1"/>
      </c>
      <c r="AL1590">
        <f ca="1"/>
      </c>
      <c r="AM1590">
        <f ca="1"/>
      </c>
      <c r="AN1590">
        <f ca="1"/>
      </c>
      <c r="AO1590">
        <f ca="1"/>
      </c>
      <c r="AP1590">
        <f ca="1"/>
      </c>
      <c r="AQ1590">
        <f ca="1"/>
      </c>
      <c r="AR1590">
        <f ca="1"/>
      </c>
      <c r="AT1590" s="7">
        <f ca="1"/>
      </c>
      <c r="AU1590">
        <f ca="1"/>
      </c>
      <c r="AV1590">
        <f ca="1"/>
      </c>
      <c r="AW1590">
        <f ca="1"/>
      </c>
      <c r="AX1590">
        <f ca="1"/>
      </c>
      <c r="AY1590">
        <f ca="1"/>
      </c>
      <c r="BA1590" s="7"/>
    </row>
    <row r="1591" spans="31:53" x14ac:dyDescent="0.55000000000000004">
      <c r="AE1591" s="7">
        <f ca="1"/>
      </c>
      <c r="AF1591">
        <f ca="1"/>
      </c>
      <c r="AG1591">
        <f ca="1"/>
      </c>
      <c r="AH1591">
        <f ca="1"/>
      </c>
      <c r="AI1591">
        <f ca="1"/>
      </c>
      <c r="AJ1591">
        <f ca="1"/>
      </c>
      <c r="AK1591">
        <f ca="1"/>
      </c>
      <c r="AL1591">
        <f ca="1"/>
      </c>
      <c r="AM1591">
        <f ca="1"/>
      </c>
      <c r="AN1591">
        <f ca="1"/>
      </c>
      <c r="AO1591">
        <f ca="1"/>
      </c>
      <c r="AP1591">
        <f ca="1"/>
      </c>
      <c r="AQ1591">
        <f ca="1"/>
      </c>
      <c r="AR1591">
        <f ca="1"/>
      </c>
      <c r="AT1591" s="7">
        <f ca="1"/>
      </c>
      <c r="AU1591">
        <f ca="1"/>
      </c>
      <c r="AV1591">
        <f ca="1"/>
      </c>
      <c r="AW1591">
        <f ca="1"/>
      </c>
      <c r="AX1591">
        <f ca="1"/>
      </c>
      <c r="AY1591">
        <f ca="1"/>
      </c>
      <c r="BA1591" s="7"/>
    </row>
    <row r="1592" spans="31:53" x14ac:dyDescent="0.55000000000000004">
      <c r="AE1592" s="7">
        <f ca="1"/>
      </c>
      <c r="AF1592">
        <f ca="1"/>
      </c>
      <c r="AG1592">
        <f ca="1"/>
      </c>
      <c r="AH1592">
        <f ca="1"/>
      </c>
      <c r="AI1592">
        <f ca="1"/>
      </c>
      <c r="AJ1592">
        <f ca="1"/>
      </c>
      <c r="AK1592">
        <f ca="1"/>
      </c>
      <c r="AL1592">
        <f ca="1"/>
      </c>
      <c r="AM1592">
        <f ca="1"/>
      </c>
      <c r="AN1592">
        <f ca="1"/>
      </c>
      <c r="AO1592">
        <f ca="1"/>
      </c>
      <c r="AP1592">
        <f ca="1"/>
      </c>
      <c r="AQ1592">
        <f ca="1"/>
      </c>
      <c r="AR1592">
        <f ca="1"/>
      </c>
      <c r="AT1592" s="7">
        <f ca="1"/>
      </c>
      <c r="AU1592">
        <f ca="1"/>
      </c>
      <c r="AV1592">
        <f ca="1"/>
      </c>
      <c r="AW1592">
        <f ca="1"/>
      </c>
      <c r="AX1592">
        <f ca="1"/>
      </c>
      <c r="AY1592">
        <f ca="1"/>
      </c>
      <c r="BA1592" s="7"/>
    </row>
    <row r="1593" spans="31:53" x14ac:dyDescent="0.55000000000000004">
      <c r="AE1593" s="7">
        <f ca="1"/>
      </c>
      <c r="AF1593">
        <f ca="1"/>
      </c>
      <c r="AG1593">
        <f ca="1"/>
      </c>
      <c r="AH1593">
        <f ca="1"/>
      </c>
      <c r="AI1593">
        <f ca="1"/>
      </c>
      <c r="AJ1593">
        <f ca="1"/>
      </c>
      <c r="AK1593">
        <f ca="1"/>
      </c>
      <c r="AL1593">
        <f ca="1"/>
      </c>
      <c r="AM1593">
        <f ca="1"/>
      </c>
      <c r="AN1593">
        <f ca="1"/>
      </c>
      <c r="AO1593">
        <f ca="1"/>
      </c>
      <c r="AP1593">
        <f ca="1"/>
      </c>
      <c r="AQ1593">
        <f ca="1"/>
      </c>
      <c r="AR1593">
        <f ca="1"/>
      </c>
      <c r="AT1593" s="7">
        <f ca="1"/>
      </c>
      <c r="AU1593">
        <f ca="1"/>
      </c>
      <c r="AV1593">
        <f ca="1"/>
      </c>
      <c r="AW1593">
        <f ca="1"/>
      </c>
      <c r="AX1593">
        <f ca="1"/>
      </c>
      <c r="AY1593">
        <f ca="1"/>
      </c>
      <c r="BA1593" s="7"/>
    </row>
    <row r="1594" spans="31:53" x14ac:dyDescent="0.55000000000000004">
      <c r="AE1594" s="7">
        <f ca="1"/>
      </c>
      <c r="AF1594">
        <f ca="1"/>
      </c>
      <c r="AG1594">
        <f ca="1"/>
      </c>
      <c r="AH1594">
        <f ca="1"/>
      </c>
      <c r="AI1594">
        <f ca="1"/>
      </c>
      <c r="AJ1594">
        <f ca="1"/>
      </c>
      <c r="AK1594">
        <f ca="1"/>
      </c>
      <c r="AL1594">
        <f ca="1"/>
      </c>
      <c r="AM1594">
        <f ca="1"/>
      </c>
      <c r="AN1594">
        <f ca="1"/>
      </c>
      <c r="AO1594">
        <f ca="1"/>
      </c>
      <c r="AP1594">
        <f ca="1"/>
      </c>
      <c r="AQ1594">
        <f ca="1"/>
      </c>
      <c r="AR1594">
        <f ca="1"/>
      </c>
      <c r="AT1594" s="7">
        <f ca="1"/>
      </c>
      <c r="AU1594">
        <f ca="1"/>
      </c>
      <c r="AV1594">
        <f ca="1"/>
      </c>
      <c r="AW1594">
        <f ca="1"/>
      </c>
      <c r="AX1594">
        <f ca="1"/>
      </c>
      <c r="AY1594">
        <f ca="1"/>
      </c>
      <c r="BA1594" s="7"/>
    </row>
    <row r="1595" spans="31:53" x14ac:dyDescent="0.55000000000000004">
      <c r="AE1595" s="7">
        <f ca="1"/>
      </c>
      <c r="AF1595">
        <f ca="1"/>
      </c>
      <c r="AG1595">
        <f ca="1"/>
      </c>
      <c r="AH1595">
        <f ca="1"/>
      </c>
      <c r="AI1595">
        <f ca="1"/>
      </c>
      <c r="AJ1595">
        <f ca="1"/>
      </c>
      <c r="AK1595">
        <f ca="1"/>
      </c>
      <c r="AL1595">
        <f ca="1"/>
      </c>
      <c r="AM1595">
        <f ca="1"/>
      </c>
      <c r="AN1595">
        <f ca="1"/>
      </c>
      <c r="AO1595">
        <f ca="1"/>
      </c>
      <c r="AP1595">
        <f ca="1"/>
      </c>
      <c r="AQ1595">
        <f ca="1"/>
      </c>
      <c r="AR1595">
        <f ca="1"/>
      </c>
      <c r="AT1595" s="7">
        <f ca="1"/>
      </c>
      <c r="AU1595">
        <f ca="1"/>
      </c>
      <c r="AV1595">
        <f ca="1"/>
      </c>
      <c r="AW1595">
        <f ca="1"/>
      </c>
      <c r="AX1595">
        <f ca="1"/>
      </c>
      <c r="AY1595">
        <f ca="1"/>
      </c>
      <c r="BA1595" s="7"/>
    </row>
    <row r="1596" spans="31:53" x14ac:dyDescent="0.55000000000000004">
      <c r="AE1596" s="7">
        <f ca="1"/>
      </c>
      <c r="AF1596">
        <f ca="1"/>
      </c>
      <c r="AG1596">
        <f ca="1"/>
      </c>
      <c r="AH1596">
        <f ca="1"/>
      </c>
      <c r="AI1596">
        <f ca="1"/>
      </c>
      <c r="AJ1596">
        <f ca="1"/>
      </c>
      <c r="AK1596">
        <f ca="1"/>
      </c>
      <c r="AL1596">
        <f ca="1"/>
      </c>
      <c r="AM1596">
        <f ca="1"/>
      </c>
      <c r="AN1596">
        <f ca="1"/>
      </c>
      <c r="AO1596">
        <f ca="1"/>
      </c>
      <c r="AP1596">
        <f ca="1"/>
      </c>
      <c r="AQ1596">
        <f ca="1"/>
      </c>
      <c r="AR1596">
        <f ca="1"/>
      </c>
      <c r="AT1596" s="7">
        <f ca="1"/>
      </c>
      <c r="AU1596">
        <f ca="1"/>
      </c>
      <c r="AV1596">
        <f ca="1"/>
      </c>
      <c r="AW1596">
        <f ca="1"/>
      </c>
      <c r="AX1596">
        <f ca="1"/>
      </c>
      <c r="AY1596">
        <f ca="1"/>
      </c>
      <c r="BA1596" s="7"/>
    </row>
    <row r="1597" spans="31:53" x14ac:dyDescent="0.55000000000000004">
      <c r="AE1597" s="7">
        <f ca="1"/>
      </c>
      <c r="AF1597">
        <f ca="1"/>
      </c>
      <c r="AG1597">
        <f ca="1"/>
      </c>
      <c r="AH1597">
        <f ca="1"/>
      </c>
      <c r="AI1597">
        <f ca="1"/>
      </c>
      <c r="AJ1597">
        <f ca="1"/>
      </c>
      <c r="AK1597">
        <f ca="1"/>
      </c>
      <c r="AL1597">
        <f ca="1"/>
      </c>
      <c r="AM1597">
        <f ca="1"/>
      </c>
      <c r="AN1597">
        <f ca="1"/>
      </c>
      <c r="AO1597">
        <f ca="1"/>
      </c>
      <c r="AP1597">
        <f ca="1"/>
      </c>
      <c r="AQ1597">
        <f ca="1"/>
      </c>
      <c r="AR1597">
        <f ca="1"/>
      </c>
      <c r="AT1597" s="7">
        <f ca="1"/>
      </c>
      <c r="AU1597">
        <f ca="1"/>
      </c>
      <c r="AV1597">
        <f ca="1"/>
      </c>
      <c r="AW1597">
        <f ca="1"/>
      </c>
      <c r="AX1597">
        <f ca="1"/>
      </c>
      <c r="AY1597">
        <f ca="1"/>
      </c>
      <c r="BA1597" s="7"/>
    </row>
    <row r="1598" spans="31:53" x14ac:dyDescent="0.55000000000000004">
      <c r="AE1598" s="7">
        <f ca="1"/>
      </c>
      <c r="AF1598">
        <f ca="1"/>
      </c>
      <c r="AG1598">
        <f ca="1"/>
      </c>
      <c r="AH1598">
        <f ca="1"/>
      </c>
      <c r="AI1598">
        <f ca="1"/>
      </c>
      <c r="AJ1598">
        <f ca="1"/>
      </c>
      <c r="AK1598">
        <f ca="1"/>
      </c>
      <c r="AL1598">
        <f ca="1"/>
      </c>
      <c r="AM1598">
        <f ca="1"/>
      </c>
      <c r="AN1598">
        <f ca="1"/>
      </c>
      <c r="AO1598">
        <f ca="1"/>
      </c>
      <c r="AP1598">
        <f ca="1"/>
      </c>
      <c r="AQ1598">
        <f ca="1"/>
      </c>
      <c r="AR1598">
        <f ca="1"/>
      </c>
      <c r="AT1598" s="7">
        <f ca="1"/>
      </c>
      <c r="AU1598">
        <f ca="1"/>
      </c>
      <c r="AV1598">
        <f ca="1"/>
      </c>
      <c r="AW1598">
        <f ca="1"/>
      </c>
      <c r="AX1598">
        <f ca="1"/>
      </c>
      <c r="AY1598">
        <f ca="1"/>
      </c>
      <c r="BA1598" s="7"/>
    </row>
    <row r="1599" spans="31:53" x14ac:dyDescent="0.55000000000000004">
      <c r="AE1599" s="7">
        <f ca="1"/>
      </c>
      <c r="AF1599">
        <f ca="1"/>
      </c>
      <c r="AG1599">
        <f ca="1"/>
      </c>
      <c r="AH1599">
        <f ca="1"/>
      </c>
      <c r="AI1599">
        <f ca="1"/>
      </c>
      <c r="AJ1599">
        <f ca="1"/>
      </c>
      <c r="AK1599">
        <f ca="1"/>
      </c>
      <c r="AL1599">
        <f ca="1"/>
      </c>
      <c r="AM1599">
        <f ca="1"/>
      </c>
      <c r="AN1599">
        <f ca="1"/>
      </c>
      <c r="AO1599">
        <f ca="1"/>
      </c>
      <c r="AP1599">
        <f ca="1"/>
      </c>
      <c r="AQ1599">
        <f ca="1"/>
      </c>
      <c r="AR1599">
        <f ca="1"/>
      </c>
      <c r="AT1599" s="7">
        <f ca="1"/>
      </c>
      <c r="AU1599">
        <f ca="1"/>
      </c>
      <c r="AV1599">
        <f ca="1"/>
      </c>
      <c r="AW1599">
        <f ca="1"/>
      </c>
      <c r="AX1599">
        <f ca="1"/>
      </c>
      <c r="AY1599">
        <f ca="1"/>
      </c>
      <c r="BA1599" s="7"/>
    </row>
    <row r="1600" spans="31:53" x14ac:dyDescent="0.55000000000000004">
      <c r="AE1600" s="7">
        <f ca="1"/>
      </c>
      <c r="AF1600">
        <f ca="1"/>
      </c>
      <c r="AG1600">
        <f ca="1"/>
      </c>
      <c r="AH1600">
        <f ca="1"/>
      </c>
      <c r="AI1600">
        <f ca="1"/>
      </c>
      <c r="AJ1600">
        <f ca="1"/>
      </c>
      <c r="AK1600">
        <f ca="1"/>
      </c>
      <c r="AL1600">
        <f ca="1"/>
      </c>
      <c r="AM1600">
        <f ca="1"/>
      </c>
      <c r="AN1600">
        <f ca="1"/>
      </c>
      <c r="AO1600">
        <f ca="1"/>
      </c>
      <c r="AP1600">
        <f ca="1"/>
      </c>
      <c r="AQ1600">
        <f ca="1"/>
      </c>
      <c r="AR1600">
        <f ca="1"/>
      </c>
      <c r="AT1600" s="7">
        <f ca="1"/>
      </c>
      <c r="AU1600">
        <f ca="1"/>
      </c>
      <c r="AV1600">
        <f ca="1"/>
      </c>
      <c r="AW1600">
        <f ca="1"/>
      </c>
      <c r="AX1600">
        <f ca="1"/>
      </c>
      <c r="AY1600">
        <f ca="1"/>
      </c>
      <c r="BA1600" s="7"/>
    </row>
    <row r="1601" spans="31:53" x14ac:dyDescent="0.55000000000000004">
      <c r="AE1601" s="7">
        <f ca="1"/>
      </c>
      <c r="AF1601">
        <f ca="1"/>
      </c>
      <c r="AG1601">
        <f ca="1"/>
      </c>
      <c r="AH1601">
        <f ca="1"/>
      </c>
      <c r="AI1601">
        <f ca="1"/>
      </c>
      <c r="AJ1601">
        <f ca="1"/>
      </c>
      <c r="AK1601">
        <f ca="1"/>
      </c>
      <c r="AL1601">
        <f ca="1"/>
      </c>
      <c r="AM1601">
        <f ca="1"/>
      </c>
      <c r="AN1601">
        <f ca="1"/>
      </c>
      <c r="AO1601">
        <f ca="1"/>
      </c>
      <c r="AP1601">
        <f ca="1"/>
      </c>
      <c r="AQ1601">
        <f ca="1"/>
      </c>
      <c r="AR1601">
        <f ca="1"/>
      </c>
      <c r="AT1601" s="7">
        <f ca="1"/>
      </c>
      <c r="AU1601">
        <f ca="1"/>
      </c>
      <c r="AV1601">
        <f ca="1"/>
      </c>
      <c r="AW1601">
        <f ca="1"/>
      </c>
      <c r="AX1601">
        <f ca="1"/>
      </c>
      <c r="AY1601">
        <f ca="1"/>
      </c>
      <c r="BA1601" s="7"/>
    </row>
    <row r="1602" spans="31:53" x14ac:dyDescent="0.55000000000000004">
      <c r="AE1602" s="7">
        <f ca="1"/>
      </c>
      <c r="AF1602">
        <f ca="1"/>
      </c>
      <c r="AG1602">
        <f ca="1"/>
      </c>
      <c r="AH1602">
        <f ca="1"/>
      </c>
      <c r="AI1602">
        <f ca="1"/>
      </c>
      <c r="AJ1602">
        <f ca="1"/>
      </c>
      <c r="AK1602">
        <f ca="1"/>
      </c>
      <c r="AL1602">
        <f ca="1"/>
      </c>
      <c r="AM1602">
        <f ca="1"/>
      </c>
      <c r="AN1602">
        <f ca="1"/>
      </c>
      <c r="AO1602">
        <f ca="1"/>
      </c>
      <c r="AP1602">
        <f ca="1"/>
      </c>
      <c r="AQ1602">
        <f ca="1"/>
      </c>
      <c r="AR1602">
        <f ca="1"/>
      </c>
      <c r="AT1602" s="7">
        <f ca="1"/>
      </c>
      <c r="AU1602">
        <f ca="1"/>
      </c>
      <c r="AV1602">
        <f ca="1"/>
      </c>
      <c r="AW1602">
        <f ca="1"/>
      </c>
      <c r="AX1602">
        <f ca="1"/>
      </c>
      <c r="AY1602">
        <f ca="1"/>
      </c>
      <c r="BA1602" s="7"/>
    </row>
    <row r="1603" spans="31:53" x14ac:dyDescent="0.55000000000000004">
      <c r="AE1603" s="7">
        <f ca="1"/>
      </c>
      <c r="AF1603">
        <f ca="1"/>
      </c>
      <c r="AG1603">
        <f ca="1"/>
      </c>
      <c r="AH1603">
        <f ca="1"/>
      </c>
      <c r="AI1603">
        <f ca="1"/>
      </c>
      <c r="AJ1603">
        <f ca="1"/>
      </c>
      <c r="AK1603">
        <f ca="1"/>
      </c>
      <c r="AL1603">
        <f ca="1"/>
      </c>
      <c r="AM1603">
        <f ca="1"/>
      </c>
      <c r="AN1603">
        <f ca="1"/>
      </c>
      <c r="AO1603">
        <f ca="1"/>
      </c>
      <c r="AP1603">
        <f ca="1"/>
      </c>
      <c r="AQ1603">
        <f ca="1"/>
      </c>
      <c r="AR1603">
        <f ca="1"/>
      </c>
      <c r="AT1603" s="7">
        <f ca="1"/>
      </c>
      <c r="AU1603">
        <f ca="1"/>
      </c>
      <c r="AV1603">
        <f ca="1"/>
      </c>
      <c r="AW1603">
        <f ca="1"/>
      </c>
      <c r="AX1603">
        <f ca="1"/>
      </c>
      <c r="AY1603">
        <f ca="1"/>
      </c>
      <c r="BA1603" s="7"/>
    </row>
    <row r="1604" spans="31:53" x14ac:dyDescent="0.55000000000000004">
      <c r="AE1604" s="7">
        <f ca="1"/>
      </c>
      <c r="AF1604">
        <f ca="1"/>
      </c>
      <c r="AG1604">
        <f ca="1"/>
      </c>
      <c r="AH1604">
        <f ca="1"/>
      </c>
      <c r="AI1604">
        <f ca="1"/>
      </c>
      <c r="AJ1604">
        <f ca="1"/>
      </c>
      <c r="AK1604">
        <f ca="1"/>
      </c>
      <c r="AL1604">
        <f ca="1"/>
      </c>
      <c r="AM1604">
        <f ca="1"/>
      </c>
      <c r="AN1604">
        <f ca="1"/>
      </c>
      <c r="AO1604">
        <f ca="1"/>
      </c>
      <c r="AP1604">
        <f ca="1"/>
      </c>
      <c r="AQ1604">
        <f ca="1"/>
      </c>
      <c r="AR1604">
        <f ca="1"/>
      </c>
      <c r="AT1604" s="7">
        <f ca="1"/>
      </c>
      <c r="AU1604">
        <f ca="1"/>
      </c>
      <c r="AV1604">
        <f ca="1"/>
      </c>
      <c r="AW1604">
        <f ca="1"/>
      </c>
      <c r="AX1604">
        <f ca="1"/>
      </c>
      <c r="AY1604">
        <f ca="1"/>
      </c>
      <c r="BA1604" s="7"/>
    </row>
    <row r="1605" spans="31:53" x14ac:dyDescent="0.55000000000000004">
      <c r="AE1605" s="7">
        <f ca="1"/>
      </c>
      <c r="AF1605">
        <f ca="1"/>
      </c>
      <c r="AG1605">
        <f ca="1"/>
      </c>
      <c r="AH1605">
        <f ca="1"/>
      </c>
      <c r="AI1605">
        <f ca="1"/>
      </c>
      <c r="AJ1605">
        <f ca="1"/>
      </c>
      <c r="AK1605">
        <f ca="1"/>
      </c>
      <c r="AL1605">
        <f ca="1"/>
      </c>
      <c r="AM1605">
        <f ca="1"/>
      </c>
      <c r="AN1605">
        <f ca="1"/>
      </c>
      <c r="AO1605">
        <f ca="1"/>
      </c>
      <c r="AP1605">
        <f ca="1"/>
      </c>
      <c r="AQ1605">
        <f ca="1"/>
      </c>
      <c r="AR1605">
        <f ca="1"/>
      </c>
      <c r="AT1605" s="7">
        <f ca="1"/>
      </c>
      <c r="AU1605">
        <f ca="1"/>
      </c>
      <c r="AV1605">
        <f ca="1"/>
      </c>
      <c r="AW1605">
        <f ca="1"/>
      </c>
      <c r="AX1605">
        <f ca="1"/>
      </c>
      <c r="AY1605">
        <f ca="1"/>
      </c>
      <c r="BA1605" s="7"/>
    </row>
    <row r="1606" spans="31:53" x14ac:dyDescent="0.55000000000000004">
      <c r="AE1606" s="7">
        <f ca="1"/>
      </c>
      <c r="AF1606">
        <f ca="1"/>
      </c>
      <c r="AG1606">
        <f ca="1"/>
      </c>
      <c r="AH1606">
        <f ca="1"/>
      </c>
      <c r="AI1606">
        <f ca="1"/>
      </c>
      <c r="AJ1606">
        <f ca="1"/>
      </c>
      <c r="AK1606">
        <f ca="1"/>
      </c>
      <c r="AL1606">
        <f ca="1"/>
      </c>
      <c r="AM1606">
        <f ca="1"/>
      </c>
      <c r="AN1606">
        <f ca="1"/>
      </c>
      <c r="AO1606">
        <f ca="1"/>
      </c>
      <c r="AP1606">
        <f ca="1"/>
      </c>
      <c r="AQ1606">
        <f ca="1"/>
      </c>
      <c r="AR1606">
        <f ca="1"/>
      </c>
      <c r="AT1606" s="7">
        <f ca="1"/>
      </c>
      <c r="AU1606">
        <f ca="1"/>
      </c>
      <c r="AV1606">
        <f ca="1"/>
      </c>
      <c r="AW1606">
        <f ca="1"/>
      </c>
      <c r="AX1606">
        <f ca="1"/>
      </c>
      <c r="AY1606">
        <f ca="1"/>
      </c>
      <c r="BA1606" s="7"/>
    </row>
    <row r="1607" spans="31:53" x14ac:dyDescent="0.55000000000000004">
      <c r="AE1607" s="7">
        <f ca="1"/>
      </c>
      <c r="AF1607">
        <f ca="1"/>
      </c>
      <c r="AG1607">
        <f ca="1"/>
      </c>
      <c r="AH1607">
        <f ca="1"/>
      </c>
      <c r="AI1607">
        <f ca="1"/>
      </c>
      <c r="AJ1607">
        <f ca="1"/>
      </c>
      <c r="AK1607">
        <f ca="1"/>
      </c>
      <c r="AL1607">
        <f ca="1"/>
      </c>
      <c r="AM1607">
        <f ca="1"/>
      </c>
      <c r="AN1607">
        <f ca="1"/>
      </c>
      <c r="AO1607">
        <f ca="1"/>
      </c>
      <c r="AP1607">
        <f ca="1"/>
      </c>
      <c r="AQ1607">
        <f ca="1"/>
      </c>
      <c r="AR1607">
        <f ca="1"/>
      </c>
      <c r="AT1607" s="7">
        <f ca="1"/>
      </c>
      <c r="AU1607">
        <f ca="1"/>
      </c>
      <c r="AV1607">
        <f ca="1"/>
      </c>
      <c r="AW1607">
        <f ca="1"/>
      </c>
      <c r="AX1607">
        <f ca="1"/>
      </c>
      <c r="AY1607">
        <f ca="1"/>
      </c>
      <c r="BA1607" s="7"/>
    </row>
    <row r="1608" spans="31:53" x14ac:dyDescent="0.55000000000000004">
      <c r="AE1608" s="7">
        <f ca="1"/>
      </c>
      <c r="AF1608">
        <f ca="1"/>
      </c>
      <c r="AG1608">
        <f ca="1"/>
      </c>
      <c r="AH1608">
        <f ca="1"/>
      </c>
      <c r="AI1608">
        <f ca="1"/>
      </c>
      <c r="AJ1608">
        <f ca="1"/>
      </c>
      <c r="AK1608">
        <f ca="1"/>
      </c>
      <c r="AL1608">
        <f ca="1"/>
      </c>
      <c r="AM1608">
        <f ca="1"/>
      </c>
      <c r="AN1608">
        <f ca="1"/>
      </c>
      <c r="AO1608">
        <f ca="1"/>
      </c>
      <c r="AP1608">
        <f ca="1"/>
      </c>
      <c r="AQ1608">
        <f ca="1"/>
      </c>
      <c r="AR1608">
        <f ca="1"/>
      </c>
      <c r="AT1608" s="7">
        <f ca="1"/>
      </c>
      <c r="AU1608">
        <f ca="1"/>
      </c>
      <c r="AV1608">
        <f ca="1"/>
      </c>
      <c r="AW1608">
        <f ca="1"/>
      </c>
      <c r="AX1608">
        <f ca="1"/>
      </c>
      <c r="AY1608">
        <f ca="1"/>
      </c>
      <c r="BA1608" s="7"/>
    </row>
    <row r="1609" spans="31:53" x14ac:dyDescent="0.55000000000000004">
      <c r="AE1609" s="7">
        <f ca="1"/>
      </c>
      <c r="AF1609">
        <f ca="1"/>
      </c>
      <c r="AG1609">
        <f ca="1"/>
      </c>
      <c r="AH1609">
        <f ca="1"/>
      </c>
      <c r="AI1609">
        <f ca="1"/>
      </c>
      <c r="AJ1609">
        <f ca="1"/>
      </c>
      <c r="AK1609">
        <f ca="1"/>
      </c>
      <c r="AL1609">
        <f ca="1"/>
      </c>
      <c r="AM1609">
        <f ca="1"/>
      </c>
      <c r="AN1609">
        <f ca="1"/>
      </c>
      <c r="AO1609">
        <f ca="1"/>
      </c>
      <c r="AP1609">
        <f ca="1"/>
      </c>
      <c r="AQ1609">
        <f ca="1"/>
      </c>
      <c r="AR1609">
        <f ca="1"/>
      </c>
      <c r="AT1609" s="7">
        <f ca="1"/>
      </c>
      <c r="AU1609">
        <f ca="1"/>
      </c>
      <c r="AV1609">
        <f ca="1"/>
      </c>
      <c r="AW1609">
        <f ca="1"/>
      </c>
      <c r="AX1609">
        <f ca="1"/>
      </c>
      <c r="AY1609">
        <f ca="1"/>
      </c>
      <c r="BA1609" s="7"/>
    </row>
    <row r="1610" spans="31:53" x14ac:dyDescent="0.55000000000000004">
      <c r="AE1610" s="7">
        <f ca="1"/>
      </c>
      <c r="AF1610">
        <f ca="1"/>
      </c>
      <c r="AG1610">
        <f ca="1"/>
      </c>
      <c r="AH1610">
        <f ca="1"/>
      </c>
      <c r="AI1610">
        <f ca="1"/>
      </c>
      <c r="AJ1610">
        <f ca="1"/>
      </c>
      <c r="AK1610">
        <f ca="1"/>
      </c>
      <c r="AL1610">
        <f ca="1"/>
      </c>
      <c r="AM1610">
        <f ca="1"/>
      </c>
      <c r="AN1610">
        <f ca="1"/>
      </c>
      <c r="AO1610">
        <f ca="1"/>
      </c>
      <c r="AP1610">
        <f ca="1"/>
      </c>
      <c r="AQ1610">
        <f ca="1"/>
      </c>
      <c r="AR1610">
        <f ca="1"/>
      </c>
      <c r="AT1610" s="7">
        <f ca="1"/>
      </c>
      <c r="AU1610">
        <f ca="1"/>
      </c>
      <c r="AV1610">
        <f ca="1"/>
      </c>
      <c r="AW1610">
        <f ca="1"/>
      </c>
      <c r="AX1610">
        <f ca="1"/>
      </c>
      <c r="AY1610">
        <f ca="1"/>
      </c>
      <c r="BA1610" s="7"/>
    </row>
    <row r="1611" spans="31:53" x14ac:dyDescent="0.55000000000000004">
      <c r="AE1611" s="7">
        <f ca="1"/>
      </c>
      <c r="AF1611">
        <f ca="1"/>
      </c>
      <c r="AG1611">
        <f ca="1"/>
      </c>
      <c r="AH1611">
        <f ca="1"/>
      </c>
      <c r="AI1611">
        <f ca="1"/>
      </c>
      <c r="AJ1611">
        <f ca="1"/>
      </c>
      <c r="AK1611">
        <f ca="1"/>
      </c>
      <c r="AL1611">
        <f ca="1"/>
      </c>
      <c r="AM1611">
        <f ca="1"/>
      </c>
      <c r="AN1611">
        <f ca="1"/>
      </c>
      <c r="AO1611">
        <f ca="1"/>
      </c>
      <c r="AP1611">
        <f ca="1"/>
      </c>
      <c r="AQ1611">
        <f ca="1"/>
      </c>
      <c r="AR1611">
        <f ca="1"/>
      </c>
      <c r="AT1611" s="7">
        <f ca="1"/>
      </c>
      <c r="AU1611">
        <f ca="1"/>
      </c>
      <c r="AV1611">
        <f ca="1"/>
      </c>
      <c r="AW1611">
        <f ca="1"/>
      </c>
      <c r="AX1611">
        <f ca="1"/>
      </c>
      <c r="AY1611">
        <f ca="1"/>
      </c>
      <c r="BA1611" s="7"/>
    </row>
    <row r="1612" spans="31:53" x14ac:dyDescent="0.55000000000000004">
      <c r="AE1612" s="7">
        <f ca="1"/>
      </c>
      <c r="AF1612">
        <f ca="1"/>
      </c>
      <c r="AG1612">
        <f ca="1"/>
      </c>
      <c r="AH1612">
        <f ca="1"/>
      </c>
      <c r="AI1612">
        <f ca="1"/>
      </c>
      <c r="AJ1612">
        <f ca="1"/>
      </c>
      <c r="AK1612">
        <f ca="1"/>
      </c>
      <c r="AL1612">
        <f ca="1"/>
      </c>
      <c r="AM1612">
        <f ca="1"/>
      </c>
      <c r="AN1612">
        <f ca="1"/>
      </c>
      <c r="AO1612">
        <f ca="1"/>
      </c>
      <c r="AP1612">
        <f ca="1"/>
      </c>
      <c r="AQ1612">
        <f ca="1"/>
      </c>
      <c r="AR1612">
        <f ca="1"/>
      </c>
      <c r="AT1612" s="7">
        <f ca="1"/>
      </c>
      <c r="AU1612">
        <f ca="1"/>
      </c>
      <c r="AV1612">
        <f ca="1"/>
      </c>
      <c r="AW1612">
        <f ca="1"/>
      </c>
      <c r="AX1612">
        <f ca="1"/>
      </c>
      <c r="AY1612">
        <f ca="1"/>
      </c>
      <c r="BA1612" s="7"/>
    </row>
    <row r="1613" spans="31:53" x14ac:dyDescent="0.55000000000000004">
      <c r="AE1613" s="7">
        <f ca="1"/>
      </c>
      <c r="AF1613">
        <f ca="1"/>
      </c>
      <c r="AG1613">
        <f ca="1"/>
      </c>
      <c r="AH1613">
        <f ca="1"/>
      </c>
      <c r="AI1613">
        <f ca="1"/>
      </c>
      <c r="AJ1613">
        <f ca="1"/>
      </c>
      <c r="AK1613">
        <f ca="1"/>
      </c>
      <c r="AL1613">
        <f ca="1"/>
      </c>
      <c r="AM1613">
        <f ca="1"/>
      </c>
      <c r="AN1613">
        <f ca="1"/>
      </c>
      <c r="AO1613">
        <f ca="1"/>
      </c>
      <c r="AP1613">
        <f ca="1"/>
      </c>
      <c r="AQ1613">
        <f ca="1"/>
      </c>
      <c r="AR1613">
        <f ca="1"/>
      </c>
      <c r="AT1613" s="7">
        <f ca="1"/>
      </c>
      <c r="AU1613">
        <f ca="1"/>
      </c>
      <c r="AV1613">
        <f ca="1"/>
      </c>
      <c r="AW1613">
        <f ca="1"/>
      </c>
      <c r="AX1613">
        <f ca="1"/>
      </c>
      <c r="AY1613">
        <f ca="1"/>
      </c>
      <c r="BA1613" s="7"/>
    </row>
    <row r="1614" spans="31:53" x14ac:dyDescent="0.55000000000000004">
      <c r="AE1614" s="7">
        <f ca="1"/>
      </c>
      <c r="AF1614">
        <f ca="1"/>
      </c>
      <c r="AG1614">
        <f ca="1"/>
      </c>
      <c r="AH1614">
        <f ca="1"/>
      </c>
      <c r="AI1614">
        <f ca="1"/>
      </c>
      <c r="AJ1614">
        <f ca="1"/>
      </c>
      <c r="AK1614">
        <f ca="1"/>
      </c>
      <c r="AL1614">
        <f ca="1"/>
      </c>
      <c r="AM1614">
        <f ca="1"/>
      </c>
      <c r="AN1614">
        <f ca="1"/>
      </c>
      <c r="AO1614">
        <f ca="1"/>
      </c>
      <c r="AP1614">
        <f ca="1"/>
      </c>
      <c r="AQ1614">
        <f ca="1"/>
      </c>
      <c r="AR1614">
        <f ca="1"/>
      </c>
      <c r="AT1614" s="7">
        <f ca="1"/>
      </c>
      <c r="AU1614">
        <f ca="1"/>
      </c>
      <c r="AV1614">
        <f ca="1"/>
      </c>
      <c r="AW1614">
        <f ca="1"/>
      </c>
      <c r="AX1614">
        <f ca="1"/>
      </c>
      <c r="AY1614">
        <f ca="1"/>
      </c>
      <c r="BA1614" s="7"/>
    </row>
    <row r="1615" spans="31:53" x14ac:dyDescent="0.55000000000000004">
      <c r="AE1615" s="7">
        <f ca="1"/>
      </c>
      <c r="AF1615">
        <f ca="1"/>
      </c>
      <c r="AG1615">
        <f ca="1"/>
      </c>
      <c r="AH1615">
        <f ca="1"/>
      </c>
      <c r="AI1615">
        <f ca="1"/>
      </c>
      <c r="AJ1615">
        <f ca="1"/>
      </c>
      <c r="AK1615">
        <f ca="1"/>
      </c>
      <c r="AL1615">
        <f ca="1"/>
      </c>
      <c r="AM1615">
        <f ca="1"/>
      </c>
      <c r="AN1615">
        <f ca="1"/>
      </c>
      <c r="AO1615">
        <f ca="1"/>
      </c>
      <c r="AP1615">
        <f ca="1"/>
      </c>
      <c r="AQ1615">
        <f ca="1"/>
      </c>
      <c r="AR1615">
        <f ca="1"/>
      </c>
      <c r="AT1615" s="7">
        <f ca="1"/>
      </c>
      <c r="AU1615">
        <f ca="1"/>
      </c>
      <c r="AV1615">
        <f ca="1"/>
      </c>
      <c r="AW1615">
        <f ca="1"/>
      </c>
      <c r="AX1615">
        <f ca="1"/>
      </c>
      <c r="AY1615">
        <f ca="1"/>
      </c>
      <c r="BA1615" s="7"/>
    </row>
    <row r="1616" spans="31:53" x14ac:dyDescent="0.55000000000000004">
      <c r="AE1616" s="7">
        <f ca="1"/>
      </c>
      <c r="AF1616">
        <f ca="1"/>
      </c>
      <c r="AG1616">
        <f ca="1"/>
      </c>
      <c r="AH1616">
        <f ca="1"/>
      </c>
      <c r="AI1616">
        <f ca="1"/>
      </c>
      <c r="AJ1616">
        <f ca="1"/>
      </c>
      <c r="AK1616">
        <f ca="1"/>
      </c>
      <c r="AL1616">
        <f ca="1"/>
      </c>
      <c r="AM1616">
        <f ca="1"/>
      </c>
      <c r="AN1616">
        <f ca="1"/>
      </c>
      <c r="AO1616">
        <f ca="1"/>
      </c>
      <c r="AP1616">
        <f ca="1"/>
      </c>
      <c r="AQ1616">
        <f ca="1"/>
      </c>
      <c r="AR1616">
        <f ca="1"/>
      </c>
      <c r="AT1616" s="7">
        <f ca="1"/>
      </c>
      <c r="AU1616">
        <f ca="1"/>
      </c>
      <c r="AV1616">
        <f ca="1"/>
      </c>
      <c r="AW1616">
        <f ca="1"/>
      </c>
      <c r="AX1616">
        <f ca="1"/>
      </c>
      <c r="AY1616">
        <f ca="1"/>
      </c>
      <c r="BA1616" s="7"/>
    </row>
    <row r="1617" spans="31:53" x14ac:dyDescent="0.55000000000000004">
      <c r="AE1617" s="7">
        <f ca="1"/>
      </c>
      <c r="AF1617">
        <f ca="1"/>
      </c>
      <c r="AG1617">
        <f ca="1"/>
      </c>
      <c r="AH1617">
        <f ca="1"/>
      </c>
      <c r="AI1617">
        <f ca="1"/>
      </c>
      <c r="AJ1617">
        <f ca="1"/>
      </c>
      <c r="AK1617">
        <f ca="1"/>
      </c>
      <c r="AL1617">
        <f ca="1"/>
      </c>
      <c r="AM1617">
        <f ca="1"/>
      </c>
      <c r="AN1617">
        <f ca="1"/>
      </c>
      <c r="AO1617">
        <f ca="1"/>
      </c>
      <c r="AP1617">
        <f ca="1"/>
      </c>
      <c r="AQ1617">
        <f ca="1"/>
      </c>
      <c r="AR1617">
        <f ca="1"/>
      </c>
      <c r="AT1617" s="7">
        <f ca="1"/>
      </c>
      <c r="AU1617">
        <f ca="1"/>
      </c>
      <c r="AV1617">
        <f ca="1"/>
      </c>
      <c r="AW1617">
        <f ca="1"/>
      </c>
      <c r="AX1617">
        <f ca="1"/>
      </c>
      <c r="AY1617">
        <f ca="1"/>
      </c>
      <c r="BA1617" s="7"/>
    </row>
    <row r="1618" spans="31:53" x14ac:dyDescent="0.55000000000000004">
      <c r="AE1618" s="7">
        <f ca="1"/>
      </c>
      <c r="AF1618">
        <f ca="1"/>
      </c>
      <c r="AG1618">
        <f ca="1"/>
      </c>
      <c r="AH1618">
        <f ca="1"/>
      </c>
      <c r="AI1618">
        <f ca="1"/>
      </c>
      <c r="AJ1618">
        <f ca="1"/>
      </c>
      <c r="AK1618">
        <f ca="1"/>
      </c>
      <c r="AL1618">
        <f ca="1"/>
      </c>
      <c r="AM1618">
        <f ca="1"/>
      </c>
      <c r="AN1618">
        <f ca="1"/>
      </c>
      <c r="AO1618">
        <f ca="1"/>
      </c>
      <c r="AP1618">
        <f ca="1"/>
      </c>
      <c r="AQ1618">
        <f ca="1"/>
      </c>
      <c r="AR1618">
        <f ca="1"/>
      </c>
      <c r="AT1618" s="7">
        <f ca="1"/>
      </c>
      <c r="AU1618">
        <f ca="1"/>
      </c>
      <c r="AV1618">
        <f ca="1"/>
      </c>
      <c r="AW1618">
        <f ca="1"/>
      </c>
      <c r="AX1618">
        <f ca="1"/>
      </c>
      <c r="AY1618">
        <f ca="1"/>
      </c>
      <c r="BA1618" s="7"/>
    </row>
    <row r="1619" spans="31:53" x14ac:dyDescent="0.55000000000000004">
      <c r="AE1619" s="7">
        <f ca="1"/>
      </c>
      <c r="AF1619">
        <f ca="1"/>
      </c>
      <c r="AG1619">
        <f ca="1"/>
      </c>
      <c r="AH1619">
        <f ca="1"/>
      </c>
      <c r="AI1619">
        <f ca="1"/>
      </c>
      <c r="AJ1619">
        <f ca="1"/>
      </c>
      <c r="AK1619">
        <f ca="1"/>
      </c>
      <c r="AL1619">
        <f ca="1"/>
      </c>
      <c r="AM1619">
        <f ca="1"/>
      </c>
      <c r="AN1619">
        <f ca="1"/>
      </c>
      <c r="AO1619">
        <f ca="1"/>
      </c>
      <c r="AP1619">
        <f ca="1"/>
      </c>
      <c r="AQ1619">
        <f ca="1"/>
      </c>
      <c r="AR1619">
        <f ca="1"/>
      </c>
      <c r="AT1619" s="7">
        <f ca="1"/>
      </c>
      <c r="AU1619">
        <f ca="1"/>
      </c>
      <c r="AV1619">
        <f ca="1"/>
      </c>
      <c r="AW1619">
        <f ca="1"/>
      </c>
      <c r="AX1619">
        <f ca="1"/>
      </c>
      <c r="AY1619">
        <f ca="1"/>
      </c>
      <c r="BA1619" s="7"/>
    </row>
    <row r="1620" spans="31:53" x14ac:dyDescent="0.55000000000000004">
      <c r="AE1620" s="7">
        <f ca="1"/>
      </c>
      <c r="AF1620">
        <f ca="1"/>
      </c>
      <c r="AG1620">
        <f ca="1"/>
      </c>
      <c r="AH1620">
        <f ca="1"/>
      </c>
      <c r="AI1620">
        <f ca="1"/>
      </c>
      <c r="AJ1620">
        <f ca="1"/>
      </c>
      <c r="AK1620">
        <f ca="1"/>
      </c>
      <c r="AL1620">
        <f ca="1"/>
      </c>
      <c r="AM1620">
        <f ca="1"/>
      </c>
      <c r="AN1620">
        <f ca="1"/>
      </c>
      <c r="AO1620">
        <f ca="1"/>
      </c>
      <c r="AP1620">
        <f ca="1"/>
      </c>
      <c r="AQ1620">
        <f ca="1"/>
      </c>
      <c r="AR1620">
        <f ca="1"/>
      </c>
      <c r="AT1620" s="7">
        <f ca="1"/>
      </c>
      <c r="AU1620">
        <f ca="1"/>
      </c>
      <c r="AV1620">
        <f ca="1"/>
      </c>
      <c r="AW1620">
        <f ca="1"/>
      </c>
      <c r="AX1620">
        <f ca="1"/>
      </c>
      <c r="AY1620">
        <f ca="1"/>
      </c>
      <c r="BA1620" s="7"/>
    </row>
    <row r="1621" spans="31:53" x14ac:dyDescent="0.55000000000000004">
      <c r="AE1621" s="7">
        <f ca="1"/>
      </c>
      <c r="AF1621">
        <f ca="1"/>
      </c>
      <c r="AG1621">
        <f ca="1"/>
      </c>
      <c r="AH1621">
        <f ca="1"/>
      </c>
      <c r="AI1621">
        <f ca="1"/>
      </c>
      <c r="AJ1621">
        <f ca="1"/>
      </c>
      <c r="AK1621">
        <f ca="1"/>
      </c>
      <c r="AL1621">
        <f ca="1"/>
      </c>
      <c r="AM1621">
        <f ca="1"/>
      </c>
      <c r="AN1621">
        <f ca="1"/>
      </c>
      <c r="AO1621">
        <f ca="1"/>
      </c>
      <c r="AP1621">
        <f ca="1"/>
      </c>
      <c r="AQ1621">
        <f ca="1"/>
      </c>
      <c r="AR1621">
        <f ca="1"/>
      </c>
      <c r="AT1621" s="7">
        <f ca="1"/>
      </c>
      <c r="AU1621">
        <f ca="1"/>
      </c>
      <c r="AV1621">
        <f ca="1"/>
      </c>
      <c r="AW1621">
        <f ca="1"/>
      </c>
      <c r="AX1621">
        <f ca="1"/>
      </c>
      <c r="AY1621">
        <f ca="1"/>
      </c>
      <c r="BA1621" s="7"/>
    </row>
    <row r="1622" spans="31:53" x14ac:dyDescent="0.55000000000000004">
      <c r="AE1622" s="7">
        <f ca="1"/>
      </c>
      <c r="AF1622">
        <f ca="1"/>
      </c>
      <c r="AG1622">
        <f ca="1"/>
      </c>
      <c r="AH1622">
        <f ca="1"/>
      </c>
      <c r="AI1622">
        <f ca="1"/>
      </c>
      <c r="AJ1622">
        <f ca="1"/>
      </c>
      <c r="AK1622">
        <f ca="1"/>
      </c>
      <c r="AL1622">
        <f ca="1"/>
      </c>
      <c r="AM1622">
        <f ca="1"/>
      </c>
      <c r="AN1622">
        <f ca="1"/>
      </c>
      <c r="AO1622">
        <f ca="1"/>
      </c>
      <c r="AP1622">
        <f ca="1"/>
      </c>
      <c r="AQ1622">
        <f ca="1"/>
      </c>
      <c r="AR1622">
        <f ca="1"/>
      </c>
      <c r="AT1622" s="7">
        <f ca="1"/>
      </c>
      <c r="AU1622">
        <f ca="1"/>
      </c>
      <c r="AV1622">
        <f ca="1"/>
      </c>
      <c r="AW1622">
        <f ca="1"/>
      </c>
      <c r="AX1622">
        <f ca="1"/>
      </c>
      <c r="AY1622">
        <f ca="1"/>
      </c>
      <c r="BA1622" s="7"/>
    </row>
    <row r="1623" spans="31:53" x14ac:dyDescent="0.55000000000000004">
      <c r="AE1623" s="7">
        <f ca="1"/>
      </c>
      <c r="AF1623">
        <f ca="1"/>
      </c>
      <c r="AG1623">
        <f ca="1"/>
      </c>
      <c r="AH1623">
        <f ca="1"/>
      </c>
      <c r="AI1623">
        <f ca="1"/>
      </c>
      <c r="AJ1623">
        <f ca="1"/>
      </c>
      <c r="AK1623">
        <f ca="1"/>
      </c>
      <c r="AL1623">
        <f ca="1"/>
      </c>
      <c r="AM1623">
        <f ca="1"/>
      </c>
      <c r="AN1623">
        <f ca="1"/>
      </c>
      <c r="AO1623">
        <f ca="1"/>
      </c>
      <c r="AP1623">
        <f ca="1"/>
      </c>
      <c r="AQ1623">
        <f ca="1"/>
      </c>
      <c r="AR1623">
        <f ca="1"/>
      </c>
      <c r="AT1623" s="7">
        <f ca="1"/>
      </c>
      <c r="AU1623">
        <f ca="1"/>
      </c>
      <c r="AV1623">
        <f ca="1"/>
      </c>
      <c r="AW1623">
        <f ca="1"/>
      </c>
      <c r="AX1623">
        <f ca="1"/>
      </c>
      <c r="AY1623">
        <f ca="1"/>
      </c>
      <c r="BA1623" s="7"/>
    </row>
    <row r="1624" spans="31:53" x14ac:dyDescent="0.55000000000000004">
      <c r="AE1624" s="7">
        <f ca="1"/>
      </c>
      <c r="AF1624">
        <f ca="1"/>
      </c>
      <c r="AG1624">
        <f ca="1"/>
      </c>
      <c r="AH1624">
        <f ca="1"/>
      </c>
      <c r="AI1624">
        <f ca="1"/>
      </c>
      <c r="AJ1624">
        <f ca="1"/>
      </c>
      <c r="AK1624">
        <f ca="1"/>
      </c>
      <c r="AL1624">
        <f ca="1"/>
      </c>
      <c r="AM1624">
        <f ca="1"/>
      </c>
      <c r="AN1624">
        <f ca="1"/>
      </c>
      <c r="AO1624">
        <f ca="1"/>
      </c>
      <c r="AP1624">
        <f ca="1"/>
      </c>
      <c r="AQ1624">
        <f ca="1"/>
      </c>
      <c r="AR1624">
        <f ca="1"/>
      </c>
      <c r="AT1624" s="7">
        <f ca="1"/>
      </c>
      <c r="AU1624">
        <f ca="1"/>
      </c>
      <c r="AV1624">
        <f ca="1"/>
      </c>
      <c r="AW1624">
        <f ca="1"/>
      </c>
      <c r="AX1624">
        <f ca="1"/>
      </c>
      <c r="AY1624">
        <f ca="1"/>
      </c>
      <c r="BA1624" s="7"/>
    </row>
    <row r="1625" spans="31:53" x14ac:dyDescent="0.55000000000000004">
      <c r="AE1625" s="7">
        <f ca="1"/>
      </c>
      <c r="AF1625">
        <f ca="1"/>
      </c>
      <c r="AG1625">
        <f ca="1"/>
      </c>
      <c r="AH1625">
        <f ca="1"/>
      </c>
      <c r="AI1625">
        <f ca="1"/>
      </c>
      <c r="AJ1625">
        <f ca="1"/>
      </c>
      <c r="AK1625">
        <f ca="1"/>
      </c>
      <c r="AL1625">
        <f ca="1"/>
      </c>
      <c r="AM1625">
        <f ca="1"/>
      </c>
      <c r="AN1625">
        <f ca="1"/>
      </c>
      <c r="AO1625">
        <f ca="1"/>
      </c>
      <c r="AP1625">
        <f ca="1"/>
      </c>
      <c r="AQ1625">
        <f ca="1"/>
      </c>
      <c r="AR1625">
        <f ca="1"/>
      </c>
      <c r="AT1625" s="7">
        <f ca="1"/>
      </c>
      <c r="AU1625">
        <f ca="1"/>
      </c>
      <c r="AV1625">
        <f ca="1"/>
      </c>
      <c r="AW1625">
        <f ca="1"/>
      </c>
      <c r="AX1625">
        <f ca="1"/>
      </c>
      <c r="AY1625">
        <f ca="1"/>
      </c>
      <c r="BA1625" s="7"/>
    </row>
    <row r="1626" spans="31:53" x14ac:dyDescent="0.55000000000000004">
      <c r="AE1626" s="7">
        <f ca="1"/>
      </c>
      <c r="AF1626">
        <f ca="1"/>
      </c>
      <c r="AG1626">
        <f ca="1"/>
      </c>
      <c r="AH1626">
        <f ca="1"/>
      </c>
      <c r="AI1626">
        <f ca="1"/>
      </c>
      <c r="AJ1626">
        <f ca="1"/>
      </c>
      <c r="AK1626">
        <f ca="1"/>
      </c>
      <c r="AL1626">
        <f ca="1"/>
      </c>
      <c r="AM1626">
        <f ca="1"/>
      </c>
      <c r="AN1626">
        <f ca="1"/>
      </c>
      <c r="AO1626">
        <f ca="1"/>
      </c>
      <c r="AP1626">
        <f ca="1"/>
      </c>
      <c r="AQ1626">
        <f ca="1"/>
      </c>
      <c r="AR1626">
        <f ca="1"/>
      </c>
      <c r="AT1626" s="7">
        <f ca="1"/>
      </c>
      <c r="AU1626">
        <f ca="1"/>
      </c>
      <c r="AV1626">
        <f ca="1"/>
      </c>
      <c r="AW1626">
        <f ca="1"/>
      </c>
      <c r="AX1626">
        <f ca="1"/>
      </c>
      <c r="AY1626">
        <f ca="1"/>
      </c>
      <c r="BA1626" s="7"/>
    </row>
    <row r="1627" spans="31:53" x14ac:dyDescent="0.55000000000000004">
      <c r="AE1627" s="7">
        <f ca="1"/>
      </c>
      <c r="AF1627">
        <f ca="1"/>
      </c>
      <c r="AG1627">
        <f ca="1"/>
      </c>
      <c r="AH1627">
        <f ca="1"/>
      </c>
      <c r="AI1627">
        <f ca="1"/>
      </c>
      <c r="AJ1627">
        <f ca="1"/>
      </c>
      <c r="AK1627">
        <f ca="1"/>
      </c>
      <c r="AL1627">
        <f ca="1"/>
      </c>
      <c r="AM1627">
        <f ca="1"/>
      </c>
      <c r="AN1627">
        <f ca="1"/>
      </c>
      <c r="AO1627">
        <f ca="1"/>
      </c>
      <c r="AP1627">
        <f ca="1"/>
      </c>
      <c r="AQ1627">
        <f ca="1"/>
      </c>
      <c r="AR1627">
        <f ca="1"/>
      </c>
      <c r="AT1627" s="7">
        <f ca="1"/>
      </c>
      <c r="AU1627">
        <f ca="1"/>
      </c>
      <c r="AV1627">
        <f ca="1"/>
      </c>
      <c r="AW1627">
        <f ca="1"/>
      </c>
      <c r="AX1627">
        <f ca="1"/>
      </c>
      <c r="AY1627">
        <f ca="1"/>
      </c>
      <c r="BA1627" s="7"/>
    </row>
    <row r="1628" spans="31:53" x14ac:dyDescent="0.55000000000000004">
      <c r="AE1628" s="7">
        <f ca="1"/>
      </c>
      <c r="AF1628">
        <f ca="1"/>
      </c>
      <c r="AG1628">
        <f ca="1"/>
      </c>
      <c r="AH1628">
        <f ca="1"/>
      </c>
      <c r="AI1628">
        <f ca="1"/>
      </c>
      <c r="AJ1628">
        <f ca="1"/>
      </c>
      <c r="AK1628">
        <f ca="1"/>
      </c>
      <c r="AL1628">
        <f ca="1"/>
      </c>
      <c r="AM1628">
        <f ca="1"/>
      </c>
      <c r="AN1628">
        <f ca="1"/>
      </c>
      <c r="AO1628">
        <f ca="1"/>
      </c>
      <c r="AP1628">
        <f ca="1"/>
      </c>
      <c r="AQ1628">
        <f ca="1"/>
      </c>
      <c r="AR1628">
        <f ca="1"/>
      </c>
      <c r="AT1628" s="7">
        <f ca="1"/>
      </c>
      <c r="AU1628">
        <f ca="1"/>
      </c>
      <c r="AV1628">
        <f ca="1"/>
      </c>
      <c r="AW1628">
        <f ca="1"/>
      </c>
      <c r="AX1628">
        <f ca="1"/>
      </c>
      <c r="AY1628">
        <f ca="1"/>
      </c>
      <c r="BA1628" s="7"/>
    </row>
    <row r="1629" spans="31:53" x14ac:dyDescent="0.55000000000000004">
      <c r="AE1629" s="7">
        <f ca="1"/>
      </c>
      <c r="AF1629">
        <f ca="1"/>
      </c>
      <c r="AG1629">
        <f ca="1"/>
      </c>
      <c r="AH1629">
        <f ca="1"/>
      </c>
      <c r="AI1629">
        <f ca="1"/>
      </c>
      <c r="AJ1629">
        <f ca="1"/>
      </c>
      <c r="AK1629">
        <f ca="1"/>
      </c>
      <c r="AL1629">
        <f ca="1"/>
      </c>
      <c r="AM1629">
        <f ca="1"/>
      </c>
      <c r="AN1629">
        <f ca="1"/>
      </c>
      <c r="AO1629">
        <f ca="1"/>
      </c>
      <c r="AP1629">
        <f ca="1"/>
      </c>
      <c r="AQ1629">
        <f ca="1"/>
      </c>
      <c r="AR1629">
        <f ca="1"/>
      </c>
      <c r="AT1629" s="7">
        <f ca="1"/>
      </c>
      <c r="AU1629">
        <f ca="1"/>
      </c>
      <c r="AV1629">
        <f ca="1"/>
      </c>
      <c r="AW1629">
        <f ca="1"/>
      </c>
      <c r="AX1629">
        <f ca="1"/>
      </c>
      <c r="AY1629">
        <f ca="1"/>
      </c>
      <c r="BA1629" s="7"/>
    </row>
    <row r="1630" spans="31:53" x14ac:dyDescent="0.55000000000000004">
      <c r="AE1630" s="7">
        <f ca="1"/>
      </c>
      <c r="AF1630">
        <f ca="1"/>
      </c>
      <c r="AG1630">
        <f ca="1"/>
      </c>
      <c r="AH1630">
        <f ca="1"/>
      </c>
      <c r="AI1630">
        <f ca="1"/>
      </c>
      <c r="AJ1630">
        <f ca="1"/>
      </c>
      <c r="AK1630">
        <f ca="1"/>
      </c>
      <c r="AL1630">
        <f ca="1"/>
      </c>
      <c r="AM1630">
        <f ca="1"/>
      </c>
      <c r="AN1630">
        <f ca="1"/>
      </c>
      <c r="AO1630">
        <f ca="1"/>
      </c>
      <c r="AP1630">
        <f ca="1"/>
      </c>
      <c r="AQ1630">
        <f ca="1"/>
      </c>
      <c r="AR1630">
        <f ca="1"/>
      </c>
      <c r="AT1630" s="7">
        <f ca="1"/>
      </c>
      <c r="AU1630">
        <f ca="1"/>
      </c>
      <c r="AV1630">
        <f ca="1"/>
      </c>
      <c r="AW1630">
        <f ca="1"/>
      </c>
      <c r="AX1630">
        <f ca="1"/>
      </c>
      <c r="AY1630">
        <f ca="1"/>
      </c>
      <c r="BA1630" s="7"/>
    </row>
    <row r="1631" spans="31:53" x14ac:dyDescent="0.55000000000000004">
      <c r="AE1631" s="7">
        <f ca="1"/>
      </c>
      <c r="AF1631">
        <f ca="1"/>
      </c>
      <c r="AG1631">
        <f ca="1"/>
      </c>
      <c r="AH1631">
        <f ca="1"/>
      </c>
      <c r="AI1631">
        <f ca="1"/>
      </c>
      <c r="AJ1631">
        <f ca="1"/>
      </c>
      <c r="AK1631">
        <f ca="1"/>
      </c>
      <c r="AL1631">
        <f ca="1"/>
      </c>
      <c r="AM1631">
        <f ca="1"/>
      </c>
      <c r="AN1631">
        <f ca="1"/>
      </c>
      <c r="AO1631">
        <f ca="1"/>
      </c>
      <c r="AP1631">
        <f ca="1"/>
      </c>
      <c r="AQ1631">
        <f ca="1"/>
      </c>
      <c r="AR1631">
        <f ca="1"/>
      </c>
      <c r="AT1631" s="7">
        <f ca="1"/>
      </c>
      <c r="AU1631">
        <f ca="1"/>
      </c>
      <c r="AV1631">
        <f ca="1"/>
      </c>
      <c r="AW1631">
        <f ca="1"/>
      </c>
      <c r="AX1631">
        <f ca="1"/>
      </c>
      <c r="AY1631">
        <f ca="1"/>
      </c>
      <c r="BA1631" s="7"/>
    </row>
    <row r="1632" spans="31:53" x14ac:dyDescent="0.55000000000000004">
      <c r="AE1632" s="7">
        <f ca="1"/>
      </c>
      <c r="AF1632">
        <f ca="1"/>
      </c>
      <c r="AG1632">
        <f ca="1"/>
      </c>
      <c r="AH1632">
        <f ca="1"/>
      </c>
      <c r="AI1632">
        <f ca="1"/>
      </c>
      <c r="AJ1632">
        <f ca="1"/>
      </c>
      <c r="AK1632">
        <f ca="1"/>
      </c>
      <c r="AL1632">
        <f ca="1"/>
      </c>
      <c r="AM1632">
        <f ca="1"/>
      </c>
      <c r="AN1632">
        <f ca="1"/>
      </c>
      <c r="AO1632">
        <f ca="1"/>
      </c>
      <c r="AP1632">
        <f ca="1"/>
      </c>
      <c r="AQ1632">
        <f ca="1"/>
      </c>
      <c r="AR1632">
        <f ca="1"/>
      </c>
      <c r="AT1632" s="7">
        <f ca="1"/>
      </c>
      <c r="AU1632">
        <f ca="1"/>
      </c>
      <c r="AV1632">
        <f ca="1"/>
      </c>
      <c r="AW1632">
        <f ca="1"/>
      </c>
      <c r="AX1632">
        <f ca="1"/>
      </c>
      <c r="AY1632">
        <f ca="1"/>
      </c>
      <c r="BA1632" s="7"/>
    </row>
    <row r="1633" spans="31:53" x14ac:dyDescent="0.55000000000000004">
      <c r="AE1633" s="7">
        <f ca="1"/>
      </c>
      <c r="AF1633">
        <f ca="1"/>
      </c>
      <c r="AG1633">
        <f ca="1"/>
      </c>
      <c r="AH1633">
        <f ca="1"/>
      </c>
      <c r="AI1633">
        <f ca="1"/>
      </c>
      <c r="AJ1633">
        <f ca="1"/>
      </c>
      <c r="AK1633">
        <f ca="1"/>
      </c>
      <c r="AL1633">
        <f ca="1"/>
      </c>
      <c r="AM1633">
        <f ca="1"/>
      </c>
      <c r="AN1633">
        <f ca="1"/>
      </c>
      <c r="AO1633">
        <f ca="1"/>
      </c>
      <c r="AP1633">
        <f ca="1"/>
      </c>
      <c r="AQ1633">
        <f ca="1"/>
      </c>
      <c r="AR1633">
        <f ca="1"/>
      </c>
      <c r="AT1633" s="7">
        <f ca="1"/>
      </c>
      <c r="AU1633">
        <f ca="1"/>
      </c>
      <c r="AV1633">
        <f ca="1"/>
      </c>
      <c r="AW1633">
        <f ca="1"/>
      </c>
      <c r="AX1633">
        <f ca="1"/>
      </c>
      <c r="AY1633">
        <f ca="1"/>
      </c>
      <c r="BA1633" s="7"/>
    </row>
    <row r="1634" spans="31:53" x14ac:dyDescent="0.55000000000000004">
      <c r="AE1634" s="7">
        <f ca="1"/>
      </c>
      <c r="AF1634">
        <f ca="1"/>
      </c>
      <c r="AG1634">
        <f ca="1"/>
      </c>
      <c r="AH1634">
        <f ca="1"/>
      </c>
      <c r="AI1634">
        <f ca="1"/>
      </c>
      <c r="AJ1634">
        <f ca="1"/>
      </c>
      <c r="AK1634">
        <f ca="1"/>
      </c>
      <c r="AL1634">
        <f ca="1"/>
      </c>
      <c r="AM1634">
        <f ca="1"/>
      </c>
      <c r="AN1634">
        <f ca="1"/>
      </c>
      <c r="AO1634">
        <f ca="1"/>
      </c>
      <c r="AP1634">
        <f ca="1"/>
      </c>
      <c r="AQ1634">
        <f ca="1"/>
      </c>
      <c r="AR1634">
        <f ca="1"/>
      </c>
      <c r="AT1634" s="7">
        <f ca="1"/>
      </c>
      <c r="AU1634">
        <f ca="1"/>
      </c>
      <c r="AV1634">
        <f ca="1"/>
      </c>
      <c r="AW1634">
        <f ca="1"/>
      </c>
      <c r="AX1634">
        <f ca="1"/>
      </c>
      <c r="AY1634">
        <f ca="1"/>
      </c>
      <c r="BA1634" s="7"/>
    </row>
    <row r="1635" spans="31:53" x14ac:dyDescent="0.55000000000000004">
      <c r="AE1635" s="7">
        <f ca="1"/>
      </c>
      <c r="AF1635">
        <f ca="1"/>
      </c>
      <c r="AG1635">
        <f ca="1"/>
      </c>
      <c r="AH1635">
        <f ca="1"/>
      </c>
      <c r="AI1635">
        <f ca="1"/>
      </c>
      <c r="AJ1635">
        <f ca="1"/>
      </c>
      <c r="AK1635">
        <f ca="1"/>
      </c>
      <c r="AL1635">
        <f ca="1"/>
      </c>
      <c r="AM1635">
        <f ca="1"/>
      </c>
      <c r="AN1635">
        <f ca="1"/>
      </c>
      <c r="AO1635">
        <f ca="1"/>
      </c>
      <c r="AP1635">
        <f ca="1"/>
      </c>
      <c r="AQ1635">
        <f ca="1"/>
      </c>
      <c r="AR1635">
        <f ca="1"/>
      </c>
      <c r="AT1635" s="7">
        <f ca="1"/>
      </c>
      <c r="AU1635">
        <f ca="1"/>
      </c>
      <c r="AV1635">
        <f ca="1"/>
      </c>
      <c r="AW1635">
        <f ca="1"/>
      </c>
      <c r="AX1635">
        <f ca="1"/>
      </c>
      <c r="AY1635">
        <f ca="1"/>
      </c>
      <c r="BA1635" s="7"/>
    </row>
    <row r="1636" spans="31:53" x14ac:dyDescent="0.55000000000000004">
      <c r="AE1636" s="7">
        <f ca="1"/>
      </c>
      <c r="AF1636">
        <f ca="1"/>
      </c>
      <c r="AG1636">
        <f ca="1"/>
      </c>
      <c r="AH1636">
        <f ca="1"/>
      </c>
      <c r="AI1636">
        <f ca="1"/>
      </c>
      <c r="AJ1636">
        <f ca="1"/>
      </c>
      <c r="AK1636">
        <f ca="1"/>
      </c>
      <c r="AL1636">
        <f ca="1"/>
      </c>
      <c r="AM1636">
        <f ca="1"/>
      </c>
      <c r="AN1636">
        <f ca="1"/>
      </c>
      <c r="AO1636">
        <f ca="1"/>
      </c>
      <c r="AP1636">
        <f ca="1"/>
      </c>
      <c r="AQ1636">
        <f ca="1"/>
      </c>
      <c r="AR1636">
        <f ca="1"/>
      </c>
      <c r="AT1636" s="7">
        <f ca="1"/>
      </c>
      <c r="AU1636">
        <f ca="1"/>
      </c>
      <c r="AV1636">
        <f ca="1"/>
      </c>
      <c r="AW1636">
        <f ca="1"/>
      </c>
      <c r="AX1636">
        <f ca="1"/>
      </c>
      <c r="AY1636">
        <f ca="1"/>
      </c>
      <c r="BA1636" s="7"/>
    </row>
    <row r="1637" spans="31:53" x14ac:dyDescent="0.55000000000000004">
      <c r="AE1637" s="7">
        <f ca="1"/>
      </c>
      <c r="AF1637">
        <f ca="1"/>
      </c>
      <c r="AG1637">
        <f ca="1"/>
      </c>
      <c r="AH1637">
        <f ca="1"/>
      </c>
      <c r="AI1637">
        <f ca="1"/>
      </c>
      <c r="AJ1637">
        <f ca="1"/>
      </c>
      <c r="AK1637">
        <f ca="1"/>
      </c>
      <c r="AL1637">
        <f ca="1"/>
      </c>
      <c r="AM1637">
        <f ca="1"/>
      </c>
      <c r="AN1637">
        <f ca="1"/>
      </c>
      <c r="AO1637">
        <f ca="1"/>
      </c>
      <c r="AP1637">
        <f ca="1"/>
      </c>
      <c r="AQ1637">
        <f ca="1"/>
      </c>
      <c r="AR1637">
        <f ca="1"/>
      </c>
      <c r="AT1637" s="7">
        <f ca="1"/>
      </c>
      <c r="AU1637">
        <f ca="1"/>
      </c>
      <c r="AV1637">
        <f ca="1"/>
      </c>
      <c r="AW1637">
        <f ca="1"/>
      </c>
      <c r="AX1637">
        <f ca="1"/>
      </c>
      <c r="AY1637">
        <f ca="1"/>
      </c>
      <c r="BA1637" s="7"/>
    </row>
    <row r="1638" spans="31:53" x14ac:dyDescent="0.55000000000000004">
      <c r="AE1638" s="7">
        <f ca="1"/>
      </c>
      <c r="AF1638">
        <f ca="1"/>
      </c>
      <c r="AG1638">
        <f ca="1"/>
      </c>
      <c r="AH1638">
        <f ca="1"/>
      </c>
      <c r="AI1638">
        <f ca="1"/>
      </c>
      <c r="AJ1638">
        <f ca="1"/>
      </c>
      <c r="AK1638">
        <f ca="1"/>
      </c>
      <c r="AL1638">
        <f ca="1"/>
      </c>
      <c r="AM1638">
        <f ca="1"/>
      </c>
      <c r="AN1638">
        <f ca="1"/>
      </c>
      <c r="AO1638">
        <f ca="1"/>
      </c>
      <c r="AP1638">
        <f ca="1"/>
      </c>
      <c r="AQ1638">
        <f ca="1"/>
      </c>
      <c r="AR1638">
        <f ca="1"/>
      </c>
      <c r="AT1638" s="7">
        <f ca="1"/>
      </c>
      <c r="AU1638">
        <f ca="1"/>
      </c>
      <c r="AV1638">
        <f ca="1"/>
      </c>
      <c r="AW1638">
        <f ca="1"/>
      </c>
      <c r="AX1638">
        <f ca="1"/>
      </c>
      <c r="AY1638">
        <f ca="1"/>
      </c>
      <c r="BA1638" s="7"/>
    </row>
    <row r="1639" spans="31:53" x14ac:dyDescent="0.55000000000000004">
      <c r="AE1639" s="7">
        <f ca="1"/>
      </c>
      <c r="AF1639">
        <f ca="1"/>
      </c>
      <c r="AG1639">
        <f ca="1"/>
      </c>
      <c r="AH1639">
        <f ca="1"/>
      </c>
      <c r="AI1639">
        <f ca="1"/>
      </c>
      <c r="AJ1639">
        <f ca="1"/>
      </c>
      <c r="AK1639">
        <f ca="1"/>
      </c>
      <c r="AL1639">
        <f ca="1"/>
      </c>
      <c r="AM1639">
        <f ca="1"/>
      </c>
      <c r="AN1639">
        <f ca="1"/>
      </c>
      <c r="AO1639">
        <f ca="1"/>
      </c>
      <c r="AP1639">
        <f ca="1"/>
      </c>
      <c r="AQ1639">
        <f ca="1"/>
      </c>
      <c r="AR1639">
        <f ca="1"/>
      </c>
      <c r="AT1639" s="7">
        <f ca="1"/>
      </c>
      <c r="AU1639">
        <f ca="1"/>
      </c>
      <c r="AV1639">
        <f ca="1"/>
      </c>
      <c r="AW1639">
        <f ca="1"/>
      </c>
      <c r="AX1639">
        <f ca="1"/>
      </c>
      <c r="AY1639">
        <f ca="1"/>
      </c>
      <c r="BA1639" s="7"/>
    </row>
    <row r="1640" spans="31:53" x14ac:dyDescent="0.55000000000000004">
      <c r="AE1640" s="7">
        <f ca="1"/>
      </c>
      <c r="AF1640">
        <f ca="1"/>
      </c>
      <c r="AG1640">
        <f ca="1"/>
      </c>
      <c r="AH1640">
        <f ca="1"/>
      </c>
      <c r="AI1640">
        <f ca="1"/>
      </c>
      <c r="AJ1640">
        <f ca="1"/>
      </c>
      <c r="AK1640">
        <f ca="1"/>
      </c>
      <c r="AL1640">
        <f ca="1"/>
      </c>
      <c r="AM1640">
        <f ca="1"/>
      </c>
      <c r="AN1640">
        <f ca="1"/>
      </c>
      <c r="AO1640">
        <f ca="1"/>
      </c>
      <c r="AP1640">
        <f ca="1"/>
      </c>
      <c r="AQ1640">
        <f ca="1"/>
      </c>
      <c r="AR1640">
        <f ca="1"/>
      </c>
      <c r="AT1640" s="7">
        <f ca="1"/>
      </c>
      <c r="AU1640">
        <f ca="1"/>
      </c>
      <c r="AV1640">
        <f ca="1"/>
      </c>
      <c r="AW1640">
        <f ca="1"/>
      </c>
      <c r="AX1640">
        <f ca="1"/>
      </c>
      <c r="AY1640">
        <f ca="1"/>
      </c>
      <c r="BA1640" s="7"/>
    </row>
    <row r="1641" spans="31:53" x14ac:dyDescent="0.55000000000000004">
      <c r="AE1641" s="7">
        <f ca="1"/>
      </c>
      <c r="AF1641">
        <f ca="1"/>
      </c>
      <c r="AG1641">
        <f ca="1"/>
      </c>
      <c r="AH1641">
        <f ca="1"/>
      </c>
      <c r="AI1641">
        <f ca="1"/>
      </c>
      <c r="AJ1641">
        <f ca="1"/>
      </c>
      <c r="AK1641">
        <f ca="1"/>
      </c>
      <c r="AL1641">
        <f ca="1"/>
      </c>
      <c r="AM1641">
        <f ca="1"/>
      </c>
      <c r="AN1641">
        <f ca="1"/>
      </c>
      <c r="AO1641">
        <f ca="1"/>
      </c>
      <c r="AP1641">
        <f ca="1"/>
      </c>
      <c r="AQ1641">
        <f ca="1"/>
      </c>
      <c r="AR1641">
        <f ca="1"/>
      </c>
      <c r="AT1641" s="7">
        <f ca="1"/>
      </c>
      <c r="AU1641">
        <f ca="1"/>
      </c>
      <c r="AV1641">
        <f ca="1"/>
      </c>
      <c r="AW1641">
        <f ca="1"/>
      </c>
      <c r="AX1641">
        <f ca="1"/>
      </c>
      <c r="AY1641">
        <f ca="1"/>
      </c>
      <c r="BA1641" s="7"/>
    </row>
    <row r="1642" spans="31:53" x14ac:dyDescent="0.55000000000000004">
      <c r="AE1642" s="7">
        <f ca="1"/>
      </c>
      <c r="AF1642">
        <f ca="1"/>
      </c>
      <c r="AG1642">
        <f ca="1"/>
      </c>
      <c r="AH1642">
        <f ca="1"/>
      </c>
      <c r="AI1642">
        <f ca="1"/>
      </c>
      <c r="AJ1642">
        <f ca="1"/>
      </c>
      <c r="AK1642">
        <f ca="1"/>
      </c>
      <c r="AL1642">
        <f ca="1"/>
      </c>
      <c r="AM1642">
        <f ca="1"/>
      </c>
      <c r="AN1642">
        <f ca="1"/>
      </c>
      <c r="AO1642">
        <f ca="1"/>
      </c>
      <c r="AP1642">
        <f ca="1"/>
      </c>
      <c r="AQ1642">
        <f ca="1"/>
      </c>
      <c r="AR1642">
        <f ca="1"/>
      </c>
      <c r="AT1642" s="7">
        <f ca="1"/>
      </c>
      <c r="AU1642">
        <f ca="1"/>
      </c>
      <c r="AV1642">
        <f ca="1"/>
      </c>
      <c r="AW1642">
        <f ca="1"/>
      </c>
      <c r="AX1642">
        <f ca="1"/>
      </c>
      <c r="AY1642">
        <f ca="1"/>
      </c>
      <c r="BA1642" s="7"/>
    </row>
    <row r="1643" spans="31:53" x14ac:dyDescent="0.55000000000000004">
      <c r="AE1643" s="7">
        <f ca="1"/>
      </c>
      <c r="AF1643">
        <f ca="1"/>
      </c>
      <c r="AG1643">
        <f ca="1"/>
      </c>
      <c r="AH1643">
        <f ca="1"/>
      </c>
      <c r="AI1643">
        <f ca="1"/>
      </c>
      <c r="AJ1643">
        <f ca="1"/>
      </c>
      <c r="AK1643">
        <f ca="1"/>
      </c>
      <c r="AL1643">
        <f ca="1"/>
      </c>
      <c r="AM1643">
        <f ca="1"/>
      </c>
      <c r="AN1643">
        <f ca="1"/>
      </c>
      <c r="AO1643">
        <f ca="1"/>
      </c>
      <c r="AP1643">
        <f ca="1"/>
      </c>
      <c r="AQ1643">
        <f ca="1"/>
      </c>
      <c r="AR1643">
        <f ca="1"/>
      </c>
      <c r="AT1643" s="7">
        <f ca="1"/>
      </c>
      <c r="AU1643">
        <f ca="1"/>
      </c>
      <c r="AV1643">
        <f ca="1"/>
      </c>
      <c r="AW1643">
        <f ca="1"/>
      </c>
      <c r="AX1643">
        <f ca="1"/>
      </c>
      <c r="AY1643">
        <f ca="1"/>
      </c>
      <c r="BA1643" s="7"/>
    </row>
    <row r="1644" spans="31:53" x14ac:dyDescent="0.55000000000000004">
      <c r="AE1644" s="7">
        <f ca="1"/>
      </c>
      <c r="AF1644">
        <f ca="1"/>
      </c>
      <c r="AG1644">
        <f ca="1"/>
      </c>
      <c r="AH1644">
        <f ca="1"/>
      </c>
      <c r="AI1644">
        <f ca="1"/>
      </c>
      <c r="AJ1644">
        <f ca="1"/>
      </c>
      <c r="AK1644">
        <f ca="1"/>
      </c>
      <c r="AL1644">
        <f ca="1"/>
      </c>
      <c r="AM1644">
        <f ca="1"/>
      </c>
      <c r="AN1644">
        <f ca="1"/>
      </c>
      <c r="AO1644">
        <f ca="1"/>
      </c>
      <c r="AP1644">
        <f ca="1"/>
      </c>
      <c r="AQ1644">
        <f ca="1"/>
      </c>
      <c r="AR1644">
        <f ca="1"/>
      </c>
      <c r="AT1644" s="7">
        <f ca="1"/>
      </c>
      <c r="AU1644">
        <f ca="1"/>
      </c>
      <c r="AV1644">
        <f ca="1"/>
      </c>
      <c r="AW1644">
        <f ca="1"/>
      </c>
      <c r="AX1644">
        <f ca="1"/>
      </c>
      <c r="AY1644">
        <f ca="1"/>
      </c>
      <c r="BA1644" s="7"/>
    </row>
    <row r="1645" spans="31:53" x14ac:dyDescent="0.55000000000000004">
      <c r="AE1645" s="7">
        <f ca="1"/>
      </c>
      <c r="AF1645">
        <f ca="1"/>
      </c>
      <c r="AG1645">
        <f ca="1"/>
      </c>
      <c r="AH1645">
        <f ca="1"/>
      </c>
      <c r="AI1645">
        <f ca="1"/>
      </c>
      <c r="AJ1645">
        <f ca="1"/>
      </c>
      <c r="AK1645">
        <f ca="1"/>
      </c>
      <c r="AL1645">
        <f ca="1"/>
      </c>
      <c r="AM1645">
        <f ca="1"/>
      </c>
      <c r="AN1645">
        <f ca="1"/>
      </c>
      <c r="AO1645">
        <f ca="1"/>
      </c>
      <c r="AP1645">
        <f ca="1"/>
      </c>
      <c r="AQ1645">
        <f ca="1"/>
      </c>
      <c r="AR1645">
        <f ca="1"/>
      </c>
      <c r="AT1645" s="7">
        <f ca="1"/>
      </c>
      <c r="AU1645">
        <f ca="1"/>
      </c>
      <c r="AV1645">
        <f ca="1"/>
      </c>
      <c r="AW1645">
        <f ca="1"/>
      </c>
      <c r="AX1645">
        <f ca="1"/>
      </c>
      <c r="AY1645">
        <f ca="1"/>
      </c>
      <c r="BA1645" s="7"/>
    </row>
    <row r="1646" spans="31:53" x14ac:dyDescent="0.55000000000000004">
      <c r="AE1646" s="7">
        <f ca="1"/>
      </c>
      <c r="AF1646">
        <f ca="1"/>
      </c>
      <c r="AG1646">
        <f ca="1"/>
      </c>
      <c r="AH1646">
        <f ca="1"/>
      </c>
      <c r="AI1646">
        <f ca="1"/>
      </c>
      <c r="AJ1646">
        <f ca="1"/>
      </c>
      <c r="AK1646">
        <f ca="1"/>
      </c>
      <c r="AL1646">
        <f ca="1"/>
      </c>
      <c r="AM1646">
        <f ca="1"/>
      </c>
      <c r="AN1646">
        <f ca="1"/>
      </c>
      <c r="AO1646">
        <f ca="1"/>
      </c>
      <c r="AP1646">
        <f ca="1"/>
      </c>
      <c r="AQ1646">
        <f ca="1"/>
      </c>
      <c r="AR1646">
        <f ca="1"/>
      </c>
      <c r="AT1646" s="7">
        <f ca="1"/>
      </c>
      <c r="AU1646">
        <f ca="1"/>
      </c>
      <c r="AV1646">
        <f ca="1"/>
      </c>
      <c r="AW1646">
        <f ca="1"/>
      </c>
      <c r="AX1646">
        <f ca="1"/>
      </c>
      <c r="AY1646">
        <f ca="1"/>
      </c>
      <c r="BA1646" s="7"/>
    </row>
    <row r="1647" spans="31:53" x14ac:dyDescent="0.55000000000000004">
      <c r="AE1647" s="7">
        <f ca="1"/>
      </c>
      <c r="AF1647">
        <f ca="1"/>
      </c>
      <c r="AG1647">
        <f ca="1"/>
      </c>
      <c r="AH1647">
        <f ca="1"/>
      </c>
      <c r="AI1647">
        <f ca="1"/>
      </c>
      <c r="AJ1647">
        <f ca="1"/>
      </c>
      <c r="AK1647">
        <f ca="1"/>
      </c>
      <c r="AL1647">
        <f ca="1"/>
      </c>
      <c r="AM1647">
        <f ca="1"/>
      </c>
      <c r="AN1647">
        <f ca="1"/>
      </c>
      <c r="AO1647">
        <f ca="1"/>
      </c>
      <c r="AP1647">
        <f ca="1"/>
      </c>
      <c r="AQ1647">
        <f ca="1"/>
      </c>
      <c r="AR1647">
        <f ca="1"/>
      </c>
      <c r="AT1647" s="7">
        <f ca="1"/>
      </c>
      <c r="AU1647">
        <f ca="1"/>
      </c>
      <c r="AV1647">
        <f ca="1"/>
      </c>
      <c r="AW1647">
        <f ca="1"/>
      </c>
      <c r="AX1647">
        <f ca="1"/>
      </c>
      <c r="AY1647">
        <f ca="1"/>
      </c>
      <c r="BA1647" s="7"/>
    </row>
    <row r="1648" spans="31:53" x14ac:dyDescent="0.55000000000000004">
      <c r="AE1648" s="7">
        <f ca="1"/>
      </c>
      <c r="AF1648">
        <f ca="1"/>
      </c>
      <c r="AG1648">
        <f ca="1"/>
      </c>
      <c r="AH1648">
        <f ca="1"/>
      </c>
      <c r="AI1648">
        <f ca="1"/>
      </c>
      <c r="AJ1648">
        <f ca="1"/>
      </c>
      <c r="AK1648">
        <f ca="1"/>
      </c>
      <c r="AL1648">
        <f ca="1"/>
      </c>
      <c r="AM1648">
        <f ca="1"/>
      </c>
      <c r="AN1648">
        <f ca="1"/>
      </c>
      <c r="AO1648">
        <f ca="1"/>
      </c>
      <c r="AP1648">
        <f ca="1"/>
      </c>
      <c r="AQ1648">
        <f ca="1"/>
      </c>
      <c r="AR1648">
        <f ca="1"/>
      </c>
      <c r="AT1648" s="7">
        <f ca="1"/>
      </c>
      <c r="AU1648">
        <f ca="1"/>
      </c>
      <c r="AV1648">
        <f ca="1"/>
      </c>
      <c r="AW1648">
        <f ca="1"/>
      </c>
      <c r="AX1648">
        <f ca="1"/>
      </c>
      <c r="AY1648">
        <f ca="1"/>
      </c>
      <c r="BA1648" s="7"/>
    </row>
    <row r="1649" spans="31:53" x14ac:dyDescent="0.55000000000000004">
      <c r="AE1649" s="7">
        <f ca="1"/>
      </c>
      <c r="AF1649">
        <f ca="1"/>
      </c>
      <c r="AG1649">
        <f ca="1"/>
      </c>
      <c r="AH1649">
        <f ca="1"/>
      </c>
      <c r="AI1649">
        <f ca="1"/>
      </c>
      <c r="AJ1649">
        <f ca="1"/>
      </c>
      <c r="AK1649">
        <f ca="1"/>
      </c>
      <c r="AL1649">
        <f ca="1"/>
      </c>
      <c r="AM1649">
        <f ca="1"/>
      </c>
      <c r="AN1649">
        <f ca="1"/>
      </c>
      <c r="AO1649">
        <f ca="1"/>
      </c>
      <c r="AP1649">
        <f ca="1"/>
      </c>
      <c r="AQ1649">
        <f ca="1"/>
      </c>
      <c r="AR1649">
        <f ca="1"/>
      </c>
      <c r="AT1649" s="7">
        <f ca="1"/>
      </c>
      <c r="AU1649">
        <f ca="1"/>
      </c>
      <c r="AV1649">
        <f ca="1"/>
      </c>
      <c r="AW1649">
        <f ca="1"/>
      </c>
      <c r="AX1649">
        <f ca="1"/>
      </c>
      <c r="AY1649">
        <f ca="1"/>
      </c>
      <c r="BA1649" s="7"/>
    </row>
    <row r="1650" spans="31:53" x14ac:dyDescent="0.55000000000000004">
      <c r="AE1650" s="7">
        <f ca="1"/>
      </c>
      <c r="AF1650">
        <f ca="1"/>
      </c>
      <c r="AG1650">
        <f ca="1"/>
      </c>
      <c r="AH1650">
        <f ca="1"/>
      </c>
      <c r="AI1650">
        <f ca="1"/>
      </c>
      <c r="AJ1650">
        <f ca="1"/>
      </c>
      <c r="AK1650">
        <f ca="1"/>
      </c>
      <c r="AL1650">
        <f ca="1"/>
      </c>
      <c r="AM1650">
        <f ca="1"/>
      </c>
      <c r="AN1650">
        <f ca="1"/>
      </c>
      <c r="AO1650">
        <f ca="1"/>
      </c>
      <c r="AP1650">
        <f ca="1"/>
      </c>
      <c r="AQ1650">
        <f ca="1"/>
      </c>
      <c r="AR1650">
        <f ca="1"/>
      </c>
      <c r="AT1650" s="7">
        <f ca="1"/>
      </c>
      <c r="AU1650">
        <f ca="1"/>
      </c>
      <c r="AV1650">
        <f ca="1"/>
      </c>
      <c r="AW1650">
        <f ca="1"/>
      </c>
      <c r="AX1650">
        <f ca="1"/>
      </c>
      <c r="AY1650">
        <f ca="1"/>
      </c>
      <c r="BA1650" s="7"/>
    </row>
    <row r="1651" spans="31:53" x14ac:dyDescent="0.55000000000000004">
      <c r="AE1651" s="7">
        <f ca="1"/>
      </c>
      <c r="AF1651">
        <f ca="1"/>
      </c>
      <c r="AG1651">
        <f ca="1"/>
      </c>
      <c r="AH1651">
        <f ca="1"/>
      </c>
      <c r="AI1651">
        <f ca="1"/>
      </c>
      <c r="AJ1651">
        <f ca="1"/>
      </c>
      <c r="AK1651">
        <f ca="1"/>
      </c>
      <c r="AL1651">
        <f ca="1"/>
      </c>
      <c r="AM1651">
        <f ca="1"/>
      </c>
      <c r="AN1651">
        <f ca="1"/>
      </c>
      <c r="AO1651">
        <f ca="1"/>
      </c>
      <c r="AP1651">
        <f ca="1"/>
      </c>
      <c r="AQ1651">
        <f ca="1"/>
      </c>
      <c r="AR1651">
        <f ca="1"/>
      </c>
      <c r="AT1651" s="7">
        <f ca="1"/>
      </c>
      <c r="AU1651">
        <f ca="1"/>
      </c>
      <c r="AV1651">
        <f ca="1"/>
      </c>
      <c r="AW1651">
        <f ca="1"/>
      </c>
      <c r="AX1651">
        <f ca="1"/>
      </c>
      <c r="AY1651">
        <f ca="1"/>
      </c>
      <c r="BA1651" s="7"/>
    </row>
    <row r="1652" spans="31:53" x14ac:dyDescent="0.55000000000000004">
      <c r="AE1652" s="7">
        <f ca="1"/>
      </c>
      <c r="AF1652">
        <f ca="1"/>
      </c>
      <c r="AG1652">
        <f ca="1"/>
      </c>
      <c r="AH1652">
        <f ca="1"/>
      </c>
      <c r="AI1652">
        <f ca="1"/>
      </c>
      <c r="AJ1652">
        <f ca="1"/>
      </c>
      <c r="AK1652">
        <f ca="1"/>
      </c>
      <c r="AL1652">
        <f ca="1"/>
      </c>
      <c r="AM1652">
        <f ca="1"/>
      </c>
      <c r="AN1652">
        <f ca="1"/>
      </c>
      <c r="AO1652">
        <f ca="1"/>
      </c>
      <c r="AP1652">
        <f ca="1"/>
      </c>
      <c r="AQ1652">
        <f ca="1"/>
      </c>
      <c r="AR1652">
        <f ca="1"/>
      </c>
      <c r="AT1652" s="7">
        <f ca="1"/>
      </c>
      <c r="AU1652">
        <f ca="1"/>
      </c>
      <c r="AV1652">
        <f ca="1"/>
      </c>
      <c r="AW1652">
        <f ca="1"/>
      </c>
      <c r="AX1652">
        <f ca="1"/>
      </c>
      <c r="AY1652">
        <f ca="1"/>
      </c>
      <c r="BA1652" s="7"/>
    </row>
    <row r="1653" spans="31:53" x14ac:dyDescent="0.55000000000000004">
      <c r="AE1653" s="7">
        <f ca="1"/>
      </c>
      <c r="AF1653">
        <f ca="1"/>
      </c>
      <c r="AG1653">
        <f ca="1"/>
      </c>
      <c r="AH1653">
        <f ca="1"/>
      </c>
      <c r="AI1653">
        <f ca="1"/>
      </c>
      <c r="AJ1653">
        <f ca="1"/>
      </c>
      <c r="AK1653">
        <f ca="1"/>
      </c>
      <c r="AL1653">
        <f ca="1"/>
      </c>
      <c r="AM1653">
        <f ca="1"/>
      </c>
      <c r="AN1653">
        <f ca="1"/>
      </c>
      <c r="AO1653">
        <f ca="1"/>
      </c>
      <c r="AP1653">
        <f ca="1"/>
      </c>
      <c r="AQ1653">
        <f ca="1"/>
      </c>
      <c r="AR1653">
        <f ca="1"/>
      </c>
      <c r="AT1653" s="7">
        <f ca="1"/>
      </c>
      <c r="AU1653">
        <f ca="1"/>
      </c>
      <c r="AV1653">
        <f ca="1"/>
      </c>
      <c r="AW1653">
        <f ca="1"/>
      </c>
      <c r="AX1653">
        <f ca="1"/>
      </c>
      <c r="AY1653">
        <f ca="1"/>
      </c>
      <c r="BA1653" s="7"/>
    </row>
    <row r="1654" spans="31:53" x14ac:dyDescent="0.55000000000000004">
      <c r="AE1654" s="7">
        <f ca="1"/>
      </c>
      <c r="AF1654">
        <f ca="1"/>
      </c>
      <c r="AG1654">
        <f ca="1"/>
      </c>
      <c r="AH1654">
        <f ca="1"/>
      </c>
      <c r="AI1654">
        <f ca="1"/>
      </c>
      <c r="AJ1654">
        <f ca="1"/>
      </c>
      <c r="AK1654">
        <f ca="1"/>
      </c>
      <c r="AL1654">
        <f ca="1"/>
      </c>
      <c r="AM1654">
        <f ca="1"/>
      </c>
      <c r="AN1654">
        <f ca="1"/>
      </c>
      <c r="AO1654">
        <f ca="1"/>
      </c>
      <c r="AP1654">
        <f ca="1"/>
      </c>
      <c r="AQ1654">
        <f ca="1"/>
      </c>
      <c r="AR1654">
        <f ca="1"/>
      </c>
      <c r="AT1654" s="7">
        <f ca="1"/>
      </c>
      <c r="AU1654">
        <f ca="1"/>
      </c>
      <c r="AV1654">
        <f ca="1"/>
      </c>
      <c r="AW1654">
        <f ca="1"/>
      </c>
      <c r="AX1654">
        <f ca="1"/>
      </c>
      <c r="AY1654">
        <f ca="1"/>
      </c>
      <c r="BA1654" s="7"/>
    </row>
    <row r="1655" spans="31:53" x14ac:dyDescent="0.55000000000000004">
      <c r="AE1655" s="7">
        <f ca="1"/>
      </c>
      <c r="AF1655">
        <f ca="1"/>
      </c>
      <c r="AG1655">
        <f ca="1"/>
      </c>
      <c r="AH1655">
        <f ca="1"/>
      </c>
      <c r="AI1655">
        <f ca="1"/>
      </c>
      <c r="AJ1655">
        <f ca="1"/>
      </c>
      <c r="AK1655">
        <f ca="1"/>
      </c>
      <c r="AL1655">
        <f ca="1"/>
      </c>
      <c r="AM1655">
        <f ca="1"/>
      </c>
      <c r="AN1655">
        <f ca="1"/>
      </c>
      <c r="AO1655">
        <f ca="1"/>
      </c>
      <c r="AP1655">
        <f ca="1"/>
      </c>
      <c r="AQ1655">
        <f ca="1"/>
      </c>
      <c r="AR1655">
        <f ca="1"/>
      </c>
      <c r="AT1655" s="7">
        <f ca="1"/>
      </c>
      <c r="AU1655">
        <f ca="1"/>
      </c>
      <c r="AV1655">
        <f ca="1"/>
      </c>
      <c r="AW1655">
        <f ca="1"/>
      </c>
      <c r="AX1655">
        <f ca="1"/>
      </c>
      <c r="AY1655">
        <f ca="1"/>
      </c>
      <c r="BA1655" s="7"/>
    </row>
    <row r="1656" spans="31:53" x14ac:dyDescent="0.55000000000000004">
      <c r="AE1656" s="7">
        <f ca="1"/>
      </c>
      <c r="AF1656">
        <f ca="1"/>
      </c>
      <c r="AG1656">
        <f ca="1"/>
      </c>
      <c r="AH1656">
        <f ca="1"/>
      </c>
      <c r="AI1656">
        <f ca="1"/>
      </c>
      <c r="AJ1656">
        <f ca="1"/>
      </c>
      <c r="AK1656">
        <f ca="1"/>
      </c>
      <c r="AL1656">
        <f ca="1"/>
      </c>
      <c r="AM1656">
        <f ca="1"/>
      </c>
      <c r="AN1656">
        <f ca="1"/>
      </c>
      <c r="AO1656">
        <f ca="1"/>
      </c>
      <c r="AP1656">
        <f ca="1"/>
      </c>
      <c r="AQ1656">
        <f ca="1"/>
      </c>
      <c r="AR1656">
        <f ca="1"/>
      </c>
      <c r="AT1656" s="7">
        <f ca="1"/>
      </c>
      <c r="AU1656">
        <f ca="1"/>
      </c>
      <c r="AV1656">
        <f ca="1"/>
      </c>
      <c r="AW1656">
        <f ca="1"/>
      </c>
      <c r="AX1656">
        <f ca="1"/>
      </c>
      <c r="AY1656">
        <f ca="1"/>
      </c>
      <c r="BA1656" s="7"/>
    </row>
    <row r="1657" spans="31:53" x14ac:dyDescent="0.55000000000000004">
      <c r="AE1657" s="7">
        <f ca="1"/>
      </c>
      <c r="AF1657">
        <f ca="1"/>
      </c>
      <c r="AG1657">
        <f ca="1"/>
      </c>
      <c r="AH1657">
        <f ca="1"/>
      </c>
      <c r="AI1657">
        <f ca="1"/>
      </c>
      <c r="AJ1657">
        <f ca="1"/>
      </c>
      <c r="AK1657">
        <f ca="1"/>
      </c>
      <c r="AL1657">
        <f ca="1"/>
      </c>
      <c r="AM1657">
        <f ca="1"/>
      </c>
      <c r="AN1657">
        <f ca="1"/>
      </c>
      <c r="AO1657">
        <f ca="1"/>
      </c>
      <c r="AP1657">
        <f ca="1"/>
      </c>
      <c r="AQ1657">
        <f ca="1"/>
      </c>
      <c r="AR1657">
        <f ca="1"/>
      </c>
      <c r="AT1657" s="7">
        <f ca="1"/>
      </c>
      <c r="AU1657">
        <f ca="1"/>
      </c>
      <c r="AV1657">
        <f ca="1"/>
      </c>
      <c r="AW1657">
        <f ca="1"/>
      </c>
      <c r="AX1657">
        <f ca="1"/>
      </c>
      <c r="AY1657">
        <f ca="1"/>
      </c>
      <c r="BA1657" s="7"/>
    </row>
    <row r="1658" spans="31:53" x14ac:dyDescent="0.55000000000000004">
      <c r="AE1658" s="7">
        <f ca="1"/>
      </c>
      <c r="AF1658">
        <f ca="1"/>
      </c>
      <c r="AG1658">
        <f ca="1"/>
      </c>
      <c r="AH1658">
        <f ca="1"/>
      </c>
      <c r="AI1658">
        <f ca="1"/>
      </c>
      <c r="AJ1658">
        <f ca="1"/>
      </c>
      <c r="AK1658">
        <f ca="1"/>
      </c>
      <c r="AL1658">
        <f ca="1"/>
      </c>
      <c r="AM1658">
        <f ca="1"/>
      </c>
      <c r="AN1658">
        <f ca="1"/>
      </c>
      <c r="AO1658">
        <f ca="1"/>
      </c>
      <c r="AP1658">
        <f ca="1"/>
      </c>
      <c r="AQ1658">
        <f ca="1"/>
      </c>
      <c r="AR1658">
        <f ca="1"/>
      </c>
      <c r="AT1658" s="7">
        <f ca="1"/>
      </c>
      <c r="AU1658">
        <f ca="1"/>
      </c>
      <c r="AV1658">
        <f ca="1"/>
      </c>
      <c r="AW1658">
        <f ca="1"/>
      </c>
      <c r="AX1658">
        <f ca="1"/>
      </c>
      <c r="AY1658">
        <f ca="1"/>
      </c>
      <c r="BA1658" s="7"/>
    </row>
    <row r="1659" spans="31:53" x14ac:dyDescent="0.55000000000000004">
      <c r="AE1659" s="7">
        <f ca="1"/>
      </c>
      <c r="AF1659">
        <f ca="1"/>
      </c>
      <c r="AG1659">
        <f ca="1"/>
      </c>
      <c r="AH1659">
        <f ca="1"/>
      </c>
      <c r="AI1659">
        <f ca="1"/>
      </c>
      <c r="AJ1659">
        <f ca="1"/>
      </c>
      <c r="AK1659">
        <f ca="1"/>
      </c>
      <c r="AL1659">
        <f ca="1"/>
      </c>
      <c r="AM1659">
        <f ca="1"/>
      </c>
      <c r="AN1659">
        <f ca="1"/>
      </c>
      <c r="AO1659">
        <f ca="1"/>
      </c>
      <c r="AP1659">
        <f ca="1"/>
      </c>
      <c r="AQ1659">
        <f ca="1"/>
      </c>
      <c r="AR1659">
        <f ca="1"/>
      </c>
      <c r="AT1659" s="7">
        <f ca="1"/>
      </c>
      <c r="AU1659">
        <f ca="1"/>
      </c>
      <c r="AV1659">
        <f ca="1"/>
      </c>
      <c r="AW1659">
        <f ca="1"/>
      </c>
      <c r="AX1659">
        <f ca="1"/>
      </c>
      <c r="AY1659">
        <f ca="1"/>
      </c>
      <c r="BA1659" s="7"/>
    </row>
    <row r="1660" spans="31:53" x14ac:dyDescent="0.55000000000000004">
      <c r="AE1660" s="7">
        <f ca="1"/>
      </c>
      <c r="AF1660">
        <f ca="1"/>
      </c>
      <c r="AG1660">
        <f ca="1"/>
      </c>
      <c r="AH1660">
        <f ca="1"/>
      </c>
      <c r="AI1660">
        <f ca="1"/>
      </c>
      <c r="AJ1660">
        <f ca="1"/>
      </c>
      <c r="AK1660">
        <f ca="1"/>
      </c>
      <c r="AL1660">
        <f ca="1"/>
      </c>
      <c r="AM1660">
        <f ca="1"/>
      </c>
      <c r="AN1660">
        <f ca="1"/>
      </c>
      <c r="AO1660">
        <f ca="1"/>
      </c>
      <c r="AP1660">
        <f ca="1"/>
      </c>
      <c r="AQ1660">
        <f ca="1"/>
      </c>
      <c r="AR1660">
        <f ca="1"/>
      </c>
      <c r="AT1660" s="7">
        <f ca="1"/>
      </c>
      <c r="AU1660">
        <f ca="1"/>
      </c>
      <c r="AV1660">
        <f ca="1"/>
      </c>
      <c r="AW1660">
        <f ca="1"/>
      </c>
      <c r="AX1660">
        <f ca="1"/>
      </c>
      <c r="AY1660">
        <f ca="1"/>
      </c>
      <c r="BA1660" s="7"/>
    </row>
    <row r="1661" spans="31:53" x14ac:dyDescent="0.55000000000000004">
      <c r="AE1661" s="7">
        <f ca="1"/>
      </c>
      <c r="AF1661">
        <f ca="1"/>
      </c>
      <c r="AG1661">
        <f ca="1"/>
      </c>
      <c r="AH1661">
        <f ca="1"/>
      </c>
      <c r="AI1661">
        <f ca="1"/>
      </c>
      <c r="AJ1661">
        <f ca="1"/>
      </c>
      <c r="AK1661">
        <f ca="1"/>
      </c>
      <c r="AL1661">
        <f ca="1"/>
      </c>
      <c r="AM1661">
        <f ca="1"/>
      </c>
      <c r="AN1661">
        <f ca="1"/>
      </c>
      <c r="AO1661">
        <f ca="1"/>
      </c>
      <c r="AP1661">
        <f ca="1"/>
      </c>
      <c r="AQ1661">
        <f ca="1"/>
      </c>
      <c r="AR1661">
        <f ca="1"/>
      </c>
      <c r="AT1661" s="7">
        <f ca="1"/>
      </c>
      <c r="AU1661">
        <f ca="1"/>
      </c>
      <c r="AV1661">
        <f ca="1"/>
      </c>
      <c r="AW1661">
        <f ca="1"/>
      </c>
      <c r="AX1661">
        <f ca="1"/>
      </c>
      <c r="AY1661">
        <f ca="1"/>
      </c>
      <c r="BA1661" s="7"/>
    </row>
    <row r="1662" spans="31:53" x14ac:dyDescent="0.55000000000000004">
      <c r="AE1662" s="7">
        <f ca="1"/>
      </c>
      <c r="AF1662">
        <f ca="1"/>
      </c>
      <c r="AG1662">
        <f ca="1"/>
      </c>
      <c r="AH1662">
        <f ca="1"/>
      </c>
      <c r="AI1662">
        <f ca="1"/>
      </c>
      <c r="AJ1662">
        <f ca="1"/>
      </c>
      <c r="AK1662">
        <f ca="1"/>
      </c>
      <c r="AL1662">
        <f ca="1"/>
      </c>
      <c r="AM1662">
        <f ca="1"/>
      </c>
      <c r="AN1662">
        <f ca="1"/>
      </c>
      <c r="AO1662">
        <f ca="1"/>
      </c>
      <c r="AP1662">
        <f ca="1"/>
      </c>
      <c r="AQ1662">
        <f ca="1"/>
      </c>
      <c r="AR1662">
        <f ca="1"/>
      </c>
      <c r="AT1662" s="7">
        <f ca="1"/>
      </c>
      <c r="AU1662">
        <f ca="1"/>
      </c>
      <c r="AV1662">
        <f ca="1"/>
      </c>
      <c r="AW1662">
        <f ca="1"/>
      </c>
      <c r="AX1662">
        <f ca="1"/>
      </c>
      <c r="AY1662">
        <f ca="1"/>
      </c>
      <c r="BA1662" s="7"/>
    </row>
    <row r="1663" spans="31:53" x14ac:dyDescent="0.55000000000000004">
      <c r="AE1663" s="7">
        <f ca="1"/>
      </c>
      <c r="AF1663">
        <f ca="1"/>
      </c>
      <c r="AG1663">
        <f ca="1"/>
      </c>
      <c r="AH1663">
        <f ca="1"/>
      </c>
      <c r="AI1663">
        <f ca="1"/>
      </c>
      <c r="AJ1663">
        <f ca="1"/>
      </c>
      <c r="AK1663">
        <f ca="1"/>
      </c>
      <c r="AL1663">
        <f ca="1"/>
      </c>
      <c r="AM1663">
        <f ca="1"/>
      </c>
      <c r="AN1663">
        <f ca="1"/>
      </c>
      <c r="AO1663">
        <f ca="1"/>
      </c>
      <c r="AP1663">
        <f ca="1"/>
      </c>
      <c r="AQ1663">
        <f ca="1"/>
      </c>
      <c r="AR1663">
        <f ca="1"/>
      </c>
      <c r="AT1663" s="7">
        <f ca="1"/>
      </c>
      <c r="AU1663">
        <f ca="1"/>
      </c>
      <c r="AV1663">
        <f ca="1"/>
      </c>
      <c r="AW1663">
        <f ca="1"/>
      </c>
      <c r="AX1663">
        <f ca="1"/>
      </c>
      <c r="AY1663">
        <f ca="1"/>
      </c>
      <c r="BA1663" s="7"/>
    </row>
    <row r="1664" spans="31:53" x14ac:dyDescent="0.55000000000000004">
      <c r="AE1664" s="7">
        <f ca="1"/>
      </c>
      <c r="AF1664">
        <f ca="1"/>
      </c>
      <c r="AG1664">
        <f ca="1"/>
      </c>
      <c r="AH1664">
        <f ca="1"/>
      </c>
      <c r="AI1664">
        <f ca="1"/>
      </c>
      <c r="AJ1664">
        <f ca="1"/>
      </c>
      <c r="AK1664">
        <f ca="1"/>
      </c>
      <c r="AL1664">
        <f ca="1"/>
      </c>
      <c r="AM1664">
        <f ca="1"/>
      </c>
      <c r="AN1664">
        <f ca="1"/>
      </c>
      <c r="AO1664">
        <f ca="1"/>
      </c>
      <c r="AP1664">
        <f ca="1"/>
      </c>
      <c r="AQ1664">
        <f ca="1"/>
      </c>
      <c r="AR1664">
        <f ca="1"/>
      </c>
      <c r="AT1664" s="7">
        <f ca="1"/>
      </c>
      <c r="AU1664">
        <f ca="1"/>
      </c>
      <c r="AV1664">
        <f ca="1"/>
      </c>
      <c r="AW1664">
        <f ca="1"/>
      </c>
      <c r="AX1664">
        <f ca="1"/>
      </c>
      <c r="AY1664">
        <f ca="1"/>
      </c>
      <c r="BA1664" s="7"/>
    </row>
    <row r="1665" spans="31:53" x14ac:dyDescent="0.55000000000000004">
      <c r="AE1665" s="7">
        <f ca="1"/>
      </c>
      <c r="AF1665">
        <f ca="1"/>
      </c>
      <c r="AG1665">
        <f ca="1"/>
      </c>
      <c r="AH1665">
        <f ca="1"/>
      </c>
      <c r="AI1665">
        <f ca="1"/>
      </c>
      <c r="AJ1665">
        <f ca="1"/>
      </c>
      <c r="AK1665">
        <f ca="1"/>
      </c>
      <c r="AL1665">
        <f ca="1"/>
      </c>
      <c r="AM1665">
        <f ca="1"/>
      </c>
      <c r="AN1665">
        <f ca="1"/>
      </c>
      <c r="AO1665">
        <f ca="1"/>
      </c>
      <c r="AP1665">
        <f ca="1"/>
      </c>
      <c r="AQ1665">
        <f ca="1"/>
      </c>
      <c r="AR1665">
        <f ca="1"/>
      </c>
      <c r="AT1665" s="7">
        <f ca="1"/>
      </c>
      <c r="AU1665">
        <f ca="1"/>
      </c>
      <c r="AV1665">
        <f ca="1"/>
      </c>
      <c r="AW1665">
        <f ca="1"/>
      </c>
      <c r="AX1665">
        <f ca="1"/>
      </c>
      <c r="AY1665">
        <f ca="1"/>
      </c>
      <c r="BA1665" s="7"/>
    </row>
    <row r="1666" spans="31:53" x14ac:dyDescent="0.55000000000000004">
      <c r="AE1666" s="7"/>
      <c r="AT1666" s="7"/>
      <c r="BA1666" s="7"/>
    </row>
    <row r="1667" spans="31:53" x14ac:dyDescent="0.55000000000000004">
      <c r="AE1667" s="7"/>
      <c r="AT1667" s="7"/>
      <c r="BA1667" s="7"/>
    </row>
    <row r="1668" spans="31:53" x14ac:dyDescent="0.55000000000000004">
      <c r="AE1668" s="7"/>
      <c r="AT1668" s="7"/>
      <c r="BA1668" s="7"/>
    </row>
    <row r="1669" spans="31:53" x14ac:dyDescent="0.55000000000000004">
      <c r="AE1669" s="7"/>
      <c r="AT1669" s="7"/>
      <c r="BA1669" s="7"/>
    </row>
    <row r="1670" spans="31:53" x14ac:dyDescent="0.55000000000000004">
      <c r="AE1670" s="7"/>
      <c r="AT1670" s="7"/>
      <c r="BA1670" s="7"/>
    </row>
    <row r="1671" spans="31:53" x14ac:dyDescent="0.55000000000000004">
      <c r="AE1671" s="7"/>
      <c r="AT1671" s="7"/>
      <c r="BA1671" s="7"/>
    </row>
    <row r="1672" spans="31:53" x14ac:dyDescent="0.55000000000000004">
      <c r="AE1672" s="7"/>
      <c r="AT1672" s="7"/>
      <c r="BA1672" s="7"/>
    </row>
    <row r="1673" spans="31:53" x14ac:dyDescent="0.55000000000000004">
      <c r="AE1673" s="7"/>
      <c r="AT1673" s="7"/>
      <c r="BA1673" s="7"/>
    </row>
    <row r="1674" spans="31:53" x14ac:dyDescent="0.55000000000000004">
      <c r="AE1674" s="7"/>
      <c r="AT1674" s="7"/>
      <c r="BA1674" s="7"/>
    </row>
    <row r="1675" spans="31:53" x14ac:dyDescent="0.55000000000000004">
      <c r="AE1675" s="7"/>
      <c r="AT1675" s="7"/>
      <c r="BA1675" s="7"/>
    </row>
    <row r="1676" spans="31:53" x14ac:dyDescent="0.55000000000000004">
      <c r="AE1676" s="7"/>
      <c r="AT1676" s="7"/>
      <c r="BA1676" s="7"/>
    </row>
    <row r="1677" spans="31:53" x14ac:dyDescent="0.55000000000000004">
      <c r="AE1677" s="7"/>
      <c r="AT1677" s="7"/>
      <c r="BA1677" s="7"/>
    </row>
    <row r="1678" spans="31:53" x14ac:dyDescent="0.55000000000000004">
      <c r="AE1678" s="7"/>
      <c r="AT1678" s="7"/>
      <c r="BA1678" s="7"/>
    </row>
    <row r="1679" spans="31:53" x14ac:dyDescent="0.55000000000000004">
      <c r="AE1679" s="7"/>
      <c r="AT1679" s="7"/>
      <c r="BA1679" s="7"/>
    </row>
    <row r="1680" spans="31:53" x14ac:dyDescent="0.55000000000000004">
      <c r="AE1680" s="7"/>
      <c r="AT1680" s="7"/>
      <c r="BA1680" s="7"/>
    </row>
    <row r="1681" spans="31:53" x14ac:dyDescent="0.55000000000000004">
      <c r="AE1681" s="7"/>
      <c r="AT1681" s="7"/>
      <c r="BA1681" s="7"/>
    </row>
    <row r="1682" spans="31:53" x14ac:dyDescent="0.55000000000000004">
      <c r="AE1682" s="7"/>
      <c r="AT1682" s="7"/>
      <c r="BA1682" s="7"/>
    </row>
    <row r="1683" spans="31:53" x14ac:dyDescent="0.55000000000000004">
      <c r="AE1683" s="7"/>
      <c r="AT1683" s="7"/>
      <c r="BA1683" s="7"/>
    </row>
    <row r="1684" spans="31:53" x14ac:dyDescent="0.55000000000000004">
      <c r="AE1684" s="7"/>
      <c r="AT1684" s="7"/>
      <c r="BA1684" s="7"/>
    </row>
    <row r="1685" spans="31:53" x14ac:dyDescent="0.55000000000000004">
      <c r="AE1685" s="7"/>
      <c r="AT1685" s="7"/>
      <c r="BA1685" s="7"/>
    </row>
    <row r="1686" spans="31:53" x14ac:dyDescent="0.55000000000000004">
      <c r="AE1686" s="7"/>
      <c r="AT1686" s="7"/>
      <c r="BA1686" s="7"/>
    </row>
    <row r="1687" spans="31:53" x14ac:dyDescent="0.55000000000000004">
      <c r="AE1687" s="7"/>
      <c r="AT1687" s="7"/>
      <c r="BA1687" s="7"/>
    </row>
    <row r="1688" spans="31:53" x14ac:dyDescent="0.55000000000000004">
      <c r="AE1688" s="7"/>
      <c r="AT1688" s="7"/>
      <c r="BA1688" s="7"/>
    </row>
    <row r="1689" spans="31:53" x14ac:dyDescent="0.55000000000000004">
      <c r="AE1689" s="7"/>
      <c r="AT1689" s="7"/>
      <c r="BA1689" s="7"/>
    </row>
    <row r="1690" spans="31:53" x14ac:dyDescent="0.55000000000000004">
      <c r="AE1690" s="7"/>
      <c r="AT1690" s="7"/>
      <c r="BA1690" s="7"/>
    </row>
    <row r="1691" spans="31:53" x14ac:dyDescent="0.55000000000000004">
      <c r="AE1691" s="7"/>
      <c r="AT1691" s="7"/>
      <c r="BA1691" s="7"/>
    </row>
    <row r="1692" spans="31:53" x14ac:dyDescent="0.55000000000000004">
      <c r="AE1692" s="7"/>
      <c r="AT1692" s="7"/>
      <c r="BA1692" s="7"/>
    </row>
    <row r="1693" spans="31:53" x14ac:dyDescent="0.55000000000000004">
      <c r="AE1693" s="7"/>
      <c r="AT1693" s="7"/>
      <c r="BA1693" s="7"/>
    </row>
    <row r="1694" spans="31:53" x14ac:dyDescent="0.55000000000000004">
      <c r="AE1694" s="7"/>
      <c r="AT1694" s="7"/>
      <c r="BA1694" s="7"/>
    </row>
    <row r="1695" spans="31:53" x14ac:dyDescent="0.55000000000000004">
      <c r="AE1695" s="7"/>
      <c r="AT1695" s="7"/>
      <c r="BA1695" s="7"/>
    </row>
    <row r="1696" spans="31:53" x14ac:dyDescent="0.55000000000000004">
      <c r="AE1696" s="7"/>
      <c r="AT1696" s="7"/>
      <c r="BA1696" s="7"/>
    </row>
    <row r="1697" spans="31:53" x14ac:dyDescent="0.55000000000000004">
      <c r="AE1697" s="7"/>
      <c r="AT1697" s="7"/>
      <c r="BA1697" s="7"/>
    </row>
    <row r="1698" spans="31:53" x14ac:dyDescent="0.55000000000000004">
      <c r="AE1698" s="7"/>
      <c r="AT1698" s="7"/>
      <c r="BA1698" s="7"/>
    </row>
    <row r="1699" spans="31:53" x14ac:dyDescent="0.55000000000000004">
      <c r="AE1699" s="7"/>
      <c r="AT1699" s="7"/>
      <c r="BA1699" s="7"/>
    </row>
    <row r="1700" spans="31:53" x14ac:dyDescent="0.55000000000000004">
      <c r="AE1700" s="7"/>
      <c r="AT1700" s="7"/>
      <c r="BA1700" s="7"/>
    </row>
    <row r="1701" spans="31:53" x14ac:dyDescent="0.55000000000000004">
      <c r="AE1701" s="7"/>
      <c r="AT1701" s="7"/>
      <c r="BA1701" s="7"/>
    </row>
    <row r="1702" spans="31:53" x14ac:dyDescent="0.55000000000000004">
      <c r="AE1702" s="7"/>
      <c r="AT1702" s="7"/>
      <c r="BA1702" s="7"/>
    </row>
    <row r="1703" spans="31:53" x14ac:dyDescent="0.55000000000000004">
      <c r="AE1703" s="7"/>
      <c r="AT1703" s="7"/>
      <c r="BA1703" s="7"/>
    </row>
    <row r="1704" spans="31:53" x14ac:dyDescent="0.55000000000000004">
      <c r="AE1704" s="7"/>
      <c r="AT1704" s="7"/>
      <c r="BA1704" s="7"/>
    </row>
    <row r="1705" spans="31:53" x14ac:dyDescent="0.55000000000000004">
      <c r="AE1705" s="7"/>
      <c r="AT1705" s="7"/>
      <c r="BA1705" s="7"/>
    </row>
    <row r="1706" spans="31:53" x14ac:dyDescent="0.55000000000000004">
      <c r="AE1706" s="7"/>
      <c r="AT1706" s="7"/>
      <c r="BA1706" s="7"/>
    </row>
    <row r="1707" spans="31:53" x14ac:dyDescent="0.55000000000000004">
      <c r="AE1707" s="7"/>
      <c r="AT1707" s="7"/>
      <c r="BA1707" s="7"/>
    </row>
    <row r="1708" spans="31:53" x14ac:dyDescent="0.55000000000000004">
      <c r="AE1708" s="7"/>
      <c r="AT1708" s="7"/>
      <c r="BA1708" s="7"/>
    </row>
    <row r="1709" spans="31:53" x14ac:dyDescent="0.55000000000000004">
      <c r="AE1709" s="7"/>
      <c r="AT1709" s="7"/>
      <c r="BA1709" s="7"/>
    </row>
    <row r="1710" spans="31:53" x14ac:dyDescent="0.55000000000000004">
      <c r="AE1710" s="7"/>
      <c r="AT1710" s="7"/>
      <c r="BA1710" s="7"/>
    </row>
    <row r="1711" spans="31:53" x14ac:dyDescent="0.55000000000000004">
      <c r="AE1711" s="7"/>
      <c r="AT1711" s="7"/>
      <c r="BA1711" s="7"/>
    </row>
    <row r="1712" spans="31:53" x14ac:dyDescent="0.55000000000000004">
      <c r="AE1712" s="7"/>
      <c r="AT1712" s="7"/>
      <c r="BA1712" s="7"/>
    </row>
    <row r="1713" spans="31:53" x14ac:dyDescent="0.55000000000000004">
      <c r="AE1713" s="7"/>
      <c r="AT1713" s="7"/>
      <c r="BA1713" s="7"/>
    </row>
    <row r="1714" spans="31:53" x14ac:dyDescent="0.55000000000000004">
      <c r="AE1714" s="7"/>
      <c r="AT1714" s="7"/>
      <c r="BA1714" s="7"/>
    </row>
    <row r="1715" spans="31:53" x14ac:dyDescent="0.55000000000000004">
      <c r="AE1715" s="7"/>
      <c r="AT1715" s="7"/>
      <c r="BA1715" s="7"/>
    </row>
    <row r="1716" spans="31:53" x14ac:dyDescent="0.55000000000000004">
      <c r="AE1716" s="7"/>
      <c r="AT1716" s="7"/>
      <c r="BA1716" s="7"/>
    </row>
    <row r="1717" spans="31:53" x14ac:dyDescent="0.55000000000000004">
      <c r="AE1717" s="7"/>
      <c r="AT1717" s="7"/>
      <c r="BA1717" s="7"/>
    </row>
    <row r="1718" spans="31:53" x14ac:dyDescent="0.55000000000000004">
      <c r="AE1718" s="7"/>
      <c r="AT1718" s="7"/>
      <c r="BA1718" s="7"/>
    </row>
    <row r="1719" spans="31:53" x14ac:dyDescent="0.55000000000000004">
      <c r="AE1719" s="7"/>
      <c r="AT1719" s="7"/>
      <c r="BA1719" s="7"/>
    </row>
    <row r="1720" spans="31:53" x14ac:dyDescent="0.55000000000000004">
      <c r="AE1720" s="7"/>
      <c r="AT1720" s="7"/>
      <c r="BA1720" s="7"/>
    </row>
    <row r="1721" spans="31:53" x14ac:dyDescent="0.55000000000000004">
      <c r="AE1721" s="7"/>
      <c r="AT1721" s="7"/>
      <c r="BA1721" s="7"/>
    </row>
    <row r="1722" spans="31:53" x14ac:dyDescent="0.55000000000000004">
      <c r="AE1722" s="7"/>
      <c r="AT1722" s="7"/>
      <c r="BA1722" s="7"/>
    </row>
    <row r="1723" spans="31:53" x14ac:dyDescent="0.55000000000000004">
      <c r="AE1723" s="7"/>
      <c r="AT1723" s="7"/>
      <c r="BA1723" s="7"/>
    </row>
    <row r="1724" spans="31:53" x14ac:dyDescent="0.55000000000000004">
      <c r="AE1724" s="7"/>
      <c r="AT1724" s="7"/>
      <c r="BA1724" s="7"/>
    </row>
    <row r="1725" spans="31:53" x14ac:dyDescent="0.55000000000000004">
      <c r="AE1725" s="7"/>
      <c r="AT1725" s="7"/>
      <c r="BA1725" s="7"/>
    </row>
    <row r="1726" spans="31:53" x14ac:dyDescent="0.55000000000000004">
      <c r="AE1726" s="7"/>
      <c r="AT1726" s="7"/>
      <c r="BA1726" s="7"/>
    </row>
    <row r="1727" spans="31:53" x14ac:dyDescent="0.55000000000000004">
      <c r="AE1727" s="7"/>
      <c r="AT1727" s="7"/>
      <c r="BA1727" s="7"/>
    </row>
    <row r="1728" spans="31:53" x14ac:dyDescent="0.55000000000000004">
      <c r="AE1728" s="7"/>
      <c r="AT1728" s="7"/>
      <c r="BA1728" s="7"/>
    </row>
    <row r="1729" spans="31:53" x14ac:dyDescent="0.55000000000000004">
      <c r="AE1729" s="7"/>
      <c r="AT1729" s="7"/>
      <c r="BA1729" s="7"/>
    </row>
    <row r="1730" spans="31:53" x14ac:dyDescent="0.55000000000000004">
      <c r="AE1730" s="7"/>
      <c r="AT1730" s="7"/>
      <c r="BA1730" s="7"/>
    </row>
    <row r="1731" spans="31:53" x14ac:dyDescent="0.55000000000000004">
      <c r="AE1731" s="7"/>
      <c r="AT1731" s="7"/>
      <c r="BA1731" s="7"/>
    </row>
    <row r="1732" spans="31:53" x14ac:dyDescent="0.55000000000000004">
      <c r="AE1732" s="7"/>
      <c r="AT1732" s="7"/>
      <c r="BA1732" s="7"/>
    </row>
    <row r="1733" spans="31:53" x14ac:dyDescent="0.55000000000000004">
      <c r="AE1733" s="7"/>
      <c r="AT1733" s="7"/>
      <c r="BA1733" s="7"/>
    </row>
    <row r="1734" spans="31:53" x14ac:dyDescent="0.55000000000000004">
      <c r="AE1734" s="7"/>
      <c r="AT1734" s="7"/>
      <c r="BA1734" s="7"/>
    </row>
    <row r="1735" spans="31:53" x14ac:dyDescent="0.55000000000000004">
      <c r="AE1735" s="7"/>
      <c r="AT1735" s="7"/>
      <c r="BA1735" s="7"/>
    </row>
    <row r="1736" spans="31:53" x14ac:dyDescent="0.55000000000000004">
      <c r="AE1736" s="7"/>
      <c r="AT1736" s="7"/>
      <c r="BA1736" s="7"/>
    </row>
    <row r="1737" spans="31:53" x14ac:dyDescent="0.55000000000000004">
      <c r="AE1737" s="7"/>
      <c r="AT1737" s="7"/>
      <c r="BA1737" s="7"/>
    </row>
    <row r="1738" spans="31:53" x14ac:dyDescent="0.55000000000000004">
      <c r="AE1738" s="7"/>
      <c r="AT1738" s="7"/>
      <c r="BA1738" s="7"/>
    </row>
    <row r="1739" spans="31:53" x14ac:dyDescent="0.55000000000000004">
      <c r="AE1739" s="7"/>
      <c r="AT1739" s="7"/>
      <c r="BA1739" s="7"/>
    </row>
    <row r="1740" spans="31:53" x14ac:dyDescent="0.55000000000000004">
      <c r="AE1740" s="7"/>
      <c r="AT1740" s="7"/>
      <c r="BA1740" s="7"/>
    </row>
    <row r="1741" spans="31:53" x14ac:dyDescent="0.55000000000000004">
      <c r="AE1741" s="7"/>
      <c r="AT1741" s="7"/>
      <c r="BA1741" s="7"/>
    </row>
    <row r="1742" spans="31:53" x14ac:dyDescent="0.55000000000000004">
      <c r="AE1742" s="7"/>
      <c r="AT1742" s="7"/>
      <c r="BA1742" s="7"/>
    </row>
    <row r="1743" spans="31:53" x14ac:dyDescent="0.55000000000000004">
      <c r="AE1743" s="7"/>
      <c r="AT1743" s="7"/>
      <c r="BA1743" s="7"/>
    </row>
    <row r="1744" spans="31:53" x14ac:dyDescent="0.55000000000000004">
      <c r="AE1744" s="7"/>
      <c r="AT1744" s="7"/>
      <c r="BA1744" s="7"/>
    </row>
    <row r="1745" spans="31:53" x14ac:dyDescent="0.55000000000000004">
      <c r="AE1745" s="7"/>
      <c r="AT1745" s="7"/>
      <c r="BA1745" s="7"/>
    </row>
    <row r="1746" spans="31:53" x14ac:dyDescent="0.55000000000000004">
      <c r="AE1746" s="7"/>
      <c r="AT1746" s="7"/>
      <c r="BA1746" s="7"/>
    </row>
    <row r="1747" spans="31:53" x14ac:dyDescent="0.55000000000000004">
      <c r="AE1747" s="7"/>
      <c r="AT1747" s="7"/>
      <c r="BA1747" s="7"/>
    </row>
    <row r="1748" spans="31:53" x14ac:dyDescent="0.55000000000000004">
      <c r="AE1748" s="7"/>
      <c r="AT1748" s="7"/>
      <c r="BA1748" s="7"/>
    </row>
    <row r="1749" spans="31:53" x14ac:dyDescent="0.55000000000000004">
      <c r="AE1749" s="7"/>
      <c r="AT1749" s="7"/>
      <c r="BA1749" s="7"/>
    </row>
    <row r="1750" spans="31:53" x14ac:dyDescent="0.55000000000000004">
      <c r="AE1750" s="7"/>
      <c r="AT1750" s="7"/>
      <c r="BA1750" s="7"/>
    </row>
    <row r="1751" spans="31:53" x14ac:dyDescent="0.55000000000000004">
      <c r="AE1751" s="7"/>
      <c r="AT1751" s="7"/>
      <c r="BA1751" s="7"/>
    </row>
    <row r="1752" spans="31:53" x14ac:dyDescent="0.55000000000000004">
      <c r="AE1752" s="7"/>
      <c r="AT1752" s="7"/>
      <c r="BA1752" s="7"/>
    </row>
    <row r="1753" spans="31:53" x14ac:dyDescent="0.55000000000000004">
      <c r="AE1753" s="7"/>
      <c r="AT1753" s="7"/>
      <c r="BA1753" s="7"/>
    </row>
    <row r="1754" spans="31:53" x14ac:dyDescent="0.55000000000000004">
      <c r="AE1754" s="7"/>
      <c r="AT1754" s="7"/>
      <c r="BA1754" s="7"/>
    </row>
    <row r="1755" spans="31:53" x14ac:dyDescent="0.55000000000000004">
      <c r="AE1755" s="7"/>
      <c r="AT1755" s="7"/>
      <c r="BA1755" s="7"/>
    </row>
    <row r="1756" spans="31:53" x14ac:dyDescent="0.55000000000000004">
      <c r="AE1756" s="7"/>
      <c r="AT1756" s="7"/>
      <c r="BA1756" s="7"/>
    </row>
    <row r="1757" spans="31:53" x14ac:dyDescent="0.55000000000000004">
      <c r="AE1757" s="7"/>
      <c r="AT1757" s="7"/>
      <c r="BA1757" s="7"/>
    </row>
    <row r="1758" spans="31:53" x14ac:dyDescent="0.55000000000000004">
      <c r="AE1758" s="7"/>
      <c r="AT1758" s="7"/>
      <c r="BA1758" s="7"/>
    </row>
    <row r="1759" spans="31:53" x14ac:dyDescent="0.55000000000000004">
      <c r="AE1759" s="7"/>
      <c r="AT1759" s="7"/>
      <c r="BA1759" s="7"/>
    </row>
    <row r="1760" spans="31:53" x14ac:dyDescent="0.55000000000000004">
      <c r="AE1760" s="7"/>
      <c r="AT1760" s="7"/>
      <c r="BA1760" s="7"/>
    </row>
    <row r="1761" spans="31:53" x14ac:dyDescent="0.55000000000000004">
      <c r="AE1761" s="7"/>
      <c r="AT1761" s="7"/>
      <c r="BA1761" s="7"/>
    </row>
    <row r="1762" spans="31:53" x14ac:dyDescent="0.55000000000000004">
      <c r="AE1762" s="7"/>
      <c r="AT1762" s="7"/>
      <c r="BA1762" s="7"/>
    </row>
    <row r="1763" spans="31:53" x14ac:dyDescent="0.55000000000000004">
      <c r="AE1763" s="7"/>
      <c r="AT1763" s="7"/>
      <c r="BA1763" s="7"/>
    </row>
    <row r="1764" spans="31:53" x14ac:dyDescent="0.55000000000000004">
      <c r="AE1764" s="7"/>
      <c r="AT1764" s="7"/>
      <c r="BA1764" s="7"/>
    </row>
    <row r="1765" spans="31:53" x14ac:dyDescent="0.55000000000000004">
      <c r="AE1765" s="7"/>
      <c r="AT1765" s="7"/>
      <c r="BA1765" s="7"/>
    </row>
    <row r="1766" spans="31:53" x14ac:dyDescent="0.55000000000000004">
      <c r="AE1766" s="7"/>
      <c r="AT1766" s="7"/>
      <c r="BA1766" s="7"/>
    </row>
    <row r="1767" spans="31:53" x14ac:dyDescent="0.55000000000000004">
      <c r="AE1767" s="7"/>
      <c r="AT1767" s="7"/>
      <c r="BA1767" s="7"/>
    </row>
    <row r="1768" spans="31:53" x14ac:dyDescent="0.55000000000000004">
      <c r="AE1768" s="7"/>
      <c r="AT1768" s="7"/>
      <c r="BA1768" s="7"/>
    </row>
    <row r="1769" spans="31:53" x14ac:dyDescent="0.55000000000000004">
      <c r="AE1769" s="7"/>
      <c r="AT1769" s="7"/>
      <c r="BA1769" s="7"/>
    </row>
    <row r="1770" spans="31:53" x14ac:dyDescent="0.55000000000000004">
      <c r="AE1770" s="7"/>
      <c r="AT1770" s="7"/>
      <c r="BA1770" s="7"/>
    </row>
    <row r="1771" spans="31:53" x14ac:dyDescent="0.55000000000000004">
      <c r="AE1771" s="7"/>
      <c r="AT1771" s="7"/>
      <c r="BA1771" s="7"/>
    </row>
    <row r="1772" spans="31:53" x14ac:dyDescent="0.55000000000000004">
      <c r="AE1772" s="7"/>
      <c r="AT1772" s="7"/>
      <c r="BA1772" s="7"/>
    </row>
    <row r="1773" spans="31:53" x14ac:dyDescent="0.55000000000000004">
      <c r="AE1773" s="7"/>
      <c r="AT1773" s="7"/>
      <c r="BA1773" s="7"/>
    </row>
    <row r="1774" spans="31:53" x14ac:dyDescent="0.55000000000000004">
      <c r="AE1774" s="7"/>
      <c r="AT1774" s="7"/>
      <c r="BA1774" s="7"/>
    </row>
    <row r="1775" spans="31:53" x14ac:dyDescent="0.55000000000000004">
      <c r="AE1775" s="7"/>
      <c r="AT1775" s="7"/>
      <c r="BA1775" s="7"/>
    </row>
    <row r="1776" spans="31:53" x14ac:dyDescent="0.55000000000000004">
      <c r="AE1776" s="7"/>
      <c r="AT1776" s="7"/>
      <c r="BA1776" s="7"/>
    </row>
    <row r="1777" spans="31:53" x14ac:dyDescent="0.55000000000000004">
      <c r="AE1777" s="7"/>
      <c r="AT1777" s="7"/>
      <c r="BA1777" s="7"/>
    </row>
    <row r="1778" spans="31:53" x14ac:dyDescent="0.55000000000000004">
      <c r="AE1778" s="7"/>
      <c r="AT1778" s="7"/>
      <c r="BA1778" s="7"/>
    </row>
    <row r="1779" spans="31:53" x14ac:dyDescent="0.55000000000000004">
      <c r="AE1779" s="7"/>
      <c r="AT1779" s="7"/>
      <c r="BA1779" s="7"/>
    </row>
    <row r="1780" spans="31:53" x14ac:dyDescent="0.55000000000000004">
      <c r="AE1780" s="7"/>
      <c r="AT1780" s="7"/>
      <c r="BA1780" s="7"/>
    </row>
    <row r="1781" spans="31:53" x14ac:dyDescent="0.55000000000000004">
      <c r="AE1781" s="7"/>
      <c r="AT1781" s="7"/>
      <c r="BA1781" s="7"/>
    </row>
    <row r="1782" spans="31:53" x14ac:dyDescent="0.55000000000000004">
      <c r="AE1782" s="7"/>
      <c r="AT1782" s="7"/>
      <c r="BA1782" s="7"/>
    </row>
    <row r="1783" spans="31:53" x14ac:dyDescent="0.55000000000000004">
      <c r="AE1783" s="7"/>
      <c r="AT1783" s="7"/>
      <c r="BA1783" s="7"/>
    </row>
    <row r="1784" spans="31:53" x14ac:dyDescent="0.55000000000000004">
      <c r="AE1784" s="7"/>
      <c r="AT1784" s="7"/>
      <c r="BA1784" s="7"/>
    </row>
    <row r="1785" spans="31:53" x14ac:dyDescent="0.55000000000000004">
      <c r="AE1785" s="7"/>
      <c r="AT1785" s="7"/>
      <c r="BA1785" s="7"/>
    </row>
    <row r="1786" spans="31:53" x14ac:dyDescent="0.55000000000000004">
      <c r="AE1786" s="7"/>
      <c r="AT1786" s="7"/>
      <c r="BA1786" s="7"/>
    </row>
    <row r="1787" spans="31:53" x14ac:dyDescent="0.55000000000000004">
      <c r="AE1787" s="7"/>
      <c r="AT1787" s="7"/>
      <c r="BA1787" s="7"/>
    </row>
    <row r="1788" spans="31:53" x14ac:dyDescent="0.55000000000000004">
      <c r="AE1788" s="7"/>
      <c r="AT1788" s="7"/>
      <c r="BA1788" s="7"/>
    </row>
    <row r="1789" spans="31:53" x14ac:dyDescent="0.55000000000000004">
      <c r="AE1789" s="7"/>
      <c r="AT1789" s="7"/>
      <c r="BA1789" s="7"/>
    </row>
    <row r="1790" spans="31:53" x14ac:dyDescent="0.55000000000000004">
      <c r="AE1790" s="7"/>
      <c r="AT1790" s="7"/>
      <c r="BA1790" s="7"/>
    </row>
    <row r="1791" spans="31:53" x14ac:dyDescent="0.55000000000000004">
      <c r="AE1791" s="7"/>
      <c r="AT1791" s="7"/>
      <c r="BA1791" s="7"/>
    </row>
    <row r="1792" spans="31:53" x14ac:dyDescent="0.55000000000000004">
      <c r="AE1792" s="7"/>
      <c r="AT1792" s="7"/>
      <c r="BA1792" s="7"/>
    </row>
    <row r="1793" spans="31:53" x14ac:dyDescent="0.55000000000000004">
      <c r="AE1793" s="7"/>
      <c r="AT1793" s="7"/>
      <c r="BA1793" s="7"/>
    </row>
    <row r="1794" spans="31:53" x14ac:dyDescent="0.55000000000000004">
      <c r="AE1794" s="7"/>
      <c r="AT1794" s="7"/>
      <c r="BA1794" s="7"/>
    </row>
    <row r="1795" spans="31:53" x14ac:dyDescent="0.55000000000000004">
      <c r="AE1795" s="7"/>
      <c r="AT1795" s="7"/>
      <c r="BA1795" s="7"/>
    </row>
    <row r="1796" spans="31:53" x14ac:dyDescent="0.55000000000000004">
      <c r="AE1796" s="7"/>
      <c r="AT1796" s="7"/>
      <c r="BA1796" s="7"/>
    </row>
    <row r="1797" spans="31:53" x14ac:dyDescent="0.55000000000000004">
      <c r="AE1797" s="7"/>
      <c r="AT1797" s="7"/>
      <c r="BA1797" s="7"/>
    </row>
    <row r="1798" spans="31:53" x14ac:dyDescent="0.55000000000000004">
      <c r="AE1798" s="7"/>
      <c r="AT1798" s="7"/>
      <c r="BA1798" s="7"/>
    </row>
    <row r="1799" spans="31:53" x14ac:dyDescent="0.55000000000000004">
      <c r="AE1799" s="7"/>
      <c r="AT1799" s="7"/>
      <c r="BA1799" s="7"/>
    </row>
    <row r="1800" spans="31:53" x14ac:dyDescent="0.55000000000000004">
      <c r="AE1800" s="7"/>
      <c r="AT1800" s="7"/>
      <c r="BA1800" s="7"/>
    </row>
    <row r="1801" spans="31:53" x14ac:dyDescent="0.55000000000000004">
      <c r="AE1801" s="7"/>
      <c r="AT1801" s="7"/>
      <c r="BA1801" s="7"/>
    </row>
    <row r="1802" spans="31:53" x14ac:dyDescent="0.55000000000000004">
      <c r="AE1802" s="7"/>
      <c r="AT1802" s="7"/>
      <c r="BA1802" s="7"/>
    </row>
    <row r="1803" spans="31:53" x14ac:dyDescent="0.55000000000000004">
      <c r="AE1803" s="7"/>
      <c r="AT1803" s="7"/>
      <c r="BA1803" s="7"/>
    </row>
    <row r="1804" spans="31:53" x14ac:dyDescent="0.55000000000000004">
      <c r="AE1804" s="7"/>
      <c r="AT1804" s="7"/>
      <c r="BA1804" s="7"/>
    </row>
    <row r="1805" spans="31:53" x14ac:dyDescent="0.55000000000000004">
      <c r="AE1805" s="7"/>
      <c r="AT1805" s="7"/>
      <c r="BA1805" s="7"/>
    </row>
    <row r="1806" spans="31:53" x14ac:dyDescent="0.55000000000000004">
      <c r="AE1806" s="7"/>
      <c r="AT1806" s="7"/>
      <c r="BA1806" s="7"/>
    </row>
    <row r="1807" spans="31:53" x14ac:dyDescent="0.55000000000000004">
      <c r="AE1807" s="7"/>
      <c r="AT1807" s="7"/>
      <c r="BA1807" s="7"/>
    </row>
    <row r="1808" spans="31:53" x14ac:dyDescent="0.55000000000000004">
      <c r="AE1808" s="7"/>
      <c r="AT1808" s="7"/>
      <c r="BA1808" s="7"/>
    </row>
    <row r="1809" spans="31:53" x14ac:dyDescent="0.55000000000000004">
      <c r="AE1809" s="7"/>
      <c r="AT1809" s="7"/>
      <c r="BA1809" s="7"/>
    </row>
    <row r="1810" spans="31:53" x14ac:dyDescent="0.55000000000000004">
      <c r="AE1810" s="7"/>
      <c r="AT1810" s="7"/>
      <c r="BA1810" s="7"/>
    </row>
    <row r="1811" spans="31:53" x14ac:dyDescent="0.55000000000000004">
      <c r="AE1811" s="7"/>
      <c r="AT1811" s="7"/>
      <c r="BA1811" s="7"/>
    </row>
    <row r="1812" spans="31:53" x14ac:dyDescent="0.55000000000000004">
      <c r="AE1812" s="7"/>
      <c r="AT1812" s="7"/>
      <c r="BA1812" s="7"/>
    </row>
    <row r="1813" spans="31:53" x14ac:dyDescent="0.55000000000000004">
      <c r="AE1813" s="7"/>
      <c r="AT1813" s="7"/>
      <c r="BA1813" s="7"/>
    </row>
    <row r="1814" spans="31:53" x14ac:dyDescent="0.55000000000000004">
      <c r="AE1814" s="7"/>
      <c r="AT1814" s="7"/>
      <c r="BA1814" s="7"/>
    </row>
    <row r="1815" spans="31:53" x14ac:dyDescent="0.55000000000000004">
      <c r="AE1815" s="7"/>
      <c r="AT1815" s="7"/>
      <c r="BA1815" s="7"/>
    </row>
    <row r="1816" spans="31:53" x14ac:dyDescent="0.55000000000000004">
      <c r="AE1816" s="7"/>
      <c r="AT1816" s="7"/>
      <c r="BA1816" s="7"/>
    </row>
    <row r="1817" spans="31:53" x14ac:dyDescent="0.55000000000000004">
      <c r="AE1817" s="7"/>
      <c r="AT1817" s="7"/>
      <c r="BA1817" s="7"/>
    </row>
    <row r="1818" spans="31:53" x14ac:dyDescent="0.55000000000000004">
      <c r="AE1818" s="7"/>
      <c r="AT1818" s="7"/>
      <c r="BA1818" s="7"/>
    </row>
    <row r="1819" spans="31:53" x14ac:dyDescent="0.55000000000000004">
      <c r="AE1819" s="7"/>
      <c r="AT1819" s="7"/>
      <c r="BA1819" s="7"/>
    </row>
    <row r="1820" spans="31:53" x14ac:dyDescent="0.55000000000000004">
      <c r="AE1820" s="7"/>
      <c r="AT1820" s="7"/>
      <c r="BA1820" s="7"/>
    </row>
    <row r="1821" spans="31:53" x14ac:dyDescent="0.55000000000000004">
      <c r="AE1821" s="7"/>
      <c r="AT1821" s="7"/>
      <c r="BA1821" s="7"/>
    </row>
    <row r="1822" spans="31:53" x14ac:dyDescent="0.55000000000000004">
      <c r="AE1822" s="7"/>
      <c r="AT1822" s="7"/>
      <c r="BA1822" s="7"/>
    </row>
    <row r="1823" spans="31:53" x14ac:dyDescent="0.55000000000000004">
      <c r="AE1823" s="7"/>
      <c r="AT1823" s="7"/>
      <c r="BA1823" s="7"/>
    </row>
    <row r="1824" spans="31:53" x14ac:dyDescent="0.55000000000000004">
      <c r="AE1824" s="7"/>
      <c r="AT1824" s="7"/>
      <c r="BA1824" s="7"/>
    </row>
    <row r="1825" spans="31:53" x14ac:dyDescent="0.55000000000000004">
      <c r="AE1825" s="7"/>
      <c r="AT1825" s="7"/>
      <c r="BA1825" s="7"/>
    </row>
    <row r="1826" spans="31:53" x14ac:dyDescent="0.55000000000000004">
      <c r="AE1826" s="7"/>
      <c r="AT1826" s="7"/>
      <c r="BA1826" s="7"/>
    </row>
    <row r="1827" spans="31:53" x14ac:dyDescent="0.55000000000000004">
      <c r="AE1827" s="7"/>
      <c r="AT1827" s="7"/>
      <c r="BA1827" s="7"/>
    </row>
    <row r="1828" spans="31:53" x14ac:dyDescent="0.55000000000000004">
      <c r="AE1828" s="7"/>
      <c r="AT1828" s="7"/>
      <c r="BA1828" s="7"/>
    </row>
    <row r="1829" spans="31:53" x14ac:dyDescent="0.55000000000000004">
      <c r="AE1829" s="7"/>
      <c r="AT1829" s="7"/>
      <c r="BA1829" s="7"/>
    </row>
    <row r="1830" spans="31:53" x14ac:dyDescent="0.55000000000000004">
      <c r="AE1830" s="7"/>
      <c r="AT1830" s="7"/>
      <c r="BA1830" s="7"/>
    </row>
    <row r="1831" spans="31:53" x14ac:dyDescent="0.55000000000000004">
      <c r="AE1831" s="7"/>
      <c r="AT1831" s="7"/>
      <c r="BA1831" s="7"/>
    </row>
    <row r="1832" spans="31:53" x14ac:dyDescent="0.55000000000000004">
      <c r="AE1832" s="7"/>
      <c r="AT1832" s="7"/>
      <c r="BA1832" s="7"/>
    </row>
    <row r="1833" spans="31:53" x14ac:dyDescent="0.55000000000000004">
      <c r="AE1833" s="7"/>
      <c r="AT1833" s="7"/>
      <c r="BA1833" s="7"/>
    </row>
    <row r="1834" spans="31:53" x14ac:dyDescent="0.55000000000000004">
      <c r="AE1834" s="7"/>
      <c r="AT1834" s="7"/>
      <c r="BA1834" s="7"/>
    </row>
    <row r="1835" spans="31:53" x14ac:dyDescent="0.55000000000000004">
      <c r="AE1835" s="7"/>
      <c r="AT1835" s="7"/>
      <c r="BA1835" s="7"/>
    </row>
    <row r="1836" spans="31:53" x14ac:dyDescent="0.55000000000000004">
      <c r="AE1836" s="7"/>
      <c r="AT1836" s="7"/>
      <c r="BA1836" s="7"/>
    </row>
    <row r="1837" spans="31:53" x14ac:dyDescent="0.55000000000000004">
      <c r="AE1837" s="7"/>
      <c r="AT1837" s="7"/>
      <c r="BA1837" s="7"/>
    </row>
    <row r="1838" spans="31:53" x14ac:dyDescent="0.55000000000000004">
      <c r="AE1838" s="7"/>
      <c r="AT1838" s="7"/>
      <c r="BA1838" s="7"/>
    </row>
    <row r="1839" spans="31:53" x14ac:dyDescent="0.55000000000000004">
      <c r="AE1839" s="7"/>
      <c r="AT1839" s="7"/>
      <c r="BA1839" s="7"/>
    </row>
    <row r="1840" spans="31:53" x14ac:dyDescent="0.55000000000000004">
      <c r="AE1840" s="7"/>
      <c r="AT1840" s="7"/>
      <c r="BA1840" s="7"/>
    </row>
    <row r="1841" spans="31:53" x14ac:dyDescent="0.55000000000000004">
      <c r="AE1841" s="7"/>
      <c r="AT1841" s="7"/>
      <c r="BA1841" s="7"/>
    </row>
    <row r="1842" spans="31:53" x14ac:dyDescent="0.55000000000000004">
      <c r="AE1842" s="7"/>
      <c r="AT1842" s="7"/>
      <c r="BA1842" s="7"/>
    </row>
    <row r="1843" spans="31:53" x14ac:dyDescent="0.55000000000000004">
      <c r="AE1843" s="7"/>
      <c r="AT1843" s="7"/>
      <c r="BA1843" s="7"/>
    </row>
    <row r="1844" spans="31:53" x14ac:dyDescent="0.55000000000000004">
      <c r="AE1844" s="7"/>
      <c r="AT1844" s="7"/>
      <c r="BA1844" s="7"/>
    </row>
    <row r="1845" spans="31:53" x14ac:dyDescent="0.55000000000000004">
      <c r="AE1845" s="7"/>
      <c r="AT1845" s="7"/>
      <c r="BA1845" s="7"/>
    </row>
    <row r="1846" spans="31:53" x14ac:dyDescent="0.55000000000000004">
      <c r="AE1846" s="7"/>
      <c r="AT1846" s="7"/>
      <c r="BA1846" s="7"/>
    </row>
    <row r="1847" spans="31:53" x14ac:dyDescent="0.55000000000000004">
      <c r="AE1847" s="7"/>
      <c r="AT1847" s="7"/>
      <c r="BA1847" s="7"/>
    </row>
    <row r="1848" spans="31:53" x14ac:dyDescent="0.55000000000000004">
      <c r="AE1848" s="7"/>
      <c r="AT1848" s="7"/>
      <c r="BA1848" s="7"/>
    </row>
    <row r="1849" spans="31:53" x14ac:dyDescent="0.55000000000000004">
      <c r="AE1849" s="7"/>
      <c r="AT1849" s="7"/>
      <c r="BA1849" s="7"/>
    </row>
    <row r="1850" spans="31:53" x14ac:dyDescent="0.55000000000000004">
      <c r="AE1850" s="7"/>
      <c r="AT1850" s="7"/>
      <c r="BA1850" s="7"/>
    </row>
    <row r="1851" spans="31:53" x14ac:dyDescent="0.55000000000000004">
      <c r="AE1851" s="7"/>
      <c r="AT1851" s="7"/>
      <c r="BA1851" s="7"/>
    </row>
    <row r="1852" spans="31:53" x14ac:dyDescent="0.55000000000000004">
      <c r="AE1852" s="7"/>
      <c r="AT1852" s="7"/>
      <c r="BA1852" s="7"/>
    </row>
    <row r="1853" spans="31:53" x14ac:dyDescent="0.55000000000000004">
      <c r="AE1853" s="7"/>
      <c r="AT1853" s="7"/>
      <c r="BA1853" s="7"/>
    </row>
    <row r="1854" spans="31:53" x14ac:dyDescent="0.55000000000000004">
      <c r="AE1854" s="7"/>
      <c r="AT1854" s="7"/>
      <c r="BA1854" s="7"/>
    </row>
    <row r="1855" spans="31:53" x14ac:dyDescent="0.55000000000000004">
      <c r="AE1855" s="7"/>
      <c r="AT1855" s="7"/>
      <c r="BA1855" s="7"/>
    </row>
    <row r="1856" spans="31:53" x14ac:dyDescent="0.55000000000000004">
      <c r="AE1856" s="7"/>
      <c r="AT1856" s="7"/>
      <c r="BA1856" s="7"/>
    </row>
    <row r="1857" spans="31:53" x14ac:dyDescent="0.55000000000000004">
      <c r="AE1857" s="7"/>
      <c r="AT1857" s="7"/>
      <c r="BA1857" s="7"/>
    </row>
    <row r="1858" spans="31:53" x14ac:dyDescent="0.55000000000000004">
      <c r="AE1858" s="7"/>
      <c r="AT1858" s="7"/>
      <c r="BA1858" s="7"/>
    </row>
    <row r="1859" spans="31:53" x14ac:dyDescent="0.55000000000000004">
      <c r="AE1859" s="7"/>
      <c r="AT1859" s="7"/>
      <c r="BA1859" s="7"/>
    </row>
    <row r="1860" spans="31:53" x14ac:dyDescent="0.55000000000000004">
      <c r="AE1860" s="7"/>
      <c r="AT1860" s="7"/>
      <c r="BA1860" s="7"/>
    </row>
    <row r="1861" spans="31:53" x14ac:dyDescent="0.55000000000000004">
      <c r="AE1861" s="7"/>
      <c r="AT1861" s="7"/>
      <c r="BA1861" s="7"/>
    </row>
    <row r="1862" spans="31:53" x14ac:dyDescent="0.55000000000000004">
      <c r="AE1862" s="7"/>
      <c r="AT1862" s="7"/>
      <c r="BA1862" s="7"/>
    </row>
    <row r="1863" spans="31:53" x14ac:dyDescent="0.55000000000000004">
      <c r="AE1863" s="7"/>
      <c r="AT1863" s="7"/>
      <c r="BA1863" s="7"/>
    </row>
    <row r="1864" spans="31:53" x14ac:dyDescent="0.55000000000000004">
      <c r="AE1864" s="7"/>
      <c r="AT1864" s="7"/>
      <c r="BA1864" s="7"/>
    </row>
    <row r="1865" spans="31:53" x14ac:dyDescent="0.55000000000000004">
      <c r="AE1865" s="7"/>
      <c r="AT1865" s="7"/>
      <c r="BA1865" s="7"/>
    </row>
    <row r="1866" spans="31:53" x14ac:dyDescent="0.55000000000000004">
      <c r="AE1866" s="7"/>
      <c r="AT1866" s="7"/>
      <c r="BA1866" s="7"/>
    </row>
    <row r="1867" spans="31:53" x14ac:dyDescent="0.55000000000000004">
      <c r="AE1867" s="7"/>
      <c r="AT1867" s="7"/>
      <c r="BA1867" s="7"/>
    </row>
    <row r="1868" spans="31:53" x14ac:dyDescent="0.55000000000000004">
      <c r="AE1868" s="7"/>
      <c r="AT1868" s="7"/>
      <c r="BA1868" s="7"/>
    </row>
    <row r="1869" spans="31:53" x14ac:dyDescent="0.55000000000000004">
      <c r="AE1869" s="7"/>
      <c r="AT1869" s="7"/>
      <c r="BA1869" s="7"/>
    </row>
    <row r="1870" spans="31:53" x14ac:dyDescent="0.55000000000000004">
      <c r="AE1870" s="7"/>
      <c r="AT1870" s="7"/>
      <c r="BA1870" s="7"/>
    </row>
    <row r="1871" spans="31:53" x14ac:dyDescent="0.55000000000000004">
      <c r="AE1871" s="7"/>
      <c r="AT1871" s="7"/>
      <c r="BA1871" s="7"/>
    </row>
    <row r="1872" spans="31:53" x14ac:dyDescent="0.55000000000000004">
      <c r="AE1872" s="7"/>
      <c r="AT1872" s="7"/>
      <c r="BA1872" s="7"/>
    </row>
    <row r="1873" spans="31:53" x14ac:dyDescent="0.55000000000000004">
      <c r="AE1873" s="7"/>
      <c r="AT1873" s="7"/>
      <c r="BA1873" s="7"/>
    </row>
    <row r="1874" spans="31:53" x14ac:dyDescent="0.55000000000000004">
      <c r="AE1874" s="7"/>
      <c r="AT1874" s="7"/>
      <c r="BA1874" s="7"/>
    </row>
    <row r="1875" spans="31:53" x14ac:dyDescent="0.55000000000000004">
      <c r="AE1875" s="7"/>
      <c r="AT1875" s="7"/>
      <c r="BA1875" s="7"/>
    </row>
    <row r="1876" spans="31:53" x14ac:dyDescent="0.55000000000000004">
      <c r="AE1876" s="7"/>
      <c r="AT1876" s="7"/>
      <c r="BA1876" s="7"/>
    </row>
    <row r="1877" spans="31:53" x14ac:dyDescent="0.55000000000000004">
      <c r="AE1877" s="7"/>
      <c r="AT1877" s="7"/>
      <c r="BA1877" s="7"/>
    </row>
    <row r="1878" spans="31:53" x14ac:dyDescent="0.55000000000000004">
      <c r="AE1878" s="7"/>
      <c r="AT1878" s="7"/>
      <c r="BA1878" s="7"/>
    </row>
    <row r="1879" spans="31:53" x14ac:dyDescent="0.55000000000000004">
      <c r="AE1879" s="7"/>
      <c r="AT1879" s="7"/>
      <c r="BA1879" s="7"/>
    </row>
    <row r="1880" spans="31:53" x14ac:dyDescent="0.55000000000000004">
      <c r="AE1880" s="7"/>
      <c r="AT1880" s="7"/>
      <c r="BA1880" s="7"/>
    </row>
    <row r="1881" spans="31:53" x14ac:dyDescent="0.55000000000000004">
      <c r="AE1881" s="7"/>
      <c r="AT1881" s="7"/>
      <c r="BA1881" s="7"/>
    </row>
    <row r="1882" spans="31:53" x14ac:dyDescent="0.55000000000000004">
      <c r="AE1882" s="7"/>
      <c r="AT1882" s="7"/>
      <c r="BA1882" s="7"/>
    </row>
    <row r="1883" spans="31:53" x14ac:dyDescent="0.55000000000000004">
      <c r="AE1883" s="7"/>
      <c r="AT1883" s="7"/>
      <c r="BA1883" s="7"/>
    </row>
    <row r="1884" spans="31:53" x14ac:dyDescent="0.55000000000000004">
      <c r="AE1884" s="7"/>
      <c r="AT1884" s="7"/>
      <c r="BA1884" s="7"/>
    </row>
    <row r="1885" spans="31:53" x14ac:dyDescent="0.55000000000000004">
      <c r="AE1885" s="7"/>
      <c r="AT1885" s="7"/>
      <c r="BA1885" s="7"/>
    </row>
    <row r="1886" spans="31:53" x14ac:dyDescent="0.55000000000000004">
      <c r="AE1886" s="7"/>
      <c r="AT1886" s="7"/>
      <c r="BA1886" s="7"/>
    </row>
    <row r="1887" spans="31:53" x14ac:dyDescent="0.55000000000000004">
      <c r="AE1887" s="7"/>
      <c r="AT1887" s="7"/>
      <c r="BA1887" s="7"/>
    </row>
    <row r="1888" spans="31:53" x14ac:dyDescent="0.55000000000000004">
      <c r="AE1888" s="7"/>
      <c r="AT1888" s="7"/>
      <c r="BA1888" s="7"/>
    </row>
    <row r="1889" spans="31:53" x14ac:dyDescent="0.55000000000000004">
      <c r="AE1889" s="7"/>
      <c r="AT1889" s="7"/>
      <c r="BA1889" s="7"/>
    </row>
    <row r="1890" spans="31:53" x14ac:dyDescent="0.55000000000000004">
      <c r="AE1890" s="7"/>
      <c r="AT1890" s="7"/>
      <c r="BA1890" s="7"/>
    </row>
    <row r="1891" spans="31:53" x14ac:dyDescent="0.55000000000000004">
      <c r="AE1891" s="7"/>
      <c r="AT1891" s="7"/>
      <c r="BA1891" s="7"/>
    </row>
    <row r="1892" spans="31:53" x14ac:dyDescent="0.55000000000000004">
      <c r="AE1892" s="7"/>
      <c r="AT1892" s="7"/>
      <c r="BA1892" s="7"/>
    </row>
    <row r="1893" spans="31:53" x14ac:dyDescent="0.55000000000000004">
      <c r="AE1893" s="7"/>
      <c r="AT1893" s="7"/>
      <c r="BA1893" s="7"/>
    </row>
    <row r="1894" spans="31:53" x14ac:dyDescent="0.55000000000000004">
      <c r="AE1894" s="7"/>
      <c r="AT1894" s="7"/>
      <c r="BA1894" s="7"/>
    </row>
    <row r="1895" spans="31:53" x14ac:dyDescent="0.55000000000000004">
      <c r="AE1895" s="7"/>
      <c r="AT1895" s="7"/>
      <c r="BA1895" s="7"/>
    </row>
    <row r="1896" spans="31:53" x14ac:dyDescent="0.55000000000000004">
      <c r="AE1896" s="7"/>
      <c r="AT1896" s="7"/>
      <c r="BA1896" s="7"/>
    </row>
    <row r="1897" spans="31:53" x14ac:dyDescent="0.55000000000000004">
      <c r="AE1897" s="7"/>
      <c r="AT1897" s="7"/>
      <c r="BA1897" s="7"/>
    </row>
    <row r="1898" spans="31:53" x14ac:dyDescent="0.55000000000000004">
      <c r="AE1898" s="7"/>
      <c r="AT1898" s="7"/>
      <c r="BA1898" s="7"/>
    </row>
    <row r="1899" spans="31:53" x14ac:dyDescent="0.55000000000000004">
      <c r="AE1899" s="7"/>
      <c r="AT1899" s="7"/>
      <c r="BA1899" s="7"/>
    </row>
    <row r="1900" spans="31:53" x14ac:dyDescent="0.55000000000000004">
      <c r="AE1900" s="7"/>
      <c r="AT1900" s="7"/>
      <c r="BA1900" s="7"/>
    </row>
    <row r="1901" spans="31:53" x14ac:dyDescent="0.55000000000000004">
      <c r="AE1901" s="7"/>
      <c r="AT1901" s="7"/>
      <c r="BA1901" s="7"/>
    </row>
    <row r="1902" spans="31:53" x14ac:dyDescent="0.55000000000000004">
      <c r="AE1902" s="7"/>
      <c r="AT1902" s="7"/>
      <c r="BA1902" s="7"/>
    </row>
    <row r="1903" spans="31:53" x14ac:dyDescent="0.55000000000000004">
      <c r="AE1903" s="7"/>
      <c r="AT1903" s="7"/>
      <c r="BA1903" s="7"/>
    </row>
    <row r="1904" spans="31:53" x14ac:dyDescent="0.55000000000000004">
      <c r="AE1904" s="7"/>
      <c r="AT1904" s="7"/>
      <c r="BA1904" s="7"/>
    </row>
    <row r="1905" spans="31:53" x14ac:dyDescent="0.55000000000000004">
      <c r="AE1905" s="7"/>
      <c r="AT1905" s="7"/>
      <c r="BA1905" s="7"/>
    </row>
    <row r="1906" spans="31:53" x14ac:dyDescent="0.55000000000000004">
      <c r="AE1906" s="7"/>
      <c r="AT1906" s="7"/>
      <c r="BA1906" s="7"/>
    </row>
    <row r="1907" spans="31:53" x14ac:dyDescent="0.55000000000000004">
      <c r="AE1907" s="7"/>
      <c r="AT1907" s="7"/>
      <c r="BA1907" s="7"/>
    </row>
    <row r="1908" spans="31:53" x14ac:dyDescent="0.55000000000000004">
      <c r="AE1908" s="7"/>
      <c r="AT1908" s="7"/>
      <c r="BA1908" s="7"/>
    </row>
    <row r="1909" spans="31:53" x14ac:dyDescent="0.55000000000000004">
      <c r="AE1909" s="7"/>
      <c r="AT1909" s="7"/>
      <c r="BA1909" s="7"/>
    </row>
    <row r="1910" spans="31:53" x14ac:dyDescent="0.55000000000000004">
      <c r="AE1910" s="7"/>
      <c r="AT1910" s="7"/>
      <c r="BA1910" s="7"/>
    </row>
    <row r="1911" spans="31:53" x14ac:dyDescent="0.55000000000000004">
      <c r="AE1911" s="7"/>
      <c r="AT1911" s="7"/>
      <c r="BA1911" s="7"/>
    </row>
    <row r="1912" spans="31:53" x14ac:dyDescent="0.55000000000000004">
      <c r="AE1912" s="7"/>
      <c r="AT1912" s="7"/>
      <c r="BA1912" s="7"/>
    </row>
    <row r="1913" spans="31:53" x14ac:dyDescent="0.55000000000000004">
      <c r="AE1913" s="7"/>
      <c r="AT1913" s="7"/>
      <c r="BA1913" s="7"/>
    </row>
    <row r="1914" spans="31:53" x14ac:dyDescent="0.55000000000000004">
      <c r="AE1914" s="7"/>
      <c r="AT1914" s="7"/>
      <c r="BA1914" s="7"/>
    </row>
    <row r="1915" spans="31:53" x14ac:dyDescent="0.55000000000000004">
      <c r="AE1915" s="7"/>
      <c r="AT1915" s="7"/>
      <c r="BA1915" s="7"/>
    </row>
    <row r="1916" spans="31:53" x14ac:dyDescent="0.55000000000000004">
      <c r="AE1916" s="7"/>
      <c r="AT1916" s="7"/>
      <c r="BA1916" s="7"/>
    </row>
    <row r="1917" spans="31:53" x14ac:dyDescent="0.55000000000000004">
      <c r="AE1917" s="7"/>
      <c r="AT1917" s="7"/>
      <c r="BA1917" s="7"/>
    </row>
    <row r="1918" spans="31:53" x14ac:dyDescent="0.55000000000000004">
      <c r="AE1918" s="7"/>
      <c r="AT1918" s="7"/>
      <c r="BA1918" s="7"/>
    </row>
    <row r="1919" spans="31:53" x14ac:dyDescent="0.55000000000000004">
      <c r="AE1919" s="7"/>
      <c r="AT1919" s="7"/>
      <c r="BA1919" s="7"/>
    </row>
    <row r="1920" spans="31:53" x14ac:dyDescent="0.55000000000000004">
      <c r="AE1920" s="7"/>
      <c r="AT1920" s="7"/>
      <c r="BA1920" s="7"/>
    </row>
    <row r="1921" spans="31:53" x14ac:dyDescent="0.55000000000000004">
      <c r="AE1921" s="7"/>
      <c r="AT1921" s="7"/>
      <c r="BA1921" s="7"/>
    </row>
    <row r="1922" spans="31:53" x14ac:dyDescent="0.55000000000000004">
      <c r="AE1922" s="7"/>
      <c r="AT1922" s="7"/>
      <c r="BA1922" s="7"/>
    </row>
    <row r="1923" spans="31:53" x14ac:dyDescent="0.55000000000000004">
      <c r="AE1923" s="7"/>
      <c r="AT1923" s="7"/>
      <c r="BA1923" s="7"/>
    </row>
    <row r="1924" spans="31:53" x14ac:dyDescent="0.55000000000000004">
      <c r="AE1924" s="7"/>
      <c r="AT1924" s="7"/>
      <c r="BA1924" s="7"/>
    </row>
    <row r="1925" spans="31:53" x14ac:dyDescent="0.55000000000000004">
      <c r="AE1925" s="7"/>
      <c r="AT1925" s="7"/>
      <c r="BA1925" s="7"/>
    </row>
    <row r="1926" spans="31:53" x14ac:dyDescent="0.55000000000000004">
      <c r="AE1926" s="7"/>
      <c r="AT1926" s="7"/>
      <c r="BA1926" s="7"/>
    </row>
    <row r="1927" spans="31:53" x14ac:dyDescent="0.55000000000000004">
      <c r="AE1927" s="7"/>
      <c r="AT1927" s="7"/>
      <c r="BA1927" s="7"/>
    </row>
    <row r="1928" spans="31:53" x14ac:dyDescent="0.55000000000000004">
      <c r="AE1928" s="7"/>
      <c r="AT1928" s="7"/>
      <c r="BA1928" s="7"/>
    </row>
    <row r="1929" spans="31:53" x14ac:dyDescent="0.55000000000000004">
      <c r="AE1929" s="7"/>
      <c r="AT1929" s="7"/>
      <c r="BA1929" s="7"/>
    </row>
    <row r="1930" spans="31:53" x14ac:dyDescent="0.55000000000000004">
      <c r="AE1930" s="7"/>
      <c r="AT1930" s="7"/>
      <c r="BA1930" s="7"/>
    </row>
    <row r="1931" spans="31:53" x14ac:dyDescent="0.55000000000000004">
      <c r="AE1931" s="7"/>
      <c r="AT1931" s="7"/>
      <c r="BA1931" s="7"/>
    </row>
    <row r="1932" spans="31:53" x14ac:dyDescent="0.55000000000000004">
      <c r="AE1932" s="7"/>
      <c r="AT1932" s="7"/>
      <c r="BA1932" s="7"/>
    </row>
    <row r="1933" spans="31:53" x14ac:dyDescent="0.55000000000000004">
      <c r="AE1933" s="7"/>
      <c r="AT1933" s="7"/>
      <c r="BA1933" s="7"/>
    </row>
    <row r="1934" spans="31:53" x14ac:dyDescent="0.55000000000000004">
      <c r="AE1934" s="7"/>
      <c r="AT1934" s="7"/>
      <c r="BA1934" s="7"/>
    </row>
    <row r="1935" spans="31:53" x14ac:dyDescent="0.55000000000000004">
      <c r="AE1935" s="7"/>
      <c r="AT1935" s="7"/>
      <c r="BA1935" s="7"/>
    </row>
    <row r="1936" spans="31:53" x14ac:dyDescent="0.55000000000000004">
      <c r="AE1936" s="7"/>
      <c r="AT1936" s="7"/>
      <c r="BA1936" s="7"/>
    </row>
    <row r="1937" spans="31:53" x14ac:dyDescent="0.55000000000000004">
      <c r="AE1937" s="7"/>
      <c r="AT1937" s="7"/>
      <c r="BA1937" s="7"/>
    </row>
    <row r="1938" spans="31:53" x14ac:dyDescent="0.55000000000000004">
      <c r="AE1938" s="7"/>
      <c r="AT1938" s="7"/>
      <c r="BA1938" s="7"/>
    </row>
    <row r="1939" spans="31:53" x14ac:dyDescent="0.55000000000000004">
      <c r="AE1939" s="7"/>
      <c r="AT1939" s="7"/>
      <c r="BA1939" s="7"/>
    </row>
    <row r="1940" spans="31:53" x14ac:dyDescent="0.55000000000000004">
      <c r="AE1940" s="7"/>
      <c r="AT1940" s="7"/>
      <c r="BA1940" s="7"/>
    </row>
    <row r="1941" spans="31:53" x14ac:dyDescent="0.55000000000000004">
      <c r="AE1941" s="7"/>
      <c r="AT1941" s="7"/>
      <c r="BA1941" s="7"/>
    </row>
    <row r="1942" spans="31:53" x14ac:dyDescent="0.55000000000000004">
      <c r="AE1942" s="7"/>
      <c r="AT1942" s="7"/>
      <c r="BA1942" s="7"/>
    </row>
    <row r="1943" spans="31:53" x14ac:dyDescent="0.55000000000000004">
      <c r="AE1943" s="7"/>
      <c r="AT1943" s="7"/>
      <c r="BA1943" s="7"/>
    </row>
    <row r="1944" spans="31:53" x14ac:dyDescent="0.55000000000000004">
      <c r="AE1944" s="7"/>
      <c r="AT1944" s="7"/>
      <c r="BA1944" s="7"/>
    </row>
    <row r="1945" spans="31:53" x14ac:dyDescent="0.55000000000000004">
      <c r="AE1945" s="7"/>
      <c r="AT1945" s="7"/>
      <c r="BA1945" s="7"/>
    </row>
    <row r="1946" spans="31:53" x14ac:dyDescent="0.55000000000000004">
      <c r="AE1946" s="7"/>
      <c r="AT1946" s="7"/>
      <c r="BA1946" s="7"/>
    </row>
    <row r="1947" spans="31:53" x14ac:dyDescent="0.55000000000000004">
      <c r="AE1947" s="7"/>
      <c r="AT1947" s="7"/>
      <c r="BA1947" s="7"/>
    </row>
    <row r="1948" spans="31:53" x14ac:dyDescent="0.55000000000000004">
      <c r="AE1948" s="7"/>
      <c r="AT1948" s="7"/>
      <c r="BA1948" s="7"/>
    </row>
    <row r="1949" spans="31:53" x14ac:dyDescent="0.55000000000000004">
      <c r="AE1949" s="7"/>
      <c r="AT1949" s="7"/>
      <c r="BA1949" s="7"/>
    </row>
    <row r="1950" spans="31:53" x14ac:dyDescent="0.55000000000000004">
      <c r="AE1950" s="7"/>
      <c r="AT1950" s="7"/>
      <c r="BA1950" s="7"/>
    </row>
    <row r="1951" spans="31:53" x14ac:dyDescent="0.55000000000000004">
      <c r="AE1951" s="7"/>
      <c r="AT1951" s="7"/>
      <c r="BA1951" s="7"/>
    </row>
    <row r="1952" spans="31:53" x14ac:dyDescent="0.55000000000000004">
      <c r="AE1952" s="7"/>
      <c r="AT1952" s="7"/>
      <c r="BA1952" s="7"/>
    </row>
    <row r="1953" spans="31:53" x14ac:dyDescent="0.55000000000000004">
      <c r="AE1953" s="7"/>
      <c r="AT1953" s="7"/>
      <c r="BA1953" s="7"/>
    </row>
    <row r="1954" spans="31:53" x14ac:dyDescent="0.55000000000000004">
      <c r="AE1954" s="7"/>
      <c r="AT1954" s="7"/>
      <c r="BA1954" s="7"/>
    </row>
    <row r="1955" spans="31:53" x14ac:dyDescent="0.55000000000000004">
      <c r="AE1955" s="7"/>
      <c r="AT1955" s="7"/>
      <c r="BA1955" s="7"/>
    </row>
    <row r="1956" spans="31:53" x14ac:dyDescent="0.55000000000000004">
      <c r="AE1956" s="7"/>
      <c r="AT1956" s="7"/>
      <c r="BA1956" s="7"/>
    </row>
    <row r="1957" spans="31:53" x14ac:dyDescent="0.55000000000000004">
      <c r="AE1957" s="7"/>
      <c r="AT1957" s="7"/>
      <c r="BA1957" s="7"/>
    </row>
    <row r="1958" spans="31:53" x14ac:dyDescent="0.55000000000000004">
      <c r="AE1958" s="7"/>
      <c r="AT1958" s="7"/>
      <c r="BA1958" s="7"/>
    </row>
    <row r="1959" spans="31:53" x14ac:dyDescent="0.55000000000000004">
      <c r="AE1959" s="7"/>
      <c r="AT1959" s="7"/>
      <c r="BA1959" s="7"/>
    </row>
    <row r="1960" spans="31:53" x14ac:dyDescent="0.55000000000000004">
      <c r="AE1960" s="7"/>
      <c r="AT1960" s="7"/>
      <c r="BA1960" s="7"/>
    </row>
    <row r="1961" spans="31:53" x14ac:dyDescent="0.55000000000000004">
      <c r="AE1961" s="7"/>
      <c r="AT1961" s="7"/>
      <c r="BA1961" s="7"/>
    </row>
    <row r="1962" spans="31:53" x14ac:dyDescent="0.55000000000000004">
      <c r="AE1962" s="7"/>
      <c r="AT1962" s="7"/>
      <c r="BA1962" s="7"/>
    </row>
    <row r="1963" spans="31:53" x14ac:dyDescent="0.55000000000000004">
      <c r="AE1963" s="7"/>
      <c r="AT1963" s="7"/>
      <c r="BA1963" s="7"/>
    </row>
    <row r="1964" spans="31:53" x14ac:dyDescent="0.55000000000000004">
      <c r="AE1964" s="7"/>
      <c r="AT1964" s="7"/>
      <c r="BA1964" s="7"/>
    </row>
    <row r="1965" spans="31:53" x14ac:dyDescent="0.55000000000000004">
      <c r="AE1965" s="7"/>
      <c r="AT1965" s="7"/>
      <c r="BA1965" s="7"/>
    </row>
    <row r="1966" spans="31:53" x14ac:dyDescent="0.55000000000000004">
      <c r="AE1966" s="7"/>
      <c r="AT1966" s="7"/>
      <c r="BA1966" s="7"/>
    </row>
    <row r="1967" spans="31:53" x14ac:dyDescent="0.55000000000000004">
      <c r="AE1967" s="7"/>
      <c r="AT1967" s="7"/>
      <c r="BA1967" s="7"/>
    </row>
    <row r="1968" spans="31:53" x14ac:dyDescent="0.55000000000000004">
      <c r="AE1968" s="7"/>
      <c r="AT1968" s="7"/>
      <c r="BA1968" s="7"/>
    </row>
    <row r="1969" spans="31:53" x14ac:dyDescent="0.55000000000000004">
      <c r="AE1969" s="7"/>
      <c r="AT1969" s="7"/>
      <c r="BA1969" s="7"/>
    </row>
    <row r="1970" spans="31:53" x14ac:dyDescent="0.55000000000000004">
      <c r="AE1970" s="7"/>
      <c r="AT1970" s="7"/>
      <c r="BA1970" s="7"/>
    </row>
    <row r="1971" spans="31:53" x14ac:dyDescent="0.55000000000000004">
      <c r="AE1971" s="7"/>
      <c r="AT1971" s="7"/>
      <c r="BA1971" s="7"/>
    </row>
    <row r="1972" spans="31:53" x14ac:dyDescent="0.55000000000000004">
      <c r="AE1972" s="7"/>
      <c r="AT1972" s="7"/>
      <c r="BA1972" s="7"/>
    </row>
    <row r="1973" spans="31:53" x14ac:dyDescent="0.55000000000000004">
      <c r="AE1973" s="7"/>
      <c r="AT1973" s="7"/>
      <c r="BA1973" s="7"/>
    </row>
    <row r="1974" spans="31:53" x14ac:dyDescent="0.55000000000000004">
      <c r="AE1974" s="7"/>
      <c r="AT1974" s="7"/>
      <c r="BA1974" s="7"/>
    </row>
    <row r="1975" spans="31:53" x14ac:dyDescent="0.55000000000000004">
      <c r="AE1975" s="7"/>
      <c r="AT1975" s="7"/>
      <c r="BA1975" s="7"/>
    </row>
    <row r="1976" spans="31:53" x14ac:dyDescent="0.55000000000000004">
      <c r="AE1976" s="7"/>
      <c r="AT1976" s="7"/>
      <c r="BA1976" s="7"/>
    </row>
    <row r="1977" spans="31:53" x14ac:dyDescent="0.55000000000000004">
      <c r="AE1977" s="7"/>
      <c r="AT1977" s="7"/>
      <c r="BA1977" s="7"/>
    </row>
    <row r="1978" spans="31:53" x14ac:dyDescent="0.55000000000000004">
      <c r="AE1978" s="7"/>
      <c r="AT1978" s="7"/>
      <c r="BA1978" s="7"/>
    </row>
    <row r="1979" spans="31:53" x14ac:dyDescent="0.55000000000000004">
      <c r="AE1979" s="7"/>
      <c r="AT1979" s="7"/>
      <c r="BA1979" s="7"/>
    </row>
    <row r="1980" spans="31:53" x14ac:dyDescent="0.55000000000000004">
      <c r="AE1980" s="7"/>
      <c r="AT1980" s="7"/>
      <c r="BA1980" s="7"/>
    </row>
    <row r="1981" spans="31:53" x14ac:dyDescent="0.55000000000000004">
      <c r="AE1981" s="7"/>
      <c r="AT1981" s="7"/>
      <c r="BA1981" s="7"/>
    </row>
    <row r="1982" spans="31:53" x14ac:dyDescent="0.55000000000000004">
      <c r="AE1982" s="7"/>
      <c r="AT1982" s="7"/>
      <c r="BA1982" s="7"/>
    </row>
    <row r="1983" spans="31:53" x14ac:dyDescent="0.55000000000000004">
      <c r="AE1983" s="7"/>
      <c r="AT1983" s="7"/>
      <c r="BA1983" s="7"/>
    </row>
    <row r="1984" spans="31:53" x14ac:dyDescent="0.55000000000000004">
      <c r="AE1984" s="7"/>
      <c r="AT1984" s="7"/>
      <c r="BA1984" s="7"/>
    </row>
    <row r="1985" spans="31:53" x14ac:dyDescent="0.55000000000000004">
      <c r="AE1985" s="7"/>
      <c r="AT1985" s="7"/>
      <c r="BA1985" s="7"/>
    </row>
    <row r="1986" spans="31:53" x14ac:dyDescent="0.55000000000000004">
      <c r="AE1986" s="7"/>
      <c r="AT1986" s="7"/>
      <c r="BA1986" s="7"/>
    </row>
    <row r="1987" spans="31:53" x14ac:dyDescent="0.55000000000000004">
      <c r="AE1987" s="7"/>
      <c r="AT1987" s="7"/>
      <c r="BA1987" s="7"/>
    </row>
    <row r="1988" spans="31:53" x14ac:dyDescent="0.55000000000000004">
      <c r="AE1988" s="7"/>
      <c r="AT1988" s="7"/>
      <c r="BA1988" s="7"/>
    </row>
    <row r="1989" spans="31:53" x14ac:dyDescent="0.55000000000000004">
      <c r="AE1989" s="7"/>
      <c r="AT1989" s="7"/>
      <c r="BA1989" s="7"/>
    </row>
    <row r="1990" spans="31:53" x14ac:dyDescent="0.55000000000000004">
      <c r="AE1990" s="7"/>
      <c r="AT1990" s="7"/>
      <c r="BA1990" s="7"/>
    </row>
    <row r="1991" spans="31:53" x14ac:dyDescent="0.55000000000000004">
      <c r="AE1991" s="7"/>
      <c r="AT1991" s="7"/>
      <c r="BA1991" s="7"/>
    </row>
    <row r="1992" spans="31:53" x14ac:dyDescent="0.55000000000000004">
      <c r="AE1992" s="7"/>
      <c r="AT1992" s="7"/>
      <c r="BA1992" s="7"/>
    </row>
    <row r="1993" spans="31:53" x14ac:dyDescent="0.55000000000000004">
      <c r="AE1993" s="7"/>
      <c r="AT1993" s="7"/>
      <c r="BA1993" s="7"/>
    </row>
    <row r="1994" spans="31:53" x14ac:dyDescent="0.55000000000000004">
      <c r="AE1994" s="7"/>
      <c r="AT1994" s="7"/>
      <c r="BA1994" s="7"/>
    </row>
    <row r="1995" spans="31:53" x14ac:dyDescent="0.55000000000000004">
      <c r="AE1995" s="7"/>
      <c r="AT1995" s="7"/>
      <c r="BA1995" s="7"/>
    </row>
    <row r="1996" spans="31:53" x14ac:dyDescent="0.55000000000000004">
      <c r="AE1996" s="7"/>
      <c r="AT1996" s="7"/>
      <c r="BA1996" s="7"/>
    </row>
    <row r="1997" spans="31:53" x14ac:dyDescent="0.55000000000000004">
      <c r="AE1997" s="7"/>
      <c r="AT1997" s="7"/>
      <c r="BA1997" s="7"/>
    </row>
    <row r="1998" spans="31:53" x14ac:dyDescent="0.55000000000000004">
      <c r="AE1998" s="7"/>
      <c r="AT1998" s="7"/>
      <c r="BA1998" s="7"/>
    </row>
    <row r="1999" spans="31:53" x14ac:dyDescent="0.55000000000000004">
      <c r="AE1999" s="7"/>
      <c r="AT1999" s="7"/>
      <c r="BA1999" s="7"/>
    </row>
    <row r="2000" spans="31:53" x14ac:dyDescent="0.55000000000000004">
      <c r="AE2000" s="7"/>
      <c r="AT2000" s="7"/>
      <c r="BA2000" s="7"/>
    </row>
  </sheetData>
  <phoneticPr fontId="12"/>
  <conditionalFormatting sqref="A15:O40">
    <cfRule type="expression" dxfId="0" priority="1" stopIfTrue="1">
      <formula>$L15=1</formula>
    </cfRule>
  </conditionalFormatting>
  <dataValidations count="1">
    <dataValidation type="list" allowBlank="1" showInputMessage="1" showErrorMessage="1" sqref="B9" xr:uid="{A8A66444-67D8-49DE-B0DF-3C1EB3BDAE98}">
      <formula1>"NET,GROSS,CARRY,IRR"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50</vt:i4>
      </vt:variant>
    </vt:vector>
  </HeadingPairs>
  <TitlesOfParts>
    <vt:vector size="58" baseType="lpstr">
      <vt:lpstr>PCA</vt:lpstr>
      <vt:lpstr>PCAGrid</vt:lpstr>
      <vt:lpstr>VolPCA</vt:lpstr>
      <vt:lpstr>VolHV</vt:lpstr>
      <vt:lpstr>VolLevel</vt:lpstr>
      <vt:lpstr>BOJ</vt:lpstr>
      <vt:lpstr>FwdMonitor</vt:lpstr>
      <vt:lpstr>FutBasis</vt:lpstr>
      <vt:lpstr>FUT_AdjDate</vt:lpstr>
      <vt:lpstr>FUT_AdjNet</vt:lpstr>
      <vt:lpstr>FUT_AdjSettle</vt:lpstr>
      <vt:lpstr>FUT_Contract</vt:lpstr>
      <vt:lpstr>FUT_DateIn</vt:lpstr>
      <vt:lpstr>FUT_Field</vt:lpstr>
      <vt:lpstr>FUT_From</vt:lpstr>
      <vt:lpstr>FUT_Overlay</vt:lpstr>
      <vt:lpstr>FUT_Price</vt:lpstr>
      <vt:lpstr>FUT_Repo</vt:lpstr>
      <vt:lpstr>FUT_Steps</vt:lpstr>
      <vt:lpstr>FUT_Yields</vt:lpstr>
      <vt:lpstr>FWM_Base</vt:lpstr>
      <vt:lpstr>FWM_Cmp</vt:lpstr>
      <vt:lpstr>FWM_From</vt:lpstr>
      <vt:lpstr>FWM_Labels</vt:lpstr>
      <vt:lpstr>FWM_Live</vt:lpstr>
      <vt:lpstr>FWM_TL1</vt:lpstr>
      <vt:lpstr>FWM_TL2</vt:lpstr>
      <vt:lpstr>FWM_TL3</vt:lpstr>
      <vt:lpstr>FWM_TMode</vt:lpstr>
      <vt:lpstr>FWM_TName</vt:lpstr>
      <vt:lpstr>FWM_TShow</vt:lpstr>
      <vt:lpstr>FWM_TW1</vt:lpstr>
      <vt:lpstr>FWM_TW2</vt:lpstr>
      <vt:lpstr>FWM_TW3</vt:lpstr>
      <vt:lpstr>FWM_View</vt:lpstr>
      <vt:lpstr>FWM_Win</vt:lpstr>
      <vt:lpstr>PCA_k</vt:lpstr>
      <vt:lpstr>PCA_Mode</vt:lpstr>
      <vt:lpstr>PCA_ReconDate</vt:lpstr>
      <vt:lpstr>PCA_SigmaDays</vt:lpstr>
      <vt:lpstr>PCA_Standardize</vt:lpstr>
      <vt:lpstr>PCA_window</vt:lpstr>
      <vt:lpstr>PCA_WindowEnd</vt:lpstr>
      <vt:lpstr>PCG_GuideIn</vt:lpstr>
      <vt:lpstr>PCG_ReconDate</vt:lpstr>
      <vt:lpstr>PCG_SigmaDays</vt:lpstr>
      <vt:lpstr>VHV_Days</vt:lpstr>
      <vt:lpstr>VHV_From</vt:lpstr>
      <vt:lpstr>VLV_From</vt:lpstr>
      <vt:lpstr>VLV_GPoint</vt:lpstr>
      <vt:lpstr>VLV_GValue</vt:lpstr>
      <vt:lpstr>VLV_Recent</vt:lpstr>
      <vt:lpstr>VOL_k</vt:lpstr>
      <vt:lpstr>VOL_Mode</vt:lpstr>
      <vt:lpstr>VOL_ReconDate</vt:lpstr>
      <vt:lpstr>VOL_Standardize</vt:lpstr>
      <vt:lpstr>VOL_window</vt:lpstr>
      <vt:lpstr>VOL_WindowEnd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2026-10-27T12:53:07Z</dcterms:modified>
</cp:coreProperties>
</file>